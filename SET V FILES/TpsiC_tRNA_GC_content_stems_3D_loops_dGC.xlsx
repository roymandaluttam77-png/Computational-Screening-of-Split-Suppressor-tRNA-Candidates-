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C_Summary" sheetId="1" state="visible" r:id="rId3"/>
    <sheet name="tRNA_Info" sheetId="2" state="visible" r:id="rId4"/>
    <sheet name="Positions" sheetId="3" state="visible" r:id="rId5"/>
    <sheet name="Stems_3D_BP" sheetId="4" state="visible" r:id="rId6"/>
    <sheet name="Loops" sheetId="5" state="visible" r:id="rId7"/>
    <sheet name="Notes" sheetId="6" state="visible" r:id="rId8"/>
  </sheets>
  <definedNames>
    <definedName function="false" hidden="true" localSheetId="2" name="_xlnm._FilterDatabase" vbProcedure="false">Positions!$A$1:$F$6912</definedName>
    <definedName function="false" hidden="true" localSheetId="3" name="_xlnm._FilterDatabase" vbProcedure="false">Stems_3D_BP!$A$1:$K$2689</definedName>
    <definedName function="false" hidden="true" localSheetId="1" name="_xlnm._FilterDatabase" vbProcedure="false">tRNA_Info!$A$1:$K$97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<sst xmlns="http://schemas.openxmlformats.org/spreadsheetml/2006/main" count="39164" uniqueCount="719">
  <si>
    <t xml:space="preserve">T-psi-C database tRNAs (16 species) - G+C content of tRNA sequence, 4 stems + 3D base pairs, and 4 loops</t>
  </si>
  <si>
    <t xml:space="preserve">tRNA</t>
  </si>
  <si>
    <t xml:space="preserve">Length (nt)</t>
  </si>
  <si>
    <t xml:space="preserve">Total G</t>
  </si>
  <si>
    <t xml:space="preserve">Total C</t>
  </si>
  <si>
    <t xml:space="preserve">Total G+C</t>
  </si>
  <si>
    <t xml:space="preserve">Overall G+C %</t>
  </si>
  <si>
    <t xml:space="preserve">Acceptor stem G+C</t>
  </si>
  <si>
    <t xml:space="preserve">D-stem G+C</t>
  </si>
  <si>
    <t xml:space="preserve">AC-stem G+C</t>
  </si>
  <si>
    <t xml:space="preserve">T-stem G+C</t>
  </si>
  <si>
    <t xml:space="preserve">4 stems G+C (of 42 nt)</t>
  </si>
  <si>
    <t xml:space="preserve">4 stems G+C %</t>
  </si>
  <si>
    <t xml:space="preserve">3D BP G+C (of 14 nt)</t>
  </si>
  <si>
    <t xml:space="preserve">3D BP G+C %</t>
  </si>
  <si>
    <t xml:space="preserve">4 stems + 3D G+C (of 56 nt)</t>
  </si>
  <si>
    <t xml:space="preserve">4 stems + 3D G+C %</t>
  </si>
  <si>
    <t xml:space="preserve">D-loop G+C</t>
  </si>
  <si>
    <t xml:space="preserve">AC-loop G+C</t>
  </si>
  <si>
    <t xml:space="preserve">Variable loop G+C</t>
  </si>
  <si>
    <t xml:space="preserve">TΨC-loop G+C</t>
  </si>
  <si>
    <t xml:space="preserve">4 loops length (nt)</t>
  </si>
  <si>
    <t xml:space="preserve">4 loops G+C</t>
  </si>
  <si>
    <t xml:space="preserve">4 loops G+C %</t>
  </si>
  <si>
    <t xml:space="preserve">Pos 8 nt</t>
  </si>
  <si>
    <t xml:space="preserve">Pos 9 nt</t>
  </si>
  <si>
    <t xml:space="preserve">Pos 26 nt</t>
  </si>
  <si>
    <t xml:space="preserve">G in 8, 9, 26</t>
  </si>
  <si>
    <t xml:space="preserve">C in 8, 9, 26</t>
  </si>
  <si>
    <t xml:space="preserve">G+C in 8, 9, 26 (of 3 nt)</t>
  </si>
  <si>
    <t xml:space="preserve">8, 9, 26 G+C %</t>
  </si>
  <si>
    <t xml:space="preserve">Check: stems + loops + 8,9,26 G+C = total G+C</t>
  </si>
  <si>
    <t xml:space="preserve">Non-stem nt (4 loops + 8, 9, 26)</t>
  </si>
  <si>
    <t xml:space="preserve">Non-stem G+C</t>
  </si>
  <si>
    <t xml:space="preserve">GC_nonstem %</t>
  </si>
  <si>
    <t xml:space="preserve">GC_stem % (4 stems, 42 nt)</t>
  </si>
  <si>
    <t xml:space="preserve">ΔGC = GC_stem − GC_nonstem</t>
  </si>
  <si>
    <t xml:space="preserve">tdbR00000271 Met-CAU</t>
  </si>
  <si>
    <t xml:space="preserve">tdbR00000311 Pro-CGG</t>
  </si>
  <si>
    <t xml:space="preserve">tdbR00000500 Ile-CAU</t>
  </si>
  <si>
    <t xml:space="preserve">tdbR00000001 Ala-CGC</t>
  </si>
  <si>
    <t xml:space="preserve">tdbR00000499 Ile-CAU</t>
  </si>
  <si>
    <t xml:space="preserve">tdbR00000380 Ser-CGA</t>
  </si>
  <si>
    <t xml:space="preserve">tdbR00000430 Thr-GGU</t>
  </si>
  <si>
    <t xml:space="preserve">tdbR00000446 Val-CAC</t>
  </si>
  <si>
    <t xml:space="preserve">tdbR00000447 Val-CAC</t>
  </si>
  <si>
    <t xml:space="preserve">tdbR00000448 Val-GAC</t>
  </si>
  <si>
    <t xml:space="preserve">tdbR00000060 Glu-UUC</t>
  </si>
  <si>
    <t xml:space="preserve">tdbR00000147 His-GUG</t>
  </si>
  <si>
    <t xml:space="preserve">tdbR00000533 Ile-CAU</t>
  </si>
  <si>
    <t xml:space="preserve">tdbR00000202 Lys-UUU</t>
  </si>
  <si>
    <t xml:space="preserve">tdbR00000201 Lys-CUU</t>
  </si>
  <si>
    <t xml:space="preserve">tdbR00000095 Phe-GAA</t>
  </si>
  <si>
    <t xml:space="preserve">tdbR00000564 Tyr-GUA</t>
  </si>
  <si>
    <t xml:space="preserve">tdbR00000473 Val-CAC</t>
  </si>
  <si>
    <t xml:space="preserve">tdbR00000472 Val-AAC</t>
  </si>
  <si>
    <t xml:space="preserve">tdbR00000474 Val-UAC</t>
  </si>
  <si>
    <t xml:space="preserve">tdbR00000014 Ala-AGC</t>
  </si>
  <si>
    <t xml:space="preserve">tdbR00000015 Ala-AGC</t>
  </si>
  <si>
    <t xml:space="preserve">tdbR00000173 Ile-AAU</t>
  </si>
  <si>
    <t xml:space="preserve">tdbR00000093 Phe-GAA</t>
  </si>
  <si>
    <t xml:space="preserve">tdbR00000094 Phe-GAA</t>
  </si>
  <si>
    <t xml:space="preserve">tdbR00000576 Asp-GUC</t>
  </si>
  <si>
    <t xml:space="preserve">tdbR00000573 Gln-UUG</t>
  </si>
  <si>
    <t xml:space="preserve">tdbR00000578 Glu-UUC</t>
  </si>
  <si>
    <t xml:space="preserve">tdbR00000577 Glu-CUC</t>
  </si>
  <si>
    <t xml:space="preserve">tdbR00000572 Lys-UUU</t>
  </si>
  <si>
    <t xml:space="preserve">tdbR00000575 Thr-CGU</t>
  </si>
  <si>
    <t xml:space="preserve">tdbR00000574 Trp-CCA</t>
  </si>
  <si>
    <t xml:space="preserve">tdbR00000204 Lys-CUU</t>
  </si>
  <si>
    <t xml:space="preserve">tdbR00000203 Lys-UUU</t>
  </si>
  <si>
    <t xml:space="preserve">tdbR00000205 Lys-UUU</t>
  </si>
  <si>
    <t xml:space="preserve">tdbR00000206 Lys-UUU</t>
  </si>
  <si>
    <t xml:space="preserve">tdbR00000563 Tyr-GUA</t>
  </si>
  <si>
    <t xml:space="preserve">tdbR00000061 Glu-CUC</t>
  </si>
  <si>
    <t xml:space="preserve">tdbR00000174 Ile-AAU</t>
  </si>
  <si>
    <t xml:space="preserve">tdbR00000208 Lys-CUU</t>
  </si>
  <si>
    <t xml:space="preserve">tdbR00000100 Phe-GAA</t>
  </si>
  <si>
    <t xml:space="preserve">tdbR00000377 Arg-ACG</t>
  </si>
  <si>
    <t xml:space="preserve">tdbR00000378 Arg-ACG</t>
  </si>
  <si>
    <t xml:space="preserve">tdbR00000343 Gln-CUG</t>
  </si>
  <si>
    <t xml:space="preserve">tdbR00000344 Gln-JUG</t>
  </si>
  <si>
    <t xml:space="preserve">tdbR00000101 Phe-GAA</t>
  </si>
  <si>
    <t xml:space="preserve">tdbR00000537 Ile-CAU</t>
  </si>
  <si>
    <t xml:space="preserve">tdbR00000039 Asp-GUC</t>
  </si>
  <si>
    <t xml:space="preserve">tdbR00000532 Ile-CAU</t>
  </si>
  <si>
    <t xml:space="preserve">tdbR00000200 Lys-UUU</t>
  </si>
  <si>
    <t xml:space="preserve">tdbR00000198 Lys-CUU</t>
  </si>
  <si>
    <t xml:space="preserve">tdbR00000199 Lys-CUU</t>
  </si>
  <si>
    <t xml:space="preserve">tdbR00000287 Met-CAU</t>
  </si>
  <si>
    <t xml:space="preserve">tdbR00000092 Phe-GAA</t>
  </si>
  <si>
    <t xml:space="preserve">tdbR00000471 Val-AAC</t>
  </si>
  <si>
    <t xml:space="preserve">tdbR00000037 Asp-GUC</t>
  </si>
  <si>
    <t xml:space="preserve">tdbR00000469 Val-AAC</t>
  </si>
  <si>
    <t xml:space="preserve">tdbR00000038 Asp-GUC</t>
  </si>
  <si>
    <t xml:space="preserve">tdbR00000341 Gln-CUG</t>
  </si>
  <si>
    <t xml:space="preserve">tdbR00000059 Glu-UUC</t>
  </si>
  <si>
    <t xml:space="preserve">tdbR00000197 Lys-UUU</t>
  </si>
  <si>
    <t xml:space="preserve">tdbR00000195 Lys-CUU</t>
  </si>
  <si>
    <t xml:space="preserve">tdbR00000196 Lys-CUU</t>
  </si>
  <si>
    <t xml:space="preserve">tdbR00000462 Val-UAC</t>
  </si>
  <si>
    <t xml:space="preserve">tdbR00000120 Gly-CCC</t>
  </si>
  <si>
    <t xml:space="preserve">tdbR00000121 Gly-UCC</t>
  </si>
  <si>
    <t xml:space="preserve">tdbR00000141 His-GUG</t>
  </si>
  <si>
    <t xml:space="preserve">tdbR00000317 Pro-CGG</t>
  </si>
  <si>
    <t xml:space="preserve">tdbR00000318 Pro-GGG</t>
  </si>
  <si>
    <t xml:space="preserve">tdbR00000319 Pro-UGG</t>
  </si>
  <si>
    <t xml:space="preserve">tdbR00000337 Gln-CUA</t>
  </si>
  <si>
    <t xml:space="preserve">tdbR00000338 Gln-UUA</t>
  </si>
  <si>
    <t xml:space="preserve">tdbR00000339 Gln-UUG</t>
  </si>
  <si>
    <t xml:space="preserve">tdbR00000523 Ile-CAU</t>
  </si>
  <si>
    <t xml:space="preserve">tdbR00000503 Ile-CAU</t>
  </si>
  <si>
    <t xml:space="preserve">tdbR00000272 Met-CAU</t>
  </si>
  <si>
    <t xml:space="preserve">tdbR00000025 Asp-GUC</t>
  </si>
  <si>
    <t xml:space="preserve">tdbR00000157 Ile-GAU</t>
  </si>
  <si>
    <t xml:space="preserve">tdbR00000508 Ile-CAU</t>
  </si>
  <si>
    <t xml:space="preserve">tdbR00000509 Ile-CAU</t>
  </si>
  <si>
    <t xml:space="preserve">tdbR00000275 Met-CAU</t>
  </si>
  <si>
    <t xml:space="preserve">tdbR00000066 Phe-GAA</t>
  </si>
  <si>
    <t xml:space="preserve">tdbR00000016 Ala-AGC</t>
  </si>
  <si>
    <t xml:space="preserve">tdbR00000017 Ala-AGC</t>
  </si>
  <si>
    <t xml:space="preserve">tdbR00000345 Gln-NUG</t>
  </si>
  <si>
    <t xml:space="preserve">tdbR00000346 Gln-NUG</t>
  </si>
  <si>
    <t xml:space="preserve">tdbR00000062 Glu-CUC</t>
  </si>
  <si>
    <t xml:space="preserve">tdbR00000149 His-GUG</t>
  </si>
  <si>
    <t xml:space="preserve">tdbR00000289 Met-CAU</t>
  </si>
  <si>
    <t xml:space="preserve">tdbR00000540 Ile-CAU</t>
  </si>
  <si>
    <t xml:space="preserve">tdbR00000103 Phe-GAA</t>
  </si>
  <si>
    <t xml:space="preserve">tdbR00000566 Tyr-GUA</t>
  </si>
  <si>
    <t xml:space="preserve">tdbR00000567 Tyr-GUA</t>
  </si>
  <si>
    <t xml:space="preserve">tdbR00001067 Ala-UGC</t>
  </si>
  <si>
    <t xml:space="preserve">tdbR00001091 Met-CAU</t>
  </si>
  <si>
    <t xml:space="preserve">tdbR00001092 Met-CAU</t>
  </si>
  <si>
    <t xml:space="preserve">Mean</t>
  </si>
  <si>
    <t xml:space="preserve">Percentages: overall = G+C / full length; stems = /42 nt (21 bp); 3D = /14 nt (7 tertiary pairs); stems+3D = /56 nt; positions 8, 9, 26 = /3 nt; loops = / total nt of D, AC, variable and TΨC loops.</t>
  </si>
  <si>
    <t xml:space="preserve">3D pairs 14, 15, 18, 19, 32, 38, 44, 48, 54, 55, 58 lie inside loops, so "4 stems + 3D" and "4 loops" share those nucleotides. 4 stems + 4 loops + positions 8, 9, 26 together cover every nucleotide once together cover every nucleotide once (column AE checks this).</t>
  </si>
  <si>
    <t xml:space="preserve">tRNA (key)</t>
  </si>
  <si>
    <t xml:space="preserve">T-psi-C ID</t>
  </si>
  <si>
    <t xml:space="preserve">Amino acid</t>
  </si>
  <si>
    <t xml:space="preserve">Anticodon</t>
  </si>
  <si>
    <t xml:space="preserve">Organism</t>
  </si>
  <si>
    <t xml:space="preserve">Database length (nt)</t>
  </si>
  <si>
    <t xml:space="preserve">Analysed length 1-72 region (nt)</t>
  </si>
  <si>
    <t xml:space="preserve">Excluded 5′ nt</t>
  </si>
  <si>
    <t xml:space="preserve">Excluded 3′ nt (73 / CCA)</t>
  </si>
  <si>
    <t xml:space="preserve">Analysed sequence</t>
  </si>
  <si>
    <t xml:space="preserve">Canonical stem pairs not paired in database structure</t>
  </si>
  <si>
    <t xml:space="preserve">tdbR00000271</t>
  </si>
  <si>
    <t xml:space="preserve">Met</t>
  </si>
  <si>
    <t xml:space="preserve">CAU</t>
  </si>
  <si>
    <t xml:space="preserve">Haloferax volcanii</t>
  </si>
  <si>
    <t xml:space="preserve">-</t>
  </si>
  <si>
    <t xml:space="preserve">ACCA</t>
  </si>
  <si>
    <t xml:space="preserve">GCCCGGGUGGCUUAGCUGGACAUAGCGCCGCACUCAUAAUGCGGAGAUCGUGGGUUCGGAGCCCACCCCGGGC</t>
  </si>
  <si>
    <t xml:space="preserve">13-22</t>
  </si>
  <si>
    <t xml:space="preserve">tdbR00000311</t>
  </si>
  <si>
    <t xml:space="preserve">Pro</t>
  </si>
  <si>
    <t xml:space="preserve">CGG</t>
  </si>
  <si>
    <t xml:space="preserve">GGGCCGGUGGGGUAGCUUGGUAUCCUUCGGCCUUCGGGUGGCCGUAACCUCAGUUCGAAUCUGAGCCGGCCC</t>
  </si>
  <si>
    <t xml:space="preserve">tdbR00000500</t>
  </si>
  <si>
    <t xml:space="preserve">Ile</t>
  </si>
  <si>
    <t xml:space="preserve">AGCGGGAUGGGAUAGCCAGGAGAUUCCGCCGGGCUCAUAACCCGGAGAUCGGUAGUUCAAAUCUACCUCCCGCU</t>
  </si>
  <si>
    <t xml:space="preserve">tdbR00000001</t>
  </si>
  <si>
    <t xml:space="preserve">Ala</t>
  </si>
  <si>
    <t xml:space="preserve">CGC</t>
  </si>
  <si>
    <t xml:space="preserve">Halobacterium salinarum</t>
  </si>
  <si>
    <t xml:space="preserve">GGGCUCGUAGAUCAGCGGUAGAUCGCUUCCUUCGCAAGGAAGAGGCCCUGGGUUCAAAUCCCAGCGAGUCC</t>
  </si>
  <si>
    <t xml:space="preserve">none</t>
  </si>
  <si>
    <t xml:space="preserve">tdbR00000499</t>
  </si>
  <si>
    <t xml:space="preserve">AGCGGGAUGGGAUAGCUAGGAGAUUCCGCCGGGCUCAUAACCCGGAGAUCGGUAGUUCAAAUCUACCUCCCGCU</t>
  </si>
  <si>
    <t xml:space="preserve">tdbR00000380</t>
  </si>
  <si>
    <t xml:space="preserve">Ser</t>
  </si>
  <si>
    <t xml:space="preserve">CGA</t>
  </si>
  <si>
    <t xml:space="preserve">GCCA</t>
  </si>
  <si>
    <t xml:space="preserve">GCCGAGGUAGCAUAGCUUGGCCAAUGCGGUUGCUUCGAGAGCAACGUUCCACACGGACUCAGGAGUUCAAAUCUCCUCCUCGGC</t>
  </si>
  <si>
    <t xml:space="preserve">tdbR00000430</t>
  </si>
  <si>
    <t xml:space="preserve">Thr</t>
  </si>
  <si>
    <t xml:space="preserve">GGU</t>
  </si>
  <si>
    <t xml:space="preserve">UCCA</t>
  </si>
  <si>
    <t xml:space="preserve">GCCUGGGUAGCUUAGCGGUAAAGCGCGUCCUUGGUAAGGACGAGACCCCGGAUUCAAAUUCCGGCCUAGGC</t>
  </si>
  <si>
    <t xml:space="preserve">tdbR00000446</t>
  </si>
  <si>
    <t xml:space="preserve">Val</t>
  </si>
  <si>
    <t xml:space="preserve">CAC</t>
  </si>
  <si>
    <t xml:space="preserve">GGGUCGGUGGUCUAGUCCGGUUAUGACGGCUCCUUCACACGGAGCAGGUCGGCGGUUGAACUCCGCCCCGACCC</t>
  </si>
  <si>
    <t xml:space="preserve">tdbR00000447</t>
  </si>
  <si>
    <t xml:space="preserve">GGGUUGGUGGUCUAGUCAGGCUAUGACACCUCCUUCACAUGGAGGAGGUCGGCGGUUCAAAUCCGCCCCAACCC</t>
  </si>
  <si>
    <t xml:space="preserve">tdbR00000448</t>
  </si>
  <si>
    <t xml:space="preserve">GAC</t>
  </si>
  <si>
    <t xml:space="preserve">GGGUUGGUGGUCUAGUCAGGCUAUGACACCUCCUUGACAUGGAGGAGGUCGGCGGUUCAAAUCCGCCCCAACCC</t>
  </si>
  <si>
    <t xml:space="preserve">tdbR00000060</t>
  </si>
  <si>
    <t xml:space="preserve">Glu</t>
  </si>
  <si>
    <t xml:space="preserve">UUC</t>
  </si>
  <si>
    <t xml:space="preserve">Drosophila melanogaster</t>
  </si>
  <si>
    <t xml:space="preserve">UCCCAUAUGGUCUAGUGGCUAGGAUAUCUGGCUUUCACCCAGAAGGCCCGGGUUCGAUUCCCGGUAUGGGA</t>
  </si>
  <si>
    <t xml:space="preserve">tdbR00000147</t>
  </si>
  <si>
    <t xml:space="preserve">His</t>
  </si>
  <si>
    <t xml:space="preserve">GUG</t>
  </si>
  <si>
    <t xml:space="preserve">G</t>
  </si>
  <si>
    <t xml:space="preserve">GCCGUGAUCGUCUAGUGGUUAGGACCCCACGUUGUGGCCGUGGUAACCCAGGUUCGAAUCCUGGUCACGGC</t>
  </si>
  <si>
    <t xml:space="preserve">tdbR00000533</t>
  </si>
  <si>
    <t xml:space="preserve">AGCAGAGUGGCGCAGUGGAAGCGUGCUGGGCCCAUAACCCAGAGGUCCGAGGAUCGAAACCUUGCUCUGCU</t>
  </si>
  <si>
    <t xml:space="preserve">tdbR00000202</t>
  </si>
  <si>
    <t xml:space="preserve">Lys</t>
  </si>
  <si>
    <t xml:space="preserve">UUU</t>
  </si>
  <si>
    <t xml:space="preserve">GCCCGGAUAGCUCAGUCGGUAGAGCAUUGGACUUUUAAUCCAAGGGUCCAGGGUUCAAGUCCCUGUUCGGGC</t>
  </si>
  <si>
    <t xml:space="preserve">tdbR00000201</t>
  </si>
  <si>
    <t xml:space="preserve">CUU</t>
  </si>
  <si>
    <t xml:space="preserve">GCCCGGCUAGCUCAGUCGGUAGAGCAUGAGACUCUUAAUCUCAGGGUCGUGGGUUCGAGCCCCACGUUGGGC</t>
  </si>
  <si>
    <t xml:space="preserve">tdbR00000095</t>
  </si>
  <si>
    <t xml:space="preserve">Phe</t>
  </si>
  <si>
    <t xml:space="preserve">GAA</t>
  </si>
  <si>
    <t xml:space="preserve">GCCGAAAUAGCUCAGUUGGGAGAGCGUUAGACUGAAGAUCUAAAGGUCCCCGGUUCAAUCCCGGGUUUCGGC</t>
  </si>
  <si>
    <t xml:space="preserve">tdbR00000564</t>
  </si>
  <si>
    <t xml:space="preserve">Tyr</t>
  </si>
  <si>
    <t xml:space="preserve">GUA</t>
  </si>
  <si>
    <t xml:space="preserve">CCUUCGAUAGCUCAGUUGGUAGAGCGGUGGACUGUAGAUCCAUAGGUCGCUGGUUCAAAUCCGGCUCGAAGG</t>
  </si>
  <si>
    <t xml:space="preserve">tdbR00000473</t>
  </si>
  <si>
    <t xml:space="preserve">GUUUCCGUAGUGUAGCGGUUAUCACGUGUGCUUCACACGCACAAGGUCCCCGGUUCGAACCCGGGCGGGAAC</t>
  </si>
  <si>
    <t xml:space="preserve">tdbR00000472</t>
  </si>
  <si>
    <t xml:space="preserve">AAC</t>
  </si>
  <si>
    <t xml:space="preserve">GUUUCCGUGGUGUAGCGGUUAUCACAUCUGCCUAACACGCAGAAGGCCCCCGGUUCGAUCCCGGGCGGAAAC</t>
  </si>
  <si>
    <t xml:space="preserve">tdbR00000474</t>
  </si>
  <si>
    <t xml:space="preserve">UAC</t>
  </si>
  <si>
    <t xml:space="preserve">GGUUCCAUAGUGUAGCGGUUAUCACGUCUGCUUUACACGCAGAAGGUCUCCGGUUCGAUCCCGGAUGGAACC</t>
  </si>
  <si>
    <t xml:space="preserve">tdbR00000014</t>
  </si>
  <si>
    <t xml:space="preserve">AGC</t>
  </si>
  <si>
    <t xml:space="preserve">Bombyx mori</t>
  </si>
  <si>
    <t xml:space="preserve">GGGGGCGUAGCUCAGAUGGUAGAGCGCUCGCUUAGCAUGUGAGAGGUACCGGGAUCGAUACCCGGCGCCUCC</t>
  </si>
  <si>
    <t xml:space="preserve">tdbR00000015</t>
  </si>
  <si>
    <t xml:space="preserve">GGGGGCGUAGCUCAGAUGGUAGAGCGCUCGCUUAGCAUGCGAGAGGUACCGGGAUCGAUACCCGGCGCCUCC</t>
  </si>
  <si>
    <t xml:space="preserve">tdbR00000173</t>
  </si>
  <si>
    <t xml:space="preserve">AAU</t>
  </si>
  <si>
    <t xml:space="preserve">GGCCCAUUAGCUCAGUUGGUUAGAGCGUCGUGCUAAUAACGCGAAGGUCGCGGGUUCGAUCCCCUCAUGGGCC</t>
  </si>
  <si>
    <t xml:space="preserve">50-64</t>
  </si>
  <si>
    <t xml:space="preserve">tdbR00000093</t>
  </si>
  <si>
    <t xml:space="preserve">GCCGAAAUAGCUCAGUUGGGAGAGCGUUAGACUGAAGAUCUAAAGGUCCCUGGUUCAAUCCCGGGUUUCGGC</t>
  </si>
  <si>
    <t xml:space="preserve">tdbR00000094</t>
  </si>
  <si>
    <t xml:space="preserve">GCCGAAAUAGCUCAGUUGGGAGAGCGUUAGACUGAAGAUCUAAAGGUCCCUGGUUCGAUCCCGGGUUUCGGC</t>
  </si>
  <si>
    <t xml:space="preserve">tdbR00000576</t>
  </si>
  <si>
    <t xml:space="preserve">Asp</t>
  </si>
  <si>
    <t xml:space="preserve">GUC</t>
  </si>
  <si>
    <t xml:space="preserve">Leishmania tarentolae</t>
  </si>
  <si>
    <t xml:space="preserve">UUCUCGGUAGUAUAGUGGUUAGUAUACCCGCCUGUCACGCGGGUGACCCGGGUUCAUUUCCCGGCCGGGAA</t>
  </si>
  <si>
    <t xml:space="preserve">tdbR00000573</t>
  </si>
  <si>
    <t xml:space="preserve">Gln</t>
  </si>
  <si>
    <t xml:space="preserve">UUG</t>
  </si>
  <si>
    <t xml:space="preserve">A</t>
  </si>
  <si>
    <t xml:space="preserve">GGUCCUAUAGUGUAGUGGUUAUCACUUCGGACUUUGAAUCCGAAAACCCAGGUUCGAAUCCUGGUAGGACC</t>
  </si>
  <si>
    <t xml:space="preserve">tdbR00000578</t>
  </si>
  <si>
    <t xml:space="preserve">UCCGAUGUAGUAUAACGGUUAGAACACCUGGCUUUCACCCAGGAGAUCCGGGUUCGAUUCCCGGUAUCGGA</t>
  </si>
  <si>
    <t xml:space="preserve">12-23</t>
  </si>
  <si>
    <t xml:space="preserve">tdbR00000577</t>
  </si>
  <si>
    <t xml:space="preserve">CUC</t>
  </si>
  <si>
    <t xml:space="preserve">UCCGAUGUGGUAUAGUGGAUAGAACAAGCGGCUCUCACCCGCUAGACCCGGGUUCGAUCCCCGGCAUCGGA</t>
  </si>
  <si>
    <t xml:space="preserve">tdbR00000572</t>
  </si>
  <si>
    <t xml:space="preserve">GCACUUCUAGCUCAGUUGGUAGAGCGCGUGGCUUUUAACCUCGUGGUCGUGGGUUCGAGCCCCACGGAGUGC</t>
  </si>
  <si>
    <t xml:space="preserve">29-41</t>
  </si>
  <si>
    <t xml:space="preserve">tdbR00000575</t>
  </si>
  <si>
    <t xml:space="preserve">CGU</t>
  </si>
  <si>
    <t xml:space="preserve">U</t>
  </si>
  <si>
    <t xml:space="preserve">GGCCGCUUAGCACAGUGGCAGUGCACCACUCUCGUAAAGUGGGGGUCGCGAGUUCGAUUCUCGCAGUGGCC</t>
  </si>
  <si>
    <t xml:space="preserve">tdbR00000574</t>
  </si>
  <si>
    <t xml:space="preserve">Trp</t>
  </si>
  <si>
    <t xml:space="preserve">CCA</t>
  </si>
  <si>
    <t xml:space="preserve">GGGGGCUUAGCUCAGUGGUAGAGCAUUGGAUUCCAAAUCCAGGGGUCGUAGGUUCAAUCCCUGCAGCUCUC</t>
  </si>
  <si>
    <t xml:space="preserve">tdbR00000204</t>
  </si>
  <si>
    <t xml:space="preserve">Loligo bleekeri</t>
  </si>
  <si>
    <t xml:space="preserve">UCCCGGCUAGCUCAGUCGGUAGAGCACGAGAUUCUUAAUCUCGGGGUCGUGGGUUCGAGCCCCACGUUGGGA</t>
  </si>
  <si>
    <t xml:space="preserve">tdbR00000203</t>
  </si>
  <si>
    <t xml:space="preserve">GCCUCCAUAGCUCAGUCGGUAGAGCAUCAGACUUUUAAUCUGAGGGUCUGGGGUUCGAGUCCCCAUGUGGGC</t>
  </si>
  <si>
    <t xml:space="preserve">5-68, 31-39</t>
  </si>
  <si>
    <t xml:space="preserve">tdbR00000205</t>
  </si>
  <si>
    <t xml:space="preserve">GCCUUCAUAGCUCAGUCGGUAGAGCAUCAGACUUUUAAUCUGAGGGUCUGGGGUUCGAGUCCCCAUGCGGGC</t>
  </si>
  <si>
    <t xml:space="preserve">31-39</t>
  </si>
  <si>
    <t xml:space="preserve">tdbR00000206</t>
  </si>
  <si>
    <t xml:space="preserve">tdbR00000563</t>
  </si>
  <si>
    <t xml:space="preserve">Lupinus albus</t>
  </si>
  <si>
    <t xml:space="preserve">CCGACCUUAGCUCAGUUGGUAGAGCGGAGGACUGUAGAUCCUUAGGUCACUGGUUCGAAUCCGGUAGGUCGG</t>
  </si>
  <si>
    <t xml:space="preserve">tdbR00000061</t>
  </si>
  <si>
    <t xml:space="preserve">Mus musculus</t>
  </si>
  <si>
    <t xml:space="preserve">UCCCUGGUGGUCUAGUGGUUAGGAUUCGGCGCUCUCACCGCCGCGGCCCGGGUUCGAUUCCCGGUCAGGGA</t>
  </si>
  <si>
    <t xml:space="preserve">tdbR00000174</t>
  </si>
  <si>
    <t xml:space="preserve">GGCCGGUUAGCUCAGUUGGUUAGAGCGUGGUGCUAAUAACGCCAAGGUCGCGGGUUCGAUCCCCGUACGGGCC</t>
  </si>
  <si>
    <t xml:space="preserve">5-68</t>
  </si>
  <si>
    <t xml:space="preserve">tdbR00000208</t>
  </si>
  <si>
    <t xml:space="preserve">GCCCGGCUAGCUCAGUCGGUAGAGCAUGGGACUCUUAAUCCCAGGGUCGUGGGUUCGAGCCCCACGUUGGGC</t>
  </si>
  <si>
    <t xml:space="preserve">tdbR00000100</t>
  </si>
  <si>
    <t xml:space="preserve">tdbR00000377</t>
  </si>
  <si>
    <t xml:space="preserve">Arg</t>
  </si>
  <si>
    <t xml:space="preserve">ACG</t>
  </si>
  <si>
    <t xml:space="preserve">GGGCCAGUGGCGCAAUGGAUAACGCGUCUGACUACGGAUCAGAAGAUUCUAGGUUCGACUCCUGGCUGGCUC</t>
  </si>
  <si>
    <t xml:space="preserve">tdbR00000378</t>
  </si>
  <si>
    <t xml:space="preserve">GGGCCAGUGGCGCAAUGGAUAACGCGUCUGACUACGGAUCAGAAGAUUCCAGGUUCGACUCCUGGCUGGCUC</t>
  </si>
  <si>
    <t xml:space="preserve">tdbR00000343</t>
  </si>
  <si>
    <t xml:space="preserve">CUG</t>
  </si>
  <si>
    <t xml:space="preserve">GGUUCCAUGGUGUAAUGGUUAGCACUCUGGACUCUGAAUCCAGCGAUCCGAGUUCAAAUCUCGGUGGAACC</t>
  </si>
  <si>
    <t xml:space="preserve">tdbR00000344</t>
  </si>
  <si>
    <t xml:space="preserve">JUG</t>
  </si>
  <si>
    <t xml:space="preserve">GGUCCCAUGGUGUAAUGGUUAGCACUCUGGACUUUGAAUCCAGCGAUCCGAGUUCAAAUCUCGGUGGGACC</t>
  </si>
  <si>
    <t xml:space="preserve">tdbR00000101</t>
  </si>
  <si>
    <t xml:space="preserve">tdbR00000537</t>
  </si>
  <si>
    <t xml:space="preserve">AGCAGAGUGGCGCAGCGGAAGCGUGCUGGGCCCAUAACCCAGAGGUCGAUGGAUCGAAACCAUCCUCUGCU</t>
  </si>
  <si>
    <t xml:space="preserve">tdbR00000039</t>
  </si>
  <si>
    <t xml:space="preserve">Oryctolagus cuniculus</t>
  </si>
  <si>
    <t xml:space="preserve">UCCCGUCUAGUAUAGUGGUGAGUAUAUCCGCCUGUCACGCGGGAGGACCGGGGUUCGAAUCCCCGGACGGGA</t>
  </si>
  <si>
    <t xml:space="preserve">tdbR00000532</t>
  </si>
  <si>
    <t xml:space="preserve">tdbR00000200</t>
  </si>
  <si>
    <t xml:space="preserve">GCCCGGAUAGCUCAGUCGGUAGAGCAUCAGACUUUUAAUCUGAGGGUCCAGGGUUCAAGUCCCUGUUCGGGC</t>
  </si>
  <si>
    <t xml:space="preserve">tdbR00000198</t>
  </si>
  <si>
    <t xml:space="preserve">tdbR00000199</t>
  </si>
  <si>
    <t xml:space="preserve">tdbR00000287</t>
  </si>
  <si>
    <t xml:space="preserve">GCCUCGUUAGCGCAGUAGGUAGCGCGUCAGUCUCAUAAUCUGAAGGUCGUGAGUUCGAUCCUCACACGGGGC</t>
  </si>
  <si>
    <t xml:space="preserve">tdbR00000092</t>
  </si>
  <si>
    <t xml:space="preserve">tdbR00000471</t>
  </si>
  <si>
    <t xml:space="preserve">GUUUCCGUAGUGUAGUGGUUAUCACGUUCGCCUAACACGCGAAAGGUCCCCGGUUCGAAACCGGGCGGAAAC</t>
  </si>
  <si>
    <t xml:space="preserve">tdbR00000037</t>
  </si>
  <si>
    <t xml:space="preserve">Rattus norvegicus</t>
  </si>
  <si>
    <t xml:space="preserve">UCCUCGUUAGUAUAGUGGUGAGUAUCCCCGCUCGUCACGCGGGAGACCGGGGUUCGAUUCCCCGACGGGGA</t>
  </si>
  <si>
    <t xml:space="preserve">tdbR00000469</t>
  </si>
  <si>
    <t xml:space="preserve">tdbR00000038</t>
  </si>
  <si>
    <t xml:space="preserve">tdbR00000341</t>
  </si>
  <si>
    <t xml:space="preserve">tdbR00000059</t>
  </si>
  <si>
    <t xml:space="preserve">UCCCACAUGGUCUAGCGGUUAGGAUUCCUGGUUUUCACCCAGGCGGCCCGGGUUCGACUCCCGGUGUGGGA</t>
  </si>
  <si>
    <t xml:space="preserve">tdbR00000197</t>
  </si>
  <si>
    <t xml:space="preserve">tdbR00000195</t>
  </si>
  <si>
    <t xml:space="preserve">tdbR00000196</t>
  </si>
  <si>
    <t xml:space="preserve">tdbR00000462</t>
  </si>
  <si>
    <t xml:space="preserve">CAGAUUGUAGCUUAAUCACAAAGCAUCUGGCCUACACCCAGAAGAAUUCAUAAAAAUGAACACUUUG</t>
  </si>
  <si>
    <t xml:space="preserve">5-68, 49-65, 50-64, 51-63, 52-62, 53-61</t>
  </si>
  <si>
    <t xml:space="preserve">tdbR00000120</t>
  </si>
  <si>
    <t xml:space="preserve">Gly</t>
  </si>
  <si>
    <t xml:space="preserve">CCC</t>
  </si>
  <si>
    <t xml:space="preserve">Salmonella typhimurium</t>
  </si>
  <si>
    <t xml:space="preserve">GCGGGCGUAGUUCAAUGGUAGAACGAGAGCUUCCCAAGCUCUAUACGAGGGUUCGAUUCCCUUCGCCCGC</t>
  </si>
  <si>
    <t xml:space="preserve">tdbR00000121</t>
  </si>
  <si>
    <t xml:space="preserve">UCC</t>
  </si>
  <si>
    <t xml:space="preserve">GCGGGCAUCGUAUAAUGGCUAUUACCUCAGCCUUCCAAGCUGAUGAUGCGGGUUCGAUUCCCGCUGCCCGC</t>
  </si>
  <si>
    <t xml:space="preserve">tdbR00000141</t>
  </si>
  <si>
    <t xml:space="preserve">CCCA</t>
  </si>
  <si>
    <t xml:space="preserve">GUGGCUAUAGCUCAGUUGGUAGAGCCCUGGAUUGUGAUUCCAGUUGUCGUGGGUUCGAAUCCCAUUAGCCAC</t>
  </si>
  <si>
    <t xml:space="preserve">tdbR00000317</t>
  </si>
  <si>
    <t xml:space="preserve">CGGUGAUUGGCGCAGCCUGGUAGCGCACUUCGUUCGGGACGAAGGGGUCGGAGGUUCGAAUCCUCUAUCACCG</t>
  </si>
  <si>
    <t xml:space="preserve">tdbR00000318</t>
  </si>
  <si>
    <t xml:space="preserve">GGG</t>
  </si>
  <si>
    <t xml:space="preserve">CGGCACGUAGCGCAGCCUGGUAGCGCACCGUCCUGGGGUUGCGGGGGUCGGAGGUUCAAAUCCUCUCGUGCCG</t>
  </si>
  <si>
    <t xml:space="preserve">tdbR00000319</t>
  </si>
  <si>
    <t xml:space="preserve">UGG</t>
  </si>
  <si>
    <t xml:space="preserve">CGGCGAGUAGCGCAGCUUGGUAGCGCAACUGGUUUGGGACCAGUGGGUCGGAGGUUCGAAUCCUCUCUCGCCG</t>
  </si>
  <si>
    <t xml:space="preserve">tdbR00000337</t>
  </si>
  <si>
    <t xml:space="preserve">CUA</t>
  </si>
  <si>
    <t xml:space="preserve">Tetrahymena thermophila</t>
  </si>
  <si>
    <t xml:space="preserve">GGUUCUAUAGUAUAGCGCUUAGUACUGGGGACUCUAAAUCCCUUGACCUGGGUUCGAAUCCCAGUAGGACC</t>
  </si>
  <si>
    <t xml:space="preserve">tdbR00000338</t>
  </si>
  <si>
    <t xml:space="preserve">UUA</t>
  </si>
  <si>
    <t xml:space="preserve">GGUUCCAUAGUAUAGUGGUUAGUACUGGGGACUUUAAAUCCCUUGACCUGGGUUCGAAUCCCAGUGGGACC</t>
  </si>
  <si>
    <t xml:space="preserve">tdbR00000339</t>
  </si>
  <si>
    <t xml:space="preserve">GGUUGUAUGGUGUAGCGGUUAGCACCGAGGACUUUGAAUCCUCUGACCUGGGUUCGAAUCCCAGUACGACC</t>
  </si>
  <si>
    <t xml:space="preserve">tdbR00000523</t>
  </si>
  <si>
    <t xml:space="preserve">AGCAGGGUGGCGAAAUGGAAUCGCGUUGGGCUCAUAACUCAAAAGUCAGAGGAUCGAAACCUCUCUCUGCU</t>
  </si>
  <si>
    <t xml:space="preserve">tdbR00000503</t>
  </si>
  <si>
    <t xml:space="preserve">Thermoplasma acidophilum</t>
  </si>
  <si>
    <t xml:space="preserve">AGCGGGGUGGGGUAGUCAGGAAAUCCGAUGGGCUCAUAACCCGUAGAUCGAUGGUUCAAAUCCAUCCCCCGCU</t>
  </si>
  <si>
    <t xml:space="preserve">tdbR00000272</t>
  </si>
  <si>
    <t xml:space="preserve">GCCGGGGUGGCUCAGCUGGAGGAGCGCCGGACUCAUAAUCCGGAGGUCUCGGGUUCGAUCCCCGAUCCCGGC</t>
  </si>
  <si>
    <t xml:space="preserve">tdbR00000025</t>
  </si>
  <si>
    <t xml:space="preserve">Thermus thermophilus</t>
  </si>
  <si>
    <t xml:space="preserve">GGCCCCGUGGUGUAGUUGGUUAACACACCCGCCUGUCACGUGGGAGAUCGCGGGUUCGAGUCCCGUCGGGGCC</t>
  </si>
  <si>
    <t xml:space="preserve">49-65</t>
  </si>
  <si>
    <t xml:space="preserve">tdbR00000157</t>
  </si>
  <si>
    <t xml:space="preserve">GAU</t>
  </si>
  <si>
    <t xml:space="preserve">GGGCGAUUAGCUCAGCUGGUUAGAGCGCACGCCUGAUAAGCGUGAGGUCGGUGGUUCAAGUCCACCAUCGCCC</t>
  </si>
  <si>
    <t xml:space="preserve">tdbR00000508</t>
  </si>
  <si>
    <t xml:space="preserve">CGCGGGGUGGAGCAGCCUGGUAGCUCGUCGGGCUCAUAACCCGAAGGUCGCCGGUUCAAAUCCGGCCCCCGCA</t>
  </si>
  <si>
    <t xml:space="preserve">tdbR00000509</t>
  </si>
  <si>
    <t xml:space="preserve">CGCGGGGUGGAGCAGCCUGGUAGCUCGUCGGGCUCAUAACCCGAAGGUCGCGGGUUCAAAUCCCGCCCCCGCA</t>
  </si>
  <si>
    <t xml:space="preserve">tdbR00000275</t>
  </si>
  <si>
    <t xml:space="preserve">tdbR00000066</t>
  </si>
  <si>
    <t xml:space="preserve">GCCGAGGUAGCUCAGUUGGUAGAGCAUGCGACUGAAAAUCGCAGUGUCGGCGGUUCGAUUCCGCUCCUCGGC</t>
  </si>
  <si>
    <t xml:space="preserve">tdbR00000016</t>
  </si>
  <si>
    <t xml:space="preserve">Homo sapiens</t>
  </si>
  <si>
    <t xml:space="preserve">GGGGGAUUAGCUCAAAUGGUAGAGCGCUCGCUUAGCAUGCGAGAGGUAGCGGGAUCGAUGCCCGCAUCCUCC</t>
  </si>
  <si>
    <t xml:space="preserve">tdbR00000017</t>
  </si>
  <si>
    <t xml:space="preserve">GGGGAAUUAGCUCAAAUGGUAGAGCGCUCGCUUAGCAUGCGAGAGGUAGCGGGAUCGAUGCCCGCAUUCUCC</t>
  </si>
  <si>
    <t xml:space="preserve">tdbR00000345</t>
  </si>
  <si>
    <t xml:space="preserve">NUG</t>
  </si>
  <si>
    <t xml:space="preserve">GGCCCCAUGGUGUAAUGGUUAGCACUCUGGACUUUGAAUCCAGCGAUCCGAGUUCAAAUCUCGGUGGGACC</t>
  </si>
  <si>
    <t xml:space="preserve">3-70</t>
  </si>
  <si>
    <t xml:space="preserve">tdbR00000346</t>
  </si>
  <si>
    <t xml:space="preserve">tdbR00000062</t>
  </si>
  <si>
    <t xml:space="preserve">tdbR00000149</t>
  </si>
  <si>
    <t xml:space="preserve">GCCGUGAUCGUAUAGUGGUUAGUACUCUGCGUUGUGGCCGCAGCAACCUCGGUUCGAAUCCGAGUCACGGC</t>
  </si>
  <si>
    <t xml:space="preserve">tdbR00000289</t>
  </si>
  <si>
    <t xml:space="preserve">tdbR00000540</t>
  </si>
  <si>
    <t xml:space="preserve">tdbR00000103</t>
  </si>
  <si>
    <t xml:space="preserve">tdbR00000566</t>
  </si>
  <si>
    <t xml:space="preserve">CCUUCGAUAGCUCAGCUGGUAGAGCGGAGGACUGUAGAUCCUUAGGUCGCUGGUUCGAUUCCGGCUCGAAGG</t>
  </si>
  <si>
    <t xml:space="preserve">tdbR00000567</t>
  </si>
  <si>
    <t xml:space="preserve">CCUUCGAUAGCUCAGUUGGUAGAGCGGAGGACUGUAGAUCCUUAGGUCGCUGGUUCGAUUCCGGCUCGAAGG</t>
  </si>
  <si>
    <t xml:space="preserve">tdbR00001067</t>
  </si>
  <si>
    <t xml:space="preserve">UGC</t>
  </si>
  <si>
    <t xml:space="preserve">Escherichia coli</t>
  </si>
  <si>
    <t xml:space="preserve">GGGGCUAUAGCUCAGCUGGGAGAGCGCCUGCUUUGCACGCAGGAGGUCUGCGGUUCGAUCCCGCAUAGCUCC</t>
  </si>
  <si>
    <t xml:space="preserve">tdbR00001091</t>
  </si>
  <si>
    <t xml:space="preserve">CGCGGGGUGGAGCAGCCUGGUAGCUCGUCGGGCUCAUAACCCGAAGAUCGUCGGUUCAAAUCCGGCCCCCGCA</t>
  </si>
  <si>
    <t xml:space="preserve">tdbR00001092</t>
  </si>
  <si>
    <t xml:space="preserve">GGCUACGUAGCUCAGUUGGUUAGAGCACAUCACUCAUAAUGAUGGGGUCACAGGUUCGAAUCCCGUCGUAGCC</t>
  </si>
  <si>
    <t xml:space="preserve">Key</t>
  </si>
  <si>
    <t xml:space="preserve">Canonical position</t>
  </si>
  <si>
    <t xml:space="preserve">Actual position</t>
  </si>
  <si>
    <t xml:space="preserve">Nucleotide</t>
  </si>
  <si>
    <t xml:space="preserve">Region</t>
  </si>
  <si>
    <t xml:space="preserve">1</t>
  </si>
  <si>
    <t xml:space="preserve">Acceptor stem</t>
  </si>
  <si>
    <t xml:space="preserve">2</t>
  </si>
  <si>
    <t xml:space="preserve">C</t>
  </si>
  <si>
    <t xml:space="preserve">3</t>
  </si>
  <si>
    <t xml:space="preserve">4</t>
  </si>
  <si>
    <t xml:space="preserve">5</t>
  </si>
  <si>
    <t xml:space="preserve">6</t>
  </si>
  <si>
    <t xml:space="preserve">7</t>
  </si>
  <si>
    <t xml:space="preserve">8</t>
  </si>
  <si>
    <t xml:space="preserve">Position 8</t>
  </si>
  <si>
    <t xml:space="preserve">9</t>
  </si>
  <si>
    <t xml:space="preserve">Position 9</t>
  </si>
  <si>
    <t xml:space="preserve">10</t>
  </si>
  <si>
    <t xml:space="preserve">D-stem</t>
  </si>
  <si>
    <t xml:space="preserve">11</t>
  </si>
  <si>
    <t xml:space="preserve">12</t>
  </si>
  <si>
    <t xml:space="preserve">13</t>
  </si>
  <si>
    <t xml:space="preserve">14</t>
  </si>
  <si>
    <t xml:space="preserve">D-loop</t>
  </si>
  <si>
    <t xml:space="preserve">15</t>
  </si>
  <si>
    <t xml:space="preserve">16</t>
  </si>
  <si>
    <t xml:space="preserve">17</t>
  </si>
  <si>
    <t xml:space="preserve">18</t>
  </si>
  <si>
    <t xml:space="preserve">19</t>
  </si>
  <si>
    <t xml:space="preserve">20</t>
  </si>
  <si>
    <t xml:space="preserve">20a</t>
  </si>
  <si>
    <t xml:space="preserve">21</t>
  </si>
  <si>
    <t xml:space="preserve">22</t>
  </si>
  <si>
    <t xml:space="preserve">23</t>
  </si>
  <si>
    <t xml:space="preserve">24</t>
  </si>
  <si>
    <t xml:space="preserve">25</t>
  </si>
  <si>
    <t xml:space="preserve">26</t>
  </si>
  <si>
    <t xml:space="preserve">Position 26</t>
  </si>
  <si>
    <t xml:space="preserve">27</t>
  </si>
  <si>
    <t xml:space="preserve">Anticodon stem</t>
  </si>
  <si>
    <t xml:space="preserve">28</t>
  </si>
  <si>
    <t xml:space="preserve">29</t>
  </si>
  <si>
    <t xml:space="preserve">30</t>
  </si>
  <si>
    <t xml:space="preserve">31</t>
  </si>
  <si>
    <t xml:space="preserve">32</t>
  </si>
  <si>
    <t xml:space="preserve">Anticodon loop</t>
  </si>
  <si>
    <t xml:space="preserve">33</t>
  </si>
  <si>
    <t xml:space="preserve">34</t>
  </si>
  <si>
    <t xml:space="preserve">35</t>
  </si>
  <si>
    <t xml:space="preserve">36</t>
  </si>
  <si>
    <t xml:space="preserve">37</t>
  </si>
  <si>
    <t xml:space="preserve">38</t>
  </si>
  <si>
    <t xml:space="preserve">39</t>
  </si>
  <si>
    <t xml:space="preserve">40</t>
  </si>
  <si>
    <t xml:space="preserve">41</t>
  </si>
  <si>
    <t xml:space="preserve">42</t>
  </si>
  <si>
    <t xml:space="preserve">43</t>
  </si>
  <si>
    <t xml:space="preserve">44</t>
  </si>
  <si>
    <t xml:space="preserve">Variable loop</t>
  </si>
  <si>
    <t xml:space="preserve">45</t>
  </si>
  <si>
    <t xml:space="preserve">46</t>
  </si>
  <si>
    <t xml:space="preserve">47</t>
  </si>
  <si>
    <t xml:space="preserve">48</t>
  </si>
  <si>
    <t xml:space="preserve">49</t>
  </si>
  <si>
    <t xml:space="preserve">T-stem</t>
  </si>
  <si>
    <t xml:space="preserve">50</t>
  </si>
  <si>
    <t xml:space="preserve">51</t>
  </si>
  <si>
    <t xml:space="preserve">52</t>
  </si>
  <si>
    <t xml:space="preserve">53</t>
  </si>
  <si>
    <t xml:space="preserve">54</t>
  </si>
  <si>
    <t xml:space="preserve">TΨC-loop</t>
  </si>
  <si>
    <t xml:space="preserve">55</t>
  </si>
  <si>
    <t xml:space="preserve">56</t>
  </si>
  <si>
    <t xml:space="preserve">57</t>
  </si>
  <si>
    <t xml:space="preserve">58</t>
  </si>
  <si>
    <t xml:space="preserve">59</t>
  </si>
  <si>
    <t xml:space="preserve">60</t>
  </si>
  <si>
    <t xml:space="preserve">61</t>
  </si>
  <si>
    <t xml:space="preserve">62</t>
  </si>
  <si>
    <t xml:space="preserve">63</t>
  </si>
  <si>
    <t xml:space="preserve">64</t>
  </si>
  <si>
    <t xml:space="preserve">65</t>
  </si>
  <si>
    <t xml:space="preserve">66</t>
  </si>
  <si>
    <t xml:space="preserve">67</t>
  </si>
  <si>
    <t xml:space="preserve">68</t>
  </si>
  <si>
    <t xml:space="preserve">69</t>
  </si>
  <si>
    <t xml:space="preserve">70</t>
  </si>
  <si>
    <t xml:space="preserve">71</t>
  </si>
  <si>
    <t xml:space="preserve">72</t>
  </si>
  <si>
    <t xml:space="preserve">17a</t>
  </si>
  <si>
    <t xml:space="preserve">e1</t>
  </si>
  <si>
    <t xml:space="preserve">e2</t>
  </si>
  <si>
    <t xml:space="preserve">e3</t>
  </si>
  <si>
    <t xml:space="preserve">e4</t>
  </si>
  <si>
    <t xml:space="preserve">e5</t>
  </si>
  <si>
    <t xml:space="preserve">e6</t>
  </si>
  <si>
    <t xml:space="preserve">e7</t>
  </si>
  <si>
    <t xml:space="preserve">e8</t>
  </si>
  <si>
    <t xml:space="preserve">e9</t>
  </si>
  <si>
    <t xml:space="preserve">e10</t>
  </si>
  <si>
    <t xml:space="preserve">Element</t>
  </si>
  <si>
    <t xml:space="preserve">Canonical pair</t>
  </si>
  <si>
    <t xml:space="preserve">Actual pos (5′)</t>
  </si>
  <si>
    <t xml:space="preserve">Actual pos (3′)</t>
  </si>
  <si>
    <t xml:space="preserve">Nt (5′)</t>
  </si>
  <si>
    <t xml:space="preserve">Nt (3′)</t>
  </si>
  <si>
    <t xml:space="preserve">Pair</t>
  </si>
  <si>
    <t xml:space="preserve">G count</t>
  </si>
  <si>
    <t xml:space="preserve">C count</t>
  </si>
  <si>
    <t xml:space="preserve">G+C count</t>
  </si>
  <si>
    <t xml:space="preserve">1-72</t>
  </si>
  <si>
    <t xml:space="preserve">2-71</t>
  </si>
  <si>
    <t xml:space="preserve">4-69</t>
  </si>
  <si>
    <t xml:space="preserve">6-67</t>
  </si>
  <si>
    <t xml:space="preserve">7-66</t>
  </si>
  <si>
    <t xml:space="preserve">10-25</t>
  </si>
  <si>
    <t xml:space="preserve">11-24</t>
  </si>
  <si>
    <t xml:space="preserve">27-43</t>
  </si>
  <si>
    <t xml:space="preserve">28-42</t>
  </si>
  <si>
    <t xml:space="preserve">30-40</t>
  </si>
  <si>
    <t xml:space="preserve">51-63</t>
  </si>
  <si>
    <t xml:space="preserve">52-62</t>
  </si>
  <si>
    <t xml:space="preserve">53-61</t>
  </si>
  <si>
    <t xml:space="preserve">3D (tertiary) BP</t>
  </si>
  <si>
    <t xml:space="preserve">8-14</t>
  </si>
  <si>
    <t xml:space="preserve">15-48</t>
  </si>
  <si>
    <t xml:space="preserve">18-55</t>
  </si>
  <si>
    <t xml:space="preserve">19-56</t>
  </si>
  <si>
    <t xml:space="preserve">26-44</t>
  </si>
  <si>
    <t xml:space="preserve">32-38</t>
  </si>
  <si>
    <t xml:space="preserve">54-58</t>
  </si>
  <si>
    <t xml:space="preserve">Loop / region</t>
  </si>
  <si>
    <t xml:space="preserve">Canonical positions</t>
  </si>
  <si>
    <t xml:space="preserve">Actual positions</t>
  </si>
  <si>
    <t xml:space="preserve">Loop sequence (5′→3′)</t>
  </si>
  <si>
    <t xml:space="preserve">Length</t>
  </si>
  <si>
    <t xml:space="preserve">G+C %</t>
  </si>
  <si>
    <t xml:space="preserve">14–21</t>
  </si>
  <si>
    <t xml:space="preserve">14–22</t>
  </si>
  <si>
    <t xml:space="preserve">AGCUGGACA</t>
  </si>
  <si>
    <t xml:space="preserve">32–38</t>
  </si>
  <si>
    <t xml:space="preserve">33–39</t>
  </si>
  <si>
    <t xml:space="preserve">CUCAUAA</t>
  </si>
  <si>
    <t xml:space="preserve">44–48</t>
  </si>
  <si>
    <t xml:space="preserve">45–49</t>
  </si>
  <si>
    <t xml:space="preserve">AGAUC</t>
  </si>
  <si>
    <t xml:space="preserve">54–60</t>
  </si>
  <si>
    <t xml:space="preserve">55–61</t>
  </si>
  <si>
    <t xml:space="preserve">UUCGGAG</t>
  </si>
  <si>
    <t xml:space="preserve">Positions 8, 9, 26</t>
  </si>
  <si>
    <t xml:space="preserve">8, 9, 26</t>
  </si>
  <si>
    <t xml:space="preserve">8, 9, 27</t>
  </si>
  <si>
    <t xml:space="preserve">AGCUUGGUA</t>
  </si>
  <si>
    <t xml:space="preserve">UUCGGGU</t>
  </si>
  <si>
    <t xml:space="preserve">45–48</t>
  </si>
  <si>
    <t xml:space="preserve">UAAC</t>
  </si>
  <si>
    <t xml:space="preserve">UUCGAAU</t>
  </si>
  <si>
    <t xml:space="preserve">UGU</t>
  </si>
  <si>
    <t xml:space="preserve">14–23</t>
  </si>
  <si>
    <t xml:space="preserve">AGCCAGGAGA</t>
  </si>
  <si>
    <t xml:space="preserve">34–40</t>
  </si>
  <si>
    <t xml:space="preserve">46–50</t>
  </si>
  <si>
    <t xml:space="preserve">56–62</t>
  </si>
  <si>
    <t xml:space="preserve">UUCAAAU</t>
  </si>
  <si>
    <t xml:space="preserve">8, 9, 28</t>
  </si>
  <si>
    <t xml:space="preserve">14–20</t>
  </si>
  <si>
    <t xml:space="preserve">AGCGGUA</t>
  </si>
  <si>
    <t xml:space="preserve">31–37</t>
  </si>
  <si>
    <t xml:space="preserve">UUCGCAA</t>
  </si>
  <si>
    <t xml:space="preserve">43–47</t>
  </si>
  <si>
    <t xml:space="preserve">AGGCC</t>
  </si>
  <si>
    <t xml:space="preserve">53–59</t>
  </si>
  <si>
    <t xml:space="preserve">8, 9, 25</t>
  </si>
  <si>
    <t xml:space="preserve">UAG</t>
  </si>
  <si>
    <t xml:space="preserve">AGCUAGGAGA</t>
  </si>
  <si>
    <t xml:space="preserve">AGCUUGGCCA</t>
  </si>
  <si>
    <t xml:space="preserve">UUCGAGA</t>
  </si>
  <si>
    <t xml:space="preserve">46–60</t>
  </si>
  <si>
    <t xml:space="preserve">GUUCCACACGGACUC</t>
  </si>
  <si>
    <t xml:space="preserve">66–72</t>
  </si>
  <si>
    <t xml:space="preserve">UUGGUAA</t>
  </si>
  <si>
    <t xml:space="preserve">AGACC</t>
  </si>
  <si>
    <t xml:space="preserve">AGUCCGGUUA</t>
  </si>
  <si>
    <t xml:space="preserve">UUCACAC</t>
  </si>
  <si>
    <t xml:space="preserve">AGGUC</t>
  </si>
  <si>
    <t xml:space="preserve">UUGAACU</t>
  </si>
  <si>
    <t xml:space="preserve">AGUCAGGCUA</t>
  </si>
  <si>
    <t xml:space="preserve">UUCACAU</t>
  </si>
  <si>
    <t xml:space="preserve">UGA</t>
  </si>
  <si>
    <t xml:space="preserve">UUGACAU</t>
  </si>
  <si>
    <t xml:space="preserve">AGUGGCUA</t>
  </si>
  <si>
    <t xml:space="preserve">CUUUCAC</t>
  </si>
  <si>
    <t xml:space="preserve">44–47</t>
  </si>
  <si>
    <t xml:space="preserve">AGGC</t>
  </si>
  <si>
    <t xml:space="preserve">UUCGAUU</t>
  </si>
  <si>
    <t xml:space="preserve">AGUGGUUA</t>
  </si>
  <si>
    <t xml:space="preserve">UUGUGGC</t>
  </si>
  <si>
    <t xml:space="preserve">AGUGGAA</t>
  </si>
  <si>
    <t xml:space="preserve">CCCAUAA</t>
  </si>
  <si>
    <t xml:space="preserve">AUCGAAA</t>
  </si>
  <si>
    <t xml:space="preserve">AGUCGGUA</t>
  </si>
  <si>
    <t xml:space="preserve">CUUUUAA</t>
  </si>
  <si>
    <t xml:space="preserve">GGGUC</t>
  </si>
  <si>
    <t xml:space="preserve">UUCAAGU</t>
  </si>
  <si>
    <t xml:space="preserve">UAA</t>
  </si>
  <si>
    <t xml:space="preserve">CUCUUAA</t>
  </si>
  <si>
    <t xml:space="preserve">UUCGAGC</t>
  </si>
  <si>
    <t xml:space="preserve">AGUUGGGA</t>
  </si>
  <si>
    <t xml:space="preserve">CUGAAGA</t>
  </si>
  <si>
    <t xml:space="preserve">UUCAAUC</t>
  </si>
  <si>
    <t xml:space="preserve">AGUUGGUA</t>
  </si>
  <si>
    <t xml:space="preserve">CUGUAGA</t>
  </si>
  <si>
    <t xml:space="preserve">AGCGGUUA</t>
  </si>
  <si>
    <t xml:space="preserve">UUCGAAC</t>
  </si>
  <si>
    <t xml:space="preserve">CUAACAC</t>
  </si>
  <si>
    <t xml:space="preserve">UUCGAUC</t>
  </si>
  <si>
    <t xml:space="preserve">UUUACAC</t>
  </si>
  <si>
    <t xml:space="preserve">AGAUGGUA</t>
  </si>
  <si>
    <t xml:space="preserve">UUAGCAU</t>
  </si>
  <si>
    <t xml:space="preserve">AGGUA</t>
  </si>
  <si>
    <t xml:space="preserve">AUCGAUA</t>
  </si>
  <si>
    <t xml:space="preserve">AGUUGGUUA</t>
  </si>
  <si>
    <t xml:space="preserve">CUAAUAA</t>
  </si>
  <si>
    <t xml:space="preserve">CUGUCAC</t>
  </si>
  <si>
    <t xml:space="preserve">UGAC</t>
  </si>
  <si>
    <t xml:space="preserve">UUCAUUU</t>
  </si>
  <si>
    <t xml:space="preserve">CUUUGAA</t>
  </si>
  <si>
    <t xml:space="preserve">AAAC</t>
  </si>
  <si>
    <t xml:space="preserve">UAU</t>
  </si>
  <si>
    <t xml:space="preserve">AACGGUUA</t>
  </si>
  <si>
    <t xml:space="preserve">AGAU</t>
  </si>
  <si>
    <t xml:space="preserve">AGUGGAUA</t>
  </si>
  <si>
    <t xml:space="preserve">CUCUCAC</t>
  </si>
  <si>
    <t xml:space="preserve">AGAC</t>
  </si>
  <si>
    <t xml:space="preserve">UGGUC</t>
  </si>
  <si>
    <t xml:space="preserve">AGUGGCA</t>
  </si>
  <si>
    <t xml:space="preserve">CUCGUAA</t>
  </si>
  <si>
    <t xml:space="preserve">AGUGGUA</t>
  </si>
  <si>
    <t xml:space="preserve">UUCCAAA</t>
  </si>
  <si>
    <t xml:space="preserve">UUCUUAA</t>
  </si>
  <si>
    <t xml:space="preserve">UUCGAGU</t>
  </si>
  <si>
    <t xml:space="preserve">CGGC</t>
  </si>
  <si>
    <t xml:space="preserve">AAUGGAUA</t>
  </si>
  <si>
    <t xml:space="preserve">CUACGGA</t>
  </si>
  <si>
    <t xml:space="preserve">AGAUU</t>
  </si>
  <si>
    <t xml:space="preserve">UUCGACU</t>
  </si>
  <si>
    <t xml:space="preserve">AAUGGUUA</t>
  </si>
  <si>
    <t xml:space="preserve">CUCUGAA</t>
  </si>
  <si>
    <t xml:space="preserve">CGAU</t>
  </si>
  <si>
    <t xml:space="preserve">AGCGGAA</t>
  </si>
  <si>
    <t xml:space="preserve">AGUGGUGA</t>
  </si>
  <si>
    <t xml:space="preserve">AGGAC</t>
  </si>
  <si>
    <t xml:space="preserve">AGUAGGUA</t>
  </si>
  <si>
    <t xml:space="preserve">UUCGAAA</t>
  </si>
  <si>
    <t xml:space="preserve">UCGUCAC</t>
  </si>
  <si>
    <t xml:space="preserve">UUUUCAC</t>
  </si>
  <si>
    <t xml:space="preserve">AAUCACA</t>
  </si>
  <si>
    <t xml:space="preserve">CCUACAC</t>
  </si>
  <si>
    <t xml:space="preserve">48–48</t>
  </si>
  <si>
    <t xml:space="preserve">43–43</t>
  </si>
  <si>
    <t xml:space="preserve">49–55</t>
  </si>
  <si>
    <t xml:space="preserve">CAUAAAA</t>
  </si>
  <si>
    <t xml:space="preserve">AAUGGUA</t>
  </si>
  <si>
    <t xml:space="preserve">UUCCCAA</t>
  </si>
  <si>
    <t xml:space="preserve">43–46</t>
  </si>
  <si>
    <t xml:space="preserve">AUAC</t>
  </si>
  <si>
    <t xml:space="preserve">52–58</t>
  </si>
  <si>
    <t xml:space="preserve">AAUGGCUA</t>
  </si>
  <si>
    <t xml:space="preserve">CUUCCAA</t>
  </si>
  <si>
    <t xml:space="preserve">UGAU</t>
  </si>
  <si>
    <t xml:space="preserve">UUGUGAU</t>
  </si>
  <si>
    <t xml:space="preserve">UUGUC</t>
  </si>
  <si>
    <t xml:space="preserve">AGCCUGGUA</t>
  </si>
  <si>
    <t xml:space="preserve">UUCGGGA</t>
  </si>
  <si>
    <t xml:space="preserve">CUGGGGU</t>
  </si>
  <si>
    <t xml:space="preserve">UUUGGGA</t>
  </si>
  <si>
    <t xml:space="preserve">AGCGCUUA</t>
  </si>
  <si>
    <t xml:space="preserve">CUCUAAA</t>
  </si>
  <si>
    <t xml:space="preserve">CUUUAAA</t>
  </si>
  <si>
    <t xml:space="preserve">AAUGGAA</t>
  </si>
  <si>
    <t xml:space="preserve">AAGUC</t>
  </si>
  <si>
    <t xml:space="preserve">AGUCAGGAA</t>
  </si>
  <si>
    <t xml:space="preserve">AGCUGGAG</t>
  </si>
  <si>
    <t xml:space="preserve">AGCUGGUUA</t>
  </si>
  <si>
    <t xml:space="preserve">CUGAUAA</t>
  </si>
  <si>
    <t xml:space="preserve">CUGAAAA</t>
  </si>
  <si>
    <t xml:space="preserve">GUGUC</t>
  </si>
  <si>
    <t xml:space="preserve">AAAUGGUA</t>
  </si>
  <si>
    <t xml:space="preserve">AUCGAUG</t>
  </si>
  <si>
    <t xml:space="preserve">CAAC</t>
  </si>
  <si>
    <t xml:space="preserve">UCU</t>
  </si>
  <si>
    <t xml:space="preserve">AGCUGGUA</t>
  </si>
  <si>
    <t xml:space="preserve">AGCUGGGA</t>
  </si>
  <si>
    <t xml:space="preserve">UUUGCAC</t>
  </si>
  <si>
    <t xml:space="preserve">Method and assumptions</t>
  </si>
  <si>
    <t xml:space="preserve">Input: random_100_T_psi_c_trna.xlsx - tRNA sequences and dot-bracket structures from the T-psi-C database (16 species). 96 unique tRNAs analysed (see tRNA_Info sheet for organism, amino acid and anticodon).</t>
  </si>
  <si>
    <t xml:space="preserve">Only positions 1-72 are analysed, as requested: the discriminator base 73 and the 3′ CCA (74-76) are excluded from every count, including the overall G+C. Excluded nucleotides are listed per tRNA on the tRNA_Info sheet.</t>
  </si>
  <si>
    <t xml:space="preserve">Positions use standard canonical (Sprinzl) numbering as given: acceptor 1-7/66-72, D-stem 10-13/22-25, AC-stem 27-31/39-43, T-stem 49-53/61-65, 3D pairs 8-14, 15-48, 18-55, 19-56, 26-44, 32-38, 54-58.</t>
  </si>
  <si>
    <t xml:space="preserve">Mapping: position 1 = first nucleotide of the acceptor stem in the dot-bracket; position 72 = its partner. T-stem (5 bp) and TΨC-loop (7 nt) lie immediately 5′ of 66; anticodon loop = loop of the second hairpin (7 nt), AC-stem 5 bp each side; D-stem 3′ strand = the 4 nt before position 26.</t>
  </si>
  <si>
    <t xml:space="preserve">Extra nucleotides are absorbed in the D-loop (labelled 17a, 20a, ...) and the variable loop (labelled e1, e2, ... between 45 and 46). Long variable arms (Leu, Ser, Tyr in bacteria) are counted in the variable loop. In the D-loop, 18-19 = the conserved GG after position 15. Variable loop: 44 = first nt after the AC-stem, 48 = last nt before the T-stem.</t>
  </si>
  <si>
    <t xml:space="preserve">Check against the database structures: the canonical stems agree with the dot-bracket pairs, apart from 13-22 left unpaired in 16 tRNAs (counted as D-stem as specified) and a few single mismatches listed on tRNA_Info.</t>
  </si>
  <si>
    <t xml:space="preserve">Special case - initiator tRNAs (tdbR00000508, tdbR00000509, tdbR00000275, tdbR00001091): position 1 (C) is unpaired with A72 (the C1·A72 mismatch typical of bacterial initiator tRNA-fMet), so it is shown as unpaired in the database structure. It is still counted as position 1 of the acceptor stem.</t>
  </si>
  <si>
    <t xml:space="preserve">Special case - tdbR00000147 (His-GUG, Drosophila): it carries the extra 5′ G(-1) typical of tRNA-His. G(-1) is not part of 1-72 and is excluded (listed on tRNA_Info).</t>
  </si>
  <si>
    <t xml:space="preserve">Special case - tdbR00000462 (Val-UAC, Rattus norvegicus) is a mitochondrial tRNA with a non-standard T-arm (4-bp stem, 6-nt loop) and a 1-nt bulge in the acceptor stem in the database structure. Canonical 1-72 numbering was still applied to keep it comparable; its T-stem/TΨC-loop split is therefore approximate. Consider excluding it if the reviewer asks for cytoplasmic tRNAs only.</t>
  </si>
  <si>
    <t xml:space="preserve">In tdbR00000462 the variable loop is a single nucleotide (labelled 48), so 3D pair 26-44 has no partner and is shown as "-" (counted as 0 G/C).</t>
  </si>
  <si>
    <t xml:space="preserve">Special case - tdbR00000025 (Asp-GUC, Thermus) has 73 nt between positions 1 and 72 in the database structure (4-bp T-stem plus an unpaired nt before the acceptor 3′ strand); canonical mapping places that extra nt in the T-stem.</t>
  </si>
  <si>
    <t xml:space="preserve">Special case - 7 tRNAs (Loligo Lys-UUU x3, Met-CAU rabbit and human, Pro-GGG Salmonella) have only a 4-bp anticodon stem in the database structure (31-39 unpaired, 9-nt loop). Canonical numbering was applied: the central 7 nt are the anticodon loop 32-38 and 31/39 are counted in the AC-stem.</t>
  </si>
  <si>
    <t xml:space="preserve">Duplicates removed: 5 rows in the input repeat an ID already listed with the same sequence and structure (tdbR00000204, tdbR00000203, tdbR00000205, tdbR00000206, tdbR00000563); each was counted once. Some different IDs share identical sequences (database entries for different isoacceptors/sources); these were kept, as in the database.</t>
  </si>
  <si>
    <t xml:space="preserve">ΔGC = GC_stem − GC_nonstem (columns AF-AJ of GC_Summary). GC_stem = G+C % of the 4 stems (42 nt: acceptor 14, D 8, AC 10, T 10). GC_nonstem = G+C % of every other nucleotide in the 1-72 region, i.e. the 4 loops + positions 8, 9, 26 (length − 42 nt). Stems and non-stem together cover the whole 1-72 region with no overlap. ΔGC is shown in percentage points (e.g. 30.0% = stems are 30 points richer in G+C than non-stem regions).</t>
  </si>
  <si>
    <t xml:space="preserve">Positions 8, 9 and 26 are counted as their own group: G, C and G+C in columns X-AD of GC_Summary and as a separate row in Loops. 4 stems (42 nt) + 4 loops + 8, 9, 26 (3 nt) = full length 1-72 region, and their G+C adds up to the overall G+C (checked in column AE).</t>
  </si>
  <si>
    <t xml:space="preserve">Overlap: the 3D partners 14, 15, 18, 19, 32, 38, 44, 48, 54, 55, 58 sit in loops, so a nucleotide can count in both the "stems + 3D" total and the "4 loops" total. Positions 8 and 26 are also partners in 3D pairs 8-14 and 26-44.</t>
  </si>
  <si>
    <t xml:space="preserve">All counts are live formulas (COUNTIFS/SUMIFS/INDEX-MATCH) on the Positions sheet; editing a nucleotide there updates every table. Compatible with Excel 2007.</t>
  </si>
</sst>
</file>

<file path=xl/styles.xml><?xml version="1.0" encoding="utf-8"?>
<styleSheet xmlns="http://schemas.openxmlformats.org/spreadsheetml/2006/main">
  <numFmts count="4">
    <numFmt numFmtId="164" formatCode="General"/>
    <numFmt numFmtId="165" formatCode="General"/>
    <numFmt numFmtId="166" formatCode="0.0%"/>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1"/>
      <color rgb="FFFFFFFF"/>
      <name val="Arial"/>
      <family val="0"/>
      <charset val="1"/>
    </font>
    <font>
      <b val="true"/>
      <sz val="11"/>
      <name val="Arial"/>
      <family val="0"/>
      <charset val="1"/>
    </font>
    <font>
      <sz val="11"/>
      <name val="Arial"/>
      <family val="0"/>
      <charset val="1"/>
    </font>
    <font>
      <i val="true"/>
      <sz val="9"/>
      <name val="Arial"/>
      <family val="0"/>
      <charset val="1"/>
    </font>
    <font>
      <b val="true"/>
      <sz val="12"/>
      <name val="Arial"/>
      <family val="0"/>
      <charset val="1"/>
    </font>
    <font>
      <sz val="10"/>
      <name val="Arial"/>
      <family val="0"/>
      <charset val="1"/>
    </font>
  </fonts>
  <fills count="9">
    <fill>
      <patternFill patternType="none"/>
    </fill>
    <fill>
      <patternFill patternType="gray125"/>
    </fill>
    <fill>
      <patternFill patternType="solid">
        <fgColor rgb="FF1F4E78"/>
        <bgColor rgb="FF003366"/>
      </patternFill>
    </fill>
    <fill>
      <patternFill patternType="solid">
        <fgColor rgb="FFE2EFDA"/>
        <bgColor rgb="FFEDEDED"/>
      </patternFill>
    </fill>
    <fill>
      <patternFill patternType="solid">
        <fgColor rgb="FFFFF2CC"/>
        <bgColor rgb="FFFCE4D6"/>
      </patternFill>
    </fill>
    <fill>
      <patternFill patternType="solid">
        <fgColor rgb="FFDDEBF7"/>
        <bgColor rgb="FFEDEDED"/>
      </patternFill>
    </fill>
    <fill>
      <patternFill patternType="solid">
        <fgColor rgb="FFEDEDED"/>
        <bgColor rgb="FFF2E6FA"/>
      </patternFill>
    </fill>
    <fill>
      <patternFill patternType="solid">
        <fgColor rgb="FFFCE4D6"/>
        <bgColor rgb="FFFFF2CC"/>
      </patternFill>
    </fill>
    <fill>
      <patternFill patternType="solid">
        <fgColor rgb="FFF2E6F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6" fontId="6" fillId="4" borderId="1" xfId="0" applyFont="true" applyBorder="true" applyAlignment="true" applyProtection="false">
      <alignment horizontal="center" vertical="bottom" textRotation="0" wrapText="false" indent="0" shrinkToFit="false"/>
      <protection locked="true" hidden="false"/>
    </xf>
    <xf numFmtId="167" fontId="6" fillId="5" borderId="1" xfId="0" applyFont="true" applyBorder="true" applyAlignment="true" applyProtection="false">
      <alignment horizontal="center" vertical="bottom" textRotation="0" wrapText="false" indent="0" shrinkToFit="false"/>
      <protection locked="true" hidden="false"/>
    </xf>
    <xf numFmtId="166" fontId="6" fillId="5"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6" fillId="5"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center"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6" fontId="7" fillId="3"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2E6F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2E6FA"/>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30" min="2" style="0" width="10.51"/>
    <col collapsed="false" customWidth="true" hidden="false" outlineLevel="0" max="31" min="31" style="0" width="16"/>
    <col collapsed="false" customWidth="true" hidden="false" outlineLevel="0" max="35" min="32" style="0" width="10.51"/>
    <col collapsed="false" customWidth="true" hidden="false" outlineLevel="0" max="36" min="36" style="0" width="14"/>
  </cols>
  <sheetData>
    <row r="1" customFormat="false" ht="16.15" hidden="false" customHeight="false" outlineLevel="0" collapsed="false">
      <c r="A1" s="1" t="s">
        <v>0</v>
      </c>
    </row>
    <row r="3" customFormat="false" ht="4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row>
    <row r="4" customFormat="false" ht="15" hidden="false" customHeight="false" outlineLevel="0" collapsed="false">
      <c r="A4" s="3" t="s">
        <v>37</v>
      </c>
      <c r="B4" s="4" t="n">
        <f aca="false">COUNTIF(Positions!$B$2:$B$6912,A4)</f>
        <v>73</v>
      </c>
      <c r="C4" s="4" t="n">
        <f aca="false">COUNTIFS(Positions!$B$2:$B$6912,A4,Positions!$E$2:$E$6912,"G")</f>
        <v>26</v>
      </c>
      <c r="D4" s="4" t="n">
        <f aca="false">COUNTIFS(Positions!$B$2:$B$6912,A4,Positions!$E$2:$E$6912,"C")</f>
        <v>23</v>
      </c>
      <c r="E4" s="3" t="n">
        <f aca="false">C4+D4</f>
        <v>49</v>
      </c>
      <c r="F4" s="5" t="n">
        <f aca="false">E4/B4</f>
        <v>0.671232876712329</v>
      </c>
      <c r="G4" s="4" t="n">
        <f aca="false">SUMIFS(Stems_3D_BP!$K$2:$K$2689,Stems_3D_BP!$A$2:$A$2689,$A4,Stems_3D_BP!$B$2:$B$2689,"Acceptor stem")</f>
        <v>14</v>
      </c>
      <c r="H4" s="4" t="n">
        <f aca="false">SUMIFS(Stems_3D_BP!$K$2:$K$2689,Stems_3D_BP!$A$2:$A$2689,$A4,Stems_3D_BP!$B$2:$B$2689,"D-stem")</f>
        <v>4</v>
      </c>
      <c r="I4" s="4" t="n">
        <f aca="false">SUMIFS(Stems_3D_BP!$K$2:$K$2689,Stems_3D_BP!$A$2:$A$2689,$A4,Stems_3D_BP!$B$2:$B$2689,"Anticodon stem")</f>
        <v>8</v>
      </c>
      <c r="J4" s="4" t="n">
        <f aca="false">SUMIFS(Stems_3D_BP!$K$2:$K$2689,Stems_3D_BP!$A$2:$A$2689,$A4,Stems_3D_BP!$B$2:$B$2689,"T-stem")</f>
        <v>8</v>
      </c>
      <c r="K4" s="3" t="n">
        <f aca="false">SUM(G4:J4)</f>
        <v>34</v>
      </c>
      <c r="L4" s="5" t="n">
        <f aca="false">K4/42</f>
        <v>0.80952380952381</v>
      </c>
      <c r="M4" s="4" t="n">
        <f aca="false">SUMIFS(Stems_3D_BP!$K$2:$K$2689,Stems_3D_BP!$A$2:$A$2689,$A4,Stems_3D_BP!$B$2:$B$2689,"3D (tertiary) BP")</f>
        <v>8</v>
      </c>
      <c r="N4" s="6" t="n">
        <f aca="false">M4/14</f>
        <v>0.571428571428571</v>
      </c>
      <c r="O4" s="3" t="n">
        <f aca="false">K4+M4</f>
        <v>42</v>
      </c>
      <c r="P4" s="5" t="n">
        <f aca="false">O4/56</f>
        <v>0.75</v>
      </c>
      <c r="Q4" s="4" t="n">
        <f aca="false">SUMIFS(Loops!$I$2:$I$481,Loops!$A$2:$A$481,$A4,Loops!$B$2:$B$481,"D-loop")</f>
        <v>5</v>
      </c>
      <c r="R4" s="4" t="n">
        <f aca="false">SUMIFS(Loops!$I$2:$I$481,Loops!$A$2:$A$481,$A4,Loops!$B$2:$B$481,"Anticodon loop")</f>
        <v>2</v>
      </c>
      <c r="S4" s="4" t="n">
        <f aca="false">SUMIFS(Loops!$I$2:$I$481,Loops!$A$2:$A$481,$A4,Loops!$B$2:$B$481,"Variable loop")</f>
        <v>2</v>
      </c>
      <c r="T4" s="4" t="n">
        <f aca="false">SUMIFS(Loops!$I$2:$I$481,Loops!$A$2:$A$481,$A4,Loops!$B$2:$B$481,"TΨC-loop")</f>
        <v>4</v>
      </c>
      <c r="U4" s="4" t="n">
        <f aca="false">SUMIFS(Loops!$F$2:$F$481,Loops!$A$2:$A$481,$A4)-SUMIFS(Loops!$F$2:$F$481,Loops!$A$2:$A$481,$A4,Loops!$B$2:$B$481,"Positions 8, 9, 26")</f>
        <v>28</v>
      </c>
      <c r="V4" s="3" t="n">
        <f aca="false">SUM(Q4:T4)</f>
        <v>13</v>
      </c>
      <c r="W4" s="5" t="n">
        <f aca="false">V4/U4</f>
        <v>0.464285714285714</v>
      </c>
      <c r="X4" s="7" t="str">
        <f aca="false">INDEX(Positions!$E$2:$E$6912,MATCH($A4&amp;"|8",Positions!$A$2:$A$6912,0))</f>
        <v>U</v>
      </c>
      <c r="Y4" s="7" t="str">
        <f aca="false">INDEX(Positions!$E$2:$E$6912,MATCH($A4&amp;"|9",Positions!$A$2:$A$6912,0))</f>
        <v>G</v>
      </c>
      <c r="Z4" s="7" t="str">
        <f aca="false">INDEX(Positions!$E$2:$E$6912,MATCH($A4&amp;"|26",Positions!$A$2:$A$6912,0))</f>
        <v>G</v>
      </c>
      <c r="AA4" s="7" t="n">
        <f aca="false">(X4="G")+(Y4="G")+(Z4="G")</f>
        <v>2</v>
      </c>
      <c r="AB4" s="7" t="n">
        <f aca="false">(X4="C")+(Y4="C")+(Z4="C")</f>
        <v>0</v>
      </c>
      <c r="AC4" s="8" t="n">
        <f aca="false">AA4+AB4</f>
        <v>2</v>
      </c>
      <c r="AD4" s="9" t="n">
        <f aca="false">AC4/3</f>
        <v>0.666666666666667</v>
      </c>
      <c r="AE4" s="7" t="str">
        <f aca="false">IF(K4+V4+AC4=E4,"OK","MISMATCH")</f>
        <v>OK</v>
      </c>
      <c r="AF4" s="10" t="n">
        <f aca="false">B4-42</f>
        <v>31</v>
      </c>
      <c r="AG4" s="10" t="n">
        <f aca="false">V4+AC4</f>
        <v>15</v>
      </c>
      <c r="AH4" s="11" t="n">
        <f aca="false">AG4/AF4</f>
        <v>0.483870967741936</v>
      </c>
      <c r="AI4" s="11" t="n">
        <f aca="false">L4</f>
        <v>0.80952380952381</v>
      </c>
      <c r="AJ4" s="12" t="n">
        <f aca="false">AI4-AH4</f>
        <v>0.325652841781874</v>
      </c>
    </row>
    <row r="5" customFormat="false" ht="15" hidden="false" customHeight="false" outlineLevel="0" collapsed="false">
      <c r="A5" s="3" t="s">
        <v>38</v>
      </c>
      <c r="B5" s="4" t="n">
        <f aca="false">COUNTIF(Positions!$B$2:$B$6912,A5)</f>
        <v>72</v>
      </c>
      <c r="C5" s="4" t="n">
        <f aca="false">COUNTIFS(Positions!$B$2:$B$6912,A5,Positions!$E$2:$E$6912,"G")</f>
        <v>26</v>
      </c>
      <c r="D5" s="4" t="n">
        <f aca="false">COUNTIFS(Positions!$B$2:$B$6912,A5,Positions!$E$2:$E$6912,"C")</f>
        <v>21</v>
      </c>
      <c r="E5" s="3" t="n">
        <f aca="false">C5+D5</f>
        <v>47</v>
      </c>
      <c r="F5" s="5" t="n">
        <f aca="false">E5/B5</f>
        <v>0.652777777777778</v>
      </c>
      <c r="G5" s="4" t="n">
        <f aca="false">SUMIFS(Stems_3D_BP!$K$2:$K$2689,Stems_3D_BP!$A$2:$A$2689,$A5,Stems_3D_BP!$B$2:$B$2689,"Acceptor stem")</f>
        <v>14</v>
      </c>
      <c r="H5" s="4" t="n">
        <f aca="false">SUMIFS(Stems_3D_BP!$K$2:$K$2689,Stems_3D_BP!$A$2:$A$2689,$A5,Stems_3D_BP!$B$2:$B$2689,"D-stem")</f>
        <v>5</v>
      </c>
      <c r="I5" s="4" t="n">
        <f aca="false">SUMIFS(Stems_3D_BP!$K$2:$K$2689,Stems_3D_BP!$A$2:$A$2689,$A5,Stems_3D_BP!$B$2:$B$2689,"Anticodon stem")</f>
        <v>10</v>
      </c>
      <c r="J5" s="4" t="n">
        <f aca="false">SUMIFS(Stems_3D_BP!$K$2:$K$2689,Stems_3D_BP!$A$2:$A$2689,$A5,Stems_3D_BP!$B$2:$B$2689,"T-stem")</f>
        <v>6</v>
      </c>
      <c r="K5" s="3" t="n">
        <f aca="false">SUM(G5:J5)</f>
        <v>35</v>
      </c>
      <c r="L5" s="5" t="n">
        <f aca="false">K5/42</f>
        <v>0.833333333333333</v>
      </c>
      <c r="M5" s="4" t="n">
        <f aca="false">SUMIFS(Stems_3D_BP!$K$2:$K$2689,Stems_3D_BP!$A$2:$A$2689,$A5,Stems_3D_BP!$B$2:$B$2689,"3D (tertiary) BP")</f>
        <v>5</v>
      </c>
      <c r="N5" s="6" t="n">
        <f aca="false">M5/14</f>
        <v>0.357142857142857</v>
      </c>
      <c r="O5" s="3" t="n">
        <f aca="false">K5+M5</f>
        <v>40</v>
      </c>
      <c r="P5" s="5" t="n">
        <f aca="false">O5/56</f>
        <v>0.714285714285714</v>
      </c>
      <c r="Q5" s="4" t="n">
        <f aca="false">SUMIFS(Loops!$I$2:$I$481,Loops!$A$2:$A$481,$A5,Loops!$B$2:$B$481,"D-loop")</f>
        <v>4</v>
      </c>
      <c r="R5" s="4" t="n">
        <f aca="false">SUMIFS(Loops!$I$2:$I$481,Loops!$A$2:$A$481,$A5,Loops!$B$2:$B$481,"Anticodon loop")</f>
        <v>4</v>
      </c>
      <c r="S5" s="4" t="n">
        <f aca="false">SUMIFS(Loops!$I$2:$I$481,Loops!$A$2:$A$481,$A5,Loops!$B$2:$B$481,"Variable loop")</f>
        <v>1</v>
      </c>
      <c r="T5" s="4" t="n">
        <f aca="false">SUMIFS(Loops!$I$2:$I$481,Loops!$A$2:$A$481,$A5,Loops!$B$2:$B$481,"TΨC-loop")</f>
        <v>2</v>
      </c>
      <c r="U5" s="4" t="n">
        <f aca="false">SUMIFS(Loops!$F$2:$F$481,Loops!$A$2:$A$481,$A5)-SUMIFS(Loops!$F$2:$F$481,Loops!$A$2:$A$481,$A5,Loops!$B$2:$B$481,"Positions 8, 9, 26")</f>
        <v>27</v>
      </c>
      <c r="V5" s="3" t="n">
        <f aca="false">SUM(Q5:T5)</f>
        <v>11</v>
      </c>
      <c r="W5" s="5" t="n">
        <f aca="false">V5/U5</f>
        <v>0.407407407407407</v>
      </c>
      <c r="X5" s="7" t="str">
        <f aca="false">INDEX(Positions!$E$2:$E$6912,MATCH($A5&amp;"|8",Positions!$A$2:$A$6912,0))</f>
        <v>U</v>
      </c>
      <c r="Y5" s="7" t="str">
        <f aca="false">INDEX(Positions!$E$2:$E$6912,MATCH($A5&amp;"|9",Positions!$A$2:$A$6912,0))</f>
        <v>G</v>
      </c>
      <c r="Z5" s="7" t="str">
        <f aca="false">INDEX(Positions!$E$2:$E$6912,MATCH($A5&amp;"|26",Positions!$A$2:$A$6912,0))</f>
        <v>U</v>
      </c>
      <c r="AA5" s="7" t="n">
        <f aca="false">(X5="G")+(Y5="G")+(Z5="G")</f>
        <v>1</v>
      </c>
      <c r="AB5" s="7" t="n">
        <f aca="false">(X5="C")+(Y5="C")+(Z5="C")</f>
        <v>0</v>
      </c>
      <c r="AC5" s="8" t="n">
        <f aca="false">AA5+AB5</f>
        <v>1</v>
      </c>
      <c r="AD5" s="9" t="n">
        <f aca="false">AC5/3</f>
        <v>0.333333333333333</v>
      </c>
      <c r="AE5" s="7" t="str">
        <f aca="false">IF(K5+V5+AC5=E5,"OK","MISMATCH")</f>
        <v>OK</v>
      </c>
      <c r="AF5" s="10" t="n">
        <f aca="false">B5-42</f>
        <v>30</v>
      </c>
      <c r="AG5" s="10" t="n">
        <f aca="false">V5+AC5</f>
        <v>12</v>
      </c>
      <c r="AH5" s="11" t="n">
        <f aca="false">AG5/AF5</f>
        <v>0.4</v>
      </c>
      <c r="AI5" s="11" t="n">
        <f aca="false">L5</f>
        <v>0.833333333333333</v>
      </c>
      <c r="AJ5" s="12" t="n">
        <f aca="false">AI5-AH5</f>
        <v>0.433333333333333</v>
      </c>
    </row>
    <row r="6" customFormat="false" ht="15" hidden="false" customHeight="false" outlineLevel="0" collapsed="false">
      <c r="A6" s="3" t="s">
        <v>39</v>
      </c>
      <c r="B6" s="4" t="n">
        <f aca="false">COUNTIF(Positions!$B$2:$B$6912,A6)</f>
        <v>74</v>
      </c>
      <c r="C6" s="4" t="n">
        <f aca="false">COUNTIFS(Positions!$B$2:$B$6912,A6,Positions!$E$2:$E$6912,"G")</f>
        <v>22</v>
      </c>
      <c r="D6" s="4" t="n">
        <f aca="false">COUNTIFS(Positions!$B$2:$B$6912,A6,Positions!$E$2:$E$6912,"C")</f>
        <v>21</v>
      </c>
      <c r="E6" s="3" t="n">
        <f aca="false">C6+D6</f>
        <v>43</v>
      </c>
      <c r="F6" s="5" t="n">
        <f aca="false">E6/B6</f>
        <v>0.581081081081081</v>
      </c>
      <c r="G6" s="4" t="n">
        <f aca="false">SUMIFS(Stems_3D_BP!$K$2:$K$2689,Stems_3D_BP!$A$2:$A$2689,$A6,Stems_3D_BP!$B$2:$B$2689,"Acceptor stem")</f>
        <v>10</v>
      </c>
      <c r="H6" s="4" t="n">
        <f aca="false">SUMIFS(Stems_3D_BP!$K$2:$K$2689,Stems_3D_BP!$A$2:$A$2689,$A6,Stems_3D_BP!$B$2:$B$2689,"D-stem")</f>
        <v>4</v>
      </c>
      <c r="I6" s="4" t="n">
        <f aca="false">SUMIFS(Stems_3D_BP!$K$2:$K$2689,Stems_3D_BP!$A$2:$A$2689,$A6,Stems_3D_BP!$B$2:$B$2689,"Anticodon stem")</f>
        <v>10</v>
      </c>
      <c r="J6" s="4" t="n">
        <f aca="false">SUMIFS(Stems_3D_BP!$K$2:$K$2689,Stems_3D_BP!$A$2:$A$2689,$A6,Stems_3D_BP!$B$2:$B$2689,"T-stem")</f>
        <v>6</v>
      </c>
      <c r="K6" s="3" t="n">
        <f aca="false">SUM(G6:J6)</f>
        <v>30</v>
      </c>
      <c r="L6" s="5" t="n">
        <f aca="false">K6/42</f>
        <v>0.714285714285714</v>
      </c>
      <c r="M6" s="4" t="n">
        <f aca="false">SUMIFS(Stems_3D_BP!$K$2:$K$2689,Stems_3D_BP!$A$2:$A$2689,$A6,Stems_3D_BP!$B$2:$B$2689,"3D (tertiary) BP")</f>
        <v>7</v>
      </c>
      <c r="N6" s="6" t="n">
        <f aca="false">M6/14</f>
        <v>0.5</v>
      </c>
      <c r="O6" s="3" t="n">
        <f aca="false">K6+M6</f>
        <v>37</v>
      </c>
      <c r="P6" s="5" t="n">
        <f aca="false">O6/56</f>
        <v>0.660714285714286</v>
      </c>
      <c r="Q6" s="4" t="n">
        <f aca="false">SUMIFS(Loops!$I$2:$I$481,Loops!$A$2:$A$481,$A6,Loops!$B$2:$B$481,"D-loop")</f>
        <v>6</v>
      </c>
      <c r="R6" s="4" t="n">
        <f aca="false">SUMIFS(Loops!$I$2:$I$481,Loops!$A$2:$A$481,$A6,Loops!$B$2:$B$481,"Anticodon loop")</f>
        <v>2</v>
      </c>
      <c r="S6" s="4" t="n">
        <f aca="false">SUMIFS(Loops!$I$2:$I$481,Loops!$A$2:$A$481,$A6,Loops!$B$2:$B$481,"Variable loop")</f>
        <v>2</v>
      </c>
      <c r="T6" s="4" t="n">
        <f aca="false">SUMIFS(Loops!$I$2:$I$481,Loops!$A$2:$A$481,$A6,Loops!$B$2:$B$481,"TΨC-loop")</f>
        <v>1</v>
      </c>
      <c r="U6" s="4" t="n">
        <f aca="false">SUMIFS(Loops!$F$2:$F$481,Loops!$A$2:$A$481,$A6)-SUMIFS(Loops!$F$2:$F$481,Loops!$A$2:$A$481,$A6,Loops!$B$2:$B$481,"Positions 8, 9, 26")</f>
        <v>29</v>
      </c>
      <c r="V6" s="3" t="n">
        <f aca="false">SUM(Q6:T6)</f>
        <v>11</v>
      </c>
      <c r="W6" s="5" t="n">
        <f aca="false">V6/U6</f>
        <v>0.379310344827586</v>
      </c>
      <c r="X6" s="7" t="str">
        <f aca="false">INDEX(Positions!$E$2:$E$6912,MATCH($A6&amp;"|8",Positions!$A$2:$A$6912,0))</f>
        <v>U</v>
      </c>
      <c r="Y6" s="7" t="str">
        <f aca="false">INDEX(Positions!$E$2:$E$6912,MATCH($A6&amp;"|9",Positions!$A$2:$A$6912,0))</f>
        <v>G</v>
      </c>
      <c r="Z6" s="7" t="str">
        <f aca="false">INDEX(Positions!$E$2:$E$6912,MATCH($A6&amp;"|26",Positions!$A$2:$A$6912,0))</f>
        <v>G</v>
      </c>
      <c r="AA6" s="7" t="n">
        <f aca="false">(X6="G")+(Y6="G")+(Z6="G")</f>
        <v>2</v>
      </c>
      <c r="AB6" s="7" t="n">
        <f aca="false">(X6="C")+(Y6="C")+(Z6="C")</f>
        <v>0</v>
      </c>
      <c r="AC6" s="8" t="n">
        <f aca="false">AA6+AB6</f>
        <v>2</v>
      </c>
      <c r="AD6" s="9" t="n">
        <f aca="false">AC6/3</f>
        <v>0.666666666666667</v>
      </c>
      <c r="AE6" s="7" t="str">
        <f aca="false">IF(K6+V6+AC6=E6,"OK","MISMATCH")</f>
        <v>OK</v>
      </c>
      <c r="AF6" s="10" t="n">
        <f aca="false">B6-42</f>
        <v>32</v>
      </c>
      <c r="AG6" s="10" t="n">
        <f aca="false">V6+AC6</f>
        <v>13</v>
      </c>
      <c r="AH6" s="11" t="n">
        <f aca="false">AG6/AF6</f>
        <v>0.40625</v>
      </c>
      <c r="AI6" s="11" t="n">
        <f aca="false">L6</f>
        <v>0.714285714285714</v>
      </c>
      <c r="AJ6" s="12" t="n">
        <f aca="false">AI6-AH6</f>
        <v>0.308035714285714</v>
      </c>
    </row>
    <row r="7" customFormat="false" ht="15" hidden="false" customHeight="false" outlineLevel="0" collapsed="false">
      <c r="A7" s="3" t="s">
        <v>40</v>
      </c>
      <c r="B7" s="4" t="n">
        <f aca="false">COUNTIF(Positions!$B$2:$B$6912,A7)</f>
        <v>71</v>
      </c>
      <c r="C7" s="4" t="n">
        <f aca="false">COUNTIFS(Positions!$B$2:$B$6912,A7,Positions!$E$2:$E$6912,"G")</f>
        <v>22</v>
      </c>
      <c r="D7" s="4" t="n">
        <f aca="false">COUNTIFS(Positions!$B$2:$B$6912,A7,Positions!$E$2:$E$6912,"C")</f>
        <v>20</v>
      </c>
      <c r="E7" s="3" t="n">
        <f aca="false">C7+D7</f>
        <v>42</v>
      </c>
      <c r="F7" s="5" t="n">
        <f aca="false">E7/B7</f>
        <v>0.591549295774648</v>
      </c>
      <c r="G7" s="4" t="n">
        <f aca="false">SUMIFS(Stems_3D_BP!$K$2:$K$2689,Stems_3D_BP!$A$2:$A$2689,$A7,Stems_3D_BP!$B$2:$B$2689,"Acceptor stem")</f>
        <v>11</v>
      </c>
      <c r="H7" s="4" t="n">
        <f aca="false">SUMIFS(Stems_3D_BP!$K$2:$K$2689,Stems_3D_BP!$A$2:$A$2689,$A7,Stems_3D_BP!$B$2:$B$2689,"D-stem")</f>
        <v>4</v>
      </c>
      <c r="I7" s="4" t="n">
        <f aca="false">SUMIFS(Stems_3D_BP!$K$2:$K$2689,Stems_3D_BP!$A$2:$A$2689,$A7,Stems_3D_BP!$B$2:$B$2689,"Anticodon stem")</f>
        <v>6</v>
      </c>
      <c r="J7" s="4" t="n">
        <f aca="false">SUMIFS(Stems_3D_BP!$K$2:$K$2689,Stems_3D_BP!$A$2:$A$2689,$A7,Stems_3D_BP!$B$2:$B$2689,"T-stem")</f>
        <v>8</v>
      </c>
      <c r="K7" s="3" t="n">
        <f aca="false">SUM(G7:J7)</f>
        <v>29</v>
      </c>
      <c r="L7" s="5" t="n">
        <f aca="false">K7/42</f>
        <v>0.690476190476191</v>
      </c>
      <c r="M7" s="4" t="n">
        <f aca="false">SUMIFS(Stems_3D_BP!$K$2:$K$2689,Stems_3D_BP!$A$2:$A$2689,$A7,Stems_3D_BP!$B$2:$B$2689,"3D (tertiary) BP")</f>
        <v>6</v>
      </c>
      <c r="N7" s="6" t="n">
        <f aca="false">M7/14</f>
        <v>0.428571428571429</v>
      </c>
      <c r="O7" s="3" t="n">
        <f aca="false">K7+M7</f>
        <v>35</v>
      </c>
      <c r="P7" s="5" t="n">
        <f aca="false">O7/56</f>
        <v>0.625</v>
      </c>
      <c r="Q7" s="4" t="n">
        <f aca="false">SUMIFS(Loops!$I$2:$I$481,Loops!$A$2:$A$481,$A7,Loops!$B$2:$B$481,"D-loop")</f>
        <v>4</v>
      </c>
      <c r="R7" s="4" t="n">
        <f aca="false">SUMIFS(Loops!$I$2:$I$481,Loops!$A$2:$A$481,$A7,Loops!$B$2:$B$481,"Anticodon loop")</f>
        <v>3</v>
      </c>
      <c r="S7" s="4" t="n">
        <f aca="false">SUMIFS(Loops!$I$2:$I$481,Loops!$A$2:$A$481,$A7,Loops!$B$2:$B$481,"Variable loop")</f>
        <v>4</v>
      </c>
      <c r="T7" s="4" t="n">
        <f aca="false">SUMIFS(Loops!$I$2:$I$481,Loops!$A$2:$A$481,$A7,Loops!$B$2:$B$481,"TΨC-loop")</f>
        <v>1</v>
      </c>
      <c r="U7" s="4" t="n">
        <f aca="false">SUMIFS(Loops!$F$2:$F$481,Loops!$A$2:$A$481,$A7)-SUMIFS(Loops!$F$2:$F$481,Loops!$A$2:$A$481,$A7,Loops!$B$2:$B$481,"Positions 8, 9, 26")</f>
        <v>26</v>
      </c>
      <c r="V7" s="3" t="n">
        <f aca="false">SUM(Q7:T7)</f>
        <v>12</v>
      </c>
      <c r="W7" s="5" t="n">
        <f aca="false">V7/U7</f>
        <v>0.461538461538462</v>
      </c>
      <c r="X7" s="7" t="str">
        <f aca="false">INDEX(Positions!$E$2:$E$6912,MATCH($A7&amp;"|8",Positions!$A$2:$A$6912,0))</f>
        <v>U</v>
      </c>
      <c r="Y7" s="7" t="str">
        <f aca="false">INDEX(Positions!$E$2:$E$6912,MATCH($A7&amp;"|9",Positions!$A$2:$A$6912,0))</f>
        <v>A</v>
      </c>
      <c r="Z7" s="7" t="str">
        <f aca="false">INDEX(Positions!$E$2:$E$6912,MATCH($A7&amp;"|26",Positions!$A$2:$A$6912,0))</f>
        <v>G</v>
      </c>
      <c r="AA7" s="7" t="n">
        <f aca="false">(X7="G")+(Y7="G")+(Z7="G")</f>
        <v>1</v>
      </c>
      <c r="AB7" s="7" t="n">
        <f aca="false">(X7="C")+(Y7="C")+(Z7="C")</f>
        <v>0</v>
      </c>
      <c r="AC7" s="8" t="n">
        <f aca="false">AA7+AB7</f>
        <v>1</v>
      </c>
      <c r="AD7" s="9" t="n">
        <f aca="false">AC7/3</f>
        <v>0.333333333333333</v>
      </c>
      <c r="AE7" s="7" t="str">
        <f aca="false">IF(K7+V7+AC7=E7,"OK","MISMATCH")</f>
        <v>OK</v>
      </c>
      <c r="AF7" s="10" t="n">
        <f aca="false">B7-42</f>
        <v>29</v>
      </c>
      <c r="AG7" s="10" t="n">
        <f aca="false">V7+AC7</f>
        <v>13</v>
      </c>
      <c r="AH7" s="11" t="n">
        <f aca="false">AG7/AF7</f>
        <v>0.448275862068966</v>
      </c>
      <c r="AI7" s="11" t="n">
        <f aca="false">L7</f>
        <v>0.690476190476191</v>
      </c>
      <c r="AJ7" s="12" t="n">
        <f aca="false">AI7-AH7</f>
        <v>0.242200328407225</v>
      </c>
    </row>
    <row r="8" customFormat="false" ht="15" hidden="false" customHeight="false" outlineLevel="0" collapsed="false">
      <c r="A8" s="3" t="s">
        <v>41</v>
      </c>
      <c r="B8" s="4" t="n">
        <f aca="false">COUNTIF(Positions!$B$2:$B$6912,A8)</f>
        <v>74</v>
      </c>
      <c r="C8" s="4" t="n">
        <f aca="false">COUNTIFS(Positions!$B$2:$B$6912,A8,Positions!$E$2:$E$6912,"G")</f>
        <v>22</v>
      </c>
      <c r="D8" s="4" t="n">
        <f aca="false">COUNTIFS(Positions!$B$2:$B$6912,A8,Positions!$E$2:$E$6912,"C")</f>
        <v>20</v>
      </c>
      <c r="E8" s="3" t="n">
        <f aca="false">C8+D8</f>
        <v>42</v>
      </c>
      <c r="F8" s="5" t="n">
        <f aca="false">E8/B8</f>
        <v>0.567567567567568</v>
      </c>
      <c r="G8" s="4" t="n">
        <f aca="false">SUMIFS(Stems_3D_BP!$K$2:$K$2689,Stems_3D_BP!$A$2:$A$2689,$A8,Stems_3D_BP!$B$2:$B$2689,"Acceptor stem")</f>
        <v>10</v>
      </c>
      <c r="H8" s="4" t="n">
        <f aca="false">SUMIFS(Stems_3D_BP!$K$2:$K$2689,Stems_3D_BP!$A$2:$A$2689,$A8,Stems_3D_BP!$B$2:$B$2689,"D-stem")</f>
        <v>4</v>
      </c>
      <c r="I8" s="4" t="n">
        <f aca="false">SUMIFS(Stems_3D_BP!$K$2:$K$2689,Stems_3D_BP!$A$2:$A$2689,$A8,Stems_3D_BP!$B$2:$B$2689,"Anticodon stem")</f>
        <v>10</v>
      </c>
      <c r="J8" s="4" t="n">
        <f aca="false">SUMIFS(Stems_3D_BP!$K$2:$K$2689,Stems_3D_BP!$A$2:$A$2689,$A8,Stems_3D_BP!$B$2:$B$2689,"T-stem")</f>
        <v>6</v>
      </c>
      <c r="K8" s="3" t="n">
        <f aca="false">SUM(G8:J8)</f>
        <v>30</v>
      </c>
      <c r="L8" s="5" t="n">
        <f aca="false">K8/42</f>
        <v>0.714285714285714</v>
      </c>
      <c r="M8" s="4" t="n">
        <f aca="false">SUMIFS(Stems_3D_BP!$K$2:$K$2689,Stems_3D_BP!$A$2:$A$2689,$A8,Stems_3D_BP!$B$2:$B$2689,"3D (tertiary) BP")</f>
        <v>7</v>
      </c>
      <c r="N8" s="6" t="n">
        <f aca="false">M8/14</f>
        <v>0.5</v>
      </c>
      <c r="O8" s="3" t="n">
        <f aca="false">K8+M8</f>
        <v>37</v>
      </c>
      <c r="P8" s="5" t="n">
        <f aca="false">O8/56</f>
        <v>0.660714285714286</v>
      </c>
      <c r="Q8" s="4" t="n">
        <f aca="false">SUMIFS(Loops!$I$2:$I$481,Loops!$A$2:$A$481,$A8,Loops!$B$2:$B$481,"D-loop")</f>
        <v>5</v>
      </c>
      <c r="R8" s="4" t="n">
        <f aca="false">SUMIFS(Loops!$I$2:$I$481,Loops!$A$2:$A$481,$A8,Loops!$B$2:$B$481,"Anticodon loop")</f>
        <v>2</v>
      </c>
      <c r="S8" s="4" t="n">
        <f aca="false">SUMIFS(Loops!$I$2:$I$481,Loops!$A$2:$A$481,$A8,Loops!$B$2:$B$481,"Variable loop")</f>
        <v>2</v>
      </c>
      <c r="T8" s="4" t="n">
        <f aca="false">SUMIFS(Loops!$I$2:$I$481,Loops!$A$2:$A$481,$A8,Loops!$B$2:$B$481,"TΨC-loop")</f>
        <v>1</v>
      </c>
      <c r="U8" s="4" t="n">
        <f aca="false">SUMIFS(Loops!$F$2:$F$481,Loops!$A$2:$A$481,$A8)-SUMIFS(Loops!$F$2:$F$481,Loops!$A$2:$A$481,$A8,Loops!$B$2:$B$481,"Positions 8, 9, 26")</f>
        <v>29</v>
      </c>
      <c r="V8" s="3" t="n">
        <f aca="false">SUM(Q8:T8)</f>
        <v>10</v>
      </c>
      <c r="W8" s="5" t="n">
        <f aca="false">V8/U8</f>
        <v>0.344827586206897</v>
      </c>
      <c r="X8" s="7" t="str">
        <f aca="false">INDEX(Positions!$E$2:$E$6912,MATCH($A8&amp;"|8",Positions!$A$2:$A$6912,0))</f>
        <v>U</v>
      </c>
      <c r="Y8" s="7" t="str">
        <f aca="false">INDEX(Positions!$E$2:$E$6912,MATCH($A8&amp;"|9",Positions!$A$2:$A$6912,0))</f>
        <v>G</v>
      </c>
      <c r="Z8" s="7" t="str">
        <f aca="false">INDEX(Positions!$E$2:$E$6912,MATCH($A8&amp;"|26",Positions!$A$2:$A$6912,0))</f>
        <v>G</v>
      </c>
      <c r="AA8" s="7" t="n">
        <f aca="false">(X8="G")+(Y8="G")+(Z8="G")</f>
        <v>2</v>
      </c>
      <c r="AB8" s="7" t="n">
        <f aca="false">(X8="C")+(Y8="C")+(Z8="C")</f>
        <v>0</v>
      </c>
      <c r="AC8" s="8" t="n">
        <f aca="false">AA8+AB8</f>
        <v>2</v>
      </c>
      <c r="AD8" s="9" t="n">
        <f aca="false">AC8/3</f>
        <v>0.666666666666667</v>
      </c>
      <c r="AE8" s="7" t="str">
        <f aca="false">IF(K8+V8+AC8=E8,"OK","MISMATCH")</f>
        <v>OK</v>
      </c>
      <c r="AF8" s="10" t="n">
        <f aca="false">B8-42</f>
        <v>32</v>
      </c>
      <c r="AG8" s="10" t="n">
        <f aca="false">V8+AC8</f>
        <v>12</v>
      </c>
      <c r="AH8" s="11" t="n">
        <f aca="false">AG8/AF8</f>
        <v>0.375</v>
      </c>
      <c r="AI8" s="11" t="n">
        <f aca="false">L8</f>
        <v>0.714285714285714</v>
      </c>
      <c r="AJ8" s="12" t="n">
        <f aca="false">AI8-AH8</f>
        <v>0.339285714285714</v>
      </c>
    </row>
    <row r="9" customFormat="false" ht="15" hidden="false" customHeight="false" outlineLevel="0" collapsed="false">
      <c r="A9" s="3" t="s">
        <v>42</v>
      </c>
      <c r="B9" s="4" t="n">
        <f aca="false">COUNTIF(Positions!$B$2:$B$6912,A9)</f>
        <v>84</v>
      </c>
      <c r="C9" s="4" t="n">
        <f aca="false">COUNTIFS(Positions!$B$2:$B$6912,A9,Positions!$E$2:$E$6912,"G")</f>
        <v>23</v>
      </c>
      <c r="D9" s="4" t="n">
        <f aca="false">COUNTIFS(Positions!$B$2:$B$6912,A9,Positions!$E$2:$E$6912,"C")</f>
        <v>25</v>
      </c>
      <c r="E9" s="3" t="n">
        <f aca="false">C9+D9</f>
        <v>48</v>
      </c>
      <c r="F9" s="5" t="n">
        <f aca="false">E9/B9</f>
        <v>0.571428571428571</v>
      </c>
      <c r="G9" s="4" t="n">
        <f aca="false">SUMIFS(Stems_3D_BP!$K$2:$K$2689,Stems_3D_BP!$A$2:$A$2689,$A9,Stems_3D_BP!$B$2:$B$2689,"Acceptor stem")</f>
        <v>12</v>
      </c>
      <c r="H9" s="4" t="n">
        <f aca="false">SUMIFS(Stems_3D_BP!$K$2:$K$2689,Stems_3D_BP!$A$2:$A$2689,$A9,Stems_3D_BP!$B$2:$B$2689,"D-stem")</f>
        <v>4</v>
      </c>
      <c r="I9" s="4" t="n">
        <f aca="false">SUMIFS(Stems_3D_BP!$K$2:$K$2689,Stems_3D_BP!$A$2:$A$2689,$A9,Stems_3D_BP!$B$2:$B$2689,"Anticodon stem")</f>
        <v>6</v>
      </c>
      <c r="J9" s="4" t="n">
        <f aca="false">SUMIFS(Stems_3D_BP!$K$2:$K$2689,Stems_3D_BP!$A$2:$A$2689,$A9,Stems_3D_BP!$B$2:$B$2689,"T-stem")</f>
        <v>6</v>
      </c>
      <c r="K9" s="3" t="n">
        <f aca="false">SUM(G9:J9)</f>
        <v>28</v>
      </c>
      <c r="L9" s="5" t="n">
        <f aca="false">K9/42</f>
        <v>0.666666666666667</v>
      </c>
      <c r="M9" s="4" t="n">
        <f aca="false">SUMIFS(Stems_3D_BP!$K$2:$K$2689,Stems_3D_BP!$A$2:$A$2689,$A9,Stems_3D_BP!$B$2:$B$2689,"3D (tertiary) BP")</f>
        <v>7</v>
      </c>
      <c r="N9" s="6" t="n">
        <f aca="false">M9/14</f>
        <v>0.5</v>
      </c>
      <c r="O9" s="3" t="n">
        <f aca="false">K9+M9</f>
        <v>35</v>
      </c>
      <c r="P9" s="5" t="n">
        <f aca="false">O9/56</f>
        <v>0.625</v>
      </c>
      <c r="Q9" s="4" t="n">
        <f aca="false">SUMIFS(Loops!$I$2:$I$481,Loops!$A$2:$A$481,$A9,Loops!$B$2:$B$481,"D-loop")</f>
        <v>6</v>
      </c>
      <c r="R9" s="4" t="n">
        <f aca="false">SUMIFS(Loops!$I$2:$I$481,Loops!$A$2:$A$481,$A9,Loops!$B$2:$B$481,"Anticodon loop")</f>
        <v>3</v>
      </c>
      <c r="S9" s="4" t="n">
        <f aca="false">SUMIFS(Loops!$I$2:$I$481,Loops!$A$2:$A$481,$A9,Loops!$B$2:$B$481,"Variable loop")</f>
        <v>9</v>
      </c>
      <c r="T9" s="4" t="n">
        <f aca="false">SUMIFS(Loops!$I$2:$I$481,Loops!$A$2:$A$481,$A9,Loops!$B$2:$B$481,"TΨC-loop")</f>
        <v>1</v>
      </c>
      <c r="U9" s="4" t="n">
        <f aca="false">SUMIFS(Loops!$F$2:$F$481,Loops!$A$2:$A$481,$A9)-SUMIFS(Loops!$F$2:$F$481,Loops!$A$2:$A$481,$A9,Loops!$B$2:$B$481,"Positions 8, 9, 26")</f>
        <v>39</v>
      </c>
      <c r="V9" s="3" t="n">
        <f aca="false">SUM(Q9:T9)</f>
        <v>19</v>
      </c>
      <c r="W9" s="5" t="n">
        <f aca="false">V9/U9</f>
        <v>0.487179487179487</v>
      </c>
      <c r="X9" s="7" t="str">
        <f aca="false">INDEX(Positions!$E$2:$E$6912,MATCH($A9&amp;"|8",Positions!$A$2:$A$6912,0))</f>
        <v>U</v>
      </c>
      <c r="Y9" s="7" t="str">
        <f aca="false">INDEX(Positions!$E$2:$E$6912,MATCH($A9&amp;"|9",Positions!$A$2:$A$6912,0))</f>
        <v>A</v>
      </c>
      <c r="Z9" s="7" t="str">
        <f aca="false">INDEX(Positions!$E$2:$E$6912,MATCH($A9&amp;"|26",Positions!$A$2:$A$6912,0))</f>
        <v>G</v>
      </c>
      <c r="AA9" s="7" t="n">
        <f aca="false">(X9="G")+(Y9="G")+(Z9="G")</f>
        <v>1</v>
      </c>
      <c r="AB9" s="7" t="n">
        <f aca="false">(X9="C")+(Y9="C")+(Z9="C")</f>
        <v>0</v>
      </c>
      <c r="AC9" s="8" t="n">
        <f aca="false">AA9+AB9</f>
        <v>1</v>
      </c>
      <c r="AD9" s="9" t="n">
        <f aca="false">AC9/3</f>
        <v>0.333333333333333</v>
      </c>
      <c r="AE9" s="7" t="str">
        <f aca="false">IF(K9+V9+AC9=E9,"OK","MISMATCH")</f>
        <v>OK</v>
      </c>
      <c r="AF9" s="10" t="n">
        <f aca="false">B9-42</f>
        <v>42</v>
      </c>
      <c r="AG9" s="10" t="n">
        <f aca="false">V9+AC9</f>
        <v>20</v>
      </c>
      <c r="AH9" s="11" t="n">
        <f aca="false">AG9/AF9</f>
        <v>0.476190476190476</v>
      </c>
      <c r="AI9" s="11" t="n">
        <f aca="false">L9</f>
        <v>0.666666666666667</v>
      </c>
      <c r="AJ9" s="12" t="n">
        <f aca="false">AI9-AH9</f>
        <v>0.19047619047619</v>
      </c>
    </row>
    <row r="10" customFormat="false" ht="15" hidden="false" customHeight="false" outlineLevel="0" collapsed="false">
      <c r="A10" s="3" t="s">
        <v>43</v>
      </c>
      <c r="B10" s="4" t="n">
        <f aca="false">COUNTIF(Positions!$B$2:$B$6912,A10)</f>
        <v>71</v>
      </c>
      <c r="C10" s="4" t="n">
        <f aca="false">COUNTIFS(Positions!$B$2:$B$6912,A10,Positions!$E$2:$E$6912,"G")</f>
        <v>23</v>
      </c>
      <c r="D10" s="4" t="n">
        <f aca="false">COUNTIFS(Positions!$B$2:$B$6912,A10,Positions!$E$2:$E$6912,"C")</f>
        <v>19</v>
      </c>
      <c r="E10" s="3" t="n">
        <f aca="false">C10+D10</f>
        <v>42</v>
      </c>
      <c r="F10" s="5" t="n">
        <f aca="false">E10/B10</f>
        <v>0.591549295774648</v>
      </c>
      <c r="G10" s="4" t="n">
        <f aca="false">SUMIFS(Stems_3D_BP!$K$2:$K$2689,Stems_3D_BP!$A$2:$A$2689,$A10,Stems_3D_BP!$B$2:$B$2689,"Acceptor stem")</f>
        <v>11</v>
      </c>
      <c r="H10" s="4" t="n">
        <f aca="false">SUMIFS(Stems_3D_BP!$K$2:$K$2689,Stems_3D_BP!$A$2:$A$2689,$A10,Stems_3D_BP!$B$2:$B$2689,"D-stem")</f>
        <v>4</v>
      </c>
      <c r="I10" s="4" t="n">
        <f aca="false">SUMIFS(Stems_3D_BP!$K$2:$K$2689,Stems_3D_BP!$A$2:$A$2689,$A10,Stems_3D_BP!$B$2:$B$2689,"Anticodon stem")</f>
        <v>8</v>
      </c>
      <c r="J10" s="4" t="n">
        <f aca="false">SUMIFS(Stems_3D_BP!$K$2:$K$2689,Stems_3D_BP!$A$2:$A$2689,$A10,Stems_3D_BP!$B$2:$B$2689,"T-stem")</f>
        <v>8</v>
      </c>
      <c r="K10" s="3" t="n">
        <f aca="false">SUM(G10:J10)</f>
        <v>31</v>
      </c>
      <c r="L10" s="5" t="n">
        <f aca="false">K10/42</f>
        <v>0.738095238095238</v>
      </c>
      <c r="M10" s="4" t="n">
        <f aca="false">SUMIFS(Stems_3D_BP!$K$2:$K$2689,Stems_3D_BP!$A$2:$A$2689,$A10,Stems_3D_BP!$B$2:$B$2689,"3D (tertiary) BP")</f>
        <v>6</v>
      </c>
      <c r="N10" s="6" t="n">
        <f aca="false">M10/14</f>
        <v>0.428571428571429</v>
      </c>
      <c r="O10" s="3" t="n">
        <f aca="false">K10+M10</f>
        <v>37</v>
      </c>
      <c r="P10" s="5" t="n">
        <f aca="false">O10/56</f>
        <v>0.660714285714286</v>
      </c>
      <c r="Q10" s="4" t="n">
        <f aca="false">SUMIFS(Loops!$I$2:$I$481,Loops!$A$2:$A$481,$A10,Loops!$B$2:$B$481,"D-loop")</f>
        <v>4</v>
      </c>
      <c r="R10" s="4" t="n">
        <f aca="false">SUMIFS(Loops!$I$2:$I$481,Loops!$A$2:$A$481,$A10,Loops!$B$2:$B$481,"Anticodon loop")</f>
        <v>2</v>
      </c>
      <c r="S10" s="4" t="n">
        <f aca="false">SUMIFS(Loops!$I$2:$I$481,Loops!$A$2:$A$481,$A10,Loops!$B$2:$B$481,"Variable loop")</f>
        <v>3</v>
      </c>
      <c r="T10" s="4" t="n">
        <f aca="false">SUMIFS(Loops!$I$2:$I$481,Loops!$A$2:$A$481,$A10,Loops!$B$2:$B$481,"TΨC-loop")</f>
        <v>1</v>
      </c>
      <c r="U10" s="4" t="n">
        <f aca="false">SUMIFS(Loops!$F$2:$F$481,Loops!$A$2:$A$481,$A10)-SUMIFS(Loops!$F$2:$F$481,Loops!$A$2:$A$481,$A10,Loops!$B$2:$B$481,"Positions 8, 9, 26")</f>
        <v>26</v>
      </c>
      <c r="V10" s="3" t="n">
        <f aca="false">SUM(Q10:T10)</f>
        <v>10</v>
      </c>
      <c r="W10" s="5" t="n">
        <f aca="false">V10/U10</f>
        <v>0.384615384615385</v>
      </c>
      <c r="X10" s="7" t="str">
        <f aca="false">INDEX(Positions!$E$2:$E$6912,MATCH($A10&amp;"|8",Positions!$A$2:$A$6912,0))</f>
        <v>U</v>
      </c>
      <c r="Y10" s="7" t="str">
        <f aca="false">INDEX(Positions!$E$2:$E$6912,MATCH($A10&amp;"|9",Positions!$A$2:$A$6912,0))</f>
        <v>A</v>
      </c>
      <c r="Z10" s="7" t="str">
        <f aca="false">INDEX(Positions!$E$2:$E$6912,MATCH($A10&amp;"|26",Positions!$A$2:$A$6912,0))</f>
        <v>G</v>
      </c>
      <c r="AA10" s="7" t="n">
        <f aca="false">(X10="G")+(Y10="G")+(Z10="G")</f>
        <v>1</v>
      </c>
      <c r="AB10" s="7" t="n">
        <f aca="false">(X10="C")+(Y10="C")+(Z10="C")</f>
        <v>0</v>
      </c>
      <c r="AC10" s="8" t="n">
        <f aca="false">AA10+AB10</f>
        <v>1</v>
      </c>
      <c r="AD10" s="9" t="n">
        <f aca="false">AC10/3</f>
        <v>0.333333333333333</v>
      </c>
      <c r="AE10" s="7" t="str">
        <f aca="false">IF(K10+V10+AC10=E10,"OK","MISMATCH")</f>
        <v>OK</v>
      </c>
      <c r="AF10" s="10" t="n">
        <f aca="false">B10-42</f>
        <v>29</v>
      </c>
      <c r="AG10" s="10" t="n">
        <f aca="false">V10+AC10</f>
        <v>11</v>
      </c>
      <c r="AH10" s="11" t="n">
        <f aca="false">AG10/AF10</f>
        <v>0.379310344827586</v>
      </c>
      <c r="AI10" s="11" t="n">
        <f aca="false">L10</f>
        <v>0.738095238095238</v>
      </c>
      <c r="AJ10" s="12" t="n">
        <f aca="false">AI10-AH10</f>
        <v>0.358784893267652</v>
      </c>
    </row>
    <row r="11" customFormat="false" ht="15" hidden="false" customHeight="false" outlineLevel="0" collapsed="false">
      <c r="A11" s="3" t="s">
        <v>44</v>
      </c>
      <c r="B11" s="4" t="n">
        <f aca="false">COUNTIF(Positions!$B$2:$B$6912,A11)</f>
        <v>74</v>
      </c>
      <c r="C11" s="4" t="n">
        <f aca="false">COUNTIFS(Positions!$B$2:$B$6912,A11,Positions!$E$2:$E$6912,"G")</f>
        <v>25</v>
      </c>
      <c r="D11" s="4" t="n">
        <f aca="false">COUNTIFS(Positions!$B$2:$B$6912,A11,Positions!$E$2:$E$6912,"C")</f>
        <v>24</v>
      </c>
      <c r="E11" s="3" t="n">
        <f aca="false">C11+D11</f>
        <v>49</v>
      </c>
      <c r="F11" s="5" t="n">
        <f aca="false">E11/B11</f>
        <v>0.662162162162162</v>
      </c>
      <c r="G11" s="4" t="n">
        <f aca="false">SUMIFS(Stems_3D_BP!$K$2:$K$2689,Stems_3D_BP!$A$2:$A$2689,$A11,Stems_3D_BP!$B$2:$B$2689,"Acceptor stem")</f>
        <v>12</v>
      </c>
      <c r="H11" s="4" t="n">
        <f aca="false">SUMIFS(Stems_3D_BP!$K$2:$K$2689,Stems_3D_BP!$A$2:$A$2689,$A11,Stems_3D_BP!$B$2:$B$2689,"D-stem")</f>
        <v>4</v>
      </c>
      <c r="I11" s="4" t="n">
        <f aca="false">SUMIFS(Stems_3D_BP!$K$2:$K$2689,Stems_3D_BP!$A$2:$A$2689,$A11,Stems_3D_BP!$B$2:$B$2689,"Anticodon stem")</f>
        <v>8</v>
      </c>
      <c r="J11" s="4" t="n">
        <f aca="false">SUMIFS(Stems_3D_BP!$K$2:$K$2689,Stems_3D_BP!$A$2:$A$2689,$A11,Stems_3D_BP!$B$2:$B$2689,"T-stem")</f>
        <v>10</v>
      </c>
      <c r="K11" s="3" t="n">
        <f aca="false">SUM(G11:J11)</f>
        <v>34</v>
      </c>
      <c r="L11" s="5" t="n">
        <f aca="false">K11/42</f>
        <v>0.80952380952381</v>
      </c>
      <c r="M11" s="4" t="n">
        <f aca="false">SUMIFS(Stems_3D_BP!$K$2:$K$2689,Stems_3D_BP!$A$2:$A$2689,$A11,Stems_3D_BP!$B$2:$B$2689,"3D (tertiary) BP")</f>
        <v>7</v>
      </c>
      <c r="N11" s="6" t="n">
        <f aca="false">M11/14</f>
        <v>0.5</v>
      </c>
      <c r="O11" s="3" t="n">
        <f aca="false">K11+M11</f>
        <v>41</v>
      </c>
      <c r="P11" s="5" t="n">
        <f aca="false">O11/56</f>
        <v>0.732142857142857</v>
      </c>
      <c r="Q11" s="4" t="n">
        <f aca="false">SUMIFS(Loops!$I$2:$I$481,Loops!$A$2:$A$481,$A11,Loops!$B$2:$B$481,"D-loop")</f>
        <v>5</v>
      </c>
      <c r="R11" s="4" t="n">
        <f aca="false">SUMIFS(Loops!$I$2:$I$481,Loops!$A$2:$A$481,$A11,Loops!$B$2:$B$481,"Anticodon loop")</f>
        <v>3</v>
      </c>
      <c r="S11" s="4" t="n">
        <f aca="false">SUMIFS(Loops!$I$2:$I$481,Loops!$A$2:$A$481,$A11,Loops!$B$2:$B$481,"Variable loop")</f>
        <v>3</v>
      </c>
      <c r="T11" s="4" t="n">
        <f aca="false">SUMIFS(Loops!$I$2:$I$481,Loops!$A$2:$A$481,$A11,Loops!$B$2:$B$481,"TΨC-loop")</f>
        <v>2</v>
      </c>
      <c r="U11" s="4" t="n">
        <f aca="false">SUMIFS(Loops!$F$2:$F$481,Loops!$A$2:$A$481,$A11)-SUMIFS(Loops!$F$2:$F$481,Loops!$A$2:$A$481,$A11,Loops!$B$2:$B$481,"Positions 8, 9, 26")</f>
        <v>29</v>
      </c>
      <c r="V11" s="3" t="n">
        <f aca="false">SUM(Q11:T11)</f>
        <v>13</v>
      </c>
      <c r="W11" s="5" t="n">
        <f aca="false">V11/U11</f>
        <v>0.448275862068966</v>
      </c>
      <c r="X11" s="7" t="str">
        <f aca="false">INDEX(Positions!$E$2:$E$6912,MATCH($A11&amp;"|8",Positions!$A$2:$A$6912,0))</f>
        <v>U</v>
      </c>
      <c r="Y11" s="7" t="str">
        <f aca="false">INDEX(Positions!$E$2:$E$6912,MATCH($A11&amp;"|9",Positions!$A$2:$A$6912,0))</f>
        <v>G</v>
      </c>
      <c r="Z11" s="7" t="str">
        <f aca="false">INDEX(Positions!$E$2:$E$6912,MATCH($A11&amp;"|26",Positions!$A$2:$A$6912,0))</f>
        <v>G</v>
      </c>
      <c r="AA11" s="7" t="n">
        <f aca="false">(X11="G")+(Y11="G")+(Z11="G")</f>
        <v>2</v>
      </c>
      <c r="AB11" s="7" t="n">
        <f aca="false">(X11="C")+(Y11="C")+(Z11="C")</f>
        <v>0</v>
      </c>
      <c r="AC11" s="8" t="n">
        <f aca="false">AA11+AB11</f>
        <v>2</v>
      </c>
      <c r="AD11" s="9" t="n">
        <f aca="false">AC11/3</f>
        <v>0.666666666666667</v>
      </c>
      <c r="AE11" s="7" t="str">
        <f aca="false">IF(K11+V11+AC11=E11,"OK","MISMATCH")</f>
        <v>OK</v>
      </c>
      <c r="AF11" s="10" t="n">
        <f aca="false">B11-42</f>
        <v>32</v>
      </c>
      <c r="AG11" s="10" t="n">
        <f aca="false">V11+AC11</f>
        <v>15</v>
      </c>
      <c r="AH11" s="11" t="n">
        <f aca="false">AG11/AF11</f>
        <v>0.46875</v>
      </c>
      <c r="AI11" s="11" t="n">
        <f aca="false">L11</f>
        <v>0.80952380952381</v>
      </c>
      <c r="AJ11" s="12" t="n">
        <f aca="false">AI11-AH11</f>
        <v>0.34077380952381</v>
      </c>
    </row>
    <row r="12" customFormat="false" ht="15" hidden="false" customHeight="false" outlineLevel="0" collapsed="false">
      <c r="A12" s="3" t="s">
        <v>45</v>
      </c>
      <c r="B12" s="4" t="n">
        <f aca="false">COUNTIF(Positions!$B$2:$B$6912,A12)</f>
        <v>74</v>
      </c>
      <c r="C12" s="4" t="n">
        <f aca="false">COUNTIFS(Positions!$B$2:$B$6912,A12,Positions!$E$2:$E$6912,"G")</f>
        <v>22</v>
      </c>
      <c r="D12" s="4" t="n">
        <f aca="false">COUNTIFS(Positions!$B$2:$B$6912,A12,Positions!$E$2:$E$6912,"C")</f>
        <v>22</v>
      </c>
      <c r="E12" s="3" t="n">
        <f aca="false">C12+D12</f>
        <v>44</v>
      </c>
      <c r="F12" s="5" t="n">
        <f aca="false">E12/B12</f>
        <v>0.594594594594595</v>
      </c>
      <c r="G12" s="4" t="n">
        <f aca="false">SUMIFS(Stems_3D_BP!$K$2:$K$2689,Stems_3D_BP!$A$2:$A$2689,$A12,Stems_3D_BP!$B$2:$B$2689,"Acceptor stem")</f>
        <v>10</v>
      </c>
      <c r="H12" s="4" t="n">
        <f aca="false">SUMIFS(Stems_3D_BP!$K$2:$K$2689,Stems_3D_BP!$A$2:$A$2689,$A12,Stems_3D_BP!$B$2:$B$2689,"D-stem")</f>
        <v>4</v>
      </c>
      <c r="I12" s="4" t="n">
        <f aca="false">SUMIFS(Stems_3D_BP!$K$2:$K$2689,Stems_3D_BP!$A$2:$A$2689,$A12,Stems_3D_BP!$B$2:$B$2689,"Anticodon stem")</f>
        <v>8</v>
      </c>
      <c r="J12" s="4" t="n">
        <f aca="false">SUMIFS(Stems_3D_BP!$K$2:$K$2689,Stems_3D_BP!$A$2:$A$2689,$A12,Stems_3D_BP!$B$2:$B$2689,"T-stem")</f>
        <v>10</v>
      </c>
      <c r="K12" s="3" t="n">
        <f aca="false">SUM(G12:J12)</f>
        <v>32</v>
      </c>
      <c r="L12" s="5" t="n">
        <f aca="false">K12/42</f>
        <v>0.761904761904762</v>
      </c>
      <c r="M12" s="4" t="n">
        <f aca="false">SUMIFS(Stems_3D_BP!$K$2:$K$2689,Stems_3D_BP!$A$2:$A$2689,$A12,Stems_3D_BP!$B$2:$B$2689,"3D (tertiary) BP")</f>
        <v>5</v>
      </c>
      <c r="N12" s="6" t="n">
        <f aca="false">M12/14</f>
        <v>0.357142857142857</v>
      </c>
      <c r="O12" s="3" t="n">
        <f aca="false">K12+M12</f>
        <v>37</v>
      </c>
      <c r="P12" s="5" t="n">
        <f aca="false">O12/56</f>
        <v>0.660714285714286</v>
      </c>
      <c r="Q12" s="4" t="n">
        <f aca="false">SUMIFS(Loops!$I$2:$I$481,Loops!$A$2:$A$481,$A12,Loops!$B$2:$B$481,"D-loop")</f>
        <v>5</v>
      </c>
      <c r="R12" s="4" t="n">
        <f aca="false">SUMIFS(Loops!$I$2:$I$481,Loops!$A$2:$A$481,$A12,Loops!$B$2:$B$481,"Anticodon loop")</f>
        <v>2</v>
      </c>
      <c r="S12" s="4" t="n">
        <f aca="false">SUMIFS(Loops!$I$2:$I$481,Loops!$A$2:$A$481,$A12,Loops!$B$2:$B$481,"Variable loop")</f>
        <v>3</v>
      </c>
      <c r="T12" s="4" t="n">
        <f aca="false">SUMIFS(Loops!$I$2:$I$481,Loops!$A$2:$A$481,$A12,Loops!$B$2:$B$481,"TΨC-loop")</f>
        <v>1</v>
      </c>
      <c r="U12" s="4" t="n">
        <f aca="false">SUMIFS(Loops!$F$2:$F$481,Loops!$A$2:$A$481,$A12)-SUMIFS(Loops!$F$2:$F$481,Loops!$A$2:$A$481,$A12,Loops!$B$2:$B$481,"Positions 8, 9, 26")</f>
        <v>29</v>
      </c>
      <c r="V12" s="3" t="n">
        <f aca="false">SUM(Q12:T12)</f>
        <v>11</v>
      </c>
      <c r="W12" s="5" t="n">
        <f aca="false">V12/U12</f>
        <v>0.379310344827586</v>
      </c>
      <c r="X12" s="7" t="str">
        <f aca="false">INDEX(Positions!$E$2:$E$6912,MATCH($A12&amp;"|8",Positions!$A$2:$A$6912,0))</f>
        <v>U</v>
      </c>
      <c r="Y12" s="7" t="str">
        <f aca="false">INDEX(Positions!$E$2:$E$6912,MATCH($A12&amp;"|9",Positions!$A$2:$A$6912,0))</f>
        <v>G</v>
      </c>
      <c r="Z12" s="7" t="str">
        <f aca="false">INDEX(Positions!$E$2:$E$6912,MATCH($A12&amp;"|26",Positions!$A$2:$A$6912,0))</f>
        <v>A</v>
      </c>
      <c r="AA12" s="7" t="n">
        <f aca="false">(X12="G")+(Y12="G")+(Z12="G")</f>
        <v>1</v>
      </c>
      <c r="AB12" s="7" t="n">
        <f aca="false">(X12="C")+(Y12="C")+(Z12="C")</f>
        <v>0</v>
      </c>
      <c r="AC12" s="8" t="n">
        <f aca="false">AA12+AB12</f>
        <v>1</v>
      </c>
      <c r="AD12" s="9" t="n">
        <f aca="false">AC12/3</f>
        <v>0.333333333333333</v>
      </c>
      <c r="AE12" s="7" t="str">
        <f aca="false">IF(K12+V12+AC12=E12,"OK","MISMATCH")</f>
        <v>OK</v>
      </c>
      <c r="AF12" s="10" t="n">
        <f aca="false">B12-42</f>
        <v>32</v>
      </c>
      <c r="AG12" s="10" t="n">
        <f aca="false">V12+AC12</f>
        <v>12</v>
      </c>
      <c r="AH12" s="11" t="n">
        <f aca="false">AG12/AF12</f>
        <v>0.375</v>
      </c>
      <c r="AI12" s="11" t="n">
        <f aca="false">L12</f>
        <v>0.761904761904762</v>
      </c>
      <c r="AJ12" s="12" t="n">
        <f aca="false">AI12-AH12</f>
        <v>0.386904761904762</v>
      </c>
    </row>
    <row r="13" customFormat="false" ht="15" hidden="false" customHeight="false" outlineLevel="0" collapsed="false">
      <c r="A13" s="3" t="s">
        <v>46</v>
      </c>
      <c r="B13" s="4" t="n">
        <f aca="false">COUNTIF(Positions!$B$2:$B$6912,A13)</f>
        <v>74</v>
      </c>
      <c r="C13" s="4" t="n">
        <f aca="false">COUNTIFS(Positions!$B$2:$B$6912,A13,Positions!$E$2:$E$6912,"G")</f>
        <v>23</v>
      </c>
      <c r="D13" s="4" t="n">
        <f aca="false">COUNTIFS(Positions!$B$2:$B$6912,A13,Positions!$E$2:$E$6912,"C")</f>
        <v>21</v>
      </c>
      <c r="E13" s="3" t="n">
        <f aca="false">C13+D13</f>
        <v>44</v>
      </c>
      <c r="F13" s="5" t="n">
        <f aca="false">E13/B13</f>
        <v>0.594594594594595</v>
      </c>
      <c r="G13" s="4" t="n">
        <f aca="false">SUMIFS(Stems_3D_BP!$K$2:$K$2689,Stems_3D_BP!$A$2:$A$2689,$A13,Stems_3D_BP!$B$2:$B$2689,"Acceptor stem")</f>
        <v>10</v>
      </c>
      <c r="H13" s="4" t="n">
        <f aca="false">SUMIFS(Stems_3D_BP!$K$2:$K$2689,Stems_3D_BP!$A$2:$A$2689,$A13,Stems_3D_BP!$B$2:$B$2689,"D-stem")</f>
        <v>4</v>
      </c>
      <c r="I13" s="4" t="n">
        <f aca="false">SUMIFS(Stems_3D_BP!$K$2:$K$2689,Stems_3D_BP!$A$2:$A$2689,$A13,Stems_3D_BP!$B$2:$B$2689,"Anticodon stem")</f>
        <v>8</v>
      </c>
      <c r="J13" s="4" t="n">
        <f aca="false">SUMIFS(Stems_3D_BP!$K$2:$K$2689,Stems_3D_BP!$A$2:$A$2689,$A13,Stems_3D_BP!$B$2:$B$2689,"T-stem")</f>
        <v>10</v>
      </c>
      <c r="K13" s="3" t="n">
        <f aca="false">SUM(G13:J13)</f>
        <v>32</v>
      </c>
      <c r="L13" s="5" t="n">
        <f aca="false">K13/42</f>
        <v>0.761904761904762</v>
      </c>
      <c r="M13" s="4" t="n">
        <f aca="false">SUMIFS(Stems_3D_BP!$K$2:$K$2689,Stems_3D_BP!$A$2:$A$2689,$A13,Stems_3D_BP!$B$2:$B$2689,"3D (tertiary) BP")</f>
        <v>5</v>
      </c>
      <c r="N13" s="6" t="n">
        <f aca="false">M13/14</f>
        <v>0.357142857142857</v>
      </c>
      <c r="O13" s="3" t="n">
        <f aca="false">K13+M13</f>
        <v>37</v>
      </c>
      <c r="P13" s="5" t="n">
        <f aca="false">O13/56</f>
        <v>0.660714285714286</v>
      </c>
      <c r="Q13" s="4" t="n">
        <f aca="false">SUMIFS(Loops!$I$2:$I$481,Loops!$A$2:$A$481,$A13,Loops!$B$2:$B$481,"D-loop")</f>
        <v>5</v>
      </c>
      <c r="R13" s="4" t="n">
        <f aca="false">SUMIFS(Loops!$I$2:$I$481,Loops!$A$2:$A$481,$A13,Loops!$B$2:$B$481,"Anticodon loop")</f>
        <v>2</v>
      </c>
      <c r="S13" s="4" t="n">
        <f aca="false">SUMIFS(Loops!$I$2:$I$481,Loops!$A$2:$A$481,$A13,Loops!$B$2:$B$481,"Variable loop")</f>
        <v>3</v>
      </c>
      <c r="T13" s="4" t="n">
        <f aca="false">SUMIFS(Loops!$I$2:$I$481,Loops!$A$2:$A$481,$A13,Loops!$B$2:$B$481,"TΨC-loop")</f>
        <v>1</v>
      </c>
      <c r="U13" s="4" t="n">
        <f aca="false">SUMIFS(Loops!$F$2:$F$481,Loops!$A$2:$A$481,$A13)-SUMIFS(Loops!$F$2:$F$481,Loops!$A$2:$A$481,$A13,Loops!$B$2:$B$481,"Positions 8, 9, 26")</f>
        <v>29</v>
      </c>
      <c r="V13" s="3" t="n">
        <f aca="false">SUM(Q13:T13)</f>
        <v>11</v>
      </c>
      <c r="W13" s="5" t="n">
        <f aca="false">V13/U13</f>
        <v>0.379310344827586</v>
      </c>
      <c r="X13" s="7" t="str">
        <f aca="false">INDEX(Positions!$E$2:$E$6912,MATCH($A13&amp;"|8",Positions!$A$2:$A$6912,0))</f>
        <v>U</v>
      </c>
      <c r="Y13" s="7" t="str">
        <f aca="false">INDEX(Positions!$E$2:$E$6912,MATCH($A13&amp;"|9",Positions!$A$2:$A$6912,0))</f>
        <v>G</v>
      </c>
      <c r="Z13" s="7" t="str">
        <f aca="false">INDEX(Positions!$E$2:$E$6912,MATCH($A13&amp;"|26",Positions!$A$2:$A$6912,0))</f>
        <v>A</v>
      </c>
      <c r="AA13" s="7" t="n">
        <f aca="false">(X13="G")+(Y13="G")+(Z13="G")</f>
        <v>1</v>
      </c>
      <c r="AB13" s="7" t="n">
        <f aca="false">(X13="C")+(Y13="C")+(Z13="C")</f>
        <v>0</v>
      </c>
      <c r="AC13" s="8" t="n">
        <f aca="false">AA13+AB13</f>
        <v>1</v>
      </c>
      <c r="AD13" s="9" t="n">
        <f aca="false">AC13/3</f>
        <v>0.333333333333333</v>
      </c>
      <c r="AE13" s="7" t="str">
        <f aca="false">IF(K13+V13+AC13=E13,"OK","MISMATCH")</f>
        <v>OK</v>
      </c>
      <c r="AF13" s="10" t="n">
        <f aca="false">B13-42</f>
        <v>32</v>
      </c>
      <c r="AG13" s="10" t="n">
        <f aca="false">V13+AC13</f>
        <v>12</v>
      </c>
      <c r="AH13" s="11" t="n">
        <f aca="false">AG13/AF13</f>
        <v>0.375</v>
      </c>
      <c r="AI13" s="11" t="n">
        <f aca="false">L13</f>
        <v>0.761904761904762</v>
      </c>
      <c r="AJ13" s="12" t="n">
        <f aca="false">AI13-AH13</f>
        <v>0.386904761904762</v>
      </c>
    </row>
    <row r="14" customFormat="false" ht="15" hidden="false" customHeight="false" outlineLevel="0" collapsed="false">
      <c r="A14" s="3" t="s">
        <v>47</v>
      </c>
      <c r="B14" s="4" t="n">
        <f aca="false">COUNTIF(Positions!$B$2:$B$6912,A14)</f>
        <v>71</v>
      </c>
      <c r="C14" s="4" t="n">
        <f aca="false">COUNTIFS(Positions!$B$2:$B$6912,A14,Positions!$E$2:$E$6912,"G")</f>
        <v>21</v>
      </c>
      <c r="D14" s="4" t="n">
        <f aca="false">COUNTIFS(Positions!$B$2:$B$6912,A14,Positions!$E$2:$E$6912,"C")</f>
        <v>18</v>
      </c>
      <c r="E14" s="3" t="n">
        <f aca="false">C14+D14</f>
        <v>39</v>
      </c>
      <c r="F14" s="5" t="n">
        <f aca="false">E14/B14</f>
        <v>0.549295774647887</v>
      </c>
      <c r="G14" s="4" t="n">
        <f aca="false">SUMIFS(Stems_3D_BP!$K$2:$K$2689,Stems_3D_BP!$A$2:$A$2689,$A14,Stems_3D_BP!$B$2:$B$2689,"Acceptor stem")</f>
        <v>6</v>
      </c>
      <c r="H14" s="4" t="n">
        <f aca="false">SUMIFS(Stems_3D_BP!$K$2:$K$2689,Stems_3D_BP!$A$2:$A$2689,$A14,Stems_3D_BP!$B$2:$B$2689,"D-stem")</f>
        <v>4</v>
      </c>
      <c r="I14" s="4" t="n">
        <f aca="false">SUMIFS(Stems_3D_BP!$K$2:$K$2689,Stems_3D_BP!$A$2:$A$2689,$A14,Stems_3D_BP!$B$2:$B$2689,"Anticodon stem")</f>
        <v>6</v>
      </c>
      <c r="J14" s="4" t="n">
        <f aca="false">SUMIFS(Stems_3D_BP!$K$2:$K$2689,Stems_3D_BP!$A$2:$A$2689,$A14,Stems_3D_BP!$B$2:$B$2689,"T-stem")</f>
        <v>10</v>
      </c>
      <c r="K14" s="3" t="n">
        <f aca="false">SUM(G14:J14)</f>
        <v>26</v>
      </c>
      <c r="L14" s="5" t="n">
        <f aca="false">K14/42</f>
        <v>0.619047619047619</v>
      </c>
      <c r="M14" s="4" t="n">
        <f aca="false">SUMIFS(Stems_3D_BP!$K$2:$K$2689,Stems_3D_BP!$A$2:$A$2689,$A14,Stems_3D_BP!$B$2:$B$2689,"3D (tertiary) BP")</f>
        <v>7</v>
      </c>
      <c r="N14" s="6" t="n">
        <f aca="false">M14/14</f>
        <v>0.5</v>
      </c>
      <c r="O14" s="3" t="n">
        <f aca="false">K14+M14</f>
        <v>33</v>
      </c>
      <c r="P14" s="5" t="n">
        <f aca="false">O14/56</f>
        <v>0.589285714285714</v>
      </c>
      <c r="Q14" s="4" t="n">
        <f aca="false">SUMIFS(Loops!$I$2:$I$481,Loops!$A$2:$A$481,$A14,Loops!$B$2:$B$481,"D-loop")</f>
        <v>4</v>
      </c>
      <c r="R14" s="4" t="n">
        <f aca="false">SUMIFS(Loops!$I$2:$I$481,Loops!$A$2:$A$481,$A14,Loops!$B$2:$B$481,"Anticodon loop")</f>
        <v>3</v>
      </c>
      <c r="S14" s="4" t="n">
        <f aca="false">SUMIFS(Loops!$I$2:$I$481,Loops!$A$2:$A$481,$A14,Loops!$B$2:$B$481,"Variable loop")</f>
        <v>3</v>
      </c>
      <c r="T14" s="4" t="n">
        <f aca="false">SUMIFS(Loops!$I$2:$I$481,Loops!$A$2:$A$481,$A14,Loops!$B$2:$B$481,"TΨC-loop")</f>
        <v>2</v>
      </c>
      <c r="U14" s="4" t="n">
        <f aca="false">SUMIFS(Loops!$F$2:$F$481,Loops!$A$2:$A$481,$A14)-SUMIFS(Loops!$F$2:$F$481,Loops!$A$2:$A$481,$A14,Loops!$B$2:$B$481,"Positions 8, 9, 26")</f>
        <v>26</v>
      </c>
      <c r="V14" s="3" t="n">
        <f aca="false">SUM(Q14:T14)</f>
        <v>12</v>
      </c>
      <c r="W14" s="5" t="n">
        <f aca="false">V14/U14</f>
        <v>0.461538461538462</v>
      </c>
      <c r="X14" s="7" t="str">
        <f aca="false">INDEX(Positions!$E$2:$E$6912,MATCH($A14&amp;"|8",Positions!$A$2:$A$6912,0))</f>
        <v>U</v>
      </c>
      <c r="Y14" s="7" t="str">
        <f aca="false">INDEX(Positions!$E$2:$E$6912,MATCH($A14&amp;"|9",Positions!$A$2:$A$6912,0))</f>
        <v>G</v>
      </c>
      <c r="Z14" s="7" t="str">
        <f aca="false">INDEX(Positions!$E$2:$E$6912,MATCH($A14&amp;"|26",Positions!$A$2:$A$6912,0))</f>
        <v>A</v>
      </c>
      <c r="AA14" s="7" t="n">
        <f aca="false">(X14="G")+(Y14="G")+(Z14="G")</f>
        <v>1</v>
      </c>
      <c r="AB14" s="7" t="n">
        <f aca="false">(X14="C")+(Y14="C")+(Z14="C")</f>
        <v>0</v>
      </c>
      <c r="AC14" s="8" t="n">
        <f aca="false">AA14+AB14</f>
        <v>1</v>
      </c>
      <c r="AD14" s="9" t="n">
        <f aca="false">AC14/3</f>
        <v>0.333333333333333</v>
      </c>
      <c r="AE14" s="7" t="str">
        <f aca="false">IF(K14+V14+AC14=E14,"OK","MISMATCH")</f>
        <v>OK</v>
      </c>
      <c r="AF14" s="10" t="n">
        <f aca="false">B14-42</f>
        <v>29</v>
      </c>
      <c r="AG14" s="10" t="n">
        <f aca="false">V14+AC14</f>
        <v>13</v>
      </c>
      <c r="AH14" s="11" t="n">
        <f aca="false">AG14/AF14</f>
        <v>0.448275862068966</v>
      </c>
      <c r="AI14" s="11" t="n">
        <f aca="false">L14</f>
        <v>0.619047619047619</v>
      </c>
      <c r="AJ14" s="12" t="n">
        <f aca="false">AI14-AH14</f>
        <v>0.170771756978654</v>
      </c>
    </row>
    <row r="15" customFormat="false" ht="15" hidden="false" customHeight="false" outlineLevel="0" collapsed="false">
      <c r="A15" s="3" t="s">
        <v>48</v>
      </c>
      <c r="B15" s="4" t="n">
        <f aca="false">COUNTIF(Positions!$B$2:$B$6912,A15)</f>
        <v>71</v>
      </c>
      <c r="C15" s="4" t="n">
        <f aca="false">COUNTIFS(Positions!$B$2:$B$6912,A15,Positions!$E$2:$E$6912,"G")</f>
        <v>23</v>
      </c>
      <c r="D15" s="4" t="n">
        <f aca="false">COUNTIFS(Positions!$B$2:$B$6912,A15,Positions!$E$2:$E$6912,"C")</f>
        <v>20</v>
      </c>
      <c r="E15" s="3" t="n">
        <f aca="false">C15+D15</f>
        <v>43</v>
      </c>
      <c r="F15" s="5" t="n">
        <f aca="false">E15/B15</f>
        <v>0.605633802816901</v>
      </c>
      <c r="G15" s="4" t="n">
        <f aca="false">SUMIFS(Stems_3D_BP!$K$2:$K$2689,Stems_3D_BP!$A$2:$A$2689,$A15,Stems_3D_BP!$B$2:$B$2689,"Acceptor stem")</f>
        <v>10</v>
      </c>
      <c r="H15" s="4" t="n">
        <f aca="false">SUMIFS(Stems_3D_BP!$K$2:$K$2689,Stems_3D_BP!$A$2:$A$2689,$A15,Stems_3D_BP!$B$2:$B$2689,"D-stem")</f>
        <v>5</v>
      </c>
      <c r="I15" s="4" t="n">
        <f aca="false">SUMIFS(Stems_3D_BP!$K$2:$K$2689,Stems_3D_BP!$A$2:$A$2689,$A15,Stems_3D_BP!$B$2:$B$2689,"Anticodon stem")</f>
        <v>8</v>
      </c>
      <c r="J15" s="4" t="n">
        <f aca="false">SUMIFS(Stems_3D_BP!$K$2:$K$2689,Stems_3D_BP!$A$2:$A$2689,$A15,Stems_3D_BP!$B$2:$B$2689,"T-stem")</f>
        <v>8</v>
      </c>
      <c r="K15" s="3" t="n">
        <f aca="false">SUM(G15:J15)</f>
        <v>31</v>
      </c>
      <c r="L15" s="5" t="n">
        <f aca="false">K15/42</f>
        <v>0.738095238095238</v>
      </c>
      <c r="M15" s="4" t="n">
        <f aca="false">SUMIFS(Stems_3D_BP!$K$2:$K$2689,Stems_3D_BP!$A$2:$A$2689,$A15,Stems_3D_BP!$B$2:$B$2689,"3D (tertiary) BP")</f>
        <v>7</v>
      </c>
      <c r="N15" s="6" t="n">
        <f aca="false">M15/14</f>
        <v>0.5</v>
      </c>
      <c r="O15" s="3" t="n">
        <f aca="false">K15+M15</f>
        <v>38</v>
      </c>
      <c r="P15" s="5" t="n">
        <f aca="false">O15/56</f>
        <v>0.678571428571429</v>
      </c>
      <c r="Q15" s="4" t="n">
        <f aca="false">SUMIFS(Loops!$I$2:$I$481,Loops!$A$2:$A$481,$A15,Loops!$B$2:$B$481,"D-loop")</f>
        <v>3</v>
      </c>
      <c r="R15" s="4" t="n">
        <f aca="false">SUMIFS(Loops!$I$2:$I$481,Loops!$A$2:$A$481,$A15,Loops!$B$2:$B$481,"Anticodon loop")</f>
        <v>4</v>
      </c>
      <c r="S15" s="4" t="n">
        <f aca="false">SUMIFS(Loops!$I$2:$I$481,Loops!$A$2:$A$481,$A15,Loops!$B$2:$B$481,"Variable loop")</f>
        <v>1</v>
      </c>
      <c r="T15" s="4" t="n">
        <f aca="false">SUMIFS(Loops!$I$2:$I$481,Loops!$A$2:$A$481,$A15,Loops!$B$2:$B$481,"TΨC-loop")</f>
        <v>2</v>
      </c>
      <c r="U15" s="4" t="n">
        <f aca="false">SUMIFS(Loops!$F$2:$F$481,Loops!$A$2:$A$481,$A15)-SUMIFS(Loops!$F$2:$F$481,Loops!$A$2:$A$481,$A15,Loops!$B$2:$B$481,"Positions 8, 9, 26")</f>
        <v>26</v>
      </c>
      <c r="V15" s="3" t="n">
        <f aca="false">SUM(Q15:T15)</f>
        <v>10</v>
      </c>
      <c r="W15" s="5" t="n">
        <f aca="false">V15/U15</f>
        <v>0.384615384615385</v>
      </c>
      <c r="X15" s="7" t="str">
        <f aca="false">INDEX(Positions!$E$2:$E$6912,MATCH($A15&amp;"|8",Positions!$A$2:$A$6912,0))</f>
        <v>U</v>
      </c>
      <c r="Y15" s="7" t="str">
        <f aca="false">INDEX(Positions!$E$2:$E$6912,MATCH($A15&amp;"|9",Positions!$A$2:$A$6912,0))</f>
        <v>C</v>
      </c>
      <c r="Z15" s="7" t="str">
        <f aca="false">INDEX(Positions!$E$2:$E$6912,MATCH($A15&amp;"|26",Positions!$A$2:$A$6912,0))</f>
        <v>C</v>
      </c>
      <c r="AA15" s="7" t="n">
        <f aca="false">(X15="G")+(Y15="G")+(Z15="G")</f>
        <v>0</v>
      </c>
      <c r="AB15" s="7" t="n">
        <f aca="false">(X15="C")+(Y15="C")+(Z15="C")</f>
        <v>2</v>
      </c>
      <c r="AC15" s="8" t="n">
        <f aca="false">AA15+AB15</f>
        <v>2</v>
      </c>
      <c r="AD15" s="9" t="n">
        <f aca="false">AC15/3</f>
        <v>0.666666666666667</v>
      </c>
      <c r="AE15" s="7" t="str">
        <f aca="false">IF(K15+V15+AC15=E15,"OK","MISMATCH")</f>
        <v>OK</v>
      </c>
      <c r="AF15" s="10" t="n">
        <f aca="false">B15-42</f>
        <v>29</v>
      </c>
      <c r="AG15" s="10" t="n">
        <f aca="false">V15+AC15</f>
        <v>12</v>
      </c>
      <c r="AH15" s="11" t="n">
        <f aca="false">AG15/AF15</f>
        <v>0.413793103448276</v>
      </c>
      <c r="AI15" s="11" t="n">
        <f aca="false">L15</f>
        <v>0.738095238095238</v>
      </c>
      <c r="AJ15" s="12" t="n">
        <f aca="false">AI15-AH15</f>
        <v>0.324302134646962</v>
      </c>
    </row>
    <row r="16" customFormat="false" ht="15" hidden="false" customHeight="false" outlineLevel="0" collapsed="false">
      <c r="A16" s="3" t="s">
        <v>49</v>
      </c>
      <c r="B16" s="4" t="n">
        <f aca="false">COUNTIF(Positions!$B$2:$B$6912,A16)</f>
        <v>71</v>
      </c>
      <c r="C16" s="4" t="n">
        <f aca="false">COUNTIFS(Positions!$B$2:$B$6912,A16,Positions!$E$2:$E$6912,"G")</f>
        <v>24</v>
      </c>
      <c r="D16" s="4" t="n">
        <f aca="false">COUNTIFS(Positions!$B$2:$B$6912,A16,Positions!$E$2:$E$6912,"C")</f>
        <v>19</v>
      </c>
      <c r="E16" s="3" t="n">
        <f aca="false">C16+D16</f>
        <v>43</v>
      </c>
      <c r="F16" s="5" t="n">
        <f aca="false">E16/B16</f>
        <v>0.605633802816901</v>
      </c>
      <c r="G16" s="4" t="n">
        <f aca="false">SUMIFS(Stems_3D_BP!$K$2:$K$2689,Stems_3D_BP!$A$2:$A$2689,$A16,Stems_3D_BP!$B$2:$B$2689,"Acceptor stem")</f>
        <v>8</v>
      </c>
      <c r="H16" s="4" t="n">
        <f aca="false">SUMIFS(Stems_3D_BP!$K$2:$K$2689,Stems_3D_BP!$A$2:$A$2689,$A16,Stems_3D_BP!$B$2:$B$2689,"D-stem")</f>
        <v>7</v>
      </c>
      <c r="I16" s="4" t="n">
        <f aca="false">SUMIFS(Stems_3D_BP!$K$2:$K$2689,Stems_3D_BP!$A$2:$A$2689,$A16,Stems_3D_BP!$B$2:$B$2689,"Anticodon stem")</f>
        <v>8</v>
      </c>
      <c r="J16" s="4" t="n">
        <f aca="false">SUMIFS(Stems_3D_BP!$K$2:$K$2689,Stems_3D_BP!$A$2:$A$2689,$A16,Stems_3D_BP!$B$2:$B$2689,"T-stem")</f>
        <v>7</v>
      </c>
      <c r="K16" s="3" t="n">
        <f aca="false">SUM(G16:J16)</f>
        <v>30</v>
      </c>
      <c r="L16" s="5" t="n">
        <f aca="false">K16/42</f>
        <v>0.714285714285714</v>
      </c>
      <c r="M16" s="4" t="n">
        <f aca="false">SUMIFS(Stems_3D_BP!$K$2:$K$2689,Stems_3D_BP!$A$2:$A$2689,$A16,Stems_3D_BP!$B$2:$B$2689,"3D (tertiary) BP")</f>
        <v>7</v>
      </c>
      <c r="N16" s="6" t="n">
        <f aca="false">M16/14</f>
        <v>0.5</v>
      </c>
      <c r="O16" s="3" t="n">
        <f aca="false">K16+M16</f>
        <v>37</v>
      </c>
      <c r="P16" s="5" t="n">
        <f aca="false">O16/56</f>
        <v>0.660714285714286</v>
      </c>
      <c r="Q16" s="4" t="n">
        <f aca="false">SUMIFS(Loops!$I$2:$I$481,Loops!$A$2:$A$481,$A16,Loops!$B$2:$B$481,"D-loop")</f>
        <v>3</v>
      </c>
      <c r="R16" s="4" t="n">
        <f aca="false">SUMIFS(Loops!$I$2:$I$481,Loops!$A$2:$A$481,$A16,Loops!$B$2:$B$481,"Anticodon loop")</f>
        <v>3</v>
      </c>
      <c r="S16" s="4" t="n">
        <f aca="false">SUMIFS(Loops!$I$2:$I$481,Loops!$A$2:$A$481,$A16,Loops!$B$2:$B$481,"Variable loop")</f>
        <v>3</v>
      </c>
      <c r="T16" s="4" t="n">
        <f aca="false">SUMIFS(Loops!$I$2:$I$481,Loops!$A$2:$A$481,$A16,Loops!$B$2:$B$481,"TΨC-loop")</f>
        <v>2</v>
      </c>
      <c r="U16" s="4" t="n">
        <f aca="false">SUMIFS(Loops!$F$2:$F$481,Loops!$A$2:$A$481,$A16)-SUMIFS(Loops!$F$2:$F$481,Loops!$A$2:$A$481,$A16,Loops!$B$2:$B$481,"Positions 8, 9, 26")</f>
        <v>26</v>
      </c>
      <c r="V16" s="3" t="n">
        <f aca="false">SUM(Q16:T16)</f>
        <v>11</v>
      </c>
      <c r="W16" s="5" t="n">
        <f aca="false">V16/U16</f>
        <v>0.423076923076923</v>
      </c>
      <c r="X16" s="7" t="str">
        <f aca="false">INDEX(Positions!$E$2:$E$6912,MATCH($A16&amp;"|8",Positions!$A$2:$A$6912,0))</f>
        <v>U</v>
      </c>
      <c r="Y16" s="7" t="str">
        <f aca="false">INDEX(Positions!$E$2:$E$6912,MATCH($A16&amp;"|9",Positions!$A$2:$A$6912,0))</f>
        <v>G</v>
      </c>
      <c r="Z16" s="7" t="str">
        <f aca="false">INDEX(Positions!$E$2:$E$6912,MATCH($A16&amp;"|26",Positions!$A$2:$A$6912,0))</f>
        <v>G</v>
      </c>
      <c r="AA16" s="7" t="n">
        <f aca="false">(X16="G")+(Y16="G")+(Z16="G")</f>
        <v>2</v>
      </c>
      <c r="AB16" s="7" t="n">
        <f aca="false">(X16="C")+(Y16="C")+(Z16="C")</f>
        <v>0</v>
      </c>
      <c r="AC16" s="8" t="n">
        <f aca="false">AA16+AB16</f>
        <v>2</v>
      </c>
      <c r="AD16" s="9" t="n">
        <f aca="false">AC16/3</f>
        <v>0.666666666666667</v>
      </c>
      <c r="AE16" s="7" t="str">
        <f aca="false">IF(K16+V16+AC16=E16,"OK","MISMATCH")</f>
        <v>OK</v>
      </c>
      <c r="AF16" s="10" t="n">
        <f aca="false">B16-42</f>
        <v>29</v>
      </c>
      <c r="AG16" s="10" t="n">
        <f aca="false">V16+AC16</f>
        <v>13</v>
      </c>
      <c r="AH16" s="11" t="n">
        <f aca="false">AG16/AF16</f>
        <v>0.448275862068966</v>
      </c>
      <c r="AI16" s="11" t="n">
        <f aca="false">L16</f>
        <v>0.714285714285714</v>
      </c>
      <c r="AJ16" s="12" t="n">
        <f aca="false">AI16-AH16</f>
        <v>0.266009852216749</v>
      </c>
    </row>
    <row r="17" customFormat="false" ht="15" hidden="false" customHeight="false" outlineLevel="0" collapsed="false">
      <c r="A17" s="3" t="s">
        <v>50</v>
      </c>
      <c r="B17" s="4" t="n">
        <f aca="false">COUNTIF(Positions!$B$2:$B$6912,A17)</f>
        <v>72</v>
      </c>
      <c r="C17" s="4" t="n">
        <f aca="false">COUNTIFS(Positions!$B$2:$B$6912,A17,Positions!$E$2:$E$6912,"G")</f>
        <v>22</v>
      </c>
      <c r="D17" s="4" t="n">
        <f aca="false">COUNTIFS(Positions!$B$2:$B$6912,A17,Positions!$E$2:$E$6912,"C")</f>
        <v>18</v>
      </c>
      <c r="E17" s="3" t="n">
        <f aca="false">C17+D17</f>
        <v>40</v>
      </c>
      <c r="F17" s="5" t="n">
        <f aca="false">E17/B17</f>
        <v>0.555555555555556</v>
      </c>
      <c r="G17" s="4" t="n">
        <f aca="false">SUMIFS(Stems_3D_BP!$K$2:$K$2689,Stems_3D_BP!$A$2:$A$2689,$A17,Stems_3D_BP!$B$2:$B$2689,"Acceptor stem")</f>
        <v>11</v>
      </c>
      <c r="H17" s="4" t="n">
        <f aca="false">SUMIFS(Stems_3D_BP!$K$2:$K$2689,Stems_3D_BP!$A$2:$A$2689,$A17,Stems_3D_BP!$B$2:$B$2689,"D-stem")</f>
        <v>6</v>
      </c>
      <c r="I17" s="4" t="n">
        <f aca="false">SUMIFS(Stems_3D_BP!$K$2:$K$2689,Stems_3D_BP!$A$2:$A$2689,$A17,Stems_3D_BP!$B$2:$B$2689,"Anticodon stem")</f>
        <v>4</v>
      </c>
      <c r="J17" s="4" t="n">
        <f aca="false">SUMIFS(Stems_3D_BP!$K$2:$K$2689,Stems_3D_BP!$A$2:$A$2689,$A17,Stems_3D_BP!$B$2:$B$2689,"T-stem")</f>
        <v>8</v>
      </c>
      <c r="K17" s="3" t="n">
        <f aca="false">SUM(G17:J17)</f>
        <v>29</v>
      </c>
      <c r="L17" s="5" t="n">
        <f aca="false">K17/42</f>
        <v>0.690476190476191</v>
      </c>
      <c r="M17" s="4" t="n">
        <f aca="false">SUMIFS(Stems_3D_BP!$K$2:$K$2689,Stems_3D_BP!$A$2:$A$2689,$A17,Stems_3D_BP!$B$2:$B$2689,"3D (tertiary) BP")</f>
        <v>7</v>
      </c>
      <c r="N17" s="6" t="n">
        <f aca="false">M17/14</f>
        <v>0.5</v>
      </c>
      <c r="O17" s="3" t="n">
        <f aca="false">K17+M17</f>
        <v>36</v>
      </c>
      <c r="P17" s="5" t="n">
        <f aca="false">O17/56</f>
        <v>0.642857142857143</v>
      </c>
      <c r="Q17" s="4" t="n">
        <f aca="false">SUMIFS(Loops!$I$2:$I$481,Loops!$A$2:$A$481,$A17,Loops!$B$2:$B$481,"D-loop")</f>
        <v>4</v>
      </c>
      <c r="R17" s="4" t="n">
        <f aca="false">SUMIFS(Loops!$I$2:$I$481,Loops!$A$2:$A$481,$A17,Loops!$B$2:$B$481,"Anticodon loop")</f>
        <v>1</v>
      </c>
      <c r="S17" s="4" t="n">
        <f aca="false">SUMIFS(Loops!$I$2:$I$481,Loops!$A$2:$A$481,$A17,Loops!$B$2:$B$481,"Variable loop")</f>
        <v>4</v>
      </c>
      <c r="T17" s="4" t="n">
        <f aca="false">SUMIFS(Loops!$I$2:$I$481,Loops!$A$2:$A$481,$A17,Loops!$B$2:$B$481,"TΨC-loop")</f>
        <v>2</v>
      </c>
      <c r="U17" s="4" t="n">
        <f aca="false">SUMIFS(Loops!$F$2:$F$481,Loops!$A$2:$A$481,$A17)-SUMIFS(Loops!$F$2:$F$481,Loops!$A$2:$A$481,$A17,Loops!$B$2:$B$481,"Positions 8, 9, 26")</f>
        <v>27</v>
      </c>
      <c r="V17" s="3" t="n">
        <f aca="false">SUM(Q17:T17)</f>
        <v>11</v>
      </c>
      <c r="W17" s="5" t="n">
        <f aca="false">V17/U17</f>
        <v>0.407407407407407</v>
      </c>
      <c r="X17" s="7" t="str">
        <f aca="false">INDEX(Positions!$E$2:$E$6912,MATCH($A17&amp;"|8",Positions!$A$2:$A$6912,0))</f>
        <v>U</v>
      </c>
      <c r="Y17" s="7" t="str">
        <f aca="false">INDEX(Positions!$E$2:$E$6912,MATCH($A17&amp;"|9",Positions!$A$2:$A$6912,0))</f>
        <v>A</v>
      </c>
      <c r="Z17" s="7" t="str">
        <f aca="false">INDEX(Positions!$E$2:$E$6912,MATCH($A17&amp;"|26",Positions!$A$2:$A$6912,0))</f>
        <v>A</v>
      </c>
      <c r="AA17" s="7" t="n">
        <f aca="false">(X17="G")+(Y17="G")+(Z17="G")</f>
        <v>0</v>
      </c>
      <c r="AB17" s="7" t="n">
        <f aca="false">(X17="C")+(Y17="C")+(Z17="C")</f>
        <v>0</v>
      </c>
      <c r="AC17" s="8" t="n">
        <f aca="false">AA17+AB17</f>
        <v>0</v>
      </c>
      <c r="AD17" s="9" t="n">
        <f aca="false">AC17/3</f>
        <v>0</v>
      </c>
      <c r="AE17" s="7" t="str">
        <f aca="false">IF(K17+V17+AC17=E17,"OK","MISMATCH")</f>
        <v>OK</v>
      </c>
      <c r="AF17" s="10" t="n">
        <f aca="false">B17-42</f>
        <v>30</v>
      </c>
      <c r="AG17" s="10" t="n">
        <f aca="false">V17+AC17</f>
        <v>11</v>
      </c>
      <c r="AH17" s="11" t="n">
        <f aca="false">AG17/AF17</f>
        <v>0.366666666666667</v>
      </c>
      <c r="AI17" s="11" t="n">
        <f aca="false">L17</f>
        <v>0.690476190476191</v>
      </c>
      <c r="AJ17" s="12" t="n">
        <f aca="false">AI17-AH17</f>
        <v>0.323809523809524</v>
      </c>
    </row>
    <row r="18" customFormat="false" ht="15" hidden="false" customHeight="false" outlineLevel="0" collapsed="false">
      <c r="A18" s="3" t="s">
        <v>51</v>
      </c>
      <c r="B18" s="4" t="n">
        <f aca="false">COUNTIF(Positions!$B$2:$B$6912,A18)</f>
        <v>72</v>
      </c>
      <c r="C18" s="4" t="n">
        <f aca="false">COUNTIFS(Positions!$B$2:$B$6912,A18,Positions!$E$2:$E$6912,"G")</f>
        <v>24</v>
      </c>
      <c r="D18" s="4" t="n">
        <f aca="false">COUNTIFS(Positions!$B$2:$B$6912,A18,Positions!$E$2:$E$6912,"C")</f>
        <v>20</v>
      </c>
      <c r="E18" s="3" t="n">
        <f aca="false">C18+D18</f>
        <v>44</v>
      </c>
      <c r="F18" s="5" t="n">
        <f aca="false">E18/B18</f>
        <v>0.611111111111111</v>
      </c>
      <c r="G18" s="4" t="n">
        <f aca="false">SUMIFS(Stems_3D_BP!$K$2:$K$2689,Stems_3D_BP!$A$2:$A$2689,$A18,Stems_3D_BP!$B$2:$B$2689,"Acceptor stem")</f>
        <v>12</v>
      </c>
      <c r="H18" s="4" t="n">
        <f aca="false">SUMIFS(Stems_3D_BP!$K$2:$K$2689,Stems_3D_BP!$A$2:$A$2689,$A18,Stems_3D_BP!$B$2:$B$2689,"D-stem")</f>
        <v>6</v>
      </c>
      <c r="I18" s="4" t="n">
        <f aca="false">SUMIFS(Stems_3D_BP!$K$2:$K$2689,Stems_3D_BP!$A$2:$A$2689,$A18,Stems_3D_BP!$B$2:$B$2689,"Anticodon stem")</f>
        <v>4</v>
      </c>
      <c r="J18" s="4" t="n">
        <f aca="false">SUMIFS(Stems_3D_BP!$K$2:$K$2689,Stems_3D_BP!$A$2:$A$2689,$A18,Stems_3D_BP!$B$2:$B$2689,"T-stem")</f>
        <v>8</v>
      </c>
      <c r="K18" s="3" t="n">
        <f aca="false">SUM(G18:J18)</f>
        <v>30</v>
      </c>
      <c r="L18" s="5" t="n">
        <f aca="false">K18/42</f>
        <v>0.714285714285714</v>
      </c>
      <c r="M18" s="4" t="n">
        <f aca="false">SUMIFS(Stems_3D_BP!$K$2:$K$2689,Stems_3D_BP!$A$2:$A$2689,$A18,Stems_3D_BP!$B$2:$B$2689,"3D (tertiary) BP")</f>
        <v>7</v>
      </c>
      <c r="N18" s="6" t="n">
        <f aca="false">M18/14</f>
        <v>0.5</v>
      </c>
      <c r="O18" s="3" t="n">
        <f aca="false">K18+M18</f>
        <v>37</v>
      </c>
      <c r="P18" s="5" t="n">
        <f aca="false">O18/56</f>
        <v>0.660714285714286</v>
      </c>
      <c r="Q18" s="4" t="n">
        <f aca="false">SUMIFS(Loops!$I$2:$I$481,Loops!$A$2:$A$481,$A18,Loops!$B$2:$B$481,"D-loop")</f>
        <v>4</v>
      </c>
      <c r="R18" s="4" t="n">
        <f aca="false">SUMIFS(Loops!$I$2:$I$481,Loops!$A$2:$A$481,$A18,Loops!$B$2:$B$481,"Anticodon loop")</f>
        <v>2</v>
      </c>
      <c r="S18" s="4" t="n">
        <f aca="false">SUMIFS(Loops!$I$2:$I$481,Loops!$A$2:$A$481,$A18,Loops!$B$2:$B$481,"Variable loop")</f>
        <v>4</v>
      </c>
      <c r="T18" s="4" t="n">
        <f aca="false">SUMIFS(Loops!$I$2:$I$481,Loops!$A$2:$A$481,$A18,Loops!$B$2:$B$481,"TΨC-loop")</f>
        <v>4</v>
      </c>
      <c r="U18" s="4" t="n">
        <f aca="false">SUMIFS(Loops!$F$2:$F$481,Loops!$A$2:$A$481,$A18)-SUMIFS(Loops!$F$2:$F$481,Loops!$A$2:$A$481,$A18,Loops!$B$2:$B$481,"Positions 8, 9, 26")</f>
        <v>27</v>
      </c>
      <c r="V18" s="3" t="n">
        <f aca="false">SUM(Q18:T18)</f>
        <v>14</v>
      </c>
      <c r="W18" s="5" t="n">
        <f aca="false">V18/U18</f>
        <v>0.518518518518519</v>
      </c>
      <c r="X18" s="7" t="str">
        <f aca="false">INDEX(Positions!$E$2:$E$6912,MATCH($A18&amp;"|8",Positions!$A$2:$A$6912,0))</f>
        <v>U</v>
      </c>
      <c r="Y18" s="7" t="str">
        <f aca="false">INDEX(Positions!$E$2:$E$6912,MATCH($A18&amp;"|9",Positions!$A$2:$A$6912,0))</f>
        <v>A</v>
      </c>
      <c r="Z18" s="7" t="str">
        <f aca="false">INDEX(Positions!$E$2:$E$6912,MATCH($A18&amp;"|26",Positions!$A$2:$A$6912,0))</f>
        <v>A</v>
      </c>
      <c r="AA18" s="7" t="n">
        <f aca="false">(X18="G")+(Y18="G")+(Z18="G")</f>
        <v>0</v>
      </c>
      <c r="AB18" s="7" t="n">
        <f aca="false">(X18="C")+(Y18="C")+(Z18="C")</f>
        <v>0</v>
      </c>
      <c r="AC18" s="8" t="n">
        <f aca="false">AA18+AB18</f>
        <v>0</v>
      </c>
      <c r="AD18" s="9" t="n">
        <f aca="false">AC18/3</f>
        <v>0</v>
      </c>
      <c r="AE18" s="7" t="str">
        <f aca="false">IF(K18+V18+AC18=E18,"OK","MISMATCH")</f>
        <v>OK</v>
      </c>
      <c r="AF18" s="10" t="n">
        <f aca="false">B18-42</f>
        <v>30</v>
      </c>
      <c r="AG18" s="10" t="n">
        <f aca="false">V18+AC18</f>
        <v>14</v>
      </c>
      <c r="AH18" s="11" t="n">
        <f aca="false">AG18/AF18</f>
        <v>0.466666666666667</v>
      </c>
      <c r="AI18" s="11" t="n">
        <f aca="false">L18</f>
        <v>0.714285714285714</v>
      </c>
      <c r="AJ18" s="12" t="n">
        <f aca="false">AI18-AH18</f>
        <v>0.247619047619048</v>
      </c>
    </row>
    <row r="19" customFormat="false" ht="15" hidden="false" customHeight="false" outlineLevel="0" collapsed="false">
      <c r="A19" s="3" t="s">
        <v>52</v>
      </c>
      <c r="B19" s="4" t="n">
        <f aca="false">COUNTIF(Positions!$B$2:$B$6912,A19)</f>
        <v>72</v>
      </c>
      <c r="C19" s="4" t="n">
        <f aca="false">COUNTIFS(Positions!$B$2:$B$6912,A19,Positions!$E$2:$E$6912,"G")</f>
        <v>22</v>
      </c>
      <c r="D19" s="4" t="n">
        <f aca="false">COUNTIFS(Positions!$B$2:$B$6912,A19,Positions!$E$2:$E$6912,"C")</f>
        <v>17</v>
      </c>
      <c r="E19" s="3" t="n">
        <f aca="false">C19+D19</f>
        <v>39</v>
      </c>
      <c r="F19" s="5" t="n">
        <f aca="false">E19/B19</f>
        <v>0.541666666666667</v>
      </c>
      <c r="G19" s="4" t="n">
        <f aca="false">SUMIFS(Stems_3D_BP!$K$2:$K$2689,Stems_3D_BP!$A$2:$A$2689,$A19,Stems_3D_BP!$B$2:$B$2689,"Acceptor stem")</f>
        <v>8</v>
      </c>
      <c r="H19" s="4" t="n">
        <f aca="false">SUMIFS(Stems_3D_BP!$K$2:$K$2689,Stems_3D_BP!$A$2:$A$2689,$A19,Stems_3D_BP!$B$2:$B$2689,"D-stem")</f>
        <v>6</v>
      </c>
      <c r="I19" s="4" t="n">
        <f aca="false">SUMIFS(Stems_3D_BP!$K$2:$K$2689,Stems_3D_BP!$A$2:$A$2689,$A19,Stems_3D_BP!$B$2:$B$2689,"Anticodon stem")</f>
        <v>2</v>
      </c>
      <c r="J19" s="4" t="n">
        <f aca="false">SUMIFS(Stems_3D_BP!$K$2:$K$2689,Stems_3D_BP!$A$2:$A$2689,$A19,Stems_3D_BP!$B$2:$B$2689,"T-stem")</f>
        <v>10</v>
      </c>
      <c r="K19" s="3" t="n">
        <f aca="false">SUM(G19:J19)</f>
        <v>26</v>
      </c>
      <c r="L19" s="5" t="n">
        <f aca="false">K19/42</f>
        <v>0.619047619047619</v>
      </c>
      <c r="M19" s="4" t="n">
        <f aca="false">SUMIFS(Stems_3D_BP!$K$2:$K$2689,Stems_3D_BP!$A$2:$A$2689,$A19,Stems_3D_BP!$B$2:$B$2689,"3D (tertiary) BP")</f>
        <v>7</v>
      </c>
      <c r="N19" s="6" t="n">
        <f aca="false">M19/14</f>
        <v>0.5</v>
      </c>
      <c r="O19" s="3" t="n">
        <f aca="false">K19+M19</f>
        <v>33</v>
      </c>
      <c r="P19" s="5" t="n">
        <f aca="false">O19/56</f>
        <v>0.589285714285714</v>
      </c>
      <c r="Q19" s="4" t="n">
        <f aca="false">SUMIFS(Loops!$I$2:$I$481,Loops!$A$2:$A$481,$A19,Loops!$B$2:$B$481,"D-loop")</f>
        <v>4</v>
      </c>
      <c r="R19" s="4" t="n">
        <f aca="false">SUMIFS(Loops!$I$2:$I$481,Loops!$A$2:$A$481,$A19,Loops!$B$2:$B$481,"Anticodon loop")</f>
        <v>3</v>
      </c>
      <c r="S19" s="4" t="n">
        <f aca="false">SUMIFS(Loops!$I$2:$I$481,Loops!$A$2:$A$481,$A19,Loops!$B$2:$B$481,"Variable loop")</f>
        <v>3</v>
      </c>
      <c r="T19" s="4" t="n">
        <f aca="false">SUMIFS(Loops!$I$2:$I$481,Loops!$A$2:$A$481,$A19,Loops!$B$2:$B$481,"TΨC-loop")</f>
        <v>2</v>
      </c>
      <c r="U19" s="4" t="n">
        <f aca="false">SUMIFS(Loops!$F$2:$F$481,Loops!$A$2:$A$481,$A19)-SUMIFS(Loops!$F$2:$F$481,Loops!$A$2:$A$481,$A19,Loops!$B$2:$B$481,"Positions 8, 9, 26")</f>
        <v>27</v>
      </c>
      <c r="V19" s="3" t="n">
        <f aca="false">SUM(Q19:T19)</f>
        <v>12</v>
      </c>
      <c r="W19" s="5" t="n">
        <f aca="false">V19/U19</f>
        <v>0.444444444444444</v>
      </c>
      <c r="X19" s="7" t="str">
        <f aca="false">INDEX(Positions!$E$2:$E$6912,MATCH($A19&amp;"|8",Positions!$A$2:$A$6912,0))</f>
        <v>U</v>
      </c>
      <c r="Y19" s="7" t="str">
        <f aca="false">INDEX(Positions!$E$2:$E$6912,MATCH($A19&amp;"|9",Positions!$A$2:$A$6912,0))</f>
        <v>A</v>
      </c>
      <c r="Z19" s="7" t="str">
        <f aca="false">INDEX(Positions!$E$2:$E$6912,MATCH($A19&amp;"|26",Positions!$A$2:$A$6912,0))</f>
        <v>G</v>
      </c>
      <c r="AA19" s="7" t="n">
        <f aca="false">(X19="G")+(Y19="G")+(Z19="G")</f>
        <v>1</v>
      </c>
      <c r="AB19" s="7" t="n">
        <f aca="false">(X19="C")+(Y19="C")+(Z19="C")</f>
        <v>0</v>
      </c>
      <c r="AC19" s="8" t="n">
        <f aca="false">AA19+AB19</f>
        <v>1</v>
      </c>
      <c r="AD19" s="9" t="n">
        <f aca="false">AC19/3</f>
        <v>0.333333333333333</v>
      </c>
      <c r="AE19" s="7" t="str">
        <f aca="false">IF(K19+V19+AC19=E19,"OK","MISMATCH")</f>
        <v>OK</v>
      </c>
      <c r="AF19" s="10" t="n">
        <f aca="false">B19-42</f>
        <v>30</v>
      </c>
      <c r="AG19" s="10" t="n">
        <f aca="false">V19+AC19</f>
        <v>13</v>
      </c>
      <c r="AH19" s="11" t="n">
        <f aca="false">AG19/AF19</f>
        <v>0.433333333333333</v>
      </c>
      <c r="AI19" s="11" t="n">
        <f aca="false">L19</f>
        <v>0.619047619047619</v>
      </c>
      <c r="AJ19" s="12" t="n">
        <f aca="false">AI19-AH19</f>
        <v>0.185714285714286</v>
      </c>
    </row>
    <row r="20" customFormat="false" ht="15" hidden="false" customHeight="false" outlineLevel="0" collapsed="false">
      <c r="A20" s="3" t="s">
        <v>53</v>
      </c>
      <c r="B20" s="4" t="n">
        <f aca="false">COUNTIF(Positions!$B$2:$B$6912,A20)</f>
        <v>72</v>
      </c>
      <c r="C20" s="4" t="n">
        <f aca="false">COUNTIFS(Positions!$B$2:$B$6912,A20,Positions!$E$2:$E$6912,"G")</f>
        <v>23</v>
      </c>
      <c r="D20" s="4" t="n">
        <f aca="false">COUNTIFS(Positions!$B$2:$B$6912,A20,Positions!$E$2:$E$6912,"C")</f>
        <v>16</v>
      </c>
      <c r="E20" s="3" t="n">
        <f aca="false">C20+D20</f>
        <v>39</v>
      </c>
      <c r="F20" s="5" t="n">
        <f aca="false">E20/B20</f>
        <v>0.541666666666667</v>
      </c>
      <c r="G20" s="4" t="n">
        <f aca="false">SUMIFS(Stems_3D_BP!$K$2:$K$2689,Stems_3D_BP!$A$2:$A$2689,$A20,Stems_3D_BP!$B$2:$B$2689,"Acceptor stem")</f>
        <v>8</v>
      </c>
      <c r="H20" s="4" t="n">
        <f aca="false">SUMIFS(Stems_3D_BP!$K$2:$K$2689,Stems_3D_BP!$A$2:$A$2689,$A20,Stems_3D_BP!$B$2:$B$2689,"D-stem")</f>
        <v>6</v>
      </c>
      <c r="I20" s="4" t="n">
        <f aca="false">SUMIFS(Stems_3D_BP!$K$2:$K$2689,Stems_3D_BP!$A$2:$A$2689,$A20,Stems_3D_BP!$B$2:$B$2689,"Anticodon stem")</f>
        <v>5</v>
      </c>
      <c r="J20" s="4" t="n">
        <f aca="false">SUMIFS(Stems_3D_BP!$K$2:$K$2689,Stems_3D_BP!$A$2:$A$2689,$A20,Stems_3D_BP!$B$2:$B$2689,"T-stem")</f>
        <v>9</v>
      </c>
      <c r="K20" s="3" t="n">
        <f aca="false">SUM(G20:J20)</f>
        <v>28</v>
      </c>
      <c r="L20" s="5" t="n">
        <f aca="false">K20/42</f>
        <v>0.666666666666667</v>
      </c>
      <c r="M20" s="4" t="n">
        <f aca="false">SUMIFS(Stems_3D_BP!$K$2:$K$2689,Stems_3D_BP!$A$2:$A$2689,$A20,Stems_3D_BP!$B$2:$B$2689,"3D (tertiary) BP")</f>
        <v>7</v>
      </c>
      <c r="N20" s="6" t="n">
        <f aca="false">M20/14</f>
        <v>0.5</v>
      </c>
      <c r="O20" s="3" t="n">
        <f aca="false">K20+M20</f>
        <v>35</v>
      </c>
      <c r="P20" s="5" t="n">
        <f aca="false">O20/56</f>
        <v>0.625</v>
      </c>
      <c r="Q20" s="4" t="n">
        <f aca="false">SUMIFS(Loops!$I$2:$I$481,Loops!$A$2:$A$481,$A20,Loops!$B$2:$B$481,"D-loop")</f>
        <v>3</v>
      </c>
      <c r="R20" s="4" t="n">
        <f aca="false">SUMIFS(Loops!$I$2:$I$481,Loops!$A$2:$A$481,$A20,Loops!$B$2:$B$481,"Anticodon loop")</f>
        <v>3</v>
      </c>
      <c r="S20" s="4" t="n">
        <f aca="false">SUMIFS(Loops!$I$2:$I$481,Loops!$A$2:$A$481,$A20,Loops!$B$2:$B$481,"Variable loop")</f>
        <v>3</v>
      </c>
      <c r="T20" s="4" t="n">
        <f aca="false">SUMIFS(Loops!$I$2:$I$481,Loops!$A$2:$A$481,$A20,Loops!$B$2:$B$481,"TΨC-loop")</f>
        <v>1</v>
      </c>
      <c r="U20" s="4" t="n">
        <f aca="false">SUMIFS(Loops!$F$2:$F$481,Loops!$A$2:$A$481,$A20)-SUMIFS(Loops!$F$2:$F$481,Loops!$A$2:$A$481,$A20,Loops!$B$2:$B$481,"Positions 8, 9, 26")</f>
        <v>27</v>
      </c>
      <c r="V20" s="3" t="n">
        <f aca="false">SUM(Q20:T20)</f>
        <v>10</v>
      </c>
      <c r="W20" s="5" t="n">
        <f aca="false">V20/U20</f>
        <v>0.37037037037037</v>
      </c>
      <c r="X20" s="7" t="str">
        <f aca="false">INDEX(Positions!$E$2:$E$6912,MATCH($A20&amp;"|8",Positions!$A$2:$A$6912,0))</f>
        <v>U</v>
      </c>
      <c r="Y20" s="7" t="str">
        <f aca="false">INDEX(Positions!$E$2:$E$6912,MATCH($A20&amp;"|9",Positions!$A$2:$A$6912,0))</f>
        <v>A</v>
      </c>
      <c r="Z20" s="7" t="str">
        <f aca="false">INDEX(Positions!$E$2:$E$6912,MATCH($A20&amp;"|26",Positions!$A$2:$A$6912,0))</f>
        <v>G</v>
      </c>
      <c r="AA20" s="7" t="n">
        <f aca="false">(X20="G")+(Y20="G")+(Z20="G")</f>
        <v>1</v>
      </c>
      <c r="AB20" s="7" t="n">
        <f aca="false">(X20="C")+(Y20="C")+(Z20="C")</f>
        <v>0</v>
      </c>
      <c r="AC20" s="8" t="n">
        <f aca="false">AA20+AB20</f>
        <v>1</v>
      </c>
      <c r="AD20" s="9" t="n">
        <f aca="false">AC20/3</f>
        <v>0.333333333333333</v>
      </c>
      <c r="AE20" s="7" t="str">
        <f aca="false">IF(K20+V20+AC20=E20,"OK","MISMATCH")</f>
        <v>OK</v>
      </c>
      <c r="AF20" s="10" t="n">
        <f aca="false">B20-42</f>
        <v>30</v>
      </c>
      <c r="AG20" s="10" t="n">
        <f aca="false">V20+AC20</f>
        <v>11</v>
      </c>
      <c r="AH20" s="11" t="n">
        <f aca="false">AG20/AF20</f>
        <v>0.366666666666667</v>
      </c>
      <c r="AI20" s="11" t="n">
        <f aca="false">L20</f>
        <v>0.666666666666667</v>
      </c>
      <c r="AJ20" s="12" t="n">
        <f aca="false">AI20-AH20</f>
        <v>0.3</v>
      </c>
    </row>
    <row r="21" customFormat="false" ht="15" hidden="false" customHeight="false" outlineLevel="0" collapsed="false">
      <c r="A21" s="3" t="s">
        <v>54</v>
      </c>
      <c r="B21" s="4" t="n">
        <f aca="false">COUNTIF(Positions!$B$2:$B$6912,A21)</f>
        <v>72</v>
      </c>
      <c r="C21" s="4" t="n">
        <f aca="false">COUNTIFS(Positions!$B$2:$B$6912,A21,Positions!$E$2:$E$6912,"G")</f>
        <v>22</v>
      </c>
      <c r="D21" s="4" t="n">
        <f aca="false">COUNTIFS(Positions!$B$2:$B$6912,A21,Positions!$E$2:$E$6912,"C")</f>
        <v>21</v>
      </c>
      <c r="E21" s="3" t="n">
        <f aca="false">C21+D21</f>
        <v>43</v>
      </c>
      <c r="F21" s="5" t="n">
        <f aca="false">E21/B21</f>
        <v>0.597222222222222</v>
      </c>
      <c r="G21" s="4" t="n">
        <f aca="false">SUMIFS(Stems_3D_BP!$K$2:$K$2689,Stems_3D_BP!$A$2:$A$2689,$A21,Stems_3D_BP!$B$2:$B$2689,"Acceptor stem")</f>
        <v>9</v>
      </c>
      <c r="H21" s="4" t="n">
        <f aca="false">SUMIFS(Stems_3D_BP!$K$2:$K$2689,Stems_3D_BP!$A$2:$A$2689,$A21,Stems_3D_BP!$B$2:$B$2689,"D-stem")</f>
        <v>4</v>
      </c>
      <c r="I21" s="4" t="n">
        <f aca="false">SUMIFS(Stems_3D_BP!$K$2:$K$2689,Stems_3D_BP!$A$2:$A$2689,$A21,Stems_3D_BP!$B$2:$B$2689,"Anticodon stem")</f>
        <v>6</v>
      </c>
      <c r="J21" s="4" t="n">
        <f aca="false">SUMIFS(Stems_3D_BP!$K$2:$K$2689,Stems_3D_BP!$A$2:$A$2689,$A21,Stems_3D_BP!$B$2:$B$2689,"T-stem")</f>
        <v>10</v>
      </c>
      <c r="K21" s="3" t="n">
        <f aca="false">SUM(G21:J21)</f>
        <v>29</v>
      </c>
      <c r="L21" s="5" t="n">
        <f aca="false">K21/42</f>
        <v>0.690476190476191</v>
      </c>
      <c r="M21" s="4" t="n">
        <f aca="false">SUMIFS(Stems_3D_BP!$K$2:$K$2689,Stems_3D_BP!$A$2:$A$2689,$A21,Stems_3D_BP!$B$2:$B$2689,"3D (tertiary) BP")</f>
        <v>7</v>
      </c>
      <c r="N21" s="6" t="n">
        <f aca="false">M21/14</f>
        <v>0.5</v>
      </c>
      <c r="O21" s="3" t="n">
        <f aca="false">K21+M21</f>
        <v>36</v>
      </c>
      <c r="P21" s="5" t="n">
        <f aca="false">O21/56</f>
        <v>0.642857142857143</v>
      </c>
      <c r="Q21" s="4" t="n">
        <f aca="false">SUMIFS(Loops!$I$2:$I$481,Loops!$A$2:$A$481,$A21,Loops!$B$2:$B$481,"D-loop")</f>
        <v>4</v>
      </c>
      <c r="R21" s="4" t="n">
        <f aca="false">SUMIFS(Loops!$I$2:$I$481,Loops!$A$2:$A$481,$A21,Loops!$B$2:$B$481,"Anticodon loop")</f>
        <v>3</v>
      </c>
      <c r="S21" s="4" t="n">
        <f aca="false">SUMIFS(Loops!$I$2:$I$481,Loops!$A$2:$A$481,$A21,Loops!$B$2:$B$481,"Variable loop")</f>
        <v>3</v>
      </c>
      <c r="T21" s="4" t="n">
        <f aca="false">SUMIFS(Loops!$I$2:$I$481,Loops!$A$2:$A$481,$A21,Loops!$B$2:$B$481,"TΨC-loop")</f>
        <v>3</v>
      </c>
      <c r="U21" s="4" t="n">
        <f aca="false">SUMIFS(Loops!$F$2:$F$481,Loops!$A$2:$A$481,$A21)-SUMIFS(Loops!$F$2:$F$481,Loops!$A$2:$A$481,$A21,Loops!$B$2:$B$481,"Positions 8, 9, 26")</f>
        <v>27</v>
      </c>
      <c r="V21" s="3" t="n">
        <f aca="false">SUM(Q21:T21)</f>
        <v>13</v>
      </c>
      <c r="W21" s="5" t="n">
        <f aca="false">V21/U21</f>
        <v>0.481481481481481</v>
      </c>
      <c r="X21" s="7" t="str">
        <f aca="false">INDEX(Positions!$E$2:$E$6912,MATCH($A21&amp;"|8",Positions!$A$2:$A$6912,0))</f>
        <v>U</v>
      </c>
      <c r="Y21" s="7" t="str">
        <f aca="false">INDEX(Positions!$E$2:$E$6912,MATCH($A21&amp;"|9",Positions!$A$2:$A$6912,0))</f>
        <v>A</v>
      </c>
      <c r="Z21" s="7" t="str">
        <f aca="false">INDEX(Positions!$E$2:$E$6912,MATCH($A21&amp;"|26",Positions!$A$2:$A$6912,0))</f>
        <v>G</v>
      </c>
      <c r="AA21" s="7" t="n">
        <f aca="false">(X21="G")+(Y21="G")+(Z21="G")</f>
        <v>1</v>
      </c>
      <c r="AB21" s="7" t="n">
        <f aca="false">(X21="C")+(Y21="C")+(Z21="C")</f>
        <v>0</v>
      </c>
      <c r="AC21" s="8" t="n">
        <f aca="false">AA21+AB21</f>
        <v>1</v>
      </c>
      <c r="AD21" s="9" t="n">
        <f aca="false">AC21/3</f>
        <v>0.333333333333333</v>
      </c>
      <c r="AE21" s="7" t="str">
        <f aca="false">IF(K21+V21+AC21=E21,"OK","MISMATCH")</f>
        <v>OK</v>
      </c>
      <c r="AF21" s="10" t="n">
        <f aca="false">B21-42</f>
        <v>30</v>
      </c>
      <c r="AG21" s="10" t="n">
        <f aca="false">V21+AC21</f>
        <v>14</v>
      </c>
      <c r="AH21" s="11" t="n">
        <f aca="false">AG21/AF21</f>
        <v>0.466666666666667</v>
      </c>
      <c r="AI21" s="11" t="n">
        <f aca="false">L21</f>
        <v>0.690476190476191</v>
      </c>
      <c r="AJ21" s="12" t="n">
        <f aca="false">AI21-AH21</f>
        <v>0.223809523809524</v>
      </c>
    </row>
    <row r="22" customFormat="false" ht="15" hidden="false" customHeight="false" outlineLevel="0" collapsed="false">
      <c r="A22" s="3" t="s">
        <v>55</v>
      </c>
      <c r="B22" s="4" t="n">
        <f aca="false">COUNTIF(Positions!$B$2:$B$6912,A22)</f>
        <v>72</v>
      </c>
      <c r="C22" s="4" t="n">
        <f aca="false">COUNTIFS(Positions!$B$2:$B$6912,A22,Positions!$E$2:$E$6912,"G")</f>
        <v>21</v>
      </c>
      <c r="D22" s="4" t="n">
        <f aca="false">COUNTIFS(Positions!$B$2:$B$6912,A22,Positions!$E$2:$E$6912,"C")</f>
        <v>22</v>
      </c>
      <c r="E22" s="3" t="n">
        <f aca="false">C22+D22</f>
        <v>43</v>
      </c>
      <c r="F22" s="5" t="n">
        <f aca="false">E22/B22</f>
        <v>0.597222222222222</v>
      </c>
      <c r="G22" s="4" t="n">
        <f aca="false">SUMIFS(Stems_3D_BP!$K$2:$K$2689,Stems_3D_BP!$A$2:$A$2689,$A22,Stems_3D_BP!$B$2:$B$2689,"Acceptor stem")</f>
        <v>8</v>
      </c>
      <c r="H22" s="4" t="n">
        <f aca="false">SUMIFS(Stems_3D_BP!$K$2:$K$2689,Stems_3D_BP!$A$2:$A$2689,$A22,Stems_3D_BP!$B$2:$B$2689,"D-stem")</f>
        <v>4</v>
      </c>
      <c r="I22" s="4" t="n">
        <f aca="false">SUMIFS(Stems_3D_BP!$K$2:$K$2689,Stems_3D_BP!$A$2:$A$2689,$A22,Stems_3D_BP!$B$2:$B$2689,"Anticodon stem")</f>
        <v>6</v>
      </c>
      <c r="J22" s="4" t="n">
        <f aca="false">SUMIFS(Stems_3D_BP!$K$2:$K$2689,Stems_3D_BP!$A$2:$A$2689,$A22,Stems_3D_BP!$B$2:$B$2689,"T-stem")</f>
        <v>10</v>
      </c>
      <c r="K22" s="3" t="n">
        <f aca="false">SUM(G22:J22)</f>
        <v>28</v>
      </c>
      <c r="L22" s="5" t="n">
        <f aca="false">K22/42</f>
        <v>0.666666666666667</v>
      </c>
      <c r="M22" s="4" t="n">
        <f aca="false">SUMIFS(Stems_3D_BP!$K$2:$K$2689,Stems_3D_BP!$A$2:$A$2689,$A22,Stems_3D_BP!$B$2:$B$2689,"3D (tertiary) BP")</f>
        <v>7</v>
      </c>
      <c r="N22" s="6" t="n">
        <f aca="false">M22/14</f>
        <v>0.5</v>
      </c>
      <c r="O22" s="3" t="n">
        <f aca="false">K22+M22</f>
        <v>35</v>
      </c>
      <c r="P22" s="5" t="n">
        <f aca="false">O22/56</f>
        <v>0.625</v>
      </c>
      <c r="Q22" s="4" t="n">
        <f aca="false">SUMIFS(Loops!$I$2:$I$481,Loops!$A$2:$A$481,$A22,Loops!$B$2:$B$481,"D-loop")</f>
        <v>4</v>
      </c>
      <c r="R22" s="4" t="n">
        <f aca="false">SUMIFS(Loops!$I$2:$I$481,Loops!$A$2:$A$481,$A22,Loops!$B$2:$B$481,"Anticodon loop")</f>
        <v>3</v>
      </c>
      <c r="S22" s="4" t="n">
        <f aca="false">SUMIFS(Loops!$I$2:$I$481,Loops!$A$2:$A$481,$A22,Loops!$B$2:$B$481,"Variable loop")</f>
        <v>4</v>
      </c>
      <c r="T22" s="4" t="n">
        <f aca="false">SUMIFS(Loops!$I$2:$I$481,Loops!$A$2:$A$481,$A22,Loops!$B$2:$B$481,"TΨC-loop")</f>
        <v>3</v>
      </c>
      <c r="U22" s="4" t="n">
        <f aca="false">SUMIFS(Loops!$F$2:$F$481,Loops!$A$2:$A$481,$A22)-SUMIFS(Loops!$F$2:$F$481,Loops!$A$2:$A$481,$A22,Loops!$B$2:$B$481,"Positions 8, 9, 26")</f>
        <v>27</v>
      </c>
      <c r="V22" s="3" t="n">
        <f aca="false">SUM(Q22:T22)</f>
        <v>14</v>
      </c>
      <c r="W22" s="5" t="n">
        <f aca="false">V22/U22</f>
        <v>0.518518518518519</v>
      </c>
      <c r="X22" s="7" t="str">
        <f aca="false">INDEX(Positions!$E$2:$E$6912,MATCH($A22&amp;"|8",Positions!$A$2:$A$6912,0))</f>
        <v>U</v>
      </c>
      <c r="Y22" s="7" t="str">
        <f aca="false">INDEX(Positions!$E$2:$E$6912,MATCH($A22&amp;"|9",Positions!$A$2:$A$6912,0))</f>
        <v>G</v>
      </c>
      <c r="Z22" s="7" t="str">
        <f aca="false">INDEX(Positions!$E$2:$E$6912,MATCH($A22&amp;"|26",Positions!$A$2:$A$6912,0))</f>
        <v>A</v>
      </c>
      <c r="AA22" s="7" t="n">
        <f aca="false">(X22="G")+(Y22="G")+(Z22="G")</f>
        <v>1</v>
      </c>
      <c r="AB22" s="7" t="n">
        <f aca="false">(X22="C")+(Y22="C")+(Z22="C")</f>
        <v>0</v>
      </c>
      <c r="AC22" s="8" t="n">
        <f aca="false">AA22+AB22</f>
        <v>1</v>
      </c>
      <c r="AD22" s="9" t="n">
        <f aca="false">AC22/3</f>
        <v>0.333333333333333</v>
      </c>
      <c r="AE22" s="7" t="str">
        <f aca="false">IF(K22+V22+AC22=E22,"OK","MISMATCH")</f>
        <v>OK</v>
      </c>
      <c r="AF22" s="10" t="n">
        <f aca="false">B22-42</f>
        <v>30</v>
      </c>
      <c r="AG22" s="10" t="n">
        <f aca="false">V22+AC22</f>
        <v>15</v>
      </c>
      <c r="AH22" s="11" t="n">
        <f aca="false">AG22/AF22</f>
        <v>0.5</v>
      </c>
      <c r="AI22" s="11" t="n">
        <f aca="false">L22</f>
        <v>0.666666666666667</v>
      </c>
      <c r="AJ22" s="12" t="n">
        <f aca="false">AI22-AH22</f>
        <v>0.166666666666667</v>
      </c>
    </row>
    <row r="23" customFormat="false" ht="15" hidden="false" customHeight="false" outlineLevel="0" collapsed="false">
      <c r="A23" s="3" t="s">
        <v>56</v>
      </c>
      <c r="B23" s="4" t="n">
        <f aca="false">COUNTIF(Positions!$B$2:$B$6912,A23)</f>
        <v>72</v>
      </c>
      <c r="C23" s="4" t="n">
        <f aca="false">COUNTIFS(Positions!$B$2:$B$6912,A23,Positions!$E$2:$E$6912,"G")</f>
        <v>20</v>
      </c>
      <c r="D23" s="4" t="n">
        <f aca="false">COUNTIFS(Positions!$B$2:$B$6912,A23,Positions!$E$2:$E$6912,"C")</f>
        <v>19</v>
      </c>
      <c r="E23" s="3" t="n">
        <f aca="false">C23+D23</f>
        <v>39</v>
      </c>
      <c r="F23" s="5" t="n">
        <f aca="false">E23/B23</f>
        <v>0.541666666666667</v>
      </c>
      <c r="G23" s="4" t="n">
        <f aca="false">SUMIFS(Stems_3D_BP!$K$2:$K$2689,Stems_3D_BP!$A$2:$A$2689,$A23,Stems_3D_BP!$B$2:$B$2689,"Acceptor stem")</f>
        <v>8</v>
      </c>
      <c r="H23" s="4" t="n">
        <f aca="false">SUMIFS(Stems_3D_BP!$K$2:$K$2689,Stems_3D_BP!$A$2:$A$2689,$A23,Stems_3D_BP!$B$2:$B$2689,"D-stem")</f>
        <v>4</v>
      </c>
      <c r="I23" s="4" t="n">
        <f aca="false">SUMIFS(Stems_3D_BP!$K$2:$K$2689,Stems_3D_BP!$A$2:$A$2689,$A23,Stems_3D_BP!$B$2:$B$2689,"Anticodon stem")</f>
        <v>6</v>
      </c>
      <c r="J23" s="4" t="n">
        <f aca="false">SUMIFS(Stems_3D_BP!$K$2:$K$2689,Stems_3D_BP!$A$2:$A$2689,$A23,Stems_3D_BP!$B$2:$B$2689,"T-stem")</f>
        <v>8</v>
      </c>
      <c r="K23" s="3" t="n">
        <f aca="false">SUM(G23:J23)</f>
        <v>26</v>
      </c>
      <c r="L23" s="5" t="n">
        <f aca="false">K23/42</f>
        <v>0.619047619047619</v>
      </c>
      <c r="M23" s="4" t="n">
        <f aca="false">SUMIFS(Stems_3D_BP!$K$2:$K$2689,Stems_3D_BP!$A$2:$A$2689,$A23,Stems_3D_BP!$B$2:$B$2689,"3D (tertiary) BP")</f>
        <v>7</v>
      </c>
      <c r="N23" s="6" t="n">
        <f aca="false">M23/14</f>
        <v>0.5</v>
      </c>
      <c r="O23" s="3" t="n">
        <f aca="false">K23+M23</f>
        <v>33</v>
      </c>
      <c r="P23" s="5" t="n">
        <f aca="false">O23/56</f>
        <v>0.589285714285714</v>
      </c>
      <c r="Q23" s="4" t="n">
        <f aca="false">SUMIFS(Loops!$I$2:$I$481,Loops!$A$2:$A$481,$A23,Loops!$B$2:$B$481,"D-loop")</f>
        <v>4</v>
      </c>
      <c r="R23" s="4" t="n">
        <f aca="false">SUMIFS(Loops!$I$2:$I$481,Loops!$A$2:$A$481,$A23,Loops!$B$2:$B$481,"Anticodon loop")</f>
        <v>2</v>
      </c>
      <c r="S23" s="4" t="n">
        <f aca="false">SUMIFS(Loops!$I$2:$I$481,Loops!$A$2:$A$481,$A23,Loops!$B$2:$B$481,"Variable loop")</f>
        <v>3</v>
      </c>
      <c r="T23" s="4" t="n">
        <f aca="false">SUMIFS(Loops!$I$2:$I$481,Loops!$A$2:$A$481,$A23,Loops!$B$2:$B$481,"TΨC-loop")</f>
        <v>3</v>
      </c>
      <c r="U23" s="4" t="n">
        <f aca="false">SUMIFS(Loops!$F$2:$F$481,Loops!$A$2:$A$481,$A23)-SUMIFS(Loops!$F$2:$F$481,Loops!$A$2:$A$481,$A23,Loops!$B$2:$B$481,"Positions 8, 9, 26")</f>
        <v>27</v>
      </c>
      <c r="V23" s="3" t="n">
        <f aca="false">SUM(Q23:T23)</f>
        <v>12</v>
      </c>
      <c r="W23" s="5" t="n">
        <f aca="false">V23/U23</f>
        <v>0.444444444444444</v>
      </c>
      <c r="X23" s="7" t="str">
        <f aca="false">INDEX(Positions!$E$2:$E$6912,MATCH($A23&amp;"|8",Positions!$A$2:$A$6912,0))</f>
        <v>U</v>
      </c>
      <c r="Y23" s="7" t="str">
        <f aca="false">INDEX(Positions!$E$2:$E$6912,MATCH($A23&amp;"|9",Positions!$A$2:$A$6912,0))</f>
        <v>A</v>
      </c>
      <c r="Z23" s="7" t="str">
        <f aca="false">INDEX(Positions!$E$2:$E$6912,MATCH($A23&amp;"|26",Positions!$A$2:$A$6912,0))</f>
        <v>G</v>
      </c>
      <c r="AA23" s="7" t="n">
        <f aca="false">(X23="G")+(Y23="G")+(Z23="G")</f>
        <v>1</v>
      </c>
      <c r="AB23" s="7" t="n">
        <f aca="false">(X23="C")+(Y23="C")+(Z23="C")</f>
        <v>0</v>
      </c>
      <c r="AC23" s="8" t="n">
        <f aca="false">AA23+AB23</f>
        <v>1</v>
      </c>
      <c r="AD23" s="9" t="n">
        <f aca="false">AC23/3</f>
        <v>0.333333333333333</v>
      </c>
      <c r="AE23" s="7" t="str">
        <f aca="false">IF(K23+V23+AC23=E23,"OK","MISMATCH")</f>
        <v>OK</v>
      </c>
      <c r="AF23" s="10" t="n">
        <f aca="false">B23-42</f>
        <v>30</v>
      </c>
      <c r="AG23" s="10" t="n">
        <f aca="false">V23+AC23</f>
        <v>13</v>
      </c>
      <c r="AH23" s="11" t="n">
        <f aca="false">AG23/AF23</f>
        <v>0.433333333333333</v>
      </c>
      <c r="AI23" s="11" t="n">
        <f aca="false">L23</f>
        <v>0.619047619047619</v>
      </c>
      <c r="AJ23" s="12" t="n">
        <f aca="false">AI23-AH23</f>
        <v>0.185714285714286</v>
      </c>
    </row>
    <row r="24" customFormat="false" ht="15" hidden="false" customHeight="false" outlineLevel="0" collapsed="false">
      <c r="A24" s="3" t="s">
        <v>57</v>
      </c>
      <c r="B24" s="4" t="n">
        <f aca="false">COUNTIF(Positions!$B$2:$B$6912,A24)</f>
        <v>72</v>
      </c>
      <c r="C24" s="4" t="n">
        <f aca="false">COUNTIFS(Positions!$B$2:$B$6912,A24,Positions!$E$2:$E$6912,"G")</f>
        <v>27</v>
      </c>
      <c r="D24" s="4" t="n">
        <f aca="false">COUNTIFS(Positions!$B$2:$B$6912,A24,Positions!$E$2:$E$6912,"C")</f>
        <v>19</v>
      </c>
      <c r="E24" s="3" t="n">
        <f aca="false">C24+D24</f>
        <v>46</v>
      </c>
      <c r="F24" s="5" t="n">
        <f aca="false">E24/B24</f>
        <v>0.638888888888889</v>
      </c>
      <c r="G24" s="4" t="n">
        <f aca="false">SUMIFS(Stems_3D_BP!$K$2:$K$2689,Stems_3D_BP!$A$2:$A$2689,$A24,Stems_3D_BP!$B$2:$B$2689,"Acceptor stem")</f>
        <v>13</v>
      </c>
      <c r="H24" s="4" t="n">
        <f aca="false">SUMIFS(Stems_3D_BP!$K$2:$K$2689,Stems_3D_BP!$A$2:$A$2689,$A24,Stems_3D_BP!$B$2:$B$2689,"D-stem")</f>
        <v>6</v>
      </c>
      <c r="I24" s="4" t="n">
        <f aca="false">SUMIFS(Stems_3D_BP!$K$2:$K$2689,Stems_3D_BP!$A$2:$A$2689,$A24,Stems_3D_BP!$B$2:$B$2689,"Anticodon stem")</f>
        <v>7</v>
      </c>
      <c r="J24" s="4" t="n">
        <f aca="false">SUMIFS(Stems_3D_BP!$K$2:$K$2689,Stems_3D_BP!$A$2:$A$2689,$A24,Stems_3D_BP!$B$2:$B$2689,"T-stem")</f>
        <v>10</v>
      </c>
      <c r="K24" s="3" t="n">
        <f aca="false">SUM(G24:J24)</f>
        <v>36</v>
      </c>
      <c r="L24" s="5" t="n">
        <f aca="false">K24/42</f>
        <v>0.857142857142857</v>
      </c>
      <c r="M24" s="4" t="n">
        <f aca="false">SUMIFS(Stems_3D_BP!$K$2:$K$2689,Stems_3D_BP!$A$2:$A$2689,$A24,Stems_3D_BP!$B$2:$B$2689,"3D (tertiary) BP")</f>
        <v>5</v>
      </c>
      <c r="N24" s="6" t="n">
        <f aca="false">M24/14</f>
        <v>0.357142857142857</v>
      </c>
      <c r="O24" s="3" t="n">
        <f aca="false">K24+M24</f>
        <v>41</v>
      </c>
      <c r="P24" s="5" t="n">
        <f aca="false">O24/56</f>
        <v>0.732142857142857</v>
      </c>
      <c r="Q24" s="4" t="n">
        <f aca="false">SUMIFS(Loops!$I$2:$I$481,Loops!$A$2:$A$481,$A24,Loops!$B$2:$B$481,"D-loop")</f>
        <v>3</v>
      </c>
      <c r="R24" s="4" t="n">
        <f aca="false">SUMIFS(Loops!$I$2:$I$481,Loops!$A$2:$A$481,$A24,Loops!$B$2:$B$481,"Anticodon loop")</f>
        <v>2</v>
      </c>
      <c r="S24" s="4" t="n">
        <f aca="false">SUMIFS(Loops!$I$2:$I$481,Loops!$A$2:$A$481,$A24,Loops!$B$2:$B$481,"Variable loop")</f>
        <v>2</v>
      </c>
      <c r="T24" s="4" t="n">
        <f aca="false">SUMIFS(Loops!$I$2:$I$481,Loops!$A$2:$A$481,$A24,Loops!$B$2:$B$481,"TΨC-loop")</f>
        <v>2</v>
      </c>
      <c r="U24" s="4" t="n">
        <f aca="false">SUMIFS(Loops!$F$2:$F$481,Loops!$A$2:$A$481,$A24)-SUMIFS(Loops!$F$2:$F$481,Loops!$A$2:$A$481,$A24,Loops!$B$2:$B$481,"Positions 8, 9, 26")</f>
        <v>27</v>
      </c>
      <c r="V24" s="3" t="n">
        <f aca="false">SUM(Q24:T24)</f>
        <v>9</v>
      </c>
      <c r="W24" s="5" t="n">
        <f aca="false">V24/U24</f>
        <v>0.333333333333333</v>
      </c>
      <c r="X24" s="7" t="str">
        <f aca="false">INDEX(Positions!$E$2:$E$6912,MATCH($A24&amp;"|8",Positions!$A$2:$A$6912,0))</f>
        <v>U</v>
      </c>
      <c r="Y24" s="7" t="str">
        <f aca="false">INDEX(Positions!$E$2:$E$6912,MATCH($A24&amp;"|9",Positions!$A$2:$A$6912,0))</f>
        <v>A</v>
      </c>
      <c r="Z24" s="7" t="str">
        <f aca="false">INDEX(Positions!$E$2:$E$6912,MATCH($A24&amp;"|26",Positions!$A$2:$A$6912,0))</f>
        <v>G</v>
      </c>
      <c r="AA24" s="7" t="n">
        <f aca="false">(X24="G")+(Y24="G")+(Z24="G")</f>
        <v>1</v>
      </c>
      <c r="AB24" s="7" t="n">
        <f aca="false">(X24="C")+(Y24="C")+(Z24="C")</f>
        <v>0</v>
      </c>
      <c r="AC24" s="8" t="n">
        <f aca="false">AA24+AB24</f>
        <v>1</v>
      </c>
      <c r="AD24" s="9" t="n">
        <f aca="false">AC24/3</f>
        <v>0.333333333333333</v>
      </c>
      <c r="AE24" s="7" t="str">
        <f aca="false">IF(K24+V24+AC24=E24,"OK","MISMATCH")</f>
        <v>OK</v>
      </c>
      <c r="AF24" s="10" t="n">
        <f aca="false">B24-42</f>
        <v>30</v>
      </c>
      <c r="AG24" s="10" t="n">
        <f aca="false">V24+AC24</f>
        <v>10</v>
      </c>
      <c r="AH24" s="11" t="n">
        <f aca="false">AG24/AF24</f>
        <v>0.333333333333333</v>
      </c>
      <c r="AI24" s="11" t="n">
        <f aca="false">L24</f>
        <v>0.857142857142857</v>
      </c>
      <c r="AJ24" s="12" t="n">
        <f aca="false">AI24-AH24</f>
        <v>0.523809523809524</v>
      </c>
    </row>
    <row r="25" customFormat="false" ht="15" hidden="false" customHeight="false" outlineLevel="0" collapsed="false">
      <c r="A25" s="3" t="s">
        <v>58</v>
      </c>
      <c r="B25" s="4" t="n">
        <f aca="false">COUNTIF(Positions!$B$2:$B$6912,A25)</f>
        <v>72</v>
      </c>
      <c r="C25" s="4" t="n">
        <f aca="false">COUNTIFS(Positions!$B$2:$B$6912,A25,Positions!$E$2:$E$6912,"G")</f>
        <v>27</v>
      </c>
      <c r="D25" s="4" t="n">
        <f aca="false">COUNTIFS(Positions!$B$2:$B$6912,A25,Positions!$E$2:$E$6912,"C")</f>
        <v>20</v>
      </c>
      <c r="E25" s="3" t="n">
        <f aca="false">C25+D25</f>
        <v>47</v>
      </c>
      <c r="F25" s="5" t="n">
        <f aca="false">E25/B25</f>
        <v>0.652777777777778</v>
      </c>
      <c r="G25" s="4" t="n">
        <f aca="false">SUMIFS(Stems_3D_BP!$K$2:$K$2689,Stems_3D_BP!$A$2:$A$2689,$A25,Stems_3D_BP!$B$2:$B$2689,"Acceptor stem")</f>
        <v>13</v>
      </c>
      <c r="H25" s="4" t="n">
        <f aca="false">SUMIFS(Stems_3D_BP!$K$2:$K$2689,Stems_3D_BP!$A$2:$A$2689,$A25,Stems_3D_BP!$B$2:$B$2689,"D-stem")</f>
        <v>6</v>
      </c>
      <c r="I25" s="4" t="n">
        <f aca="false">SUMIFS(Stems_3D_BP!$K$2:$K$2689,Stems_3D_BP!$A$2:$A$2689,$A25,Stems_3D_BP!$B$2:$B$2689,"Anticodon stem")</f>
        <v>8</v>
      </c>
      <c r="J25" s="4" t="n">
        <f aca="false">SUMIFS(Stems_3D_BP!$K$2:$K$2689,Stems_3D_BP!$A$2:$A$2689,$A25,Stems_3D_BP!$B$2:$B$2689,"T-stem")</f>
        <v>10</v>
      </c>
      <c r="K25" s="3" t="n">
        <f aca="false">SUM(G25:J25)</f>
        <v>37</v>
      </c>
      <c r="L25" s="5" t="n">
        <f aca="false">K25/42</f>
        <v>0.880952380952381</v>
      </c>
      <c r="M25" s="4" t="n">
        <f aca="false">SUMIFS(Stems_3D_BP!$K$2:$K$2689,Stems_3D_BP!$A$2:$A$2689,$A25,Stems_3D_BP!$B$2:$B$2689,"3D (tertiary) BP")</f>
        <v>5</v>
      </c>
      <c r="N25" s="6" t="n">
        <f aca="false">M25/14</f>
        <v>0.357142857142857</v>
      </c>
      <c r="O25" s="3" t="n">
        <f aca="false">K25+M25</f>
        <v>42</v>
      </c>
      <c r="P25" s="5" t="n">
        <f aca="false">O25/56</f>
        <v>0.75</v>
      </c>
      <c r="Q25" s="4" t="n">
        <f aca="false">SUMIFS(Loops!$I$2:$I$481,Loops!$A$2:$A$481,$A25,Loops!$B$2:$B$481,"D-loop")</f>
        <v>3</v>
      </c>
      <c r="R25" s="4" t="n">
        <f aca="false">SUMIFS(Loops!$I$2:$I$481,Loops!$A$2:$A$481,$A25,Loops!$B$2:$B$481,"Anticodon loop")</f>
        <v>2</v>
      </c>
      <c r="S25" s="4" t="n">
        <f aca="false">SUMIFS(Loops!$I$2:$I$481,Loops!$A$2:$A$481,$A25,Loops!$B$2:$B$481,"Variable loop")</f>
        <v>2</v>
      </c>
      <c r="T25" s="4" t="n">
        <f aca="false">SUMIFS(Loops!$I$2:$I$481,Loops!$A$2:$A$481,$A25,Loops!$B$2:$B$481,"TΨC-loop")</f>
        <v>2</v>
      </c>
      <c r="U25" s="4" t="n">
        <f aca="false">SUMIFS(Loops!$F$2:$F$481,Loops!$A$2:$A$481,$A25)-SUMIFS(Loops!$F$2:$F$481,Loops!$A$2:$A$481,$A25,Loops!$B$2:$B$481,"Positions 8, 9, 26")</f>
        <v>27</v>
      </c>
      <c r="V25" s="3" t="n">
        <f aca="false">SUM(Q25:T25)</f>
        <v>9</v>
      </c>
      <c r="W25" s="5" t="n">
        <f aca="false">V25/U25</f>
        <v>0.333333333333333</v>
      </c>
      <c r="X25" s="7" t="str">
        <f aca="false">INDEX(Positions!$E$2:$E$6912,MATCH($A25&amp;"|8",Positions!$A$2:$A$6912,0))</f>
        <v>U</v>
      </c>
      <c r="Y25" s="7" t="str">
        <f aca="false">INDEX(Positions!$E$2:$E$6912,MATCH($A25&amp;"|9",Positions!$A$2:$A$6912,0))</f>
        <v>A</v>
      </c>
      <c r="Z25" s="7" t="str">
        <f aca="false">INDEX(Positions!$E$2:$E$6912,MATCH($A25&amp;"|26",Positions!$A$2:$A$6912,0))</f>
        <v>G</v>
      </c>
      <c r="AA25" s="7" t="n">
        <f aca="false">(X25="G")+(Y25="G")+(Z25="G")</f>
        <v>1</v>
      </c>
      <c r="AB25" s="7" t="n">
        <f aca="false">(X25="C")+(Y25="C")+(Z25="C")</f>
        <v>0</v>
      </c>
      <c r="AC25" s="8" t="n">
        <f aca="false">AA25+AB25</f>
        <v>1</v>
      </c>
      <c r="AD25" s="9" t="n">
        <f aca="false">AC25/3</f>
        <v>0.333333333333333</v>
      </c>
      <c r="AE25" s="7" t="str">
        <f aca="false">IF(K25+V25+AC25=E25,"OK","MISMATCH")</f>
        <v>OK</v>
      </c>
      <c r="AF25" s="10" t="n">
        <f aca="false">B25-42</f>
        <v>30</v>
      </c>
      <c r="AG25" s="10" t="n">
        <f aca="false">V25+AC25</f>
        <v>10</v>
      </c>
      <c r="AH25" s="11" t="n">
        <f aca="false">AG25/AF25</f>
        <v>0.333333333333333</v>
      </c>
      <c r="AI25" s="11" t="n">
        <f aca="false">L25</f>
        <v>0.880952380952381</v>
      </c>
      <c r="AJ25" s="12" t="n">
        <f aca="false">AI25-AH25</f>
        <v>0.547619047619048</v>
      </c>
    </row>
    <row r="26" customFormat="false" ht="15" hidden="false" customHeight="false" outlineLevel="0" collapsed="false">
      <c r="A26" s="3" t="s">
        <v>59</v>
      </c>
      <c r="B26" s="4" t="n">
        <f aca="false">COUNTIF(Positions!$B$2:$B$6912,A26)</f>
        <v>73</v>
      </c>
      <c r="C26" s="4" t="n">
        <f aca="false">COUNTIFS(Positions!$B$2:$B$6912,A26,Positions!$E$2:$E$6912,"G")</f>
        <v>23</v>
      </c>
      <c r="D26" s="4" t="n">
        <f aca="false">COUNTIFS(Positions!$B$2:$B$6912,A26,Positions!$E$2:$E$6912,"C")</f>
        <v>20</v>
      </c>
      <c r="E26" s="3" t="n">
        <f aca="false">C26+D26</f>
        <v>43</v>
      </c>
      <c r="F26" s="5" t="n">
        <f aca="false">E26/B26</f>
        <v>0.589041095890411</v>
      </c>
      <c r="G26" s="4" t="n">
        <f aca="false">SUMIFS(Stems_3D_BP!$K$2:$K$2689,Stems_3D_BP!$A$2:$A$2689,$A26,Stems_3D_BP!$B$2:$B$2689,"Acceptor stem")</f>
        <v>10</v>
      </c>
      <c r="H26" s="4" t="n">
        <f aca="false">SUMIFS(Stems_3D_BP!$K$2:$K$2689,Stems_3D_BP!$A$2:$A$2689,$A26,Stems_3D_BP!$B$2:$B$2689,"D-stem")</f>
        <v>6</v>
      </c>
      <c r="I26" s="4" t="n">
        <f aca="false">SUMIFS(Stems_3D_BP!$K$2:$K$2689,Stems_3D_BP!$A$2:$A$2689,$A26,Stems_3D_BP!$B$2:$B$2689,"Anticodon stem")</f>
        <v>7</v>
      </c>
      <c r="J26" s="4" t="n">
        <f aca="false">SUMIFS(Stems_3D_BP!$K$2:$K$2689,Stems_3D_BP!$A$2:$A$2689,$A26,Stems_3D_BP!$B$2:$B$2689,"T-stem")</f>
        <v>9</v>
      </c>
      <c r="K26" s="3" t="n">
        <f aca="false">SUM(G26:J26)</f>
        <v>32</v>
      </c>
      <c r="L26" s="5" t="n">
        <f aca="false">K26/42</f>
        <v>0.761904761904762</v>
      </c>
      <c r="M26" s="4" t="n">
        <f aca="false">SUMIFS(Stems_3D_BP!$K$2:$K$2689,Stems_3D_BP!$A$2:$A$2689,$A26,Stems_3D_BP!$B$2:$B$2689,"3D (tertiary) BP")</f>
        <v>7</v>
      </c>
      <c r="N26" s="6" t="n">
        <f aca="false">M26/14</f>
        <v>0.5</v>
      </c>
      <c r="O26" s="3" t="n">
        <f aca="false">K26+M26</f>
        <v>39</v>
      </c>
      <c r="P26" s="5" t="n">
        <f aca="false">O26/56</f>
        <v>0.696428571428571</v>
      </c>
      <c r="Q26" s="4" t="n">
        <f aca="false">SUMIFS(Loops!$I$2:$I$481,Loops!$A$2:$A$481,$A26,Loops!$B$2:$B$481,"D-loop")</f>
        <v>3</v>
      </c>
      <c r="R26" s="4" t="n">
        <f aca="false">SUMIFS(Loops!$I$2:$I$481,Loops!$A$2:$A$481,$A26,Loops!$B$2:$B$481,"Anticodon loop")</f>
        <v>1</v>
      </c>
      <c r="S26" s="4" t="n">
        <f aca="false">SUMIFS(Loops!$I$2:$I$481,Loops!$A$2:$A$481,$A26,Loops!$B$2:$B$481,"Variable loop")</f>
        <v>3</v>
      </c>
      <c r="T26" s="4" t="n">
        <f aca="false">SUMIFS(Loops!$I$2:$I$481,Loops!$A$2:$A$481,$A26,Loops!$B$2:$B$481,"TΨC-loop")</f>
        <v>3</v>
      </c>
      <c r="U26" s="4" t="n">
        <f aca="false">SUMIFS(Loops!$F$2:$F$481,Loops!$A$2:$A$481,$A26)-SUMIFS(Loops!$F$2:$F$481,Loops!$A$2:$A$481,$A26,Loops!$B$2:$B$481,"Positions 8, 9, 26")</f>
        <v>28</v>
      </c>
      <c r="V26" s="3" t="n">
        <f aca="false">SUM(Q26:T26)</f>
        <v>10</v>
      </c>
      <c r="W26" s="5" t="n">
        <f aca="false">V26/U26</f>
        <v>0.357142857142857</v>
      </c>
      <c r="X26" s="7" t="str">
        <f aca="false">INDEX(Positions!$E$2:$E$6912,MATCH($A26&amp;"|8",Positions!$A$2:$A$6912,0))</f>
        <v>U</v>
      </c>
      <c r="Y26" s="7" t="str">
        <f aca="false">INDEX(Positions!$E$2:$E$6912,MATCH($A26&amp;"|9",Positions!$A$2:$A$6912,0))</f>
        <v>A</v>
      </c>
      <c r="Z26" s="7" t="str">
        <f aca="false">INDEX(Positions!$E$2:$E$6912,MATCH($A26&amp;"|26",Positions!$A$2:$A$6912,0))</f>
        <v>G</v>
      </c>
      <c r="AA26" s="7" t="n">
        <f aca="false">(X26="G")+(Y26="G")+(Z26="G")</f>
        <v>1</v>
      </c>
      <c r="AB26" s="7" t="n">
        <f aca="false">(X26="C")+(Y26="C")+(Z26="C")</f>
        <v>0</v>
      </c>
      <c r="AC26" s="8" t="n">
        <f aca="false">AA26+AB26</f>
        <v>1</v>
      </c>
      <c r="AD26" s="9" t="n">
        <f aca="false">AC26/3</f>
        <v>0.333333333333333</v>
      </c>
      <c r="AE26" s="7" t="str">
        <f aca="false">IF(K26+V26+AC26=E26,"OK","MISMATCH")</f>
        <v>OK</v>
      </c>
      <c r="AF26" s="10" t="n">
        <f aca="false">B26-42</f>
        <v>31</v>
      </c>
      <c r="AG26" s="10" t="n">
        <f aca="false">V26+AC26</f>
        <v>11</v>
      </c>
      <c r="AH26" s="11" t="n">
        <f aca="false">AG26/AF26</f>
        <v>0.354838709677419</v>
      </c>
      <c r="AI26" s="11" t="n">
        <f aca="false">L26</f>
        <v>0.761904761904762</v>
      </c>
      <c r="AJ26" s="12" t="n">
        <f aca="false">AI26-AH26</f>
        <v>0.407066052227343</v>
      </c>
    </row>
    <row r="27" customFormat="false" ht="15" hidden="false" customHeight="false" outlineLevel="0" collapsed="false">
      <c r="A27" s="3" t="s">
        <v>60</v>
      </c>
      <c r="B27" s="4" t="n">
        <f aca="false">COUNTIF(Positions!$B$2:$B$6912,A27)</f>
        <v>72</v>
      </c>
      <c r="C27" s="4" t="n">
        <f aca="false">COUNTIFS(Positions!$B$2:$B$6912,A27,Positions!$E$2:$E$6912,"G")</f>
        <v>22</v>
      </c>
      <c r="D27" s="4" t="n">
        <f aca="false">COUNTIFS(Positions!$B$2:$B$6912,A27,Positions!$E$2:$E$6912,"C")</f>
        <v>16</v>
      </c>
      <c r="E27" s="3" t="n">
        <f aca="false">C27+D27</f>
        <v>38</v>
      </c>
      <c r="F27" s="5" t="n">
        <f aca="false">E27/B27</f>
        <v>0.527777777777778</v>
      </c>
      <c r="G27" s="4" t="n">
        <f aca="false">SUMIFS(Stems_3D_BP!$K$2:$K$2689,Stems_3D_BP!$A$2:$A$2689,$A27,Stems_3D_BP!$B$2:$B$2689,"Acceptor stem")</f>
        <v>8</v>
      </c>
      <c r="H27" s="4" t="n">
        <f aca="false">SUMIFS(Stems_3D_BP!$K$2:$K$2689,Stems_3D_BP!$A$2:$A$2689,$A27,Stems_3D_BP!$B$2:$B$2689,"D-stem")</f>
        <v>6</v>
      </c>
      <c r="I27" s="4" t="n">
        <f aca="false">SUMIFS(Stems_3D_BP!$K$2:$K$2689,Stems_3D_BP!$A$2:$A$2689,$A27,Stems_3D_BP!$B$2:$B$2689,"Anticodon stem")</f>
        <v>2</v>
      </c>
      <c r="J27" s="4" t="n">
        <f aca="false">SUMIFS(Stems_3D_BP!$K$2:$K$2689,Stems_3D_BP!$A$2:$A$2689,$A27,Stems_3D_BP!$B$2:$B$2689,"T-stem")</f>
        <v>9</v>
      </c>
      <c r="K27" s="3" t="n">
        <f aca="false">SUM(G27:J27)</f>
        <v>25</v>
      </c>
      <c r="L27" s="5" t="n">
        <f aca="false">K27/42</f>
        <v>0.595238095238095</v>
      </c>
      <c r="M27" s="4" t="n">
        <f aca="false">SUMIFS(Stems_3D_BP!$K$2:$K$2689,Stems_3D_BP!$A$2:$A$2689,$A27,Stems_3D_BP!$B$2:$B$2689,"3D (tertiary) BP")</f>
        <v>7</v>
      </c>
      <c r="N27" s="6" t="n">
        <f aca="false">M27/14</f>
        <v>0.5</v>
      </c>
      <c r="O27" s="3" t="n">
        <f aca="false">K27+M27</f>
        <v>32</v>
      </c>
      <c r="P27" s="5" t="n">
        <f aca="false">O27/56</f>
        <v>0.571428571428571</v>
      </c>
      <c r="Q27" s="4" t="n">
        <f aca="false">SUMIFS(Loops!$I$2:$I$481,Loops!$A$2:$A$481,$A27,Loops!$B$2:$B$481,"D-loop")</f>
        <v>4</v>
      </c>
      <c r="R27" s="4" t="n">
        <f aca="false">SUMIFS(Loops!$I$2:$I$481,Loops!$A$2:$A$481,$A27,Loops!$B$2:$B$481,"Anticodon loop")</f>
        <v>3</v>
      </c>
      <c r="S27" s="4" t="n">
        <f aca="false">SUMIFS(Loops!$I$2:$I$481,Loops!$A$2:$A$481,$A27,Loops!$B$2:$B$481,"Variable loop")</f>
        <v>3</v>
      </c>
      <c r="T27" s="4" t="n">
        <f aca="false">SUMIFS(Loops!$I$2:$I$481,Loops!$A$2:$A$481,$A27,Loops!$B$2:$B$481,"TΨC-loop")</f>
        <v>2</v>
      </c>
      <c r="U27" s="4" t="n">
        <f aca="false">SUMIFS(Loops!$F$2:$F$481,Loops!$A$2:$A$481,$A27)-SUMIFS(Loops!$F$2:$F$481,Loops!$A$2:$A$481,$A27,Loops!$B$2:$B$481,"Positions 8, 9, 26")</f>
        <v>27</v>
      </c>
      <c r="V27" s="3" t="n">
        <f aca="false">SUM(Q27:T27)</f>
        <v>12</v>
      </c>
      <c r="W27" s="5" t="n">
        <f aca="false">V27/U27</f>
        <v>0.444444444444444</v>
      </c>
      <c r="X27" s="7" t="str">
        <f aca="false">INDEX(Positions!$E$2:$E$6912,MATCH($A27&amp;"|8",Positions!$A$2:$A$6912,0))</f>
        <v>U</v>
      </c>
      <c r="Y27" s="7" t="str">
        <f aca="false">INDEX(Positions!$E$2:$E$6912,MATCH($A27&amp;"|9",Positions!$A$2:$A$6912,0))</f>
        <v>A</v>
      </c>
      <c r="Z27" s="7" t="str">
        <f aca="false">INDEX(Positions!$E$2:$E$6912,MATCH($A27&amp;"|26",Positions!$A$2:$A$6912,0))</f>
        <v>G</v>
      </c>
      <c r="AA27" s="7" t="n">
        <f aca="false">(X27="G")+(Y27="G")+(Z27="G")</f>
        <v>1</v>
      </c>
      <c r="AB27" s="7" t="n">
        <f aca="false">(X27="C")+(Y27="C")+(Z27="C")</f>
        <v>0</v>
      </c>
      <c r="AC27" s="8" t="n">
        <f aca="false">AA27+AB27</f>
        <v>1</v>
      </c>
      <c r="AD27" s="9" t="n">
        <f aca="false">AC27/3</f>
        <v>0.333333333333333</v>
      </c>
      <c r="AE27" s="7" t="str">
        <f aca="false">IF(K27+V27+AC27=E27,"OK","MISMATCH")</f>
        <v>OK</v>
      </c>
      <c r="AF27" s="10" t="n">
        <f aca="false">B27-42</f>
        <v>30</v>
      </c>
      <c r="AG27" s="10" t="n">
        <f aca="false">V27+AC27</f>
        <v>13</v>
      </c>
      <c r="AH27" s="11" t="n">
        <f aca="false">AG27/AF27</f>
        <v>0.433333333333333</v>
      </c>
      <c r="AI27" s="11" t="n">
        <f aca="false">L27</f>
        <v>0.595238095238095</v>
      </c>
      <c r="AJ27" s="12" t="n">
        <f aca="false">AI27-AH27</f>
        <v>0.161904761904762</v>
      </c>
    </row>
    <row r="28" customFormat="false" ht="15" hidden="false" customHeight="false" outlineLevel="0" collapsed="false">
      <c r="A28" s="3" t="s">
        <v>61</v>
      </c>
      <c r="B28" s="4" t="n">
        <f aca="false">COUNTIF(Positions!$B$2:$B$6912,A28)</f>
        <v>72</v>
      </c>
      <c r="C28" s="4" t="n">
        <f aca="false">COUNTIFS(Positions!$B$2:$B$6912,A28,Positions!$E$2:$E$6912,"G")</f>
        <v>23</v>
      </c>
      <c r="D28" s="4" t="n">
        <f aca="false">COUNTIFS(Positions!$B$2:$B$6912,A28,Positions!$E$2:$E$6912,"C")</f>
        <v>16</v>
      </c>
      <c r="E28" s="3" t="n">
        <f aca="false">C28+D28</f>
        <v>39</v>
      </c>
      <c r="F28" s="5" t="n">
        <f aca="false">E28/B28</f>
        <v>0.541666666666667</v>
      </c>
      <c r="G28" s="4" t="n">
        <f aca="false">SUMIFS(Stems_3D_BP!$K$2:$K$2689,Stems_3D_BP!$A$2:$A$2689,$A28,Stems_3D_BP!$B$2:$B$2689,"Acceptor stem")</f>
        <v>8</v>
      </c>
      <c r="H28" s="4" t="n">
        <f aca="false">SUMIFS(Stems_3D_BP!$K$2:$K$2689,Stems_3D_BP!$A$2:$A$2689,$A28,Stems_3D_BP!$B$2:$B$2689,"D-stem")</f>
        <v>6</v>
      </c>
      <c r="I28" s="4" t="n">
        <f aca="false">SUMIFS(Stems_3D_BP!$K$2:$K$2689,Stems_3D_BP!$A$2:$A$2689,$A28,Stems_3D_BP!$B$2:$B$2689,"Anticodon stem")</f>
        <v>2</v>
      </c>
      <c r="J28" s="4" t="n">
        <f aca="false">SUMIFS(Stems_3D_BP!$K$2:$K$2689,Stems_3D_BP!$A$2:$A$2689,$A28,Stems_3D_BP!$B$2:$B$2689,"T-stem")</f>
        <v>9</v>
      </c>
      <c r="K28" s="3" t="n">
        <f aca="false">SUM(G28:J28)</f>
        <v>25</v>
      </c>
      <c r="L28" s="5" t="n">
        <f aca="false">K28/42</f>
        <v>0.595238095238095</v>
      </c>
      <c r="M28" s="4" t="n">
        <f aca="false">SUMIFS(Stems_3D_BP!$K$2:$K$2689,Stems_3D_BP!$A$2:$A$2689,$A28,Stems_3D_BP!$B$2:$B$2689,"3D (tertiary) BP")</f>
        <v>7</v>
      </c>
      <c r="N28" s="6" t="n">
        <f aca="false">M28/14</f>
        <v>0.5</v>
      </c>
      <c r="O28" s="3" t="n">
        <f aca="false">K28+M28</f>
        <v>32</v>
      </c>
      <c r="P28" s="5" t="n">
        <f aca="false">O28/56</f>
        <v>0.571428571428571</v>
      </c>
      <c r="Q28" s="4" t="n">
        <f aca="false">SUMIFS(Loops!$I$2:$I$481,Loops!$A$2:$A$481,$A28,Loops!$B$2:$B$481,"D-loop")</f>
        <v>4</v>
      </c>
      <c r="R28" s="4" t="n">
        <f aca="false">SUMIFS(Loops!$I$2:$I$481,Loops!$A$2:$A$481,$A28,Loops!$B$2:$B$481,"Anticodon loop")</f>
        <v>3</v>
      </c>
      <c r="S28" s="4" t="n">
        <f aca="false">SUMIFS(Loops!$I$2:$I$481,Loops!$A$2:$A$481,$A28,Loops!$B$2:$B$481,"Variable loop")</f>
        <v>3</v>
      </c>
      <c r="T28" s="4" t="n">
        <f aca="false">SUMIFS(Loops!$I$2:$I$481,Loops!$A$2:$A$481,$A28,Loops!$B$2:$B$481,"TΨC-loop")</f>
        <v>3</v>
      </c>
      <c r="U28" s="4" t="n">
        <f aca="false">SUMIFS(Loops!$F$2:$F$481,Loops!$A$2:$A$481,$A28)-SUMIFS(Loops!$F$2:$F$481,Loops!$A$2:$A$481,$A28,Loops!$B$2:$B$481,"Positions 8, 9, 26")</f>
        <v>27</v>
      </c>
      <c r="V28" s="3" t="n">
        <f aca="false">SUM(Q28:T28)</f>
        <v>13</v>
      </c>
      <c r="W28" s="5" t="n">
        <f aca="false">V28/U28</f>
        <v>0.481481481481481</v>
      </c>
      <c r="X28" s="7" t="str">
        <f aca="false">INDEX(Positions!$E$2:$E$6912,MATCH($A28&amp;"|8",Positions!$A$2:$A$6912,0))</f>
        <v>U</v>
      </c>
      <c r="Y28" s="7" t="str">
        <f aca="false">INDEX(Positions!$E$2:$E$6912,MATCH($A28&amp;"|9",Positions!$A$2:$A$6912,0))</f>
        <v>A</v>
      </c>
      <c r="Z28" s="7" t="str">
        <f aca="false">INDEX(Positions!$E$2:$E$6912,MATCH($A28&amp;"|26",Positions!$A$2:$A$6912,0))</f>
        <v>G</v>
      </c>
      <c r="AA28" s="7" t="n">
        <f aca="false">(X28="G")+(Y28="G")+(Z28="G")</f>
        <v>1</v>
      </c>
      <c r="AB28" s="7" t="n">
        <f aca="false">(X28="C")+(Y28="C")+(Z28="C")</f>
        <v>0</v>
      </c>
      <c r="AC28" s="8" t="n">
        <f aca="false">AA28+AB28</f>
        <v>1</v>
      </c>
      <c r="AD28" s="9" t="n">
        <f aca="false">AC28/3</f>
        <v>0.333333333333333</v>
      </c>
      <c r="AE28" s="7" t="str">
        <f aca="false">IF(K28+V28+AC28=E28,"OK","MISMATCH")</f>
        <v>OK</v>
      </c>
      <c r="AF28" s="10" t="n">
        <f aca="false">B28-42</f>
        <v>30</v>
      </c>
      <c r="AG28" s="10" t="n">
        <f aca="false">V28+AC28</f>
        <v>14</v>
      </c>
      <c r="AH28" s="11" t="n">
        <f aca="false">AG28/AF28</f>
        <v>0.466666666666667</v>
      </c>
      <c r="AI28" s="11" t="n">
        <f aca="false">L28</f>
        <v>0.595238095238095</v>
      </c>
      <c r="AJ28" s="12" t="n">
        <f aca="false">AI28-AH28</f>
        <v>0.128571428571429</v>
      </c>
    </row>
    <row r="29" customFormat="false" ht="15" hidden="false" customHeight="false" outlineLevel="0" collapsed="false">
      <c r="A29" s="3" t="s">
        <v>62</v>
      </c>
      <c r="B29" s="4" t="n">
        <f aca="false">COUNTIF(Positions!$B$2:$B$6912,A29)</f>
        <v>71</v>
      </c>
      <c r="C29" s="4" t="n">
        <f aca="false">COUNTIFS(Positions!$B$2:$B$6912,A29,Positions!$E$2:$E$6912,"G")</f>
        <v>22</v>
      </c>
      <c r="D29" s="4" t="n">
        <f aca="false">COUNTIFS(Positions!$B$2:$B$6912,A29,Positions!$E$2:$E$6912,"C")</f>
        <v>19</v>
      </c>
      <c r="E29" s="3" t="n">
        <f aca="false">C29+D29</f>
        <v>41</v>
      </c>
      <c r="F29" s="5" t="n">
        <f aca="false">E29/B29</f>
        <v>0.577464788732394</v>
      </c>
      <c r="G29" s="4" t="n">
        <f aca="false">SUMIFS(Stems_3D_BP!$K$2:$K$2689,Stems_3D_BP!$A$2:$A$2689,$A29,Stems_3D_BP!$B$2:$B$2689,"Acceptor stem")</f>
        <v>9</v>
      </c>
      <c r="H29" s="4" t="n">
        <f aca="false">SUMIFS(Stems_3D_BP!$K$2:$K$2689,Stems_3D_BP!$A$2:$A$2689,$A29,Stems_3D_BP!$B$2:$B$2689,"D-stem")</f>
        <v>2</v>
      </c>
      <c r="I29" s="4" t="n">
        <f aca="false">SUMIFS(Stems_3D_BP!$K$2:$K$2689,Stems_3D_BP!$A$2:$A$2689,$A29,Stems_3D_BP!$B$2:$B$2689,"Anticodon stem")</f>
        <v>10</v>
      </c>
      <c r="J29" s="4" t="n">
        <f aca="false">SUMIFS(Stems_3D_BP!$K$2:$K$2689,Stems_3D_BP!$A$2:$A$2689,$A29,Stems_3D_BP!$B$2:$B$2689,"T-stem")</f>
        <v>10</v>
      </c>
      <c r="K29" s="3" t="n">
        <f aca="false">SUM(G29:J29)</f>
        <v>31</v>
      </c>
      <c r="L29" s="5" t="n">
        <f aca="false">K29/42</f>
        <v>0.738095238095238</v>
      </c>
      <c r="M29" s="4" t="n">
        <f aca="false">SUMIFS(Stems_3D_BP!$K$2:$K$2689,Stems_3D_BP!$A$2:$A$2689,$A29,Stems_3D_BP!$B$2:$B$2689,"3D (tertiary) BP")</f>
        <v>7</v>
      </c>
      <c r="N29" s="6" t="n">
        <f aca="false">M29/14</f>
        <v>0.5</v>
      </c>
      <c r="O29" s="3" t="n">
        <f aca="false">K29+M29</f>
        <v>38</v>
      </c>
      <c r="P29" s="5" t="n">
        <f aca="false">O29/56</f>
        <v>0.678571428571429</v>
      </c>
      <c r="Q29" s="4" t="n">
        <f aca="false">SUMIFS(Loops!$I$2:$I$481,Loops!$A$2:$A$481,$A29,Loops!$B$2:$B$481,"D-loop")</f>
        <v>3</v>
      </c>
      <c r="R29" s="4" t="n">
        <f aca="false">SUMIFS(Loops!$I$2:$I$481,Loops!$A$2:$A$481,$A29,Loops!$B$2:$B$481,"Anticodon loop")</f>
        <v>4</v>
      </c>
      <c r="S29" s="4" t="n">
        <f aca="false">SUMIFS(Loops!$I$2:$I$481,Loops!$A$2:$A$481,$A29,Loops!$B$2:$B$481,"Variable loop")</f>
        <v>2</v>
      </c>
      <c r="T29" s="4" t="n">
        <f aca="false">SUMIFS(Loops!$I$2:$I$481,Loops!$A$2:$A$481,$A29,Loops!$B$2:$B$481,"TΨC-loop")</f>
        <v>1</v>
      </c>
      <c r="U29" s="4" t="n">
        <f aca="false">SUMIFS(Loops!$F$2:$F$481,Loops!$A$2:$A$481,$A29)-SUMIFS(Loops!$F$2:$F$481,Loops!$A$2:$A$481,$A29,Loops!$B$2:$B$481,"Positions 8, 9, 26")</f>
        <v>26</v>
      </c>
      <c r="V29" s="3" t="n">
        <f aca="false">SUM(Q29:T29)</f>
        <v>10</v>
      </c>
      <c r="W29" s="5" t="n">
        <f aca="false">V29/U29</f>
        <v>0.384615384615385</v>
      </c>
      <c r="X29" s="7" t="str">
        <f aca="false">INDEX(Positions!$E$2:$E$6912,MATCH($A29&amp;"|8",Positions!$A$2:$A$6912,0))</f>
        <v>U</v>
      </c>
      <c r="Y29" s="7" t="str">
        <f aca="false">INDEX(Positions!$E$2:$E$6912,MATCH($A29&amp;"|9",Positions!$A$2:$A$6912,0))</f>
        <v>A</v>
      </c>
      <c r="Z29" s="7" t="str">
        <f aca="false">INDEX(Positions!$E$2:$E$6912,MATCH($A29&amp;"|26",Positions!$A$2:$A$6912,0))</f>
        <v>A</v>
      </c>
      <c r="AA29" s="7" t="n">
        <f aca="false">(X29="G")+(Y29="G")+(Z29="G")</f>
        <v>0</v>
      </c>
      <c r="AB29" s="7" t="n">
        <f aca="false">(X29="C")+(Y29="C")+(Z29="C")</f>
        <v>0</v>
      </c>
      <c r="AC29" s="8" t="n">
        <f aca="false">AA29+AB29</f>
        <v>0</v>
      </c>
      <c r="AD29" s="9" t="n">
        <f aca="false">AC29/3</f>
        <v>0</v>
      </c>
      <c r="AE29" s="7" t="str">
        <f aca="false">IF(K29+V29+AC29=E29,"OK","MISMATCH")</f>
        <v>OK</v>
      </c>
      <c r="AF29" s="10" t="n">
        <f aca="false">B29-42</f>
        <v>29</v>
      </c>
      <c r="AG29" s="10" t="n">
        <f aca="false">V29+AC29</f>
        <v>10</v>
      </c>
      <c r="AH29" s="11" t="n">
        <f aca="false">AG29/AF29</f>
        <v>0.344827586206897</v>
      </c>
      <c r="AI29" s="11" t="n">
        <f aca="false">L29</f>
        <v>0.738095238095238</v>
      </c>
      <c r="AJ29" s="12" t="n">
        <f aca="false">AI29-AH29</f>
        <v>0.393267651888342</v>
      </c>
    </row>
    <row r="30" customFormat="false" ht="15" hidden="false" customHeight="false" outlineLevel="0" collapsed="false">
      <c r="A30" s="3" t="s">
        <v>63</v>
      </c>
      <c r="B30" s="4" t="n">
        <f aca="false">COUNTIF(Positions!$B$2:$B$6912,A30)</f>
        <v>71</v>
      </c>
      <c r="C30" s="4" t="n">
        <f aca="false">COUNTIFS(Positions!$B$2:$B$6912,A30,Positions!$E$2:$E$6912,"G")</f>
        <v>18</v>
      </c>
      <c r="D30" s="4" t="n">
        <f aca="false">COUNTIFS(Positions!$B$2:$B$6912,A30,Positions!$E$2:$E$6912,"C")</f>
        <v>16</v>
      </c>
      <c r="E30" s="3" t="n">
        <f aca="false">C30+D30</f>
        <v>34</v>
      </c>
      <c r="F30" s="5" t="n">
        <f aca="false">E30/B30</f>
        <v>0.47887323943662</v>
      </c>
      <c r="G30" s="4" t="n">
        <f aca="false">SUMIFS(Stems_3D_BP!$K$2:$K$2689,Stems_3D_BP!$A$2:$A$2689,$A30,Stems_3D_BP!$B$2:$B$2689,"Acceptor stem")</f>
        <v>8</v>
      </c>
      <c r="H30" s="4" t="n">
        <f aca="false">SUMIFS(Stems_3D_BP!$K$2:$K$2689,Stems_3D_BP!$A$2:$A$2689,$A30,Stems_3D_BP!$B$2:$B$2689,"D-stem")</f>
        <v>4</v>
      </c>
      <c r="I30" s="4" t="n">
        <f aca="false">SUMIFS(Stems_3D_BP!$K$2:$K$2689,Stems_3D_BP!$A$2:$A$2689,$A30,Stems_3D_BP!$B$2:$B$2689,"Anticodon stem")</f>
        <v>6</v>
      </c>
      <c r="J30" s="4" t="n">
        <f aca="false">SUMIFS(Stems_3D_BP!$K$2:$K$2689,Stems_3D_BP!$A$2:$A$2689,$A30,Stems_3D_BP!$B$2:$B$2689,"T-stem")</f>
        <v>8</v>
      </c>
      <c r="K30" s="3" t="n">
        <f aca="false">SUM(G30:J30)</f>
        <v>26</v>
      </c>
      <c r="L30" s="5" t="n">
        <f aca="false">K30/42</f>
        <v>0.619047619047619</v>
      </c>
      <c r="M30" s="4" t="n">
        <f aca="false">SUMIFS(Stems_3D_BP!$K$2:$K$2689,Stems_3D_BP!$A$2:$A$2689,$A30,Stems_3D_BP!$B$2:$B$2689,"3D (tertiary) BP")</f>
        <v>6</v>
      </c>
      <c r="N30" s="6" t="n">
        <f aca="false">M30/14</f>
        <v>0.428571428571429</v>
      </c>
      <c r="O30" s="3" t="n">
        <f aca="false">K30+M30</f>
        <v>32</v>
      </c>
      <c r="P30" s="5" t="n">
        <f aca="false">O30/56</f>
        <v>0.571428571428571</v>
      </c>
      <c r="Q30" s="4" t="n">
        <f aca="false">SUMIFS(Loops!$I$2:$I$481,Loops!$A$2:$A$481,$A30,Loops!$B$2:$B$481,"D-loop")</f>
        <v>3</v>
      </c>
      <c r="R30" s="4" t="n">
        <f aca="false">SUMIFS(Loops!$I$2:$I$481,Loops!$A$2:$A$481,$A30,Loops!$B$2:$B$481,"Anticodon loop")</f>
        <v>2</v>
      </c>
      <c r="S30" s="4" t="n">
        <f aca="false">SUMIFS(Loops!$I$2:$I$481,Loops!$A$2:$A$481,$A30,Loops!$B$2:$B$481,"Variable loop")</f>
        <v>1</v>
      </c>
      <c r="T30" s="4" t="n">
        <f aca="false">SUMIFS(Loops!$I$2:$I$481,Loops!$A$2:$A$481,$A30,Loops!$B$2:$B$481,"TΨC-loop")</f>
        <v>2</v>
      </c>
      <c r="U30" s="4" t="n">
        <f aca="false">SUMIFS(Loops!$F$2:$F$481,Loops!$A$2:$A$481,$A30)-SUMIFS(Loops!$F$2:$F$481,Loops!$A$2:$A$481,$A30,Loops!$B$2:$B$481,"Positions 8, 9, 26")</f>
        <v>26</v>
      </c>
      <c r="V30" s="3" t="n">
        <f aca="false">SUM(Q30:T30)</f>
        <v>8</v>
      </c>
      <c r="W30" s="5" t="n">
        <f aca="false">V30/U30</f>
        <v>0.307692307692308</v>
      </c>
      <c r="X30" s="7" t="str">
        <f aca="false">INDEX(Positions!$E$2:$E$6912,MATCH($A30&amp;"|8",Positions!$A$2:$A$6912,0))</f>
        <v>U</v>
      </c>
      <c r="Y30" s="7" t="str">
        <f aca="false">INDEX(Positions!$E$2:$E$6912,MATCH($A30&amp;"|9",Positions!$A$2:$A$6912,0))</f>
        <v>A</v>
      </c>
      <c r="Z30" s="7" t="str">
        <f aca="false">INDEX(Positions!$E$2:$E$6912,MATCH($A30&amp;"|26",Positions!$A$2:$A$6912,0))</f>
        <v>U</v>
      </c>
      <c r="AA30" s="7" t="n">
        <f aca="false">(X30="G")+(Y30="G")+(Z30="G")</f>
        <v>0</v>
      </c>
      <c r="AB30" s="7" t="n">
        <f aca="false">(X30="C")+(Y30="C")+(Z30="C")</f>
        <v>0</v>
      </c>
      <c r="AC30" s="8" t="n">
        <f aca="false">AA30+AB30</f>
        <v>0</v>
      </c>
      <c r="AD30" s="9" t="n">
        <f aca="false">AC30/3</f>
        <v>0</v>
      </c>
      <c r="AE30" s="7" t="str">
        <f aca="false">IF(K30+V30+AC30=E30,"OK","MISMATCH")</f>
        <v>OK</v>
      </c>
      <c r="AF30" s="10" t="n">
        <f aca="false">B30-42</f>
        <v>29</v>
      </c>
      <c r="AG30" s="10" t="n">
        <f aca="false">V30+AC30</f>
        <v>8</v>
      </c>
      <c r="AH30" s="11" t="n">
        <f aca="false">AG30/AF30</f>
        <v>0.275862068965517</v>
      </c>
      <c r="AI30" s="11" t="n">
        <f aca="false">L30</f>
        <v>0.619047619047619</v>
      </c>
      <c r="AJ30" s="12" t="n">
        <f aca="false">AI30-AH30</f>
        <v>0.343185550082102</v>
      </c>
    </row>
    <row r="31" customFormat="false" ht="15" hidden="false" customHeight="false" outlineLevel="0" collapsed="false">
      <c r="A31" s="3" t="s">
        <v>64</v>
      </c>
      <c r="B31" s="4" t="n">
        <f aca="false">COUNTIF(Positions!$B$2:$B$6912,A31)</f>
        <v>71</v>
      </c>
      <c r="C31" s="4" t="n">
        <f aca="false">COUNTIFS(Positions!$B$2:$B$6912,A31,Positions!$E$2:$E$6912,"G")</f>
        <v>19</v>
      </c>
      <c r="D31" s="4" t="n">
        <f aca="false">COUNTIFS(Positions!$B$2:$B$6912,A31,Positions!$E$2:$E$6912,"C")</f>
        <v>18</v>
      </c>
      <c r="E31" s="3" t="n">
        <f aca="false">C31+D31</f>
        <v>37</v>
      </c>
      <c r="F31" s="5" t="n">
        <f aca="false">E31/B31</f>
        <v>0.52112676056338</v>
      </c>
      <c r="G31" s="4" t="n">
        <f aca="false">SUMIFS(Stems_3D_BP!$K$2:$K$2689,Stems_3D_BP!$A$2:$A$2689,$A31,Stems_3D_BP!$B$2:$B$2689,"Acceptor stem")</f>
        <v>7</v>
      </c>
      <c r="H31" s="4" t="n">
        <f aca="false">SUMIFS(Stems_3D_BP!$K$2:$K$2689,Stems_3D_BP!$A$2:$A$2689,$A31,Stems_3D_BP!$B$2:$B$2689,"D-stem")</f>
        <v>3</v>
      </c>
      <c r="I31" s="4" t="n">
        <f aca="false">SUMIFS(Stems_3D_BP!$K$2:$K$2689,Stems_3D_BP!$A$2:$A$2689,$A31,Stems_3D_BP!$B$2:$B$2689,"Anticodon stem")</f>
        <v>8</v>
      </c>
      <c r="J31" s="4" t="n">
        <f aca="false">SUMIFS(Stems_3D_BP!$K$2:$K$2689,Stems_3D_BP!$A$2:$A$2689,$A31,Stems_3D_BP!$B$2:$B$2689,"T-stem")</f>
        <v>10</v>
      </c>
      <c r="K31" s="3" t="n">
        <f aca="false">SUM(G31:J31)</f>
        <v>28</v>
      </c>
      <c r="L31" s="5" t="n">
        <f aca="false">K31/42</f>
        <v>0.666666666666667</v>
      </c>
      <c r="M31" s="4" t="n">
        <f aca="false">SUMIFS(Stems_3D_BP!$K$2:$K$2689,Stems_3D_BP!$A$2:$A$2689,$A31,Stems_3D_BP!$B$2:$B$2689,"3D (tertiary) BP")</f>
        <v>5</v>
      </c>
      <c r="N31" s="6" t="n">
        <f aca="false">M31/14</f>
        <v>0.357142857142857</v>
      </c>
      <c r="O31" s="3" t="n">
        <f aca="false">K31+M31</f>
        <v>33</v>
      </c>
      <c r="P31" s="5" t="n">
        <f aca="false">O31/56</f>
        <v>0.589285714285714</v>
      </c>
      <c r="Q31" s="4" t="n">
        <f aca="false">SUMIFS(Loops!$I$2:$I$481,Loops!$A$2:$A$481,$A31,Loops!$B$2:$B$481,"D-loop")</f>
        <v>3</v>
      </c>
      <c r="R31" s="4" t="n">
        <f aca="false">SUMIFS(Loops!$I$2:$I$481,Loops!$A$2:$A$481,$A31,Loops!$B$2:$B$481,"Anticodon loop")</f>
        <v>3</v>
      </c>
      <c r="S31" s="4" t="n">
        <f aca="false">SUMIFS(Loops!$I$2:$I$481,Loops!$A$2:$A$481,$A31,Loops!$B$2:$B$481,"Variable loop")</f>
        <v>1</v>
      </c>
      <c r="T31" s="4" t="n">
        <f aca="false">SUMIFS(Loops!$I$2:$I$481,Loops!$A$2:$A$481,$A31,Loops!$B$2:$B$481,"TΨC-loop")</f>
        <v>2</v>
      </c>
      <c r="U31" s="4" t="n">
        <f aca="false">SUMIFS(Loops!$F$2:$F$481,Loops!$A$2:$A$481,$A31)-SUMIFS(Loops!$F$2:$F$481,Loops!$A$2:$A$481,$A31,Loops!$B$2:$B$481,"Positions 8, 9, 26")</f>
        <v>26</v>
      </c>
      <c r="V31" s="3" t="n">
        <f aca="false">SUM(Q31:T31)</f>
        <v>9</v>
      </c>
      <c r="W31" s="5" t="n">
        <f aca="false">V31/U31</f>
        <v>0.346153846153846</v>
      </c>
      <c r="X31" s="7" t="str">
        <f aca="false">INDEX(Positions!$E$2:$E$6912,MATCH($A31&amp;"|8",Positions!$A$2:$A$6912,0))</f>
        <v>U</v>
      </c>
      <c r="Y31" s="7" t="str">
        <f aca="false">INDEX(Positions!$E$2:$E$6912,MATCH($A31&amp;"|9",Positions!$A$2:$A$6912,0))</f>
        <v>A</v>
      </c>
      <c r="Z31" s="7" t="str">
        <f aca="false">INDEX(Positions!$E$2:$E$6912,MATCH($A31&amp;"|26",Positions!$A$2:$A$6912,0))</f>
        <v>A</v>
      </c>
      <c r="AA31" s="7" t="n">
        <f aca="false">(X31="G")+(Y31="G")+(Z31="G")</f>
        <v>0</v>
      </c>
      <c r="AB31" s="7" t="n">
        <f aca="false">(X31="C")+(Y31="C")+(Z31="C")</f>
        <v>0</v>
      </c>
      <c r="AC31" s="8" t="n">
        <f aca="false">AA31+AB31</f>
        <v>0</v>
      </c>
      <c r="AD31" s="9" t="n">
        <f aca="false">AC31/3</f>
        <v>0</v>
      </c>
      <c r="AE31" s="7" t="str">
        <f aca="false">IF(K31+V31+AC31=E31,"OK","MISMATCH")</f>
        <v>OK</v>
      </c>
      <c r="AF31" s="10" t="n">
        <f aca="false">B31-42</f>
        <v>29</v>
      </c>
      <c r="AG31" s="10" t="n">
        <f aca="false">V31+AC31</f>
        <v>9</v>
      </c>
      <c r="AH31" s="11" t="n">
        <f aca="false">AG31/AF31</f>
        <v>0.310344827586207</v>
      </c>
      <c r="AI31" s="11" t="n">
        <f aca="false">L31</f>
        <v>0.666666666666667</v>
      </c>
      <c r="AJ31" s="12" t="n">
        <f aca="false">AI31-AH31</f>
        <v>0.35632183908046</v>
      </c>
    </row>
    <row r="32" customFormat="false" ht="15" hidden="false" customHeight="false" outlineLevel="0" collapsed="false">
      <c r="A32" s="3" t="s">
        <v>65</v>
      </c>
      <c r="B32" s="4" t="n">
        <f aca="false">COUNTIF(Positions!$B$2:$B$6912,A32)</f>
        <v>71</v>
      </c>
      <c r="C32" s="4" t="n">
        <f aca="false">COUNTIFS(Positions!$B$2:$B$6912,A32,Positions!$E$2:$E$6912,"G")</f>
        <v>21</v>
      </c>
      <c r="D32" s="4" t="n">
        <f aca="false">COUNTIFS(Positions!$B$2:$B$6912,A32,Positions!$E$2:$E$6912,"C")</f>
        <v>21</v>
      </c>
      <c r="E32" s="3" t="n">
        <f aca="false">C32+D32</f>
        <v>42</v>
      </c>
      <c r="F32" s="5" t="n">
        <f aca="false">E32/B32</f>
        <v>0.591549295774648</v>
      </c>
      <c r="G32" s="4" t="n">
        <f aca="false">SUMIFS(Stems_3D_BP!$K$2:$K$2689,Stems_3D_BP!$A$2:$A$2689,$A32,Stems_3D_BP!$B$2:$B$2689,"Acceptor stem")</f>
        <v>8</v>
      </c>
      <c r="H32" s="4" t="n">
        <f aca="false">SUMIFS(Stems_3D_BP!$K$2:$K$2689,Stems_3D_BP!$A$2:$A$2689,$A32,Stems_3D_BP!$B$2:$B$2689,"D-stem")</f>
        <v>3</v>
      </c>
      <c r="I32" s="4" t="n">
        <f aca="false">SUMIFS(Stems_3D_BP!$K$2:$K$2689,Stems_3D_BP!$A$2:$A$2689,$A32,Stems_3D_BP!$B$2:$B$2689,"Anticodon stem")</f>
        <v>8</v>
      </c>
      <c r="J32" s="4" t="n">
        <f aca="false">SUMIFS(Stems_3D_BP!$K$2:$K$2689,Stems_3D_BP!$A$2:$A$2689,$A32,Stems_3D_BP!$B$2:$B$2689,"T-stem")</f>
        <v>10</v>
      </c>
      <c r="K32" s="3" t="n">
        <f aca="false">SUM(G32:J32)</f>
        <v>29</v>
      </c>
      <c r="L32" s="5" t="n">
        <f aca="false">K32/42</f>
        <v>0.690476190476191</v>
      </c>
      <c r="M32" s="4" t="n">
        <f aca="false">SUMIFS(Stems_3D_BP!$K$2:$K$2689,Stems_3D_BP!$A$2:$A$2689,$A32,Stems_3D_BP!$B$2:$B$2689,"3D (tertiary) BP")</f>
        <v>7</v>
      </c>
      <c r="N32" s="6" t="n">
        <f aca="false">M32/14</f>
        <v>0.5</v>
      </c>
      <c r="O32" s="3" t="n">
        <f aca="false">K32+M32</f>
        <v>36</v>
      </c>
      <c r="P32" s="5" t="n">
        <f aca="false">O32/56</f>
        <v>0.642857142857143</v>
      </c>
      <c r="Q32" s="4" t="n">
        <f aca="false">SUMIFS(Loops!$I$2:$I$481,Loops!$A$2:$A$481,$A32,Loops!$B$2:$B$481,"D-loop")</f>
        <v>3</v>
      </c>
      <c r="R32" s="4" t="n">
        <f aca="false">SUMIFS(Loops!$I$2:$I$481,Loops!$A$2:$A$481,$A32,Loops!$B$2:$B$481,"Anticodon loop")</f>
        <v>4</v>
      </c>
      <c r="S32" s="4" t="n">
        <f aca="false">SUMIFS(Loops!$I$2:$I$481,Loops!$A$2:$A$481,$A32,Loops!$B$2:$B$481,"Variable loop")</f>
        <v>2</v>
      </c>
      <c r="T32" s="4" t="n">
        <f aca="false">SUMIFS(Loops!$I$2:$I$481,Loops!$A$2:$A$481,$A32,Loops!$B$2:$B$481,"TΨC-loop")</f>
        <v>3</v>
      </c>
      <c r="U32" s="4" t="n">
        <f aca="false">SUMIFS(Loops!$F$2:$F$481,Loops!$A$2:$A$481,$A32)-SUMIFS(Loops!$F$2:$F$481,Loops!$A$2:$A$481,$A32,Loops!$B$2:$B$481,"Positions 8, 9, 26")</f>
        <v>26</v>
      </c>
      <c r="V32" s="3" t="n">
        <f aca="false">SUM(Q32:T32)</f>
        <v>12</v>
      </c>
      <c r="W32" s="5" t="n">
        <f aca="false">V32/U32</f>
        <v>0.461538461538462</v>
      </c>
      <c r="X32" s="7" t="str">
        <f aca="false">INDEX(Positions!$E$2:$E$6912,MATCH($A32&amp;"|8",Positions!$A$2:$A$6912,0))</f>
        <v>U</v>
      </c>
      <c r="Y32" s="7" t="str">
        <f aca="false">INDEX(Positions!$E$2:$E$6912,MATCH($A32&amp;"|9",Positions!$A$2:$A$6912,0))</f>
        <v>G</v>
      </c>
      <c r="Z32" s="7" t="str">
        <f aca="false">INDEX(Positions!$E$2:$E$6912,MATCH($A32&amp;"|26",Positions!$A$2:$A$6912,0))</f>
        <v>A</v>
      </c>
      <c r="AA32" s="7" t="n">
        <f aca="false">(X32="G")+(Y32="G")+(Z32="G")</f>
        <v>1</v>
      </c>
      <c r="AB32" s="7" t="n">
        <f aca="false">(X32="C")+(Y32="C")+(Z32="C")</f>
        <v>0</v>
      </c>
      <c r="AC32" s="8" t="n">
        <f aca="false">AA32+AB32</f>
        <v>1</v>
      </c>
      <c r="AD32" s="9" t="n">
        <f aca="false">AC32/3</f>
        <v>0.333333333333333</v>
      </c>
      <c r="AE32" s="7" t="str">
        <f aca="false">IF(K32+V32+AC32=E32,"OK","MISMATCH")</f>
        <v>OK</v>
      </c>
      <c r="AF32" s="10" t="n">
        <f aca="false">B32-42</f>
        <v>29</v>
      </c>
      <c r="AG32" s="10" t="n">
        <f aca="false">V32+AC32</f>
        <v>13</v>
      </c>
      <c r="AH32" s="11" t="n">
        <f aca="false">AG32/AF32</f>
        <v>0.448275862068966</v>
      </c>
      <c r="AI32" s="11" t="n">
        <f aca="false">L32</f>
        <v>0.690476190476191</v>
      </c>
      <c r="AJ32" s="12" t="n">
        <f aca="false">AI32-AH32</f>
        <v>0.242200328407225</v>
      </c>
    </row>
    <row r="33" customFormat="false" ht="15" hidden="false" customHeight="false" outlineLevel="0" collapsed="false">
      <c r="A33" s="3" t="s">
        <v>66</v>
      </c>
      <c r="B33" s="4" t="n">
        <f aca="false">COUNTIF(Positions!$B$2:$B$6912,A33)</f>
        <v>72</v>
      </c>
      <c r="C33" s="4" t="n">
        <f aca="false">COUNTIFS(Positions!$B$2:$B$6912,A33,Positions!$E$2:$E$6912,"G")</f>
        <v>24</v>
      </c>
      <c r="D33" s="4" t="n">
        <f aca="false">COUNTIFS(Positions!$B$2:$B$6912,A33,Positions!$E$2:$E$6912,"C")</f>
        <v>19</v>
      </c>
      <c r="E33" s="3" t="n">
        <f aca="false">C33+D33</f>
        <v>43</v>
      </c>
      <c r="F33" s="5" t="n">
        <f aca="false">E33/B33</f>
        <v>0.597222222222222</v>
      </c>
      <c r="G33" s="4" t="n">
        <f aca="false">SUMIFS(Stems_3D_BP!$K$2:$K$2689,Stems_3D_BP!$A$2:$A$2689,$A33,Stems_3D_BP!$B$2:$B$2689,"Acceptor stem")</f>
        <v>9</v>
      </c>
      <c r="H33" s="4" t="n">
        <f aca="false">SUMIFS(Stems_3D_BP!$K$2:$K$2689,Stems_3D_BP!$A$2:$A$2689,$A33,Stems_3D_BP!$B$2:$B$2689,"D-stem")</f>
        <v>6</v>
      </c>
      <c r="I33" s="4" t="n">
        <f aca="false">SUMIFS(Stems_3D_BP!$K$2:$K$2689,Stems_3D_BP!$A$2:$A$2689,$A33,Stems_3D_BP!$B$2:$B$2689,"Anticodon stem")</f>
        <v>8</v>
      </c>
      <c r="J33" s="4" t="n">
        <f aca="false">SUMIFS(Stems_3D_BP!$K$2:$K$2689,Stems_3D_BP!$A$2:$A$2689,$A33,Stems_3D_BP!$B$2:$B$2689,"T-stem")</f>
        <v>8</v>
      </c>
      <c r="K33" s="3" t="n">
        <f aca="false">SUM(G33:J33)</f>
        <v>31</v>
      </c>
      <c r="L33" s="5" t="n">
        <f aca="false">K33/42</f>
        <v>0.738095238095238</v>
      </c>
      <c r="M33" s="4" t="n">
        <f aca="false">SUMIFS(Stems_3D_BP!$K$2:$K$2689,Stems_3D_BP!$A$2:$A$2689,$A33,Stems_3D_BP!$B$2:$B$2689,"3D (tertiary) BP")</f>
        <v>7</v>
      </c>
      <c r="N33" s="6" t="n">
        <f aca="false">M33/14</f>
        <v>0.5</v>
      </c>
      <c r="O33" s="3" t="n">
        <f aca="false">K33+M33</f>
        <v>38</v>
      </c>
      <c r="P33" s="5" t="n">
        <f aca="false">O33/56</f>
        <v>0.678571428571429</v>
      </c>
      <c r="Q33" s="4" t="n">
        <f aca="false">SUMIFS(Loops!$I$2:$I$481,Loops!$A$2:$A$481,$A33,Loops!$B$2:$B$481,"D-loop")</f>
        <v>3</v>
      </c>
      <c r="R33" s="4" t="n">
        <f aca="false">SUMIFS(Loops!$I$2:$I$481,Loops!$A$2:$A$481,$A33,Loops!$B$2:$B$481,"Anticodon loop")</f>
        <v>1</v>
      </c>
      <c r="S33" s="4" t="n">
        <f aca="false">SUMIFS(Loops!$I$2:$I$481,Loops!$A$2:$A$481,$A33,Loops!$B$2:$B$481,"Variable loop")</f>
        <v>3</v>
      </c>
      <c r="T33" s="4" t="n">
        <f aca="false">SUMIFS(Loops!$I$2:$I$481,Loops!$A$2:$A$481,$A33,Loops!$B$2:$B$481,"TΨC-loop")</f>
        <v>4</v>
      </c>
      <c r="U33" s="4" t="n">
        <f aca="false">SUMIFS(Loops!$F$2:$F$481,Loops!$A$2:$A$481,$A33)-SUMIFS(Loops!$F$2:$F$481,Loops!$A$2:$A$481,$A33,Loops!$B$2:$B$481,"Positions 8, 9, 26")</f>
        <v>27</v>
      </c>
      <c r="V33" s="3" t="n">
        <f aca="false">SUM(Q33:T33)</f>
        <v>11</v>
      </c>
      <c r="W33" s="5" t="n">
        <f aca="false">V33/U33</f>
        <v>0.407407407407407</v>
      </c>
      <c r="X33" s="7" t="str">
        <f aca="false">INDEX(Positions!$E$2:$E$6912,MATCH($A33&amp;"|8",Positions!$A$2:$A$6912,0))</f>
        <v>U</v>
      </c>
      <c r="Y33" s="7" t="str">
        <f aca="false">INDEX(Positions!$E$2:$E$6912,MATCH($A33&amp;"|9",Positions!$A$2:$A$6912,0))</f>
        <v>A</v>
      </c>
      <c r="Z33" s="7" t="str">
        <f aca="false">INDEX(Positions!$E$2:$E$6912,MATCH($A33&amp;"|26",Positions!$A$2:$A$6912,0))</f>
        <v>G</v>
      </c>
      <c r="AA33" s="7" t="n">
        <f aca="false">(X33="G")+(Y33="G")+(Z33="G")</f>
        <v>1</v>
      </c>
      <c r="AB33" s="7" t="n">
        <f aca="false">(X33="C")+(Y33="C")+(Z33="C")</f>
        <v>0</v>
      </c>
      <c r="AC33" s="8" t="n">
        <f aca="false">AA33+AB33</f>
        <v>1</v>
      </c>
      <c r="AD33" s="9" t="n">
        <f aca="false">AC33/3</f>
        <v>0.333333333333333</v>
      </c>
      <c r="AE33" s="7" t="str">
        <f aca="false">IF(K33+V33+AC33=E33,"OK","MISMATCH")</f>
        <v>OK</v>
      </c>
      <c r="AF33" s="10" t="n">
        <f aca="false">B33-42</f>
        <v>30</v>
      </c>
      <c r="AG33" s="10" t="n">
        <f aca="false">V33+AC33</f>
        <v>12</v>
      </c>
      <c r="AH33" s="11" t="n">
        <f aca="false">AG33/AF33</f>
        <v>0.4</v>
      </c>
      <c r="AI33" s="11" t="n">
        <f aca="false">L33</f>
        <v>0.738095238095238</v>
      </c>
      <c r="AJ33" s="12" t="n">
        <f aca="false">AI33-AH33</f>
        <v>0.338095238095238</v>
      </c>
    </row>
    <row r="34" customFormat="false" ht="15" hidden="false" customHeight="false" outlineLevel="0" collapsed="false">
      <c r="A34" s="3" t="s">
        <v>67</v>
      </c>
      <c r="B34" s="4" t="n">
        <f aca="false">COUNTIF(Positions!$B$2:$B$6912,A34)</f>
        <v>71</v>
      </c>
      <c r="C34" s="4" t="n">
        <f aca="false">COUNTIFS(Positions!$B$2:$B$6912,A34,Positions!$E$2:$E$6912,"G")</f>
        <v>24</v>
      </c>
      <c r="D34" s="4" t="n">
        <f aca="false">COUNTIFS(Positions!$B$2:$B$6912,A34,Positions!$E$2:$E$6912,"C")</f>
        <v>20</v>
      </c>
      <c r="E34" s="3" t="n">
        <f aca="false">C34+D34</f>
        <v>44</v>
      </c>
      <c r="F34" s="5" t="n">
        <f aca="false">E34/B34</f>
        <v>0.619718309859155</v>
      </c>
      <c r="G34" s="4" t="n">
        <f aca="false">SUMIFS(Stems_3D_BP!$K$2:$K$2689,Stems_3D_BP!$A$2:$A$2689,$A34,Stems_3D_BP!$B$2:$B$2689,"Acceptor stem")</f>
        <v>11</v>
      </c>
      <c r="H34" s="4" t="n">
        <f aca="false">SUMIFS(Stems_3D_BP!$K$2:$K$2689,Stems_3D_BP!$A$2:$A$2689,$A34,Stems_3D_BP!$B$2:$B$2689,"D-stem")</f>
        <v>6</v>
      </c>
      <c r="I34" s="4" t="n">
        <f aca="false">SUMIFS(Stems_3D_BP!$K$2:$K$2689,Stems_3D_BP!$A$2:$A$2689,$A34,Stems_3D_BP!$B$2:$B$2689,"Anticodon stem")</f>
        <v>6</v>
      </c>
      <c r="J34" s="4" t="n">
        <f aca="false">SUMIFS(Stems_3D_BP!$K$2:$K$2689,Stems_3D_BP!$A$2:$A$2689,$A34,Stems_3D_BP!$B$2:$B$2689,"T-stem")</f>
        <v>8</v>
      </c>
      <c r="K34" s="3" t="n">
        <f aca="false">SUM(G34:J34)</f>
        <v>31</v>
      </c>
      <c r="L34" s="5" t="n">
        <f aca="false">K34/42</f>
        <v>0.738095238095238</v>
      </c>
      <c r="M34" s="4" t="n">
        <f aca="false">SUMIFS(Stems_3D_BP!$K$2:$K$2689,Stems_3D_BP!$A$2:$A$2689,$A34,Stems_3D_BP!$B$2:$B$2689,"3D (tertiary) BP")</f>
        <v>7</v>
      </c>
      <c r="N34" s="6" t="n">
        <f aca="false">M34/14</f>
        <v>0.5</v>
      </c>
      <c r="O34" s="3" t="n">
        <f aca="false">K34+M34</f>
        <v>38</v>
      </c>
      <c r="P34" s="5" t="n">
        <f aca="false">O34/56</f>
        <v>0.678571428571429</v>
      </c>
      <c r="Q34" s="4" t="n">
        <f aca="false">SUMIFS(Loops!$I$2:$I$481,Loops!$A$2:$A$481,$A34,Loops!$B$2:$B$481,"D-loop")</f>
        <v>4</v>
      </c>
      <c r="R34" s="4" t="n">
        <f aca="false">SUMIFS(Loops!$I$2:$I$481,Loops!$A$2:$A$481,$A34,Loops!$B$2:$B$481,"Anticodon loop")</f>
        <v>3</v>
      </c>
      <c r="S34" s="4" t="n">
        <f aca="false">SUMIFS(Loops!$I$2:$I$481,Loops!$A$2:$A$481,$A34,Loops!$B$2:$B$481,"Variable loop")</f>
        <v>4</v>
      </c>
      <c r="T34" s="4" t="n">
        <f aca="false">SUMIFS(Loops!$I$2:$I$481,Loops!$A$2:$A$481,$A34,Loops!$B$2:$B$481,"TΨC-loop")</f>
        <v>2</v>
      </c>
      <c r="U34" s="4" t="n">
        <f aca="false">SUMIFS(Loops!$F$2:$F$481,Loops!$A$2:$A$481,$A34)-SUMIFS(Loops!$F$2:$F$481,Loops!$A$2:$A$481,$A34,Loops!$B$2:$B$481,"Positions 8, 9, 26")</f>
        <v>26</v>
      </c>
      <c r="V34" s="3" t="n">
        <f aca="false">SUM(Q34:T34)</f>
        <v>13</v>
      </c>
      <c r="W34" s="5" t="n">
        <f aca="false">V34/U34</f>
        <v>0.5</v>
      </c>
      <c r="X34" s="7" t="str">
        <f aca="false">INDEX(Positions!$E$2:$E$6912,MATCH($A34&amp;"|8",Positions!$A$2:$A$6912,0))</f>
        <v>U</v>
      </c>
      <c r="Y34" s="7" t="str">
        <f aca="false">INDEX(Positions!$E$2:$E$6912,MATCH($A34&amp;"|9",Positions!$A$2:$A$6912,0))</f>
        <v>A</v>
      </c>
      <c r="Z34" s="7" t="str">
        <f aca="false">INDEX(Positions!$E$2:$E$6912,MATCH($A34&amp;"|26",Positions!$A$2:$A$6912,0))</f>
        <v>A</v>
      </c>
      <c r="AA34" s="7" t="n">
        <f aca="false">(X34="G")+(Y34="G")+(Z34="G")</f>
        <v>0</v>
      </c>
      <c r="AB34" s="7" t="n">
        <f aca="false">(X34="C")+(Y34="C")+(Z34="C")</f>
        <v>0</v>
      </c>
      <c r="AC34" s="8" t="n">
        <f aca="false">AA34+AB34</f>
        <v>0</v>
      </c>
      <c r="AD34" s="9" t="n">
        <f aca="false">AC34/3</f>
        <v>0</v>
      </c>
      <c r="AE34" s="7" t="str">
        <f aca="false">IF(K34+V34+AC34=E34,"OK","MISMATCH")</f>
        <v>OK</v>
      </c>
      <c r="AF34" s="10" t="n">
        <f aca="false">B34-42</f>
        <v>29</v>
      </c>
      <c r="AG34" s="10" t="n">
        <f aca="false">V34+AC34</f>
        <v>13</v>
      </c>
      <c r="AH34" s="11" t="n">
        <f aca="false">AG34/AF34</f>
        <v>0.448275862068966</v>
      </c>
      <c r="AI34" s="11" t="n">
        <f aca="false">L34</f>
        <v>0.738095238095238</v>
      </c>
      <c r="AJ34" s="12" t="n">
        <f aca="false">AI34-AH34</f>
        <v>0.289819376026273</v>
      </c>
    </row>
    <row r="35" customFormat="false" ht="15" hidden="false" customHeight="false" outlineLevel="0" collapsed="false">
      <c r="A35" s="3" t="s">
        <v>68</v>
      </c>
      <c r="B35" s="4" t="n">
        <f aca="false">COUNTIF(Positions!$B$2:$B$6912,A35)</f>
        <v>71</v>
      </c>
      <c r="C35" s="4" t="n">
        <f aca="false">COUNTIFS(Positions!$B$2:$B$6912,A35,Positions!$E$2:$E$6912,"G")</f>
        <v>22</v>
      </c>
      <c r="D35" s="4" t="n">
        <f aca="false">COUNTIFS(Positions!$B$2:$B$6912,A35,Positions!$E$2:$E$6912,"C")</f>
        <v>17</v>
      </c>
      <c r="E35" s="3" t="n">
        <f aca="false">C35+D35</f>
        <v>39</v>
      </c>
      <c r="F35" s="5" t="n">
        <f aca="false">E35/B35</f>
        <v>0.549295774647887</v>
      </c>
      <c r="G35" s="4" t="n">
        <f aca="false">SUMIFS(Stems_3D_BP!$K$2:$K$2689,Stems_3D_BP!$A$2:$A$2689,$A35,Stems_3D_BP!$B$2:$B$2689,"Acceptor stem")</f>
        <v>10</v>
      </c>
      <c r="H35" s="4" t="n">
        <f aca="false">SUMIFS(Stems_3D_BP!$K$2:$K$2689,Stems_3D_BP!$A$2:$A$2689,$A35,Stems_3D_BP!$B$2:$B$2689,"D-stem")</f>
        <v>6</v>
      </c>
      <c r="I35" s="4" t="n">
        <f aca="false">SUMIFS(Stems_3D_BP!$K$2:$K$2689,Stems_3D_BP!$A$2:$A$2689,$A35,Stems_3D_BP!$B$2:$B$2689,"Anticodon stem")</f>
        <v>5</v>
      </c>
      <c r="J35" s="4" t="n">
        <f aca="false">SUMIFS(Stems_3D_BP!$K$2:$K$2689,Stems_3D_BP!$A$2:$A$2689,$A35,Stems_3D_BP!$B$2:$B$2689,"T-stem")</f>
        <v>7</v>
      </c>
      <c r="K35" s="3" t="n">
        <f aca="false">SUM(G35:J35)</f>
        <v>28</v>
      </c>
      <c r="L35" s="5" t="n">
        <f aca="false">K35/42</f>
        <v>0.666666666666667</v>
      </c>
      <c r="M35" s="4" t="n">
        <f aca="false">SUMIFS(Stems_3D_BP!$K$2:$K$2689,Stems_3D_BP!$A$2:$A$2689,$A35,Stems_3D_BP!$B$2:$B$2689,"3D (tertiary) BP")</f>
        <v>6</v>
      </c>
      <c r="N35" s="6" t="n">
        <f aca="false">M35/14</f>
        <v>0.428571428571429</v>
      </c>
      <c r="O35" s="3" t="n">
        <f aca="false">K35+M35</f>
        <v>34</v>
      </c>
      <c r="P35" s="5" t="n">
        <f aca="false">O35/56</f>
        <v>0.607142857142857</v>
      </c>
      <c r="Q35" s="4" t="n">
        <f aca="false">SUMIFS(Loops!$I$2:$I$481,Loops!$A$2:$A$481,$A35,Loops!$B$2:$B$481,"D-loop")</f>
        <v>3</v>
      </c>
      <c r="R35" s="4" t="n">
        <f aca="false">SUMIFS(Loops!$I$2:$I$481,Loops!$A$2:$A$481,$A35,Loops!$B$2:$B$481,"Anticodon loop")</f>
        <v>2</v>
      </c>
      <c r="S35" s="4" t="n">
        <f aca="false">SUMIFS(Loops!$I$2:$I$481,Loops!$A$2:$A$481,$A35,Loops!$B$2:$B$481,"Variable loop")</f>
        <v>4</v>
      </c>
      <c r="T35" s="4" t="n">
        <f aca="false">SUMIFS(Loops!$I$2:$I$481,Loops!$A$2:$A$481,$A35,Loops!$B$2:$B$481,"TΨC-loop")</f>
        <v>2</v>
      </c>
      <c r="U35" s="4" t="n">
        <f aca="false">SUMIFS(Loops!$F$2:$F$481,Loops!$A$2:$A$481,$A35)-SUMIFS(Loops!$F$2:$F$481,Loops!$A$2:$A$481,$A35,Loops!$B$2:$B$481,"Positions 8, 9, 26")</f>
        <v>26</v>
      </c>
      <c r="V35" s="3" t="n">
        <f aca="false">SUM(Q35:T35)</f>
        <v>11</v>
      </c>
      <c r="W35" s="5" t="n">
        <f aca="false">V35/U35</f>
        <v>0.423076923076923</v>
      </c>
      <c r="X35" s="7" t="str">
        <f aca="false">INDEX(Positions!$E$2:$E$6912,MATCH($A35&amp;"|8",Positions!$A$2:$A$6912,0))</f>
        <v>U</v>
      </c>
      <c r="Y35" s="7" t="str">
        <f aca="false">INDEX(Positions!$E$2:$E$6912,MATCH($A35&amp;"|9",Positions!$A$2:$A$6912,0))</f>
        <v>A</v>
      </c>
      <c r="Z35" s="7" t="str">
        <f aca="false">INDEX(Positions!$E$2:$E$6912,MATCH($A35&amp;"|26",Positions!$A$2:$A$6912,0))</f>
        <v>A</v>
      </c>
      <c r="AA35" s="7" t="n">
        <f aca="false">(X35="G")+(Y35="G")+(Z35="G")</f>
        <v>0</v>
      </c>
      <c r="AB35" s="7" t="n">
        <f aca="false">(X35="C")+(Y35="C")+(Z35="C")</f>
        <v>0</v>
      </c>
      <c r="AC35" s="8" t="n">
        <f aca="false">AA35+AB35</f>
        <v>0</v>
      </c>
      <c r="AD35" s="9" t="n">
        <f aca="false">AC35/3</f>
        <v>0</v>
      </c>
      <c r="AE35" s="7" t="str">
        <f aca="false">IF(K35+V35+AC35=E35,"OK","MISMATCH")</f>
        <v>OK</v>
      </c>
      <c r="AF35" s="10" t="n">
        <f aca="false">B35-42</f>
        <v>29</v>
      </c>
      <c r="AG35" s="10" t="n">
        <f aca="false">V35+AC35</f>
        <v>11</v>
      </c>
      <c r="AH35" s="11" t="n">
        <f aca="false">AG35/AF35</f>
        <v>0.379310344827586</v>
      </c>
      <c r="AI35" s="11" t="n">
        <f aca="false">L35</f>
        <v>0.666666666666667</v>
      </c>
      <c r="AJ35" s="12" t="n">
        <f aca="false">AI35-AH35</f>
        <v>0.28735632183908</v>
      </c>
    </row>
    <row r="36" customFormat="false" ht="15" hidden="false" customHeight="false" outlineLevel="0" collapsed="false">
      <c r="A36" s="3" t="s">
        <v>69</v>
      </c>
      <c r="B36" s="4" t="n">
        <f aca="false">COUNTIF(Positions!$B$2:$B$6912,A36)</f>
        <v>72</v>
      </c>
      <c r="C36" s="4" t="n">
        <f aca="false">COUNTIFS(Positions!$B$2:$B$6912,A36,Positions!$E$2:$E$6912,"G")</f>
        <v>24</v>
      </c>
      <c r="D36" s="4" t="n">
        <f aca="false">COUNTIFS(Positions!$B$2:$B$6912,A36,Positions!$E$2:$E$6912,"C")</f>
        <v>19</v>
      </c>
      <c r="E36" s="3" t="n">
        <f aca="false">C36+D36</f>
        <v>43</v>
      </c>
      <c r="F36" s="5" t="n">
        <f aca="false">E36/B36</f>
        <v>0.597222222222222</v>
      </c>
      <c r="G36" s="4" t="n">
        <f aca="false">SUMIFS(Stems_3D_BP!$K$2:$K$2689,Stems_3D_BP!$A$2:$A$2689,$A36,Stems_3D_BP!$B$2:$B$2689,"Acceptor stem")</f>
        <v>10</v>
      </c>
      <c r="H36" s="4" t="n">
        <f aca="false">SUMIFS(Stems_3D_BP!$K$2:$K$2689,Stems_3D_BP!$A$2:$A$2689,$A36,Stems_3D_BP!$B$2:$B$2689,"D-stem")</f>
        <v>6</v>
      </c>
      <c r="I36" s="4" t="n">
        <f aca="false">SUMIFS(Stems_3D_BP!$K$2:$K$2689,Stems_3D_BP!$A$2:$A$2689,$A36,Stems_3D_BP!$B$2:$B$2689,"Anticodon stem")</f>
        <v>6</v>
      </c>
      <c r="J36" s="4" t="n">
        <f aca="false">SUMIFS(Stems_3D_BP!$K$2:$K$2689,Stems_3D_BP!$A$2:$A$2689,$A36,Stems_3D_BP!$B$2:$B$2689,"T-stem")</f>
        <v>8</v>
      </c>
      <c r="K36" s="3" t="n">
        <f aca="false">SUM(G36:J36)</f>
        <v>30</v>
      </c>
      <c r="L36" s="5" t="n">
        <f aca="false">K36/42</f>
        <v>0.714285714285714</v>
      </c>
      <c r="M36" s="4" t="n">
        <f aca="false">SUMIFS(Stems_3D_BP!$K$2:$K$2689,Stems_3D_BP!$A$2:$A$2689,$A36,Stems_3D_BP!$B$2:$B$2689,"3D (tertiary) BP")</f>
        <v>6</v>
      </c>
      <c r="N36" s="6" t="n">
        <f aca="false">M36/14</f>
        <v>0.428571428571429</v>
      </c>
      <c r="O36" s="3" t="n">
        <f aca="false">K36+M36</f>
        <v>36</v>
      </c>
      <c r="P36" s="5" t="n">
        <f aca="false">O36/56</f>
        <v>0.642857142857143</v>
      </c>
      <c r="Q36" s="4" t="n">
        <f aca="false">SUMIFS(Loops!$I$2:$I$481,Loops!$A$2:$A$481,$A36,Loops!$B$2:$B$481,"D-loop")</f>
        <v>4</v>
      </c>
      <c r="R36" s="4" t="n">
        <f aca="false">SUMIFS(Loops!$I$2:$I$481,Loops!$A$2:$A$481,$A36,Loops!$B$2:$B$481,"Anticodon loop")</f>
        <v>1</v>
      </c>
      <c r="S36" s="4" t="n">
        <f aca="false">SUMIFS(Loops!$I$2:$I$481,Loops!$A$2:$A$481,$A36,Loops!$B$2:$B$481,"Variable loop")</f>
        <v>4</v>
      </c>
      <c r="T36" s="4" t="n">
        <f aca="false">SUMIFS(Loops!$I$2:$I$481,Loops!$A$2:$A$481,$A36,Loops!$B$2:$B$481,"TΨC-loop")</f>
        <v>4</v>
      </c>
      <c r="U36" s="4" t="n">
        <f aca="false">SUMIFS(Loops!$F$2:$F$481,Loops!$A$2:$A$481,$A36)-SUMIFS(Loops!$F$2:$F$481,Loops!$A$2:$A$481,$A36,Loops!$B$2:$B$481,"Positions 8, 9, 26")</f>
        <v>27</v>
      </c>
      <c r="V36" s="3" t="n">
        <f aca="false">SUM(Q36:T36)</f>
        <v>13</v>
      </c>
      <c r="W36" s="5" t="n">
        <f aca="false">V36/U36</f>
        <v>0.481481481481481</v>
      </c>
      <c r="X36" s="7" t="str">
        <f aca="false">INDEX(Positions!$E$2:$E$6912,MATCH($A36&amp;"|8",Positions!$A$2:$A$6912,0))</f>
        <v>U</v>
      </c>
      <c r="Y36" s="7" t="str">
        <f aca="false">INDEX(Positions!$E$2:$E$6912,MATCH($A36&amp;"|9",Positions!$A$2:$A$6912,0))</f>
        <v>A</v>
      </c>
      <c r="Z36" s="7" t="str">
        <f aca="false">INDEX(Positions!$E$2:$E$6912,MATCH($A36&amp;"|26",Positions!$A$2:$A$6912,0))</f>
        <v>A</v>
      </c>
      <c r="AA36" s="7" t="n">
        <f aca="false">(X36="G")+(Y36="G")+(Z36="G")</f>
        <v>0</v>
      </c>
      <c r="AB36" s="7" t="n">
        <f aca="false">(X36="C")+(Y36="C")+(Z36="C")</f>
        <v>0</v>
      </c>
      <c r="AC36" s="8" t="n">
        <f aca="false">AA36+AB36</f>
        <v>0</v>
      </c>
      <c r="AD36" s="9" t="n">
        <f aca="false">AC36/3</f>
        <v>0</v>
      </c>
      <c r="AE36" s="7" t="str">
        <f aca="false">IF(K36+V36+AC36=E36,"OK","MISMATCH")</f>
        <v>OK</v>
      </c>
      <c r="AF36" s="10" t="n">
        <f aca="false">B36-42</f>
        <v>30</v>
      </c>
      <c r="AG36" s="10" t="n">
        <f aca="false">V36+AC36</f>
        <v>13</v>
      </c>
      <c r="AH36" s="11" t="n">
        <f aca="false">AG36/AF36</f>
        <v>0.433333333333333</v>
      </c>
      <c r="AI36" s="11" t="n">
        <f aca="false">L36</f>
        <v>0.714285714285714</v>
      </c>
      <c r="AJ36" s="12" t="n">
        <f aca="false">AI36-AH36</f>
        <v>0.280952380952381</v>
      </c>
    </row>
    <row r="37" customFormat="false" ht="15" hidden="false" customHeight="false" outlineLevel="0" collapsed="false">
      <c r="A37" s="3" t="s">
        <v>70</v>
      </c>
      <c r="B37" s="4" t="n">
        <f aca="false">COUNTIF(Positions!$B$2:$B$6912,A37)</f>
        <v>72</v>
      </c>
      <c r="C37" s="4" t="n">
        <f aca="false">COUNTIFS(Positions!$B$2:$B$6912,A37,Positions!$E$2:$E$6912,"G")</f>
        <v>22</v>
      </c>
      <c r="D37" s="4" t="n">
        <f aca="false">COUNTIFS(Positions!$B$2:$B$6912,A37,Positions!$E$2:$E$6912,"C")</f>
        <v>18</v>
      </c>
      <c r="E37" s="3" t="n">
        <f aca="false">C37+D37</f>
        <v>40</v>
      </c>
      <c r="F37" s="5" t="n">
        <f aca="false">E37/B37</f>
        <v>0.555555555555556</v>
      </c>
      <c r="G37" s="4" t="n">
        <f aca="false">SUMIFS(Stems_3D_BP!$K$2:$K$2689,Stems_3D_BP!$A$2:$A$2689,$A37,Stems_3D_BP!$B$2:$B$2689,"Acceptor stem")</f>
        <v>10</v>
      </c>
      <c r="H37" s="4" t="n">
        <f aca="false">SUMIFS(Stems_3D_BP!$K$2:$K$2689,Stems_3D_BP!$A$2:$A$2689,$A37,Stems_3D_BP!$B$2:$B$2689,"D-stem")</f>
        <v>6</v>
      </c>
      <c r="I37" s="4" t="n">
        <f aca="false">SUMIFS(Stems_3D_BP!$K$2:$K$2689,Stems_3D_BP!$A$2:$A$2689,$A37,Stems_3D_BP!$B$2:$B$2689,"Anticodon stem")</f>
        <v>4</v>
      </c>
      <c r="J37" s="4" t="n">
        <f aca="false">SUMIFS(Stems_3D_BP!$K$2:$K$2689,Stems_3D_BP!$A$2:$A$2689,$A37,Stems_3D_BP!$B$2:$B$2689,"T-stem")</f>
        <v>8</v>
      </c>
      <c r="K37" s="3" t="n">
        <f aca="false">SUM(G37:J37)</f>
        <v>28</v>
      </c>
      <c r="L37" s="5" t="n">
        <f aca="false">K37/42</f>
        <v>0.666666666666667</v>
      </c>
      <c r="M37" s="4" t="n">
        <f aca="false">SUMIFS(Stems_3D_BP!$K$2:$K$2689,Stems_3D_BP!$A$2:$A$2689,$A37,Stems_3D_BP!$B$2:$B$2689,"3D (tertiary) BP")</f>
        <v>7</v>
      </c>
      <c r="N37" s="6" t="n">
        <f aca="false">M37/14</f>
        <v>0.5</v>
      </c>
      <c r="O37" s="3" t="n">
        <f aca="false">K37+M37</f>
        <v>35</v>
      </c>
      <c r="P37" s="5" t="n">
        <f aca="false">O37/56</f>
        <v>0.625</v>
      </c>
      <c r="Q37" s="4" t="n">
        <f aca="false">SUMIFS(Loops!$I$2:$I$481,Loops!$A$2:$A$481,$A37,Loops!$B$2:$B$481,"D-loop")</f>
        <v>4</v>
      </c>
      <c r="R37" s="4" t="n">
        <f aca="false">SUMIFS(Loops!$I$2:$I$481,Loops!$A$2:$A$481,$A37,Loops!$B$2:$B$481,"Anticodon loop")</f>
        <v>1</v>
      </c>
      <c r="S37" s="4" t="n">
        <f aca="false">SUMIFS(Loops!$I$2:$I$481,Loops!$A$2:$A$481,$A37,Loops!$B$2:$B$481,"Variable loop")</f>
        <v>4</v>
      </c>
      <c r="T37" s="4" t="n">
        <f aca="false">SUMIFS(Loops!$I$2:$I$481,Loops!$A$2:$A$481,$A37,Loops!$B$2:$B$481,"TΨC-loop")</f>
        <v>3</v>
      </c>
      <c r="U37" s="4" t="n">
        <f aca="false">SUMIFS(Loops!$F$2:$F$481,Loops!$A$2:$A$481,$A37)-SUMIFS(Loops!$F$2:$F$481,Loops!$A$2:$A$481,$A37,Loops!$B$2:$B$481,"Positions 8, 9, 26")</f>
        <v>27</v>
      </c>
      <c r="V37" s="3" t="n">
        <f aca="false">SUM(Q37:T37)</f>
        <v>12</v>
      </c>
      <c r="W37" s="5" t="n">
        <f aca="false">V37/U37</f>
        <v>0.444444444444444</v>
      </c>
      <c r="X37" s="7" t="str">
        <f aca="false">INDEX(Positions!$E$2:$E$6912,MATCH($A37&amp;"|8",Positions!$A$2:$A$6912,0))</f>
        <v>U</v>
      </c>
      <c r="Y37" s="7" t="str">
        <f aca="false">INDEX(Positions!$E$2:$E$6912,MATCH($A37&amp;"|9",Positions!$A$2:$A$6912,0))</f>
        <v>A</v>
      </c>
      <c r="Z37" s="7" t="str">
        <f aca="false">INDEX(Positions!$E$2:$E$6912,MATCH($A37&amp;"|26",Positions!$A$2:$A$6912,0))</f>
        <v>A</v>
      </c>
      <c r="AA37" s="7" t="n">
        <f aca="false">(X37="G")+(Y37="G")+(Z37="G")</f>
        <v>0</v>
      </c>
      <c r="AB37" s="7" t="n">
        <f aca="false">(X37="C")+(Y37="C")+(Z37="C")</f>
        <v>0</v>
      </c>
      <c r="AC37" s="8" t="n">
        <f aca="false">AA37+AB37</f>
        <v>0</v>
      </c>
      <c r="AD37" s="9" t="n">
        <f aca="false">AC37/3</f>
        <v>0</v>
      </c>
      <c r="AE37" s="7" t="str">
        <f aca="false">IF(K37+V37+AC37=E37,"OK","MISMATCH")</f>
        <v>OK</v>
      </c>
      <c r="AF37" s="10" t="n">
        <f aca="false">B37-42</f>
        <v>30</v>
      </c>
      <c r="AG37" s="10" t="n">
        <f aca="false">V37+AC37</f>
        <v>12</v>
      </c>
      <c r="AH37" s="11" t="n">
        <f aca="false">AG37/AF37</f>
        <v>0.4</v>
      </c>
      <c r="AI37" s="11" t="n">
        <f aca="false">L37</f>
        <v>0.666666666666667</v>
      </c>
      <c r="AJ37" s="12" t="n">
        <f aca="false">AI37-AH37</f>
        <v>0.266666666666667</v>
      </c>
    </row>
    <row r="38" customFormat="false" ht="15" hidden="false" customHeight="false" outlineLevel="0" collapsed="false">
      <c r="A38" s="3" t="s">
        <v>71</v>
      </c>
      <c r="B38" s="4" t="n">
        <f aca="false">COUNTIF(Positions!$B$2:$B$6912,A38)</f>
        <v>72</v>
      </c>
      <c r="C38" s="4" t="n">
        <f aca="false">COUNTIFS(Positions!$B$2:$B$6912,A38,Positions!$E$2:$E$6912,"G")</f>
        <v>22</v>
      </c>
      <c r="D38" s="4" t="n">
        <f aca="false">COUNTIFS(Positions!$B$2:$B$6912,A38,Positions!$E$2:$E$6912,"C")</f>
        <v>18</v>
      </c>
      <c r="E38" s="3" t="n">
        <f aca="false">C38+D38</f>
        <v>40</v>
      </c>
      <c r="F38" s="5" t="n">
        <f aca="false">E38/B38</f>
        <v>0.555555555555556</v>
      </c>
      <c r="G38" s="4" t="n">
        <f aca="false">SUMIFS(Stems_3D_BP!$K$2:$K$2689,Stems_3D_BP!$A$2:$A$2689,$A38,Stems_3D_BP!$B$2:$B$2689,"Acceptor stem")</f>
        <v>10</v>
      </c>
      <c r="H38" s="4" t="n">
        <f aca="false">SUMIFS(Stems_3D_BP!$K$2:$K$2689,Stems_3D_BP!$A$2:$A$2689,$A38,Stems_3D_BP!$B$2:$B$2689,"D-stem")</f>
        <v>6</v>
      </c>
      <c r="I38" s="4" t="n">
        <f aca="false">SUMIFS(Stems_3D_BP!$K$2:$K$2689,Stems_3D_BP!$A$2:$A$2689,$A38,Stems_3D_BP!$B$2:$B$2689,"Anticodon stem")</f>
        <v>4</v>
      </c>
      <c r="J38" s="4" t="n">
        <f aca="false">SUMIFS(Stems_3D_BP!$K$2:$K$2689,Stems_3D_BP!$A$2:$A$2689,$A38,Stems_3D_BP!$B$2:$B$2689,"T-stem")</f>
        <v>8</v>
      </c>
      <c r="K38" s="3" t="n">
        <f aca="false">SUM(G38:J38)</f>
        <v>28</v>
      </c>
      <c r="L38" s="5" t="n">
        <f aca="false">K38/42</f>
        <v>0.666666666666667</v>
      </c>
      <c r="M38" s="4" t="n">
        <f aca="false">SUMIFS(Stems_3D_BP!$K$2:$K$2689,Stems_3D_BP!$A$2:$A$2689,$A38,Stems_3D_BP!$B$2:$B$2689,"3D (tertiary) BP")</f>
        <v>7</v>
      </c>
      <c r="N38" s="6" t="n">
        <f aca="false">M38/14</f>
        <v>0.5</v>
      </c>
      <c r="O38" s="3" t="n">
        <f aca="false">K38+M38</f>
        <v>35</v>
      </c>
      <c r="P38" s="5" t="n">
        <f aca="false">O38/56</f>
        <v>0.625</v>
      </c>
      <c r="Q38" s="4" t="n">
        <f aca="false">SUMIFS(Loops!$I$2:$I$481,Loops!$A$2:$A$481,$A38,Loops!$B$2:$B$481,"D-loop")</f>
        <v>4</v>
      </c>
      <c r="R38" s="4" t="n">
        <f aca="false">SUMIFS(Loops!$I$2:$I$481,Loops!$A$2:$A$481,$A38,Loops!$B$2:$B$481,"Anticodon loop")</f>
        <v>1</v>
      </c>
      <c r="S38" s="4" t="n">
        <f aca="false">SUMIFS(Loops!$I$2:$I$481,Loops!$A$2:$A$481,$A38,Loops!$B$2:$B$481,"Variable loop")</f>
        <v>4</v>
      </c>
      <c r="T38" s="4" t="n">
        <f aca="false">SUMIFS(Loops!$I$2:$I$481,Loops!$A$2:$A$481,$A38,Loops!$B$2:$B$481,"TΨC-loop")</f>
        <v>3</v>
      </c>
      <c r="U38" s="4" t="n">
        <f aca="false">SUMIFS(Loops!$F$2:$F$481,Loops!$A$2:$A$481,$A38)-SUMIFS(Loops!$F$2:$F$481,Loops!$A$2:$A$481,$A38,Loops!$B$2:$B$481,"Positions 8, 9, 26")</f>
        <v>27</v>
      </c>
      <c r="V38" s="3" t="n">
        <f aca="false">SUM(Q38:T38)</f>
        <v>12</v>
      </c>
      <c r="W38" s="5" t="n">
        <f aca="false">V38/U38</f>
        <v>0.444444444444444</v>
      </c>
      <c r="X38" s="7" t="str">
        <f aca="false">INDEX(Positions!$E$2:$E$6912,MATCH($A38&amp;"|8",Positions!$A$2:$A$6912,0))</f>
        <v>U</v>
      </c>
      <c r="Y38" s="7" t="str">
        <f aca="false">INDEX(Positions!$E$2:$E$6912,MATCH($A38&amp;"|9",Positions!$A$2:$A$6912,0))</f>
        <v>A</v>
      </c>
      <c r="Z38" s="7" t="str">
        <f aca="false">INDEX(Positions!$E$2:$E$6912,MATCH($A38&amp;"|26",Positions!$A$2:$A$6912,0))</f>
        <v>A</v>
      </c>
      <c r="AA38" s="7" t="n">
        <f aca="false">(X38="G")+(Y38="G")+(Z38="G")</f>
        <v>0</v>
      </c>
      <c r="AB38" s="7" t="n">
        <f aca="false">(X38="C")+(Y38="C")+(Z38="C")</f>
        <v>0</v>
      </c>
      <c r="AC38" s="8" t="n">
        <f aca="false">AA38+AB38</f>
        <v>0</v>
      </c>
      <c r="AD38" s="9" t="n">
        <f aca="false">AC38/3</f>
        <v>0</v>
      </c>
      <c r="AE38" s="7" t="str">
        <f aca="false">IF(K38+V38+AC38=E38,"OK","MISMATCH")</f>
        <v>OK</v>
      </c>
      <c r="AF38" s="10" t="n">
        <f aca="false">B38-42</f>
        <v>30</v>
      </c>
      <c r="AG38" s="10" t="n">
        <f aca="false">V38+AC38</f>
        <v>12</v>
      </c>
      <c r="AH38" s="11" t="n">
        <f aca="false">AG38/AF38</f>
        <v>0.4</v>
      </c>
      <c r="AI38" s="11" t="n">
        <f aca="false">L38</f>
        <v>0.666666666666667</v>
      </c>
      <c r="AJ38" s="12" t="n">
        <f aca="false">AI38-AH38</f>
        <v>0.266666666666667</v>
      </c>
    </row>
    <row r="39" customFormat="false" ht="15" hidden="false" customHeight="false" outlineLevel="0" collapsed="false">
      <c r="A39" s="3" t="s">
        <v>72</v>
      </c>
      <c r="B39" s="4" t="n">
        <f aca="false">COUNTIF(Positions!$B$2:$B$6912,A39)</f>
        <v>72</v>
      </c>
      <c r="C39" s="4" t="n">
        <f aca="false">COUNTIFS(Positions!$B$2:$B$6912,A39,Positions!$E$2:$E$6912,"G")</f>
        <v>22</v>
      </c>
      <c r="D39" s="4" t="n">
        <f aca="false">COUNTIFS(Positions!$B$2:$B$6912,A39,Positions!$E$2:$E$6912,"C")</f>
        <v>18</v>
      </c>
      <c r="E39" s="3" t="n">
        <f aca="false">C39+D39</f>
        <v>40</v>
      </c>
      <c r="F39" s="5" t="n">
        <f aca="false">E39/B39</f>
        <v>0.555555555555556</v>
      </c>
      <c r="G39" s="4" t="n">
        <f aca="false">SUMIFS(Stems_3D_BP!$K$2:$K$2689,Stems_3D_BP!$A$2:$A$2689,$A39,Stems_3D_BP!$B$2:$B$2689,"Acceptor stem")</f>
        <v>10</v>
      </c>
      <c r="H39" s="4" t="n">
        <f aca="false">SUMIFS(Stems_3D_BP!$K$2:$K$2689,Stems_3D_BP!$A$2:$A$2689,$A39,Stems_3D_BP!$B$2:$B$2689,"D-stem")</f>
        <v>6</v>
      </c>
      <c r="I39" s="4" t="n">
        <f aca="false">SUMIFS(Stems_3D_BP!$K$2:$K$2689,Stems_3D_BP!$A$2:$A$2689,$A39,Stems_3D_BP!$B$2:$B$2689,"Anticodon stem")</f>
        <v>4</v>
      </c>
      <c r="J39" s="4" t="n">
        <f aca="false">SUMIFS(Stems_3D_BP!$K$2:$K$2689,Stems_3D_BP!$A$2:$A$2689,$A39,Stems_3D_BP!$B$2:$B$2689,"T-stem")</f>
        <v>8</v>
      </c>
      <c r="K39" s="3" t="n">
        <f aca="false">SUM(G39:J39)</f>
        <v>28</v>
      </c>
      <c r="L39" s="5" t="n">
        <f aca="false">K39/42</f>
        <v>0.666666666666667</v>
      </c>
      <c r="M39" s="4" t="n">
        <f aca="false">SUMIFS(Stems_3D_BP!$K$2:$K$2689,Stems_3D_BP!$A$2:$A$2689,$A39,Stems_3D_BP!$B$2:$B$2689,"3D (tertiary) BP")</f>
        <v>7</v>
      </c>
      <c r="N39" s="6" t="n">
        <f aca="false">M39/14</f>
        <v>0.5</v>
      </c>
      <c r="O39" s="3" t="n">
        <f aca="false">K39+M39</f>
        <v>35</v>
      </c>
      <c r="P39" s="5" t="n">
        <f aca="false">O39/56</f>
        <v>0.625</v>
      </c>
      <c r="Q39" s="4" t="n">
        <f aca="false">SUMIFS(Loops!$I$2:$I$481,Loops!$A$2:$A$481,$A39,Loops!$B$2:$B$481,"D-loop")</f>
        <v>4</v>
      </c>
      <c r="R39" s="4" t="n">
        <f aca="false">SUMIFS(Loops!$I$2:$I$481,Loops!$A$2:$A$481,$A39,Loops!$B$2:$B$481,"Anticodon loop")</f>
        <v>1</v>
      </c>
      <c r="S39" s="4" t="n">
        <f aca="false">SUMIFS(Loops!$I$2:$I$481,Loops!$A$2:$A$481,$A39,Loops!$B$2:$B$481,"Variable loop")</f>
        <v>4</v>
      </c>
      <c r="T39" s="4" t="n">
        <f aca="false">SUMIFS(Loops!$I$2:$I$481,Loops!$A$2:$A$481,$A39,Loops!$B$2:$B$481,"TΨC-loop")</f>
        <v>3</v>
      </c>
      <c r="U39" s="4" t="n">
        <f aca="false">SUMIFS(Loops!$F$2:$F$481,Loops!$A$2:$A$481,$A39)-SUMIFS(Loops!$F$2:$F$481,Loops!$A$2:$A$481,$A39,Loops!$B$2:$B$481,"Positions 8, 9, 26")</f>
        <v>27</v>
      </c>
      <c r="V39" s="3" t="n">
        <f aca="false">SUM(Q39:T39)</f>
        <v>12</v>
      </c>
      <c r="W39" s="5" t="n">
        <f aca="false">V39/U39</f>
        <v>0.444444444444444</v>
      </c>
      <c r="X39" s="7" t="str">
        <f aca="false">INDEX(Positions!$E$2:$E$6912,MATCH($A39&amp;"|8",Positions!$A$2:$A$6912,0))</f>
        <v>U</v>
      </c>
      <c r="Y39" s="7" t="str">
        <f aca="false">INDEX(Positions!$E$2:$E$6912,MATCH($A39&amp;"|9",Positions!$A$2:$A$6912,0))</f>
        <v>A</v>
      </c>
      <c r="Z39" s="7" t="str">
        <f aca="false">INDEX(Positions!$E$2:$E$6912,MATCH($A39&amp;"|26",Positions!$A$2:$A$6912,0))</f>
        <v>A</v>
      </c>
      <c r="AA39" s="7" t="n">
        <f aca="false">(X39="G")+(Y39="G")+(Z39="G")</f>
        <v>0</v>
      </c>
      <c r="AB39" s="7" t="n">
        <f aca="false">(X39="C")+(Y39="C")+(Z39="C")</f>
        <v>0</v>
      </c>
      <c r="AC39" s="8" t="n">
        <f aca="false">AA39+AB39</f>
        <v>0</v>
      </c>
      <c r="AD39" s="9" t="n">
        <f aca="false">AC39/3</f>
        <v>0</v>
      </c>
      <c r="AE39" s="7" t="str">
        <f aca="false">IF(K39+V39+AC39=E39,"OK","MISMATCH")</f>
        <v>OK</v>
      </c>
      <c r="AF39" s="10" t="n">
        <f aca="false">B39-42</f>
        <v>30</v>
      </c>
      <c r="AG39" s="10" t="n">
        <f aca="false">V39+AC39</f>
        <v>12</v>
      </c>
      <c r="AH39" s="11" t="n">
        <f aca="false">AG39/AF39</f>
        <v>0.4</v>
      </c>
      <c r="AI39" s="11" t="n">
        <f aca="false">L39</f>
        <v>0.666666666666667</v>
      </c>
      <c r="AJ39" s="12" t="n">
        <f aca="false">AI39-AH39</f>
        <v>0.266666666666667</v>
      </c>
    </row>
    <row r="40" customFormat="false" ht="15" hidden="false" customHeight="false" outlineLevel="0" collapsed="false">
      <c r="A40" s="3" t="s">
        <v>73</v>
      </c>
      <c r="B40" s="4" t="n">
        <f aca="false">COUNTIF(Positions!$B$2:$B$6912,A40)</f>
        <v>72</v>
      </c>
      <c r="C40" s="4" t="n">
        <f aca="false">COUNTIFS(Positions!$B$2:$B$6912,A40,Positions!$E$2:$E$6912,"G")</f>
        <v>24</v>
      </c>
      <c r="D40" s="4" t="n">
        <f aca="false">COUNTIFS(Positions!$B$2:$B$6912,A40,Positions!$E$2:$E$6912,"C")</f>
        <v>16</v>
      </c>
      <c r="E40" s="3" t="n">
        <f aca="false">C40+D40</f>
        <v>40</v>
      </c>
      <c r="F40" s="5" t="n">
        <f aca="false">E40/B40</f>
        <v>0.555555555555556</v>
      </c>
      <c r="G40" s="4" t="n">
        <f aca="false">SUMIFS(Stems_3D_BP!$K$2:$K$2689,Stems_3D_BP!$A$2:$A$2689,$A40,Stems_3D_BP!$B$2:$B$2689,"Acceptor stem")</f>
        <v>10</v>
      </c>
      <c r="H40" s="4" t="n">
        <f aca="false">SUMIFS(Stems_3D_BP!$K$2:$K$2689,Stems_3D_BP!$A$2:$A$2689,$A40,Stems_3D_BP!$B$2:$B$2689,"D-stem")</f>
        <v>6</v>
      </c>
      <c r="I40" s="4" t="n">
        <f aca="false">SUMIFS(Stems_3D_BP!$K$2:$K$2689,Stems_3D_BP!$A$2:$A$2689,$A40,Stems_3D_BP!$B$2:$B$2689,"Anticodon stem")</f>
        <v>5</v>
      </c>
      <c r="J40" s="4" t="n">
        <f aca="false">SUMIFS(Stems_3D_BP!$K$2:$K$2689,Stems_3D_BP!$A$2:$A$2689,$A40,Stems_3D_BP!$B$2:$B$2689,"T-stem")</f>
        <v>7</v>
      </c>
      <c r="K40" s="3" t="n">
        <f aca="false">SUM(G40:J40)</f>
        <v>28</v>
      </c>
      <c r="L40" s="5" t="n">
        <f aca="false">K40/42</f>
        <v>0.666666666666667</v>
      </c>
      <c r="M40" s="4" t="n">
        <f aca="false">SUMIFS(Stems_3D_BP!$K$2:$K$2689,Stems_3D_BP!$A$2:$A$2689,$A40,Stems_3D_BP!$B$2:$B$2689,"3D (tertiary) BP")</f>
        <v>7</v>
      </c>
      <c r="N40" s="6" t="n">
        <f aca="false">M40/14</f>
        <v>0.5</v>
      </c>
      <c r="O40" s="3" t="n">
        <f aca="false">K40+M40</f>
        <v>35</v>
      </c>
      <c r="P40" s="5" t="n">
        <f aca="false">O40/56</f>
        <v>0.625</v>
      </c>
      <c r="Q40" s="4" t="n">
        <f aca="false">SUMIFS(Loops!$I$2:$I$481,Loops!$A$2:$A$481,$A40,Loops!$B$2:$B$481,"D-loop")</f>
        <v>3</v>
      </c>
      <c r="R40" s="4" t="n">
        <f aca="false">SUMIFS(Loops!$I$2:$I$481,Loops!$A$2:$A$481,$A40,Loops!$B$2:$B$481,"Anticodon loop")</f>
        <v>3</v>
      </c>
      <c r="S40" s="4" t="n">
        <f aca="false">SUMIFS(Loops!$I$2:$I$481,Loops!$A$2:$A$481,$A40,Loops!$B$2:$B$481,"Variable loop")</f>
        <v>3</v>
      </c>
      <c r="T40" s="4" t="n">
        <f aca="false">SUMIFS(Loops!$I$2:$I$481,Loops!$A$2:$A$481,$A40,Loops!$B$2:$B$481,"TΨC-loop")</f>
        <v>2</v>
      </c>
      <c r="U40" s="4" t="n">
        <f aca="false">SUMIFS(Loops!$F$2:$F$481,Loops!$A$2:$A$481,$A40)-SUMIFS(Loops!$F$2:$F$481,Loops!$A$2:$A$481,$A40,Loops!$B$2:$B$481,"Positions 8, 9, 26")</f>
        <v>27</v>
      </c>
      <c r="V40" s="3" t="n">
        <f aca="false">SUM(Q40:T40)</f>
        <v>11</v>
      </c>
      <c r="W40" s="5" t="n">
        <f aca="false">V40/U40</f>
        <v>0.407407407407407</v>
      </c>
      <c r="X40" s="7" t="str">
        <f aca="false">INDEX(Positions!$E$2:$E$6912,MATCH($A40&amp;"|8",Positions!$A$2:$A$6912,0))</f>
        <v>U</v>
      </c>
      <c r="Y40" s="7" t="str">
        <f aca="false">INDEX(Positions!$E$2:$E$6912,MATCH($A40&amp;"|9",Positions!$A$2:$A$6912,0))</f>
        <v>A</v>
      </c>
      <c r="Z40" s="7" t="str">
        <f aca="false">INDEX(Positions!$E$2:$E$6912,MATCH($A40&amp;"|26",Positions!$A$2:$A$6912,0))</f>
        <v>G</v>
      </c>
      <c r="AA40" s="7" t="n">
        <f aca="false">(X40="G")+(Y40="G")+(Z40="G")</f>
        <v>1</v>
      </c>
      <c r="AB40" s="7" t="n">
        <f aca="false">(X40="C")+(Y40="C")+(Z40="C")</f>
        <v>0</v>
      </c>
      <c r="AC40" s="8" t="n">
        <f aca="false">AA40+AB40</f>
        <v>1</v>
      </c>
      <c r="AD40" s="9" t="n">
        <f aca="false">AC40/3</f>
        <v>0.333333333333333</v>
      </c>
      <c r="AE40" s="7" t="str">
        <f aca="false">IF(K40+V40+AC40=E40,"OK","MISMATCH")</f>
        <v>OK</v>
      </c>
      <c r="AF40" s="10" t="n">
        <f aca="false">B40-42</f>
        <v>30</v>
      </c>
      <c r="AG40" s="10" t="n">
        <f aca="false">V40+AC40</f>
        <v>12</v>
      </c>
      <c r="AH40" s="11" t="n">
        <f aca="false">AG40/AF40</f>
        <v>0.4</v>
      </c>
      <c r="AI40" s="11" t="n">
        <f aca="false">L40</f>
        <v>0.666666666666667</v>
      </c>
      <c r="AJ40" s="12" t="n">
        <f aca="false">AI40-AH40</f>
        <v>0.266666666666667</v>
      </c>
    </row>
    <row r="41" customFormat="false" ht="15" hidden="false" customHeight="false" outlineLevel="0" collapsed="false">
      <c r="A41" s="3" t="s">
        <v>74</v>
      </c>
      <c r="B41" s="4" t="n">
        <f aca="false">COUNTIF(Positions!$B$2:$B$6912,A41)</f>
        <v>71</v>
      </c>
      <c r="C41" s="4" t="n">
        <f aca="false">COUNTIFS(Positions!$B$2:$B$6912,A41,Positions!$E$2:$E$6912,"G")</f>
        <v>25</v>
      </c>
      <c r="D41" s="4" t="n">
        <f aca="false">COUNTIFS(Positions!$B$2:$B$6912,A41,Positions!$E$2:$E$6912,"C")</f>
        <v>22</v>
      </c>
      <c r="E41" s="3" t="n">
        <f aca="false">C41+D41</f>
        <v>47</v>
      </c>
      <c r="F41" s="5" t="n">
        <f aca="false">E41/B41</f>
        <v>0.661971830985916</v>
      </c>
      <c r="G41" s="4" t="n">
        <f aca="false">SUMIFS(Stems_3D_BP!$K$2:$K$2689,Stems_3D_BP!$A$2:$A$2689,$A41,Stems_3D_BP!$B$2:$B$2689,"Acceptor stem")</f>
        <v>9</v>
      </c>
      <c r="H41" s="4" t="n">
        <f aca="false">SUMIFS(Stems_3D_BP!$K$2:$K$2689,Stems_3D_BP!$A$2:$A$2689,$A41,Stems_3D_BP!$B$2:$B$2689,"D-stem")</f>
        <v>4</v>
      </c>
      <c r="I41" s="4" t="n">
        <f aca="false">SUMIFS(Stems_3D_BP!$K$2:$K$2689,Stems_3D_BP!$A$2:$A$2689,$A41,Stems_3D_BP!$B$2:$B$2689,"Anticodon stem")</f>
        <v>10</v>
      </c>
      <c r="J41" s="4" t="n">
        <f aca="false">SUMIFS(Stems_3D_BP!$K$2:$K$2689,Stems_3D_BP!$A$2:$A$2689,$A41,Stems_3D_BP!$B$2:$B$2689,"T-stem")</f>
        <v>10</v>
      </c>
      <c r="K41" s="3" t="n">
        <f aca="false">SUM(G41:J41)</f>
        <v>33</v>
      </c>
      <c r="L41" s="5" t="n">
        <f aca="false">K41/42</f>
        <v>0.785714285714286</v>
      </c>
      <c r="M41" s="4" t="n">
        <f aca="false">SUMIFS(Stems_3D_BP!$K$2:$K$2689,Stems_3D_BP!$A$2:$A$2689,$A41,Stems_3D_BP!$B$2:$B$2689,"3D (tertiary) BP")</f>
        <v>8</v>
      </c>
      <c r="N41" s="6" t="n">
        <f aca="false">M41/14</f>
        <v>0.571428571428571</v>
      </c>
      <c r="O41" s="3" t="n">
        <f aca="false">K41+M41</f>
        <v>41</v>
      </c>
      <c r="P41" s="5" t="n">
        <f aca="false">O41/56</f>
        <v>0.732142857142857</v>
      </c>
      <c r="Q41" s="4" t="n">
        <f aca="false">SUMIFS(Loops!$I$2:$I$481,Loops!$A$2:$A$481,$A41,Loops!$B$2:$B$481,"D-loop")</f>
        <v>3</v>
      </c>
      <c r="R41" s="4" t="n">
        <f aca="false">SUMIFS(Loops!$I$2:$I$481,Loops!$A$2:$A$481,$A41,Loops!$B$2:$B$481,"Anticodon loop")</f>
        <v>4</v>
      </c>
      <c r="S41" s="4" t="n">
        <f aca="false">SUMIFS(Loops!$I$2:$I$481,Loops!$A$2:$A$481,$A41,Loops!$B$2:$B$481,"Variable loop")</f>
        <v>4</v>
      </c>
      <c r="T41" s="4" t="n">
        <f aca="false">SUMIFS(Loops!$I$2:$I$481,Loops!$A$2:$A$481,$A41,Loops!$B$2:$B$481,"TΨC-loop")</f>
        <v>2</v>
      </c>
      <c r="U41" s="4" t="n">
        <f aca="false">SUMIFS(Loops!$F$2:$F$481,Loops!$A$2:$A$481,$A41)-SUMIFS(Loops!$F$2:$F$481,Loops!$A$2:$A$481,$A41,Loops!$B$2:$B$481,"Positions 8, 9, 26")</f>
        <v>26</v>
      </c>
      <c r="V41" s="3" t="n">
        <f aca="false">SUM(Q41:T41)</f>
        <v>13</v>
      </c>
      <c r="W41" s="5" t="n">
        <f aca="false">V41/U41</f>
        <v>0.5</v>
      </c>
      <c r="X41" s="7" t="str">
        <f aca="false">INDEX(Positions!$E$2:$E$6912,MATCH($A41&amp;"|8",Positions!$A$2:$A$6912,0))</f>
        <v>U</v>
      </c>
      <c r="Y41" s="7" t="str">
        <f aca="false">INDEX(Positions!$E$2:$E$6912,MATCH($A41&amp;"|9",Positions!$A$2:$A$6912,0))</f>
        <v>G</v>
      </c>
      <c r="Z41" s="7" t="str">
        <f aca="false">INDEX(Positions!$E$2:$E$6912,MATCH($A41&amp;"|26",Positions!$A$2:$A$6912,0))</f>
        <v>U</v>
      </c>
      <c r="AA41" s="7" t="n">
        <f aca="false">(X41="G")+(Y41="G")+(Z41="G")</f>
        <v>1</v>
      </c>
      <c r="AB41" s="7" t="n">
        <f aca="false">(X41="C")+(Y41="C")+(Z41="C")</f>
        <v>0</v>
      </c>
      <c r="AC41" s="8" t="n">
        <f aca="false">AA41+AB41</f>
        <v>1</v>
      </c>
      <c r="AD41" s="9" t="n">
        <f aca="false">AC41/3</f>
        <v>0.333333333333333</v>
      </c>
      <c r="AE41" s="7" t="str">
        <f aca="false">IF(K41+V41+AC41=E41,"OK","MISMATCH")</f>
        <v>OK</v>
      </c>
      <c r="AF41" s="10" t="n">
        <f aca="false">B41-42</f>
        <v>29</v>
      </c>
      <c r="AG41" s="10" t="n">
        <f aca="false">V41+AC41</f>
        <v>14</v>
      </c>
      <c r="AH41" s="11" t="n">
        <f aca="false">AG41/AF41</f>
        <v>0.482758620689655</v>
      </c>
      <c r="AI41" s="11" t="n">
        <f aca="false">L41</f>
        <v>0.785714285714286</v>
      </c>
      <c r="AJ41" s="12" t="n">
        <f aca="false">AI41-AH41</f>
        <v>0.302955665024631</v>
      </c>
    </row>
    <row r="42" customFormat="false" ht="15" hidden="false" customHeight="false" outlineLevel="0" collapsed="false">
      <c r="A42" s="3" t="s">
        <v>75</v>
      </c>
      <c r="B42" s="4" t="n">
        <f aca="false">COUNTIF(Positions!$B$2:$B$6912,A42)</f>
        <v>73</v>
      </c>
      <c r="C42" s="4" t="n">
        <f aca="false">COUNTIFS(Positions!$B$2:$B$6912,A42,Positions!$E$2:$E$6912,"G")</f>
        <v>26</v>
      </c>
      <c r="D42" s="4" t="n">
        <f aca="false">COUNTIFS(Positions!$B$2:$B$6912,A42,Positions!$E$2:$E$6912,"C")</f>
        <v>19</v>
      </c>
      <c r="E42" s="3" t="n">
        <f aca="false">C42+D42</f>
        <v>45</v>
      </c>
      <c r="F42" s="5" t="n">
        <f aca="false">E42/B42</f>
        <v>0.616438356164384</v>
      </c>
      <c r="G42" s="4" t="n">
        <f aca="false">SUMIFS(Stems_3D_BP!$K$2:$K$2689,Stems_3D_BP!$A$2:$A$2689,$A42,Stems_3D_BP!$B$2:$B$2689,"Acceptor stem")</f>
        <v>12</v>
      </c>
      <c r="H42" s="4" t="n">
        <f aca="false">SUMIFS(Stems_3D_BP!$K$2:$K$2689,Stems_3D_BP!$A$2:$A$2689,$A42,Stems_3D_BP!$B$2:$B$2689,"D-stem")</f>
        <v>6</v>
      </c>
      <c r="I42" s="4" t="n">
        <f aca="false">SUMIFS(Stems_3D_BP!$K$2:$K$2689,Stems_3D_BP!$A$2:$A$2689,$A42,Stems_3D_BP!$B$2:$B$2689,"Anticodon stem")</f>
        <v>7</v>
      </c>
      <c r="J42" s="4" t="n">
        <f aca="false">SUMIFS(Stems_3D_BP!$K$2:$K$2689,Stems_3D_BP!$A$2:$A$2689,$A42,Stems_3D_BP!$B$2:$B$2689,"T-stem")</f>
        <v>9</v>
      </c>
      <c r="K42" s="3" t="n">
        <f aca="false">SUM(G42:J42)</f>
        <v>34</v>
      </c>
      <c r="L42" s="5" t="n">
        <f aca="false">K42/42</f>
        <v>0.80952380952381</v>
      </c>
      <c r="M42" s="4" t="n">
        <f aca="false">SUMIFS(Stems_3D_BP!$K$2:$K$2689,Stems_3D_BP!$A$2:$A$2689,$A42,Stems_3D_BP!$B$2:$B$2689,"3D (tertiary) BP")</f>
        <v>7</v>
      </c>
      <c r="N42" s="6" t="n">
        <f aca="false">M42/14</f>
        <v>0.5</v>
      </c>
      <c r="O42" s="3" t="n">
        <f aca="false">K42+M42</f>
        <v>41</v>
      </c>
      <c r="P42" s="5" t="n">
        <f aca="false">O42/56</f>
        <v>0.732142857142857</v>
      </c>
      <c r="Q42" s="4" t="n">
        <f aca="false">SUMIFS(Loops!$I$2:$I$481,Loops!$A$2:$A$481,$A42,Loops!$B$2:$B$481,"D-loop")</f>
        <v>3</v>
      </c>
      <c r="R42" s="4" t="n">
        <f aca="false">SUMIFS(Loops!$I$2:$I$481,Loops!$A$2:$A$481,$A42,Loops!$B$2:$B$481,"Anticodon loop")</f>
        <v>1</v>
      </c>
      <c r="S42" s="4" t="n">
        <f aca="false">SUMIFS(Loops!$I$2:$I$481,Loops!$A$2:$A$481,$A42,Loops!$B$2:$B$481,"Variable loop")</f>
        <v>3</v>
      </c>
      <c r="T42" s="4" t="n">
        <f aca="false">SUMIFS(Loops!$I$2:$I$481,Loops!$A$2:$A$481,$A42,Loops!$B$2:$B$481,"TΨC-loop")</f>
        <v>3</v>
      </c>
      <c r="U42" s="4" t="n">
        <f aca="false">SUMIFS(Loops!$F$2:$F$481,Loops!$A$2:$A$481,$A42)-SUMIFS(Loops!$F$2:$F$481,Loops!$A$2:$A$481,$A42,Loops!$B$2:$B$481,"Positions 8, 9, 26")</f>
        <v>28</v>
      </c>
      <c r="V42" s="3" t="n">
        <f aca="false">SUM(Q42:T42)</f>
        <v>10</v>
      </c>
      <c r="W42" s="5" t="n">
        <f aca="false">V42/U42</f>
        <v>0.357142857142857</v>
      </c>
      <c r="X42" s="7" t="str">
        <f aca="false">INDEX(Positions!$E$2:$E$6912,MATCH($A42&amp;"|8",Positions!$A$2:$A$6912,0))</f>
        <v>U</v>
      </c>
      <c r="Y42" s="7" t="str">
        <f aca="false">INDEX(Positions!$E$2:$E$6912,MATCH($A42&amp;"|9",Positions!$A$2:$A$6912,0))</f>
        <v>A</v>
      </c>
      <c r="Z42" s="7" t="str">
        <f aca="false">INDEX(Positions!$E$2:$E$6912,MATCH($A42&amp;"|26",Positions!$A$2:$A$6912,0))</f>
        <v>G</v>
      </c>
      <c r="AA42" s="7" t="n">
        <f aca="false">(X42="G")+(Y42="G")+(Z42="G")</f>
        <v>1</v>
      </c>
      <c r="AB42" s="7" t="n">
        <f aca="false">(X42="C")+(Y42="C")+(Z42="C")</f>
        <v>0</v>
      </c>
      <c r="AC42" s="8" t="n">
        <f aca="false">AA42+AB42</f>
        <v>1</v>
      </c>
      <c r="AD42" s="9" t="n">
        <f aca="false">AC42/3</f>
        <v>0.333333333333333</v>
      </c>
      <c r="AE42" s="7" t="str">
        <f aca="false">IF(K42+V42+AC42=E42,"OK","MISMATCH")</f>
        <v>OK</v>
      </c>
      <c r="AF42" s="10" t="n">
        <f aca="false">B42-42</f>
        <v>31</v>
      </c>
      <c r="AG42" s="10" t="n">
        <f aca="false">V42+AC42</f>
        <v>11</v>
      </c>
      <c r="AH42" s="11" t="n">
        <f aca="false">AG42/AF42</f>
        <v>0.354838709677419</v>
      </c>
      <c r="AI42" s="11" t="n">
        <f aca="false">L42</f>
        <v>0.80952380952381</v>
      </c>
      <c r="AJ42" s="12" t="n">
        <f aca="false">AI42-AH42</f>
        <v>0.45468509984639</v>
      </c>
    </row>
    <row r="43" customFormat="false" ht="15" hidden="false" customHeight="false" outlineLevel="0" collapsed="false">
      <c r="A43" s="3" t="s">
        <v>76</v>
      </c>
      <c r="B43" s="4" t="n">
        <f aca="false">COUNTIF(Positions!$B$2:$B$6912,A43)</f>
        <v>72</v>
      </c>
      <c r="C43" s="4" t="n">
        <f aca="false">COUNTIFS(Positions!$B$2:$B$6912,A43,Positions!$E$2:$E$6912,"G")</f>
        <v>25</v>
      </c>
      <c r="D43" s="4" t="n">
        <f aca="false">COUNTIFS(Positions!$B$2:$B$6912,A43,Positions!$E$2:$E$6912,"C")</f>
        <v>21</v>
      </c>
      <c r="E43" s="3" t="n">
        <f aca="false">C43+D43</f>
        <v>46</v>
      </c>
      <c r="F43" s="5" t="n">
        <f aca="false">E43/B43</f>
        <v>0.638888888888889</v>
      </c>
      <c r="G43" s="4" t="n">
        <f aca="false">SUMIFS(Stems_3D_BP!$K$2:$K$2689,Stems_3D_BP!$A$2:$A$2689,$A43,Stems_3D_BP!$B$2:$B$2689,"Acceptor stem")</f>
        <v>12</v>
      </c>
      <c r="H43" s="4" t="n">
        <f aca="false">SUMIFS(Stems_3D_BP!$K$2:$K$2689,Stems_3D_BP!$A$2:$A$2689,$A43,Stems_3D_BP!$B$2:$B$2689,"D-stem")</f>
        <v>6</v>
      </c>
      <c r="I43" s="4" t="n">
        <f aca="false">SUMIFS(Stems_3D_BP!$K$2:$K$2689,Stems_3D_BP!$A$2:$A$2689,$A43,Stems_3D_BP!$B$2:$B$2689,"Anticodon stem")</f>
        <v>6</v>
      </c>
      <c r="J43" s="4" t="n">
        <f aca="false">SUMIFS(Stems_3D_BP!$K$2:$K$2689,Stems_3D_BP!$A$2:$A$2689,$A43,Stems_3D_BP!$B$2:$B$2689,"T-stem")</f>
        <v>8</v>
      </c>
      <c r="K43" s="3" t="n">
        <f aca="false">SUM(G43:J43)</f>
        <v>32</v>
      </c>
      <c r="L43" s="5" t="n">
        <f aca="false">K43/42</f>
        <v>0.761904761904762</v>
      </c>
      <c r="M43" s="4" t="n">
        <f aca="false">SUMIFS(Stems_3D_BP!$K$2:$K$2689,Stems_3D_BP!$A$2:$A$2689,$A43,Stems_3D_BP!$B$2:$B$2689,"3D (tertiary) BP")</f>
        <v>7</v>
      </c>
      <c r="N43" s="6" t="n">
        <f aca="false">M43/14</f>
        <v>0.5</v>
      </c>
      <c r="O43" s="3" t="n">
        <f aca="false">K43+M43</f>
        <v>39</v>
      </c>
      <c r="P43" s="5" t="n">
        <f aca="false">O43/56</f>
        <v>0.696428571428571</v>
      </c>
      <c r="Q43" s="4" t="n">
        <f aca="false">SUMIFS(Loops!$I$2:$I$481,Loops!$A$2:$A$481,$A43,Loops!$B$2:$B$481,"D-loop")</f>
        <v>4</v>
      </c>
      <c r="R43" s="4" t="n">
        <f aca="false">SUMIFS(Loops!$I$2:$I$481,Loops!$A$2:$A$481,$A43,Loops!$B$2:$B$481,"Anticodon loop")</f>
        <v>2</v>
      </c>
      <c r="S43" s="4" t="n">
        <f aca="false">SUMIFS(Loops!$I$2:$I$481,Loops!$A$2:$A$481,$A43,Loops!$B$2:$B$481,"Variable loop")</f>
        <v>4</v>
      </c>
      <c r="T43" s="4" t="n">
        <f aca="false">SUMIFS(Loops!$I$2:$I$481,Loops!$A$2:$A$481,$A43,Loops!$B$2:$B$481,"TΨC-loop")</f>
        <v>4</v>
      </c>
      <c r="U43" s="4" t="n">
        <f aca="false">SUMIFS(Loops!$F$2:$F$481,Loops!$A$2:$A$481,$A43)-SUMIFS(Loops!$F$2:$F$481,Loops!$A$2:$A$481,$A43,Loops!$B$2:$B$481,"Positions 8, 9, 26")</f>
        <v>27</v>
      </c>
      <c r="V43" s="3" t="n">
        <f aca="false">SUM(Q43:T43)</f>
        <v>14</v>
      </c>
      <c r="W43" s="5" t="n">
        <f aca="false">V43/U43</f>
        <v>0.518518518518519</v>
      </c>
      <c r="X43" s="7" t="str">
        <f aca="false">INDEX(Positions!$E$2:$E$6912,MATCH($A43&amp;"|8",Positions!$A$2:$A$6912,0))</f>
        <v>U</v>
      </c>
      <c r="Y43" s="7" t="str">
        <f aca="false">INDEX(Positions!$E$2:$E$6912,MATCH($A43&amp;"|9",Positions!$A$2:$A$6912,0))</f>
        <v>A</v>
      </c>
      <c r="Z43" s="7" t="str">
        <f aca="false">INDEX(Positions!$E$2:$E$6912,MATCH($A43&amp;"|26",Positions!$A$2:$A$6912,0))</f>
        <v>A</v>
      </c>
      <c r="AA43" s="7" t="n">
        <f aca="false">(X43="G")+(Y43="G")+(Z43="G")</f>
        <v>0</v>
      </c>
      <c r="AB43" s="7" t="n">
        <f aca="false">(X43="C")+(Y43="C")+(Z43="C")</f>
        <v>0</v>
      </c>
      <c r="AC43" s="8" t="n">
        <f aca="false">AA43+AB43</f>
        <v>0</v>
      </c>
      <c r="AD43" s="9" t="n">
        <f aca="false">AC43/3</f>
        <v>0</v>
      </c>
      <c r="AE43" s="7" t="str">
        <f aca="false">IF(K43+V43+AC43=E43,"OK","MISMATCH")</f>
        <v>OK</v>
      </c>
      <c r="AF43" s="10" t="n">
        <f aca="false">B43-42</f>
        <v>30</v>
      </c>
      <c r="AG43" s="10" t="n">
        <f aca="false">V43+AC43</f>
        <v>14</v>
      </c>
      <c r="AH43" s="11" t="n">
        <f aca="false">AG43/AF43</f>
        <v>0.466666666666667</v>
      </c>
      <c r="AI43" s="11" t="n">
        <f aca="false">L43</f>
        <v>0.761904761904762</v>
      </c>
      <c r="AJ43" s="12" t="n">
        <f aca="false">AI43-AH43</f>
        <v>0.295238095238095</v>
      </c>
    </row>
    <row r="44" customFormat="false" ht="15" hidden="false" customHeight="false" outlineLevel="0" collapsed="false">
      <c r="A44" s="3" t="s">
        <v>77</v>
      </c>
      <c r="B44" s="4" t="n">
        <f aca="false">COUNTIF(Positions!$B$2:$B$6912,A44)</f>
        <v>72</v>
      </c>
      <c r="C44" s="4" t="n">
        <f aca="false">COUNTIFS(Positions!$B$2:$B$6912,A44,Positions!$E$2:$E$6912,"G")</f>
        <v>23</v>
      </c>
      <c r="D44" s="4" t="n">
        <f aca="false">COUNTIFS(Positions!$B$2:$B$6912,A44,Positions!$E$2:$E$6912,"C")</f>
        <v>16</v>
      </c>
      <c r="E44" s="3" t="n">
        <f aca="false">C44+D44</f>
        <v>39</v>
      </c>
      <c r="F44" s="5" t="n">
        <f aca="false">E44/B44</f>
        <v>0.541666666666667</v>
      </c>
      <c r="G44" s="4" t="n">
        <f aca="false">SUMIFS(Stems_3D_BP!$K$2:$K$2689,Stems_3D_BP!$A$2:$A$2689,$A44,Stems_3D_BP!$B$2:$B$2689,"Acceptor stem")</f>
        <v>8</v>
      </c>
      <c r="H44" s="4" t="n">
        <f aca="false">SUMIFS(Stems_3D_BP!$K$2:$K$2689,Stems_3D_BP!$A$2:$A$2689,$A44,Stems_3D_BP!$B$2:$B$2689,"D-stem")</f>
        <v>6</v>
      </c>
      <c r="I44" s="4" t="n">
        <f aca="false">SUMIFS(Stems_3D_BP!$K$2:$K$2689,Stems_3D_BP!$A$2:$A$2689,$A44,Stems_3D_BP!$B$2:$B$2689,"Anticodon stem")</f>
        <v>2</v>
      </c>
      <c r="J44" s="4" t="n">
        <f aca="false">SUMIFS(Stems_3D_BP!$K$2:$K$2689,Stems_3D_BP!$A$2:$A$2689,$A44,Stems_3D_BP!$B$2:$B$2689,"T-stem")</f>
        <v>9</v>
      </c>
      <c r="K44" s="3" t="n">
        <f aca="false">SUM(G44:J44)</f>
        <v>25</v>
      </c>
      <c r="L44" s="5" t="n">
        <f aca="false">K44/42</f>
        <v>0.595238095238095</v>
      </c>
      <c r="M44" s="4" t="n">
        <f aca="false">SUMIFS(Stems_3D_BP!$K$2:$K$2689,Stems_3D_BP!$A$2:$A$2689,$A44,Stems_3D_BP!$B$2:$B$2689,"3D (tertiary) BP")</f>
        <v>7</v>
      </c>
      <c r="N44" s="6" t="n">
        <f aca="false">M44/14</f>
        <v>0.5</v>
      </c>
      <c r="O44" s="3" t="n">
        <f aca="false">K44+M44</f>
        <v>32</v>
      </c>
      <c r="P44" s="5" t="n">
        <f aca="false">O44/56</f>
        <v>0.571428571428571</v>
      </c>
      <c r="Q44" s="4" t="n">
        <f aca="false">SUMIFS(Loops!$I$2:$I$481,Loops!$A$2:$A$481,$A44,Loops!$B$2:$B$481,"D-loop")</f>
        <v>4</v>
      </c>
      <c r="R44" s="4" t="n">
        <f aca="false">SUMIFS(Loops!$I$2:$I$481,Loops!$A$2:$A$481,$A44,Loops!$B$2:$B$481,"Anticodon loop")</f>
        <v>3</v>
      </c>
      <c r="S44" s="4" t="n">
        <f aca="false">SUMIFS(Loops!$I$2:$I$481,Loops!$A$2:$A$481,$A44,Loops!$B$2:$B$481,"Variable loop")</f>
        <v>3</v>
      </c>
      <c r="T44" s="4" t="n">
        <f aca="false">SUMIFS(Loops!$I$2:$I$481,Loops!$A$2:$A$481,$A44,Loops!$B$2:$B$481,"TΨC-loop")</f>
        <v>3</v>
      </c>
      <c r="U44" s="4" t="n">
        <f aca="false">SUMIFS(Loops!$F$2:$F$481,Loops!$A$2:$A$481,$A44)-SUMIFS(Loops!$F$2:$F$481,Loops!$A$2:$A$481,$A44,Loops!$B$2:$B$481,"Positions 8, 9, 26")</f>
        <v>27</v>
      </c>
      <c r="V44" s="3" t="n">
        <f aca="false">SUM(Q44:T44)</f>
        <v>13</v>
      </c>
      <c r="W44" s="5" t="n">
        <f aca="false">V44/U44</f>
        <v>0.481481481481481</v>
      </c>
      <c r="X44" s="7" t="str">
        <f aca="false">INDEX(Positions!$E$2:$E$6912,MATCH($A44&amp;"|8",Positions!$A$2:$A$6912,0))</f>
        <v>U</v>
      </c>
      <c r="Y44" s="7" t="str">
        <f aca="false">INDEX(Positions!$E$2:$E$6912,MATCH($A44&amp;"|9",Positions!$A$2:$A$6912,0))</f>
        <v>A</v>
      </c>
      <c r="Z44" s="7" t="str">
        <f aca="false">INDEX(Positions!$E$2:$E$6912,MATCH($A44&amp;"|26",Positions!$A$2:$A$6912,0))</f>
        <v>G</v>
      </c>
      <c r="AA44" s="7" t="n">
        <f aca="false">(X44="G")+(Y44="G")+(Z44="G")</f>
        <v>1</v>
      </c>
      <c r="AB44" s="7" t="n">
        <f aca="false">(X44="C")+(Y44="C")+(Z44="C")</f>
        <v>0</v>
      </c>
      <c r="AC44" s="8" t="n">
        <f aca="false">AA44+AB44</f>
        <v>1</v>
      </c>
      <c r="AD44" s="9" t="n">
        <f aca="false">AC44/3</f>
        <v>0.333333333333333</v>
      </c>
      <c r="AE44" s="7" t="str">
        <f aca="false">IF(K44+V44+AC44=E44,"OK","MISMATCH")</f>
        <v>OK</v>
      </c>
      <c r="AF44" s="10" t="n">
        <f aca="false">B44-42</f>
        <v>30</v>
      </c>
      <c r="AG44" s="10" t="n">
        <f aca="false">V44+AC44</f>
        <v>14</v>
      </c>
      <c r="AH44" s="11" t="n">
        <f aca="false">AG44/AF44</f>
        <v>0.466666666666667</v>
      </c>
      <c r="AI44" s="11" t="n">
        <f aca="false">L44</f>
        <v>0.595238095238095</v>
      </c>
      <c r="AJ44" s="12" t="n">
        <f aca="false">AI44-AH44</f>
        <v>0.128571428571429</v>
      </c>
    </row>
    <row r="45" customFormat="false" ht="15" hidden="false" customHeight="false" outlineLevel="0" collapsed="false">
      <c r="A45" s="3" t="s">
        <v>78</v>
      </c>
      <c r="B45" s="4" t="n">
        <f aca="false">COUNTIF(Positions!$B$2:$B$6912,A45)</f>
        <v>72</v>
      </c>
      <c r="C45" s="4" t="n">
        <f aca="false">COUNTIFS(Positions!$B$2:$B$6912,A45,Positions!$E$2:$E$6912,"G")</f>
        <v>23</v>
      </c>
      <c r="D45" s="4" t="n">
        <f aca="false">COUNTIFS(Positions!$B$2:$B$6912,A45,Positions!$E$2:$E$6912,"C")</f>
        <v>18</v>
      </c>
      <c r="E45" s="3" t="n">
        <f aca="false">C45+D45</f>
        <v>41</v>
      </c>
      <c r="F45" s="5" t="n">
        <f aca="false">E45/B45</f>
        <v>0.569444444444444</v>
      </c>
      <c r="G45" s="4" t="n">
        <f aca="false">SUMIFS(Stems_3D_BP!$K$2:$K$2689,Stems_3D_BP!$A$2:$A$2689,$A45,Stems_3D_BP!$B$2:$B$2689,"Acceptor stem")</f>
        <v>11</v>
      </c>
      <c r="H45" s="4" t="n">
        <f aca="false">SUMIFS(Stems_3D_BP!$K$2:$K$2689,Stems_3D_BP!$A$2:$A$2689,$A45,Stems_3D_BP!$B$2:$B$2689,"D-stem")</f>
        <v>7</v>
      </c>
      <c r="I45" s="4" t="n">
        <f aca="false">SUMIFS(Stems_3D_BP!$K$2:$K$2689,Stems_3D_BP!$A$2:$A$2689,$A45,Stems_3D_BP!$B$2:$B$2689,"Anticodon stem")</f>
        <v>4</v>
      </c>
      <c r="J45" s="4" t="n">
        <f aca="false">SUMIFS(Stems_3D_BP!$K$2:$K$2689,Stems_3D_BP!$A$2:$A$2689,$A45,Stems_3D_BP!$B$2:$B$2689,"T-stem")</f>
        <v>7</v>
      </c>
      <c r="K45" s="3" t="n">
        <f aca="false">SUM(G45:J45)</f>
        <v>29</v>
      </c>
      <c r="L45" s="5" t="n">
        <f aca="false">K45/42</f>
        <v>0.690476190476191</v>
      </c>
      <c r="M45" s="4" t="n">
        <f aca="false">SUMIFS(Stems_3D_BP!$K$2:$K$2689,Stems_3D_BP!$A$2:$A$2689,$A45,Stems_3D_BP!$B$2:$B$2689,"3D (tertiary) BP")</f>
        <v>5</v>
      </c>
      <c r="N45" s="6" t="n">
        <f aca="false">M45/14</f>
        <v>0.357142857142857</v>
      </c>
      <c r="O45" s="3" t="n">
        <f aca="false">K45+M45</f>
        <v>34</v>
      </c>
      <c r="P45" s="5" t="n">
        <f aca="false">O45/56</f>
        <v>0.607142857142857</v>
      </c>
      <c r="Q45" s="4" t="n">
        <f aca="false">SUMIFS(Loops!$I$2:$I$481,Loops!$A$2:$A$481,$A45,Loops!$B$2:$B$481,"D-loop")</f>
        <v>2</v>
      </c>
      <c r="R45" s="4" t="n">
        <f aca="false">SUMIFS(Loops!$I$2:$I$481,Loops!$A$2:$A$481,$A45,Loops!$B$2:$B$481,"Anticodon loop")</f>
        <v>4</v>
      </c>
      <c r="S45" s="4" t="n">
        <f aca="false">SUMIFS(Loops!$I$2:$I$481,Loops!$A$2:$A$481,$A45,Loops!$B$2:$B$481,"Variable loop")</f>
        <v>1</v>
      </c>
      <c r="T45" s="4" t="n">
        <f aca="false">SUMIFS(Loops!$I$2:$I$481,Loops!$A$2:$A$481,$A45,Loops!$B$2:$B$481,"TΨC-loop")</f>
        <v>3</v>
      </c>
      <c r="U45" s="4" t="n">
        <f aca="false">SUMIFS(Loops!$F$2:$F$481,Loops!$A$2:$A$481,$A45)-SUMIFS(Loops!$F$2:$F$481,Loops!$A$2:$A$481,$A45,Loops!$B$2:$B$481,"Positions 8, 9, 26")</f>
        <v>27</v>
      </c>
      <c r="V45" s="3" t="n">
        <f aca="false">SUM(Q45:T45)</f>
        <v>10</v>
      </c>
      <c r="W45" s="5" t="n">
        <f aca="false">V45/U45</f>
        <v>0.37037037037037</v>
      </c>
      <c r="X45" s="7" t="str">
        <f aca="false">INDEX(Positions!$E$2:$E$6912,MATCH($A45&amp;"|8",Positions!$A$2:$A$6912,0))</f>
        <v>U</v>
      </c>
      <c r="Y45" s="7" t="str">
        <f aca="false">INDEX(Positions!$E$2:$E$6912,MATCH($A45&amp;"|9",Positions!$A$2:$A$6912,0))</f>
        <v>G</v>
      </c>
      <c r="Z45" s="7" t="str">
        <f aca="false">INDEX(Positions!$E$2:$E$6912,MATCH($A45&amp;"|26",Positions!$A$2:$A$6912,0))</f>
        <v>G</v>
      </c>
      <c r="AA45" s="7" t="n">
        <f aca="false">(X45="G")+(Y45="G")+(Z45="G")</f>
        <v>2</v>
      </c>
      <c r="AB45" s="7" t="n">
        <f aca="false">(X45="C")+(Y45="C")+(Z45="C")</f>
        <v>0</v>
      </c>
      <c r="AC45" s="8" t="n">
        <f aca="false">AA45+AB45</f>
        <v>2</v>
      </c>
      <c r="AD45" s="9" t="n">
        <f aca="false">AC45/3</f>
        <v>0.666666666666667</v>
      </c>
      <c r="AE45" s="7" t="str">
        <f aca="false">IF(K45+V45+AC45=E45,"OK","MISMATCH")</f>
        <v>OK</v>
      </c>
      <c r="AF45" s="10" t="n">
        <f aca="false">B45-42</f>
        <v>30</v>
      </c>
      <c r="AG45" s="10" t="n">
        <f aca="false">V45+AC45</f>
        <v>12</v>
      </c>
      <c r="AH45" s="11" t="n">
        <f aca="false">AG45/AF45</f>
        <v>0.4</v>
      </c>
      <c r="AI45" s="11" t="n">
        <f aca="false">L45</f>
        <v>0.690476190476191</v>
      </c>
      <c r="AJ45" s="12" t="n">
        <f aca="false">AI45-AH45</f>
        <v>0.29047619047619</v>
      </c>
    </row>
    <row r="46" customFormat="false" ht="15" hidden="false" customHeight="false" outlineLevel="0" collapsed="false">
      <c r="A46" s="3" t="s">
        <v>79</v>
      </c>
      <c r="B46" s="4" t="n">
        <f aca="false">COUNTIF(Positions!$B$2:$B$6912,A46)</f>
        <v>72</v>
      </c>
      <c r="C46" s="4" t="n">
        <f aca="false">COUNTIFS(Positions!$B$2:$B$6912,A46,Positions!$E$2:$E$6912,"G")</f>
        <v>23</v>
      </c>
      <c r="D46" s="4" t="n">
        <f aca="false">COUNTIFS(Positions!$B$2:$B$6912,A46,Positions!$E$2:$E$6912,"C")</f>
        <v>19</v>
      </c>
      <c r="E46" s="3" t="n">
        <f aca="false">C46+D46</f>
        <v>42</v>
      </c>
      <c r="F46" s="5" t="n">
        <f aca="false">E46/B46</f>
        <v>0.583333333333333</v>
      </c>
      <c r="G46" s="4" t="n">
        <f aca="false">SUMIFS(Stems_3D_BP!$K$2:$K$2689,Stems_3D_BP!$A$2:$A$2689,$A46,Stems_3D_BP!$B$2:$B$2689,"Acceptor stem")</f>
        <v>11</v>
      </c>
      <c r="H46" s="4" t="n">
        <f aca="false">SUMIFS(Stems_3D_BP!$K$2:$K$2689,Stems_3D_BP!$A$2:$A$2689,$A46,Stems_3D_BP!$B$2:$B$2689,"D-stem")</f>
        <v>7</v>
      </c>
      <c r="I46" s="4" t="n">
        <f aca="false">SUMIFS(Stems_3D_BP!$K$2:$K$2689,Stems_3D_BP!$A$2:$A$2689,$A46,Stems_3D_BP!$B$2:$B$2689,"Anticodon stem")</f>
        <v>4</v>
      </c>
      <c r="J46" s="4" t="n">
        <f aca="false">SUMIFS(Stems_3D_BP!$K$2:$K$2689,Stems_3D_BP!$A$2:$A$2689,$A46,Stems_3D_BP!$B$2:$B$2689,"T-stem")</f>
        <v>8</v>
      </c>
      <c r="K46" s="3" t="n">
        <f aca="false">SUM(G46:J46)</f>
        <v>30</v>
      </c>
      <c r="L46" s="5" t="n">
        <f aca="false">K46/42</f>
        <v>0.714285714285714</v>
      </c>
      <c r="M46" s="4" t="n">
        <f aca="false">SUMIFS(Stems_3D_BP!$K$2:$K$2689,Stems_3D_BP!$A$2:$A$2689,$A46,Stems_3D_BP!$B$2:$B$2689,"3D (tertiary) BP")</f>
        <v>5</v>
      </c>
      <c r="N46" s="6" t="n">
        <f aca="false">M46/14</f>
        <v>0.357142857142857</v>
      </c>
      <c r="O46" s="3" t="n">
        <f aca="false">K46+M46</f>
        <v>35</v>
      </c>
      <c r="P46" s="5" t="n">
        <f aca="false">O46/56</f>
        <v>0.625</v>
      </c>
      <c r="Q46" s="4" t="n">
        <f aca="false">SUMIFS(Loops!$I$2:$I$481,Loops!$A$2:$A$481,$A46,Loops!$B$2:$B$481,"D-loop")</f>
        <v>2</v>
      </c>
      <c r="R46" s="4" t="n">
        <f aca="false">SUMIFS(Loops!$I$2:$I$481,Loops!$A$2:$A$481,$A46,Loops!$B$2:$B$481,"Anticodon loop")</f>
        <v>4</v>
      </c>
      <c r="S46" s="4" t="n">
        <f aca="false">SUMIFS(Loops!$I$2:$I$481,Loops!$A$2:$A$481,$A46,Loops!$B$2:$B$481,"Variable loop")</f>
        <v>1</v>
      </c>
      <c r="T46" s="4" t="n">
        <f aca="false">SUMIFS(Loops!$I$2:$I$481,Loops!$A$2:$A$481,$A46,Loops!$B$2:$B$481,"TΨC-loop")</f>
        <v>3</v>
      </c>
      <c r="U46" s="4" t="n">
        <f aca="false">SUMIFS(Loops!$F$2:$F$481,Loops!$A$2:$A$481,$A46)-SUMIFS(Loops!$F$2:$F$481,Loops!$A$2:$A$481,$A46,Loops!$B$2:$B$481,"Positions 8, 9, 26")</f>
        <v>27</v>
      </c>
      <c r="V46" s="3" t="n">
        <f aca="false">SUM(Q46:T46)</f>
        <v>10</v>
      </c>
      <c r="W46" s="5" t="n">
        <f aca="false">V46/U46</f>
        <v>0.37037037037037</v>
      </c>
      <c r="X46" s="7" t="str">
        <f aca="false">INDEX(Positions!$E$2:$E$6912,MATCH($A46&amp;"|8",Positions!$A$2:$A$6912,0))</f>
        <v>U</v>
      </c>
      <c r="Y46" s="7" t="str">
        <f aca="false">INDEX(Positions!$E$2:$E$6912,MATCH($A46&amp;"|9",Positions!$A$2:$A$6912,0))</f>
        <v>G</v>
      </c>
      <c r="Z46" s="7" t="str">
        <f aca="false">INDEX(Positions!$E$2:$E$6912,MATCH($A46&amp;"|26",Positions!$A$2:$A$6912,0))</f>
        <v>G</v>
      </c>
      <c r="AA46" s="7" t="n">
        <f aca="false">(X46="G")+(Y46="G")+(Z46="G")</f>
        <v>2</v>
      </c>
      <c r="AB46" s="7" t="n">
        <f aca="false">(X46="C")+(Y46="C")+(Z46="C")</f>
        <v>0</v>
      </c>
      <c r="AC46" s="8" t="n">
        <f aca="false">AA46+AB46</f>
        <v>2</v>
      </c>
      <c r="AD46" s="9" t="n">
        <f aca="false">AC46/3</f>
        <v>0.666666666666667</v>
      </c>
      <c r="AE46" s="7" t="str">
        <f aca="false">IF(K46+V46+AC46=E46,"OK","MISMATCH")</f>
        <v>OK</v>
      </c>
      <c r="AF46" s="10" t="n">
        <f aca="false">B46-42</f>
        <v>30</v>
      </c>
      <c r="AG46" s="10" t="n">
        <f aca="false">V46+AC46</f>
        <v>12</v>
      </c>
      <c r="AH46" s="11" t="n">
        <f aca="false">AG46/AF46</f>
        <v>0.4</v>
      </c>
      <c r="AI46" s="11" t="n">
        <f aca="false">L46</f>
        <v>0.714285714285714</v>
      </c>
      <c r="AJ46" s="12" t="n">
        <f aca="false">AI46-AH46</f>
        <v>0.314285714285714</v>
      </c>
    </row>
    <row r="47" customFormat="false" ht="15" hidden="false" customHeight="false" outlineLevel="0" collapsed="false">
      <c r="A47" s="3" t="s">
        <v>80</v>
      </c>
      <c r="B47" s="4" t="n">
        <f aca="false">COUNTIF(Positions!$B$2:$B$6912,A47)</f>
        <v>71</v>
      </c>
      <c r="C47" s="4" t="n">
        <f aca="false">COUNTIFS(Positions!$B$2:$B$6912,A47,Positions!$E$2:$E$6912,"G")</f>
        <v>19</v>
      </c>
      <c r="D47" s="4" t="n">
        <f aca="false">COUNTIFS(Positions!$B$2:$B$6912,A47,Positions!$E$2:$E$6912,"C")</f>
        <v>17</v>
      </c>
      <c r="E47" s="3" t="n">
        <f aca="false">C47+D47</f>
        <v>36</v>
      </c>
      <c r="F47" s="5" t="n">
        <f aca="false">E47/B47</f>
        <v>0.507042253521127</v>
      </c>
      <c r="G47" s="4" t="n">
        <f aca="false">SUMIFS(Stems_3D_BP!$K$2:$K$2689,Stems_3D_BP!$A$2:$A$2689,$A47,Stems_3D_BP!$B$2:$B$2689,"Acceptor stem")</f>
        <v>8</v>
      </c>
      <c r="H47" s="4" t="n">
        <f aca="false">SUMIFS(Stems_3D_BP!$K$2:$K$2689,Stems_3D_BP!$A$2:$A$2689,$A47,Stems_3D_BP!$B$2:$B$2689,"D-stem")</f>
        <v>5</v>
      </c>
      <c r="I47" s="4" t="n">
        <f aca="false">SUMIFS(Stems_3D_BP!$K$2:$K$2689,Stems_3D_BP!$A$2:$A$2689,$A47,Stems_3D_BP!$B$2:$B$2689,"Anticodon stem")</f>
        <v>6</v>
      </c>
      <c r="J47" s="4" t="n">
        <f aca="false">SUMIFS(Stems_3D_BP!$K$2:$K$2689,Stems_3D_BP!$A$2:$A$2689,$A47,Stems_3D_BP!$B$2:$B$2689,"T-stem")</f>
        <v>8</v>
      </c>
      <c r="K47" s="3" t="n">
        <f aca="false">SUM(G47:J47)</f>
        <v>27</v>
      </c>
      <c r="L47" s="5" t="n">
        <f aca="false">K47/42</f>
        <v>0.642857142857143</v>
      </c>
      <c r="M47" s="4" t="n">
        <f aca="false">SUMIFS(Stems_3D_BP!$K$2:$K$2689,Stems_3D_BP!$A$2:$A$2689,$A47,Stems_3D_BP!$B$2:$B$2689,"3D (tertiary) BP")</f>
        <v>5</v>
      </c>
      <c r="N47" s="6" t="n">
        <f aca="false">M47/14</f>
        <v>0.357142857142857</v>
      </c>
      <c r="O47" s="3" t="n">
        <f aca="false">K47+M47</f>
        <v>32</v>
      </c>
      <c r="P47" s="5" t="n">
        <f aca="false">O47/56</f>
        <v>0.571428571428571</v>
      </c>
      <c r="Q47" s="4" t="n">
        <f aca="false">SUMIFS(Loops!$I$2:$I$481,Loops!$A$2:$A$481,$A47,Loops!$B$2:$B$481,"D-loop")</f>
        <v>2</v>
      </c>
      <c r="R47" s="4" t="n">
        <f aca="false">SUMIFS(Loops!$I$2:$I$481,Loops!$A$2:$A$481,$A47,Loops!$B$2:$B$481,"Anticodon loop")</f>
        <v>3</v>
      </c>
      <c r="S47" s="4" t="n">
        <f aca="false">SUMIFS(Loops!$I$2:$I$481,Loops!$A$2:$A$481,$A47,Loops!$B$2:$B$481,"Variable loop")</f>
        <v>2</v>
      </c>
      <c r="T47" s="4" t="n">
        <f aca="false">SUMIFS(Loops!$I$2:$I$481,Loops!$A$2:$A$481,$A47,Loops!$B$2:$B$481,"TΨC-loop")</f>
        <v>1</v>
      </c>
      <c r="U47" s="4" t="n">
        <f aca="false">SUMIFS(Loops!$F$2:$F$481,Loops!$A$2:$A$481,$A47)-SUMIFS(Loops!$F$2:$F$481,Loops!$A$2:$A$481,$A47,Loops!$B$2:$B$481,"Positions 8, 9, 26")</f>
        <v>26</v>
      </c>
      <c r="V47" s="3" t="n">
        <f aca="false">SUM(Q47:T47)</f>
        <v>8</v>
      </c>
      <c r="W47" s="5" t="n">
        <f aca="false">V47/U47</f>
        <v>0.307692307692308</v>
      </c>
      <c r="X47" s="7" t="str">
        <f aca="false">INDEX(Positions!$E$2:$E$6912,MATCH($A47&amp;"|8",Positions!$A$2:$A$6912,0))</f>
        <v>U</v>
      </c>
      <c r="Y47" s="7" t="str">
        <f aca="false">INDEX(Positions!$E$2:$E$6912,MATCH($A47&amp;"|9",Positions!$A$2:$A$6912,0))</f>
        <v>G</v>
      </c>
      <c r="Z47" s="7" t="str">
        <f aca="false">INDEX(Positions!$E$2:$E$6912,MATCH($A47&amp;"|26",Positions!$A$2:$A$6912,0))</f>
        <v>U</v>
      </c>
      <c r="AA47" s="7" t="n">
        <f aca="false">(X47="G")+(Y47="G")+(Z47="G")</f>
        <v>1</v>
      </c>
      <c r="AB47" s="7" t="n">
        <f aca="false">(X47="C")+(Y47="C")+(Z47="C")</f>
        <v>0</v>
      </c>
      <c r="AC47" s="8" t="n">
        <f aca="false">AA47+AB47</f>
        <v>1</v>
      </c>
      <c r="AD47" s="9" t="n">
        <f aca="false">AC47/3</f>
        <v>0.333333333333333</v>
      </c>
      <c r="AE47" s="7" t="str">
        <f aca="false">IF(K47+V47+AC47=E47,"OK","MISMATCH")</f>
        <v>OK</v>
      </c>
      <c r="AF47" s="10" t="n">
        <f aca="false">B47-42</f>
        <v>29</v>
      </c>
      <c r="AG47" s="10" t="n">
        <f aca="false">V47+AC47</f>
        <v>9</v>
      </c>
      <c r="AH47" s="11" t="n">
        <f aca="false">AG47/AF47</f>
        <v>0.310344827586207</v>
      </c>
      <c r="AI47" s="11" t="n">
        <f aca="false">L47</f>
        <v>0.642857142857143</v>
      </c>
      <c r="AJ47" s="12" t="n">
        <f aca="false">AI47-AH47</f>
        <v>0.332512315270936</v>
      </c>
    </row>
    <row r="48" customFormat="false" ht="15" hidden="false" customHeight="false" outlineLevel="0" collapsed="false">
      <c r="A48" s="3" t="s">
        <v>81</v>
      </c>
      <c r="B48" s="4" t="n">
        <f aca="false">COUNTIF(Positions!$B$2:$B$6912,A48)</f>
        <v>71</v>
      </c>
      <c r="C48" s="4" t="n">
        <f aca="false">COUNTIFS(Positions!$B$2:$B$6912,A48,Positions!$E$2:$E$6912,"G")</f>
        <v>20</v>
      </c>
      <c r="D48" s="4" t="n">
        <f aca="false">COUNTIFS(Positions!$B$2:$B$6912,A48,Positions!$E$2:$E$6912,"C")</f>
        <v>17</v>
      </c>
      <c r="E48" s="3" t="n">
        <f aca="false">C48+D48</f>
        <v>37</v>
      </c>
      <c r="F48" s="5" t="n">
        <f aca="false">E48/B48</f>
        <v>0.52112676056338</v>
      </c>
      <c r="G48" s="4" t="n">
        <f aca="false">SUMIFS(Stems_3D_BP!$K$2:$K$2689,Stems_3D_BP!$A$2:$A$2689,$A48,Stems_3D_BP!$B$2:$B$2689,"Acceptor stem")</f>
        <v>10</v>
      </c>
      <c r="H48" s="4" t="n">
        <f aca="false">SUMIFS(Stems_3D_BP!$K$2:$K$2689,Stems_3D_BP!$A$2:$A$2689,$A48,Stems_3D_BP!$B$2:$B$2689,"D-stem")</f>
        <v>5</v>
      </c>
      <c r="I48" s="4" t="n">
        <f aca="false">SUMIFS(Stems_3D_BP!$K$2:$K$2689,Stems_3D_BP!$A$2:$A$2689,$A48,Stems_3D_BP!$B$2:$B$2689,"Anticodon stem")</f>
        <v>6</v>
      </c>
      <c r="J48" s="4" t="n">
        <f aca="false">SUMIFS(Stems_3D_BP!$K$2:$K$2689,Stems_3D_BP!$A$2:$A$2689,$A48,Stems_3D_BP!$B$2:$B$2689,"T-stem")</f>
        <v>8</v>
      </c>
      <c r="K48" s="3" t="n">
        <f aca="false">SUM(G48:J48)</f>
        <v>29</v>
      </c>
      <c r="L48" s="5" t="n">
        <f aca="false">K48/42</f>
        <v>0.690476190476191</v>
      </c>
      <c r="M48" s="4" t="n">
        <f aca="false">SUMIFS(Stems_3D_BP!$K$2:$K$2689,Stems_3D_BP!$A$2:$A$2689,$A48,Stems_3D_BP!$B$2:$B$2689,"3D (tertiary) BP")</f>
        <v>5</v>
      </c>
      <c r="N48" s="6" t="n">
        <f aca="false">M48/14</f>
        <v>0.357142857142857</v>
      </c>
      <c r="O48" s="3" t="n">
        <f aca="false">K48+M48</f>
        <v>34</v>
      </c>
      <c r="P48" s="5" t="n">
        <f aca="false">O48/56</f>
        <v>0.607142857142857</v>
      </c>
      <c r="Q48" s="4" t="n">
        <f aca="false">SUMIFS(Loops!$I$2:$I$481,Loops!$A$2:$A$481,$A48,Loops!$B$2:$B$481,"D-loop")</f>
        <v>2</v>
      </c>
      <c r="R48" s="4" t="n">
        <f aca="false">SUMIFS(Loops!$I$2:$I$481,Loops!$A$2:$A$481,$A48,Loops!$B$2:$B$481,"Anticodon loop")</f>
        <v>2</v>
      </c>
      <c r="S48" s="4" t="n">
        <f aca="false">SUMIFS(Loops!$I$2:$I$481,Loops!$A$2:$A$481,$A48,Loops!$B$2:$B$481,"Variable loop")</f>
        <v>2</v>
      </c>
      <c r="T48" s="4" t="n">
        <f aca="false">SUMIFS(Loops!$I$2:$I$481,Loops!$A$2:$A$481,$A48,Loops!$B$2:$B$481,"TΨC-loop")</f>
        <v>1</v>
      </c>
      <c r="U48" s="4" t="n">
        <f aca="false">SUMIFS(Loops!$F$2:$F$481,Loops!$A$2:$A$481,$A48)-SUMIFS(Loops!$F$2:$F$481,Loops!$A$2:$A$481,$A48,Loops!$B$2:$B$481,"Positions 8, 9, 26")</f>
        <v>26</v>
      </c>
      <c r="V48" s="3" t="n">
        <f aca="false">SUM(Q48:T48)</f>
        <v>7</v>
      </c>
      <c r="W48" s="5" t="n">
        <f aca="false">V48/U48</f>
        <v>0.269230769230769</v>
      </c>
      <c r="X48" s="7" t="str">
        <f aca="false">INDEX(Positions!$E$2:$E$6912,MATCH($A48&amp;"|8",Positions!$A$2:$A$6912,0))</f>
        <v>U</v>
      </c>
      <c r="Y48" s="7" t="str">
        <f aca="false">INDEX(Positions!$E$2:$E$6912,MATCH($A48&amp;"|9",Positions!$A$2:$A$6912,0))</f>
        <v>G</v>
      </c>
      <c r="Z48" s="7" t="str">
        <f aca="false">INDEX(Positions!$E$2:$E$6912,MATCH($A48&amp;"|26",Positions!$A$2:$A$6912,0))</f>
        <v>U</v>
      </c>
      <c r="AA48" s="7" t="n">
        <f aca="false">(X48="G")+(Y48="G")+(Z48="G")</f>
        <v>1</v>
      </c>
      <c r="AB48" s="7" t="n">
        <f aca="false">(X48="C")+(Y48="C")+(Z48="C")</f>
        <v>0</v>
      </c>
      <c r="AC48" s="8" t="n">
        <f aca="false">AA48+AB48</f>
        <v>1</v>
      </c>
      <c r="AD48" s="9" t="n">
        <f aca="false">AC48/3</f>
        <v>0.333333333333333</v>
      </c>
      <c r="AE48" s="7" t="str">
        <f aca="false">IF(K48+V48+AC48=E48,"OK","MISMATCH")</f>
        <v>OK</v>
      </c>
      <c r="AF48" s="10" t="n">
        <f aca="false">B48-42</f>
        <v>29</v>
      </c>
      <c r="AG48" s="10" t="n">
        <f aca="false">V48+AC48</f>
        <v>8</v>
      </c>
      <c r="AH48" s="11" t="n">
        <f aca="false">AG48/AF48</f>
        <v>0.275862068965517</v>
      </c>
      <c r="AI48" s="11" t="n">
        <f aca="false">L48</f>
        <v>0.690476190476191</v>
      </c>
      <c r="AJ48" s="12" t="n">
        <f aca="false">AI48-AH48</f>
        <v>0.414614121510673</v>
      </c>
    </row>
    <row r="49" customFormat="false" ht="15" hidden="false" customHeight="false" outlineLevel="0" collapsed="false">
      <c r="A49" s="3" t="s">
        <v>82</v>
      </c>
      <c r="B49" s="4" t="n">
        <f aca="false">COUNTIF(Positions!$B$2:$B$6912,A49)</f>
        <v>72</v>
      </c>
      <c r="C49" s="4" t="n">
        <f aca="false">COUNTIFS(Positions!$B$2:$B$6912,A49,Positions!$E$2:$E$6912,"G")</f>
        <v>23</v>
      </c>
      <c r="D49" s="4" t="n">
        <f aca="false">COUNTIFS(Positions!$B$2:$B$6912,A49,Positions!$E$2:$E$6912,"C")</f>
        <v>16</v>
      </c>
      <c r="E49" s="3" t="n">
        <f aca="false">C49+D49</f>
        <v>39</v>
      </c>
      <c r="F49" s="5" t="n">
        <f aca="false">E49/B49</f>
        <v>0.541666666666667</v>
      </c>
      <c r="G49" s="4" t="n">
        <f aca="false">SUMIFS(Stems_3D_BP!$K$2:$K$2689,Stems_3D_BP!$A$2:$A$2689,$A49,Stems_3D_BP!$B$2:$B$2689,"Acceptor stem")</f>
        <v>8</v>
      </c>
      <c r="H49" s="4" t="n">
        <f aca="false">SUMIFS(Stems_3D_BP!$K$2:$K$2689,Stems_3D_BP!$A$2:$A$2689,$A49,Stems_3D_BP!$B$2:$B$2689,"D-stem")</f>
        <v>6</v>
      </c>
      <c r="I49" s="4" t="n">
        <f aca="false">SUMIFS(Stems_3D_BP!$K$2:$K$2689,Stems_3D_BP!$A$2:$A$2689,$A49,Stems_3D_BP!$B$2:$B$2689,"Anticodon stem")</f>
        <v>2</v>
      </c>
      <c r="J49" s="4" t="n">
        <f aca="false">SUMIFS(Stems_3D_BP!$K$2:$K$2689,Stems_3D_BP!$A$2:$A$2689,$A49,Stems_3D_BP!$B$2:$B$2689,"T-stem")</f>
        <v>9</v>
      </c>
      <c r="K49" s="3" t="n">
        <f aca="false">SUM(G49:J49)</f>
        <v>25</v>
      </c>
      <c r="L49" s="5" t="n">
        <f aca="false">K49/42</f>
        <v>0.595238095238095</v>
      </c>
      <c r="M49" s="4" t="n">
        <f aca="false">SUMIFS(Stems_3D_BP!$K$2:$K$2689,Stems_3D_BP!$A$2:$A$2689,$A49,Stems_3D_BP!$B$2:$B$2689,"3D (tertiary) BP")</f>
        <v>7</v>
      </c>
      <c r="N49" s="6" t="n">
        <f aca="false">M49/14</f>
        <v>0.5</v>
      </c>
      <c r="O49" s="3" t="n">
        <f aca="false">K49+M49</f>
        <v>32</v>
      </c>
      <c r="P49" s="5" t="n">
        <f aca="false">O49/56</f>
        <v>0.571428571428571</v>
      </c>
      <c r="Q49" s="4" t="n">
        <f aca="false">SUMIFS(Loops!$I$2:$I$481,Loops!$A$2:$A$481,$A49,Loops!$B$2:$B$481,"D-loop")</f>
        <v>4</v>
      </c>
      <c r="R49" s="4" t="n">
        <f aca="false">SUMIFS(Loops!$I$2:$I$481,Loops!$A$2:$A$481,$A49,Loops!$B$2:$B$481,"Anticodon loop")</f>
        <v>3</v>
      </c>
      <c r="S49" s="4" t="n">
        <f aca="false">SUMIFS(Loops!$I$2:$I$481,Loops!$A$2:$A$481,$A49,Loops!$B$2:$B$481,"Variable loop")</f>
        <v>3</v>
      </c>
      <c r="T49" s="4" t="n">
        <f aca="false">SUMIFS(Loops!$I$2:$I$481,Loops!$A$2:$A$481,$A49,Loops!$B$2:$B$481,"TΨC-loop")</f>
        <v>3</v>
      </c>
      <c r="U49" s="4" t="n">
        <f aca="false">SUMIFS(Loops!$F$2:$F$481,Loops!$A$2:$A$481,$A49)-SUMIFS(Loops!$F$2:$F$481,Loops!$A$2:$A$481,$A49,Loops!$B$2:$B$481,"Positions 8, 9, 26")</f>
        <v>27</v>
      </c>
      <c r="V49" s="3" t="n">
        <f aca="false">SUM(Q49:T49)</f>
        <v>13</v>
      </c>
      <c r="W49" s="5" t="n">
        <f aca="false">V49/U49</f>
        <v>0.481481481481481</v>
      </c>
      <c r="X49" s="7" t="str">
        <f aca="false">INDEX(Positions!$E$2:$E$6912,MATCH($A49&amp;"|8",Positions!$A$2:$A$6912,0))</f>
        <v>U</v>
      </c>
      <c r="Y49" s="7" t="str">
        <f aca="false">INDEX(Positions!$E$2:$E$6912,MATCH($A49&amp;"|9",Positions!$A$2:$A$6912,0))</f>
        <v>A</v>
      </c>
      <c r="Z49" s="7" t="str">
        <f aca="false">INDEX(Positions!$E$2:$E$6912,MATCH($A49&amp;"|26",Positions!$A$2:$A$6912,0))</f>
        <v>G</v>
      </c>
      <c r="AA49" s="7" t="n">
        <f aca="false">(X49="G")+(Y49="G")+(Z49="G")</f>
        <v>1</v>
      </c>
      <c r="AB49" s="7" t="n">
        <f aca="false">(X49="C")+(Y49="C")+(Z49="C")</f>
        <v>0</v>
      </c>
      <c r="AC49" s="8" t="n">
        <f aca="false">AA49+AB49</f>
        <v>1</v>
      </c>
      <c r="AD49" s="9" t="n">
        <f aca="false">AC49/3</f>
        <v>0.333333333333333</v>
      </c>
      <c r="AE49" s="7" t="str">
        <f aca="false">IF(K49+V49+AC49=E49,"OK","MISMATCH")</f>
        <v>OK</v>
      </c>
      <c r="AF49" s="10" t="n">
        <f aca="false">B49-42</f>
        <v>30</v>
      </c>
      <c r="AG49" s="10" t="n">
        <f aca="false">V49+AC49</f>
        <v>14</v>
      </c>
      <c r="AH49" s="11" t="n">
        <f aca="false">AG49/AF49</f>
        <v>0.466666666666667</v>
      </c>
      <c r="AI49" s="11" t="n">
        <f aca="false">L49</f>
        <v>0.595238095238095</v>
      </c>
      <c r="AJ49" s="12" t="n">
        <f aca="false">AI49-AH49</f>
        <v>0.128571428571429</v>
      </c>
    </row>
    <row r="50" customFormat="false" ht="15" hidden="false" customHeight="false" outlineLevel="0" collapsed="false">
      <c r="A50" s="3" t="s">
        <v>83</v>
      </c>
      <c r="B50" s="4" t="n">
        <f aca="false">COUNTIF(Positions!$B$2:$B$6912,A50)</f>
        <v>71</v>
      </c>
      <c r="C50" s="4" t="n">
        <f aca="false">COUNTIFS(Positions!$B$2:$B$6912,A50,Positions!$E$2:$E$6912,"G")</f>
        <v>23</v>
      </c>
      <c r="D50" s="4" t="n">
        <f aca="false">COUNTIFS(Positions!$B$2:$B$6912,A50,Positions!$E$2:$E$6912,"C")</f>
        <v>20</v>
      </c>
      <c r="E50" s="3" t="n">
        <f aca="false">C50+D50</f>
        <v>43</v>
      </c>
      <c r="F50" s="5" t="n">
        <f aca="false">E50/B50</f>
        <v>0.605633802816901</v>
      </c>
      <c r="G50" s="4" t="n">
        <f aca="false">SUMIFS(Stems_3D_BP!$K$2:$K$2689,Stems_3D_BP!$A$2:$A$2689,$A50,Stems_3D_BP!$B$2:$B$2689,"Acceptor stem")</f>
        <v>8</v>
      </c>
      <c r="H50" s="4" t="n">
        <f aca="false">SUMIFS(Stems_3D_BP!$K$2:$K$2689,Stems_3D_BP!$A$2:$A$2689,$A50,Stems_3D_BP!$B$2:$B$2689,"D-stem")</f>
        <v>7</v>
      </c>
      <c r="I50" s="4" t="n">
        <f aca="false">SUMIFS(Stems_3D_BP!$K$2:$K$2689,Stems_3D_BP!$A$2:$A$2689,$A50,Stems_3D_BP!$B$2:$B$2689,"Anticodon stem")</f>
        <v>8</v>
      </c>
      <c r="J50" s="4" t="n">
        <f aca="false">SUMIFS(Stems_3D_BP!$K$2:$K$2689,Stems_3D_BP!$A$2:$A$2689,$A50,Stems_3D_BP!$B$2:$B$2689,"T-stem")</f>
        <v>6</v>
      </c>
      <c r="K50" s="3" t="n">
        <f aca="false">SUM(G50:J50)</f>
        <v>29</v>
      </c>
      <c r="L50" s="5" t="n">
        <f aca="false">K50/42</f>
        <v>0.690476190476191</v>
      </c>
      <c r="M50" s="4" t="n">
        <f aca="false">SUMIFS(Stems_3D_BP!$K$2:$K$2689,Stems_3D_BP!$A$2:$A$2689,$A50,Stems_3D_BP!$B$2:$B$2689,"3D (tertiary) BP")</f>
        <v>7</v>
      </c>
      <c r="N50" s="6" t="n">
        <f aca="false">M50/14</f>
        <v>0.5</v>
      </c>
      <c r="O50" s="3" t="n">
        <f aca="false">K50+M50</f>
        <v>36</v>
      </c>
      <c r="P50" s="5" t="n">
        <f aca="false">O50/56</f>
        <v>0.642857142857143</v>
      </c>
      <c r="Q50" s="4" t="n">
        <f aca="false">SUMIFS(Loops!$I$2:$I$481,Loops!$A$2:$A$481,$A50,Loops!$B$2:$B$481,"D-loop")</f>
        <v>4</v>
      </c>
      <c r="R50" s="4" t="n">
        <f aca="false">SUMIFS(Loops!$I$2:$I$481,Loops!$A$2:$A$481,$A50,Loops!$B$2:$B$481,"Anticodon loop")</f>
        <v>3</v>
      </c>
      <c r="S50" s="4" t="n">
        <f aca="false">SUMIFS(Loops!$I$2:$I$481,Loops!$A$2:$A$481,$A50,Loops!$B$2:$B$481,"Variable loop")</f>
        <v>3</v>
      </c>
      <c r="T50" s="4" t="n">
        <f aca="false">SUMIFS(Loops!$I$2:$I$481,Loops!$A$2:$A$481,$A50,Loops!$B$2:$B$481,"TΨC-loop")</f>
        <v>2</v>
      </c>
      <c r="U50" s="4" t="n">
        <f aca="false">SUMIFS(Loops!$F$2:$F$481,Loops!$A$2:$A$481,$A50)-SUMIFS(Loops!$F$2:$F$481,Loops!$A$2:$A$481,$A50,Loops!$B$2:$B$481,"Positions 8, 9, 26")</f>
        <v>26</v>
      </c>
      <c r="V50" s="3" t="n">
        <f aca="false">SUM(Q50:T50)</f>
        <v>12</v>
      </c>
      <c r="W50" s="5" t="n">
        <f aca="false">V50/U50</f>
        <v>0.461538461538462</v>
      </c>
      <c r="X50" s="7" t="str">
        <f aca="false">INDEX(Positions!$E$2:$E$6912,MATCH($A50&amp;"|8",Positions!$A$2:$A$6912,0))</f>
        <v>U</v>
      </c>
      <c r="Y50" s="7" t="str">
        <f aca="false">INDEX(Positions!$E$2:$E$6912,MATCH($A50&amp;"|9",Positions!$A$2:$A$6912,0))</f>
        <v>G</v>
      </c>
      <c r="Z50" s="7" t="str">
        <f aca="false">INDEX(Positions!$E$2:$E$6912,MATCH($A50&amp;"|26",Positions!$A$2:$A$6912,0))</f>
        <v>G</v>
      </c>
      <c r="AA50" s="7" t="n">
        <f aca="false">(X50="G")+(Y50="G")+(Z50="G")</f>
        <v>2</v>
      </c>
      <c r="AB50" s="7" t="n">
        <f aca="false">(X50="C")+(Y50="C")+(Z50="C")</f>
        <v>0</v>
      </c>
      <c r="AC50" s="8" t="n">
        <f aca="false">AA50+AB50</f>
        <v>2</v>
      </c>
      <c r="AD50" s="9" t="n">
        <f aca="false">AC50/3</f>
        <v>0.666666666666667</v>
      </c>
      <c r="AE50" s="7" t="str">
        <f aca="false">IF(K50+V50+AC50=E50,"OK","MISMATCH")</f>
        <v>OK</v>
      </c>
      <c r="AF50" s="10" t="n">
        <f aca="false">B50-42</f>
        <v>29</v>
      </c>
      <c r="AG50" s="10" t="n">
        <f aca="false">V50+AC50</f>
        <v>14</v>
      </c>
      <c r="AH50" s="11" t="n">
        <f aca="false">AG50/AF50</f>
        <v>0.482758620689655</v>
      </c>
      <c r="AI50" s="11" t="n">
        <f aca="false">L50</f>
        <v>0.690476190476191</v>
      </c>
      <c r="AJ50" s="12" t="n">
        <f aca="false">AI50-AH50</f>
        <v>0.207717569786535</v>
      </c>
    </row>
    <row r="51" customFormat="false" ht="15" hidden="false" customHeight="false" outlineLevel="0" collapsed="false">
      <c r="A51" s="3" t="s">
        <v>84</v>
      </c>
      <c r="B51" s="4" t="n">
        <f aca="false">COUNTIF(Positions!$B$2:$B$6912,A51)</f>
        <v>72</v>
      </c>
      <c r="C51" s="4" t="n">
        <f aca="false">COUNTIFS(Positions!$B$2:$B$6912,A51,Positions!$E$2:$E$6912,"G")</f>
        <v>25</v>
      </c>
      <c r="D51" s="4" t="n">
        <f aca="false">COUNTIFS(Positions!$B$2:$B$6912,A51,Positions!$E$2:$E$6912,"C")</f>
        <v>19</v>
      </c>
      <c r="E51" s="3" t="n">
        <f aca="false">C51+D51</f>
        <v>44</v>
      </c>
      <c r="F51" s="5" t="n">
        <f aca="false">E51/B51</f>
        <v>0.611111111111111</v>
      </c>
      <c r="G51" s="4" t="n">
        <f aca="false">SUMIFS(Stems_3D_BP!$K$2:$K$2689,Stems_3D_BP!$A$2:$A$2689,$A51,Stems_3D_BP!$B$2:$B$2689,"Acceptor stem")</f>
        <v>10</v>
      </c>
      <c r="H51" s="4" t="n">
        <f aca="false">SUMIFS(Stems_3D_BP!$K$2:$K$2689,Stems_3D_BP!$A$2:$A$2689,$A51,Stems_3D_BP!$B$2:$B$2689,"D-stem")</f>
        <v>2</v>
      </c>
      <c r="I51" s="4" t="n">
        <f aca="false">SUMIFS(Stems_3D_BP!$K$2:$K$2689,Stems_3D_BP!$A$2:$A$2689,$A51,Stems_3D_BP!$B$2:$B$2689,"Anticodon stem")</f>
        <v>9</v>
      </c>
      <c r="J51" s="4" t="n">
        <f aca="false">SUMIFS(Stems_3D_BP!$K$2:$K$2689,Stems_3D_BP!$A$2:$A$2689,$A51,Stems_3D_BP!$B$2:$B$2689,"T-stem")</f>
        <v>10</v>
      </c>
      <c r="K51" s="3" t="n">
        <f aca="false">SUM(G51:J51)</f>
        <v>31</v>
      </c>
      <c r="L51" s="5" t="n">
        <f aca="false">K51/42</f>
        <v>0.738095238095238</v>
      </c>
      <c r="M51" s="4" t="n">
        <f aca="false">SUMIFS(Stems_3D_BP!$K$2:$K$2689,Stems_3D_BP!$A$2:$A$2689,$A51,Stems_3D_BP!$B$2:$B$2689,"3D (tertiary) BP")</f>
        <v>7</v>
      </c>
      <c r="N51" s="6" t="n">
        <f aca="false">M51/14</f>
        <v>0.5</v>
      </c>
      <c r="O51" s="3" t="n">
        <f aca="false">K51+M51</f>
        <v>38</v>
      </c>
      <c r="P51" s="5" t="n">
        <f aca="false">O51/56</f>
        <v>0.678571428571429</v>
      </c>
      <c r="Q51" s="4" t="n">
        <f aca="false">SUMIFS(Loops!$I$2:$I$481,Loops!$A$2:$A$481,$A51,Loops!$B$2:$B$481,"D-loop")</f>
        <v>4</v>
      </c>
      <c r="R51" s="4" t="n">
        <f aca="false">SUMIFS(Loops!$I$2:$I$481,Loops!$A$2:$A$481,$A51,Loops!$B$2:$B$481,"Anticodon loop")</f>
        <v>4</v>
      </c>
      <c r="S51" s="4" t="n">
        <f aca="false">SUMIFS(Loops!$I$2:$I$481,Loops!$A$2:$A$481,$A51,Loops!$B$2:$B$481,"Variable loop")</f>
        <v>3</v>
      </c>
      <c r="T51" s="4" t="n">
        <f aca="false">SUMIFS(Loops!$I$2:$I$481,Loops!$A$2:$A$481,$A51,Loops!$B$2:$B$481,"TΨC-loop")</f>
        <v>2</v>
      </c>
      <c r="U51" s="4" t="n">
        <f aca="false">SUMIFS(Loops!$F$2:$F$481,Loops!$A$2:$A$481,$A51)-SUMIFS(Loops!$F$2:$F$481,Loops!$A$2:$A$481,$A51,Loops!$B$2:$B$481,"Positions 8, 9, 26")</f>
        <v>27</v>
      </c>
      <c r="V51" s="3" t="n">
        <f aca="false">SUM(Q51:T51)</f>
        <v>13</v>
      </c>
      <c r="W51" s="5" t="n">
        <f aca="false">V51/U51</f>
        <v>0.481481481481481</v>
      </c>
      <c r="X51" s="7" t="str">
        <f aca="false">INDEX(Positions!$E$2:$E$6912,MATCH($A51&amp;"|8",Positions!$A$2:$A$6912,0))</f>
        <v>U</v>
      </c>
      <c r="Y51" s="7" t="str">
        <f aca="false">INDEX(Positions!$E$2:$E$6912,MATCH($A51&amp;"|9",Positions!$A$2:$A$6912,0))</f>
        <v>A</v>
      </c>
      <c r="Z51" s="7" t="str">
        <f aca="false">INDEX(Positions!$E$2:$E$6912,MATCH($A51&amp;"|26",Positions!$A$2:$A$6912,0))</f>
        <v>A</v>
      </c>
      <c r="AA51" s="7" t="n">
        <f aca="false">(X51="G")+(Y51="G")+(Z51="G")</f>
        <v>0</v>
      </c>
      <c r="AB51" s="7" t="n">
        <f aca="false">(X51="C")+(Y51="C")+(Z51="C")</f>
        <v>0</v>
      </c>
      <c r="AC51" s="8" t="n">
        <f aca="false">AA51+AB51</f>
        <v>0</v>
      </c>
      <c r="AD51" s="9" t="n">
        <f aca="false">AC51/3</f>
        <v>0</v>
      </c>
      <c r="AE51" s="7" t="str">
        <f aca="false">IF(K51+V51+AC51=E51,"OK","MISMATCH")</f>
        <v>OK</v>
      </c>
      <c r="AF51" s="10" t="n">
        <f aca="false">B51-42</f>
        <v>30</v>
      </c>
      <c r="AG51" s="10" t="n">
        <f aca="false">V51+AC51</f>
        <v>13</v>
      </c>
      <c r="AH51" s="11" t="n">
        <f aca="false">AG51/AF51</f>
        <v>0.433333333333333</v>
      </c>
      <c r="AI51" s="11" t="n">
        <f aca="false">L51</f>
        <v>0.738095238095238</v>
      </c>
      <c r="AJ51" s="12" t="n">
        <f aca="false">AI51-AH51</f>
        <v>0.304761904761905</v>
      </c>
    </row>
    <row r="52" customFormat="false" ht="15" hidden="false" customHeight="false" outlineLevel="0" collapsed="false">
      <c r="A52" s="3" t="s">
        <v>85</v>
      </c>
      <c r="B52" s="4" t="n">
        <f aca="false">COUNTIF(Positions!$B$2:$B$6912,A52)</f>
        <v>71</v>
      </c>
      <c r="C52" s="4" t="n">
        <f aca="false">COUNTIFS(Positions!$B$2:$B$6912,A52,Positions!$E$2:$E$6912,"G")</f>
        <v>23</v>
      </c>
      <c r="D52" s="4" t="n">
        <f aca="false">COUNTIFS(Positions!$B$2:$B$6912,A52,Positions!$E$2:$E$6912,"C")</f>
        <v>20</v>
      </c>
      <c r="E52" s="3" t="n">
        <f aca="false">C52+D52</f>
        <v>43</v>
      </c>
      <c r="F52" s="5" t="n">
        <f aca="false">E52/B52</f>
        <v>0.605633802816901</v>
      </c>
      <c r="G52" s="4" t="n">
        <f aca="false">SUMIFS(Stems_3D_BP!$K$2:$K$2689,Stems_3D_BP!$A$2:$A$2689,$A52,Stems_3D_BP!$B$2:$B$2689,"Acceptor stem")</f>
        <v>8</v>
      </c>
      <c r="H52" s="4" t="n">
        <f aca="false">SUMIFS(Stems_3D_BP!$K$2:$K$2689,Stems_3D_BP!$A$2:$A$2689,$A52,Stems_3D_BP!$B$2:$B$2689,"D-stem")</f>
        <v>7</v>
      </c>
      <c r="I52" s="4" t="n">
        <f aca="false">SUMIFS(Stems_3D_BP!$K$2:$K$2689,Stems_3D_BP!$A$2:$A$2689,$A52,Stems_3D_BP!$B$2:$B$2689,"Anticodon stem")</f>
        <v>8</v>
      </c>
      <c r="J52" s="4" t="n">
        <f aca="false">SUMIFS(Stems_3D_BP!$K$2:$K$2689,Stems_3D_BP!$A$2:$A$2689,$A52,Stems_3D_BP!$B$2:$B$2689,"T-stem")</f>
        <v>6</v>
      </c>
      <c r="K52" s="3" t="n">
        <f aca="false">SUM(G52:J52)</f>
        <v>29</v>
      </c>
      <c r="L52" s="5" t="n">
        <f aca="false">K52/42</f>
        <v>0.690476190476191</v>
      </c>
      <c r="M52" s="4" t="n">
        <f aca="false">SUMIFS(Stems_3D_BP!$K$2:$K$2689,Stems_3D_BP!$A$2:$A$2689,$A52,Stems_3D_BP!$B$2:$B$2689,"3D (tertiary) BP")</f>
        <v>7</v>
      </c>
      <c r="N52" s="6" t="n">
        <f aca="false">M52/14</f>
        <v>0.5</v>
      </c>
      <c r="O52" s="3" t="n">
        <f aca="false">K52+M52</f>
        <v>36</v>
      </c>
      <c r="P52" s="5" t="n">
        <f aca="false">O52/56</f>
        <v>0.642857142857143</v>
      </c>
      <c r="Q52" s="4" t="n">
        <f aca="false">SUMIFS(Loops!$I$2:$I$481,Loops!$A$2:$A$481,$A52,Loops!$B$2:$B$481,"D-loop")</f>
        <v>4</v>
      </c>
      <c r="R52" s="4" t="n">
        <f aca="false">SUMIFS(Loops!$I$2:$I$481,Loops!$A$2:$A$481,$A52,Loops!$B$2:$B$481,"Anticodon loop")</f>
        <v>3</v>
      </c>
      <c r="S52" s="4" t="n">
        <f aca="false">SUMIFS(Loops!$I$2:$I$481,Loops!$A$2:$A$481,$A52,Loops!$B$2:$B$481,"Variable loop")</f>
        <v>3</v>
      </c>
      <c r="T52" s="4" t="n">
        <f aca="false">SUMIFS(Loops!$I$2:$I$481,Loops!$A$2:$A$481,$A52,Loops!$B$2:$B$481,"TΨC-loop")</f>
        <v>2</v>
      </c>
      <c r="U52" s="4" t="n">
        <f aca="false">SUMIFS(Loops!$F$2:$F$481,Loops!$A$2:$A$481,$A52)-SUMIFS(Loops!$F$2:$F$481,Loops!$A$2:$A$481,$A52,Loops!$B$2:$B$481,"Positions 8, 9, 26")</f>
        <v>26</v>
      </c>
      <c r="V52" s="3" t="n">
        <f aca="false">SUM(Q52:T52)</f>
        <v>12</v>
      </c>
      <c r="W52" s="5" t="n">
        <f aca="false">V52/U52</f>
        <v>0.461538461538462</v>
      </c>
      <c r="X52" s="7" t="str">
        <f aca="false">INDEX(Positions!$E$2:$E$6912,MATCH($A52&amp;"|8",Positions!$A$2:$A$6912,0))</f>
        <v>U</v>
      </c>
      <c r="Y52" s="7" t="str">
        <f aca="false">INDEX(Positions!$E$2:$E$6912,MATCH($A52&amp;"|9",Positions!$A$2:$A$6912,0))</f>
        <v>G</v>
      </c>
      <c r="Z52" s="7" t="str">
        <f aca="false">INDEX(Positions!$E$2:$E$6912,MATCH($A52&amp;"|26",Positions!$A$2:$A$6912,0))</f>
        <v>G</v>
      </c>
      <c r="AA52" s="7" t="n">
        <f aca="false">(X52="G")+(Y52="G")+(Z52="G")</f>
        <v>2</v>
      </c>
      <c r="AB52" s="7" t="n">
        <f aca="false">(X52="C")+(Y52="C")+(Z52="C")</f>
        <v>0</v>
      </c>
      <c r="AC52" s="8" t="n">
        <f aca="false">AA52+AB52</f>
        <v>2</v>
      </c>
      <c r="AD52" s="9" t="n">
        <f aca="false">AC52/3</f>
        <v>0.666666666666667</v>
      </c>
      <c r="AE52" s="7" t="str">
        <f aca="false">IF(K52+V52+AC52=E52,"OK","MISMATCH")</f>
        <v>OK</v>
      </c>
      <c r="AF52" s="10" t="n">
        <f aca="false">B52-42</f>
        <v>29</v>
      </c>
      <c r="AG52" s="10" t="n">
        <f aca="false">V52+AC52</f>
        <v>14</v>
      </c>
      <c r="AH52" s="11" t="n">
        <f aca="false">AG52/AF52</f>
        <v>0.482758620689655</v>
      </c>
      <c r="AI52" s="11" t="n">
        <f aca="false">L52</f>
        <v>0.690476190476191</v>
      </c>
      <c r="AJ52" s="12" t="n">
        <f aca="false">AI52-AH52</f>
        <v>0.207717569786535</v>
      </c>
    </row>
    <row r="53" customFormat="false" ht="15" hidden="false" customHeight="false" outlineLevel="0" collapsed="false">
      <c r="A53" s="3" t="s">
        <v>86</v>
      </c>
      <c r="B53" s="4" t="n">
        <f aca="false">COUNTIF(Positions!$B$2:$B$6912,A53)</f>
        <v>72</v>
      </c>
      <c r="C53" s="4" t="n">
        <f aca="false">COUNTIFS(Positions!$B$2:$B$6912,A53,Positions!$E$2:$E$6912,"G")</f>
        <v>22</v>
      </c>
      <c r="D53" s="4" t="n">
        <f aca="false">COUNTIFS(Positions!$B$2:$B$6912,A53,Positions!$E$2:$E$6912,"C")</f>
        <v>18</v>
      </c>
      <c r="E53" s="3" t="n">
        <f aca="false">C53+D53</f>
        <v>40</v>
      </c>
      <c r="F53" s="5" t="n">
        <f aca="false">E53/B53</f>
        <v>0.555555555555556</v>
      </c>
      <c r="G53" s="4" t="n">
        <f aca="false">SUMIFS(Stems_3D_BP!$K$2:$K$2689,Stems_3D_BP!$A$2:$A$2689,$A53,Stems_3D_BP!$B$2:$B$2689,"Acceptor stem")</f>
        <v>11</v>
      </c>
      <c r="H53" s="4" t="n">
        <f aca="false">SUMIFS(Stems_3D_BP!$K$2:$K$2689,Stems_3D_BP!$A$2:$A$2689,$A53,Stems_3D_BP!$B$2:$B$2689,"D-stem")</f>
        <v>6</v>
      </c>
      <c r="I53" s="4" t="n">
        <f aca="false">SUMIFS(Stems_3D_BP!$K$2:$K$2689,Stems_3D_BP!$A$2:$A$2689,$A53,Stems_3D_BP!$B$2:$B$2689,"Anticodon stem")</f>
        <v>4</v>
      </c>
      <c r="J53" s="4" t="n">
        <f aca="false">SUMIFS(Stems_3D_BP!$K$2:$K$2689,Stems_3D_BP!$A$2:$A$2689,$A53,Stems_3D_BP!$B$2:$B$2689,"T-stem")</f>
        <v>8</v>
      </c>
      <c r="K53" s="3" t="n">
        <f aca="false">SUM(G53:J53)</f>
        <v>29</v>
      </c>
      <c r="L53" s="5" t="n">
        <f aca="false">K53/42</f>
        <v>0.690476190476191</v>
      </c>
      <c r="M53" s="4" t="n">
        <f aca="false">SUMIFS(Stems_3D_BP!$K$2:$K$2689,Stems_3D_BP!$A$2:$A$2689,$A53,Stems_3D_BP!$B$2:$B$2689,"3D (tertiary) BP")</f>
        <v>7</v>
      </c>
      <c r="N53" s="6" t="n">
        <f aca="false">M53/14</f>
        <v>0.5</v>
      </c>
      <c r="O53" s="3" t="n">
        <f aca="false">K53+M53</f>
        <v>36</v>
      </c>
      <c r="P53" s="5" t="n">
        <f aca="false">O53/56</f>
        <v>0.642857142857143</v>
      </c>
      <c r="Q53" s="4" t="n">
        <f aca="false">SUMIFS(Loops!$I$2:$I$481,Loops!$A$2:$A$481,$A53,Loops!$B$2:$B$481,"D-loop")</f>
        <v>4</v>
      </c>
      <c r="R53" s="4" t="n">
        <f aca="false">SUMIFS(Loops!$I$2:$I$481,Loops!$A$2:$A$481,$A53,Loops!$B$2:$B$481,"Anticodon loop")</f>
        <v>1</v>
      </c>
      <c r="S53" s="4" t="n">
        <f aca="false">SUMIFS(Loops!$I$2:$I$481,Loops!$A$2:$A$481,$A53,Loops!$B$2:$B$481,"Variable loop")</f>
        <v>4</v>
      </c>
      <c r="T53" s="4" t="n">
        <f aca="false">SUMIFS(Loops!$I$2:$I$481,Loops!$A$2:$A$481,$A53,Loops!$B$2:$B$481,"TΨC-loop")</f>
        <v>2</v>
      </c>
      <c r="U53" s="4" t="n">
        <f aca="false">SUMIFS(Loops!$F$2:$F$481,Loops!$A$2:$A$481,$A53)-SUMIFS(Loops!$F$2:$F$481,Loops!$A$2:$A$481,$A53,Loops!$B$2:$B$481,"Positions 8, 9, 26")</f>
        <v>27</v>
      </c>
      <c r="V53" s="3" t="n">
        <f aca="false">SUM(Q53:T53)</f>
        <v>11</v>
      </c>
      <c r="W53" s="5" t="n">
        <f aca="false">V53/U53</f>
        <v>0.407407407407407</v>
      </c>
      <c r="X53" s="7" t="str">
        <f aca="false">INDEX(Positions!$E$2:$E$6912,MATCH($A53&amp;"|8",Positions!$A$2:$A$6912,0))</f>
        <v>U</v>
      </c>
      <c r="Y53" s="7" t="str">
        <f aca="false">INDEX(Positions!$E$2:$E$6912,MATCH($A53&amp;"|9",Positions!$A$2:$A$6912,0))</f>
        <v>A</v>
      </c>
      <c r="Z53" s="7" t="str">
        <f aca="false">INDEX(Positions!$E$2:$E$6912,MATCH($A53&amp;"|26",Positions!$A$2:$A$6912,0))</f>
        <v>A</v>
      </c>
      <c r="AA53" s="7" t="n">
        <f aca="false">(X53="G")+(Y53="G")+(Z53="G")</f>
        <v>0</v>
      </c>
      <c r="AB53" s="7" t="n">
        <f aca="false">(X53="C")+(Y53="C")+(Z53="C")</f>
        <v>0</v>
      </c>
      <c r="AC53" s="8" t="n">
        <f aca="false">AA53+AB53</f>
        <v>0</v>
      </c>
      <c r="AD53" s="9" t="n">
        <f aca="false">AC53/3</f>
        <v>0</v>
      </c>
      <c r="AE53" s="7" t="str">
        <f aca="false">IF(K53+V53+AC53=E53,"OK","MISMATCH")</f>
        <v>OK</v>
      </c>
      <c r="AF53" s="10" t="n">
        <f aca="false">B53-42</f>
        <v>30</v>
      </c>
      <c r="AG53" s="10" t="n">
        <f aca="false">V53+AC53</f>
        <v>11</v>
      </c>
      <c r="AH53" s="11" t="n">
        <f aca="false">AG53/AF53</f>
        <v>0.366666666666667</v>
      </c>
      <c r="AI53" s="11" t="n">
        <f aca="false">L53</f>
        <v>0.690476190476191</v>
      </c>
      <c r="AJ53" s="12" t="n">
        <f aca="false">AI53-AH53</f>
        <v>0.323809523809524</v>
      </c>
    </row>
    <row r="54" customFormat="false" ht="15" hidden="false" customHeight="false" outlineLevel="0" collapsed="false">
      <c r="A54" s="3" t="s">
        <v>87</v>
      </c>
      <c r="B54" s="4" t="n">
        <f aca="false">COUNTIF(Positions!$B$2:$B$6912,A54)</f>
        <v>72</v>
      </c>
      <c r="C54" s="4" t="n">
        <f aca="false">COUNTIFS(Positions!$B$2:$B$6912,A54,Positions!$E$2:$E$6912,"G")</f>
        <v>25</v>
      </c>
      <c r="D54" s="4" t="n">
        <f aca="false">COUNTIFS(Positions!$B$2:$B$6912,A54,Positions!$E$2:$E$6912,"C")</f>
        <v>21</v>
      </c>
      <c r="E54" s="3" t="n">
        <f aca="false">C54+D54</f>
        <v>46</v>
      </c>
      <c r="F54" s="5" t="n">
        <f aca="false">E54/B54</f>
        <v>0.638888888888889</v>
      </c>
      <c r="G54" s="4" t="n">
        <f aca="false">SUMIFS(Stems_3D_BP!$K$2:$K$2689,Stems_3D_BP!$A$2:$A$2689,$A54,Stems_3D_BP!$B$2:$B$2689,"Acceptor stem")</f>
        <v>12</v>
      </c>
      <c r="H54" s="4" t="n">
        <f aca="false">SUMIFS(Stems_3D_BP!$K$2:$K$2689,Stems_3D_BP!$A$2:$A$2689,$A54,Stems_3D_BP!$B$2:$B$2689,"D-stem")</f>
        <v>6</v>
      </c>
      <c r="I54" s="4" t="n">
        <f aca="false">SUMIFS(Stems_3D_BP!$K$2:$K$2689,Stems_3D_BP!$A$2:$A$2689,$A54,Stems_3D_BP!$B$2:$B$2689,"Anticodon stem")</f>
        <v>6</v>
      </c>
      <c r="J54" s="4" t="n">
        <f aca="false">SUMIFS(Stems_3D_BP!$K$2:$K$2689,Stems_3D_BP!$A$2:$A$2689,$A54,Stems_3D_BP!$B$2:$B$2689,"T-stem")</f>
        <v>8</v>
      </c>
      <c r="K54" s="3" t="n">
        <f aca="false">SUM(G54:J54)</f>
        <v>32</v>
      </c>
      <c r="L54" s="5" t="n">
        <f aca="false">K54/42</f>
        <v>0.761904761904762</v>
      </c>
      <c r="M54" s="4" t="n">
        <f aca="false">SUMIFS(Stems_3D_BP!$K$2:$K$2689,Stems_3D_BP!$A$2:$A$2689,$A54,Stems_3D_BP!$B$2:$B$2689,"3D (tertiary) BP")</f>
        <v>7</v>
      </c>
      <c r="N54" s="6" t="n">
        <f aca="false">M54/14</f>
        <v>0.5</v>
      </c>
      <c r="O54" s="3" t="n">
        <f aca="false">K54+M54</f>
        <v>39</v>
      </c>
      <c r="P54" s="5" t="n">
        <f aca="false">O54/56</f>
        <v>0.696428571428571</v>
      </c>
      <c r="Q54" s="4" t="n">
        <f aca="false">SUMIFS(Loops!$I$2:$I$481,Loops!$A$2:$A$481,$A54,Loops!$B$2:$B$481,"D-loop")</f>
        <v>4</v>
      </c>
      <c r="R54" s="4" t="n">
        <f aca="false">SUMIFS(Loops!$I$2:$I$481,Loops!$A$2:$A$481,$A54,Loops!$B$2:$B$481,"Anticodon loop")</f>
        <v>2</v>
      </c>
      <c r="S54" s="4" t="n">
        <f aca="false">SUMIFS(Loops!$I$2:$I$481,Loops!$A$2:$A$481,$A54,Loops!$B$2:$B$481,"Variable loop")</f>
        <v>4</v>
      </c>
      <c r="T54" s="4" t="n">
        <f aca="false">SUMIFS(Loops!$I$2:$I$481,Loops!$A$2:$A$481,$A54,Loops!$B$2:$B$481,"TΨC-loop")</f>
        <v>4</v>
      </c>
      <c r="U54" s="4" t="n">
        <f aca="false">SUMIFS(Loops!$F$2:$F$481,Loops!$A$2:$A$481,$A54)-SUMIFS(Loops!$F$2:$F$481,Loops!$A$2:$A$481,$A54,Loops!$B$2:$B$481,"Positions 8, 9, 26")</f>
        <v>27</v>
      </c>
      <c r="V54" s="3" t="n">
        <f aca="false">SUM(Q54:T54)</f>
        <v>14</v>
      </c>
      <c r="W54" s="5" t="n">
        <f aca="false">V54/U54</f>
        <v>0.518518518518519</v>
      </c>
      <c r="X54" s="7" t="str">
        <f aca="false">INDEX(Positions!$E$2:$E$6912,MATCH($A54&amp;"|8",Positions!$A$2:$A$6912,0))</f>
        <v>U</v>
      </c>
      <c r="Y54" s="7" t="str">
        <f aca="false">INDEX(Positions!$E$2:$E$6912,MATCH($A54&amp;"|9",Positions!$A$2:$A$6912,0))</f>
        <v>A</v>
      </c>
      <c r="Z54" s="7" t="str">
        <f aca="false">INDEX(Positions!$E$2:$E$6912,MATCH($A54&amp;"|26",Positions!$A$2:$A$6912,0))</f>
        <v>A</v>
      </c>
      <c r="AA54" s="7" t="n">
        <f aca="false">(X54="G")+(Y54="G")+(Z54="G")</f>
        <v>0</v>
      </c>
      <c r="AB54" s="7" t="n">
        <f aca="false">(X54="C")+(Y54="C")+(Z54="C")</f>
        <v>0</v>
      </c>
      <c r="AC54" s="8" t="n">
        <f aca="false">AA54+AB54</f>
        <v>0</v>
      </c>
      <c r="AD54" s="9" t="n">
        <f aca="false">AC54/3</f>
        <v>0</v>
      </c>
      <c r="AE54" s="7" t="str">
        <f aca="false">IF(K54+V54+AC54=E54,"OK","MISMATCH")</f>
        <v>OK</v>
      </c>
      <c r="AF54" s="10" t="n">
        <f aca="false">B54-42</f>
        <v>30</v>
      </c>
      <c r="AG54" s="10" t="n">
        <f aca="false">V54+AC54</f>
        <v>14</v>
      </c>
      <c r="AH54" s="11" t="n">
        <f aca="false">AG54/AF54</f>
        <v>0.466666666666667</v>
      </c>
      <c r="AI54" s="11" t="n">
        <f aca="false">L54</f>
        <v>0.761904761904762</v>
      </c>
      <c r="AJ54" s="12" t="n">
        <f aca="false">AI54-AH54</f>
        <v>0.295238095238095</v>
      </c>
    </row>
    <row r="55" customFormat="false" ht="15" hidden="false" customHeight="false" outlineLevel="0" collapsed="false">
      <c r="A55" s="3" t="s">
        <v>88</v>
      </c>
      <c r="B55" s="4" t="n">
        <f aca="false">COUNTIF(Positions!$B$2:$B$6912,A55)</f>
        <v>72</v>
      </c>
      <c r="C55" s="4" t="n">
        <f aca="false">COUNTIFS(Positions!$B$2:$B$6912,A55,Positions!$E$2:$E$6912,"G")</f>
        <v>24</v>
      </c>
      <c r="D55" s="4" t="n">
        <f aca="false">COUNTIFS(Positions!$B$2:$B$6912,A55,Positions!$E$2:$E$6912,"C")</f>
        <v>20</v>
      </c>
      <c r="E55" s="3" t="n">
        <f aca="false">C55+D55</f>
        <v>44</v>
      </c>
      <c r="F55" s="5" t="n">
        <f aca="false">E55/B55</f>
        <v>0.611111111111111</v>
      </c>
      <c r="G55" s="4" t="n">
        <f aca="false">SUMIFS(Stems_3D_BP!$K$2:$K$2689,Stems_3D_BP!$A$2:$A$2689,$A55,Stems_3D_BP!$B$2:$B$2689,"Acceptor stem")</f>
        <v>12</v>
      </c>
      <c r="H55" s="4" t="n">
        <f aca="false">SUMIFS(Stems_3D_BP!$K$2:$K$2689,Stems_3D_BP!$A$2:$A$2689,$A55,Stems_3D_BP!$B$2:$B$2689,"D-stem")</f>
        <v>6</v>
      </c>
      <c r="I55" s="4" t="n">
        <f aca="false">SUMIFS(Stems_3D_BP!$K$2:$K$2689,Stems_3D_BP!$A$2:$A$2689,$A55,Stems_3D_BP!$B$2:$B$2689,"Anticodon stem")</f>
        <v>4</v>
      </c>
      <c r="J55" s="4" t="n">
        <f aca="false">SUMIFS(Stems_3D_BP!$K$2:$K$2689,Stems_3D_BP!$A$2:$A$2689,$A55,Stems_3D_BP!$B$2:$B$2689,"T-stem")</f>
        <v>8</v>
      </c>
      <c r="K55" s="3" t="n">
        <f aca="false">SUM(G55:J55)</f>
        <v>30</v>
      </c>
      <c r="L55" s="5" t="n">
        <f aca="false">K55/42</f>
        <v>0.714285714285714</v>
      </c>
      <c r="M55" s="4" t="n">
        <f aca="false">SUMIFS(Stems_3D_BP!$K$2:$K$2689,Stems_3D_BP!$A$2:$A$2689,$A55,Stems_3D_BP!$B$2:$B$2689,"3D (tertiary) BP")</f>
        <v>7</v>
      </c>
      <c r="N55" s="6" t="n">
        <f aca="false">M55/14</f>
        <v>0.5</v>
      </c>
      <c r="O55" s="3" t="n">
        <f aca="false">K55+M55</f>
        <v>37</v>
      </c>
      <c r="P55" s="5" t="n">
        <f aca="false">O55/56</f>
        <v>0.660714285714286</v>
      </c>
      <c r="Q55" s="4" t="n">
        <f aca="false">SUMIFS(Loops!$I$2:$I$481,Loops!$A$2:$A$481,$A55,Loops!$B$2:$B$481,"D-loop")</f>
        <v>4</v>
      </c>
      <c r="R55" s="4" t="n">
        <f aca="false">SUMIFS(Loops!$I$2:$I$481,Loops!$A$2:$A$481,$A55,Loops!$B$2:$B$481,"Anticodon loop")</f>
        <v>2</v>
      </c>
      <c r="S55" s="4" t="n">
        <f aca="false">SUMIFS(Loops!$I$2:$I$481,Loops!$A$2:$A$481,$A55,Loops!$B$2:$B$481,"Variable loop")</f>
        <v>4</v>
      </c>
      <c r="T55" s="4" t="n">
        <f aca="false">SUMIFS(Loops!$I$2:$I$481,Loops!$A$2:$A$481,$A55,Loops!$B$2:$B$481,"TΨC-loop")</f>
        <v>4</v>
      </c>
      <c r="U55" s="4" t="n">
        <f aca="false">SUMIFS(Loops!$F$2:$F$481,Loops!$A$2:$A$481,$A55)-SUMIFS(Loops!$F$2:$F$481,Loops!$A$2:$A$481,$A55,Loops!$B$2:$B$481,"Positions 8, 9, 26")</f>
        <v>27</v>
      </c>
      <c r="V55" s="3" t="n">
        <f aca="false">SUM(Q55:T55)</f>
        <v>14</v>
      </c>
      <c r="W55" s="5" t="n">
        <f aca="false">V55/U55</f>
        <v>0.518518518518519</v>
      </c>
      <c r="X55" s="7" t="str">
        <f aca="false">INDEX(Positions!$E$2:$E$6912,MATCH($A55&amp;"|8",Positions!$A$2:$A$6912,0))</f>
        <v>U</v>
      </c>
      <c r="Y55" s="7" t="str">
        <f aca="false">INDEX(Positions!$E$2:$E$6912,MATCH($A55&amp;"|9",Positions!$A$2:$A$6912,0))</f>
        <v>A</v>
      </c>
      <c r="Z55" s="7" t="str">
        <f aca="false">INDEX(Positions!$E$2:$E$6912,MATCH($A55&amp;"|26",Positions!$A$2:$A$6912,0))</f>
        <v>A</v>
      </c>
      <c r="AA55" s="7" t="n">
        <f aca="false">(X55="G")+(Y55="G")+(Z55="G")</f>
        <v>0</v>
      </c>
      <c r="AB55" s="7" t="n">
        <f aca="false">(X55="C")+(Y55="C")+(Z55="C")</f>
        <v>0</v>
      </c>
      <c r="AC55" s="8" t="n">
        <f aca="false">AA55+AB55</f>
        <v>0</v>
      </c>
      <c r="AD55" s="9" t="n">
        <f aca="false">AC55/3</f>
        <v>0</v>
      </c>
      <c r="AE55" s="7" t="str">
        <f aca="false">IF(K55+V55+AC55=E55,"OK","MISMATCH")</f>
        <v>OK</v>
      </c>
      <c r="AF55" s="10" t="n">
        <f aca="false">B55-42</f>
        <v>30</v>
      </c>
      <c r="AG55" s="10" t="n">
        <f aca="false">V55+AC55</f>
        <v>14</v>
      </c>
      <c r="AH55" s="11" t="n">
        <f aca="false">AG55/AF55</f>
        <v>0.466666666666667</v>
      </c>
      <c r="AI55" s="11" t="n">
        <f aca="false">L55</f>
        <v>0.714285714285714</v>
      </c>
      <c r="AJ55" s="12" t="n">
        <f aca="false">AI55-AH55</f>
        <v>0.247619047619048</v>
      </c>
    </row>
    <row r="56" customFormat="false" ht="15" hidden="false" customHeight="false" outlineLevel="0" collapsed="false">
      <c r="A56" s="3" t="s">
        <v>89</v>
      </c>
      <c r="B56" s="4" t="n">
        <f aca="false">COUNTIF(Positions!$B$2:$B$6912,A56)</f>
        <v>72</v>
      </c>
      <c r="C56" s="4" t="n">
        <f aca="false">COUNTIFS(Positions!$B$2:$B$6912,A56,Positions!$E$2:$E$6912,"G")</f>
        <v>22</v>
      </c>
      <c r="D56" s="4" t="n">
        <f aca="false">COUNTIFS(Positions!$B$2:$B$6912,A56,Positions!$E$2:$E$6912,"C")</f>
        <v>19</v>
      </c>
      <c r="E56" s="3" t="n">
        <f aca="false">C56+D56</f>
        <v>41</v>
      </c>
      <c r="F56" s="5" t="n">
        <f aca="false">E56/B56</f>
        <v>0.569444444444444</v>
      </c>
      <c r="G56" s="4" t="n">
        <f aca="false">SUMIFS(Stems_3D_BP!$K$2:$K$2689,Stems_3D_BP!$A$2:$A$2689,$A56,Stems_3D_BP!$B$2:$B$2689,"Acceptor stem")</f>
        <v>11</v>
      </c>
      <c r="H56" s="4" t="n">
        <f aca="false">SUMIFS(Stems_3D_BP!$K$2:$K$2689,Stems_3D_BP!$A$2:$A$2689,$A56,Stems_3D_BP!$B$2:$B$2689,"D-stem")</f>
        <v>8</v>
      </c>
      <c r="I56" s="4" t="n">
        <f aca="false">SUMIFS(Stems_3D_BP!$K$2:$K$2689,Stems_3D_BP!$A$2:$A$2689,$A56,Stems_3D_BP!$B$2:$B$2689,"Anticodon stem")</f>
        <v>4</v>
      </c>
      <c r="J56" s="4" t="n">
        <f aca="false">SUMIFS(Stems_3D_BP!$K$2:$K$2689,Stems_3D_BP!$A$2:$A$2689,$A56,Stems_3D_BP!$B$2:$B$2689,"T-stem")</f>
        <v>6</v>
      </c>
      <c r="K56" s="3" t="n">
        <f aca="false">SUM(G56:J56)</f>
        <v>29</v>
      </c>
      <c r="L56" s="5" t="n">
        <f aca="false">K56/42</f>
        <v>0.690476190476191</v>
      </c>
      <c r="M56" s="4" t="n">
        <f aca="false">SUMIFS(Stems_3D_BP!$K$2:$K$2689,Stems_3D_BP!$A$2:$A$2689,$A56,Stems_3D_BP!$B$2:$B$2689,"3D (tertiary) BP")</f>
        <v>7</v>
      </c>
      <c r="N56" s="6" t="n">
        <f aca="false">M56/14</f>
        <v>0.5</v>
      </c>
      <c r="O56" s="3" t="n">
        <f aca="false">K56+M56</f>
        <v>36</v>
      </c>
      <c r="P56" s="5" t="n">
        <f aca="false">O56/56</f>
        <v>0.642857142857143</v>
      </c>
      <c r="Q56" s="4" t="n">
        <f aca="false">SUMIFS(Loops!$I$2:$I$481,Loops!$A$2:$A$481,$A56,Loops!$B$2:$B$481,"D-loop")</f>
        <v>3</v>
      </c>
      <c r="R56" s="4" t="n">
        <f aca="false">SUMIFS(Loops!$I$2:$I$481,Loops!$A$2:$A$481,$A56,Loops!$B$2:$B$481,"Anticodon loop")</f>
        <v>2</v>
      </c>
      <c r="S56" s="4" t="n">
        <f aca="false">SUMIFS(Loops!$I$2:$I$481,Loops!$A$2:$A$481,$A56,Loops!$B$2:$B$481,"Variable loop")</f>
        <v>3</v>
      </c>
      <c r="T56" s="4" t="n">
        <f aca="false">SUMIFS(Loops!$I$2:$I$481,Loops!$A$2:$A$481,$A56,Loops!$B$2:$B$481,"TΨC-loop")</f>
        <v>3</v>
      </c>
      <c r="U56" s="4" t="n">
        <f aca="false">SUMIFS(Loops!$F$2:$F$481,Loops!$A$2:$A$481,$A56)-SUMIFS(Loops!$F$2:$F$481,Loops!$A$2:$A$481,$A56,Loops!$B$2:$B$481,"Positions 8, 9, 26")</f>
        <v>27</v>
      </c>
      <c r="V56" s="3" t="n">
        <f aca="false">SUM(Q56:T56)</f>
        <v>11</v>
      </c>
      <c r="W56" s="5" t="n">
        <f aca="false">V56/U56</f>
        <v>0.407407407407407</v>
      </c>
      <c r="X56" s="7" t="str">
        <f aca="false">INDEX(Positions!$E$2:$E$6912,MATCH($A56&amp;"|8",Positions!$A$2:$A$6912,0))</f>
        <v>U</v>
      </c>
      <c r="Y56" s="7" t="str">
        <f aca="false">INDEX(Positions!$E$2:$E$6912,MATCH($A56&amp;"|9",Positions!$A$2:$A$6912,0))</f>
        <v>A</v>
      </c>
      <c r="Z56" s="7" t="str">
        <f aca="false">INDEX(Positions!$E$2:$E$6912,MATCH($A56&amp;"|26",Positions!$A$2:$A$6912,0))</f>
        <v>G</v>
      </c>
      <c r="AA56" s="7" t="n">
        <f aca="false">(X56="G")+(Y56="G")+(Z56="G")</f>
        <v>1</v>
      </c>
      <c r="AB56" s="7" t="n">
        <f aca="false">(X56="C")+(Y56="C")+(Z56="C")</f>
        <v>0</v>
      </c>
      <c r="AC56" s="8" t="n">
        <f aca="false">AA56+AB56</f>
        <v>1</v>
      </c>
      <c r="AD56" s="9" t="n">
        <f aca="false">AC56/3</f>
        <v>0.333333333333333</v>
      </c>
      <c r="AE56" s="7" t="str">
        <f aca="false">IF(K56+V56+AC56=E56,"OK","MISMATCH")</f>
        <v>OK</v>
      </c>
      <c r="AF56" s="10" t="n">
        <f aca="false">B56-42</f>
        <v>30</v>
      </c>
      <c r="AG56" s="10" t="n">
        <f aca="false">V56+AC56</f>
        <v>12</v>
      </c>
      <c r="AH56" s="11" t="n">
        <f aca="false">AG56/AF56</f>
        <v>0.4</v>
      </c>
      <c r="AI56" s="11" t="n">
        <f aca="false">L56</f>
        <v>0.690476190476191</v>
      </c>
      <c r="AJ56" s="12" t="n">
        <f aca="false">AI56-AH56</f>
        <v>0.29047619047619</v>
      </c>
    </row>
    <row r="57" customFormat="false" ht="15" hidden="false" customHeight="false" outlineLevel="0" collapsed="false">
      <c r="A57" s="3" t="s">
        <v>90</v>
      </c>
      <c r="B57" s="4" t="n">
        <f aca="false">COUNTIF(Positions!$B$2:$B$6912,A57)</f>
        <v>72</v>
      </c>
      <c r="C57" s="4" t="n">
        <f aca="false">COUNTIFS(Positions!$B$2:$B$6912,A57,Positions!$E$2:$E$6912,"G")</f>
        <v>23</v>
      </c>
      <c r="D57" s="4" t="n">
        <f aca="false">COUNTIFS(Positions!$B$2:$B$6912,A57,Positions!$E$2:$E$6912,"C")</f>
        <v>16</v>
      </c>
      <c r="E57" s="3" t="n">
        <f aca="false">C57+D57</f>
        <v>39</v>
      </c>
      <c r="F57" s="5" t="n">
        <f aca="false">E57/B57</f>
        <v>0.541666666666667</v>
      </c>
      <c r="G57" s="4" t="n">
        <f aca="false">SUMIFS(Stems_3D_BP!$K$2:$K$2689,Stems_3D_BP!$A$2:$A$2689,$A57,Stems_3D_BP!$B$2:$B$2689,"Acceptor stem")</f>
        <v>8</v>
      </c>
      <c r="H57" s="4" t="n">
        <f aca="false">SUMIFS(Stems_3D_BP!$K$2:$K$2689,Stems_3D_BP!$A$2:$A$2689,$A57,Stems_3D_BP!$B$2:$B$2689,"D-stem")</f>
        <v>6</v>
      </c>
      <c r="I57" s="4" t="n">
        <f aca="false">SUMIFS(Stems_3D_BP!$K$2:$K$2689,Stems_3D_BP!$A$2:$A$2689,$A57,Stems_3D_BP!$B$2:$B$2689,"Anticodon stem")</f>
        <v>2</v>
      </c>
      <c r="J57" s="4" t="n">
        <f aca="false">SUMIFS(Stems_3D_BP!$K$2:$K$2689,Stems_3D_BP!$A$2:$A$2689,$A57,Stems_3D_BP!$B$2:$B$2689,"T-stem")</f>
        <v>9</v>
      </c>
      <c r="K57" s="3" t="n">
        <f aca="false">SUM(G57:J57)</f>
        <v>25</v>
      </c>
      <c r="L57" s="5" t="n">
        <f aca="false">K57/42</f>
        <v>0.595238095238095</v>
      </c>
      <c r="M57" s="4" t="n">
        <f aca="false">SUMIFS(Stems_3D_BP!$K$2:$K$2689,Stems_3D_BP!$A$2:$A$2689,$A57,Stems_3D_BP!$B$2:$B$2689,"3D (tertiary) BP")</f>
        <v>7</v>
      </c>
      <c r="N57" s="6" t="n">
        <f aca="false">M57/14</f>
        <v>0.5</v>
      </c>
      <c r="O57" s="3" t="n">
        <f aca="false">K57+M57</f>
        <v>32</v>
      </c>
      <c r="P57" s="5" t="n">
        <f aca="false">O57/56</f>
        <v>0.571428571428571</v>
      </c>
      <c r="Q57" s="4" t="n">
        <f aca="false">SUMIFS(Loops!$I$2:$I$481,Loops!$A$2:$A$481,$A57,Loops!$B$2:$B$481,"D-loop")</f>
        <v>4</v>
      </c>
      <c r="R57" s="4" t="n">
        <f aca="false">SUMIFS(Loops!$I$2:$I$481,Loops!$A$2:$A$481,$A57,Loops!$B$2:$B$481,"Anticodon loop")</f>
        <v>3</v>
      </c>
      <c r="S57" s="4" t="n">
        <f aca="false">SUMIFS(Loops!$I$2:$I$481,Loops!$A$2:$A$481,$A57,Loops!$B$2:$B$481,"Variable loop")</f>
        <v>3</v>
      </c>
      <c r="T57" s="4" t="n">
        <f aca="false">SUMIFS(Loops!$I$2:$I$481,Loops!$A$2:$A$481,$A57,Loops!$B$2:$B$481,"TΨC-loop")</f>
        <v>3</v>
      </c>
      <c r="U57" s="4" t="n">
        <f aca="false">SUMIFS(Loops!$F$2:$F$481,Loops!$A$2:$A$481,$A57)-SUMIFS(Loops!$F$2:$F$481,Loops!$A$2:$A$481,$A57,Loops!$B$2:$B$481,"Positions 8, 9, 26")</f>
        <v>27</v>
      </c>
      <c r="V57" s="3" t="n">
        <f aca="false">SUM(Q57:T57)</f>
        <v>13</v>
      </c>
      <c r="W57" s="5" t="n">
        <f aca="false">V57/U57</f>
        <v>0.481481481481481</v>
      </c>
      <c r="X57" s="7" t="str">
        <f aca="false">INDEX(Positions!$E$2:$E$6912,MATCH($A57&amp;"|8",Positions!$A$2:$A$6912,0))</f>
        <v>U</v>
      </c>
      <c r="Y57" s="7" t="str">
        <f aca="false">INDEX(Positions!$E$2:$E$6912,MATCH($A57&amp;"|9",Positions!$A$2:$A$6912,0))</f>
        <v>A</v>
      </c>
      <c r="Z57" s="7" t="str">
        <f aca="false">INDEX(Positions!$E$2:$E$6912,MATCH($A57&amp;"|26",Positions!$A$2:$A$6912,0))</f>
        <v>G</v>
      </c>
      <c r="AA57" s="7" t="n">
        <f aca="false">(X57="G")+(Y57="G")+(Z57="G")</f>
        <v>1</v>
      </c>
      <c r="AB57" s="7" t="n">
        <f aca="false">(X57="C")+(Y57="C")+(Z57="C")</f>
        <v>0</v>
      </c>
      <c r="AC57" s="8" t="n">
        <f aca="false">AA57+AB57</f>
        <v>1</v>
      </c>
      <c r="AD57" s="9" t="n">
        <f aca="false">AC57/3</f>
        <v>0.333333333333333</v>
      </c>
      <c r="AE57" s="7" t="str">
        <f aca="false">IF(K57+V57+AC57=E57,"OK","MISMATCH")</f>
        <v>OK</v>
      </c>
      <c r="AF57" s="10" t="n">
        <f aca="false">B57-42</f>
        <v>30</v>
      </c>
      <c r="AG57" s="10" t="n">
        <f aca="false">V57+AC57</f>
        <v>14</v>
      </c>
      <c r="AH57" s="11" t="n">
        <f aca="false">AG57/AF57</f>
        <v>0.466666666666667</v>
      </c>
      <c r="AI57" s="11" t="n">
        <f aca="false">L57</f>
        <v>0.595238095238095</v>
      </c>
      <c r="AJ57" s="12" t="n">
        <f aca="false">AI57-AH57</f>
        <v>0.128571428571429</v>
      </c>
    </row>
    <row r="58" customFormat="false" ht="15" hidden="false" customHeight="false" outlineLevel="0" collapsed="false">
      <c r="A58" s="3" t="s">
        <v>91</v>
      </c>
      <c r="B58" s="4" t="n">
        <f aca="false">COUNTIF(Positions!$B$2:$B$6912,A58)</f>
        <v>72</v>
      </c>
      <c r="C58" s="4" t="n">
        <f aca="false">COUNTIFS(Positions!$B$2:$B$6912,A58,Positions!$E$2:$E$6912,"G")</f>
        <v>21</v>
      </c>
      <c r="D58" s="4" t="n">
        <f aca="false">COUNTIFS(Positions!$B$2:$B$6912,A58,Positions!$E$2:$E$6912,"C")</f>
        <v>19</v>
      </c>
      <c r="E58" s="3" t="n">
        <f aca="false">C58+D58</f>
        <v>40</v>
      </c>
      <c r="F58" s="5" t="n">
        <f aca="false">E58/B58</f>
        <v>0.555555555555556</v>
      </c>
      <c r="G58" s="4" t="n">
        <f aca="false">SUMIFS(Stems_3D_BP!$K$2:$K$2689,Stems_3D_BP!$A$2:$A$2689,$A58,Stems_3D_BP!$B$2:$B$2689,"Acceptor stem")</f>
        <v>8</v>
      </c>
      <c r="H58" s="4" t="n">
        <f aca="false">SUMIFS(Stems_3D_BP!$K$2:$K$2689,Stems_3D_BP!$A$2:$A$2689,$A58,Stems_3D_BP!$B$2:$B$2689,"D-stem")</f>
        <v>4</v>
      </c>
      <c r="I58" s="4" t="n">
        <f aca="false">SUMIFS(Stems_3D_BP!$K$2:$K$2689,Stems_3D_BP!$A$2:$A$2689,$A58,Stems_3D_BP!$B$2:$B$2689,"Anticodon stem")</f>
        <v>6</v>
      </c>
      <c r="J58" s="4" t="n">
        <f aca="false">SUMIFS(Stems_3D_BP!$K$2:$K$2689,Stems_3D_BP!$A$2:$A$2689,$A58,Stems_3D_BP!$B$2:$B$2689,"T-stem")</f>
        <v>10</v>
      </c>
      <c r="K58" s="3" t="n">
        <f aca="false">SUM(G58:J58)</f>
        <v>28</v>
      </c>
      <c r="L58" s="5" t="n">
        <f aca="false">K58/42</f>
        <v>0.666666666666667</v>
      </c>
      <c r="M58" s="4" t="n">
        <f aca="false">SUMIFS(Stems_3D_BP!$K$2:$K$2689,Stems_3D_BP!$A$2:$A$2689,$A58,Stems_3D_BP!$B$2:$B$2689,"3D (tertiary) BP")</f>
        <v>8</v>
      </c>
      <c r="N58" s="6" t="n">
        <f aca="false">M58/14</f>
        <v>0.571428571428571</v>
      </c>
      <c r="O58" s="3" t="n">
        <f aca="false">K58+M58</f>
        <v>36</v>
      </c>
      <c r="P58" s="5" t="n">
        <f aca="false">O58/56</f>
        <v>0.642857142857143</v>
      </c>
      <c r="Q58" s="4" t="n">
        <f aca="false">SUMIFS(Loops!$I$2:$I$481,Loops!$A$2:$A$481,$A58,Loops!$B$2:$B$481,"D-loop")</f>
        <v>3</v>
      </c>
      <c r="R58" s="4" t="n">
        <f aca="false">SUMIFS(Loops!$I$2:$I$481,Loops!$A$2:$A$481,$A58,Loops!$B$2:$B$481,"Anticodon loop")</f>
        <v>3</v>
      </c>
      <c r="S58" s="4" t="n">
        <f aca="false">SUMIFS(Loops!$I$2:$I$481,Loops!$A$2:$A$481,$A58,Loops!$B$2:$B$481,"Variable loop")</f>
        <v>3</v>
      </c>
      <c r="T58" s="4" t="n">
        <f aca="false">SUMIFS(Loops!$I$2:$I$481,Loops!$A$2:$A$481,$A58,Loops!$B$2:$B$481,"TΨC-loop")</f>
        <v>2</v>
      </c>
      <c r="U58" s="4" t="n">
        <f aca="false">SUMIFS(Loops!$F$2:$F$481,Loops!$A$2:$A$481,$A58)-SUMIFS(Loops!$F$2:$F$481,Loops!$A$2:$A$481,$A58,Loops!$B$2:$B$481,"Positions 8, 9, 26")</f>
        <v>27</v>
      </c>
      <c r="V58" s="3" t="n">
        <f aca="false">SUM(Q58:T58)</f>
        <v>11</v>
      </c>
      <c r="W58" s="5" t="n">
        <f aca="false">V58/U58</f>
        <v>0.407407407407407</v>
      </c>
      <c r="X58" s="7" t="str">
        <f aca="false">INDEX(Positions!$E$2:$E$6912,MATCH($A58&amp;"|8",Positions!$A$2:$A$6912,0))</f>
        <v>U</v>
      </c>
      <c r="Y58" s="7" t="str">
        <f aca="false">INDEX(Positions!$E$2:$E$6912,MATCH($A58&amp;"|9",Positions!$A$2:$A$6912,0))</f>
        <v>A</v>
      </c>
      <c r="Z58" s="7" t="str">
        <f aca="false">INDEX(Positions!$E$2:$E$6912,MATCH($A58&amp;"|26",Positions!$A$2:$A$6912,0))</f>
        <v>G</v>
      </c>
      <c r="AA58" s="7" t="n">
        <f aca="false">(X58="G")+(Y58="G")+(Z58="G")</f>
        <v>1</v>
      </c>
      <c r="AB58" s="7" t="n">
        <f aca="false">(X58="C")+(Y58="C")+(Z58="C")</f>
        <v>0</v>
      </c>
      <c r="AC58" s="8" t="n">
        <f aca="false">AA58+AB58</f>
        <v>1</v>
      </c>
      <c r="AD58" s="9" t="n">
        <f aca="false">AC58/3</f>
        <v>0.333333333333333</v>
      </c>
      <c r="AE58" s="7" t="str">
        <f aca="false">IF(K58+V58+AC58=E58,"OK","MISMATCH")</f>
        <v>OK</v>
      </c>
      <c r="AF58" s="10" t="n">
        <f aca="false">B58-42</f>
        <v>30</v>
      </c>
      <c r="AG58" s="10" t="n">
        <f aca="false">V58+AC58</f>
        <v>12</v>
      </c>
      <c r="AH58" s="11" t="n">
        <f aca="false">AG58/AF58</f>
        <v>0.4</v>
      </c>
      <c r="AI58" s="11" t="n">
        <f aca="false">L58</f>
        <v>0.666666666666667</v>
      </c>
      <c r="AJ58" s="12" t="n">
        <f aca="false">AI58-AH58</f>
        <v>0.266666666666667</v>
      </c>
    </row>
    <row r="59" customFormat="false" ht="15" hidden="false" customHeight="false" outlineLevel="0" collapsed="false">
      <c r="A59" s="3" t="s">
        <v>92</v>
      </c>
      <c r="B59" s="4" t="n">
        <f aca="false">COUNTIF(Positions!$B$2:$B$6912,A59)</f>
        <v>71</v>
      </c>
      <c r="C59" s="4" t="n">
        <f aca="false">COUNTIFS(Positions!$B$2:$B$6912,A59,Positions!$E$2:$E$6912,"G")</f>
        <v>24</v>
      </c>
      <c r="D59" s="4" t="n">
        <f aca="false">COUNTIFS(Positions!$B$2:$B$6912,A59,Positions!$E$2:$E$6912,"C")</f>
        <v>20</v>
      </c>
      <c r="E59" s="3" t="n">
        <f aca="false">C59+D59</f>
        <v>44</v>
      </c>
      <c r="F59" s="5" t="n">
        <f aca="false">E59/B59</f>
        <v>0.619718309859155</v>
      </c>
      <c r="G59" s="4" t="n">
        <f aca="false">SUMIFS(Stems_3D_BP!$K$2:$K$2689,Stems_3D_BP!$A$2:$A$2689,$A59,Stems_3D_BP!$B$2:$B$2689,"Acceptor stem")</f>
        <v>9</v>
      </c>
      <c r="H59" s="4" t="n">
        <f aca="false">SUMIFS(Stems_3D_BP!$K$2:$K$2689,Stems_3D_BP!$A$2:$A$2689,$A59,Stems_3D_BP!$B$2:$B$2689,"D-stem")</f>
        <v>2</v>
      </c>
      <c r="I59" s="4" t="n">
        <f aca="false">SUMIFS(Stems_3D_BP!$K$2:$K$2689,Stems_3D_BP!$A$2:$A$2689,$A59,Stems_3D_BP!$B$2:$B$2689,"Anticodon stem")</f>
        <v>10</v>
      </c>
      <c r="J59" s="4" t="n">
        <f aca="false">SUMIFS(Stems_3D_BP!$K$2:$K$2689,Stems_3D_BP!$A$2:$A$2689,$A59,Stems_3D_BP!$B$2:$B$2689,"T-stem")</f>
        <v>10</v>
      </c>
      <c r="K59" s="3" t="n">
        <f aca="false">SUM(G59:J59)</f>
        <v>31</v>
      </c>
      <c r="L59" s="5" t="n">
        <f aca="false">K59/42</f>
        <v>0.738095238095238</v>
      </c>
      <c r="M59" s="4" t="n">
        <f aca="false">SUMIFS(Stems_3D_BP!$K$2:$K$2689,Stems_3D_BP!$A$2:$A$2689,$A59,Stems_3D_BP!$B$2:$B$2689,"3D (tertiary) BP")</f>
        <v>7</v>
      </c>
      <c r="N59" s="6" t="n">
        <f aca="false">M59/14</f>
        <v>0.5</v>
      </c>
      <c r="O59" s="3" t="n">
        <f aca="false">K59+M59</f>
        <v>38</v>
      </c>
      <c r="P59" s="5" t="n">
        <f aca="false">O59/56</f>
        <v>0.678571428571429</v>
      </c>
      <c r="Q59" s="4" t="n">
        <f aca="false">SUMIFS(Loops!$I$2:$I$481,Loops!$A$2:$A$481,$A59,Loops!$B$2:$B$481,"D-loop")</f>
        <v>4</v>
      </c>
      <c r="R59" s="4" t="n">
        <f aca="false">SUMIFS(Loops!$I$2:$I$481,Loops!$A$2:$A$481,$A59,Loops!$B$2:$B$481,"Anticodon loop")</f>
        <v>4</v>
      </c>
      <c r="S59" s="4" t="n">
        <f aca="false">SUMIFS(Loops!$I$2:$I$481,Loops!$A$2:$A$481,$A59,Loops!$B$2:$B$481,"Variable loop")</f>
        <v>2</v>
      </c>
      <c r="T59" s="4" t="n">
        <f aca="false">SUMIFS(Loops!$I$2:$I$481,Loops!$A$2:$A$481,$A59,Loops!$B$2:$B$481,"TΨC-loop")</f>
        <v>2</v>
      </c>
      <c r="U59" s="4" t="n">
        <f aca="false">SUMIFS(Loops!$F$2:$F$481,Loops!$A$2:$A$481,$A59)-SUMIFS(Loops!$F$2:$F$481,Loops!$A$2:$A$481,$A59,Loops!$B$2:$B$481,"Positions 8, 9, 26")</f>
        <v>26</v>
      </c>
      <c r="V59" s="3" t="n">
        <f aca="false">SUM(Q59:T59)</f>
        <v>12</v>
      </c>
      <c r="W59" s="5" t="n">
        <f aca="false">V59/U59</f>
        <v>0.461538461538462</v>
      </c>
      <c r="X59" s="7" t="str">
        <f aca="false">INDEX(Positions!$E$2:$E$6912,MATCH($A59&amp;"|8",Positions!$A$2:$A$6912,0))</f>
        <v>U</v>
      </c>
      <c r="Y59" s="7" t="str">
        <f aca="false">INDEX(Positions!$E$2:$E$6912,MATCH($A59&amp;"|9",Positions!$A$2:$A$6912,0))</f>
        <v>A</v>
      </c>
      <c r="Z59" s="7" t="str">
        <f aca="false">INDEX(Positions!$E$2:$E$6912,MATCH($A59&amp;"|26",Positions!$A$2:$A$6912,0))</f>
        <v>C</v>
      </c>
      <c r="AA59" s="7" t="n">
        <f aca="false">(X59="G")+(Y59="G")+(Z59="G")</f>
        <v>0</v>
      </c>
      <c r="AB59" s="7" t="n">
        <f aca="false">(X59="C")+(Y59="C")+(Z59="C")</f>
        <v>1</v>
      </c>
      <c r="AC59" s="8" t="n">
        <f aca="false">AA59+AB59</f>
        <v>1</v>
      </c>
      <c r="AD59" s="9" t="n">
        <f aca="false">AC59/3</f>
        <v>0.333333333333333</v>
      </c>
      <c r="AE59" s="7" t="str">
        <f aca="false">IF(K59+V59+AC59=E59,"OK","MISMATCH")</f>
        <v>OK</v>
      </c>
      <c r="AF59" s="10" t="n">
        <f aca="false">B59-42</f>
        <v>29</v>
      </c>
      <c r="AG59" s="10" t="n">
        <f aca="false">V59+AC59</f>
        <v>13</v>
      </c>
      <c r="AH59" s="11" t="n">
        <f aca="false">AG59/AF59</f>
        <v>0.448275862068966</v>
      </c>
      <c r="AI59" s="11" t="n">
        <f aca="false">L59</f>
        <v>0.738095238095238</v>
      </c>
      <c r="AJ59" s="12" t="n">
        <f aca="false">AI59-AH59</f>
        <v>0.289819376026273</v>
      </c>
    </row>
    <row r="60" customFormat="false" ht="15" hidden="false" customHeight="false" outlineLevel="0" collapsed="false">
      <c r="A60" s="3" t="s">
        <v>93</v>
      </c>
      <c r="B60" s="4" t="n">
        <f aca="false">COUNTIF(Positions!$B$2:$B$6912,A60)</f>
        <v>72</v>
      </c>
      <c r="C60" s="4" t="n">
        <f aca="false">COUNTIFS(Positions!$B$2:$B$6912,A60,Positions!$E$2:$E$6912,"G")</f>
        <v>21</v>
      </c>
      <c r="D60" s="4" t="n">
        <f aca="false">COUNTIFS(Positions!$B$2:$B$6912,A60,Positions!$E$2:$E$6912,"C")</f>
        <v>19</v>
      </c>
      <c r="E60" s="3" t="n">
        <f aca="false">C60+D60</f>
        <v>40</v>
      </c>
      <c r="F60" s="5" t="n">
        <f aca="false">E60/B60</f>
        <v>0.555555555555556</v>
      </c>
      <c r="G60" s="4" t="n">
        <f aca="false">SUMIFS(Stems_3D_BP!$K$2:$K$2689,Stems_3D_BP!$A$2:$A$2689,$A60,Stems_3D_BP!$B$2:$B$2689,"Acceptor stem")</f>
        <v>8</v>
      </c>
      <c r="H60" s="4" t="n">
        <f aca="false">SUMIFS(Stems_3D_BP!$K$2:$K$2689,Stems_3D_BP!$A$2:$A$2689,$A60,Stems_3D_BP!$B$2:$B$2689,"D-stem")</f>
        <v>4</v>
      </c>
      <c r="I60" s="4" t="n">
        <f aca="false">SUMIFS(Stems_3D_BP!$K$2:$K$2689,Stems_3D_BP!$A$2:$A$2689,$A60,Stems_3D_BP!$B$2:$B$2689,"Anticodon stem")</f>
        <v>6</v>
      </c>
      <c r="J60" s="4" t="n">
        <f aca="false">SUMIFS(Stems_3D_BP!$K$2:$K$2689,Stems_3D_BP!$A$2:$A$2689,$A60,Stems_3D_BP!$B$2:$B$2689,"T-stem")</f>
        <v>10</v>
      </c>
      <c r="K60" s="3" t="n">
        <f aca="false">SUM(G60:J60)</f>
        <v>28</v>
      </c>
      <c r="L60" s="5" t="n">
        <f aca="false">K60/42</f>
        <v>0.666666666666667</v>
      </c>
      <c r="M60" s="4" t="n">
        <f aca="false">SUMIFS(Stems_3D_BP!$K$2:$K$2689,Stems_3D_BP!$A$2:$A$2689,$A60,Stems_3D_BP!$B$2:$B$2689,"3D (tertiary) BP")</f>
        <v>8</v>
      </c>
      <c r="N60" s="6" t="n">
        <f aca="false">M60/14</f>
        <v>0.571428571428571</v>
      </c>
      <c r="O60" s="3" t="n">
        <f aca="false">K60+M60</f>
        <v>36</v>
      </c>
      <c r="P60" s="5" t="n">
        <f aca="false">O60/56</f>
        <v>0.642857142857143</v>
      </c>
      <c r="Q60" s="4" t="n">
        <f aca="false">SUMIFS(Loops!$I$2:$I$481,Loops!$A$2:$A$481,$A60,Loops!$B$2:$B$481,"D-loop")</f>
        <v>3</v>
      </c>
      <c r="R60" s="4" t="n">
        <f aca="false">SUMIFS(Loops!$I$2:$I$481,Loops!$A$2:$A$481,$A60,Loops!$B$2:$B$481,"Anticodon loop")</f>
        <v>3</v>
      </c>
      <c r="S60" s="4" t="n">
        <f aca="false">SUMIFS(Loops!$I$2:$I$481,Loops!$A$2:$A$481,$A60,Loops!$B$2:$B$481,"Variable loop")</f>
        <v>3</v>
      </c>
      <c r="T60" s="4" t="n">
        <f aca="false">SUMIFS(Loops!$I$2:$I$481,Loops!$A$2:$A$481,$A60,Loops!$B$2:$B$481,"TΨC-loop")</f>
        <v>2</v>
      </c>
      <c r="U60" s="4" t="n">
        <f aca="false">SUMIFS(Loops!$F$2:$F$481,Loops!$A$2:$A$481,$A60)-SUMIFS(Loops!$F$2:$F$481,Loops!$A$2:$A$481,$A60,Loops!$B$2:$B$481,"Positions 8, 9, 26")</f>
        <v>27</v>
      </c>
      <c r="V60" s="3" t="n">
        <f aca="false">SUM(Q60:T60)</f>
        <v>11</v>
      </c>
      <c r="W60" s="5" t="n">
        <f aca="false">V60/U60</f>
        <v>0.407407407407407</v>
      </c>
      <c r="X60" s="7" t="str">
        <f aca="false">INDEX(Positions!$E$2:$E$6912,MATCH($A60&amp;"|8",Positions!$A$2:$A$6912,0))</f>
        <v>U</v>
      </c>
      <c r="Y60" s="7" t="str">
        <f aca="false">INDEX(Positions!$E$2:$E$6912,MATCH($A60&amp;"|9",Positions!$A$2:$A$6912,0))</f>
        <v>A</v>
      </c>
      <c r="Z60" s="7" t="str">
        <f aca="false">INDEX(Positions!$E$2:$E$6912,MATCH($A60&amp;"|26",Positions!$A$2:$A$6912,0))</f>
        <v>G</v>
      </c>
      <c r="AA60" s="7" t="n">
        <f aca="false">(X60="G")+(Y60="G")+(Z60="G")</f>
        <v>1</v>
      </c>
      <c r="AB60" s="7" t="n">
        <f aca="false">(X60="C")+(Y60="C")+(Z60="C")</f>
        <v>0</v>
      </c>
      <c r="AC60" s="8" t="n">
        <f aca="false">AA60+AB60</f>
        <v>1</v>
      </c>
      <c r="AD60" s="9" t="n">
        <f aca="false">AC60/3</f>
        <v>0.333333333333333</v>
      </c>
      <c r="AE60" s="7" t="str">
        <f aca="false">IF(K60+V60+AC60=E60,"OK","MISMATCH")</f>
        <v>OK</v>
      </c>
      <c r="AF60" s="10" t="n">
        <f aca="false">B60-42</f>
        <v>30</v>
      </c>
      <c r="AG60" s="10" t="n">
        <f aca="false">V60+AC60</f>
        <v>12</v>
      </c>
      <c r="AH60" s="11" t="n">
        <f aca="false">AG60/AF60</f>
        <v>0.4</v>
      </c>
      <c r="AI60" s="11" t="n">
        <f aca="false">L60</f>
        <v>0.666666666666667</v>
      </c>
      <c r="AJ60" s="12" t="n">
        <f aca="false">AI60-AH60</f>
        <v>0.266666666666667</v>
      </c>
    </row>
    <row r="61" customFormat="false" ht="15" hidden="false" customHeight="false" outlineLevel="0" collapsed="false">
      <c r="A61" s="3" t="s">
        <v>94</v>
      </c>
      <c r="B61" s="4" t="n">
        <f aca="false">COUNTIF(Positions!$B$2:$B$6912,A61)</f>
        <v>71</v>
      </c>
      <c r="C61" s="4" t="n">
        <f aca="false">COUNTIFS(Positions!$B$2:$B$6912,A61,Positions!$E$2:$E$6912,"G")</f>
        <v>24</v>
      </c>
      <c r="D61" s="4" t="n">
        <f aca="false">COUNTIFS(Positions!$B$2:$B$6912,A61,Positions!$E$2:$E$6912,"C")</f>
        <v>20</v>
      </c>
      <c r="E61" s="3" t="n">
        <f aca="false">C61+D61</f>
        <v>44</v>
      </c>
      <c r="F61" s="5" t="n">
        <f aca="false">E61/B61</f>
        <v>0.619718309859155</v>
      </c>
      <c r="G61" s="4" t="n">
        <f aca="false">SUMIFS(Stems_3D_BP!$K$2:$K$2689,Stems_3D_BP!$A$2:$A$2689,$A61,Stems_3D_BP!$B$2:$B$2689,"Acceptor stem")</f>
        <v>9</v>
      </c>
      <c r="H61" s="4" t="n">
        <f aca="false">SUMIFS(Stems_3D_BP!$K$2:$K$2689,Stems_3D_BP!$A$2:$A$2689,$A61,Stems_3D_BP!$B$2:$B$2689,"D-stem")</f>
        <v>2</v>
      </c>
      <c r="I61" s="4" t="n">
        <f aca="false">SUMIFS(Stems_3D_BP!$K$2:$K$2689,Stems_3D_BP!$A$2:$A$2689,$A61,Stems_3D_BP!$B$2:$B$2689,"Anticodon stem")</f>
        <v>10</v>
      </c>
      <c r="J61" s="4" t="n">
        <f aca="false">SUMIFS(Stems_3D_BP!$K$2:$K$2689,Stems_3D_BP!$A$2:$A$2689,$A61,Stems_3D_BP!$B$2:$B$2689,"T-stem")</f>
        <v>10</v>
      </c>
      <c r="K61" s="3" t="n">
        <f aca="false">SUM(G61:J61)</f>
        <v>31</v>
      </c>
      <c r="L61" s="5" t="n">
        <f aca="false">K61/42</f>
        <v>0.738095238095238</v>
      </c>
      <c r="M61" s="4" t="n">
        <f aca="false">SUMIFS(Stems_3D_BP!$K$2:$K$2689,Stems_3D_BP!$A$2:$A$2689,$A61,Stems_3D_BP!$B$2:$B$2689,"3D (tertiary) BP")</f>
        <v>7</v>
      </c>
      <c r="N61" s="6" t="n">
        <f aca="false">M61/14</f>
        <v>0.5</v>
      </c>
      <c r="O61" s="3" t="n">
        <f aca="false">K61+M61</f>
        <v>38</v>
      </c>
      <c r="P61" s="5" t="n">
        <f aca="false">O61/56</f>
        <v>0.678571428571429</v>
      </c>
      <c r="Q61" s="4" t="n">
        <f aca="false">SUMIFS(Loops!$I$2:$I$481,Loops!$A$2:$A$481,$A61,Loops!$B$2:$B$481,"D-loop")</f>
        <v>4</v>
      </c>
      <c r="R61" s="4" t="n">
        <f aca="false">SUMIFS(Loops!$I$2:$I$481,Loops!$A$2:$A$481,$A61,Loops!$B$2:$B$481,"Anticodon loop")</f>
        <v>4</v>
      </c>
      <c r="S61" s="4" t="n">
        <f aca="false">SUMIFS(Loops!$I$2:$I$481,Loops!$A$2:$A$481,$A61,Loops!$B$2:$B$481,"Variable loop")</f>
        <v>2</v>
      </c>
      <c r="T61" s="4" t="n">
        <f aca="false">SUMIFS(Loops!$I$2:$I$481,Loops!$A$2:$A$481,$A61,Loops!$B$2:$B$481,"TΨC-loop")</f>
        <v>2</v>
      </c>
      <c r="U61" s="4" t="n">
        <f aca="false">SUMIFS(Loops!$F$2:$F$481,Loops!$A$2:$A$481,$A61)-SUMIFS(Loops!$F$2:$F$481,Loops!$A$2:$A$481,$A61,Loops!$B$2:$B$481,"Positions 8, 9, 26")</f>
        <v>26</v>
      </c>
      <c r="V61" s="3" t="n">
        <f aca="false">SUM(Q61:T61)</f>
        <v>12</v>
      </c>
      <c r="W61" s="5" t="n">
        <f aca="false">V61/U61</f>
        <v>0.461538461538462</v>
      </c>
      <c r="X61" s="7" t="str">
        <f aca="false">INDEX(Positions!$E$2:$E$6912,MATCH($A61&amp;"|8",Positions!$A$2:$A$6912,0))</f>
        <v>U</v>
      </c>
      <c r="Y61" s="7" t="str">
        <f aca="false">INDEX(Positions!$E$2:$E$6912,MATCH($A61&amp;"|9",Positions!$A$2:$A$6912,0))</f>
        <v>A</v>
      </c>
      <c r="Z61" s="7" t="str">
        <f aca="false">INDEX(Positions!$E$2:$E$6912,MATCH($A61&amp;"|26",Positions!$A$2:$A$6912,0))</f>
        <v>C</v>
      </c>
      <c r="AA61" s="7" t="n">
        <f aca="false">(X61="G")+(Y61="G")+(Z61="G")</f>
        <v>0</v>
      </c>
      <c r="AB61" s="7" t="n">
        <f aca="false">(X61="C")+(Y61="C")+(Z61="C")</f>
        <v>1</v>
      </c>
      <c r="AC61" s="8" t="n">
        <f aca="false">AA61+AB61</f>
        <v>1</v>
      </c>
      <c r="AD61" s="9" t="n">
        <f aca="false">AC61/3</f>
        <v>0.333333333333333</v>
      </c>
      <c r="AE61" s="7" t="str">
        <f aca="false">IF(K61+V61+AC61=E61,"OK","MISMATCH")</f>
        <v>OK</v>
      </c>
      <c r="AF61" s="10" t="n">
        <f aca="false">B61-42</f>
        <v>29</v>
      </c>
      <c r="AG61" s="10" t="n">
        <f aca="false">V61+AC61</f>
        <v>13</v>
      </c>
      <c r="AH61" s="11" t="n">
        <f aca="false">AG61/AF61</f>
        <v>0.448275862068966</v>
      </c>
      <c r="AI61" s="11" t="n">
        <f aca="false">L61</f>
        <v>0.738095238095238</v>
      </c>
      <c r="AJ61" s="12" t="n">
        <f aca="false">AI61-AH61</f>
        <v>0.289819376026273</v>
      </c>
    </row>
    <row r="62" customFormat="false" ht="15" hidden="false" customHeight="false" outlineLevel="0" collapsed="false">
      <c r="A62" s="3" t="s">
        <v>95</v>
      </c>
      <c r="B62" s="4" t="n">
        <f aca="false">COUNTIF(Positions!$B$2:$B$6912,A62)</f>
        <v>71</v>
      </c>
      <c r="C62" s="4" t="n">
        <f aca="false">COUNTIFS(Positions!$B$2:$B$6912,A62,Positions!$E$2:$E$6912,"G")</f>
        <v>19</v>
      </c>
      <c r="D62" s="4" t="n">
        <f aca="false">COUNTIFS(Positions!$B$2:$B$6912,A62,Positions!$E$2:$E$6912,"C")</f>
        <v>17</v>
      </c>
      <c r="E62" s="3" t="n">
        <f aca="false">C62+D62</f>
        <v>36</v>
      </c>
      <c r="F62" s="5" t="n">
        <f aca="false">E62/B62</f>
        <v>0.507042253521127</v>
      </c>
      <c r="G62" s="4" t="n">
        <f aca="false">SUMIFS(Stems_3D_BP!$K$2:$K$2689,Stems_3D_BP!$A$2:$A$2689,$A62,Stems_3D_BP!$B$2:$B$2689,"Acceptor stem")</f>
        <v>8</v>
      </c>
      <c r="H62" s="4" t="n">
        <f aca="false">SUMIFS(Stems_3D_BP!$K$2:$K$2689,Stems_3D_BP!$A$2:$A$2689,$A62,Stems_3D_BP!$B$2:$B$2689,"D-stem")</f>
        <v>5</v>
      </c>
      <c r="I62" s="4" t="n">
        <f aca="false">SUMIFS(Stems_3D_BP!$K$2:$K$2689,Stems_3D_BP!$A$2:$A$2689,$A62,Stems_3D_BP!$B$2:$B$2689,"Anticodon stem")</f>
        <v>6</v>
      </c>
      <c r="J62" s="4" t="n">
        <f aca="false">SUMIFS(Stems_3D_BP!$K$2:$K$2689,Stems_3D_BP!$A$2:$A$2689,$A62,Stems_3D_BP!$B$2:$B$2689,"T-stem")</f>
        <v>8</v>
      </c>
      <c r="K62" s="3" t="n">
        <f aca="false">SUM(G62:J62)</f>
        <v>27</v>
      </c>
      <c r="L62" s="5" t="n">
        <f aca="false">K62/42</f>
        <v>0.642857142857143</v>
      </c>
      <c r="M62" s="4" t="n">
        <f aca="false">SUMIFS(Stems_3D_BP!$K$2:$K$2689,Stems_3D_BP!$A$2:$A$2689,$A62,Stems_3D_BP!$B$2:$B$2689,"3D (tertiary) BP")</f>
        <v>5</v>
      </c>
      <c r="N62" s="6" t="n">
        <f aca="false">M62/14</f>
        <v>0.357142857142857</v>
      </c>
      <c r="O62" s="3" t="n">
        <f aca="false">K62+M62</f>
        <v>32</v>
      </c>
      <c r="P62" s="5" t="n">
        <f aca="false">O62/56</f>
        <v>0.571428571428571</v>
      </c>
      <c r="Q62" s="4" t="n">
        <f aca="false">SUMIFS(Loops!$I$2:$I$481,Loops!$A$2:$A$481,$A62,Loops!$B$2:$B$481,"D-loop")</f>
        <v>2</v>
      </c>
      <c r="R62" s="4" t="n">
        <f aca="false">SUMIFS(Loops!$I$2:$I$481,Loops!$A$2:$A$481,$A62,Loops!$B$2:$B$481,"Anticodon loop")</f>
        <v>3</v>
      </c>
      <c r="S62" s="4" t="n">
        <f aca="false">SUMIFS(Loops!$I$2:$I$481,Loops!$A$2:$A$481,$A62,Loops!$B$2:$B$481,"Variable loop")</f>
        <v>2</v>
      </c>
      <c r="T62" s="4" t="n">
        <f aca="false">SUMIFS(Loops!$I$2:$I$481,Loops!$A$2:$A$481,$A62,Loops!$B$2:$B$481,"TΨC-loop")</f>
        <v>1</v>
      </c>
      <c r="U62" s="4" t="n">
        <f aca="false">SUMIFS(Loops!$F$2:$F$481,Loops!$A$2:$A$481,$A62)-SUMIFS(Loops!$F$2:$F$481,Loops!$A$2:$A$481,$A62,Loops!$B$2:$B$481,"Positions 8, 9, 26")</f>
        <v>26</v>
      </c>
      <c r="V62" s="3" t="n">
        <f aca="false">SUM(Q62:T62)</f>
        <v>8</v>
      </c>
      <c r="W62" s="5" t="n">
        <f aca="false">V62/U62</f>
        <v>0.307692307692308</v>
      </c>
      <c r="X62" s="7" t="str">
        <f aca="false">INDEX(Positions!$E$2:$E$6912,MATCH($A62&amp;"|8",Positions!$A$2:$A$6912,0))</f>
        <v>U</v>
      </c>
      <c r="Y62" s="7" t="str">
        <f aca="false">INDEX(Positions!$E$2:$E$6912,MATCH($A62&amp;"|9",Positions!$A$2:$A$6912,0))</f>
        <v>G</v>
      </c>
      <c r="Z62" s="7" t="str">
        <f aca="false">INDEX(Positions!$E$2:$E$6912,MATCH($A62&amp;"|26",Positions!$A$2:$A$6912,0))</f>
        <v>U</v>
      </c>
      <c r="AA62" s="7" t="n">
        <f aca="false">(X62="G")+(Y62="G")+(Z62="G")</f>
        <v>1</v>
      </c>
      <c r="AB62" s="7" t="n">
        <f aca="false">(X62="C")+(Y62="C")+(Z62="C")</f>
        <v>0</v>
      </c>
      <c r="AC62" s="8" t="n">
        <f aca="false">AA62+AB62</f>
        <v>1</v>
      </c>
      <c r="AD62" s="9" t="n">
        <f aca="false">AC62/3</f>
        <v>0.333333333333333</v>
      </c>
      <c r="AE62" s="7" t="str">
        <f aca="false">IF(K62+V62+AC62=E62,"OK","MISMATCH")</f>
        <v>OK</v>
      </c>
      <c r="AF62" s="10" t="n">
        <f aca="false">B62-42</f>
        <v>29</v>
      </c>
      <c r="AG62" s="10" t="n">
        <f aca="false">V62+AC62</f>
        <v>9</v>
      </c>
      <c r="AH62" s="11" t="n">
        <f aca="false">AG62/AF62</f>
        <v>0.310344827586207</v>
      </c>
      <c r="AI62" s="11" t="n">
        <f aca="false">L62</f>
        <v>0.642857142857143</v>
      </c>
      <c r="AJ62" s="12" t="n">
        <f aca="false">AI62-AH62</f>
        <v>0.332512315270936</v>
      </c>
    </row>
    <row r="63" customFormat="false" ht="15" hidden="false" customHeight="false" outlineLevel="0" collapsed="false">
      <c r="A63" s="3" t="s">
        <v>96</v>
      </c>
      <c r="B63" s="4" t="n">
        <f aca="false">COUNTIF(Positions!$B$2:$B$6912,A63)</f>
        <v>71</v>
      </c>
      <c r="C63" s="4" t="n">
        <f aca="false">COUNTIFS(Positions!$B$2:$B$6912,A63,Positions!$E$2:$E$6912,"G")</f>
        <v>23</v>
      </c>
      <c r="D63" s="4" t="n">
        <f aca="false">COUNTIFS(Positions!$B$2:$B$6912,A63,Positions!$E$2:$E$6912,"C")</f>
        <v>21</v>
      </c>
      <c r="E63" s="3" t="n">
        <f aca="false">C63+D63</f>
        <v>44</v>
      </c>
      <c r="F63" s="5" t="n">
        <f aca="false">E63/B63</f>
        <v>0.619718309859155</v>
      </c>
      <c r="G63" s="4" t="n">
        <f aca="false">SUMIFS(Stems_3D_BP!$K$2:$K$2689,Stems_3D_BP!$A$2:$A$2689,$A63,Stems_3D_BP!$B$2:$B$2689,"Acceptor stem")</f>
        <v>8</v>
      </c>
      <c r="H63" s="4" t="n">
        <f aca="false">SUMIFS(Stems_3D_BP!$K$2:$K$2689,Stems_3D_BP!$A$2:$A$2689,$A63,Stems_3D_BP!$B$2:$B$2689,"D-stem")</f>
        <v>4</v>
      </c>
      <c r="I63" s="4" t="n">
        <f aca="false">SUMIFS(Stems_3D_BP!$K$2:$K$2689,Stems_3D_BP!$A$2:$A$2689,$A63,Stems_3D_BP!$B$2:$B$2689,"Anticodon stem")</f>
        <v>8</v>
      </c>
      <c r="J63" s="4" t="n">
        <f aca="false">SUMIFS(Stems_3D_BP!$K$2:$K$2689,Stems_3D_BP!$A$2:$A$2689,$A63,Stems_3D_BP!$B$2:$B$2689,"T-stem")</f>
        <v>10</v>
      </c>
      <c r="K63" s="3" t="n">
        <f aca="false">SUM(G63:J63)</f>
        <v>30</v>
      </c>
      <c r="L63" s="5" t="n">
        <f aca="false">K63/42</f>
        <v>0.714285714285714</v>
      </c>
      <c r="M63" s="4" t="n">
        <f aca="false">SUMIFS(Stems_3D_BP!$K$2:$K$2689,Stems_3D_BP!$A$2:$A$2689,$A63,Stems_3D_BP!$B$2:$B$2689,"3D (tertiary) BP")</f>
        <v>7</v>
      </c>
      <c r="N63" s="6" t="n">
        <f aca="false">M63/14</f>
        <v>0.5</v>
      </c>
      <c r="O63" s="3" t="n">
        <f aca="false">K63+M63</f>
        <v>37</v>
      </c>
      <c r="P63" s="5" t="n">
        <f aca="false">O63/56</f>
        <v>0.660714285714286</v>
      </c>
      <c r="Q63" s="4" t="n">
        <f aca="false">SUMIFS(Loops!$I$2:$I$481,Loops!$A$2:$A$481,$A63,Loops!$B$2:$B$481,"D-loop")</f>
        <v>4</v>
      </c>
      <c r="R63" s="4" t="n">
        <f aca="false">SUMIFS(Loops!$I$2:$I$481,Loops!$A$2:$A$481,$A63,Loops!$B$2:$B$481,"Anticodon loop")</f>
        <v>2</v>
      </c>
      <c r="S63" s="4" t="n">
        <f aca="false">SUMIFS(Loops!$I$2:$I$481,Loops!$A$2:$A$481,$A63,Loops!$B$2:$B$481,"Variable loop")</f>
        <v>4</v>
      </c>
      <c r="T63" s="4" t="n">
        <f aca="false">SUMIFS(Loops!$I$2:$I$481,Loops!$A$2:$A$481,$A63,Loops!$B$2:$B$481,"TΨC-loop")</f>
        <v>3</v>
      </c>
      <c r="U63" s="4" t="n">
        <f aca="false">SUMIFS(Loops!$F$2:$F$481,Loops!$A$2:$A$481,$A63)-SUMIFS(Loops!$F$2:$F$481,Loops!$A$2:$A$481,$A63,Loops!$B$2:$B$481,"Positions 8, 9, 26")</f>
        <v>26</v>
      </c>
      <c r="V63" s="3" t="n">
        <f aca="false">SUM(Q63:T63)</f>
        <v>13</v>
      </c>
      <c r="W63" s="5" t="n">
        <f aca="false">V63/U63</f>
        <v>0.5</v>
      </c>
      <c r="X63" s="7" t="str">
        <f aca="false">INDEX(Positions!$E$2:$E$6912,MATCH($A63&amp;"|8",Positions!$A$2:$A$6912,0))</f>
        <v>U</v>
      </c>
      <c r="Y63" s="7" t="str">
        <f aca="false">INDEX(Positions!$E$2:$E$6912,MATCH($A63&amp;"|9",Positions!$A$2:$A$6912,0))</f>
        <v>G</v>
      </c>
      <c r="Z63" s="7" t="str">
        <f aca="false">INDEX(Positions!$E$2:$E$6912,MATCH($A63&amp;"|26",Positions!$A$2:$A$6912,0))</f>
        <v>U</v>
      </c>
      <c r="AA63" s="7" t="n">
        <f aca="false">(X63="G")+(Y63="G")+(Z63="G")</f>
        <v>1</v>
      </c>
      <c r="AB63" s="7" t="n">
        <f aca="false">(X63="C")+(Y63="C")+(Z63="C")</f>
        <v>0</v>
      </c>
      <c r="AC63" s="8" t="n">
        <f aca="false">AA63+AB63</f>
        <v>1</v>
      </c>
      <c r="AD63" s="9" t="n">
        <f aca="false">AC63/3</f>
        <v>0.333333333333333</v>
      </c>
      <c r="AE63" s="7" t="str">
        <f aca="false">IF(K63+V63+AC63=E63,"OK","MISMATCH")</f>
        <v>OK</v>
      </c>
      <c r="AF63" s="10" t="n">
        <f aca="false">B63-42</f>
        <v>29</v>
      </c>
      <c r="AG63" s="10" t="n">
        <f aca="false">V63+AC63</f>
        <v>14</v>
      </c>
      <c r="AH63" s="11" t="n">
        <f aca="false">AG63/AF63</f>
        <v>0.482758620689655</v>
      </c>
      <c r="AI63" s="11" t="n">
        <f aca="false">L63</f>
        <v>0.714285714285714</v>
      </c>
      <c r="AJ63" s="12" t="n">
        <f aca="false">AI63-AH63</f>
        <v>0.231527093596059</v>
      </c>
    </row>
    <row r="64" customFormat="false" ht="15" hidden="false" customHeight="false" outlineLevel="0" collapsed="false">
      <c r="A64" s="3" t="s">
        <v>97</v>
      </c>
      <c r="B64" s="4" t="n">
        <f aca="false">COUNTIF(Positions!$B$2:$B$6912,A64)</f>
        <v>72</v>
      </c>
      <c r="C64" s="4" t="n">
        <f aca="false">COUNTIFS(Positions!$B$2:$B$6912,A64,Positions!$E$2:$E$6912,"G")</f>
        <v>22</v>
      </c>
      <c r="D64" s="4" t="n">
        <f aca="false">COUNTIFS(Positions!$B$2:$B$6912,A64,Positions!$E$2:$E$6912,"C")</f>
        <v>18</v>
      </c>
      <c r="E64" s="3" t="n">
        <f aca="false">C64+D64</f>
        <v>40</v>
      </c>
      <c r="F64" s="5" t="n">
        <f aca="false">E64/B64</f>
        <v>0.555555555555556</v>
      </c>
      <c r="G64" s="4" t="n">
        <f aca="false">SUMIFS(Stems_3D_BP!$K$2:$K$2689,Stems_3D_BP!$A$2:$A$2689,$A64,Stems_3D_BP!$B$2:$B$2689,"Acceptor stem")</f>
        <v>11</v>
      </c>
      <c r="H64" s="4" t="n">
        <f aca="false">SUMIFS(Stems_3D_BP!$K$2:$K$2689,Stems_3D_BP!$A$2:$A$2689,$A64,Stems_3D_BP!$B$2:$B$2689,"D-stem")</f>
        <v>6</v>
      </c>
      <c r="I64" s="4" t="n">
        <f aca="false">SUMIFS(Stems_3D_BP!$K$2:$K$2689,Stems_3D_BP!$A$2:$A$2689,$A64,Stems_3D_BP!$B$2:$B$2689,"Anticodon stem")</f>
        <v>4</v>
      </c>
      <c r="J64" s="4" t="n">
        <f aca="false">SUMIFS(Stems_3D_BP!$K$2:$K$2689,Stems_3D_BP!$A$2:$A$2689,$A64,Stems_3D_BP!$B$2:$B$2689,"T-stem")</f>
        <v>8</v>
      </c>
      <c r="K64" s="3" t="n">
        <f aca="false">SUM(G64:J64)</f>
        <v>29</v>
      </c>
      <c r="L64" s="5" t="n">
        <f aca="false">K64/42</f>
        <v>0.690476190476191</v>
      </c>
      <c r="M64" s="4" t="n">
        <f aca="false">SUMIFS(Stems_3D_BP!$K$2:$K$2689,Stems_3D_BP!$A$2:$A$2689,$A64,Stems_3D_BP!$B$2:$B$2689,"3D (tertiary) BP")</f>
        <v>7</v>
      </c>
      <c r="N64" s="6" t="n">
        <f aca="false">M64/14</f>
        <v>0.5</v>
      </c>
      <c r="O64" s="3" t="n">
        <f aca="false">K64+M64</f>
        <v>36</v>
      </c>
      <c r="P64" s="5" t="n">
        <f aca="false">O64/56</f>
        <v>0.642857142857143</v>
      </c>
      <c r="Q64" s="4" t="n">
        <f aca="false">SUMIFS(Loops!$I$2:$I$481,Loops!$A$2:$A$481,$A64,Loops!$B$2:$B$481,"D-loop")</f>
        <v>4</v>
      </c>
      <c r="R64" s="4" t="n">
        <f aca="false">SUMIFS(Loops!$I$2:$I$481,Loops!$A$2:$A$481,$A64,Loops!$B$2:$B$481,"Anticodon loop")</f>
        <v>1</v>
      </c>
      <c r="S64" s="4" t="n">
        <f aca="false">SUMIFS(Loops!$I$2:$I$481,Loops!$A$2:$A$481,$A64,Loops!$B$2:$B$481,"Variable loop")</f>
        <v>4</v>
      </c>
      <c r="T64" s="4" t="n">
        <f aca="false">SUMIFS(Loops!$I$2:$I$481,Loops!$A$2:$A$481,$A64,Loops!$B$2:$B$481,"TΨC-loop")</f>
        <v>2</v>
      </c>
      <c r="U64" s="4" t="n">
        <f aca="false">SUMIFS(Loops!$F$2:$F$481,Loops!$A$2:$A$481,$A64)-SUMIFS(Loops!$F$2:$F$481,Loops!$A$2:$A$481,$A64,Loops!$B$2:$B$481,"Positions 8, 9, 26")</f>
        <v>27</v>
      </c>
      <c r="V64" s="3" t="n">
        <f aca="false">SUM(Q64:T64)</f>
        <v>11</v>
      </c>
      <c r="W64" s="5" t="n">
        <f aca="false">V64/U64</f>
        <v>0.407407407407407</v>
      </c>
      <c r="X64" s="7" t="str">
        <f aca="false">INDEX(Positions!$E$2:$E$6912,MATCH($A64&amp;"|8",Positions!$A$2:$A$6912,0))</f>
        <v>U</v>
      </c>
      <c r="Y64" s="7" t="str">
        <f aca="false">INDEX(Positions!$E$2:$E$6912,MATCH($A64&amp;"|9",Positions!$A$2:$A$6912,0))</f>
        <v>A</v>
      </c>
      <c r="Z64" s="7" t="str">
        <f aca="false">INDEX(Positions!$E$2:$E$6912,MATCH($A64&amp;"|26",Positions!$A$2:$A$6912,0))</f>
        <v>A</v>
      </c>
      <c r="AA64" s="7" t="n">
        <f aca="false">(X64="G")+(Y64="G")+(Z64="G")</f>
        <v>0</v>
      </c>
      <c r="AB64" s="7" t="n">
        <f aca="false">(X64="C")+(Y64="C")+(Z64="C")</f>
        <v>0</v>
      </c>
      <c r="AC64" s="8" t="n">
        <f aca="false">AA64+AB64</f>
        <v>0</v>
      </c>
      <c r="AD64" s="9" t="n">
        <f aca="false">AC64/3</f>
        <v>0</v>
      </c>
      <c r="AE64" s="7" t="str">
        <f aca="false">IF(K64+V64+AC64=E64,"OK","MISMATCH")</f>
        <v>OK</v>
      </c>
      <c r="AF64" s="10" t="n">
        <f aca="false">B64-42</f>
        <v>30</v>
      </c>
      <c r="AG64" s="10" t="n">
        <f aca="false">V64+AC64</f>
        <v>11</v>
      </c>
      <c r="AH64" s="11" t="n">
        <f aca="false">AG64/AF64</f>
        <v>0.366666666666667</v>
      </c>
      <c r="AI64" s="11" t="n">
        <f aca="false">L64</f>
        <v>0.690476190476191</v>
      </c>
      <c r="AJ64" s="12" t="n">
        <f aca="false">AI64-AH64</f>
        <v>0.323809523809524</v>
      </c>
    </row>
    <row r="65" customFormat="false" ht="15" hidden="false" customHeight="false" outlineLevel="0" collapsed="false">
      <c r="A65" s="3" t="s">
        <v>98</v>
      </c>
      <c r="B65" s="4" t="n">
        <f aca="false">COUNTIF(Positions!$B$2:$B$6912,A65)</f>
        <v>72</v>
      </c>
      <c r="C65" s="4" t="n">
        <f aca="false">COUNTIFS(Positions!$B$2:$B$6912,A65,Positions!$E$2:$E$6912,"G")</f>
        <v>24</v>
      </c>
      <c r="D65" s="4" t="n">
        <f aca="false">COUNTIFS(Positions!$B$2:$B$6912,A65,Positions!$E$2:$E$6912,"C")</f>
        <v>20</v>
      </c>
      <c r="E65" s="3" t="n">
        <f aca="false">C65+D65</f>
        <v>44</v>
      </c>
      <c r="F65" s="5" t="n">
        <f aca="false">E65/B65</f>
        <v>0.611111111111111</v>
      </c>
      <c r="G65" s="4" t="n">
        <f aca="false">SUMIFS(Stems_3D_BP!$K$2:$K$2689,Stems_3D_BP!$A$2:$A$2689,$A65,Stems_3D_BP!$B$2:$B$2689,"Acceptor stem")</f>
        <v>12</v>
      </c>
      <c r="H65" s="4" t="n">
        <f aca="false">SUMIFS(Stems_3D_BP!$K$2:$K$2689,Stems_3D_BP!$A$2:$A$2689,$A65,Stems_3D_BP!$B$2:$B$2689,"D-stem")</f>
        <v>6</v>
      </c>
      <c r="I65" s="4" t="n">
        <f aca="false">SUMIFS(Stems_3D_BP!$K$2:$K$2689,Stems_3D_BP!$A$2:$A$2689,$A65,Stems_3D_BP!$B$2:$B$2689,"Anticodon stem")</f>
        <v>4</v>
      </c>
      <c r="J65" s="4" t="n">
        <f aca="false">SUMIFS(Stems_3D_BP!$K$2:$K$2689,Stems_3D_BP!$A$2:$A$2689,$A65,Stems_3D_BP!$B$2:$B$2689,"T-stem")</f>
        <v>8</v>
      </c>
      <c r="K65" s="3" t="n">
        <f aca="false">SUM(G65:J65)</f>
        <v>30</v>
      </c>
      <c r="L65" s="5" t="n">
        <f aca="false">K65/42</f>
        <v>0.714285714285714</v>
      </c>
      <c r="M65" s="4" t="n">
        <f aca="false">SUMIFS(Stems_3D_BP!$K$2:$K$2689,Stems_3D_BP!$A$2:$A$2689,$A65,Stems_3D_BP!$B$2:$B$2689,"3D (tertiary) BP")</f>
        <v>7</v>
      </c>
      <c r="N65" s="6" t="n">
        <f aca="false">M65/14</f>
        <v>0.5</v>
      </c>
      <c r="O65" s="3" t="n">
        <f aca="false">K65+M65</f>
        <v>37</v>
      </c>
      <c r="P65" s="5" t="n">
        <f aca="false">O65/56</f>
        <v>0.660714285714286</v>
      </c>
      <c r="Q65" s="4" t="n">
        <f aca="false">SUMIFS(Loops!$I$2:$I$481,Loops!$A$2:$A$481,$A65,Loops!$B$2:$B$481,"D-loop")</f>
        <v>4</v>
      </c>
      <c r="R65" s="4" t="n">
        <f aca="false">SUMIFS(Loops!$I$2:$I$481,Loops!$A$2:$A$481,$A65,Loops!$B$2:$B$481,"Anticodon loop")</f>
        <v>2</v>
      </c>
      <c r="S65" s="4" t="n">
        <f aca="false">SUMIFS(Loops!$I$2:$I$481,Loops!$A$2:$A$481,$A65,Loops!$B$2:$B$481,"Variable loop")</f>
        <v>4</v>
      </c>
      <c r="T65" s="4" t="n">
        <f aca="false">SUMIFS(Loops!$I$2:$I$481,Loops!$A$2:$A$481,$A65,Loops!$B$2:$B$481,"TΨC-loop")</f>
        <v>4</v>
      </c>
      <c r="U65" s="4" t="n">
        <f aca="false">SUMIFS(Loops!$F$2:$F$481,Loops!$A$2:$A$481,$A65)-SUMIFS(Loops!$F$2:$F$481,Loops!$A$2:$A$481,$A65,Loops!$B$2:$B$481,"Positions 8, 9, 26")</f>
        <v>27</v>
      </c>
      <c r="V65" s="3" t="n">
        <f aca="false">SUM(Q65:T65)</f>
        <v>14</v>
      </c>
      <c r="W65" s="5" t="n">
        <f aca="false">V65/U65</f>
        <v>0.518518518518519</v>
      </c>
      <c r="X65" s="7" t="str">
        <f aca="false">INDEX(Positions!$E$2:$E$6912,MATCH($A65&amp;"|8",Positions!$A$2:$A$6912,0))</f>
        <v>U</v>
      </c>
      <c r="Y65" s="7" t="str">
        <f aca="false">INDEX(Positions!$E$2:$E$6912,MATCH($A65&amp;"|9",Positions!$A$2:$A$6912,0))</f>
        <v>A</v>
      </c>
      <c r="Z65" s="7" t="str">
        <f aca="false">INDEX(Positions!$E$2:$E$6912,MATCH($A65&amp;"|26",Positions!$A$2:$A$6912,0))</f>
        <v>A</v>
      </c>
      <c r="AA65" s="7" t="n">
        <f aca="false">(X65="G")+(Y65="G")+(Z65="G")</f>
        <v>0</v>
      </c>
      <c r="AB65" s="7" t="n">
        <f aca="false">(X65="C")+(Y65="C")+(Z65="C")</f>
        <v>0</v>
      </c>
      <c r="AC65" s="8" t="n">
        <f aca="false">AA65+AB65</f>
        <v>0</v>
      </c>
      <c r="AD65" s="9" t="n">
        <f aca="false">AC65/3</f>
        <v>0</v>
      </c>
      <c r="AE65" s="7" t="str">
        <f aca="false">IF(K65+V65+AC65=E65,"OK","MISMATCH")</f>
        <v>OK</v>
      </c>
      <c r="AF65" s="10" t="n">
        <f aca="false">B65-42</f>
        <v>30</v>
      </c>
      <c r="AG65" s="10" t="n">
        <f aca="false">V65+AC65</f>
        <v>14</v>
      </c>
      <c r="AH65" s="11" t="n">
        <f aca="false">AG65/AF65</f>
        <v>0.466666666666667</v>
      </c>
      <c r="AI65" s="11" t="n">
        <f aca="false">L65</f>
        <v>0.714285714285714</v>
      </c>
      <c r="AJ65" s="12" t="n">
        <f aca="false">AI65-AH65</f>
        <v>0.247619047619048</v>
      </c>
    </row>
    <row r="66" customFormat="false" ht="15" hidden="false" customHeight="false" outlineLevel="0" collapsed="false">
      <c r="A66" s="3" t="s">
        <v>99</v>
      </c>
      <c r="B66" s="4" t="n">
        <f aca="false">COUNTIF(Positions!$B$2:$B$6912,A66)</f>
        <v>72</v>
      </c>
      <c r="C66" s="4" t="n">
        <f aca="false">COUNTIFS(Positions!$B$2:$B$6912,A66,Positions!$E$2:$E$6912,"G")</f>
        <v>25</v>
      </c>
      <c r="D66" s="4" t="n">
        <f aca="false">COUNTIFS(Positions!$B$2:$B$6912,A66,Positions!$E$2:$E$6912,"C")</f>
        <v>21</v>
      </c>
      <c r="E66" s="3" t="n">
        <f aca="false">C66+D66</f>
        <v>46</v>
      </c>
      <c r="F66" s="5" t="n">
        <f aca="false">E66/B66</f>
        <v>0.638888888888889</v>
      </c>
      <c r="G66" s="4" t="n">
        <f aca="false">SUMIFS(Stems_3D_BP!$K$2:$K$2689,Stems_3D_BP!$A$2:$A$2689,$A66,Stems_3D_BP!$B$2:$B$2689,"Acceptor stem")</f>
        <v>12</v>
      </c>
      <c r="H66" s="4" t="n">
        <f aca="false">SUMIFS(Stems_3D_BP!$K$2:$K$2689,Stems_3D_BP!$A$2:$A$2689,$A66,Stems_3D_BP!$B$2:$B$2689,"D-stem")</f>
        <v>6</v>
      </c>
      <c r="I66" s="4" t="n">
        <f aca="false">SUMIFS(Stems_3D_BP!$K$2:$K$2689,Stems_3D_BP!$A$2:$A$2689,$A66,Stems_3D_BP!$B$2:$B$2689,"Anticodon stem")</f>
        <v>6</v>
      </c>
      <c r="J66" s="4" t="n">
        <f aca="false">SUMIFS(Stems_3D_BP!$K$2:$K$2689,Stems_3D_BP!$A$2:$A$2689,$A66,Stems_3D_BP!$B$2:$B$2689,"T-stem")</f>
        <v>8</v>
      </c>
      <c r="K66" s="3" t="n">
        <f aca="false">SUM(G66:J66)</f>
        <v>32</v>
      </c>
      <c r="L66" s="5" t="n">
        <f aca="false">K66/42</f>
        <v>0.761904761904762</v>
      </c>
      <c r="M66" s="4" t="n">
        <f aca="false">SUMIFS(Stems_3D_BP!$K$2:$K$2689,Stems_3D_BP!$A$2:$A$2689,$A66,Stems_3D_BP!$B$2:$B$2689,"3D (tertiary) BP")</f>
        <v>7</v>
      </c>
      <c r="N66" s="6" t="n">
        <f aca="false">M66/14</f>
        <v>0.5</v>
      </c>
      <c r="O66" s="3" t="n">
        <f aca="false">K66+M66</f>
        <v>39</v>
      </c>
      <c r="P66" s="5" t="n">
        <f aca="false">O66/56</f>
        <v>0.696428571428571</v>
      </c>
      <c r="Q66" s="4" t="n">
        <f aca="false">SUMIFS(Loops!$I$2:$I$481,Loops!$A$2:$A$481,$A66,Loops!$B$2:$B$481,"D-loop")</f>
        <v>4</v>
      </c>
      <c r="R66" s="4" t="n">
        <f aca="false">SUMIFS(Loops!$I$2:$I$481,Loops!$A$2:$A$481,$A66,Loops!$B$2:$B$481,"Anticodon loop")</f>
        <v>2</v>
      </c>
      <c r="S66" s="4" t="n">
        <f aca="false">SUMIFS(Loops!$I$2:$I$481,Loops!$A$2:$A$481,$A66,Loops!$B$2:$B$481,"Variable loop")</f>
        <v>4</v>
      </c>
      <c r="T66" s="4" t="n">
        <f aca="false">SUMIFS(Loops!$I$2:$I$481,Loops!$A$2:$A$481,$A66,Loops!$B$2:$B$481,"TΨC-loop")</f>
        <v>4</v>
      </c>
      <c r="U66" s="4" t="n">
        <f aca="false">SUMIFS(Loops!$F$2:$F$481,Loops!$A$2:$A$481,$A66)-SUMIFS(Loops!$F$2:$F$481,Loops!$A$2:$A$481,$A66,Loops!$B$2:$B$481,"Positions 8, 9, 26")</f>
        <v>27</v>
      </c>
      <c r="V66" s="3" t="n">
        <f aca="false">SUM(Q66:T66)</f>
        <v>14</v>
      </c>
      <c r="W66" s="5" t="n">
        <f aca="false">V66/U66</f>
        <v>0.518518518518519</v>
      </c>
      <c r="X66" s="7" t="str">
        <f aca="false">INDEX(Positions!$E$2:$E$6912,MATCH($A66&amp;"|8",Positions!$A$2:$A$6912,0))</f>
        <v>U</v>
      </c>
      <c r="Y66" s="7" t="str">
        <f aca="false">INDEX(Positions!$E$2:$E$6912,MATCH($A66&amp;"|9",Positions!$A$2:$A$6912,0))</f>
        <v>A</v>
      </c>
      <c r="Z66" s="7" t="str">
        <f aca="false">INDEX(Positions!$E$2:$E$6912,MATCH($A66&amp;"|26",Positions!$A$2:$A$6912,0))</f>
        <v>A</v>
      </c>
      <c r="AA66" s="7" t="n">
        <f aca="false">(X66="G")+(Y66="G")+(Z66="G")</f>
        <v>0</v>
      </c>
      <c r="AB66" s="7" t="n">
        <f aca="false">(X66="C")+(Y66="C")+(Z66="C")</f>
        <v>0</v>
      </c>
      <c r="AC66" s="8" t="n">
        <f aca="false">AA66+AB66</f>
        <v>0</v>
      </c>
      <c r="AD66" s="9" t="n">
        <f aca="false">AC66/3</f>
        <v>0</v>
      </c>
      <c r="AE66" s="7" t="str">
        <f aca="false">IF(K66+V66+AC66=E66,"OK","MISMATCH")</f>
        <v>OK</v>
      </c>
      <c r="AF66" s="10" t="n">
        <f aca="false">B66-42</f>
        <v>30</v>
      </c>
      <c r="AG66" s="10" t="n">
        <f aca="false">V66+AC66</f>
        <v>14</v>
      </c>
      <c r="AH66" s="11" t="n">
        <f aca="false">AG66/AF66</f>
        <v>0.466666666666667</v>
      </c>
      <c r="AI66" s="11" t="n">
        <f aca="false">L66</f>
        <v>0.761904761904762</v>
      </c>
      <c r="AJ66" s="12" t="n">
        <f aca="false">AI66-AH66</f>
        <v>0.295238095238095</v>
      </c>
    </row>
    <row r="67" customFormat="false" ht="15" hidden="false" customHeight="false" outlineLevel="0" collapsed="false">
      <c r="A67" s="3" t="s">
        <v>100</v>
      </c>
      <c r="B67" s="4" t="n">
        <f aca="false">COUNTIF(Positions!$B$2:$B$6912,A67)</f>
        <v>67</v>
      </c>
      <c r="C67" s="4" t="n">
        <f aca="false">COUNTIFS(Positions!$B$2:$B$6912,A67,Positions!$E$2:$E$6912,"G")</f>
        <v>10</v>
      </c>
      <c r="D67" s="4" t="n">
        <f aca="false">COUNTIFS(Positions!$B$2:$B$6912,A67,Positions!$E$2:$E$6912,"C")</f>
        <v>15</v>
      </c>
      <c r="E67" s="3" t="n">
        <f aca="false">C67+D67</f>
        <v>25</v>
      </c>
      <c r="F67" s="5" t="n">
        <f aca="false">E67/B67</f>
        <v>0.373134328358209</v>
      </c>
      <c r="G67" s="4" t="n">
        <f aca="false">SUMIFS(Stems_3D_BP!$K$2:$K$2689,Stems_3D_BP!$A$2:$A$2689,$A67,Stems_3D_BP!$B$2:$B$2689,"Acceptor stem")</f>
        <v>6</v>
      </c>
      <c r="H67" s="4" t="n">
        <f aca="false">SUMIFS(Stems_3D_BP!$K$2:$K$2689,Stems_3D_BP!$A$2:$A$2689,$A67,Stems_3D_BP!$B$2:$B$2689,"D-stem")</f>
        <v>4</v>
      </c>
      <c r="I67" s="4" t="n">
        <f aca="false">SUMIFS(Stems_3D_BP!$K$2:$K$2689,Stems_3D_BP!$A$2:$A$2689,$A67,Stems_3D_BP!$B$2:$B$2689,"Anticodon stem")</f>
        <v>6</v>
      </c>
      <c r="J67" s="4" t="n">
        <f aca="false">SUMIFS(Stems_3D_BP!$K$2:$K$2689,Stems_3D_BP!$A$2:$A$2689,$A67,Stems_3D_BP!$B$2:$B$2689,"T-stem")</f>
        <v>2</v>
      </c>
      <c r="K67" s="3" t="n">
        <f aca="false">SUM(G67:J67)</f>
        <v>18</v>
      </c>
      <c r="L67" s="5" t="n">
        <f aca="false">K67/42</f>
        <v>0.428571428571429</v>
      </c>
      <c r="M67" s="4" t="n">
        <f aca="false">SUMIFS(Stems_3D_BP!$K$2:$K$2689,Stems_3D_BP!$A$2:$A$2689,$A67,Stems_3D_BP!$B$2:$B$2689,"3D (tertiary) BP")</f>
        <v>4</v>
      </c>
      <c r="N67" s="6" t="n">
        <f aca="false">M67/14</f>
        <v>0.285714285714286</v>
      </c>
      <c r="O67" s="3" t="n">
        <f aca="false">K67+M67</f>
        <v>22</v>
      </c>
      <c r="P67" s="5" t="n">
        <f aca="false">O67/56</f>
        <v>0.392857142857143</v>
      </c>
      <c r="Q67" s="4" t="n">
        <f aca="false">SUMIFS(Loops!$I$2:$I$481,Loops!$A$2:$A$481,$A67,Loops!$B$2:$B$481,"D-loop")</f>
        <v>2</v>
      </c>
      <c r="R67" s="4" t="n">
        <f aca="false">SUMIFS(Loops!$I$2:$I$481,Loops!$A$2:$A$481,$A67,Loops!$B$2:$B$481,"Anticodon loop")</f>
        <v>4</v>
      </c>
      <c r="S67" s="4" t="n">
        <f aca="false">SUMIFS(Loops!$I$2:$I$481,Loops!$A$2:$A$481,$A67,Loops!$B$2:$B$481,"Variable loop")</f>
        <v>0</v>
      </c>
      <c r="T67" s="4" t="n">
        <f aca="false">SUMIFS(Loops!$I$2:$I$481,Loops!$A$2:$A$481,$A67,Loops!$B$2:$B$481,"TΨC-loop")</f>
        <v>1</v>
      </c>
      <c r="U67" s="4" t="n">
        <f aca="false">SUMIFS(Loops!$F$2:$F$481,Loops!$A$2:$A$481,$A67)-SUMIFS(Loops!$F$2:$F$481,Loops!$A$2:$A$481,$A67,Loops!$B$2:$B$481,"Positions 8, 9, 26")</f>
        <v>22</v>
      </c>
      <c r="V67" s="3" t="n">
        <f aca="false">SUM(Q67:T67)</f>
        <v>7</v>
      </c>
      <c r="W67" s="5" t="n">
        <f aca="false">V67/U67</f>
        <v>0.318181818181818</v>
      </c>
      <c r="X67" s="7" t="str">
        <f aca="false">INDEX(Positions!$E$2:$E$6912,MATCH($A67&amp;"|8",Positions!$A$2:$A$6912,0))</f>
        <v>U</v>
      </c>
      <c r="Y67" s="7" t="str">
        <f aca="false">INDEX(Positions!$E$2:$E$6912,MATCH($A67&amp;"|9",Positions!$A$2:$A$6912,0))</f>
        <v>A</v>
      </c>
      <c r="Z67" s="7" t="str">
        <f aca="false">INDEX(Positions!$E$2:$E$6912,MATCH($A67&amp;"|26",Positions!$A$2:$A$6912,0))</f>
        <v>A</v>
      </c>
      <c r="AA67" s="7" t="n">
        <f aca="false">(X67="G")+(Y67="G")+(Z67="G")</f>
        <v>0</v>
      </c>
      <c r="AB67" s="7" t="n">
        <f aca="false">(X67="C")+(Y67="C")+(Z67="C")</f>
        <v>0</v>
      </c>
      <c r="AC67" s="8" t="n">
        <f aca="false">AA67+AB67</f>
        <v>0</v>
      </c>
      <c r="AD67" s="9" t="n">
        <f aca="false">AC67/3</f>
        <v>0</v>
      </c>
      <c r="AE67" s="7" t="str">
        <f aca="false">IF(K67+V67+AC67=E67,"OK","MISMATCH")</f>
        <v>OK</v>
      </c>
      <c r="AF67" s="10" t="n">
        <f aca="false">B67-42</f>
        <v>25</v>
      </c>
      <c r="AG67" s="10" t="n">
        <f aca="false">V67+AC67</f>
        <v>7</v>
      </c>
      <c r="AH67" s="11" t="n">
        <f aca="false">AG67/AF67</f>
        <v>0.28</v>
      </c>
      <c r="AI67" s="11" t="n">
        <f aca="false">L67</f>
        <v>0.428571428571429</v>
      </c>
      <c r="AJ67" s="12" t="n">
        <f aca="false">AI67-AH67</f>
        <v>0.148571428571429</v>
      </c>
    </row>
    <row r="68" customFormat="false" ht="15" hidden="false" customHeight="false" outlineLevel="0" collapsed="false">
      <c r="A68" s="3" t="s">
        <v>101</v>
      </c>
      <c r="B68" s="4" t="n">
        <f aca="false">COUNTIF(Positions!$B$2:$B$6912,A68)</f>
        <v>70</v>
      </c>
      <c r="C68" s="4" t="n">
        <f aca="false">COUNTIFS(Positions!$B$2:$B$6912,A68,Positions!$E$2:$E$6912,"G")</f>
        <v>20</v>
      </c>
      <c r="D68" s="4" t="n">
        <f aca="false">COUNTIFS(Positions!$B$2:$B$6912,A68,Positions!$E$2:$E$6912,"C")</f>
        <v>20</v>
      </c>
      <c r="E68" s="3" t="n">
        <f aca="false">C68+D68</f>
        <v>40</v>
      </c>
      <c r="F68" s="5" t="n">
        <f aca="false">E68/B68</f>
        <v>0.571428571428571</v>
      </c>
      <c r="G68" s="4" t="n">
        <f aca="false">SUMIFS(Stems_3D_BP!$K$2:$K$2689,Stems_3D_BP!$A$2:$A$2689,$A68,Stems_3D_BP!$B$2:$B$2689,"Acceptor stem")</f>
        <v>14</v>
      </c>
      <c r="H68" s="4" t="n">
        <f aca="false">SUMIFS(Stems_3D_BP!$K$2:$K$2689,Stems_3D_BP!$A$2:$A$2689,$A68,Stems_3D_BP!$B$2:$B$2689,"D-stem")</f>
        <v>4</v>
      </c>
      <c r="I68" s="4" t="n">
        <f aca="false">SUMIFS(Stems_3D_BP!$K$2:$K$2689,Stems_3D_BP!$A$2:$A$2689,$A68,Stems_3D_BP!$B$2:$B$2689,"Anticodon stem")</f>
        <v>6</v>
      </c>
      <c r="J68" s="4" t="n">
        <f aca="false">SUMIFS(Stems_3D_BP!$K$2:$K$2689,Stems_3D_BP!$A$2:$A$2689,$A68,Stems_3D_BP!$B$2:$B$2689,"T-stem")</f>
        <v>7</v>
      </c>
      <c r="K68" s="3" t="n">
        <f aca="false">SUM(G68:J68)</f>
        <v>31</v>
      </c>
      <c r="L68" s="5" t="n">
        <f aca="false">K68/42</f>
        <v>0.738095238095238</v>
      </c>
      <c r="M68" s="4" t="n">
        <f aca="false">SUMIFS(Stems_3D_BP!$K$2:$K$2689,Stems_3D_BP!$A$2:$A$2689,$A68,Stems_3D_BP!$B$2:$B$2689,"3D (tertiary) BP")</f>
        <v>5</v>
      </c>
      <c r="N68" s="6" t="n">
        <f aca="false">M68/14</f>
        <v>0.357142857142857</v>
      </c>
      <c r="O68" s="3" t="n">
        <f aca="false">K68+M68</f>
        <v>36</v>
      </c>
      <c r="P68" s="5" t="n">
        <f aca="false">O68/56</f>
        <v>0.642857142857143</v>
      </c>
      <c r="Q68" s="4" t="n">
        <f aca="false">SUMIFS(Loops!$I$2:$I$481,Loops!$A$2:$A$481,$A68,Loops!$B$2:$B$481,"D-loop")</f>
        <v>2</v>
      </c>
      <c r="R68" s="4" t="n">
        <f aca="false">SUMIFS(Loops!$I$2:$I$481,Loops!$A$2:$A$481,$A68,Loops!$B$2:$B$481,"Anticodon loop")</f>
        <v>3</v>
      </c>
      <c r="S68" s="4" t="n">
        <f aca="false">SUMIFS(Loops!$I$2:$I$481,Loops!$A$2:$A$481,$A68,Loops!$B$2:$B$481,"Variable loop")</f>
        <v>1</v>
      </c>
      <c r="T68" s="4" t="n">
        <f aca="false">SUMIFS(Loops!$I$2:$I$481,Loops!$A$2:$A$481,$A68,Loops!$B$2:$B$481,"TΨC-loop")</f>
        <v>2</v>
      </c>
      <c r="U68" s="4" t="n">
        <f aca="false">SUMIFS(Loops!$F$2:$F$481,Loops!$A$2:$A$481,$A68)-SUMIFS(Loops!$F$2:$F$481,Loops!$A$2:$A$481,$A68,Loops!$B$2:$B$481,"Positions 8, 9, 26")</f>
        <v>25</v>
      </c>
      <c r="V68" s="3" t="n">
        <f aca="false">SUM(Q68:T68)</f>
        <v>8</v>
      </c>
      <c r="W68" s="5" t="n">
        <f aca="false">V68/U68</f>
        <v>0.32</v>
      </c>
      <c r="X68" s="7" t="str">
        <f aca="false">INDEX(Positions!$E$2:$E$6912,MATCH($A68&amp;"|8",Positions!$A$2:$A$6912,0))</f>
        <v>U</v>
      </c>
      <c r="Y68" s="7" t="str">
        <f aca="false">INDEX(Positions!$E$2:$E$6912,MATCH($A68&amp;"|9",Positions!$A$2:$A$6912,0))</f>
        <v>A</v>
      </c>
      <c r="Z68" s="7" t="str">
        <f aca="false">INDEX(Positions!$E$2:$E$6912,MATCH($A68&amp;"|26",Positions!$A$2:$A$6912,0))</f>
        <v>G</v>
      </c>
      <c r="AA68" s="7" t="n">
        <f aca="false">(X68="G")+(Y68="G")+(Z68="G")</f>
        <v>1</v>
      </c>
      <c r="AB68" s="7" t="n">
        <f aca="false">(X68="C")+(Y68="C")+(Z68="C")</f>
        <v>0</v>
      </c>
      <c r="AC68" s="8" t="n">
        <f aca="false">AA68+AB68</f>
        <v>1</v>
      </c>
      <c r="AD68" s="9" t="n">
        <f aca="false">AC68/3</f>
        <v>0.333333333333333</v>
      </c>
      <c r="AE68" s="7" t="str">
        <f aca="false">IF(K68+V68+AC68=E68,"OK","MISMATCH")</f>
        <v>OK</v>
      </c>
      <c r="AF68" s="10" t="n">
        <f aca="false">B68-42</f>
        <v>28</v>
      </c>
      <c r="AG68" s="10" t="n">
        <f aca="false">V68+AC68</f>
        <v>9</v>
      </c>
      <c r="AH68" s="11" t="n">
        <f aca="false">AG68/AF68</f>
        <v>0.321428571428571</v>
      </c>
      <c r="AI68" s="11" t="n">
        <f aca="false">L68</f>
        <v>0.738095238095238</v>
      </c>
      <c r="AJ68" s="12" t="n">
        <f aca="false">AI68-AH68</f>
        <v>0.416666666666667</v>
      </c>
    </row>
    <row r="69" customFormat="false" ht="15" hidden="false" customHeight="false" outlineLevel="0" collapsed="false">
      <c r="A69" s="3" t="s">
        <v>102</v>
      </c>
      <c r="B69" s="4" t="n">
        <f aca="false">COUNTIF(Positions!$B$2:$B$6912,A69)</f>
        <v>71</v>
      </c>
      <c r="C69" s="4" t="n">
        <f aca="false">COUNTIFS(Positions!$B$2:$B$6912,A69,Positions!$E$2:$E$6912,"G")</f>
        <v>19</v>
      </c>
      <c r="D69" s="4" t="n">
        <f aca="false">COUNTIFS(Positions!$B$2:$B$6912,A69,Positions!$E$2:$E$6912,"C")</f>
        <v>22</v>
      </c>
      <c r="E69" s="3" t="n">
        <f aca="false">C69+D69</f>
        <v>41</v>
      </c>
      <c r="F69" s="5" t="n">
        <f aca="false">E69/B69</f>
        <v>0.577464788732394</v>
      </c>
      <c r="G69" s="4" t="n">
        <f aca="false">SUMIFS(Stems_3D_BP!$K$2:$K$2689,Stems_3D_BP!$A$2:$A$2689,$A69,Stems_3D_BP!$B$2:$B$2689,"Acceptor stem")</f>
        <v>12</v>
      </c>
      <c r="H69" s="4" t="n">
        <f aca="false">SUMIFS(Stems_3D_BP!$K$2:$K$2689,Stems_3D_BP!$A$2:$A$2689,$A69,Stems_3D_BP!$B$2:$B$2689,"D-stem")</f>
        <v>2</v>
      </c>
      <c r="I69" s="4" t="n">
        <f aca="false">SUMIFS(Stems_3D_BP!$K$2:$K$2689,Stems_3D_BP!$A$2:$A$2689,$A69,Stems_3D_BP!$B$2:$B$2689,"Anticodon stem")</f>
        <v>6</v>
      </c>
      <c r="J69" s="4" t="n">
        <f aca="false">SUMIFS(Stems_3D_BP!$K$2:$K$2689,Stems_3D_BP!$A$2:$A$2689,$A69,Stems_3D_BP!$B$2:$B$2689,"T-stem")</f>
        <v>10</v>
      </c>
      <c r="K69" s="3" t="n">
        <f aca="false">SUM(G69:J69)</f>
        <v>30</v>
      </c>
      <c r="L69" s="5" t="n">
        <f aca="false">K69/42</f>
        <v>0.714285714285714</v>
      </c>
      <c r="M69" s="4" t="n">
        <f aca="false">SUMIFS(Stems_3D_BP!$K$2:$K$2689,Stems_3D_BP!$A$2:$A$2689,$A69,Stems_3D_BP!$B$2:$B$2689,"3D (tertiary) BP")</f>
        <v>5</v>
      </c>
      <c r="N69" s="6" t="n">
        <f aca="false">M69/14</f>
        <v>0.357142857142857</v>
      </c>
      <c r="O69" s="3" t="n">
        <f aca="false">K69+M69</f>
        <v>35</v>
      </c>
      <c r="P69" s="5" t="n">
        <f aca="false">O69/56</f>
        <v>0.625</v>
      </c>
      <c r="Q69" s="4" t="n">
        <f aca="false">SUMIFS(Loops!$I$2:$I$481,Loops!$A$2:$A$481,$A69,Loops!$B$2:$B$481,"D-loop")</f>
        <v>3</v>
      </c>
      <c r="R69" s="4" t="n">
        <f aca="false">SUMIFS(Loops!$I$2:$I$481,Loops!$A$2:$A$481,$A69,Loops!$B$2:$B$481,"Anticodon loop")</f>
        <v>3</v>
      </c>
      <c r="S69" s="4" t="n">
        <f aca="false">SUMIFS(Loops!$I$2:$I$481,Loops!$A$2:$A$481,$A69,Loops!$B$2:$B$481,"Variable loop")</f>
        <v>1</v>
      </c>
      <c r="T69" s="4" t="n">
        <f aca="false">SUMIFS(Loops!$I$2:$I$481,Loops!$A$2:$A$481,$A69,Loops!$B$2:$B$481,"TΨC-loop")</f>
        <v>2</v>
      </c>
      <c r="U69" s="4" t="n">
        <f aca="false">SUMIFS(Loops!$F$2:$F$481,Loops!$A$2:$A$481,$A69)-SUMIFS(Loops!$F$2:$F$481,Loops!$A$2:$A$481,$A69,Loops!$B$2:$B$481,"Positions 8, 9, 26")</f>
        <v>26</v>
      </c>
      <c r="V69" s="3" t="n">
        <f aca="false">SUM(Q69:T69)</f>
        <v>9</v>
      </c>
      <c r="W69" s="5" t="n">
        <f aca="false">V69/U69</f>
        <v>0.346153846153846</v>
      </c>
      <c r="X69" s="7" t="str">
        <f aca="false">INDEX(Positions!$E$2:$E$6912,MATCH($A69&amp;"|8",Positions!$A$2:$A$6912,0))</f>
        <v>U</v>
      </c>
      <c r="Y69" s="7" t="str">
        <f aca="false">INDEX(Positions!$E$2:$E$6912,MATCH($A69&amp;"|9",Positions!$A$2:$A$6912,0))</f>
        <v>C</v>
      </c>
      <c r="Z69" s="7" t="str">
        <f aca="false">INDEX(Positions!$E$2:$E$6912,MATCH($A69&amp;"|26",Positions!$A$2:$A$6912,0))</f>
        <v>C</v>
      </c>
      <c r="AA69" s="7" t="n">
        <f aca="false">(X69="G")+(Y69="G")+(Z69="G")</f>
        <v>0</v>
      </c>
      <c r="AB69" s="7" t="n">
        <f aca="false">(X69="C")+(Y69="C")+(Z69="C")</f>
        <v>2</v>
      </c>
      <c r="AC69" s="8" t="n">
        <f aca="false">AA69+AB69</f>
        <v>2</v>
      </c>
      <c r="AD69" s="9" t="n">
        <f aca="false">AC69/3</f>
        <v>0.666666666666667</v>
      </c>
      <c r="AE69" s="7" t="str">
        <f aca="false">IF(K69+V69+AC69=E69,"OK","MISMATCH")</f>
        <v>OK</v>
      </c>
      <c r="AF69" s="10" t="n">
        <f aca="false">B69-42</f>
        <v>29</v>
      </c>
      <c r="AG69" s="10" t="n">
        <f aca="false">V69+AC69</f>
        <v>11</v>
      </c>
      <c r="AH69" s="11" t="n">
        <f aca="false">AG69/AF69</f>
        <v>0.379310344827586</v>
      </c>
      <c r="AI69" s="11" t="n">
        <f aca="false">L69</f>
        <v>0.714285714285714</v>
      </c>
      <c r="AJ69" s="12" t="n">
        <f aca="false">AI69-AH69</f>
        <v>0.334975369458128</v>
      </c>
    </row>
    <row r="70" customFormat="false" ht="15" hidden="false" customHeight="false" outlineLevel="0" collapsed="false">
      <c r="A70" s="3" t="s">
        <v>103</v>
      </c>
      <c r="B70" s="4" t="n">
        <f aca="false">COUNTIF(Positions!$B$2:$B$6912,A70)</f>
        <v>72</v>
      </c>
      <c r="C70" s="4" t="n">
        <f aca="false">COUNTIFS(Positions!$B$2:$B$6912,A70,Positions!$E$2:$E$6912,"G")</f>
        <v>21</v>
      </c>
      <c r="D70" s="4" t="n">
        <f aca="false">COUNTIFS(Positions!$B$2:$B$6912,A70,Positions!$E$2:$E$6912,"C")</f>
        <v>16</v>
      </c>
      <c r="E70" s="3" t="n">
        <f aca="false">C70+D70</f>
        <v>37</v>
      </c>
      <c r="F70" s="5" t="n">
        <f aca="false">E70/B70</f>
        <v>0.513888888888889</v>
      </c>
      <c r="G70" s="4" t="n">
        <f aca="false">SUMIFS(Stems_3D_BP!$K$2:$K$2689,Stems_3D_BP!$A$2:$A$2689,$A70,Stems_3D_BP!$B$2:$B$2689,"Acceptor stem")</f>
        <v>8</v>
      </c>
      <c r="H70" s="4" t="n">
        <f aca="false">SUMIFS(Stems_3D_BP!$K$2:$K$2689,Stems_3D_BP!$A$2:$A$2689,$A70,Stems_3D_BP!$B$2:$B$2689,"D-stem")</f>
        <v>6</v>
      </c>
      <c r="I70" s="4" t="n">
        <f aca="false">SUMIFS(Stems_3D_BP!$K$2:$K$2689,Stems_3D_BP!$A$2:$A$2689,$A70,Stems_3D_BP!$B$2:$B$2689,"Anticodon stem")</f>
        <v>6</v>
      </c>
      <c r="J70" s="4" t="n">
        <f aca="false">SUMIFS(Stems_3D_BP!$K$2:$K$2689,Stems_3D_BP!$A$2:$A$2689,$A70,Stems_3D_BP!$B$2:$B$2689,"T-stem")</f>
        <v>7</v>
      </c>
      <c r="K70" s="3" t="n">
        <f aca="false">SUM(G70:J70)</f>
        <v>27</v>
      </c>
      <c r="L70" s="5" t="n">
        <f aca="false">K70/42</f>
        <v>0.642857142857143</v>
      </c>
      <c r="M70" s="4" t="n">
        <f aca="false">SUMIFS(Stems_3D_BP!$K$2:$K$2689,Stems_3D_BP!$A$2:$A$2689,$A70,Stems_3D_BP!$B$2:$B$2689,"3D (tertiary) BP")</f>
        <v>6</v>
      </c>
      <c r="N70" s="6" t="n">
        <f aca="false">M70/14</f>
        <v>0.428571428571429</v>
      </c>
      <c r="O70" s="3" t="n">
        <f aca="false">K70+M70</f>
        <v>33</v>
      </c>
      <c r="P70" s="5" t="n">
        <f aca="false">O70/56</f>
        <v>0.589285714285714</v>
      </c>
      <c r="Q70" s="4" t="n">
        <f aca="false">SUMIFS(Loops!$I$2:$I$481,Loops!$A$2:$A$481,$A70,Loops!$B$2:$B$481,"D-loop")</f>
        <v>3</v>
      </c>
      <c r="R70" s="4" t="n">
        <f aca="false">SUMIFS(Loops!$I$2:$I$481,Loops!$A$2:$A$481,$A70,Loops!$B$2:$B$481,"Anticodon loop")</f>
        <v>2</v>
      </c>
      <c r="S70" s="4" t="n">
        <f aca="false">SUMIFS(Loops!$I$2:$I$481,Loops!$A$2:$A$481,$A70,Loops!$B$2:$B$481,"Variable loop")</f>
        <v>2</v>
      </c>
      <c r="T70" s="4" t="n">
        <f aca="false">SUMIFS(Loops!$I$2:$I$481,Loops!$A$2:$A$481,$A70,Loops!$B$2:$B$481,"TΨC-loop")</f>
        <v>2</v>
      </c>
      <c r="U70" s="4" t="n">
        <f aca="false">SUMIFS(Loops!$F$2:$F$481,Loops!$A$2:$A$481,$A70)-SUMIFS(Loops!$F$2:$F$481,Loops!$A$2:$A$481,$A70,Loops!$B$2:$B$481,"Positions 8, 9, 26")</f>
        <v>27</v>
      </c>
      <c r="V70" s="3" t="n">
        <f aca="false">SUM(Q70:T70)</f>
        <v>9</v>
      </c>
      <c r="W70" s="5" t="n">
        <f aca="false">V70/U70</f>
        <v>0.333333333333333</v>
      </c>
      <c r="X70" s="7" t="str">
        <f aca="false">INDEX(Positions!$E$2:$E$6912,MATCH($A70&amp;"|8",Positions!$A$2:$A$6912,0))</f>
        <v>U</v>
      </c>
      <c r="Y70" s="7" t="str">
        <f aca="false">INDEX(Positions!$E$2:$E$6912,MATCH($A70&amp;"|9",Positions!$A$2:$A$6912,0))</f>
        <v>A</v>
      </c>
      <c r="Z70" s="7" t="str">
        <f aca="false">INDEX(Positions!$E$2:$E$6912,MATCH($A70&amp;"|26",Positions!$A$2:$A$6912,0))</f>
        <v>C</v>
      </c>
      <c r="AA70" s="7" t="n">
        <f aca="false">(X70="G")+(Y70="G")+(Z70="G")</f>
        <v>0</v>
      </c>
      <c r="AB70" s="7" t="n">
        <f aca="false">(X70="C")+(Y70="C")+(Z70="C")</f>
        <v>1</v>
      </c>
      <c r="AC70" s="8" t="n">
        <f aca="false">AA70+AB70</f>
        <v>1</v>
      </c>
      <c r="AD70" s="9" t="n">
        <f aca="false">AC70/3</f>
        <v>0.333333333333333</v>
      </c>
      <c r="AE70" s="7" t="str">
        <f aca="false">IF(K70+V70+AC70=E70,"OK","MISMATCH")</f>
        <v>OK</v>
      </c>
      <c r="AF70" s="10" t="n">
        <f aca="false">B70-42</f>
        <v>30</v>
      </c>
      <c r="AG70" s="10" t="n">
        <f aca="false">V70+AC70</f>
        <v>10</v>
      </c>
      <c r="AH70" s="11" t="n">
        <f aca="false">AG70/AF70</f>
        <v>0.333333333333333</v>
      </c>
      <c r="AI70" s="11" t="n">
        <f aca="false">L70</f>
        <v>0.642857142857143</v>
      </c>
      <c r="AJ70" s="12" t="n">
        <f aca="false">AI70-AH70</f>
        <v>0.30952380952381</v>
      </c>
    </row>
    <row r="71" customFormat="false" ht="15" hidden="false" customHeight="false" outlineLevel="0" collapsed="false">
      <c r="A71" s="3" t="s">
        <v>104</v>
      </c>
      <c r="B71" s="4" t="n">
        <f aca="false">COUNTIF(Positions!$B$2:$B$6912,A71)</f>
        <v>73</v>
      </c>
      <c r="C71" s="4" t="n">
        <f aca="false">COUNTIFS(Positions!$B$2:$B$6912,A71,Positions!$E$2:$E$6912,"G")</f>
        <v>26</v>
      </c>
      <c r="D71" s="4" t="n">
        <f aca="false">COUNTIFS(Positions!$B$2:$B$6912,A71,Positions!$E$2:$E$6912,"C")</f>
        <v>19</v>
      </c>
      <c r="E71" s="3" t="n">
        <f aca="false">C71+D71</f>
        <v>45</v>
      </c>
      <c r="F71" s="5" t="n">
        <f aca="false">E71/B71</f>
        <v>0.616438356164384</v>
      </c>
      <c r="G71" s="4" t="n">
        <f aca="false">SUMIFS(Stems_3D_BP!$K$2:$K$2689,Stems_3D_BP!$A$2:$A$2689,$A71,Stems_3D_BP!$B$2:$B$2689,"Acceptor stem")</f>
        <v>8</v>
      </c>
      <c r="H71" s="4" t="n">
        <f aca="false">SUMIFS(Stems_3D_BP!$K$2:$K$2689,Stems_3D_BP!$A$2:$A$2689,$A71,Stems_3D_BP!$B$2:$B$2689,"D-stem")</f>
        <v>8</v>
      </c>
      <c r="I71" s="4" t="n">
        <f aca="false">SUMIFS(Stems_3D_BP!$K$2:$K$2689,Stems_3D_BP!$A$2:$A$2689,$A71,Stems_3D_BP!$B$2:$B$2689,"Anticodon stem")</f>
        <v>6</v>
      </c>
      <c r="J71" s="4" t="n">
        <f aca="false">SUMIFS(Stems_3D_BP!$K$2:$K$2689,Stems_3D_BP!$A$2:$A$2689,$A71,Stems_3D_BP!$B$2:$B$2689,"T-stem")</f>
        <v>7</v>
      </c>
      <c r="K71" s="3" t="n">
        <f aca="false">SUM(G71:J71)</f>
        <v>29</v>
      </c>
      <c r="L71" s="5" t="n">
        <f aca="false">K71/42</f>
        <v>0.690476190476191</v>
      </c>
      <c r="M71" s="4" t="n">
        <f aca="false">SUMIFS(Stems_3D_BP!$K$2:$K$2689,Stems_3D_BP!$A$2:$A$2689,$A71,Stems_3D_BP!$B$2:$B$2689,"3D (tertiary) BP")</f>
        <v>6</v>
      </c>
      <c r="N71" s="6" t="n">
        <f aca="false">M71/14</f>
        <v>0.428571428571429</v>
      </c>
      <c r="O71" s="3" t="n">
        <f aca="false">K71+M71</f>
        <v>35</v>
      </c>
      <c r="P71" s="5" t="n">
        <f aca="false">O71/56</f>
        <v>0.625</v>
      </c>
      <c r="Q71" s="4" t="n">
        <f aca="false">SUMIFS(Loops!$I$2:$I$481,Loops!$A$2:$A$481,$A71,Loops!$B$2:$B$481,"D-loop")</f>
        <v>5</v>
      </c>
      <c r="R71" s="4" t="n">
        <f aca="false">SUMIFS(Loops!$I$2:$I$481,Loops!$A$2:$A$481,$A71,Loops!$B$2:$B$481,"Anticodon loop")</f>
        <v>4</v>
      </c>
      <c r="S71" s="4" t="n">
        <f aca="false">SUMIFS(Loops!$I$2:$I$481,Loops!$A$2:$A$481,$A71,Loops!$B$2:$B$481,"Variable loop")</f>
        <v>4</v>
      </c>
      <c r="T71" s="4" t="n">
        <f aca="false">SUMIFS(Loops!$I$2:$I$481,Loops!$A$2:$A$481,$A71,Loops!$B$2:$B$481,"TΨC-loop")</f>
        <v>2</v>
      </c>
      <c r="U71" s="4" t="n">
        <f aca="false">SUMIFS(Loops!$F$2:$F$481,Loops!$A$2:$A$481,$A71)-SUMIFS(Loops!$F$2:$F$481,Loops!$A$2:$A$481,$A71,Loops!$B$2:$B$481,"Positions 8, 9, 26")</f>
        <v>28</v>
      </c>
      <c r="V71" s="3" t="n">
        <f aca="false">SUM(Q71:T71)</f>
        <v>15</v>
      </c>
      <c r="W71" s="5" t="n">
        <f aca="false">V71/U71</f>
        <v>0.535714285714286</v>
      </c>
      <c r="X71" s="7" t="str">
        <f aca="false">INDEX(Positions!$E$2:$E$6912,MATCH($A71&amp;"|8",Positions!$A$2:$A$6912,0))</f>
        <v>U</v>
      </c>
      <c r="Y71" s="7" t="str">
        <f aca="false">INDEX(Positions!$E$2:$E$6912,MATCH($A71&amp;"|9",Positions!$A$2:$A$6912,0))</f>
        <v>G</v>
      </c>
      <c r="Z71" s="7" t="str">
        <f aca="false">INDEX(Positions!$E$2:$E$6912,MATCH($A71&amp;"|26",Positions!$A$2:$A$6912,0))</f>
        <v>A</v>
      </c>
      <c r="AA71" s="7" t="n">
        <f aca="false">(X71="G")+(Y71="G")+(Z71="G")</f>
        <v>1</v>
      </c>
      <c r="AB71" s="7" t="n">
        <f aca="false">(X71="C")+(Y71="C")+(Z71="C")</f>
        <v>0</v>
      </c>
      <c r="AC71" s="8" t="n">
        <f aca="false">AA71+AB71</f>
        <v>1</v>
      </c>
      <c r="AD71" s="9" t="n">
        <f aca="false">AC71/3</f>
        <v>0.333333333333333</v>
      </c>
      <c r="AE71" s="7" t="str">
        <f aca="false">IF(K71+V71+AC71=E71,"OK","MISMATCH")</f>
        <v>OK</v>
      </c>
      <c r="AF71" s="10" t="n">
        <f aca="false">B71-42</f>
        <v>31</v>
      </c>
      <c r="AG71" s="10" t="n">
        <f aca="false">V71+AC71</f>
        <v>16</v>
      </c>
      <c r="AH71" s="11" t="n">
        <f aca="false">AG71/AF71</f>
        <v>0.516129032258065</v>
      </c>
      <c r="AI71" s="11" t="n">
        <f aca="false">L71</f>
        <v>0.690476190476191</v>
      </c>
      <c r="AJ71" s="12" t="n">
        <f aca="false">AI71-AH71</f>
        <v>0.174347158218126</v>
      </c>
    </row>
    <row r="72" customFormat="false" ht="15" hidden="false" customHeight="false" outlineLevel="0" collapsed="false">
      <c r="A72" s="3" t="s">
        <v>105</v>
      </c>
      <c r="B72" s="4" t="n">
        <f aca="false">COUNTIF(Positions!$B$2:$B$6912,A72)</f>
        <v>73</v>
      </c>
      <c r="C72" s="4" t="n">
        <f aca="false">COUNTIFS(Positions!$B$2:$B$6912,A72,Positions!$E$2:$E$6912,"G")</f>
        <v>28</v>
      </c>
      <c r="D72" s="4" t="n">
        <f aca="false">COUNTIFS(Positions!$B$2:$B$6912,A72,Positions!$E$2:$E$6912,"C")</f>
        <v>22</v>
      </c>
      <c r="E72" s="3" t="n">
        <f aca="false">C72+D72</f>
        <v>50</v>
      </c>
      <c r="F72" s="5" t="n">
        <f aca="false">E72/B72</f>
        <v>0.684931506849315</v>
      </c>
      <c r="G72" s="4" t="n">
        <f aca="false">SUMIFS(Stems_3D_BP!$K$2:$K$2689,Stems_3D_BP!$A$2:$A$2689,$A72,Stems_3D_BP!$B$2:$B$2689,"Acceptor stem")</f>
        <v>12</v>
      </c>
      <c r="H72" s="4" t="n">
        <f aca="false">SUMIFS(Stems_3D_BP!$K$2:$K$2689,Stems_3D_BP!$A$2:$A$2689,$A72,Stems_3D_BP!$B$2:$B$2689,"D-stem")</f>
        <v>8</v>
      </c>
      <c r="I72" s="4" t="n">
        <f aca="false">SUMIFS(Stems_3D_BP!$K$2:$K$2689,Stems_3D_BP!$A$2:$A$2689,$A72,Stems_3D_BP!$B$2:$B$2689,"Anticodon stem")</f>
        <v>8</v>
      </c>
      <c r="J72" s="4" t="n">
        <f aca="false">SUMIFS(Stems_3D_BP!$K$2:$K$2689,Stems_3D_BP!$A$2:$A$2689,$A72,Stems_3D_BP!$B$2:$B$2689,"T-stem")</f>
        <v>7</v>
      </c>
      <c r="K72" s="3" t="n">
        <f aca="false">SUM(G72:J72)</f>
        <v>35</v>
      </c>
      <c r="L72" s="5" t="n">
        <f aca="false">K72/42</f>
        <v>0.833333333333333</v>
      </c>
      <c r="M72" s="4" t="n">
        <f aca="false">SUMIFS(Stems_3D_BP!$K$2:$K$2689,Stems_3D_BP!$A$2:$A$2689,$A72,Stems_3D_BP!$B$2:$B$2689,"3D (tertiary) BP")</f>
        <v>7</v>
      </c>
      <c r="N72" s="6" t="n">
        <f aca="false">M72/14</f>
        <v>0.5</v>
      </c>
      <c r="O72" s="3" t="n">
        <f aca="false">K72+M72</f>
        <v>42</v>
      </c>
      <c r="P72" s="5" t="n">
        <f aca="false">O72/56</f>
        <v>0.75</v>
      </c>
      <c r="Q72" s="4" t="n">
        <f aca="false">SUMIFS(Loops!$I$2:$I$481,Loops!$A$2:$A$481,$A72,Loops!$B$2:$B$481,"D-loop")</f>
        <v>5</v>
      </c>
      <c r="R72" s="4" t="n">
        <f aca="false">SUMIFS(Loops!$I$2:$I$481,Loops!$A$2:$A$481,$A72,Loops!$B$2:$B$481,"Anticodon loop")</f>
        <v>5</v>
      </c>
      <c r="S72" s="4" t="n">
        <f aca="false">SUMIFS(Loops!$I$2:$I$481,Loops!$A$2:$A$481,$A72,Loops!$B$2:$B$481,"Variable loop")</f>
        <v>4</v>
      </c>
      <c r="T72" s="4" t="n">
        <f aca="false">SUMIFS(Loops!$I$2:$I$481,Loops!$A$2:$A$481,$A72,Loops!$B$2:$B$481,"TΨC-loop")</f>
        <v>1</v>
      </c>
      <c r="U72" s="4" t="n">
        <f aca="false">SUMIFS(Loops!$F$2:$F$481,Loops!$A$2:$A$481,$A72)-SUMIFS(Loops!$F$2:$F$481,Loops!$A$2:$A$481,$A72,Loops!$B$2:$B$481,"Positions 8, 9, 26")</f>
        <v>28</v>
      </c>
      <c r="V72" s="3" t="n">
        <f aca="false">SUM(Q72:T72)</f>
        <v>15</v>
      </c>
      <c r="W72" s="5" t="n">
        <f aca="false">V72/U72</f>
        <v>0.535714285714286</v>
      </c>
      <c r="X72" s="7" t="str">
        <f aca="false">INDEX(Positions!$E$2:$E$6912,MATCH($A72&amp;"|8",Positions!$A$2:$A$6912,0))</f>
        <v>U</v>
      </c>
      <c r="Y72" s="7" t="str">
        <f aca="false">INDEX(Positions!$E$2:$E$6912,MATCH($A72&amp;"|9",Positions!$A$2:$A$6912,0))</f>
        <v>A</v>
      </c>
      <c r="Z72" s="7" t="str">
        <f aca="false">INDEX(Positions!$E$2:$E$6912,MATCH($A72&amp;"|26",Positions!$A$2:$A$6912,0))</f>
        <v>A</v>
      </c>
      <c r="AA72" s="7" t="n">
        <f aca="false">(X72="G")+(Y72="G")+(Z72="G")</f>
        <v>0</v>
      </c>
      <c r="AB72" s="7" t="n">
        <f aca="false">(X72="C")+(Y72="C")+(Z72="C")</f>
        <v>0</v>
      </c>
      <c r="AC72" s="8" t="n">
        <f aca="false">AA72+AB72</f>
        <v>0</v>
      </c>
      <c r="AD72" s="9" t="n">
        <f aca="false">AC72/3</f>
        <v>0</v>
      </c>
      <c r="AE72" s="7" t="str">
        <f aca="false">IF(K72+V72+AC72=E72,"OK","MISMATCH")</f>
        <v>OK</v>
      </c>
      <c r="AF72" s="10" t="n">
        <f aca="false">B72-42</f>
        <v>31</v>
      </c>
      <c r="AG72" s="10" t="n">
        <f aca="false">V72+AC72</f>
        <v>15</v>
      </c>
      <c r="AH72" s="11" t="n">
        <f aca="false">AG72/AF72</f>
        <v>0.483870967741936</v>
      </c>
      <c r="AI72" s="11" t="n">
        <f aca="false">L72</f>
        <v>0.833333333333333</v>
      </c>
      <c r="AJ72" s="12" t="n">
        <f aca="false">AI72-AH72</f>
        <v>0.349462365591398</v>
      </c>
    </row>
    <row r="73" customFormat="false" ht="15" hidden="false" customHeight="false" outlineLevel="0" collapsed="false">
      <c r="A73" s="3" t="s">
        <v>106</v>
      </c>
      <c r="B73" s="4" t="n">
        <f aca="false">COUNTIF(Positions!$B$2:$B$6912,A73)</f>
        <v>73</v>
      </c>
      <c r="C73" s="4" t="n">
        <f aca="false">COUNTIFS(Positions!$B$2:$B$6912,A73,Positions!$E$2:$E$6912,"G")</f>
        <v>27</v>
      </c>
      <c r="D73" s="4" t="n">
        <f aca="false">COUNTIFS(Positions!$B$2:$B$6912,A73,Positions!$E$2:$E$6912,"C")</f>
        <v>19</v>
      </c>
      <c r="E73" s="3" t="n">
        <f aca="false">C73+D73</f>
        <v>46</v>
      </c>
      <c r="F73" s="5" t="n">
        <f aca="false">E73/B73</f>
        <v>0.63013698630137</v>
      </c>
      <c r="G73" s="4" t="n">
        <f aca="false">SUMIFS(Stems_3D_BP!$K$2:$K$2689,Stems_3D_BP!$A$2:$A$2689,$A73,Stems_3D_BP!$B$2:$B$2689,"Acceptor stem")</f>
        <v>12</v>
      </c>
      <c r="H73" s="4" t="n">
        <f aca="false">SUMIFS(Stems_3D_BP!$K$2:$K$2689,Stems_3D_BP!$A$2:$A$2689,$A73,Stems_3D_BP!$B$2:$B$2689,"D-stem")</f>
        <v>8</v>
      </c>
      <c r="I73" s="4" t="n">
        <f aca="false">SUMIFS(Stems_3D_BP!$K$2:$K$2689,Stems_3D_BP!$A$2:$A$2689,$A73,Stems_3D_BP!$B$2:$B$2689,"Anticodon stem")</f>
        <v>6</v>
      </c>
      <c r="J73" s="4" t="n">
        <f aca="false">SUMIFS(Stems_3D_BP!$K$2:$K$2689,Stems_3D_BP!$A$2:$A$2689,$A73,Stems_3D_BP!$B$2:$B$2689,"T-stem")</f>
        <v>7</v>
      </c>
      <c r="K73" s="3" t="n">
        <f aca="false">SUM(G73:J73)</f>
        <v>33</v>
      </c>
      <c r="L73" s="5" t="n">
        <f aca="false">K73/42</f>
        <v>0.785714285714286</v>
      </c>
      <c r="M73" s="4" t="n">
        <f aca="false">SUMIFS(Stems_3D_BP!$K$2:$K$2689,Stems_3D_BP!$A$2:$A$2689,$A73,Stems_3D_BP!$B$2:$B$2689,"3D (tertiary) BP")</f>
        <v>6</v>
      </c>
      <c r="N73" s="6" t="n">
        <f aca="false">M73/14</f>
        <v>0.428571428571429</v>
      </c>
      <c r="O73" s="3" t="n">
        <f aca="false">K73+M73</f>
        <v>39</v>
      </c>
      <c r="P73" s="5" t="n">
        <f aca="false">O73/56</f>
        <v>0.696428571428571</v>
      </c>
      <c r="Q73" s="4" t="n">
        <f aca="false">SUMIFS(Loops!$I$2:$I$481,Loops!$A$2:$A$481,$A73,Loops!$B$2:$B$481,"D-loop")</f>
        <v>4</v>
      </c>
      <c r="R73" s="4" t="n">
        <f aca="false">SUMIFS(Loops!$I$2:$I$481,Loops!$A$2:$A$481,$A73,Loops!$B$2:$B$481,"Anticodon loop")</f>
        <v>3</v>
      </c>
      <c r="S73" s="4" t="n">
        <f aca="false">SUMIFS(Loops!$I$2:$I$481,Loops!$A$2:$A$481,$A73,Loops!$B$2:$B$481,"Variable loop")</f>
        <v>4</v>
      </c>
      <c r="T73" s="4" t="n">
        <f aca="false">SUMIFS(Loops!$I$2:$I$481,Loops!$A$2:$A$481,$A73,Loops!$B$2:$B$481,"TΨC-loop")</f>
        <v>2</v>
      </c>
      <c r="U73" s="4" t="n">
        <f aca="false">SUMIFS(Loops!$F$2:$F$481,Loops!$A$2:$A$481,$A73)-SUMIFS(Loops!$F$2:$F$481,Loops!$A$2:$A$481,$A73,Loops!$B$2:$B$481,"Positions 8, 9, 26")</f>
        <v>28</v>
      </c>
      <c r="V73" s="3" t="n">
        <f aca="false">SUM(Q73:T73)</f>
        <v>13</v>
      </c>
      <c r="W73" s="5" t="n">
        <f aca="false">V73/U73</f>
        <v>0.464285714285714</v>
      </c>
      <c r="X73" s="7" t="str">
        <f aca="false">INDEX(Positions!$E$2:$E$6912,MATCH($A73&amp;"|8",Positions!$A$2:$A$6912,0))</f>
        <v>U</v>
      </c>
      <c r="Y73" s="7" t="str">
        <f aca="false">INDEX(Positions!$E$2:$E$6912,MATCH($A73&amp;"|9",Positions!$A$2:$A$6912,0))</f>
        <v>A</v>
      </c>
      <c r="Z73" s="7" t="str">
        <f aca="false">INDEX(Positions!$E$2:$E$6912,MATCH($A73&amp;"|26",Positions!$A$2:$A$6912,0))</f>
        <v>A</v>
      </c>
      <c r="AA73" s="7" t="n">
        <f aca="false">(X73="G")+(Y73="G")+(Z73="G")</f>
        <v>0</v>
      </c>
      <c r="AB73" s="7" t="n">
        <f aca="false">(X73="C")+(Y73="C")+(Z73="C")</f>
        <v>0</v>
      </c>
      <c r="AC73" s="8" t="n">
        <f aca="false">AA73+AB73</f>
        <v>0</v>
      </c>
      <c r="AD73" s="9" t="n">
        <f aca="false">AC73/3</f>
        <v>0</v>
      </c>
      <c r="AE73" s="7" t="str">
        <f aca="false">IF(K73+V73+AC73=E73,"OK","MISMATCH")</f>
        <v>OK</v>
      </c>
      <c r="AF73" s="10" t="n">
        <f aca="false">B73-42</f>
        <v>31</v>
      </c>
      <c r="AG73" s="10" t="n">
        <f aca="false">V73+AC73</f>
        <v>13</v>
      </c>
      <c r="AH73" s="11" t="n">
        <f aca="false">AG73/AF73</f>
        <v>0.419354838709677</v>
      </c>
      <c r="AI73" s="11" t="n">
        <f aca="false">L73</f>
        <v>0.785714285714286</v>
      </c>
      <c r="AJ73" s="12" t="n">
        <f aca="false">AI73-AH73</f>
        <v>0.366359447004608</v>
      </c>
    </row>
    <row r="74" customFormat="false" ht="15" hidden="false" customHeight="false" outlineLevel="0" collapsed="false">
      <c r="A74" s="3" t="s">
        <v>107</v>
      </c>
      <c r="B74" s="4" t="n">
        <f aca="false">COUNTIF(Positions!$B$2:$B$6912,A74)</f>
        <v>71</v>
      </c>
      <c r="C74" s="4" t="n">
        <f aca="false">COUNTIFS(Positions!$B$2:$B$6912,A74,Positions!$E$2:$E$6912,"G")</f>
        <v>18</v>
      </c>
      <c r="D74" s="4" t="n">
        <f aca="false">COUNTIFS(Positions!$B$2:$B$6912,A74,Positions!$E$2:$E$6912,"C")</f>
        <v>17</v>
      </c>
      <c r="E74" s="3" t="n">
        <f aca="false">C74+D74</f>
        <v>35</v>
      </c>
      <c r="F74" s="5" t="n">
        <f aca="false">E74/B74</f>
        <v>0.492957746478873</v>
      </c>
      <c r="G74" s="4" t="n">
        <f aca="false">SUMIFS(Stems_3D_BP!$K$2:$K$2689,Stems_3D_BP!$A$2:$A$2689,$A74,Stems_3D_BP!$B$2:$B$2689,"Acceptor stem")</f>
        <v>7</v>
      </c>
      <c r="H74" s="4" t="n">
        <f aca="false">SUMIFS(Stems_3D_BP!$K$2:$K$2689,Stems_3D_BP!$A$2:$A$2689,$A74,Stems_3D_BP!$B$2:$B$2689,"D-stem")</f>
        <v>3</v>
      </c>
      <c r="I74" s="4" t="n">
        <f aca="false">SUMIFS(Stems_3D_BP!$K$2:$K$2689,Stems_3D_BP!$A$2:$A$2689,$A74,Stems_3D_BP!$B$2:$B$2689,"Anticodon stem")</f>
        <v>7</v>
      </c>
      <c r="J74" s="4" t="n">
        <f aca="false">SUMIFS(Stems_3D_BP!$K$2:$K$2689,Stems_3D_BP!$A$2:$A$2689,$A74,Stems_3D_BP!$B$2:$B$2689,"T-stem")</f>
        <v>8</v>
      </c>
      <c r="K74" s="3" t="n">
        <f aca="false">SUM(G74:J74)</f>
        <v>25</v>
      </c>
      <c r="L74" s="5" t="n">
        <f aca="false">K74/42</f>
        <v>0.595238095238095</v>
      </c>
      <c r="M74" s="4" t="n">
        <f aca="false">SUMIFS(Stems_3D_BP!$K$2:$K$2689,Stems_3D_BP!$A$2:$A$2689,$A74,Stems_3D_BP!$B$2:$B$2689,"3D (tertiary) BP")</f>
        <v>5</v>
      </c>
      <c r="N74" s="6" t="n">
        <f aca="false">M74/14</f>
        <v>0.357142857142857</v>
      </c>
      <c r="O74" s="3" t="n">
        <f aca="false">K74+M74</f>
        <v>30</v>
      </c>
      <c r="P74" s="5" t="n">
        <f aca="false">O74/56</f>
        <v>0.535714285714286</v>
      </c>
      <c r="Q74" s="4" t="n">
        <f aca="false">SUMIFS(Loops!$I$2:$I$481,Loops!$A$2:$A$481,$A74,Loops!$B$2:$B$481,"D-loop")</f>
        <v>4</v>
      </c>
      <c r="R74" s="4" t="n">
        <f aca="false">SUMIFS(Loops!$I$2:$I$481,Loops!$A$2:$A$481,$A74,Loops!$B$2:$B$481,"Anticodon loop")</f>
        <v>2</v>
      </c>
      <c r="S74" s="4" t="n">
        <f aca="false">SUMIFS(Loops!$I$2:$I$481,Loops!$A$2:$A$481,$A74,Loops!$B$2:$B$481,"Variable loop")</f>
        <v>2</v>
      </c>
      <c r="T74" s="4" t="n">
        <f aca="false">SUMIFS(Loops!$I$2:$I$481,Loops!$A$2:$A$481,$A74,Loops!$B$2:$B$481,"TΨC-loop")</f>
        <v>2</v>
      </c>
      <c r="U74" s="4" t="n">
        <f aca="false">SUMIFS(Loops!$F$2:$F$481,Loops!$A$2:$A$481,$A74)-SUMIFS(Loops!$F$2:$F$481,Loops!$A$2:$A$481,$A74,Loops!$B$2:$B$481,"Positions 8, 9, 26")</f>
        <v>26</v>
      </c>
      <c r="V74" s="3" t="n">
        <f aca="false">SUM(Q74:T74)</f>
        <v>10</v>
      </c>
      <c r="W74" s="5" t="n">
        <f aca="false">V74/U74</f>
        <v>0.384615384615385</v>
      </c>
      <c r="X74" s="7" t="str">
        <f aca="false">INDEX(Positions!$E$2:$E$6912,MATCH($A74&amp;"|8",Positions!$A$2:$A$6912,0))</f>
        <v>U</v>
      </c>
      <c r="Y74" s="7" t="str">
        <f aca="false">INDEX(Positions!$E$2:$E$6912,MATCH($A74&amp;"|9",Positions!$A$2:$A$6912,0))</f>
        <v>A</v>
      </c>
      <c r="Z74" s="7" t="str">
        <f aca="false">INDEX(Positions!$E$2:$E$6912,MATCH($A74&amp;"|26",Positions!$A$2:$A$6912,0))</f>
        <v>U</v>
      </c>
      <c r="AA74" s="7" t="n">
        <f aca="false">(X74="G")+(Y74="G")+(Z74="G")</f>
        <v>0</v>
      </c>
      <c r="AB74" s="7" t="n">
        <f aca="false">(X74="C")+(Y74="C")+(Z74="C")</f>
        <v>0</v>
      </c>
      <c r="AC74" s="8" t="n">
        <f aca="false">AA74+AB74</f>
        <v>0</v>
      </c>
      <c r="AD74" s="9" t="n">
        <f aca="false">AC74/3</f>
        <v>0</v>
      </c>
      <c r="AE74" s="7" t="str">
        <f aca="false">IF(K74+V74+AC74=E74,"OK","MISMATCH")</f>
        <v>OK</v>
      </c>
      <c r="AF74" s="10" t="n">
        <f aca="false">B74-42</f>
        <v>29</v>
      </c>
      <c r="AG74" s="10" t="n">
        <f aca="false">V74+AC74</f>
        <v>10</v>
      </c>
      <c r="AH74" s="11" t="n">
        <f aca="false">AG74/AF74</f>
        <v>0.344827586206897</v>
      </c>
      <c r="AI74" s="11" t="n">
        <f aca="false">L74</f>
        <v>0.595238095238095</v>
      </c>
      <c r="AJ74" s="12" t="n">
        <f aca="false">AI74-AH74</f>
        <v>0.250410509031199</v>
      </c>
    </row>
    <row r="75" customFormat="false" ht="15" hidden="false" customHeight="false" outlineLevel="0" collapsed="false">
      <c r="A75" s="3" t="s">
        <v>108</v>
      </c>
      <c r="B75" s="4" t="n">
        <f aca="false">COUNTIF(Positions!$B$2:$B$6912,A75)</f>
        <v>71</v>
      </c>
      <c r="C75" s="4" t="n">
        <f aca="false">COUNTIFS(Positions!$B$2:$B$6912,A75,Positions!$E$2:$E$6912,"G")</f>
        <v>20</v>
      </c>
      <c r="D75" s="4" t="n">
        <f aca="false">COUNTIFS(Positions!$B$2:$B$6912,A75,Positions!$E$2:$E$6912,"C")</f>
        <v>15</v>
      </c>
      <c r="E75" s="3" t="n">
        <f aca="false">C75+D75</f>
        <v>35</v>
      </c>
      <c r="F75" s="5" t="n">
        <f aca="false">E75/B75</f>
        <v>0.492957746478873</v>
      </c>
      <c r="G75" s="4" t="n">
        <f aca="false">SUMIFS(Stems_3D_BP!$K$2:$K$2689,Stems_3D_BP!$A$2:$A$2689,$A75,Stems_3D_BP!$B$2:$B$2689,"Acceptor stem")</f>
        <v>9</v>
      </c>
      <c r="H75" s="4" t="n">
        <f aca="false">SUMIFS(Stems_3D_BP!$K$2:$K$2689,Stems_3D_BP!$A$2:$A$2689,$A75,Stems_3D_BP!$B$2:$B$2689,"D-stem")</f>
        <v>3</v>
      </c>
      <c r="I75" s="4" t="n">
        <f aca="false">SUMIFS(Stems_3D_BP!$K$2:$K$2689,Stems_3D_BP!$A$2:$A$2689,$A75,Stems_3D_BP!$B$2:$B$2689,"Anticodon stem")</f>
        <v>7</v>
      </c>
      <c r="J75" s="4" t="n">
        <f aca="false">SUMIFS(Stems_3D_BP!$K$2:$K$2689,Stems_3D_BP!$A$2:$A$2689,$A75,Stems_3D_BP!$B$2:$B$2689,"T-stem")</f>
        <v>8</v>
      </c>
      <c r="K75" s="3" t="n">
        <f aca="false">SUM(G75:J75)</f>
        <v>27</v>
      </c>
      <c r="L75" s="5" t="n">
        <f aca="false">K75/42</f>
        <v>0.642857142857143</v>
      </c>
      <c r="M75" s="4" t="n">
        <f aca="false">SUMIFS(Stems_3D_BP!$K$2:$K$2689,Stems_3D_BP!$A$2:$A$2689,$A75,Stems_3D_BP!$B$2:$B$2689,"3D (tertiary) BP")</f>
        <v>6</v>
      </c>
      <c r="N75" s="6" t="n">
        <f aca="false">M75/14</f>
        <v>0.428571428571429</v>
      </c>
      <c r="O75" s="3" t="n">
        <f aca="false">K75+M75</f>
        <v>33</v>
      </c>
      <c r="P75" s="5" t="n">
        <f aca="false">O75/56</f>
        <v>0.589285714285714</v>
      </c>
      <c r="Q75" s="4" t="n">
        <f aca="false">SUMIFS(Loops!$I$2:$I$481,Loops!$A$2:$A$481,$A75,Loops!$B$2:$B$481,"D-loop")</f>
        <v>3</v>
      </c>
      <c r="R75" s="4" t="n">
        <f aca="false">SUMIFS(Loops!$I$2:$I$481,Loops!$A$2:$A$481,$A75,Loops!$B$2:$B$481,"Anticodon loop")</f>
        <v>1</v>
      </c>
      <c r="S75" s="4" t="n">
        <f aca="false">SUMIFS(Loops!$I$2:$I$481,Loops!$A$2:$A$481,$A75,Loops!$B$2:$B$481,"Variable loop")</f>
        <v>2</v>
      </c>
      <c r="T75" s="4" t="n">
        <f aca="false">SUMIFS(Loops!$I$2:$I$481,Loops!$A$2:$A$481,$A75,Loops!$B$2:$B$481,"TΨC-loop")</f>
        <v>2</v>
      </c>
      <c r="U75" s="4" t="n">
        <f aca="false">SUMIFS(Loops!$F$2:$F$481,Loops!$A$2:$A$481,$A75)-SUMIFS(Loops!$F$2:$F$481,Loops!$A$2:$A$481,$A75,Loops!$B$2:$B$481,"Positions 8, 9, 26")</f>
        <v>26</v>
      </c>
      <c r="V75" s="3" t="n">
        <f aca="false">SUM(Q75:T75)</f>
        <v>8</v>
      </c>
      <c r="W75" s="5" t="n">
        <f aca="false">V75/U75</f>
        <v>0.307692307692308</v>
      </c>
      <c r="X75" s="7" t="str">
        <f aca="false">INDEX(Positions!$E$2:$E$6912,MATCH($A75&amp;"|8",Positions!$A$2:$A$6912,0))</f>
        <v>U</v>
      </c>
      <c r="Y75" s="7" t="str">
        <f aca="false">INDEX(Positions!$E$2:$E$6912,MATCH($A75&amp;"|9",Positions!$A$2:$A$6912,0))</f>
        <v>A</v>
      </c>
      <c r="Z75" s="7" t="str">
        <f aca="false">INDEX(Positions!$E$2:$E$6912,MATCH($A75&amp;"|26",Positions!$A$2:$A$6912,0))</f>
        <v>U</v>
      </c>
      <c r="AA75" s="7" t="n">
        <f aca="false">(X75="G")+(Y75="G")+(Z75="G")</f>
        <v>0</v>
      </c>
      <c r="AB75" s="7" t="n">
        <f aca="false">(X75="C")+(Y75="C")+(Z75="C")</f>
        <v>0</v>
      </c>
      <c r="AC75" s="8" t="n">
        <f aca="false">AA75+AB75</f>
        <v>0</v>
      </c>
      <c r="AD75" s="9" t="n">
        <f aca="false">AC75/3</f>
        <v>0</v>
      </c>
      <c r="AE75" s="7" t="str">
        <f aca="false">IF(K75+V75+AC75=E75,"OK","MISMATCH")</f>
        <v>OK</v>
      </c>
      <c r="AF75" s="10" t="n">
        <f aca="false">B75-42</f>
        <v>29</v>
      </c>
      <c r="AG75" s="10" t="n">
        <f aca="false">V75+AC75</f>
        <v>8</v>
      </c>
      <c r="AH75" s="11" t="n">
        <f aca="false">AG75/AF75</f>
        <v>0.275862068965517</v>
      </c>
      <c r="AI75" s="11" t="n">
        <f aca="false">L75</f>
        <v>0.642857142857143</v>
      </c>
      <c r="AJ75" s="12" t="n">
        <f aca="false">AI75-AH75</f>
        <v>0.366995073891626</v>
      </c>
    </row>
    <row r="76" customFormat="false" ht="15" hidden="false" customHeight="false" outlineLevel="0" collapsed="false">
      <c r="A76" s="3" t="s">
        <v>109</v>
      </c>
      <c r="B76" s="4" t="n">
        <f aca="false">COUNTIF(Positions!$B$2:$B$6912,A76)</f>
        <v>71</v>
      </c>
      <c r="C76" s="4" t="n">
        <f aca="false">COUNTIFS(Positions!$B$2:$B$6912,A76,Positions!$E$2:$E$6912,"G")</f>
        <v>21</v>
      </c>
      <c r="D76" s="4" t="n">
        <f aca="false">COUNTIFS(Positions!$B$2:$B$6912,A76,Positions!$E$2:$E$6912,"C")</f>
        <v>17</v>
      </c>
      <c r="E76" s="3" t="n">
        <f aca="false">C76+D76</f>
        <v>38</v>
      </c>
      <c r="F76" s="5" t="n">
        <f aca="false">E76/B76</f>
        <v>0.535211267605634</v>
      </c>
      <c r="G76" s="4" t="n">
        <f aca="false">SUMIFS(Stems_3D_BP!$K$2:$K$2689,Stems_3D_BP!$A$2:$A$2689,$A76,Stems_3D_BP!$B$2:$B$2689,"Acceptor stem")</f>
        <v>7</v>
      </c>
      <c r="H76" s="4" t="n">
        <f aca="false">SUMIFS(Stems_3D_BP!$K$2:$K$2689,Stems_3D_BP!$A$2:$A$2689,$A76,Stems_3D_BP!$B$2:$B$2689,"D-stem")</f>
        <v>5</v>
      </c>
      <c r="I76" s="4" t="n">
        <f aca="false">SUMIFS(Stems_3D_BP!$K$2:$K$2689,Stems_3D_BP!$A$2:$A$2689,$A76,Stems_3D_BP!$B$2:$B$2689,"Anticodon stem")</f>
        <v>6</v>
      </c>
      <c r="J76" s="4" t="n">
        <f aca="false">SUMIFS(Stems_3D_BP!$K$2:$K$2689,Stems_3D_BP!$A$2:$A$2689,$A76,Stems_3D_BP!$B$2:$B$2689,"T-stem")</f>
        <v>8</v>
      </c>
      <c r="K76" s="3" t="n">
        <f aca="false">SUM(G76:J76)</f>
        <v>26</v>
      </c>
      <c r="L76" s="5" t="n">
        <f aca="false">K76/42</f>
        <v>0.619047619047619</v>
      </c>
      <c r="M76" s="4" t="n">
        <f aca="false">SUMIFS(Stems_3D_BP!$K$2:$K$2689,Stems_3D_BP!$A$2:$A$2689,$A76,Stems_3D_BP!$B$2:$B$2689,"3D (tertiary) BP")</f>
        <v>7</v>
      </c>
      <c r="N76" s="6" t="n">
        <f aca="false">M76/14</f>
        <v>0.5</v>
      </c>
      <c r="O76" s="3" t="n">
        <f aca="false">K76+M76</f>
        <v>33</v>
      </c>
      <c r="P76" s="5" t="n">
        <f aca="false">O76/56</f>
        <v>0.589285714285714</v>
      </c>
      <c r="Q76" s="4" t="n">
        <f aca="false">SUMIFS(Loops!$I$2:$I$481,Loops!$A$2:$A$481,$A76,Loops!$B$2:$B$481,"D-loop")</f>
        <v>4</v>
      </c>
      <c r="R76" s="4" t="n">
        <f aca="false">SUMIFS(Loops!$I$2:$I$481,Loops!$A$2:$A$481,$A76,Loops!$B$2:$B$481,"Anticodon loop")</f>
        <v>2</v>
      </c>
      <c r="S76" s="4" t="n">
        <f aca="false">SUMIFS(Loops!$I$2:$I$481,Loops!$A$2:$A$481,$A76,Loops!$B$2:$B$481,"Variable loop")</f>
        <v>2</v>
      </c>
      <c r="T76" s="4" t="n">
        <f aca="false">SUMIFS(Loops!$I$2:$I$481,Loops!$A$2:$A$481,$A76,Loops!$B$2:$B$481,"TΨC-loop")</f>
        <v>2</v>
      </c>
      <c r="U76" s="4" t="n">
        <f aca="false">SUMIFS(Loops!$F$2:$F$481,Loops!$A$2:$A$481,$A76)-SUMIFS(Loops!$F$2:$F$481,Loops!$A$2:$A$481,$A76,Loops!$B$2:$B$481,"Positions 8, 9, 26")</f>
        <v>26</v>
      </c>
      <c r="V76" s="3" t="n">
        <f aca="false">SUM(Q76:T76)</f>
        <v>10</v>
      </c>
      <c r="W76" s="5" t="n">
        <f aca="false">V76/U76</f>
        <v>0.384615384615385</v>
      </c>
      <c r="X76" s="7" t="str">
        <f aca="false">INDEX(Positions!$E$2:$E$6912,MATCH($A76&amp;"|8",Positions!$A$2:$A$6912,0))</f>
        <v>U</v>
      </c>
      <c r="Y76" s="7" t="str">
        <f aca="false">INDEX(Positions!$E$2:$E$6912,MATCH($A76&amp;"|9",Positions!$A$2:$A$6912,0))</f>
        <v>G</v>
      </c>
      <c r="Z76" s="7" t="str">
        <f aca="false">INDEX(Positions!$E$2:$E$6912,MATCH($A76&amp;"|26",Positions!$A$2:$A$6912,0))</f>
        <v>C</v>
      </c>
      <c r="AA76" s="7" t="n">
        <f aca="false">(X76="G")+(Y76="G")+(Z76="G")</f>
        <v>1</v>
      </c>
      <c r="AB76" s="7" t="n">
        <f aca="false">(X76="C")+(Y76="C")+(Z76="C")</f>
        <v>1</v>
      </c>
      <c r="AC76" s="8" t="n">
        <f aca="false">AA76+AB76</f>
        <v>2</v>
      </c>
      <c r="AD76" s="9" t="n">
        <f aca="false">AC76/3</f>
        <v>0.666666666666667</v>
      </c>
      <c r="AE76" s="7" t="str">
        <f aca="false">IF(K76+V76+AC76=E76,"OK","MISMATCH")</f>
        <v>OK</v>
      </c>
      <c r="AF76" s="10" t="n">
        <f aca="false">B76-42</f>
        <v>29</v>
      </c>
      <c r="AG76" s="10" t="n">
        <f aca="false">V76+AC76</f>
        <v>12</v>
      </c>
      <c r="AH76" s="11" t="n">
        <f aca="false">AG76/AF76</f>
        <v>0.413793103448276</v>
      </c>
      <c r="AI76" s="11" t="n">
        <f aca="false">L76</f>
        <v>0.619047619047619</v>
      </c>
      <c r="AJ76" s="12" t="n">
        <f aca="false">AI76-AH76</f>
        <v>0.205254515599343</v>
      </c>
    </row>
    <row r="77" customFormat="false" ht="15" hidden="false" customHeight="false" outlineLevel="0" collapsed="false">
      <c r="A77" s="3" t="s">
        <v>110</v>
      </c>
      <c r="B77" s="4" t="n">
        <f aca="false">COUNTIF(Positions!$B$2:$B$6912,A77)</f>
        <v>71</v>
      </c>
      <c r="C77" s="4" t="n">
        <f aca="false">COUNTIFS(Positions!$B$2:$B$6912,A77,Positions!$E$2:$E$6912,"G")</f>
        <v>20</v>
      </c>
      <c r="D77" s="4" t="n">
        <f aca="false">COUNTIFS(Positions!$B$2:$B$6912,A77,Positions!$E$2:$E$6912,"C")</f>
        <v>16</v>
      </c>
      <c r="E77" s="3" t="n">
        <f aca="false">C77+D77</f>
        <v>36</v>
      </c>
      <c r="F77" s="5" t="n">
        <f aca="false">E77/B77</f>
        <v>0.507042253521127</v>
      </c>
      <c r="G77" s="4" t="n">
        <f aca="false">SUMIFS(Stems_3D_BP!$K$2:$K$2689,Stems_3D_BP!$A$2:$A$2689,$A77,Stems_3D_BP!$B$2:$B$2689,"Acceptor stem")</f>
        <v>9</v>
      </c>
      <c r="H77" s="4" t="n">
        <f aca="false">SUMIFS(Stems_3D_BP!$K$2:$K$2689,Stems_3D_BP!$A$2:$A$2689,$A77,Stems_3D_BP!$B$2:$B$2689,"D-stem")</f>
        <v>6</v>
      </c>
      <c r="I77" s="4" t="n">
        <f aca="false">SUMIFS(Stems_3D_BP!$K$2:$K$2689,Stems_3D_BP!$A$2:$A$2689,$A77,Stems_3D_BP!$B$2:$B$2689,"Anticodon stem")</f>
        <v>5</v>
      </c>
      <c r="J77" s="4" t="n">
        <f aca="false">SUMIFS(Stems_3D_BP!$K$2:$K$2689,Stems_3D_BP!$A$2:$A$2689,$A77,Stems_3D_BP!$B$2:$B$2689,"T-stem")</f>
        <v>6</v>
      </c>
      <c r="K77" s="3" t="n">
        <f aca="false">SUM(G77:J77)</f>
        <v>26</v>
      </c>
      <c r="L77" s="5" t="n">
        <f aca="false">K77/42</f>
        <v>0.619047619047619</v>
      </c>
      <c r="M77" s="4" t="n">
        <f aca="false">SUMIFS(Stems_3D_BP!$K$2:$K$2689,Stems_3D_BP!$A$2:$A$2689,$A77,Stems_3D_BP!$B$2:$B$2689,"3D (tertiary) BP")</f>
        <v>6</v>
      </c>
      <c r="N77" s="6" t="n">
        <f aca="false">M77/14</f>
        <v>0.428571428571429</v>
      </c>
      <c r="O77" s="3" t="n">
        <f aca="false">K77+M77</f>
        <v>32</v>
      </c>
      <c r="P77" s="5" t="n">
        <f aca="false">O77/56</f>
        <v>0.571428571428571</v>
      </c>
      <c r="Q77" s="4" t="n">
        <f aca="false">SUMIFS(Loops!$I$2:$I$481,Loops!$A$2:$A$481,$A77,Loops!$B$2:$B$481,"D-loop")</f>
        <v>2</v>
      </c>
      <c r="R77" s="4" t="n">
        <f aca="false">SUMIFS(Loops!$I$2:$I$481,Loops!$A$2:$A$481,$A77,Loops!$B$2:$B$481,"Anticodon loop")</f>
        <v>2</v>
      </c>
      <c r="S77" s="4" t="n">
        <f aca="false">SUMIFS(Loops!$I$2:$I$481,Loops!$A$2:$A$481,$A77,Loops!$B$2:$B$481,"Variable loop")</f>
        <v>2</v>
      </c>
      <c r="T77" s="4" t="n">
        <f aca="false">SUMIFS(Loops!$I$2:$I$481,Loops!$A$2:$A$481,$A77,Loops!$B$2:$B$481,"TΨC-loop")</f>
        <v>2</v>
      </c>
      <c r="U77" s="4" t="n">
        <f aca="false">SUMIFS(Loops!$F$2:$F$481,Loops!$A$2:$A$481,$A77)-SUMIFS(Loops!$F$2:$F$481,Loops!$A$2:$A$481,$A77,Loops!$B$2:$B$481,"Positions 8, 9, 26")</f>
        <v>26</v>
      </c>
      <c r="V77" s="3" t="n">
        <f aca="false">SUM(Q77:T77)</f>
        <v>8</v>
      </c>
      <c r="W77" s="5" t="n">
        <f aca="false">V77/U77</f>
        <v>0.307692307692308</v>
      </c>
      <c r="X77" s="7" t="str">
        <f aca="false">INDEX(Positions!$E$2:$E$6912,MATCH($A77&amp;"|8",Positions!$A$2:$A$6912,0))</f>
        <v>U</v>
      </c>
      <c r="Y77" s="7" t="str">
        <f aca="false">INDEX(Positions!$E$2:$E$6912,MATCH($A77&amp;"|9",Positions!$A$2:$A$6912,0))</f>
        <v>G</v>
      </c>
      <c r="Z77" s="7" t="str">
        <f aca="false">INDEX(Positions!$E$2:$E$6912,MATCH($A77&amp;"|26",Positions!$A$2:$A$6912,0))</f>
        <v>G</v>
      </c>
      <c r="AA77" s="7" t="n">
        <f aca="false">(X77="G")+(Y77="G")+(Z77="G")</f>
        <v>2</v>
      </c>
      <c r="AB77" s="7" t="n">
        <f aca="false">(X77="C")+(Y77="C")+(Z77="C")</f>
        <v>0</v>
      </c>
      <c r="AC77" s="8" t="n">
        <f aca="false">AA77+AB77</f>
        <v>2</v>
      </c>
      <c r="AD77" s="9" t="n">
        <f aca="false">AC77/3</f>
        <v>0.666666666666667</v>
      </c>
      <c r="AE77" s="7" t="str">
        <f aca="false">IF(K77+V77+AC77=E77,"OK","MISMATCH")</f>
        <v>OK</v>
      </c>
      <c r="AF77" s="10" t="n">
        <f aca="false">B77-42</f>
        <v>29</v>
      </c>
      <c r="AG77" s="10" t="n">
        <f aca="false">V77+AC77</f>
        <v>10</v>
      </c>
      <c r="AH77" s="11" t="n">
        <f aca="false">AG77/AF77</f>
        <v>0.344827586206897</v>
      </c>
      <c r="AI77" s="11" t="n">
        <f aca="false">L77</f>
        <v>0.619047619047619</v>
      </c>
      <c r="AJ77" s="12" t="n">
        <f aca="false">AI77-AH77</f>
        <v>0.274220032840723</v>
      </c>
    </row>
    <row r="78" customFormat="false" ht="15" hidden="false" customHeight="false" outlineLevel="0" collapsed="false">
      <c r="A78" s="3" t="s">
        <v>111</v>
      </c>
      <c r="B78" s="4" t="n">
        <f aca="false">COUNTIF(Positions!$B$2:$B$6912,A78)</f>
        <v>73</v>
      </c>
      <c r="C78" s="4" t="n">
        <f aca="false">COUNTIFS(Positions!$B$2:$B$6912,A78,Positions!$E$2:$E$6912,"G")</f>
        <v>22</v>
      </c>
      <c r="D78" s="4" t="n">
        <f aca="false">COUNTIFS(Positions!$B$2:$B$6912,A78,Positions!$E$2:$E$6912,"C")</f>
        <v>19</v>
      </c>
      <c r="E78" s="3" t="n">
        <f aca="false">C78+D78</f>
        <v>41</v>
      </c>
      <c r="F78" s="5" t="n">
        <f aca="false">E78/B78</f>
        <v>0.561643835616438</v>
      </c>
      <c r="G78" s="4" t="n">
        <f aca="false">SUMIFS(Stems_3D_BP!$K$2:$K$2689,Stems_3D_BP!$A$2:$A$2689,$A78,Stems_3D_BP!$B$2:$B$2689,"Acceptor stem")</f>
        <v>12</v>
      </c>
      <c r="H78" s="4" t="n">
        <f aca="false">SUMIFS(Stems_3D_BP!$K$2:$K$2689,Stems_3D_BP!$A$2:$A$2689,$A78,Stems_3D_BP!$B$2:$B$2689,"D-stem")</f>
        <v>5</v>
      </c>
      <c r="I78" s="4" t="n">
        <f aca="false">SUMIFS(Stems_3D_BP!$K$2:$K$2689,Stems_3D_BP!$A$2:$A$2689,$A78,Stems_3D_BP!$B$2:$B$2689,"Anticodon stem")</f>
        <v>7</v>
      </c>
      <c r="J78" s="4" t="n">
        <f aca="false">SUMIFS(Stems_3D_BP!$K$2:$K$2689,Stems_3D_BP!$A$2:$A$2689,$A78,Stems_3D_BP!$B$2:$B$2689,"T-stem")</f>
        <v>6</v>
      </c>
      <c r="K78" s="3" t="n">
        <f aca="false">SUM(G78:J78)</f>
        <v>30</v>
      </c>
      <c r="L78" s="5" t="n">
        <f aca="false">K78/42</f>
        <v>0.714285714285714</v>
      </c>
      <c r="M78" s="4" t="n">
        <f aca="false">SUMIFS(Stems_3D_BP!$K$2:$K$2689,Stems_3D_BP!$A$2:$A$2689,$A78,Stems_3D_BP!$B$2:$B$2689,"3D (tertiary) BP")</f>
        <v>7</v>
      </c>
      <c r="N78" s="6" t="n">
        <f aca="false">M78/14</f>
        <v>0.5</v>
      </c>
      <c r="O78" s="3" t="n">
        <f aca="false">K78+M78</f>
        <v>37</v>
      </c>
      <c r="P78" s="5" t="n">
        <f aca="false">O78/56</f>
        <v>0.660714285714286</v>
      </c>
      <c r="Q78" s="4" t="n">
        <f aca="false">SUMIFS(Loops!$I$2:$I$481,Loops!$A$2:$A$481,$A78,Loops!$B$2:$B$481,"D-loop")</f>
        <v>4</v>
      </c>
      <c r="R78" s="4" t="n">
        <f aca="false">SUMIFS(Loops!$I$2:$I$481,Loops!$A$2:$A$481,$A78,Loops!$B$2:$B$481,"Anticodon loop")</f>
        <v>2</v>
      </c>
      <c r="S78" s="4" t="n">
        <f aca="false">SUMIFS(Loops!$I$2:$I$481,Loops!$A$2:$A$481,$A78,Loops!$B$2:$B$481,"Variable loop")</f>
        <v>2</v>
      </c>
      <c r="T78" s="4" t="n">
        <f aca="false">SUMIFS(Loops!$I$2:$I$481,Loops!$A$2:$A$481,$A78,Loops!$B$2:$B$481,"TΨC-loop")</f>
        <v>1</v>
      </c>
      <c r="U78" s="4" t="n">
        <f aca="false">SUMIFS(Loops!$F$2:$F$481,Loops!$A$2:$A$481,$A78)-SUMIFS(Loops!$F$2:$F$481,Loops!$A$2:$A$481,$A78,Loops!$B$2:$B$481,"Positions 8, 9, 26")</f>
        <v>28</v>
      </c>
      <c r="V78" s="3" t="n">
        <f aca="false">SUM(Q78:T78)</f>
        <v>9</v>
      </c>
      <c r="W78" s="5" t="n">
        <f aca="false">V78/U78</f>
        <v>0.321428571428571</v>
      </c>
      <c r="X78" s="7" t="str">
        <f aca="false">INDEX(Positions!$E$2:$E$6912,MATCH($A78&amp;"|8",Positions!$A$2:$A$6912,0))</f>
        <v>U</v>
      </c>
      <c r="Y78" s="7" t="str">
        <f aca="false">INDEX(Positions!$E$2:$E$6912,MATCH($A78&amp;"|9",Positions!$A$2:$A$6912,0))</f>
        <v>G</v>
      </c>
      <c r="Z78" s="7" t="str">
        <f aca="false">INDEX(Positions!$E$2:$E$6912,MATCH($A78&amp;"|26",Positions!$A$2:$A$6912,0))</f>
        <v>G</v>
      </c>
      <c r="AA78" s="7" t="n">
        <f aca="false">(X78="G")+(Y78="G")+(Z78="G")</f>
        <v>2</v>
      </c>
      <c r="AB78" s="7" t="n">
        <f aca="false">(X78="C")+(Y78="C")+(Z78="C")</f>
        <v>0</v>
      </c>
      <c r="AC78" s="8" t="n">
        <f aca="false">AA78+AB78</f>
        <v>2</v>
      </c>
      <c r="AD78" s="9" t="n">
        <f aca="false">AC78/3</f>
        <v>0.666666666666667</v>
      </c>
      <c r="AE78" s="7" t="str">
        <f aca="false">IF(K78+V78+AC78=E78,"OK","MISMATCH")</f>
        <v>OK</v>
      </c>
      <c r="AF78" s="10" t="n">
        <f aca="false">B78-42</f>
        <v>31</v>
      </c>
      <c r="AG78" s="10" t="n">
        <f aca="false">V78+AC78</f>
        <v>11</v>
      </c>
      <c r="AH78" s="11" t="n">
        <f aca="false">AG78/AF78</f>
        <v>0.354838709677419</v>
      </c>
      <c r="AI78" s="11" t="n">
        <f aca="false">L78</f>
        <v>0.714285714285714</v>
      </c>
      <c r="AJ78" s="12" t="n">
        <f aca="false">AI78-AH78</f>
        <v>0.359447004608295</v>
      </c>
    </row>
    <row r="79" customFormat="false" ht="15" hidden="false" customHeight="false" outlineLevel="0" collapsed="false">
      <c r="A79" s="3" t="s">
        <v>112</v>
      </c>
      <c r="B79" s="4" t="n">
        <f aca="false">COUNTIF(Positions!$B$2:$B$6912,A79)</f>
        <v>72</v>
      </c>
      <c r="C79" s="4" t="n">
        <f aca="false">COUNTIFS(Positions!$B$2:$B$6912,A79,Positions!$E$2:$E$6912,"G")</f>
        <v>27</v>
      </c>
      <c r="D79" s="4" t="n">
        <f aca="false">COUNTIFS(Positions!$B$2:$B$6912,A79,Positions!$E$2:$E$6912,"C")</f>
        <v>23</v>
      </c>
      <c r="E79" s="3" t="n">
        <f aca="false">C79+D79</f>
        <v>50</v>
      </c>
      <c r="F79" s="5" t="n">
        <f aca="false">E79/B79</f>
        <v>0.694444444444444</v>
      </c>
      <c r="G79" s="4" t="n">
        <f aca="false">SUMIFS(Stems_3D_BP!$K$2:$K$2689,Stems_3D_BP!$A$2:$A$2689,$A79,Stems_3D_BP!$B$2:$B$2689,"Acceptor stem")</f>
        <v>13</v>
      </c>
      <c r="H79" s="4" t="n">
        <f aca="false">SUMIFS(Stems_3D_BP!$K$2:$K$2689,Stems_3D_BP!$A$2:$A$2689,$A79,Stems_3D_BP!$B$2:$B$2689,"D-stem")</f>
        <v>6</v>
      </c>
      <c r="I79" s="4" t="n">
        <f aca="false">SUMIFS(Stems_3D_BP!$K$2:$K$2689,Stems_3D_BP!$A$2:$A$2689,$A79,Stems_3D_BP!$B$2:$B$2689,"Anticodon stem")</f>
        <v>8</v>
      </c>
      <c r="J79" s="4" t="n">
        <f aca="false">SUMIFS(Stems_3D_BP!$K$2:$K$2689,Stems_3D_BP!$A$2:$A$2689,$A79,Stems_3D_BP!$B$2:$B$2689,"T-stem")</f>
        <v>8</v>
      </c>
      <c r="K79" s="3" t="n">
        <f aca="false">SUM(G79:J79)</f>
        <v>35</v>
      </c>
      <c r="L79" s="5" t="n">
        <f aca="false">K79/42</f>
        <v>0.833333333333333</v>
      </c>
      <c r="M79" s="4" t="n">
        <f aca="false">SUMIFS(Stems_3D_BP!$K$2:$K$2689,Stems_3D_BP!$A$2:$A$2689,$A79,Stems_3D_BP!$B$2:$B$2689,"3D (tertiary) BP")</f>
        <v>7</v>
      </c>
      <c r="N79" s="6" t="n">
        <f aca="false">M79/14</f>
        <v>0.5</v>
      </c>
      <c r="O79" s="3" t="n">
        <f aca="false">K79+M79</f>
        <v>42</v>
      </c>
      <c r="P79" s="5" t="n">
        <f aca="false">O79/56</f>
        <v>0.75</v>
      </c>
      <c r="Q79" s="4" t="n">
        <f aca="false">SUMIFS(Loops!$I$2:$I$481,Loops!$A$2:$A$481,$A79,Loops!$B$2:$B$481,"D-loop")</f>
        <v>5</v>
      </c>
      <c r="R79" s="4" t="n">
        <f aca="false">SUMIFS(Loops!$I$2:$I$481,Loops!$A$2:$A$481,$A79,Loops!$B$2:$B$481,"Anticodon loop")</f>
        <v>2</v>
      </c>
      <c r="S79" s="4" t="n">
        <f aca="false">SUMIFS(Loops!$I$2:$I$481,Loops!$A$2:$A$481,$A79,Loops!$B$2:$B$481,"Variable loop")</f>
        <v>3</v>
      </c>
      <c r="T79" s="4" t="n">
        <f aca="false">SUMIFS(Loops!$I$2:$I$481,Loops!$A$2:$A$481,$A79,Loops!$B$2:$B$481,"TΨC-loop")</f>
        <v>3</v>
      </c>
      <c r="U79" s="4" t="n">
        <f aca="false">SUMIFS(Loops!$F$2:$F$481,Loops!$A$2:$A$481,$A79)-SUMIFS(Loops!$F$2:$F$481,Loops!$A$2:$A$481,$A79,Loops!$B$2:$B$481,"Positions 8, 9, 26")</f>
        <v>27</v>
      </c>
      <c r="V79" s="3" t="n">
        <f aca="false">SUM(Q79:T79)</f>
        <v>13</v>
      </c>
      <c r="W79" s="5" t="n">
        <f aca="false">V79/U79</f>
        <v>0.481481481481481</v>
      </c>
      <c r="X79" s="7" t="str">
        <f aca="false">INDEX(Positions!$E$2:$E$6912,MATCH($A79&amp;"|8",Positions!$A$2:$A$6912,0))</f>
        <v>U</v>
      </c>
      <c r="Y79" s="7" t="str">
        <f aca="false">INDEX(Positions!$E$2:$E$6912,MATCH($A79&amp;"|9",Positions!$A$2:$A$6912,0))</f>
        <v>G</v>
      </c>
      <c r="Z79" s="7" t="str">
        <f aca="false">INDEX(Positions!$E$2:$E$6912,MATCH($A79&amp;"|26",Positions!$A$2:$A$6912,0))</f>
        <v>G</v>
      </c>
      <c r="AA79" s="7" t="n">
        <f aca="false">(X79="G")+(Y79="G")+(Z79="G")</f>
        <v>2</v>
      </c>
      <c r="AB79" s="7" t="n">
        <f aca="false">(X79="C")+(Y79="C")+(Z79="C")</f>
        <v>0</v>
      </c>
      <c r="AC79" s="8" t="n">
        <f aca="false">AA79+AB79</f>
        <v>2</v>
      </c>
      <c r="AD79" s="9" t="n">
        <f aca="false">AC79/3</f>
        <v>0.666666666666667</v>
      </c>
      <c r="AE79" s="7" t="str">
        <f aca="false">IF(K79+V79+AC79=E79,"OK","MISMATCH")</f>
        <v>OK</v>
      </c>
      <c r="AF79" s="10" t="n">
        <f aca="false">B79-42</f>
        <v>30</v>
      </c>
      <c r="AG79" s="10" t="n">
        <f aca="false">V79+AC79</f>
        <v>15</v>
      </c>
      <c r="AH79" s="11" t="n">
        <f aca="false">AG79/AF79</f>
        <v>0.5</v>
      </c>
      <c r="AI79" s="11" t="n">
        <f aca="false">L79</f>
        <v>0.833333333333333</v>
      </c>
      <c r="AJ79" s="12" t="n">
        <f aca="false">AI79-AH79</f>
        <v>0.333333333333333</v>
      </c>
    </row>
    <row r="80" customFormat="false" ht="15" hidden="false" customHeight="false" outlineLevel="0" collapsed="false">
      <c r="A80" s="3" t="s">
        <v>113</v>
      </c>
      <c r="B80" s="4" t="n">
        <f aca="false">COUNTIF(Positions!$B$2:$B$6912,A80)</f>
        <v>73</v>
      </c>
      <c r="C80" s="4" t="n">
        <f aca="false">COUNTIFS(Positions!$B$2:$B$6912,A80,Positions!$E$2:$E$6912,"G")</f>
        <v>27</v>
      </c>
      <c r="D80" s="4" t="n">
        <f aca="false">COUNTIFS(Positions!$B$2:$B$6912,A80,Positions!$E$2:$E$6912,"C")</f>
        <v>22</v>
      </c>
      <c r="E80" s="3" t="n">
        <f aca="false">C80+D80</f>
        <v>49</v>
      </c>
      <c r="F80" s="5" t="n">
        <f aca="false">E80/B80</f>
        <v>0.671232876712329</v>
      </c>
      <c r="G80" s="4" t="n">
        <f aca="false">SUMIFS(Stems_3D_BP!$K$2:$K$2689,Stems_3D_BP!$A$2:$A$2689,$A80,Stems_3D_BP!$B$2:$B$2689,"Acceptor stem")</f>
        <v>14</v>
      </c>
      <c r="H80" s="4" t="n">
        <f aca="false">SUMIFS(Stems_3D_BP!$K$2:$K$2689,Stems_3D_BP!$A$2:$A$2689,$A80,Stems_3D_BP!$B$2:$B$2689,"D-stem")</f>
        <v>4</v>
      </c>
      <c r="I80" s="4" t="n">
        <f aca="false">SUMIFS(Stems_3D_BP!$K$2:$K$2689,Stems_3D_BP!$A$2:$A$2689,$A80,Stems_3D_BP!$B$2:$B$2689,"Anticodon stem")</f>
        <v>9</v>
      </c>
      <c r="J80" s="4" t="n">
        <f aca="false">SUMIFS(Stems_3D_BP!$K$2:$K$2689,Stems_3D_BP!$A$2:$A$2689,$A80,Stems_3D_BP!$B$2:$B$2689,"T-stem")</f>
        <v>9</v>
      </c>
      <c r="K80" s="3" t="n">
        <f aca="false">SUM(G80:J80)</f>
        <v>36</v>
      </c>
      <c r="L80" s="5" t="n">
        <f aca="false">K80/42</f>
        <v>0.857142857142857</v>
      </c>
      <c r="M80" s="4" t="n">
        <f aca="false">SUMIFS(Stems_3D_BP!$K$2:$K$2689,Stems_3D_BP!$A$2:$A$2689,$A80,Stems_3D_BP!$B$2:$B$2689,"3D (tertiary) BP")</f>
        <v>7</v>
      </c>
      <c r="N80" s="6" t="n">
        <f aca="false">M80/14</f>
        <v>0.5</v>
      </c>
      <c r="O80" s="3" t="n">
        <f aca="false">K80+M80</f>
        <v>43</v>
      </c>
      <c r="P80" s="5" t="n">
        <f aca="false">O80/56</f>
        <v>0.767857142857143</v>
      </c>
      <c r="Q80" s="4" t="n">
        <f aca="false">SUMIFS(Loops!$I$2:$I$481,Loops!$A$2:$A$481,$A80,Loops!$B$2:$B$481,"D-loop")</f>
        <v>3</v>
      </c>
      <c r="R80" s="4" t="n">
        <f aca="false">SUMIFS(Loops!$I$2:$I$481,Loops!$A$2:$A$481,$A80,Loops!$B$2:$B$481,"Anticodon loop")</f>
        <v>4</v>
      </c>
      <c r="S80" s="4" t="n">
        <f aca="false">SUMIFS(Loops!$I$2:$I$481,Loops!$A$2:$A$481,$A80,Loops!$B$2:$B$481,"Variable loop")</f>
        <v>2</v>
      </c>
      <c r="T80" s="4" t="n">
        <f aca="false">SUMIFS(Loops!$I$2:$I$481,Loops!$A$2:$A$481,$A80,Loops!$B$2:$B$481,"TΨC-loop")</f>
        <v>3</v>
      </c>
      <c r="U80" s="4" t="n">
        <f aca="false">SUMIFS(Loops!$F$2:$F$481,Loops!$A$2:$A$481,$A80)-SUMIFS(Loops!$F$2:$F$481,Loops!$A$2:$A$481,$A80,Loops!$B$2:$B$481,"Positions 8, 9, 26")</f>
        <v>28</v>
      </c>
      <c r="V80" s="3" t="n">
        <f aca="false">SUM(Q80:T80)</f>
        <v>12</v>
      </c>
      <c r="W80" s="5" t="n">
        <f aca="false">V80/U80</f>
        <v>0.428571428571429</v>
      </c>
      <c r="X80" s="7" t="str">
        <f aca="false">INDEX(Positions!$E$2:$E$6912,MATCH($A80&amp;"|8",Positions!$A$2:$A$6912,0))</f>
        <v>U</v>
      </c>
      <c r="Y80" s="7" t="str">
        <f aca="false">INDEX(Positions!$E$2:$E$6912,MATCH($A80&amp;"|9",Positions!$A$2:$A$6912,0))</f>
        <v>G</v>
      </c>
      <c r="Z80" s="7" t="str">
        <f aca="false">INDEX(Positions!$E$2:$E$6912,MATCH($A80&amp;"|26",Positions!$A$2:$A$6912,0))</f>
        <v>A</v>
      </c>
      <c r="AA80" s="7" t="n">
        <f aca="false">(X80="G")+(Y80="G")+(Z80="G")</f>
        <v>1</v>
      </c>
      <c r="AB80" s="7" t="n">
        <f aca="false">(X80="C")+(Y80="C")+(Z80="C")</f>
        <v>0</v>
      </c>
      <c r="AC80" s="8" t="n">
        <f aca="false">AA80+AB80</f>
        <v>1</v>
      </c>
      <c r="AD80" s="9" t="n">
        <f aca="false">AC80/3</f>
        <v>0.333333333333333</v>
      </c>
      <c r="AE80" s="7" t="str">
        <f aca="false">IF(K80+V80+AC80=E80,"OK","MISMATCH")</f>
        <v>OK</v>
      </c>
      <c r="AF80" s="10" t="n">
        <f aca="false">B80-42</f>
        <v>31</v>
      </c>
      <c r="AG80" s="10" t="n">
        <f aca="false">V80+AC80</f>
        <v>13</v>
      </c>
      <c r="AH80" s="11" t="n">
        <f aca="false">AG80/AF80</f>
        <v>0.419354838709677</v>
      </c>
      <c r="AI80" s="11" t="n">
        <f aca="false">L80</f>
        <v>0.857142857142857</v>
      </c>
      <c r="AJ80" s="12" t="n">
        <f aca="false">AI80-AH80</f>
        <v>0.43778801843318</v>
      </c>
    </row>
    <row r="81" customFormat="false" ht="15" hidden="false" customHeight="false" outlineLevel="0" collapsed="false">
      <c r="A81" s="3" t="s">
        <v>114</v>
      </c>
      <c r="B81" s="4" t="n">
        <f aca="false">COUNTIF(Positions!$B$2:$B$6912,A81)</f>
        <v>73</v>
      </c>
      <c r="C81" s="4" t="n">
        <f aca="false">COUNTIFS(Positions!$B$2:$B$6912,A81,Positions!$E$2:$E$6912,"G")</f>
        <v>24</v>
      </c>
      <c r="D81" s="4" t="n">
        <f aca="false">COUNTIFS(Positions!$B$2:$B$6912,A81,Positions!$E$2:$E$6912,"C")</f>
        <v>20</v>
      </c>
      <c r="E81" s="3" t="n">
        <f aca="false">C81+D81</f>
        <v>44</v>
      </c>
      <c r="F81" s="5" t="n">
        <f aca="false">E81/B81</f>
        <v>0.602739726027397</v>
      </c>
      <c r="G81" s="4" t="n">
        <f aca="false">SUMIFS(Stems_3D_BP!$K$2:$K$2689,Stems_3D_BP!$A$2:$A$2689,$A81,Stems_3D_BP!$B$2:$B$2689,"Acceptor stem")</f>
        <v>10</v>
      </c>
      <c r="H81" s="4" t="n">
        <f aca="false">SUMIFS(Stems_3D_BP!$K$2:$K$2689,Stems_3D_BP!$A$2:$A$2689,$A81,Stems_3D_BP!$B$2:$B$2689,"D-stem")</f>
        <v>6</v>
      </c>
      <c r="I81" s="4" t="n">
        <f aca="false">SUMIFS(Stems_3D_BP!$K$2:$K$2689,Stems_3D_BP!$A$2:$A$2689,$A81,Stems_3D_BP!$B$2:$B$2689,"Anticodon stem")</f>
        <v>8</v>
      </c>
      <c r="J81" s="4" t="n">
        <f aca="false">SUMIFS(Stems_3D_BP!$K$2:$K$2689,Stems_3D_BP!$A$2:$A$2689,$A81,Stems_3D_BP!$B$2:$B$2689,"T-stem")</f>
        <v>8</v>
      </c>
      <c r="K81" s="3" t="n">
        <f aca="false">SUM(G81:J81)</f>
        <v>32</v>
      </c>
      <c r="L81" s="5" t="n">
        <f aca="false">K81/42</f>
        <v>0.761904761904762</v>
      </c>
      <c r="M81" s="4" t="n">
        <f aca="false">SUMIFS(Stems_3D_BP!$K$2:$K$2689,Stems_3D_BP!$A$2:$A$2689,$A81,Stems_3D_BP!$B$2:$B$2689,"3D (tertiary) BP")</f>
        <v>7</v>
      </c>
      <c r="N81" s="6" t="n">
        <f aca="false">M81/14</f>
        <v>0.5</v>
      </c>
      <c r="O81" s="3" t="n">
        <f aca="false">K81+M81</f>
        <v>39</v>
      </c>
      <c r="P81" s="5" t="n">
        <f aca="false">O81/56</f>
        <v>0.696428571428571</v>
      </c>
      <c r="Q81" s="4" t="n">
        <f aca="false">SUMIFS(Loops!$I$2:$I$481,Loops!$A$2:$A$481,$A81,Loops!$B$2:$B$481,"D-loop")</f>
        <v>4</v>
      </c>
      <c r="R81" s="4" t="n">
        <f aca="false">SUMIFS(Loops!$I$2:$I$481,Loops!$A$2:$A$481,$A81,Loops!$B$2:$B$481,"Anticodon loop")</f>
        <v>2</v>
      </c>
      <c r="S81" s="4" t="n">
        <f aca="false">SUMIFS(Loops!$I$2:$I$481,Loops!$A$2:$A$481,$A81,Loops!$B$2:$B$481,"Variable loop")</f>
        <v>3</v>
      </c>
      <c r="T81" s="4" t="n">
        <f aca="false">SUMIFS(Loops!$I$2:$I$481,Loops!$A$2:$A$481,$A81,Loops!$B$2:$B$481,"TΨC-loop")</f>
        <v>2</v>
      </c>
      <c r="U81" s="4" t="n">
        <f aca="false">SUMIFS(Loops!$F$2:$F$481,Loops!$A$2:$A$481,$A81)-SUMIFS(Loops!$F$2:$F$481,Loops!$A$2:$A$481,$A81,Loops!$B$2:$B$481,"Positions 8, 9, 26")</f>
        <v>28</v>
      </c>
      <c r="V81" s="3" t="n">
        <f aca="false">SUM(Q81:T81)</f>
        <v>11</v>
      </c>
      <c r="W81" s="5" t="n">
        <f aca="false">V81/U81</f>
        <v>0.392857142857143</v>
      </c>
      <c r="X81" s="7" t="str">
        <f aca="false">INDEX(Positions!$E$2:$E$6912,MATCH($A81&amp;"|8",Positions!$A$2:$A$6912,0))</f>
        <v>U</v>
      </c>
      <c r="Y81" s="7" t="str">
        <f aca="false">INDEX(Positions!$E$2:$E$6912,MATCH($A81&amp;"|9",Positions!$A$2:$A$6912,0))</f>
        <v>A</v>
      </c>
      <c r="Z81" s="7" t="str">
        <f aca="false">INDEX(Positions!$E$2:$E$6912,MATCH($A81&amp;"|26",Positions!$A$2:$A$6912,0))</f>
        <v>G</v>
      </c>
      <c r="AA81" s="7" t="n">
        <f aca="false">(X81="G")+(Y81="G")+(Z81="G")</f>
        <v>1</v>
      </c>
      <c r="AB81" s="7" t="n">
        <f aca="false">(X81="C")+(Y81="C")+(Z81="C")</f>
        <v>0</v>
      </c>
      <c r="AC81" s="8" t="n">
        <f aca="false">AA81+AB81</f>
        <v>1</v>
      </c>
      <c r="AD81" s="9" t="n">
        <f aca="false">AC81/3</f>
        <v>0.333333333333333</v>
      </c>
      <c r="AE81" s="7" t="str">
        <f aca="false">IF(K81+V81+AC81=E81,"OK","MISMATCH")</f>
        <v>OK</v>
      </c>
      <c r="AF81" s="10" t="n">
        <f aca="false">B81-42</f>
        <v>31</v>
      </c>
      <c r="AG81" s="10" t="n">
        <f aca="false">V81+AC81</f>
        <v>12</v>
      </c>
      <c r="AH81" s="11" t="n">
        <f aca="false">AG81/AF81</f>
        <v>0.387096774193548</v>
      </c>
      <c r="AI81" s="11" t="n">
        <f aca="false">L81</f>
        <v>0.761904761904762</v>
      </c>
      <c r="AJ81" s="12" t="n">
        <f aca="false">AI81-AH81</f>
        <v>0.374807987711214</v>
      </c>
    </row>
    <row r="82" customFormat="false" ht="15" hidden="false" customHeight="false" outlineLevel="0" collapsed="false">
      <c r="A82" s="3" t="s">
        <v>115</v>
      </c>
      <c r="B82" s="4" t="n">
        <f aca="false">COUNTIF(Positions!$B$2:$B$6912,A82)</f>
        <v>73</v>
      </c>
      <c r="C82" s="4" t="n">
        <f aca="false">COUNTIFS(Positions!$B$2:$B$6912,A82,Positions!$E$2:$E$6912,"G")</f>
        <v>25</v>
      </c>
      <c r="D82" s="4" t="n">
        <f aca="false">COUNTIFS(Positions!$B$2:$B$6912,A82,Positions!$E$2:$E$6912,"C")</f>
        <v>25</v>
      </c>
      <c r="E82" s="3" t="n">
        <f aca="false">C82+D82</f>
        <v>50</v>
      </c>
      <c r="F82" s="5" t="n">
        <f aca="false">E82/B82</f>
        <v>0.684931506849315</v>
      </c>
      <c r="G82" s="4" t="n">
        <f aca="false">SUMIFS(Stems_3D_BP!$K$2:$K$2689,Stems_3D_BP!$A$2:$A$2689,$A82,Stems_3D_BP!$B$2:$B$2689,"Acceptor stem")</f>
        <v>13</v>
      </c>
      <c r="H82" s="4" t="n">
        <f aca="false">SUMIFS(Stems_3D_BP!$K$2:$K$2689,Stems_3D_BP!$A$2:$A$2689,$A82,Stems_3D_BP!$B$2:$B$2689,"D-stem")</f>
        <v>6</v>
      </c>
      <c r="I82" s="4" t="n">
        <f aca="false">SUMIFS(Stems_3D_BP!$K$2:$K$2689,Stems_3D_BP!$A$2:$A$2689,$A82,Stems_3D_BP!$B$2:$B$2689,"Anticodon stem")</f>
        <v>8</v>
      </c>
      <c r="J82" s="4" t="n">
        <f aca="false">SUMIFS(Stems_3D_BP!$K$2:$K$2689,Stems_3D_BP!$A$2:$A$2689,$A82,Stems_3D_BP!$B$2:$B$2689,"T-stem")</f>
        <v>10</v>
      </c>
      <c r="K82" s="3" t="n">
        <f aca="false">SUM(G82:J82)</f>
        <v>37</v>
      </c>
      <c r="L82" s="5" t="n">
        <f aca="false">K82/42</f>
        <v>0.880952380952381</v>
      </c>
      <c r="M82" s="4" t="n">
        <f aca="false">SUMIFS(Stems_3D_BP!$K$2:$K$2689,Stems_3D_BP!$A$2:$A$2689,$A82,Stems_3D_BP!$B$2:$B$2689,"3D (tertiary) BP")</f>
        <v>7</v>
      </c>
      <c r="N82" s="6" t="n">
        <f aca="false">M82/14</f>
        <v>0.5</v>
      </c>
      <c r="O82" s="3" t="n">
        <f aca="false">K82+M82</f>
        <v>44</v>
      </c>
      <c r="P82" s="5" t="n">
        <f aca="false">O82/56</f>
        <v>0.785714285714286</v>
      </c>
      <c r="Q82" s="4" t="n">
        <f aca="false">SUMIFS(Loops!$I$2:$I$481,Loops!$A$2:$A$481,$A82,Loops!$B$2:$B$481,"D-loop")</f>
        <v>5</v>
      </c>
      <c r="R82" s="4" t="n">
        <f aca="false">SUMIFS(Loops!$I$2:$I$481,Loops!$A$2:$A$481,$A82,Loops!$B$2:$B$481,"Anticodon loop")</f>
        <v>2</v>
      </c>
      <c r="S82" s="4" t="n">
        <f aca="false">SUMIFS(Loops!$I$2:$I$481,Loops!$A$2:$A$481,$A82,Loops!$B$2:$B$481,"Variable loop")</f>
        <v>3</v>
      </c>
      <c r="T82" s="4" t="n">
        <f aca="false">SUMIFS(Loops!$I$2:$I$481,Loops!$A$2:$A$481,$A82,Loops!$B$2:$B$481,"TΨC-loop")</f>
        <v>1</v>
      </c>
      <c r="U82" s="4" t="n">
        <f aca="false">SUMIFS(Loops!$F$2:$F$481,Loops!$A$2:$A$481,$A82)-SUMIFS(Loops!$F$2:$F$481,Loops!$A$2:$A$481,$A82,Loops!$B$2:$B$481,"Positions 8, 9, 26")</f>
        <v>28</v>
      </c>
      <c r="V82" s="3" t="n">
        <f aca="false">SUM(Q82:T82)</f>
        <v>11</v>
      </c>
      <c r="W82" s="5" t="n">
        <f aca="false">V82/U82</f>
        <v>0.392857142857143</v>
      </c>
      <c r="X82" s="7" t="str">
        <f aca="false">INDEX(Positions!$E$2:$E$6912,MATCH($A82&amp;"|8",Positions!$A$2:$A$6912,0))</f>
        <v>U</v>
      </c>
      <c r="Y82" s="7" t="str">
        <f aca="false">INDEX(Positions!$E$2:$E$6912,MATCH($A82&amp;"|9",Positions!$A$2:$A$6912,0))</f>
        <v>G</v>
      </c>
      <c r="Z82" s="7" t="str">
        <f aca="false">INDEX(Positions!$E$2:$E$6912,MATCH($A82&amp;"|26",Positions!$A$2:$A$6912,0))</f>
        <v>G</v>
      </c>
      <c r="AA82" s="7" t="n">
        <f aca="false">(X82="G")+(Y82="G")+(Z82="G")</f>
        <v>2</v>
      </c>
      <c r="AB82" s="7" t="n">
        <f aca="false">(X82="C")+(Y82="C")+(Z82="C")</f>
        <v>0</v>
      </c>
      <c r="AC82" s="8" t="n">
        <f aca="false">AA82+AB82</f>
        <v>2</v>
      </c>
      <c r="AD82" s="9" t="n">
        <f aca="false">AC82/3</f>
        <v>0.666666666666667</v>
      </c>
      <c r="AE82" s="7" t="str">
        <f aca="false">IF(K82+V82+AC82=E82,"OK","MISMATCH")</f>
        <v>OK</v>
      </c>
      <c r="AF82" s="10" t="n">
        <f aca="false">B82-42</f>
        <v>31</v>
      </c>
      <c r="AG82" s="10" t="n">
        <f aca="false">V82+AC82</f>
        <v>13</v>
      </c>
      <c r="AH82" s="11" t="n">
        <f aca="false">AG82/AF82</f>
        <v>0.419354838709677</v>
      </c>
      <c r="AI82" s="11" t="n">
        <f aca="false">L82</f>
        <v>0.880952380952381</v>
      </c>
      <c r="AJ82" s="12" t="n">
        <f aca="false">AI82-AH82</f>
        <v>0.461597542242704</v>
      </c>
    </row>
    <row r="83" customFormat="false" ht="15" hidden="false" customHeight="false" outlineLevel="0" collapsed="false">
      <c r="A83" s="3" t="s">
        <v>116</v>
      </c>
      <c r="B83" s="4" t="n">
        <f aca="false">COUNTIF(Positions!$B$2:$B$6912,A83)</f>
        <v>73</v>
      </c>
      <c r="C83" s="4" t="n">
        <f aca="false">COUNTIFS(Positions!$B$2:$B$6912,A83,Positions!$E$2:$E$6912,"G")</f>
        <v>25</v>
      </c>
      <c r="D83" s="4" t="n">
        <f aca="false">COUNTIFS(Positions!$B$2:$B$6912,A83,Positions!$E$2:$E$6912,"C")</f>
        <v>25</v>
      </c>
      <c r="E83" s="3" t="n">
        <f aca="false">C83+D83</f>
        <v>50</v>
      </c>
      <c r="F83" s="5" t="n">
        <f aca="false">E83/B83</f>
        <v>0.684931506849315</v>
      </c>
      <c r="G83" s="4" t="n">
        <f aca="false">SUMIFS(Stems_3D_BP!$K$2:$K$2689,Stems_3D_BP!$A$2:$A$2689,$A83,Stems_3D_BP!$B$2:$B$2689,"Acceptor stem")</f>
        <v>13</v>
      </c>
      <c r="H83" s="4" t="n">
        <f aca="false">SUMIFS(Stems_3D_BP!$K$2:$K$2689,Stems_3D_BP!$A$2:$A$2689,$A83,Stems_3D_BP!$B$2:$B$2689,"D-stem")</f>
        <v>6</v>
      </c>
      <c r="I83" s="4" t="n">
        <f aca="false">SUMIFS(Stems_3D_BP!$K$2:$K$2689,Stems_3D_BP!$A$2:$A$2689,$A83,Stems_3D_BP!$B$2:$B$2689,"Anticodon stem")</f>
        <v>8</v>
      </c>
      <c r="J83" s="4" t="n">
        <f aca="false">SUMIFS(Stems_3D_BP!$K$2:$K$2689,Stems_3D_BP!$A$2:$A$2689,$A83,Stems_3D_BP!$B$2:$B$2689,"T-stem")</f>
        <v>10</v>
      </c>
      <c r="K83" s="3" t="n">
        <f aca="false">SUM(G83:J83)</f>
        <v>37</v>
      </c>
      <c r="L83" s="5" t="n">
        <f aca="false">K83/42</f>
        <v>0.880952380952381</v>
      </c>
      <c r="M83" s="4" t="n">
        <f aca="false">SUMIFS(Stems_3D_BP!$K$2:$K$2689,Stems_3D_BP!$A$2:$A$2689,$A83,Stems_3D_BP!$B$2:$B$2689,"3D (tertiary) BP")</f>
        <v>7</v>
      </c>
      <c r="N83" s="6" t="n">
        <f aca="false">M83/14</f>
        <v>0.5</v>
      </c>
      <c r="O83" s="3" t="n">
        <f aca="false">K83+M83</f>
        <v>44</v>
      </c>
      <c r="P83" s="5" t="n">
        <f aca="false">O83/56</f>
        <v>0.785714285714286</v>
      </c>
      <c r="Q83" s="4" t="n">
        <f aca="false">SUMIFS(Loops!$I$2:$I$481,Loops!$A$2:$A$481,$A83,Loops!$B$2:$B$481,"D-loop")</f>
        <v>5</v>
      </c>
      <c r="R83" s="4" t="n">
        <f aca="false">SUMIFS(Loops!$I$2:$I$481,Loops!$A$2:$A$481,$A83,Loops!$B$2:$B$481,"Anticodon loop")</f>
        <v>2</v>
      </c>
      <c r="S83" s="4" t="n">
        <f aca="false">SUMIFS(Loops!$I$2:$I$481,Loops!$A$2:$A$481,$A83,Loops!$B$2:$B$481,"Variable loop")</f>
        <v>3</v>
      </c>
      <c r="T83" s="4" t="n">
        <f aca="false">SUMIFS(Loops!$I$2:$I$481,Loops!$A$2:$A$481,$A83,Loops!$B$2:$B$481,"TΨC-loop")</f>
        <v>1</v>
      </c>
      <c r="U83" s="4" t="n">
        <f aca="false">SUMIFS(Loops!$F$2:$F$481,Loops!$A$2:$A$481,$A83)-SUMIFS(Loops!$F$2:$F$481,Loops!$A$2:$A$481,$A83,Loops!$B$2:$B$481,"Positions 8, 9, 26")</f>
        <v>28</v>
      </c>
      <c r="V83" s="3" t="n">
        <f aca="false">SUM(Q83:T83)</f>
        <v>11</v>
      </c>
      <c r="W83" s="5" t="n">
        <f aca="false">V83/U83</f>
        <v>0.392857142857143</v>
      </c>
      <c r="X83" s="7" t="str">
        <f aca="false">INDEX(Positions!$E$2:$E$6912,MATCH($A83&amp;"|8",Positions!$A$2:$A$6912,0))</f>
        <v>U</v>
      </c>
      <c r="Y83" s="7" t="str">
        <f aca="false">INDEX(Positions!$E$2:$E$6912,MATCH($A83&amp;"|9",Positions!$A$2:$A$6912,0))</f>
        <v>G</v>
      </c>
      <c r="Z83" s="7" t="str">
        <f aca="false">INDEX(Positions!$E$2:$E$6912,MATCH($A83&amp;"|26",Positions!$A$2:$A$6912,0))</f>
        <v>G</v>
      </c>
      <c r="AA83" s="7" t="n">
        <f aca="false">(X83="G")+(Y83="G")+(Z83="G")</f>
        <v>2</v>
      </c>
      <c r="AB83" s="7" t="n">
        <f aca="false">(X83="C")+(Y83="C")+(Z83="C")</f>
        <v>0</v>
      </c>
      <c r="AC83" s="8" t="n">
        <f aca="false">AA83+AB83</f>
        <v>2</v>
      </c>
      <c r="AD83" s="9" t="n">
        <f aca="false">AC83/3</f>
        <v>0.666666666666667</v>
      </c>
      <c r="AE83" s="7" t="str">
        <f aca="false">IF(K83+V83+AC83=E83,"OK","MISMATCH")</f>
        <v>OK</v>
      </c>
      <c r="AF83" s="10" t="n">
        <f aca="false">B83-42</f>
        <v>31</v>
      </c>
      <c r="AG83" s="10" t="n">
        <f aca="false">V83+AC83</f>
        <v>13</v>
      </c>
      <c r="AH83" s="11" t="n">
        <f aca="false">AG83/AF83</f>
        <v>0.419354838709677</v>
      </c>
      <c r="AI83" s="11" t="n">
        <f aca="false">L83</f>
        <v>0.880952380952381</v>
      </c>
      <c r="AJ83" s="12" t="n">
        <f aca="false">AI83-AH83</f>
        <v>0.461597542242704</v>
      </c>
    </row>
    <row r="84" customFormat="false" ht="15" hidden="false" customHeight="false" outlineLevel="0" collapsed="false">
      <c r="A84" s="3" t="s">
        <v>117</v>
      </c>
      <c r="B84" s="4" t="n">
        <f aca="false">COUNTIF(Positions!$B$2:$B$6912,A84)</f>
        <v>73</v>
      </c>
      <c r="C84" s="4" t="n">
        <f aca="false">COUNTIFS(Positions!$B$2:$B$6912,A84,Positions!$E$2:$E$6912,"G")</f>
        <v>25</v>
      </c>
      <c r="D84" s="4" t="n">
        <f aca="false">COUNTIFS(Positions!$B$2:$B$6912,A84,Positions!$E$2:$E$6912,"C")</f>
        <v>25</v>
      </c>
      <c r="E84" s="3" t="n">
        <f aca="false">C84+D84</f>
        <v>50</v>
      </c>
      <c r="F84" s="5" t="n">
        <f aca="false">E84/B84</f>
        <v>0.684931506849315</v>
      </c>
      <c r="G84" s="4" t="n">
        <f aca="false">SUMIFS(Stems_3D_BP!$K$2:$K$2689,Stems_3D_BP!$A$2:$A$2689,$A84,Stems_3D_BP!$B$2:$B$2689,"Acceptor stem")</f>
        <v>13</v>
      </c>
      <c r="H84" s="4" t="n">
        <f aca="false">SUMIFS(Stems_3D_BP!$K$2:$K$2689,Stems_3D_BP!$A$2:$A$2689,$A84,Stems_3D_BP!$B$2:$B$2689,"D-stem")</f>
        <v>6</v>
      </c>
      <c r="I84" s="4" t="n">
        <f aca="false">SUMIFS(Stems_3D_BP!$K$2:$K$2689,Stems_3D_BP!$A$2:$A$2689,$A84,Stems_3D_BP!$B$2:$B$2689,"Anticodon stem")</f>
        <v>8</v>
      </c>
      <c r="J84" s="4" t="n">
        <f aca="false">SUMIFS(Stems_3D_BP!$K$2:$K$2689,Stems_3D_BP!$A$2:$A$2689,$A84,Stems_3D_BP!$B$2:$B$2689,"T-stem")</f>
        <v>10</v>
      </c>
      <c r="K84" s="3" t="n">
        <f aca="false">SUM(G84:J84)</f>
        <v>37</v>
      </c>
      <c r="L84" s="5" t="n">
        <f aca="false">K84/42</f>
        <v>0.880952380952381</v>
      </c>
      <c r="M84" s="4" t="n">
        <f aca="false">SUMIFS(Stems_3D_BP!$K$2:$K$2689,Stems_3D_BP!$A$2:$A$2689,$A84,Stems_3D_BP!$B$2:$B$2689,"3D (tertiary) BP")</f>
        <v>7</v>
      </c>
      <c r="N84" s="6" t="n">
        <f aca="false">M84/14</f>
        <v>0.5</v>
      </c>
      <c r="O84" s="3" t="n">
        <f aca="false">K84+M84</f>
        <v>44</v>
      </c>
      <c r="P84" s="5" t="n">
        <f aca="false">O84/56</f>
        <v>0.785714285714286</v>
      </c>
      <c r="Q84" s="4" t="n">
        <f aca="false">SUMIFS(Loops!$I$2:$I$481,Loops!$A$2:$A$481,$A84,Loops!$B$2:$B$481,"D-loop")</f>
        <v>5</v>
      </c>
      <c r="R84" s="4" t="n">
        <f aca="false">SUMIFS(Loops!$I$2:$I$481,Loops!$A$2:$A$481,$A84,Loops!$B$2:$B$481,"Anticodon loop")</f>
        <v>2</v>
      </c>
      <c r="S84" s="4" t="n">
        <f aca="false">SUMIFS(Loops!$I$2:$I$481,Loops!$A$2:$A$481,$A84,Loops!$B$2:$B$481,"Variable loop")</f>
        <v>3</v>
      </c>
      <c r="T84" s="4" t="n">
        <f aca="false">SUMIFS(Loops!$I$2:$I$481,Loops!$A$2:$A$481,$A84,Loops!$B$2:$B$481,"TΨC-loop")</f>
        <v>1</v>
      </c>
      <c r="U84" s="4" t="n">
        <f aca="false">SUMIFS(Loops!$F$2:$F$481,Loops!$A$2:$A$481,$A84)-SUMIFS(Loops!$F$2:$F$481,Loops!$A$2:$A$481,$A84,Loops!$B$2:$B$481,"Positions 8, 9, 26")</f>
        <v>28</v>
      </c>
      <c r="V84" s="3" t="n">
        <f aca="false">SUM(Q84:T84)</f>
        <v>11</v>
      </c>
      <c r="W84" s="5" t="n">
        <f aca="false">V84/U84</f>
        <v>0.392857142857143</v>
      </c>
      <c r="X84" s="7" t="str">
        <f aca="false">INDEX(Positions!$E$2:$E$6912,MATCH($A84&amp;"|8",Positions!$A$2:$A$6912,0))</f>
        <v>U</v>
      </c>
      <c r="Y84" s="7" t="str">
        <f aca="false">INDEX(Positions!$E$2:$E$6912,MATCH($A84&amp;"|9",Positions!$A$2:$A$6912,0))</f>
        <v>G</v>
      </c>
      <c r="Z84" s="7" t="str">
        <f aca="false">INDEX(Positions!$E$2:$E$6912,MATCH($A84&amp;"|26",Positions!$A$2:$A$6912,0))</f>
        <v>G</v>
      </c>
      <c r="AA84" s="7" t="n">
        <f aca="false">(X84="G")+(Y84="G")+(Z84="G")</f>
        <v>2</v>
      </c>
      <c r="AB84" s="7" t="n">
        <f aca="false">(X84="C")+(Y84="C")+(Z84="C")</f>
        <v>0</v>
      </c>
      <c r="AC84" s="8" t="n">
        <f aca="false">AA84+AB84</f>
        <v>2</v>
      </c>
      <c r="AD84" s="9" t="n">
        <f aca="false">AC84/3</f>
        <v>0.666666666666667</v>
      </c>
      <c r="AE84" s="7" t="str">
        <f aca="false">IF(K84+V84+AC84=E84,"OK","MISMATCH")</f>
        <v>OK</v>
      </c>
      <c r="AF84" s="10" t="n">
        <f aca="false">B84-42</f>
        <v>31</v>
      </c>
      <c r="AG84" s="10" t="n">
        <f aca="false">V84+AC84</f>
        <v>13</v>
      </c>
      <c r="AH84" s="11" t="n">
        <f aca="false">AG84/AF84</f>
        <v>0.419354838709677</v>
      </c>
      <c r="AI84" s="11" t="n">
        <f aca="false">L84</f>
        <v>0.880952380952381</v>
      </c>
      <c r="AJ84" s="12" t="n">
        <f aca="false">AI84-AH84</f>
        <v>0.461597542242704</v>
      </c>
    </row>
    <row r="85" customFormat="false" ht="15" hidden="false" customHeight="false" outlineLevel="0" collapsed="false">
      <c r="A85" s="3" t="s">
        <v>118</v>
      </c>
      <c r="B85" s="4" t="n">
        <f aca="false">COUNTIF(Positions!$B$2:$B$6912,A85)</f>
        <v>72</v>
      </c>
      <c r="C85" s="4" t="n">
        <f aca="false">COUNTIFS(Positions!$B$2:$B$6912,A85,Positions!$E$2:$E$6912,"G")</f>
        <v>24</v>
      </c>
      <c r="D85" s="4" t="n">
        <f aca="false">COUNTIFS(Positions!$B$2:$B$6912,A85,Positions!$E$2:$E$6912,"C")</f>
        <v>19</v>
      </c>
      <c r="E85" s="3" t="n">
        <f aca="false">C85+D85</f>
        <v>43</v>
      </c>
      <c r="F85" s="5" t="n">
        <f aca="false">E85/B85</f>
        <v>0.597222222222222</v>
      </c>
      <c r="G85" s="4" t="n">
        <f aca="false">SUMIFS(Stems_3D_BP!$K$2:$K$2689,Stems_3D_BP!$A$2:$A$2689,$A85,Stems_3D_BP!$B$2:$B$2689,"Acceptor stem")</f>
        <v>12</v>
      </c>
      <c r="H85" s="4" t="n">
        <f aca="false">SUMIFS(Stems_3D_BP!$K$2:$K$2689,Stems_3D_BP!$A$2:$A$2689,$A85,Stems_3D_BP!$B$2:$B$2689,"D-stem")</f>
        <v>6</v>
      </c>
      <c r="I85" s="4" t="n">
        <f aca="false">SUMIFS(Stems_3D_BP!$K$2:$K$2689,Stems_3D_BP!$A$2:$A$2689,$A85,Stems_3D_BP!$B$2:$B$2689,"Anticodon stem")</f>
        <v>6</v>
      </c>
      <c r="J85" s="4" t="n">
        <f aca="false">SUMIFS(Stems_3D_BP!$K$2:$K$2689,Stems_3D_BP!$A$2:$A$2689,$A85,Stems_3D_BP!$B$2:$B$2689,"T-stem")</f>
        <v>9</v>
      </c>
      <c r="K85" s="3" t="n">
        <f aca="false">SUM(G85:J85)</f>
        <v>33</v>
      </c>
      <c r="L85" s="5" t="n">
        <f aca="false">K85/42</f>
        <v>0.785714285714286</v>
      </c>
      <c r="M85" s="4" t="n">
        <f aca="false">SUMIFS(Stems_3D_BP!$K$2:$K$2689,Stems_3D_BP!$A$2:$A$2689,$A85,Stems_3D_BP!$B$2:$B$2689,"3D (tertiary) BP")</f>
        <v>7</v>
      </c>
      <c r="N85" s="6" t="n">
        <f aca="false">M85/14</f>
        <v>0.5</v>
      </c>
      <c r="O85" s="3" t="n">
        <f aca="false">K85+M85</f>
        <v>40</v>
      </c>
      <c r="P85" s="5" t="n">
        <f aca="false">O85/56</f>
        <v>0.714285714285714</v>
      </c>
      <c r="Q85" s="4" t="n">
        <f aca="false">SUMIFS(Loops!$I$2:$I$481,Loops!$A$2:$A$481,$A85,Loops!$B$2:$B$481,"D-loop")</f>
        <v>3</v>
      </c>
      <c r="R85" s="4" t="n">
        <f aca="false">SUMIFS(Loops!$I$2:$I$481,Loops!$A$2:$A$481,$A85,Loops!$B$2:$B$481,"Anticodon loop")</f>
        <v>2</v>
      </c>
      <c r="S85" s="4" t="n">
        <f aca="false">SUMIFS(Loops!$I$2:$I$481,Loops!$A$2:$A$481,$A85,Loops!$B$2:$B$481,"Variable loop")</f>
        <v>3</v>
      </c>
      <c r="T85" s="4" t="n">
        <f aca="false">SUMIFS(Loops!$I$2:$I$481,Loops!$A$2:$A$481,$A85,Loops!$B$2:$B$481,"TΨC-loop")</f>
        <v>2</v>
      </c>
      <c r="U85" s="4" t="n">
        <f aca="false">SUMIFS(Loops!$F$2:$F$481,Loops!$A$2:$A$481,$A85)-SUMIFS(Loops!$F$2:$F$481,Loops!$A$2:$A$481,$A85,Loops!$B$2:$B$481,"Positions 8, 9, 26")</f>
        <v>27</v>
      </c>
      <c r="V85" s="3" t="n">
        <f aca="false">SUM(Q85:T85)</f>
        <v>10</v>
      </c>
      <c r="W85" s="5" t="n">
        <f aca="false">V85/U85</f>
        <v>0.37037037037037</v>
      </c>
      <c r="X85" s="7" t="str">
        <f aca="false">INDEX(Positions!$E$2:$E$6912,MATCH($A85&amp;"|8",Positions!$A$2:$A$6912,0))</f>
        <v>U</v>
      </c>
      <c r="Y85" s="7" t="str">
        <f aca="false">INDEX(Positions!$E$2:$E$6912,MATCH($A85&amp;"|9",Positions!$A$2:$A$6912,0))</f>
        <v>A</v>
      </c>
      <c r="Z85" s="7" t="str">
        <f aca="false">INDEX(Positions!$E$2:$E$6912,MATCH($A85&amp;"|26",Positions!$A$2:$A$6912,0))</f>
        <v>A</v>
      </c>
      <c r="AA85" s="7" t="n">
        <f aca="false">(X85="G")+(Y85="G")+(Z85="G")</f>
        <v>0</v>
      </c>
      <c r="AB85" s="7" t="n">
        <f aca="false">(X85="C")+(Y85="C")+(Z85="C")</f>
        <v>0</v>
      </c>
      <c r="AC85" s="8" t="n">
        <f aca="false">AA85+AB85</f>
        <v>0</v>
      </c>
      <c r="AD85" s="9" t="n">
        <f aca="false">AC85/3</f>
        <v>0</v>
      </c>
      <c r="AE85" s="7" t="str">
        <f aca="false">IF(K85+V85+AC85=E85,"OK","MISMATCH")</f>
        <v>OK</v>
      </c>
      <c r="AF85" s="10" t="n">
        <f aca="false">B85-42</f>
        <v>30</v>
      </c>
      <c r="AG85" s="10" t="n">
        <f aca="false">V85+AC85</f>
        <v>10</v>
      </c>
      <c r="AH85" s="11" t="n">
        <f aca="false">AG85/AF85</f>
        <v>0.333333333333333</v>
      </c>
      <c r="AI85" s="11" t="n">
        <f aca="false">L85</f>
        <v>0.785714285714286</v>
      </c>
      <c r="AJ85" s="12" t="n">
        <f aca="false">AI85-AH85</f>
        <v>0.452380952380952</v>
      </c>
    </row>
    <row r="86" customFormat="false" ht="15" hidden="false" customHeight="false" outlineLevel="0" collapsed="false">
      <c r="A86" s="3" t="s">
        <v>119</v>
      </c>
      <c r="B86" s="4" t="n">
        <f aca="false">COUNTIF(Positions!$B$2:$B$6912,A86)</f>
        <v>72</v>
      </c>
      <c r="C86" s="4" t="n">
        <f aca="false">COUNTIFS(Positions!$B$2:$B$6912,A86,Positions!$E$2:$E$6912,"G")</f>
        <v>25</v>
      </c>
      <c r="D86" s="4" t="n">
        <f aca="false">COUNTIFS(Positions!$B$2:$B$6912,A86,Positions!$E$2:$E$6912,"C")</f>
        <v>18</v>
      </c>
      <c r="E86" s="3" t="n">
        <f aca="false">C86+D86</f>
        <v>43</v>
      </c>
      <c r="F86" s="5" t="n">
        <f aca="false">E86/B86</f>
        <v>0.597222222222222</v>
      </c>
      <c r="G86" s="4" t="n">
        <f aca="false">SUMIFS(Stems_3D_BP!$K$2:$K$2689,Stems_3D_BP!$A$2:$A$2689,$A86,Stems_3D_BP!$B$2:$B$2689,"Acceptor stem")</f>
        <v>9</v>
      </c>
      <c r="H86" s="4" t="n">
        <f aca="false">SUMIFS(Stems_3D_BP!$K$2:$K$2689,Stems_3D_BP!$A$2:$A$2689,$A86,Stems_3D_BP!$B$2:$B$2689,"D-stem")</f>
        <v>6</v>
      </c>
      <c r="I86" s="4" t="n">
        <f aca="false">SUMIFS(Stems_3D_BP!$K$2:$K$2689,Stems_3D_BP!$A$2:$A$2689,$A86,Stems_3D_BP!$B$2:$B$2689,"Anticodon stem")</f>
        <v>8</v>
      </c>
      <c r="J86" s="4" t="n">
        <f aca="false">SUMIFS(Stems_3D_BP!$K$2:$K$2689,Stems_3D_BP!$A$2:$A$2689,$A86,Stems_3D_BP!$B$2:$B$2689,"T-stem")</f>
        <v>10</v>
      </c>
      <c r="K86" s="3" t="n">
        <f aca="false">SUM(G86:J86)</f>
        <v>33</v>
      </c>
      <c r="L86" s="5" t="n">
        <f aca="false">K86/42</f>
        <v>0.785714285714286</v>
      </c>
      <c r="M86" s="4" t="n">
        <f aca="false">SUMIFS(Stems_3D_BP!$K$2:$K$2689,Stems_3D_BP!$A$2:$A$2689,$A86,Stems_3D_BP!$B$2:$B$2689,"3D (tertiary) BP")</f>
        <v>4</v>
      </c>
      <c r="N86" s="6" t="n">
        <f aca="false">M86/14</f>
        <v>0.285714285714286</v>
      </c>
      <c r="O86" s="3" t="n">
        <f aca="false">K86+M86</f>
        <v>37</v>
      </c>
      <c r="P86" s="5" t="n">
        <f aca="false">O86/56</f>
        <v>0.660714285714286</v>
      </c>
      <c r="Q86" s="4" t="n">
        <f aca="false">SUMIFS(Loops!$I$2:$I$481,Loops!$A$2:$A$481,$A86,Loops!$B$2:$B$481,"D-loop")</f>
        <v>2</v>
      </c>
      <c r="R86" s="4" t="n">
        <f aca="false">SUMIFS(Loops!$I$2:$I$481,Loops!$A$2:$A$481,$A86,Loops!$B$2:$B$481,"Anticodon loop")</f>
        <v>2</v>
      </c>
      <c r="S86" s="4" t="n">
        <f aca="false">SUMIFS(Loops!$I$2:$I$481,Loops!$A$2:$A$481,$A86,Loops!$B$2:$B$481,"Variable loop")</f>
        <v>2</v>
      </c>
      <c r="T86" s="4" t="n">
        <f aca="false">SUMIFS(Loops!$I$2:$I$481,Loops!$A$2:$A$481,$A86,Loops!$B$2:$B$481,"TΨC-loop")</f>
        <v>3</v>
      </c>
      <c r="U86" s="4" t="n">
        <f aca="false">SUMIFS(Loops!$F$2:$F$481,Loops!$A$2:$A$481,$A86)-SUMIFS(Loops!$F$2:$F$481,Loops!$A$2:$A$481,$A86,Loops!$B$2:$B$481,"Positions 8, 9, 26")</f>
        <v>27</v>
      </c>
      <c r="V86" s="3" t="n">
        <f aca="false">SUM(Q86:T86)</f>
        <v>9</v>
      </c>
      <c r="W86" s="5" t="n">
        <f aca="false">V86/U86</f>
        <v>0.333333333333333</v>
      </c>
      <c r="X86" s="7" t="str">
        <f aca="false">INDEX(Positions!$E$2:$E$6912,MATCH($A86&amp;"|8",Positions!$A$2:$A$6912,0))</f>
        <v>U</v>
      </c>
      <c r="Y86" s="7" t="str">
        <f aca="false">INDEX(Positions!$E$2:$E$6912,MATCH($A86&amp;"|9",Positions!$A$2:$A$6912,0))</f>
        <v>A</v>
      </c>
      <c r="Z86" s="7" t="str">
        <f aca="false">INDEX(Positions!$E$2:$E$6912,MATCH($A86&amp;"|26",Positions!$A$2:$A$6912,0))</f>
        <v>G</v>
      </c>
      <c r="AA86" s="7" t="n">
        <f aca="false">(X86="G")+(Y86="G")+(Z86="G")</f>
        <v>1</v>
      </c>
      <c r="AB86" s="7" t="n">
        <f aca="false">(X86="C")+(Y86="C")+(Z86="C")</f>
        <v>0</v>
      </c>
      <c r="AC86" s="8" t="n">
        <f aca="false">AA86+AB86</f>
        <v>1</v>
      </c>
      <c r="AD86" s="9" t="n">
        <f aca="false">AC86/3</f>
        <v>0.333333333333333</v>
      </c>
      <c r="AE86" s="7" t="str">
        <f aca="false">IF(K86+V86+AC86=E86,"OK","MISMATCH")</f>
        <v>OK</v>
      </c>
      <c r="AF86" s="10" t="n">
        <f aca="false">B86-42</f>
        <v>30</v>
      </c>
      <c r="AG86" s="10" t="n">
        <f aca="false">V86+AC86</f>
        <v>10</v>
      </c>
      <c r="AH86" s="11" t="n">
        <f aca="false">AG86/AF86</f>
        <v>0.333333333333333</v>
      </c>
      <c r="AI86" s="11" t="n">
        <f aca="false">L86</f>
        <v>0.785714285714286</v>
      </c>
      <c r="AJ86" s="12" t="n">
        <f aca="false">AI86-AH86</f>
        <v>0.452380952380952</v>
      </c>
    </row>
    <row r="87" customFormat="false" ht="15" hidden="false" customHeight="false" outlineLevel="0" collapsed="false">
      <c r="A87" s="3" t="s">
        <v>120</v>
      </c>
      <c r="B87" s="4" t="n">
        <f aca="false">COUNTIF(Positions!$B$2:$B$6912,A87)</f>
        <v>72</v>
      </c>
      <c r="C87" s="4" t="n">
        <f aca="false">COUNTIFS(Positions!$B$2:$B$6912,A87,Positions!$E$2:$E$6912,"G")</f>
        <v>24</v>
      </c>
      <c r="D87" s="4" t="n">
        <f aca="false">COUNTIFS(Positions!$B$2:$B$6912,A87,Positions!$E$2:$E$6912,"C")</f>
        <v>17</v>
      </c>
      <c r="E87" s="3" t="n">
        <f aca="false">C87+D87</f>
        <v>41</v>
      </c>
      <c r="F87" s="5" t="n">
        <f aca="false">E87/B87</f>
        <v>0.569444444444444</v>
      </c>
      <c r="G87" s="4" t="n">
        <f aca="false">SUMIFS(Stems_3D_BP!$K$2:$K$2689,Stems_3D_BP!$A$2:$A$2689,$A87,Stems_3D_BP!$B$2:$B$2689,"Acceptor stem")</f>
        <v>7</v>
      </c>
      <c r="H87" s="4" t="n">
        <f aca="false">SUMIFS(Stems_3D_BP!$K$2:$K$2689,Stems_3D_BP!$A$2:$A$2689,$A87,Stems_3D_BP!$B$2:$B$2689,"D-stem")</f>
        <v>6</v>
      </c>
      <c r="I87" s="4" t="n">
        <f aca="false">SUMIFS(Stems_3D_BP!$K$2:$K$2689,Stems_3D_BP!$A$2:$A$2689,$A87,Stems_3D_BP!$B$2:$B$2689,"Anticodon stem")</f>
        <v>8</v>
      </c>
      <c r="J87" s="4" t="n">
        <f aca="false">SUMIFS(Stems_3D_BP!$K$2:$K$2689,Stems_3D_BP!$A$2:$A$2689,$A87,Stems_3D_BP!$B$2:$B$2689,"T-stem")</f>
        <v>10</v>
      </c>
      <c r="K87" s="3" t="n">
        <f aca="false">SUM(G87:J87)</f>
        <v>31</v>
      </c>
      <c r="L87" s="5" t="n">
        <f aca="false">K87/42</f>
        <v>0.738095238095238</v>
      </c>
      <c r="M87" s="4" t="n">
        <f aca="false">SUMIFS(Stems_3D_BP!$K$2:$K$2689,Stems_3D_BP!$A$2:$A$2689,$A87,Stems_3D_BP!$B$2:$B$2689,"3D (tertiary) BP")</f>
        <v>4</v>
      </c>
      <c r="N87" s="6" t="n">
        <f aca="false">M87/14</f>
        <v>0.285714285714286</v>
      </c>
      <c r="O87" s="3" t="n">
        <f aca="false">K87+M87</f>
        <v>35</v>
      </c>
      <c r="P87" s="5" t="n">
        <f aca="false">O87/56</f>
        <v>0.625</v>
      </c>
      <c r="Q87" s="4" t="n">
        <f aca="false">SUMIFS(Loops!$I$2:$I$481,Loops!$A$2:$A$481,$A87,Loops!$B$2:$B$481,"D-loop")</f>
        <v>2</v>
      </c>
      <c r="R87" s="4" t="n">
        <f aca="false">SUMIFS(Loops!$I$2:$I$481,Loops!$A$2:$A$481,$A87,Loops!$B$2:$B$481,"Anticodon loop")</f>
        <v>2</v>
      </c>
      <c r="S87" s="4" t="n">
        <f aca="false">SUMIFS(Loops!$I$2:$I$481,Loops!$A$2:$A$481,$A87,Loops!$B$2:$B$481,"Variable loop")</f>
        <v>2</v>
      </c>
      <c r="T87" s="4" t="n">
        <f aca="false">SUMIFS(Loops!$I$2:$I$481,Loops!$A$2:$A$481,$A87,Loops!$B$2:$B$481,"TΨC-loop")</f>
        <v>3</v>
      </c>
      <c r="U87" s="4" t="n">
        <f aca="false">SUMIFS(Loops!$F$2:$F$481,Loops!$A$2:$A$481,$A87)-SUMIFS(Loops!$F$2:$F$481,Loops!$A$2:$A$481,$A87,Loops!$B$2:$B$481,"Positions 8, 9, 26")</f>
        <v>27</v>
      </c>
      <c r="V87" s="3" t="n">
        <f aca="false">SUM(Q87:T87)</f>
        <v>9</v>
      </c>
      <c r="W87" s="5" t="n">
        <f aca="false">V87/U87</f>
        <v>0.333333333333333</v>
      </c>
      <c r="X87" s="7" t="str">
        <f aca="false">INDEX(Positions!$E$2:$E$6912,MATCH($A87&amp;"|8",Positions!$A$2:$A$6912,0))</f>
        <v>U</v>
      </c>
      <c r="Y87" s="7" t="str">
        <f aca="false">INDEX(Positions!$E$2:$E$6912,MATCH($A87&amp;"|9",Positions!$A$2:$A$6912,0))</f>
        <v>A</v>
      </c>
      <c r="Z87" s="7" t="str">
        <f aca="false">INDEX(Positions!$E$2:$E$6912,MATCH($A87&amp;"|26",Positions!$A$2:$A$6912,0))</f>
        <v>G</v>
      </c>
      <c r="AA87" s="7" t="n">
        <f aca="false">(X87="G")+(Y87="G")+(Z87="G")</f>
        <v>1</v>
      </c>
      <c r="AB87" s="7" t="n">
        <f aca="false">(X87="C")+(Y87="C")+(Z87="C")</f>
        <v>0</v>
      </c>
      <c r="AC87" s="8" t="n">
        <f aca="false">AA87+AB87</f>
        <v>1</v>
      </c>
      <c r="AD87" s="9" t="n">
        <f aca="false">AC87/3</f>
        <v>0.333333333333333</v>
      </c>
      <c r="AE87" s="7" t="str">
        <f aca="false">IF(K87+V87+AC87=E87,"OK","MISMATCH")</f>
        <v>OK</v>
      </c>
      <c r="AF87" s="10" t="n">
        <f aca="false">B87-42</f>
        <v>30</v>
      </c>
      <c r="AG87" s="10" t="n">
        <f aca="false">V87+AC87</f>
        <v>10</v>
      </c>
      <c r="AH87" s="11" t="n">
        <f aca="false">AG87/AF87</f>
        <v>0.333333333333333</v>
      </c>
      <c r="AI87" s="11" t="n">
        <f aca="false">L87</f>
        <v>0.738095238095238</v>
      </c>
      <c r="AJ87" s="12" t="n">
        <f aca="false">AI87-AH87</f>
        <v>0.404761904761905</v>
      </c>
    </row>
    <row r="88" customFormat="false" ht="15" hidden="false" customHeight="false" outlineLevel="0" collapsed="false">
      <c r="A88" s="3" t="s">
        <v>121</v>
      </c>
      <c r="B88" s="4" t="n">
        <f aca="false">COUNTIF(Positions!$B$2:$B$6912,A88)</f>
        <v>71</v>
      </c>
      <c r="C88" s="4" t="n">
        <f aca="false">COUNTIFS(Positions!$B$2:$B$6912,A88,Positions!$E$2:$E$6912,"G")</f>
        <v>20</v>
      </c>
      <c r="D88" s="4" t="n">
        <f aca="false">COUNTIFS(Positions!$B$2:$B$6912,A88,Positions!$E$2:$E$6912,"C")</f>
        <v>18</v>
      </c>
      <c r="E88" s="3" t="n">
        <f aca="false">C88+D88</f>
        <v>38</v>
      </c>
      <c r="F88" s="5" t="n">
        <f aca="false">E88/B88</f>
        <v>0.535211267605634</v>
      </c>
      <c r="G88" s="4" t="n">
        <f aca="false">SUMIFS(Stems_3D_BP!$K$2:$K$2689,Stems_3D_BP!$A$2:$A$2689,$A88,Stems_3D_BP!$B$2:$B$2689,"Acceptor stem")</f>
        <v>11</v>
      </c>
      <c r="H88" s="4" t="n">
        <f aca="false">SUMIFS(Stems_3D_BP!$K$2:$K$2689,Stems_3D_BP!$A$2:$A$2689,$A88,Stems_3D_BP!$B$2:$B$2689,"D-stem")</f>
        <v>5</v>
      </c>
      <c r="I88" s="4" t="n">
        <f aca="false">SUMIFS(Stems_3D_BP!$K$2:$K$2689,Stems_3D_BP!$A$2:$A$2689,$A88,Stems_3D_BP!$B$2:$B$2689,"Anticodon stem")</f>
        <v>6</v>
      </c>
      <c r="J88" s="4" t="n">
        <f aca="false">SUMIFS(Stems_3D_BP!$K$2:$K$2689,Stems_3D_BP!$A$2:$A$2689,$A88,Stems_3D_BP!$B$2:$B$2689,"T-stem")</f>
        <v>8</v>
      </c>
      <c r="K88" s="3" t="n">
        <f aca="false">SUM(G88:J88)</f>
        <v>30</v>
      </c>
      <c r="L88" s="5" t="n">
        <f aca="false">K88/42</f>
        <v>0.714285714285714</v>
      </c>
      <c r="M88" s="4" t="n">
        <f aca="false">SUMIFS(Stems_3D_BP!$K$2:$K$2689,Stems_3D_BP!$A$2:$A$2689,$A88,Stems_3D_BP!$B$2:$B$2689,"3D (tertiary) BP")</f>
        <v>5</v>
      </c>
      <c r="N88" s="6" t="n">
        <f aca="false">M88/14</f>
        <v>0.357142857142857</v>
      </c>
      <c r="O88" s="3" t="n">
        <f aca="false">K88+M88</f>
        <v>35</v>
      </c>
      <c r="P88" s="5" t="n">
        <f aca="false">O88/56</f>
        <v>0.625</v>
      </c>
      <c r="Q88" s="4" t="n">
        <f aca="false">SUMIFS(Loops!$I$2:$I$481,Loops!$A$2:$A$481,$A88,Loops!$B$2:$B$481,"D-loop")</f>
        <v>2</v>
      </c>
      <c r="R88" s="4" t="n">
        <f aca="false">SUMIFS(Loops!$I$2:$I$481,Loops!$A$2:$A$481,$A88,Loops!$B$2:$B$481,"Anticodon loop")</f>
        <v>2</v>
      </c>
      <c r="S88" s="4" t="n">
        <f aca="false">SUMIFS(Loops!$I$2:$I$481,Loops!$A$2:$A$481,$A88,Loops!$B$2:$B$481,"Variable loop")</f>
        <v>2</v>
      </c>
      <c r="T88" s="4" t="n">
        <f aca="false">SUMIFS(Loops!$I$2:$I$481,Loops!$A$2:$A$481,$A88,Loops!$B$2:$B$481,"TΨC-loop")</f>
        <v>1</v>
      </c>
      <c r="U88" s="4" t="n">
        <f aca="false">SUMIFS(Loops!$F$2:$F$481,Loops!$A$2:$A$481,$A88)-SUMIFS(Loops!$F$2:$F$481,Loops!$A$2:$A$481,$A88,Loops!$B$2:$B$481,"Positions 8, 9, 26")</f>
        <v>26</v>
      </c>
      <c r="V88" s="3" t="n">
        <f aca="false">SUM(Q88:T88)</f>
        <v>7</v>
      </c>
      <c r="W88" s="5" t="n">
        <f aca="false">V88/U88</f>
        <v>0.269230769230769</v>
      </c>
      <c r="X88" s="7" t="str">
        <f aca="false">INDEX(Positions!$E$2:$E$6912,MATCH($A88&amp;"|8",Positions!$A$2:$A$6912,0))</f>
        <v>U</v>
      </c>
      <c r="Y88" s="7" t="str">
        <f aca="false">INDEX(Positions!$E$2:$E$6912,MATCH($A88&amp;"|9",Positions!$A$2:$A$6912,0))</f>
        <v>G</v>
      </c>
      <c r="Z88" s="7" t="str">
        <f aca="false">INDEX(Positions!$E$2:$E$6912,MATCH($A88&amp;"|26",Positions!$A$2:$A$6912,0))</f>
        <v>U</v>
      </c>
      <c r="AA88" s="7" t="n">
        <f aca="false">(X88="G")+(Y88="G")+(Z88="G")</f>
        <v>1</v>
      </c>
      <c r="AB88" s="7" t="n">
        <f aca="false">(X88="C")+(Y88="C")+(Z88="C")</f>
        <v>0</v>
      </c>
      <c r="AC88" s="8" t="n">
        <f aca="false">AA88+AB88</f>
        <v>1</v>
      </c>
      <c r="AD88" s="9" t="n">
        <f aca="false">AC88/3</f>
        <v>0.333333333333333</v>
      </c>
      <c r="AE88" s="7" t="str">
        <f aca="false">IF(K88+V88+AC88=E88,"OK","MISMATCH")</f>
        <v>OK</v>
      </c>
      <c r="AF88" s="10" t="n">
        <f aca="false">B88-42</f>
        <v>29</v>
      </c>
      <c r="AG88" s="10" t="n">
        <f aca="false">V88+AC88</f>
        <v>8</v>
      </c>
      <c r="AH88" s="11" t="n">
        <f aca="false">AG88/AF88</f>
        <v>0.275862068965517</v>
      </c>
      <c r="AI88" s="11" t="n">
        <f aca="false">L88</f>
        <v>0.714285714285714</v>
      </c>
      <c r="AJ88" s="12" t="n">
        <f aca="false">AI88-AH88</f>
        <v>0.438423645320197</v>
      </c>
    </row>
    <row r="89" customFormat="false" ht="15" hidden="false" customHeight="false" outlineLevel="0" collapsed="false">
      <c r="A89" s="3" t="s">
        <v>122</v>
      </c>
      <c r="B89" s="4" t="n">
        <f aca="false">COUNTIF(Positions!$B$2:$B$6912,A89)</f>
        <v>71</v>
      </c>
      <c r="C89" s="4" t="n">
        <f aca="false">COUNTIFS(Positions!$B$2:$B$6912,A89,Positions!$E$2:$E$6912,"G")</f>
        <v>20</v>
      </c>
      <c r="D89" s="4" t="n">
        <f aca="false">COUNTIFS(Positions!$B$2:$B$6912,A89,Positions!$E$2:$E$6912,"C")</f>
        <v>17</v>
      </c>
      <c r="E89" s="3" t="n">
        <f aca="false">C89+D89</f>
        <v>37</v>
      </c>
      <c r="F89" s="5" t="n">
        <f aca="false">E89/B89</f>
        <v>0.52112676056338</v>
      </c>
      <c r="G89" s="4" t="n">
        <f aca="false">SUMIFS(Stems_3D_BP!$K$2:$K$2689,Stems_3D_BP!$A$2:$A$2689,$A89,Stems_3D_BP!$B$2:$B$2689,"Acceptor stem")</f>
        <v>10</v>
      </c>
      <c r="H89" s="4" t="n">
        <f aca="false">SUMIFS(Stems_3D_BP!$K$2:$K$2689,Stems_3D_BP!$A$2:$A$2689,$A89,Stems_3D_BP!$B$2:$B$2689,"D-stem")</f>
        <v>5</v>
      </c>
      <c r="I89" s="4" t="n">
        <f aca="false">SUMIFS(Stems_3D_BP!$K$2:$K$2689,Stems_3D_BP!$A$2:$A$2689,$A89,Stems_3D_BP!$B$2:$B$2689,"Anticodon stem")</f>
        <v>6</v>
      </c>
      <c r="J89" s="4" t="n">
        <f aca="false">SUMIFS(Stems_3D_BP!$K$2:$K$2689,Stems_3D_BP!$A$2:$A$2689,$A89,Stems_3D_BP!$B$2:$B$2689,"T-stem")</f>
        <v>8</v>
      </c>
      <c r="K89" s="3" t="n">
        <f aca="false">SUM(G89:J89)</f>
        <v>29</v>
      </c>
      <c r="L89" s="5" t="n">
        <f aca="false">K89/42</f>
        <v>0.690476190476191</v>
      </c>
      <c r="M89" s="4" t="n">
        <f aca="false">SUMIFS(Stems_3D_BP!$K$2:$K$2689,Stems_3D_BP!$A$2:$A$2689,$A89,Stems_3D_BP!$B$2:$B$2689,"3D (tertiary) BP")</f>
        <v>5</v>
      </c>
      <c r="N89" s="6" t="n">
        <f aca="false">M89/14</f>
        <v>0.357142857142857</v>
      </c>
      <c r="O89" s="3" t="n">
        <f aca="false">K89+M89</f>
        <v>34</v>
      </c>
      <c r="P89" s="5" t="n">
        <f aca="false">O89/56</f>
        <v>0.607142857142857</v>
      </c>
      <c r="Q89" s="4" t="n">
        <f aca="false">SUMIFS(Loops!$I$2:$I$481,Loops!$A$2:$A$481,$A89,Loops!$B$2:$B$481,"D-loop")</f>
        <v>2</v>
      </c>
      <c r="R89" s="4" t="n">
        <f aca="false">SUMIFS(Loops!$I$2:$I$481,Loops!$A$2:$A$481,$A89,Loops!$B$2:$B$481,"Anticodon loop")</f>
        <v>2</v>
      </c>
      <c r="S89" s="4" t="n">
        <f aca="false">SUMIFS(Loops!$I$2:$I$481,Loops!$A$2:$A$481,$A89,Loops!$B$2:$B$481,"Variable loop")</f>
        <v>2</v>
      </c>
      <c r="T89" s="4" t="n">
        <f aca="false">SUMIFS(Loops!$I$2:$I$481,Loops!$A$2:$A$481,$A89,Loops!$B$2:$B$481,"TΨC-loop")</f>
        <v>1</v>
      </c>
      <c r="U89" s="4" t="n">
        <f aca="false">SUMIFS(Loops!$F$2:$F$481,Loops!$A$2:$A$481,$A89)-SUMIFS(Loops!$F$2:$F$481,Loops!$A$2:$A$481,$A89,Loops!$B$2:$B$481,"Positions 8, 9, 26")</f>
        <v>26</v>
      </c>
      <c r="V89" s="3" t="n">
        <f aca="false">SUM(Q89:T89)</f>
        <v>7</v>
      </c>
      <c r="W89" s="5" t="n">
        <f aca="false">V89/U89</f>
        <v>0.269230769230769</v>
      </c>
      <c r="X89" s="7" t="str">
        <f aca="false">INDEX(Positions!$E$2:$E$6912,MATCH($A89&amp;"|8",Positions!$A$2:$A$6912,0))</f>
        <v>U</v>
      </c>
      <c r="Y89" s="7" t="str">
        <f aca="false">INDEX(Positions!$E$2:$E$6912,MATCH($A89&amp;"|9",Positions!$A$2:$A$6912,0))</f>
        <v>G</v>
      </c>
      <c r="Z89" s="7" t="str">
        <f aca="false">INDEX(Positions!$E$2:$E$6912,MATCH($A89&amp;"|26",Positions!$A$2:$A$6912,0))</f>
        <v>U</v>
      </c>
      <c r="AA89" s="7" t="n">
        <f aca="false">(X89="G")+(Y89="G")+(Z89="G")</f>
        <v>1</v>
      </c>
      <c r="AB89" s="7" t="n">
        <f aca="false">(X89="C")+(Y89="C")+(Z89="C")</f>
        <v>0</v>
      </c>
      <c r="AC89" s="8" t="n">
        <f aca="false">AA89+AB89</f>
        <v>1</v>
      </c>
      <c r="AD89" s="9" t="n">
        <f aca="false">AC89/3</f>
        <v>0.333333333333333</v>
      </c>
      <c r="AE89" s="7" t="str">
        <f aca="false">IF(K89+V89+AC89=E89,"OK","MISMATCH")</f>
        <v>OK</v>
      </c>
      <c r="AF89" s="10" t="n">
        <f aca="false">B89-42</f>
        <v>29</v>
      </c>
      <c r="AG89" s="10" t="n">
        <f aca="false">V89+AC89</f>
        <v>8</v>
      </c>
      <c r="AH89" s="11" t="n">
        <f aca="false">AG89/AF89</f>
        <v>0.275862068965517</v>
      </c>
      <c r="AI89" s="11" t="n">
        <f aca="false">L89</f>
        <v>0.690476190476191</v>
      </c>
      <c r="AJ89" s="12" t="n">
        <f aca="false">AI89-AH89</f>
        <v>0.414614121510673</v>
      </c>
    </row>
    <row r="90" customFormat="false" ht="15" hidden="false" customHeight="false" outlineLevel="0" collapsed="false">
      <c r="A90" s="3" t="s">
        <v>123</v>
      </c>
      <c r="B90" s="4" t="n">
        <f aca="false">COUNTIF(Positions!$B$2:$B$6912,A90)</f>
        <v>71</v>
      </c>
      <c r="C90" s="4" t="n">
        <f aca="false">COUNTIFS(Positions!$B$2:$B$6912,A90,Positions!$E$2:$E$6912,"G")</f>
        <v>25</v>
      </c>
      <c r="D90" s="4" t="n">
        <f aca="false">COUNTIFS(Positions!$B$2:$B$6912,A90,Positions!$E$2:$E$6912,"C")</f>
        <v>22</v>
      </c>
      <c r="E90" s="3" t="n">
        <f aca="false">C90+D90</f>
        <v>47</v>
      </c>
      <c r="F90" s="5" t="n">
        <f aca="false">E90/B90</f>
        <v>0.661971830985916</v>
      </c>
      <c r="G90" s="4" t="n">
        <f aca="false">SUMIFS(Stems_3D_BP!$K$2:$K$2689,Stems_3D_BP!$A$2:$A$2689,$A90,Stems_3D_BP!$B$2:$B$2689,"Acceptor stem")</f>
        <v>9</v>
      </c>
      <c r="H90" s="4" t="n">
        <f aca="false">SUMIFS(Stems_3D_BP!$K$2:$K$2689,Stems_3D_BP!$A$2:$A$2689,$A90,Stems_3D_BP!$B$2:$B$2689,"D-stem")</f>
        <v>4</v>
      </c>
      <c r="I90" s="4" t="n">
        <f aca="false">SUMIFS(Stems_3D_BP!$K$2:$K$2689,Stems_3D_BP!$A$2:$A$2689,$A90,Stems_3D_BP!$B$2:$B$2689,"Anticodon stem")</f>
        <v>10</v>
      </c>
      <c r="J90" s="4" t="n">
        <f aca="false">SUMIFS(Stems_3D_BP!$K$2:$K$2689,Stems_3D_BP!$A$2:$A$2689,$A90,Stems_3D_BP!$B$2:$B$2689,"T-stem")</f>
        <v>10</v>
      </c>
      <c r="K90" s="3" t="n">
        <f aca="false">SUM(G90:J90)</f>
        <v>33</v>
      </c>
      <c r="L90" s="5" t="n">
        <f aca="false">K90/42</f>
        <v>0.785714285714286</v>
      </c>
      <c r="M90" s="4" t="n">
        <f aca="false">SUMIFS(Stems_3D_BP!$K$2:$K$2689,Stems_3D_BP!$A$2:$A$2689,$A90,Stems_3D_BP!$B$2:$B$2689,"3D (tertiary) BP")</f>
        <v>8</v>
      </c>
      <c r="N90" s="6" t="n">
        <f aca="false">M90/14</f>
        <v>0.571428571428571</v>
      </c>
      <c r="O90" s="3" t="n">
        <f aca="false">K90+M90</f>
        <v>41</v>
      </c>
      <c r="P90" s="5" t="n">
        <f aca="false">O90/56</f>
        <v>0.732142857142857</v>
      </c>
      <c r="Q90" s="4" t="n">
        <f aca="false">SUMIFS(Loops!$I$2:$I$481,Loops!$A$2:$A$481,$A90,Loops!$B$2:$B$481,"D-loop")</f>
        <v>3</v>
      </c>
      <c r="R90" s="4" t="n">
        <f aca="false">SUMIFS(Loops!$I$2:$I$481,Loops!$A$2:$A$481,$A90,Loops!$B$2:$B$481,"Anticodon loop")</f>
        <v>4</v>
      </c>
      <c r="S90" s="4" t="n">
        <f aca="false">SUMIFS(Loops!$I$2:$I$481,Loops!$A$2:$A$481,$A90,Loops!$B$2:$B$481,"Variable loop")</f>
        <v>4</v>
      </c>
      <c r="T90" s="4" t="n">
        <f aca="false">SUMIFS(Loops!$I$2:$I$481,Loops!$A$2:$A$481,$A90,Loops!$B$2:$B$481,"TΨC-loop")</f>
        <v>2</v>
      </c>
      <c r="U90" s="4" t="n">
        <f aca="false">SUMIFS(Loops!$F$2:$F$481,Loops!$A$2:$A$481,$A90)-SUMIFS(Loops!$F$2:$F$481,Loops!$A$2:$A$481,$A90,Loops!$B$2:$B$481,"Positions 8, 9, 26")</f>
        <v>26</v>
      </c>
      <c r="V90" s="3" t="n">
        <f aca="false">SUM(Q90:T90)</f>
        <v>13</v>
      </c>
      <c r="W90" s="5" t="n">
        <f aca="false">V90/U90</f>
        <v>0.5</v>
      </c>
      <c r="X90" s="7" t="str">
        <f aca="false">INDEX(Positions!$E$2:$E$6912,MATCH($A90&amp;"|8",Positions!$A$2:$A$6912,0))</f>
        <v>U</v>
      </c>
      <c r="Y90" s="7" t="str">
        <f aca="false">INDEX(Positions!$E$2:$E$6912,MATCH($A90&amp;"|9",Positions!$A$2:$A$6912,0))</f>
        <v>G</v>
      </c>
      <c r="Z90" s="7" t="str">
        <f aca="false">INDEX(Positions!$E$2:$E$6912,MATCH($A90&amp;"|26",Positions!$A$2:$A$6912,0))</f>
        <v>U</v>
      </c>
      <c r="AA90" s="7" t="n">
        <f aca="false">(X90="G")+(Y90="G")+(Z90="G")</f>
        <v>1</v>
      </c>
      <c r="AB90" s="7" t="n">
        <f aca="false">(X90="C")+(Y90="C")+(Z90="C")</f>
        <v>0</v>
      </c>
      <c r="AC90" s="8" t="n">
        <f aca="false">AA90+AB90</f>
        <v>1</v>
      </c>
      <c r="AD90" s="9" t="n">
        <f aca="false">AC90/3</f>
        <v>0.333333333333333</v>
      </c>
      <c r="AE90" s="7" t="str">
        <f aca="false">IF(K90+V90+AC90=E90,"OK","MISMATCH")</f>
        <v>OK</v>
      </c>
      <c r="AF90" s="10" t="n">
        <f aca="false">B90-42</f>
        <v>29</v>
      </c>
      <c r="AG90" s="10" t="n">
        <f aca="false">V90+AC90</f>
        <v>14</v>
      </c>
      <c r="AH90" s="11" t="n">
        <f aca="false">AG90/AF90</f>
        <v>0.482758620689655</v>
      </c>
      <c r="AI90" s="11" t="n">
        <f aca="false">L90</f>
        <v>0.785714285714286</v>
      </c>
      <c r="AJ90" s="12" t="n">
        <f aca="false">AI90-AH90</f>
        <v>0.302955665024631</v>
      </c>
    </row>
    <row r="91" customFormat="false" ht="15" hidden="false" customHeight="false" outlineLevel="0" collapsed="false">
      <c r="A91" s="3" t="s">
        <v>124</v>
      </c>
      <c r="B91" s="4" t="n">
        <f aca="false">COUNTIF(Positions!$B$2:$B$6912,A91)</f>
        <v>71</v>
      </c>
      <c r="C91" s="4" t="n">
        <f aca="false">COUNTIFS(Positions!$B$2:$B$6912,A91,Positions!$E$2:$E$6912,"G")</f>
        <v>22</v>
      </c>
      <c r="D91" s="4" t="n">
        <f aca="false">COUNTIFS(Positions!$B$2:$B$6912,A91,Positions!$E$2:$E$6912,"C")</f>
        <v>19</v>
      </c>
      <c r="E91" s="3" t="n">
        <f aca="false">C91+D91</f>
        <v>41</v>
      </c>
      <c r="F91" s="5" t="n">
        <f aca="false">E91/B91</f>
        <v>0.577464788732394</v>
      </c>
      <c r="G91" s="4" t="n">
        <f aca="false">SUMIFS(Stems_3D_BP!$K$2:$K$2689,Stems_3D_BP!$A$2:$A$2689,$A91,Stems_3D_BP!$B$2:$B$2689,"Acceptor stem")</f>
        <v>10</v>
      </c>
      <c r="H91" s="4" t="n">
        <f aca="false">SUMIFS(Stems_3D_BP!$K$2:$K$2689,Stems_3D_BP!$A$2:$A$2689,$A91,Stems_3D_BP!$B$2:$B$2689,"D-stem")</f>
        <v>3</v>
      </c>
      <c r="I91" s="4" t="n">
        <f aca="false">SUMIFS(Stems_3D_BP!$K$2:$K$2689,Stems_3D_BP!$A$2:$A$2689,$A91,Stems_3D_BP!$B$2:$B$2689,"Anticodon stem")</f>
        <v>8</v>
      </c>
      <c r="J91" s="4" t="n">
        <f aca="false">SUMIFS(Stems_3D_BP!$K$2:$K$2689,Stems_3D_BP!$A$2:$A$2689,$A91,Stems_3D_BP!$B$2:$B$2689,"T-stem")</f>
        <v>8</v>
      </c>
      <c r="K91" s="3" t="n">
        <f aca="false">SUM(G91:J91)</f>
        <v>29</v>
      </c>
      <c r="L91" s="5" t="n">
        <f aca="false">K91/42</f>
        <v>0.690476190476191</v>
      </c>
      <c r="M91" s="4" t="n">
        <f aca="false">SUMIFS(Stems_3D_BP!$K$2:$K$2689,Stems_3D_BP!$A$2:$A$2689,$A91,Stems_3D_BP!$B$2:$B$2689,"3D (tertiary) BP")</f>
        <v>7</v>
      </c>
      <c r="N91" s="6" t="n">
        <f aca="false">M91/14</f>
        <v>0.5</v>
      </c>
      <c r="O91" s="3" t="n">
        <f aca="false">K91+M91</f>
        <v>36</v>
      </c>
      <c r="P91" s="5" t="n">
        <f aca="false">O91/56</f>
        <v>0.642857142857143</v>
      </c>
      <c r="Q91" s="4" t="n">
        <f aca="false">SUMIFS(Loops!$I$2:$I$481,Loops!$A$2:$A$481,$A91,Loops!$B$2:$B$481,"D-loop")</f>
        <v>3</v>
      </c>
      <c r="R91" s="4" t="n">
        <f aca="false">SUMIFS(Loops!$I$2:$I$481,Loops!$A$2:$A$481,$A91,Loops!$B$2:$B$481,"Anticodon loop")</f>
        <v>4</v>
      </c>
      <c r="S91" s="4" t="n">
        <f aca="false">SUMIFS(Loops!$I$2:$I$481,Loops!$A$2:$A$481,$A91,Loops!$B$2:$B$481,"Variable loop")</f>
        <v>2</v>
      </c>
      <c r="T91" s="4" t="n">
        <f aca="false">SUMIFS(Loops!$I$2:$I$481,Loops!$A$2:$A$481,$A91,Loops!$B$2:$B$481,"TΨC-loop")</f>
        <v>2</v>
      </c>
      <c r="U91" s="4" t="n">
        <f aca="false">SUMIFS(Loops!$F$2:$F$481,Loops!$A$2:$A$481,$A91)-SUMIFS(Loops!$F$2:$F$481,Loops!$A$2:$A$481,$A91,Loops!$B$2:$B$481,"Positions 8, 9, 26")</f>
        <v>26</v>
      </c>
      <c r="V91" s="3" t="n">
        <f aca="false">SUM(Q91:T91)</f>
        <v>11</v>
      </c>
      <c r="W91" s="5" t="n">
        <f aca="false">V91/U91</f>
        <v>0.423076923076923</v>
      </c>
      <c r="X91" s="7" t="str">
        <f aca="false">INDEX(Positions!$E$2:$E$6912,MATCH($A91&amp;"|8",Positions!$A$2:$A$6912,0))</f>
        <v>U</v>
      </c>
      <c r="Y91" s="7" t="str">
        <f aca="false">INDEX(Positions!$E$2:$E$6912,MATCH($A91&amp;"|9",Positions!$A$2:$A$6912,0))</f>
        <v>C</v>
      </c>
      <c r="Z91" s="7" t="str">
        <f aca="false">INDEX(Positions!$E$2:$E$6912,MATCH($A91&amp;"|26",Positions!$A$2:$A$6912,0))</f>
        <v>U</v>
      </c>
      <c r="AA91" s="7" t="n">
        <f aca="false">(X91="G")+(Y91="G")+(Z91="G")</f>
        <v>0</v>
      </c>
      <c r="AB91" s="7" t="n">
        <f aca="false">(X91="C")+(Y91="C")+(Z91="C")</f>
        <v>1</v>
      </c>
      <c r="AC91" s="8" t="n">
        <f aca="false">AA91+AB91</f>
        <v>1</v>
      </c>
      <c r="AD91" s="9" t="n">
        <f aca="false">AC91/3</f>
        <v>0.333333333333333</v>
      </c>
      <c r="AE91" s="7" t="str">
        <f aca="false">IF(K91+V91+AC91=E91,"OK","MISMATCH")</f>
        <v>OK</v>
      </c>
      <c r="AF91" s="10" t="n">
        <f aca="false">B91-42</f>
        <v>29</v>
      </c>
      <c r="AG91" s="10" t="n">
        <f aca="false">V91+AC91</f>
        <v>12</v>
      </c>
      <c r="AH91" s="11" t="n">
        <f aca="false">AG91/AF91</f>
        <v>0.413793103448276</v>
      </c>
      <c r="AI91" s="11" t="n">
        <f aca="false">L91</f>
        <v>0.690476190476191</v>
      </c>
      <c r="AJ91" s="12" t="n">
        <f aca="false">AI91-AH91</f>
        <v>0.276683087027915</v>
      </c>
    </row>
    <row r="92" customFormat="false" ht="15" hidden="false" customHeight="false" outlineLevel="0" collapsed="false">
      <c r="A92" s="3" t="s">
        <v>125</v>
      </c>
      <c r="B92" s="4" t="n">
        <f aca="false">COUNTIF(Positions!$B$2:$B$6912,A92)</f>
        <v>72</v>
      </c>
      <c r="C92" s="4" t="n">
        <f aca="false">COUNTIFS(Positions!$B$2:$B$6912,A92,Positions!$E$2:$E$6912,"G")</f>
        <v>22</v>
      </c>
      <c r="D92" s="4" t="n">
        <f aca="false">COUNTIFS(Positions!$B$2:$B$6912,A92,Positions!$E$2:$E$6912,"C")</f>
        <v>19</v>
      </c>
      <c r="E92" s="3" t="n">
        <f aca="false">C92+D92</f>
        <v>41</v>
      </c>
      <c r="F92" s="5" t="n">
        <f aca="false">E92/B92</f>
        <v>0.569444444444444</v>
      </c>
      <c r="G92" s="4" t="n">
        <f aca="false">SUMIFS(Stems_3D_BP!$K$2:$K$2689,Stems_3D_BP!$A$2:$A$2689,$A92,Stems_3D_BP!$B$2:$B$2689,"Acceptor stem")</f>
        <v>11</v>
      </c>
      <c r="H92" s="4" t="n">
        <f aca="false">SUMIFS(Stems_3D_BP!$K$2:$K$2689,Stems_3D_BP!$A$2:$A$2689,$A92,Stems_3D_BP!$B$2:$B$2689,"D-stem")</f>
        <v>8</v>
      </c>
      <c r="I92" s="4" t="n">
        <f aca="false">SUMIFS(Stems_3D_BP!$K$2:$K$2689,Stems_3D_BP!$A$2:$A$2689,$A92,Stems_3D_BP!$B$2:$B$2689,"Anticodon stem")</f>
        <v>4</v>
      </c>
      <c r="J92" s="4" t="n">
        <f aca="false">SUMIFS(Stems_3D_BP!$K$2:$K$2689,Stems_3D_BP!$A$2:$A$2689,$A92,Stems_3D_BP!$B$2:$B$2689,"T-stem")</f>
        <v>6</v>
      </c>
      <c r="K92" s="3" t="n">
        <f aca="false">SUM(G92:J92)</f>
        <v>29</v>
      </c>
      <c r="L92" s="5" t="n">
        <f aca="false">K92/42</f>
        <v>0.690476190476191</v>
      </c>
      <c r="M92" s="4" t="n">
        <f aca="false">SUMIFS(Stems_3D_BP!$K$2:$K$2689,Stems_3D_BP!$A$2:$A$2689,$A92,Stems_3D_BP!$B$2:$B$2689,"3D (tertiary) BP")</f>
        <v>7</v>
      </c>
      <c r="N92" s="6" t="n">
        <f aca="false">M92/14</f>
        <v>0.5</v>
      </c>
      <c r="O92" s="3" t="n">
        <f aca="false">K92+M92</f>
        <v>36</v>
      </c>
      <c r="P92" s="5" t="n">
        <f aca="false">O92/56</f>
        <v>0.642857142857143</v>
      </c>
      <c r="Q92" s="4" t="n">
        <f aca="false">SUMIFS(Loops!$I$2:$I$481,Loops!$A$2:$A$481,$A92,Loops!$B$2:$B$481,"D-loop")</f>
        <v>3</v>
      </c>
      <c r="R92" s="4" t="n">
        <f aca="false">SUMIFS(Loops!$I$2:$I$481,Loops!$A$2:$A$481,$A92,Loops!$B$2:$B$481,"Anticodon loop")</f>
        <v>2</v>
      </c>
      <c r="S92" s="4" t="n">
        <f aca="false">SUMIFS(Loops!$I$2:$I$481,Loops!$A$2:$A$481,$A92,Loops!$B$2:$B$481,"Variable loop")</f>
        <v>3</v>
      </c>
      <c r="T92" s="4" t="n">
        <f aca="false">SUMIFS(Loops!$I$2:$I$481,Loops!$A$2:$A$481,$A92,Loops!$B$2:$B$481,"TΨC-loop")</f>
        <v>3</v>
      </c>
      <c r="U92" s="4" t="n">
        <f aca="false">SUMIFS(Loops!$F$2:$F$481,Loops!$A$2:$A$481,$A92)-SUMIFS(Loops!$F$2:$F$481,Loops!$A$2:$A$481,$A92,Loops!$B$2:$B$481,"Positions 8, 9, 26")</f>
        <v>27</v>
      </c>
      <c r="V92" s="3" t="n">
        <f aca="false">SUM(Q92:T92)</f>
        <v>11</v>
      </c>
      <c r="W92" s="5" t="n">
        <f aca="false">V92/U92</f>
        <v>0.407407407407407</v>
      </c>
      <c r="X92" s="7" t="str">
        <f aca="false">INDEX(Positions!$E$2:$E$6912,MATCH($A92&amp;"|8",Positions!$A$2:$A$6912,0))</f>
        <v>U</v>
      </c>
      <c r="Y92" s="7" t="str">
        <f aca="false">INDEX(Positions!$E$2:$E$6912,MATCH($A92&amp;"|9",Positions!$A$2:$A$6912,0))</f>
        <v>A</v>
      </c>
      <c r="Z92" s="7" t="str">
        <f aca="false">INDEX(Positions!$E$2:$E$6912,MATCH($A92&amp;"|26",Positions!$A$2:$A$6912,0))</f>
        <v>G</v>
      </c>
      <c r="AA92" s="7" t="n">
        <f aca="false">(X92="G")+(Y92="G")+(Z92="G")</f>
        <v>1</v>
      </c>
      <c r="AB92" s="7" t="n">
        <f aca="false">(X92="C")+(Y92="C")+(Z92="C")</f>
        <v>0</v>
      </c>
      <c r="AC92" s="8" t="n">
        <f aca="false">AA92+AB92</f>
        <v>1</v>
      </c>
      <c r="AD92" s="9" t="n">
        <f aca="false">AC92/3</f>
        <v>0.333333333333333</v>
      </c>
      <c r="AE92" s="7" t="str">
        <f aca="false">IF(K92+V92+AC92=E92,"OK","MISMATCH")</f>
        <v>OK</v>
      </c>
      <c r="AF92" s="10" t="n">
        <f aca="false">B92-42</f>
        <v>30</v>
      </c>
      <c r="AG92" s="10" t="n">
        <f aca="false">V92+AC92</f>
        <v>12</v>
      </c>
      <c r="AH92" s="11" t="n">
        <f aca="false">AG92/AF92</f>
        <v>0.4</v>
      </c>
      <c r="AI92" s="11" t="n">
        <f aca="false">L92</f>
        <v>0.690476190476191</v>
      </c>
      <c r="AJ92" s="12" t="n">
        <f aca="false">AI92-AH92</f>
        <v>0.29047619047619</v>
      </c>
    </row>
    <row r="93" customFormat="false" ht="15" hidden="false" customHeight="false" outlineLevel="0" collapsed="false">
      <c r="A93" s="3" t="s">
        <v>126</v>
      </c>
      <c r="B93" s="4" t="n">
        <f aca="false">COUNTIF(Positions!$B$2:$B$6912,A93)</f>
        <v>71</v>
      </c>
      <c r="C93" s="4" t="n">
        <f aca="false">COUNTIFS(Positions!$B$2:$B$6912,A93,Positions!$E$2:$E$6912,"G")</f>
        <v>23</v>
      </c>
      <c r="D93" s="4" t="n">
        <f aca="false">COUNTIFS(Positions!$B$2:$B$6912,A93,Positions!$E$2:$E$6912,"C")</f>
        <v>20</v>
      </c>
      <c r="E93" s="3" t="n">
        <f aca="false">C93+D93</f>
        <v>43</v>
      </c>
      <c r="F93" s="5" t="n">
        <f aca="false">E93/B93</f>
        <v>0.605633802816901</v>
      </c>
      <c r="G93" s="4" t="n">
        <f aca="false">SUMIFS(Stems_3D_BP!$K$2:$K$2689,Stems_3D_BP!$A$2:$A$2689,$A93,Stems_3D_BP!$B$2:$B$2689,"Acceptor stem")</f>
        <v>8</v>
      </c>
      <c r="H93" s="4" t="n">
        <f aca="false">SUMIFS(Stems_3D_BP!$K$2:$K$2689,Stems_3D_BP!$A$2:$A$2689,$A93,Stems_3D_BP!$B$2:$B$2689,"D-stem")</f>
        <v>7</v>
      </c>
      <c r="I93" s="4" t="n">
        <f aca="false">SUMIFS(Stems_3D_BP!$K$2:$K$2689,Stems_3D_BP!$A$2:$A$2689,$A93,Stems_3D_BP!$B$2:$B$2689,"Anticodon stem")</f>
        <v>8</v>
      </c>
      <c r="J93" s="4" t="n">
        <f aca="false">SUMIFS(Stems_3D_BP!$K$2:$K$2689,Stems_3D_BP!$A$2:$A$2689,$A93,Stems_3D_BP!$B$2:$B$2689,"T-stem")</f>
        <v>6</v>
      </c>
      <c r="K93" s="3" t="n">
        <f aca="false">SUM(G93:J93)</f>
        <v>29</v>
      </c>
      <c r="L93" s="5" t="n">
        <f aca="false">K93/42</f>
        <v>0.690476190476191</v>
      </c>
      <c r="M93" s="4" t="n">
        <f aca="false">SUMIFS(Stems_3D_BP!$K$2:$K$2689,Stems_3D_BP!$A$2:$A$2689,$A93,Stems_3D_BP!$B$2:$B$2689,"3D (tertiary) BP")</f>
        <v>7</v>
      </c>
      <c r="N93" s="6" t="n">
        <f aca="false">M93/14</f>
        <v>0.5</v>
      </c>
      <c r="O93" s="3" t="n">
        <f aca="false">K93+M93</f>
        <v>36</v>
      </c>
      <c r="P93" s="5" t="n">
        <f aca="false">O93/56</f>
        <v>0.642857142857143</v>
      </c>
      <c r="Q93" s="4" t="n">
        <f aca="false">SUMIFS(Loops!$I$2:$I$481,Loops!$A$2:$A$481,$A93,Loops!$B$2:$B$481,"D-loop")</f>
        <v>4</v>
      </c>
      <c r="R93" s="4" t="n">
        <f aca="false">SUMIFS(Loops!$I$2:$I$481,Loops!$A$2:$A$481,$A93,Loops!$B$2:$B$481,"Anticodon loop")</f>
        <v>3</v>
      </c>
      <c r="S93" s="4" t="n">
        <f aca="false">SUMIFS(Loops!$I$2:$I$481,Loops!$A$2:$A$481,$A93,Loops!$B$2:$B$481,"Variable loop")</f>
        <v>3</v>
      </c>
      <c r="T93" s="4" t="n">
        <f aca="false">SUMIFS(Loops!$I$2:$I$481,Loops!$A$2:$A$481,$A93,Loops!$B$2:$B$481,"TΨC-loop")</f>
        <v>2</v>
      </c>
      <c r="U93" s="4" t="n">
        <f aca="false">SUMIFS(Loops!$F$2:$F$481,Loops!$A$2:$A$481,$A93)-SUMIFS(Loops!$F$2:$F$481,Loops!$A$2:$A$481,$A93,Loops!$B$2:$B$481,"Positions 8, 9, 26")</f>
        <v>26</v>
      </c>
      <c r="V93" s="3" t="n">
        <f aca="false">SUM(Q93:T93)</f>
        <v>12</v>
      </c>
      <c r="W93" s="5" t="n">
        <f aca="false">V93/U93</f>
        <v>0.461538461538462</v>
      </c>
      <c r="X93" s="7" t="str">
        <f aca="false">INDEX(Positions!$E$2:$E$6912,MATCH($A93&amp;"|8",Positions!$A$2:$A$6912,0))</f>
        <v>U</v>
      </c>
      <c r="Y93" s="7" t="str">
        <f aca="false">INDEX(Positions!$E$2:$E$6912,MATCH($A93&amp;"|9",Positions!$A$2:$A$6912,0))</f>
        <v>G</v>
      </c>
      <c r="Z93" s="7" t="str">
        <f aca="false">INDEX(Positions!$E$2:$E$6912,MATCH($A93&amp;"|26",Positions!$A$2:$A$6912,0))</f>
        <v>G</v>
      </c>
      <c r="AA93" s="7" t="n">
        <f aca="false">(X93="G")+(Y93="G")+(Z93="G")</f>
        <v>2</v>
      </c>
      <c r="AB93" s="7" t="n">
        <f aca="false">(X93="C")+(Y93="C")+(Z93="C")</f>
        <v>0</v>
      </c>
      <c r="AC93" s="8" t="n">
        <f aca="false">AA93+AB93</f>
        <v>2</v>
      </c>
      <c r="AD93" s="9" t="n">
        <f aca="false">AC93/3</f>
        <v>0.666666666666667</v>
      </c>
      <c r="AE93" s="7" t="str">
        <f aca="false">IF(K93+V93+AC93=E93,"OK","MISMATCH")</f>
        <v>OK</v>
      </c>
      <c r="AF93" s="10" t="n">
        <f aca="false">B93-42</f>
        <v>29</v>
      </c>
      <c r="AG93" s="10" t="n">
        <f aca="false">V93+AC93</f>
        <v>14</v>
      </c>
      <c r="AH93" s="11" t="n">
        <f aca="false">AG93/AF93</f>
        <v>0.482758620689655</v>
      </c>
      <c r="AI93" s="11" t="n">
        <f aca="false">L93</f>
        <v>0.690476190476191</v>
      </c>
      <c r="AJ93" s="12" t="n">
        <f aca="false">AI93-AH93</f>
        <v>0.207717569786535</v>
      </c>
    </row>
    <row r="94" customFormat="false" ht="15" hidden="false" customHeight="false" outlineLevel="0" collapsed="false">
      <c r="A94" s="3" t="s">
        <v>127</v>
      </c>
      <c r="B94" s="4" t="n">
        <f aca="false">COUNTIF(Positions!$B$2:$B$6912,A94)</f>
        <v>72</v>
      </c>
      <c r="C94" s="4" t="n">
        <f aca="false">COUNTIFS(Positions!$B$2:$B$6912,A94,Positions!$E$2:$E$6912,"G")</f>
        <v>23</v>
      </c>
      <c r="D94" s="4" t="n">
        <f aca="false">COUNTIFS(Positions!$B$2:$B$6912,A94,Positions!$E$2:$E$6912,"C")</f>
        <v>16</v>
      </c>
      <c r="E94" s="3" t="n">
        <f aca="false">C94+D94</f>
        <v>39</v>
      </c>
      <c r="F94" s="5" t="n">
        <f aca="false">E94/B94</f>
        <v>0.541666666666667</v>
      </c>
      <c r="G94" s="4" t="n">
        <f aca="false">SUMIFS(Stems_3D_BP!$K$2:$K$2689,Stems_3D_BP!$A$2:$A$2689,$A94,Stems_3D_BP!$B$2:$B$2689,"Acceptor stem")</f>
        <v>8</v>
      </c>
      <c r="H94" s="4" t="n">
        <f aca="false">SUMIFS(Stems_3D_BP!$K$2:$K$2689,Stems_3D_BP!$A$2:$A$2689,$A94,Stems_3D_BP!$B$2:$B$2689,"D-stem")</f>
        <v>6</v>
      </c>
      <c r="I94" s="4" t="n">
        <f aca="false">SUMIFS(Stems_3D_BP!$K$2:$K$2689,Stems_3D_BP!$A$2:$A$2689,$A94,Stems_3D_BP!$B$2:$B$2689,"Anticodon stem")</f>
        <v>2</v>
      </c>
      <c r="J94" s="4" t="n">
        <f aca="false">SUMIFS(Stems_3D_BP!$K$2:$K$2689,Stems_3D_BP!$A$2:$A$2689,$A94,Stems_3D_BP!$B$2:$B$2689,"T-stem")</f>
        <v>9</v>
      </c>
      <c r="K94" s="3" t="n">
        <f aca="false">SUM(G94:J94)</f>
        <v>25</v>
      </c>
      <c r="L94" s="5" t="n">
        <f aca="false">K94/42</f>
        <v>0.595238095238095</v>
      </c>
      <c r="M94" s="4" t="n">
        <f aca="false">SUMIFS(Stems_3D_BP!$K$2:$K$2689,Stems_3D_BP!$A$2:$A$2689,$A94,Stems_3D_BP!$B$2:$B$2689,"3D (tertiary) BP")</f>
        <v>7</v>
      </c>
      <c r="N94" s="6" t="n">
        <f aca="false">M94/14</f>
        <v>0.5</v>
      </c>
      <c r="O94" s="3" t="n">
        <f aca="false">K94+M94</f>
        <v>32</v>
      </c>
      <c r="P94" s="5" t="n">
        <f aca="false">O94/56</f>
        <v>0.571428571428571</v>
      </c>
      <c r="Q94" s="4" t="n">
        <f aca="false">SUMIFS(Loops!$I$2:$I$481,Loops!$A$2:$A$481,$A94,Loops!$B$2:$B$481,"D-loop")</f>
        <v>4</v>
      </c>
      <c r="R94" s="4" t="n">
        <f aca="false">SUMIFS(Loops!$I$2:$I$481,Loops!$A$2:$A$481,$A94,Loops!$B$2:$B$481,"Anticodon loop")</f>
        <v>3</v>
      </c>
      <c r="S94" s="4" t="n">
        <f aca="false">SUMIFS(Loops!$I$2:$I$481,Loops!$A$2:$A$481,$A94,Loops!$B$2:$B$481,"Variable loop")</f>
        <v>3</v>
      </c>
      <c r="T94" s="4" t="n">
        <f aca="false">SUMIFS(Loops!$I$2:$I$481,Loops!$A$2:$A$481,$A94,Loops!$B$2:$B$481,"TΨC-loop")</f>
        <v>3</v>
      </c>
      <c r="U94" s="4" t="n">
        <f aca="false">SUMIFS(Loops!$F$2:$F$481,Loops!$A$2:$A$481,$A94)-SUMIFS(Loops!$F$2:$F$481,Loops!$A$2:$A$481,$A94,Loops!$B$2:$B$481,"Positions 8, 9, 26")</f>
        <v>27</v>
      </c>
      <c r="V94" s="3" t="n">
        <f aca="false">SUM(Q94:T94)</f>
        <v>13</v>
      </c>
      <c r="W94" s="5" t="n">
        <f aca="false">V94/U94</f>
        <v>0.481481481481481</v>
      </c>
      <c r="X94" s="7" t="str">
        <f aca="false">INDEX(Positions!$E$2:$E$6912,MATCH($A94&amp;"|8",Positions!$A$2:$A$6912,0))</f>
        <v>U</v>
      </c>
      <c r="Y94" s="7" t="str">
        <f aca="false">INDEX(Positions!$E$2:$E$6912,MATCH($A94&amp;"|9",Positions!$A$2:$A$6912,0))</f>
        <v>A</v>
      </c>
      <c r="Z94" s="7" t="str">
        <f aca="false">INDEX(Positions!$E$2:$E$6912,MATCH($A94&amp;"|26",Positions!$A$2:$A$6912,0))</f>
        <v>G</v>
      </c>
      <c r="AA94" s="7" t="n">
        <f aca="false">(X94="G")+(Y94="G")+(Z94="G")</f>
        <v>1</v>
      </c>
      <c r="AB94" s="7" t="n">
        <f aca="false">(X94="C")+(Y94="C")+(Z94="C")</f>
        <v>0</v>
      </c>
      <c r="AC94" s="8" t="n">
        <f aca="false">AA94+AB94</f>
        <v>1</v>
      </c>
      <c r="AD94" s="9" t="n">
        <f aca="false">AC94/3</f>
        <v>0.333333333333333</v>
      </c>
      <c r="AE94" s="7" t="str">
        <f aca="false">IF(K94+V94+AC94=E94,"OK","MISMATCH")</f>
        <v>OK</v>
      </c>
      <c r="AF94" s="10" t="n">
        <f aca="false">B94-42</f>
        <v>30</v>
      </c>
      <c r="AG94" s="10" t="n">
        <f aca="false">V94+AC94</f>
        <v>14</v>
      </c>
      <c r="AH94" s="11" t="n">
        <f aca="false">AG94/AF94</f>
        <v>0.466666666666667</v>
      </c>
      <c r="AI94" s="11" t="n">
        <f aca="false">L94</f>
        <v>0.595238095238095</v>
      </c>
      <c r="AJ94" s="12" t="n">
        <f aca="false">AI94-AH94</f>
        <v>0.128571428571429</v>
      </c>
    </row>
    <row r="95" customFormat="false" ht="15" hidden="false" customHeight="false" outlineLevel="0" collapsed="false">
      <c r="A95" s="3" t="s">
        <v>128</v>
      </c>
      <c r="B95" s="4" t="n">
        <f aca="false">COUNTIF(Positions!$B$2:$B$6912,A95)</f>
        <v>72</v>
      </c>
      <c r="C95" s="4" t="n">
        <f aca="false">COUNTIFS(Positions!$B$2:$B$6912,A95,Positions!$E$2:$E$6912,"G")</f>
        <v>24</v>
      </c>
      <c r="D95" s="4" t="n">
        <f aca="false">COUNTIFS(Positions!$B$2:$B$6912,A95,Positions!$E$2:$E$6912,"C")</f>
        <v>17</v>
      </c>
      <c r="E95" s="3" t="n">
        <f aca="false">C95+D95</f>
        <v>41</v>
      </c>
      <c r="F95" s="5" t="n">
        <f aca="false">E95/B95</f>
        <v>0.569444444444444</v>
      </c>
      <c r="G95" s="4" t="n">
        <f aca="false">SUMIFS(Stems_3D_BP!$K$2:$K$2689,Stems_3D_BP!$A$2:$A$2689,$A95,Stems_3D_BP!$B$2:$B$2689,"Acceptor stem")</f>
        <v>8</v>
      </c>
      <c r="H95" s="4" t="n">
        <f aca="false">SUMIFS(Stems_3D_BP!$K$2:$K$2689,Stems_3D_BP!$A$2:$A$2689,$A95,Stems_3D_BP!$B$2:$B$2689,"D-stem")</f>
        <v>6</v>
      </c>
      <c r="I95" s="4" t="n">
        <f aca="false">SUMIFS(Stems_3D_BP!$K$2:$K$2689,Stems_3D_BP!$A$2:$A$2689,$A95,Stems_3D_BP!$B$2:$B$2689,"Anticodon stem")</f>
        <v>5</v>
      </c>
      <c r="J95" s="4" t="n">
        <f aca="false">SUMIFS(Stems_3D_BP!$K$2:$K$2689,Stems_3D_BP!$A$2:$A$2689,$A95,Stems_3D_BP!$B$2:$B$2689,"T-stem")</f>
        <v>9</v>
      </c>
      <c r="K95" s="3" t="n">
        <f aca="false">SUM(G95:J95)</f>
        <v>28</v>
      </c>
      <c r="L95" s="5" t="n">
        <f aca="false">K95/42</f>
        <v>0.666666666666667</v>
      </c>
      <c r="M95" s="4" t="n">
        <f aca="false">SUMIFS(Stems_3D_BP!$K$2:$K$2689,Stems_3D_BP!$A$2:$A$2689,$A95,Stems_3D_BP!$B$2:$B$2689,"3D (tertiary) BP")</f>
        <v>7</v>
      </c>
      <c r="N95" s="6" t="n">
        <f aca="false">M95/14</f>
        <v>0.5</v>
      </c>
      <c r="O95" s="3" t="n">
        <f aca="false">K95+M95</f>
        <v>35</v>
      </c>
      <c r="P95" s="5" t="n">
        <f aca="false">O95/56</f>
        <v>0.625</v>
      </c>
      <c r="Q95" s="4" t="n">
        <f aca="false">SUMIFS(Loops!$I$2:$I$481,Loops!$A$2:$A$481,$A95,Loops!$B$2:$B$481,"D-loop")</f>
        <v>4</v>
      </c>
      <c r="R95" s="4" t="n">
        <f aca="false">SUMIFS(Loops!$I$2:$I$481,Loops!$A$2:$A$481,$A95,Loops!$B$2:$B$481,"Anticodon loop")</f>
        <v>3</v>
      </c>
      <c r="S95" s="4" t="n">
        <f aca="false">SUMIFS(Loops!$I$2:$I$481,Loops!$A$2:$A$481,$A95,Loops!$B$2:$B$481,"Variable loop")</f>
        <v>3</v>
      </c>
      <c r="T95" s="4" t="n">
        <f aca="false">SUMIFS(Loops!$I$2:$I$481,Loops!$A$2:$A$481,$A95,Loops!$B$2:$B$481,"TΨC-loop")</f>
        <v>2</v>
      </c>
      <c r="U95" s="4" t="n">
        <f aca="false">SUMIFS(Loops!$F$2:$F$481,Loops!$A$2:$A$481,$A95)-SUMIFS(Loops!$F$2:$F$481,Loops!$A$2:$A$481,$A95,Loops!$B$2:$B$481,"Positions 8, 9, 26")</f>
        <v>27</v>
      </c>
      <c r="V95" s="3" t="n">
        <f aca="false">SUM(Q95:T95)</f>
        <v>12</v>
      </c>
      <c r="W95" s="5" t="n">
        <f aca="false">V95/U95</f>
        <v>0.444444444444444</v>
      </c>
      <c r="X95" s="7" t="str">
        <f aca="false">INDEX(Positions!$E$2:$E$6912,MATCH($A95&amp;"|8",Positions!$A$2:$A$6912,0))</f>
        <v>U</v>
      </c>
      <c r="Y95" s="7" t="str">
        <f aca="false">INDEX(Positions!$E$2:$E$6912,MATCH($A95&amp;"|9",Positions!$A$2:$A$6912,0))</f>
        <v>A</v>
      </c>
      <c r="Z95" s="7" t="str">
        <f aca="false">INDEX(Positions!$E$2:$E$6912,MATCH($A95&amp;"|26",Positions!$A$2:$A$6912,0))</f>
        <v>G</v>
      </c>
      <c r="AA95" s="7" t="n">
        <f aca="false">(X95="G")+(Y95="G")+(Z95="G")</f>
        <v>1</v>
      </c>
      <c r="AB95" s="7" t="n">
        <f aca="false">(X95="C")+(Y95="C")+(Z95="C")</f>
        <v>0</v>
      </c>
      <c r="AC95" s="8" t="n">
        <f aca="false">AA95+AB95</f>
        <v>1</v>
      </c>
      <c r="AD95" s="9" t="n">
        <f aca="false">AC95/3</f>
        <v>0.333333333333333</v>
      </c>
      <c r="AE95" s="7" t="str">
        <f aca="false">IF(K95+V95+AC95=E95,"OK","MISMATCH")</f>
        <v>OK</v>
      </c>
      <c r="AF95" s="10" t="n">
        <f aca="false">B95-42</f>
        <v>30</v>
      </c>
      <c r="AG95" s="10" t="n">
        <f aca="false">V95+AC95</f>
        <v>13</v>
      </c>
      <c r="AH95" s="11" t="n">
        <f aca="false">AG95/AF95</f>
        <v>0.433333333333333</v>
      </c>
      <c r="AI95" s="11" t="n">
        <f aca="false">L95</f>
        <v>0.666666666666667</v>
      </c>
      <c r="AJ95" s="12" t="n">
        <f aca="false">AI95-AH95</f>
        <v>0.233333333333333</v>
      </c>
    </row>
    <row r="96" customFormat="false" ht="15" hidden="false" customHeight="false" outlineLevel="0" collapsed="false">
      <c r="A96" s="3" t="s">
        <v>129</v>
      </c>
      <c r="B96" s="4" t="n">
        <f aca="false">COUNTIF(Positions!$B$2:$B$6912,A96)</f>
        <v>72</v>
      </c>
      <c r="C96" s="4" t="n">
        <f aca="false">COUNTIFS(Positions!$B$2:$B$6912,A96,Positions!$E$2:$E$6912,"G")</f>
        <v>24</v>
      </c>
      <c r="D96" s="4" t="n">
        <f aca="false">COUNTIFS(Positions!$B$2:$B$6912,A96,Positions!$E$2:$E$6912,"C")</f>
        <v>16</v>
      </c>
      <c r="E96" s="3" t="n">
        <f aca="false">C96+D96</f>
        <v>40</v>
      </c>
      <c r="F96" s="5" t="n">
        <f aca="false">E96/B96</f>
        <v>0.555555555555556</v>
      </c>
      <c r="G96" s="4" t="n">
        <f aca="false">SUMIFS(Stems_3D_BP!$K$2:$K$2689,Stems_3D_BP!$A$2:$A$2689,$A96,Stems_3D_BP!$B$2:$B$2689,"Acceptor stem")</f>
        <v>8</v>
      </c>
      <c r="H96" s="4" t="n">
        <f aca="false">SUMIFS(Stems_3D_BP!$K$2:$K$2689,Stems_3D_BP!$A$2:$A$2689,$A96,Stems_3D_BP!$B$2:$B$2689,"D-stem")</f>
        <v>6</v>
      </c>
      <c r="I96" s="4" t="n">
        <f aca="false">SUMIFS(Stems_3D_BP!$K$2:$K$2689,Stems_3D_BP!$A$2:$A$2689,$A96,Stems_3D_BP!$B$2:$B$2689,"Anticodon stem")</f>
        <v>5</v>
      </c>
      <c r="J96" s="4" t="n">
        <f aca="false">SUMIFS(Stems_3D_BP!$K$2:$K$2689,Stems_3D_BP!$A$2:$A$2689,$A96,Stems_3D_BP!$B$2:$B$2689,"T-stem")</f>
        <v>9</v>
      </c>
      <c r="K96" s="3" t="n">
        <f aca="false">SUM(G96:J96)</f>
        <v>28</v>
      </c>
      <c r="L96" s="5" t="n">
        <f aca="false">K96/42</f>
        <v>0.666666666666667</v>
      </c>
      <c r="M96" s="4" t="n">
        <f aca="false">SUMIFS(Stems_3D_BP!$K$2:$K$2689,Stems_3D_BP!$A$2:$A$2689,$A96,Stems_3D_BP!$B$2:$B$2689,"3D (tertiary) BP")</f>
        <v>7</v>
      </c>
      <c r="N96" s="6" t="n">
        <f aca="false">M96/14</f>
        <v>0.5</v>
      </c>
      <c r="O96" s="3" t="n">
        <f aca="false">K96+M96</f>
        <v>35</v>
      </c>
      <c r="P96" s="5" t="n">
        <f aca="false">O96/56</f>
        <v>0.625</v>
      </c>
      <c r="Q96" s="4" t="n">
        <f aca="false">SUMIFS(Loops!$I$2:$I$481,Loops!$A$2:$A$481,$A96,Loops!$B$2:$B$481,"D-loop")</f>
        <v>3</v>
      </c>
      <c r="R96" s="4" t="n">
        <f aca="false">SUMIFS(Loops!$I$2:$I$481,Loops!$A$2:$A$481,$A96,Loops!$B$2:$B$481,"Anticodon loop")</f>
        <v>3</v>
      </c>
      <c r="S96" s="4" t="n">
        <f aca="false">SUMIFS(Loops!$I$2:$I$481,Loops!$A$2:$A$481,$A96,Loops!$B$2:$B$481,"Variable loop")</f>
        <v>3</v>
      </c>
      <c r="T96" s="4" t="n">
        <f aca="false">SUMIFS(Loops!$I$2:$I$481,Loops!$A$2:$A$481,$A96,Loops!$B$2:$B$481,"TΨC-loop")</f>
        <v>2</v>
      </c>
      <c r="U96" s="4" t="n">
        <f aca="false">SUMIFS(Loops!$F$2:$F$481,Loops!$A$2:$A$481,$A96)-SUMIFS(Loops!$F$2:$F$481,Loops!$A$2:$A$481,$A96,Loops!$B$2:$B$481,"Positions 8, 9, 26")</f>
        <v>27</v>
      </c>
      <c r="V96" s="3" t="n">
        <f aca="false">SUM(Q96:T96)</f>
        <v>11</v>
      </c>
      <c r="W96" s="5" t="n">
        <f aca="false">V96/U96</f>
        <v>0.407407407407407</v>
      </c>
      <c r="X96" s="7" t="str">
        <f aca="false">INDEX(Positions!$E$2:$E$6912,MATCH($A96&amp;"|8",Positions!$A$2:$A$6912,0))</f>
        <v>U</v>
      </c>
      <c r="Y96" s="7" t="str">
        <f aca="false">INDEX(Positions!$E$2:$E$6912,MATCH($A96&amp;"|9",Positions!$A$2:$A$6912,0))</f>
        <v>A</v>
      </c>
      <c r="Z96" s="7" t="str">
        <f aca="false">INDEX(Positions!$E$2:$E$6912,MATCH($A96&amp;"|26",Positions!$A$2:$A$6912,0))</f>
        <v>G</v>
      </c>
      <c r="AA96" s="7" t="n">
        <f aca="false">(X96="G")+(Y96="G")+(Z96="G")</f>
        <v>1</v>
      </c>
      <c r="AB96" s="7" t="n">
        <f aca="false">(X96="C")+(Y96="C")+(Z96="C")</f>
        <v>0</v>
      </c>
      <c r="AC96" s="8" t="n">
        <f aca="false">AA96+AB96</f>
        <v>1</v>
      </c>
      <c r="AD96" s="9" t="n">
        <f aca="false">AC96/3</f>
        <v>0.333333333333333</v>
      </c>
      <c r="AE96" s="7" t="str">
        <f aca="false">IF(K96+V96+AC96=E96,"OK","MISMATCH")</f>
        <v>OK</v>
      </c>
      <c r="AF96" s="10" t="n">
        <f aca="false">B96-42</f>
        <v>30</v>
      </c>
      <c r="AG96" s="10" t="n">
        <f aca="false">V96+AC96</f>
        <v>12</v>
      </c>
      <c r="AH96" s="11" t="n">
        <f aca="false">AG96/AF96</f>
        <v>0.4</v>
      </c>
      <c r="AI96" s="11" t="n">
        <f aca="false">L96</f>
        <v>0.666666666666667</v>
      </c>
      <c r="AJ96" s="12" t="n">
        <f aca="false">AI96-AH96</f>
        <v>0.266666666666667</v>
      </c>
    </row>
    <row r="97" customFormat="false" ht="15" hidden="false" customHeight="false" outlineLevel="0" collapsed="false">
      <c r="A97" s="3" t="s">
        <v>130</v>
      </c>
      <c r="B97" s="4" t="n">
        <f aca="false">COUNTIF(Positions!$B$2:$B$6912,A97)</f>
        <v>72</v>
      </c>
      <c r="C97" s="4" t="n">
        <f aca="false">COUNTIFS(Positions!$B$2:$B$6912,A97,Positions!$E$2:$E$6912,"G")</f>
        <v>25</v>
      </c>
      <c r="D97" s="4" t="n">
        <f aca="false">COUNTIFS(Positions!$B$2:$B$6912,A97,Positions!$E$2:$E$6912,"C")</f>
        <v>21</v>
      </c>
      <c r="E97" s="3" t="n">
        <f aca="false">C97+D97</f>
        <v>46</v>
      </c>
      <c r="F97" s="5" t="n">
        <f aca="false">E97/B97</f>
        <v>0.638888888888889</v>
      </c>
      <c r="G97" s="4" t="n">
        <f aca="false">SUMIFS(Stems_3D_BP!$K$2:$K$2689,Stems_3D_BP!$A$2:$A$2689,$A97,Stems_3D_BP!$B$2:$B$2689,"Acceptor stem")</f>
        <v>9</v>
      </c>
      <c r="H97" s="4" t="n">
        <f aca="false">SUMIFS(Stems_3D_BP!$K$2:$K$2689,Stems_3D_BP!$A$2:$A$2689,$A97,Stems_3D_BP!$B$2:$B$2689,"D-stem")</f>
        <v>6</v>
      </c>
      <c r="I97" s="4" t="n">
        <f aca="false">SUMIFS(Stems_3D_BP!$K$2:$K$2689,Stems_3D_BP!$A$2:$A$2689,$A97,Stems_3D_BP!$B$2:$B$2689,"Anticodon stem")</f>
        <v>8</v>
      </c>
      <c r="J97" s="4" t="n">
        <f aca="false">SUMIFS(Stems_3D_BP!$K$2:$K$2689,Stems_3D_BP!$A$2:$A$2689,$A97,Stems_3D_BP!$B$2:$B$2689,"T-stem")</f>
        <v>8</v>
      </c>
      <c r="K97" s="3" t="n">
        <f aca="false">SUM(G97:J97)</f>
        <v>31</v>
      </c>
      <c r="L97" s="5" t="n">
        <f aca="false">K97/42</f>
        <v>0.738095238095238</v>
      </c>
      <c r="M97" s="4" t="n">
        <f aca="false">SUMIFS(Stems_3D_BP!$K$2:$K$2689,Stems_3D_BP!$A$2:$A$2689,$A97,Stems_3D_BP!$B$2:$B$2689,"3D (tertiary) BP")</f>
        <v>7</v>
      </c>
      <c r="N97" s="6" t="n">
        <f aca="false">M97/14</f>
        <v>0.5</v>
      </c>
      <c r="O97" s="3" t="n">
        <f aca="false">K97+M97</f>
        <v>38</v>
      </c>
      <c r="P97" s="5" t="n">
        <f aca="false">O97/56</f>
        <v>0.678571428571429</v>
      </c>
      <c r="Q97" s="4" t="n">
        <f aca="false">SUMIFS(Loops!$I$2:$I$481,Loops!$A$2:$A$481,$A97,Loops!$B$2:$B$481,"D-loop")</f>
        <v>5</v>
      </c>
      <c r="R97" s="4" t="n">
        <f aca="false">SUMIFS(Loops!$I$2:$I$481,Loops!$A$2:$A$481,$A97,Loops!$B$2:$B$481,"Anticodon loop")</f>
        <v>3</v>
      </c>
      <c r="S97" s="4" t="n">
        <f aca="false">SUMIFS(Loops!$I$2:$I$481,Loops!$A$2:$A$481,$A97,Loops!$B$2:$B$481,"Variable loop")</f>
        <v>3</v>
      </c>
      <c r="T97" s="4" t="n">
        <f aca="false">SUMIFS(Loops!$I$2:$I$481,Loops!$A$2:$A$481,$A97,Loops!$B$2:$B$481,"TΨC-loop")</f>
        <v>3</v>
      </c>
      <c r="U97" s="4" t="n">
        <f aca="false">SUMIFS(Loops!$F$2:$F$481,Loops!$A$2:$A$481,$A97)-SUMIFS(Loops!$F$2:$F$481,Loops!$A$2:$A$481,$A97,Loops!$B$2:$B$481,"Positions 8, 9, 26")</f>
        <v>27</v>
      </c>
      <c r="V97" s="3" t="n">
        <f aca="false">SUM(Q97:T97)</f>
        <v>14</v>
      </c>
      <c r="W97" s="5" t="n">
        <f aca="false">V97/U97</f>
        <v>0.518518518518519</v>
      </c>
      <c r="X97" s="7" t="str">
        <f aca="false">INDEX(Positions!$E$2:$E$6912,MATCH($A97&amp;"|8",Positions!$A$2:$A$6912,0))</f>
        <v>U</v>
      </c>
      <c r="Y97" s="7" t="str">
        <f aca="false">INDEX(Positions!$E$2:$E$6912,MATCH($A97&amp;"|9",Positions!$A$2:$A$6912,0))</f>
        <v>A</v>
      </c>
      <c r="Z97" s="7" t="str">
        <f aca="false">INDEX(Positions!$E$2:$E$6912,MATCH($A97&amp;"|26",Positions!$A$2:$A$6912,0))</f>
        <v>G</v>
      </c>
      <c r="AA97" s="7" t="n">
        <f aca="false">(X97="G")+(Y97="G")+(Z97="G")</f>
        <v>1</v>
      </c>
      <c r="AB97" s="7" t="n">
        <f aca="false">(X97="C")+(Y97="C")+(Z97="C")</f>
        <v>0</v>
      </c>
      <c r="AC97" s="8" t="n">
        <f aca="false">AA97+AB97</f>
        <v>1</v>
      </c>
      <c r="AD97" s="9" t="n">
        <f aca="false">AC97/3</f>
        <v>0.333333333333333</v>
      </c>
      <c r="AE97" s="7" t="str">
        <f aca="false">IF(K97+V97+AC97=E97,"OK","MISMATCH")</f>
        <v>OK</v>
      </c>
      <c r="AF97" s="10" t="n">
        <f aca="false">B97-42</f>
        <v>30</v>
      </c>
      <c r="AG97" s="10" t="n">
        <f aca="false">V97+AC97</f>
        <v>15</v>
      </c>
      <c r="AH97" s="11" t="n">
        <f aca="false">AG97/AF97</f>
        <v>0.5</v>
      </c>
      <c r="AI97" s="11" t="n">
        <f aca="false">L97</f>
        <v>0.738095238095238</v>
      </c>
      <c r="AJ97" s="12" t="n">
        <f aca="false">AI97-AH97</f>
        <v>0.238095238095238</v>
      </c>
    </row>
    <row r="98" customFormat="false" ht="15" hidden="false" customHeight="false" outlineLevel="0" collapsed="false">
      <c r="A98" s="3" t="s">
        <v>131</v>
      </c>
      <c r="B98" s="4" t="n">
        <f aca="false">COUNTIF(Positions!$B$2:$B$6912,A98)</f>
        <v>73</v>
      </c>
      <c r="C98" s="4" t="n">
        <f aca="false">COUNTIFS(Positions!$B$2:$B$6912,A98,Positions!$E$2:$E$6912,"G")</f>
        <v>24</v>
      </c>
      <c r="D98" s="4" t="n">
        <f aca="false">COUNTIFS(Positions!$B$2:$B$6912,A98,Positions!$E$2:$E$6912,"C")</f>
        <v>24</v>
      </c>
      <c r="E98" s="3" t="n">
        <f aca="false">C98+D98</f>
        <v>48</v>
      </c>
      <c r="F98" s="5" t="n">
        <f aca="false">E98/B98</f>
        <v>0.657534246575342</v>
      </c>
      <c r="G98" s="4" t="n">
        <f aca="false">SUMIFS(Stems_3D_BP!$K$2:$K$2689,Stems_3D_BP!$A$2:$A$2689,$A98,Stems_3D_BP!$B$2:$B$2689,"Acceptor stem")</f>
        <v>13</v>
      </c>
      <c r="H98" s="4" t="n">
        <f aca="false">SUMIFS(Stems_3D_BP!$K$2:$K$2689,Stems_3D_BP!$A$2:$A$2689,$A98,Stems_3D_BP!$B$2:$B$2689,"D-stem")</f>
        <v>6</v>
      </c>
      <c r="I98" s="4" t="n">
        <f aca="false">SUMIFS(Stems_3D_BP!$K$2:$K$2689,Stems_3D_BP!$A$2:$A$2689,$A98,Stems_3D_BP!$B$2:$B$2689,"Anticodon stem")</f>
        <v>8</v>
      </c>
      <c r="J98" s="4" t="n">
        <f aca="false">SUMIFS(Stems_3D_BP!$K$2:$K$2689,Stems_3D_BP!$A$2:$A$2689,$A98,Stems_3D_BP!$B$2:$B$2689,"T-stem")</f>
        <v>9</v>
      </c>
      <c r="K98" s="3" t="n">
        <f aca="false">SUM(G98:J98)</f>
        <v>36</v>
      </c>
      <c r="L98" s="5" t="n">
        <f aca="false">K98/42</f>
        <v>0.857142857142857</v>
      </c>
      <c r="M98" s="4" t="n">
        <f aca="false">SUMIFS(Stems_3D_BP!$K$2:$K$2689,Stems_3D_BP!$A$2:$A$2689,$A98,Stems_3D_BP!$B$2:$B$2689,"3D (tertiary) BP")</f>
        <v>7</v>
      </c>
      <c r="N98" s="6" t="n">
        <f aca="false">M98/14</f>
        <v>0.5</v>
      </c>
      <c r="O98" s="3" t="n">
        <f aca="false">K98+M98</f>
        <v>43</v>
      </c>
      <c r="P98" s="5" t="n">
        <f aca="false">O98/56</f>
        <v>0.767857142857143</v>
      </c>
      <c r="Q98" s="4" t="n">
        <f aca="false">SUMIFS(Loops!$I$2:$I$481,Loops!$A$2:$A$481,$A98,Loops!$B$2:$B$481,"D-loop")</f>
        <v>5</v>
      </c>
      <c r="R98" s="4" t="n">
        <f aca="false">SUMIFS(Loops!$I$2:$I$481,Loops!$A$2:$A$481,$A98,Loops!$B$2:$B$481,"Anticodon loop")</f>
        <v>2</v>
      </c>
      <c r="S98" s="4" t="n">
        <f aca="false">SUMIFS(Loops!$I$2:$I$481,Loops!$A$2:$A$481,$A98,Loops!$B$2:$B$481,"Variable loop")</f>
        <v>2</v>
      </c>
      <c r="T98" s="4" t="n">
        <f aca="false">SUMIFS(Loops!$I$2:$I$481,Loops!$A$2:$A$481,$A98,Loops!$B$2:$B$481,"TΨC-loop")</f>
        <v>1</v>
      </c>
      <c r="U98" s="4" t="n">
        <f aca="false">SUMIFS(Loops!$F$2:$F$481,Loops!$A$2:$A$481,$A98)-SUMIFS(Loops!$F$2:$F$481,Loops!$A$2:$A$481,$A98,Loops!$B$2:$B$481,"Positions 8, 9, 26")</f>
        <v>28</v>
      </c>
      <c r="V98" s="3" t="n">
        <f aca="false">SUM(Q98:T98)</f>
        <v>10</v>
      </c>
      <c r="W98" s="5" t="n">
        <f aca="false">V98/U98</f>
        <v>0.357142857142857</v>
      </c>
      <c r="X98" s="7" t="str">
        <f aca="false">INDEX(Positions!$E$2:$E$6912,MATCH($A98&amp;"|8",Positions!$A$2:$A$6912,0))</f>
        <v>U</v>
      </c>
      <c r="Y98" s="7" t="str">
        <f aca="false">INDEX(Positions!$E$2:$E$6912,MATCH($A98&amp;"|9",Positions!$A$2:$A$6912,0))</f>
        <v>G</v>
      </c>
      <c r="Z98" s="7" t="str">
        <f aca="false">INDEX(Positions!$E$2:$E$6912,MATCH($A98&amp;"|26",Positions!$A$2:$A$6912,0))</f>
        <v>G</v>
      </c>
      <c r="AA98" s="7" t="n">
        <f aca="false">(X98="G")+(Y98="G")+(Z98="G")</f>
        <v>2</v>
      </c>
      <c r="AB98" s="7" t="n">
        <f aca="false">(X98="C")+(Y98="C")+(Z98="C")</f>
        <v>0</v>
      </c>
      <c r="AC98" s="8" t="n">
        <f aca="false">AA98+AB98</f>
        <v>2</v>
      </c>
      <c r="AD98" s="9" t="n">
        <f aca="false">AC98/3</f>
        <v>0.666666666666667</v>
      </c>
      <c r="AE98" s="7" t="str">
        <f aca="false">IF(K98+V98+AC98=E98,"OK","MISMATCH")</f>
        <v>OK</v>
      </c>
      <c r="AF98" s="10" t="n">
        <f aca="false">B98-42</f>
        <v>31</v>
      </c>
      <c r="AG98" s="10" t="n">
        <f aca="false">V98+AC98</f>
        <v>12</v>
      </c>
      <c r="AH98" s="11" t="n">
        <f aca="false">AG98/AF98</f>
        <v>0.387096774193548</v>
      </c>
      <c r="AI98" s="11" t="n">
        <f aca="false">L98</f>
        <v>0.857142857142857</v>
      </c>
      <c r="AJ98" s="12" t="n">
        <f aca="false">AI98-AH98</f>
        <v>0.470046082949309</v>
      </c>
    </row>
    <row r="99" customFormat="false" ht="15" hidden="false" customHeight="false" outlineLevel="0" collapsed="false">
      <c r="A99" s="3" t="s">
        <v>132</v>
      </c>
      <c r="B99" s="4" t="n">
        <f aca="false">COUNTIF(Positions!$B$2:$B$6912,A99)</f>
        <v>73</v>
      </c>
      <c r="C99" s="4" t="n">
        <f aca="false">COUNTIFS(Positions!$B$2:$B$6912,A99,Positions!$E$2:$E$6912,"G")</f>
        <v>20</v>
      </c>
      <c r="D99" s="4" t="n">
        <f aca="false">COUNTIFS(Positions!$B$2:$B$6912,A99,Positions!$E$2:$E$6912,"C")</f>
        <v>18</v>
      </c>
      <c r="E99" s="3" t="n">
        <f aca="false">C99+D99</f>
        <v>38</v>
      </c>
      <c r="F99" s="5" t="n">
        <f aca="false">E99/B99</f>
        <v>0.520547945205479</v>
      </c>
      <c r="G99" s="4" t="n">
        <f aca="false">SUMIFS(Stems_3D_BP!$K$2:$K$2689,Stems_3D_BP!$A$2:$A$2689,$A99,Stems_3D_BP!$B$2:$B$2689,"Acceptor stem")</f>
        <v>10</v>
      </c>
      <c r="H99" s="4" t="n">
        <f aca="false">SUMIFS(Stems_3D_BP!$K$2:$K$2689,Stems_3D_BP!$A$2:$A$2689,$A99,Stems_3D_BP!$B$2:$B$2689,"D-stem")</f>
        <v>6</v>
      </c>
      <c r="I99" s="4" t="n">
        <f aca="false">SUMIFS(Stems_3D_BP!$K$2:$K$2689,Stems_3D_BP!$A$2:$A$2689,$A99,Stems_3D_BP!$B$2:$B$2689,"Anticodon stem")</f>
        <v>4</v>
      </c>
      <c r="J99" s="4" t="n">
        <f aca="false">SUMIFS(Stems_3D_BP!$K$2:$K$2689,Stems_3D_BP!$A$2:$A$2689,$A99,Stems_3D_BP!$B$2:$B$2689,"T-stem")</f>
        <v>7</v>
      </c>
      <c r="K99" s="3" t="n">
        <f aca="false">SUM(G99:J99)</f>
        <v>27</v>
      </c>
      <c r="L99" s="5" t="n">
        <f aca="false">K99/42</f>
        <v>0.642857142857143</v>
      </c>
      <c r="M99" s="4" t="n">
        <f aca="false">SUMIFS(Stems_3D_BP!$K$2:$K$2689,Stems_3D_BP!$A$2:$A$2689,$A99,Stems_3D_BP!$B$2:$B$2689,"3D (tertiary) BP")</f>
        <v>7</v>
      </c>
      <c r="N99" s="6" t="n">
        <f aca="false">M99/14</f>
        <v>0.5</v>
      </c>
      <c r="O99" s="3" t="n">
        <f aca="false">K99+M99</f>
        <v>34</v>
      </c>
      <c r="P99" s="5" t="n">
        <f aca="false">O99/56</f>
        <v>0.607142857142857</v>
      </c>
      <c r="Q99" s="4" t="n">
        <f aca="false">SUMIFS(Loops!$I$2:$I$481,Loops!$A$2:$A$481,$A99,Loops!$B$2:$B$481,"D-loop")</f>
        <v>3</v>
      </c>
      <c r="R99" s="4" t="n">
        <f aca="false">SUMIFS(Loops!$I$2:$I$481,Loops!$A$2:$A$481,$A99,Loops!$B$2:$B$481,"Anticodon loop")</f>
        <v>2</v>
      </c>
      <c r="S99" s="4" t="n">
        <f aca="false">SUMIFS(Loops!$I$2:$I$481,Loops!$A$2:$A$481,$A99,Loops!$B$2:$B$481,"Variable loop")</f>
        <v>4</v>
      </c>
      <c r="T99" s="4" t="n">
        <f aca="false">SUMIFS(Loops!$I$2:$I$481,Loops!$A$2:$A$481,$A99,Loops!$B$2:$B$481,"TΨC-loop")</f>
        <v>2</v>
      </c>
      <c r="U99" s="4" t="n">
        <f aca="false">SUMIFS(Loops!$F$2:$F$481,Loops!$A$2:$A$481,$A99)-SUMIFS(Loops!$F$2:$F$481,Loops!$A$2:$A$481,$A99,Loops!$B$2:$B$481,"Positions 8, 9, 26")</f>
        <v>28</v>
      </c>
      <c r="V99" s="3" t="n">
        <f aca="false">SUM(Q99:T99)</f>
        <v>11</v>
      </c>
      <c r="W99" s="5" t="n">
        <f aca="false">V99/U99</f>
        <v>0.392857142857143</v>
      </c>
      <c r="X99" s="7" t="str">
        <f aca="false">INDEX(Positions!$E$2:$E$6912,MATCH($A99&amp;"|8",Positions!$A$2:$A$6912,0))</f>
        <v>U</v>
      </c>
      <c r="Y99" s="7" t="str">
        <f aca="false">INDEX(Positions!$E$2:$E$6912,MATCH($A99&amp;"|9",Positions!$A$2:$A$6912,0))</f>
        <v>A</v>
      </c>
      <c r="Z99" s="7" t="str">
        <f aca="false">INDEX(Positions!$E$2:$E$6912,MATCH($A99&amp;"|26",Positions!$A$2:$A$6912,0))</f>
        <v>A</v>
      </c>
      <c r="AA99" s="7" t="n">
        <f aca="false">(X99="G")+(Y99="G")+(Z99="G")</f>
        <v>0</v>
      </c>
      <c r="AB99" s="7" t="n">
        <f aca="false">(X99="C")+(Y99="C")+(Z99="C")</f>
        <v>0</v>
      </c>
      <c r="AC99" s="8" t="n">
        <f aca="false">AA99+AB99</f>
        <v>0</v>
      </c>
      <c r="AD99" s="9" t="n">
        <f aca="false">AC99/3</f>
        <v>0</v>
      </c>
      <c r="AE99" s="7" t="str">
        <f aca="false">IF(K99+V99+AC99=E99,"OK","MISMATCH")</f>
        <v>OK</v>
      </c>
      <c r="AF99" s="10" t="n">
        <f aca="false">B99-42</f>
        <v>31</v>
      </c>
      <c r="AG99" s="10" t="n">
        <f aca="false">V99+AC99</f>
        <v>11</v>
      </c>
      <c r="AH99" s="11" t="n">
        <f aca="false">AG99/AF99</f>
        <v>0.354838709677419</v>
      </c>
      <c r="AI99" s="11" t="n">
        <f aca="false">L99</f>
        <v>0.642857142857143</v>
      </c>
      <c r="AJ99" s="12" t="n">
        <f aca="false">AI99-AH99</f>
        <v>0.288018433179724</v>
      </c>
    </row>
    <row r="100" customFormat="false" ht="15" hidden="false" customHeight="false" outlineLevel="0" collapsed="false">
      <c r="A100" s="3" t="s">
        <v>133</v>
      </c>
      <c r="B100" s="13" t="n">
        <f aca="false">AVERAGE(B4:B99)</f>
        <v>71.9895833333333</v>
      </c>
      <c r="C100" s="13" t="n">
        <f aca="false">AVERAGE(C4:C99)</f>
        <v>22.8020833333333</v>
      </c>
      <c r="D100" s="13" t="n">
        <f aca="false">AVERAGE(D4:D99)</f>
        <v>19.2395833333333</v>
      </c>
      <c r="E100" s="13" t="n">
        <f aca="false">AVERAGE(E4:E99)</f>
        <v>42.0416666666667</v>
      </c>
      <c r="F100" s="14" t="n">
        <f aca="false">AVERAGE(F4:F99)</f>
        <v>0.5836705745988</v>
      </c>
      <c r="G100" s="13" t="n">
        <f aca="false">AVERAGE(G4:G99)</f>
        <v>9.94791666666667</v>
      </c>
      <c r="H100" s="13" t="n">
        <f aca="false">AVERAGE(H4:H99)</f>
        <v>5.25</v>
      </c>
      <c r="I100" s="13" t="n">
        <f aca="false">AVERAGE(I4:I99)</f>
        <v>6.35416666666667</v>
      </c>
      <c r="J100" s="13" t="n">
        <f aca="false">AVERAGE(J4:J99)</f>
        <v>8.29166666666667</v>
      </c>
      <c r="K100" s="13" t="n">
        <f aca="false">AVERAGE(K4:K99)</f>
        <v>29.84375</v>
      </c>
      <c r="L100" s="14" t="n">
        <f aca="false">AVERAGE(L4:L99)</f>
        <v>0.710565476190476</v>
      </c>
      <c r="M100" s="13" t="n">
        <f aca="false">AVERAGE(M4:M99)</f>
        <v>6.52083333333333</v>
      </c>
      <c r="N100" s="14" t="n">
        <f aca="false">AVERAGE(N4:N99)</f>
        <v>0.46577380952381</v>
      </c>
      <c r="O100" s="13" t="n">
        <f aca="false">AVERAGE(O4:O99)</f>
        <v>36.3645833333333</v>
      </c>
      <c r="P100" s="14" t="n">
        <f aca="false">AVERAGE(P4:P99)</f>
        <v>0.64936755952381</v>
      </c>
      <c r="Q100" s="13" t="n">
        <f aca="false">AVERAGE(Q4:Q99)</f>
        <v>3.63541666666667</v>
      </c>
      <c r="R100" s="13" t="n">
        <f aca="false">AVERAGE(R4:R99)</f>
        <v>2.55208333333333</v>
      </c>
      <c r="S100" s="13" t="n">
        <f aca="false">AVERAGE(S4:S99)</f>
        <v>2.85416666666667</v>
      </c>
      <c r="T100" s="13" t="n">
        <f aca="false">AVERAGE(T4:T99)</f>
        <v>2.21875</v>
      </c>
      <c r="U100" s="13" t="n">
        <f aca="false">AVERAGE(U4:U99)</f>
        <v>26.9895833333333</v>
      </c>
      <c r="V100" s="13" t="n">
        <f aca="false">AVERAGE(V4:V99)</f>
        <v>11.2604166666667</v>
      </c>
      <c r="W100" s="14" t="n">
        <f aca="false">AVERAGE(W4:W99)</f>
        <v>0.416535512699306</v>
      </c>
      <c r="AA100" s="13" t="n">
        <f aca="false">AVERAGE(AA4:AA99)</f>
        <v>0.84375</v>
      </c>
      <c r="AB100" s="13" t="n">
        <f aca="false">AVERAGE(AB4:AB99)</f>
        <v>0.09375</v>
      </c>
      <c r="AC100" s="13" t="n">
        <f aca="false">AVERAGE(AC4:AC99)</f>
        <v>0.9375</v>
      </c>
      <c r="AD100" s="14" t="n">
        <f aca="false">AVERAGE(AD4:AD99)</f>
        <v>0.3125</v>
      </c>
      <c r="AF100" s="13" t="n">
        <f aca="false">AVERAGE(AF4:AF99)</f>
        <v>29.9895833333333</v>
      </c>
      <c r="AG100" s="13" t="n">
        <f aca="false">AVERAGE(AG4:AG99)</f>
        <v>12.1979166666667</v>
      </c>
      <c r="AH100" s="14" t="n">
        <f aca="false">AVERAGE(AH4:AH99)</f>
        <v>0.40601145783675</v>
      </c>
      <c r="AI100" s="14" t="n">
        <f aca="false">AVERAGE(AI4:AI99)</f>
        <v>0.710565476190476</v>
      </c>
      <c r="AJ100" s="14" t="n">
        <f aca="false">AVERAGE(AJ4:AJ99)</f>
        <v>0.304554018353726</v>
      </c>
    </row>
    <row r="102" customFormat="false" ht="15" hidden="false" customHeight="false" outlineLevel="0" collapsed="false">
      <c r="A102" s="15" t="s">
        <v>134</v>
      </c>
    </row>
    <row r="103" customFormat="false" ht="15" hidden="false" customHeight="false" outlineLevel="0" collapsed="false">
      <c r="A103" s="15" t="s">
        <v>135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4"/>
    <col collapsed="false" customWidth="true" hidden="false" outlineLevel="0" max="4" min="3" style="0" width="10"/>
    <col collapsed="false" customWidth="true" hidden="false" outlineLevel="0" max="5" min="5" style="0" width="26"/>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95"/>
    <col collapsed="false" customWidth="true" hidden="false" outlineLevel="0" max="11" min="11" style="0" width="30"/>
  </cols>
  <sheetData>
    <row r="1" customFormat="false" ht="64.9" hidden="false" customHeight="false" outlineLevel="0" collapsed="false">
      <c r="A1" s="2" t="s">
        <v>136</v>
      </c>
      <c r="B1" s="2" t="s">
        <v>137</v>
      </c>
      <c r="C1" s="2" t="s">
        <v>138</v>
      </c>
      <c r="D1" s="2" t="s">
        <v>139</v>
      </c>
      <c r="E1" s="2" t="s">
        <v>140</v>
      </c>
      <c r="F1" s="2" t="s">
        <v>141</v>
      </c>
      <c r="G1" s="2" t="s">
        <v>142</v>
      </c>
      <c r="H1" s="2" t="s">
        <v>143</v>
      </c>
      <c r="I1" s="2" t="s">
        <v>144</v>
      </c>
      <c r="J1" s="2" t="s">
        <v>145</v>
      </c>
      <c r="K1" s="2" t="s">
        <v>146</v>
      </c>
    </row>
    <row r="2" customFormat="false" ht="15" hidden="false" customHeight="false" outlineLevel="0" collapsed="false">
      <c r="A2" s="4" t="s">
        <v>37</v>
      </c>
      <c r="B2" s="4" t="s">
        <v>147</v>
      </c>
      <c r="C2" s="4" t="s">
        <v>148</v>
      </c>
      <c r="D2" s="4" t="s">
        <v>149</v>
      </c>
      <c r="E2" s="4" t="s">
        <v>150</v>
      </c>
      <c r="F2" s="4" t="n">
        <v>77</v>
      </c>
      <c r="G2" s="4" t="n">
        <v>73</v>
      </c>
      <c r="H2" s="4" t="s">
        <v>151</v>
      </c>
      <c r="I2" s="4" t="s">
        <v>152</v>
      </c>
      <c r="J2" s="16" t="s">
        <v>153</v>
      </c>
      <c r="K2" s="16" t="s">
        <v>154</v>
      </c>
    </row>
    <row r="3" customFormat="false" ht="15" hidden="false" customHeight="false" outlineLevel="0" collapsed="false">
      <c r="A3" s="4" t="s">
        <v>38</v>
      </c>
      <c r="B3" s="4" t="s">
        <v>155</v>
      </c>
      <c r="C3" s="4" t="s">
        <v>156</v>
      </c>
      <c r="D3" s="4" t="s">
        <v>157</v>
      </c>
      <c r="E3" s="4" t="s">
        <v>150</v>
      </c>
      <c r="F3" s="4" t="n">
        <v>76</v>
      </c>
      <c r="G3" s="4" t="n">
        <v>72</v>
      </c>
      <c r="H3" s="4" t="s">
        <v>151</v>
      </c>
      <c r="I3" s="4" t="s">
        <v>152</v>
      </c>
      <c r="J3" s="16" t="s">
        <v>158</v>
      </c>
      <c r="K3" s="16" t="s">
        <v>154</v>
      </c>
    </row>
    <row r="4" customFormat="false" ht="15" hidden="false" customHeight="false" outlineLevel="0" collapsed="false">
      <c r="A4" s="4" t="s">
        <v>39</v>
      </c>
      <c r="B4" s="4" t="s">
        <v>159</v>
      </c>
      <c r="C4" s="4" t="s">
        <v>160</v>
      </c>
      <c r="D4" s="4" t="s">
        <v>149</v>
      </c>
      <c r="E4" s="4" t="s">
        <v>150</v>
      </c>
      <c r="F4" s="4" t="n">
        <v>78</v>
      </c>
      <c r="G4" s="4" t="n">
        <v>74</v>
      </c>
      <c r="H4" s="4" t="s">
        <v>151</v>
      </c>
      <c r="I4" s="4" t="s">
        <v>152</v>
      </c>
      <c r="J4" s="16" t="s">
        <v>161</v>
      </c>
      <c r="K4" s="16" t="s">
        <v>154</v>
      </c>
    </row>
    <row r="5" customFormat="false" ht="15" hidden="false" customHeight="false" outlineLevel="0" collapsed="false">
      <c r="A5" s="4" t="s">
        <v>40</v>
      </c>
      <c r="B5" s="4" t="s">
        <v>162</v>
      </c>
      <c r="C5" s="4" t="s">
        <v>163</v>
      </c>
      <c r="D5" s="4" t="s">
        <v>164</v>
      </c>
      <c r="E5" s="4" t="s">
        <v>165</v>
      </c>
      <c r="F5" s="4" t="n">
        <v>75</v>
      </c>
      <c r="G5" s="4" t="n">
        <v>71</v>
      </c>
      <c r="H5" s="4" t="s">
        <v>151</v>
      </c>
      <c r="I5" s="4" t="s">
        <v>152</v>
      </c>
      <c r="J5" s="16" t="s">
        <v>166</v>
      </c>
      <c r="K5" s="16" t="s">
        <v>167</v>
      </c>
    </row>
    <row r="6" customFormat="false" ht="15" hidden="false" customHeight="false" outlineLevel="0" collapsed="false">
      <c r="A6" s="4" t="s">
        <v>41</v>
      </c>
      <c r="B6" s="4" t="s">
        <v>168</v>
      </c>
      <c r="C6" s="4" t="s">
        <v>160</v>
      </c>
      <c r="D6" s="4" t="s">
        <v>149</v>
      </c>
      <c r="E6" s="4" t="s">
        <v>165</v>
      </c>
      <c r="F6" s="4" t="n">
        <v>78</v>
      </c>
      <c r="G6" s="4" t="n">
        <v>74</v>
      </c>
      <c r="H6" s="4" t="s">
        <v>151</v>
      </c>
      <c r="I6" s="4" t="s">
        <v>152</v>
      </c>
      <c r="J6" s="16" t="s">
        <v>169</v>
      </c>
      <c r="K6" s="16" t="s">
        <v>154</v>
      </c>
    </row>
    <row r="7" customFormat="false" ht="15" hidden="false" customHeight="false" outlineLevel="0" collapsed="false">
      <c r="A7" s="4" t="s">
        <v>42</v>
      </c>
      <c r="B7" s="4" t="s">
        <v>170</v>
      </c>
      <c r="C7" s="4" t="s">
        <v>171</v>
      </c>
      <c r="D7" s="4" t="s">
        <v>172</v>
      </c>
      <c r="E7" s="4" t="s">
        <v>165</v>
      </c>
      <c r="F7" s="4" t="n">
        <v>88</v>
      </c>
      <c r="G7" s="4" t="n">
        <v>84</v>
      </c>
      <c r="H7" s="4" t="s">
        <v>151</v>
      </c>
      <c r="I7" s="4" t="s">
        <v>173</v>
      </c>
      <c r="J7" s="16" t="s">
        <v>174</v>
      </c>
      <c r="K7" s="16" t="s">
        <v>167</v>
      </c>
    </row>
    <row r="8" customFormat="false" ht="15" hidden="false" customHeight="false" outlineLevel="0" collapsed="false">
      <c r="A8" s="4" t="s">
        <v>43</v>
      </c>
      <c r="B8" s="4" t="s">
        <v>175</v>
      </c>
      <c r="C8" s="4" t="s">
        <v>176</v>
      </c>
      <c r="D8" s="4" t="s">
        <v>177</v>
      </c>
      <c r="E8" s="4" t="s">
        <v>165</v>
      </c>
      <c r="F8" s="4" t="n">
        <v>75</v>
      </c>
      <c r="G8" s="4" t="n">
        <v>71</v>
      </c>
      <c r="H8" s="4" t="s">
        <v>151</v>
      </c>
      <c r="I8" s="4" t="s">
        <v>178</v>
      </c>
      <c r="J8" s="16" t="s">
        <v>179</v>
      </c>
      <c r="K8" s="16" t="s">
        <v>167</v>
      </c>
    </row>
    <row r="9" customFormat="false" ht="15" hidden="false" customHeight="false" outlineLevel="0" collapsed="false">
      <c r="A9" s="4" t="s">
        <v>44</v>
      </c>
      <c r="B9" s="4" t="s">
        <v>180</v>
      </c>
      <c r="C9" s="4" t="s">
        <v>181</v>
      </c>
      <c r="D9" s="4" t="s">
        <v>182</v>
      </c>
      <c r="E9" s="4" t="s">
        <v>165</v>
      </c>
      <c r="F9" s="4" t="n">
        <v>78</v>
      </c>
      <c r="G9" s="4" t="n">
        <v>74</v>
      </c>
      <c r="H9" s="4" t="s">
        <v>151</v>
      </c>
      <c r="I9" s="4" t="s">
        <v>152</v>
      </c>
      <c r="J9" s="16" t="s">
        <v>183</v>
      </c>
      <c r="K9" s="16" t="s">
        <v>154</v>
      </c>
    </row>
    <row r="10" customFormat="false" ht="15" hidden="false" customHeight="false" outlineLevel="0" collapsed="false">
      <c r="A10" s="4" t="s">
        <v>45</v>
      </c>
      <c r="B10" s="4" t="s">
        <v>184</v>
      </c>
      <c r="C10" s="4" t="s">
        <v>181</v>
      </c>
      <c r="D10" s="4" t="s">
        <v>182</v>
      </c>
      <c r="E10" s="4" t="s">
        <v>165</v>
      </c>
      <c r="F10" s="4" t="n">
        <v>78</v>
      </c>
      <c r="G10" s="4" t="n">
        <v>74</v>
      </c>
      <c r="H10" s="4" t="s">
        <v>151</v>
      </c>
      <c r="I10" s="4" t="s">
        <v>152</v>
      </c>
      <c r="J10" s="16" t="s">
        <v>185</v>
      </c>
      <c r="K10" s="16" t="s">
        <v>154</v>
      </c>
    </row>
    <row r="11" customFormat="false" ht="15" hidden="false" customHeight="false" outlineLevel="0" collapsed="false">
      <c r="A11" s="4" t="s">
        <v>46</v>
      </c>
      <c r="B11" s="4" t="s">
        <v>186</v>
      </c>
      <c r="C11" s="4" t="s">
        <v>181</v>
      </c>
      <c r="D11" s="4" t="s">
        <v>187</v>
      </c>
      <c r="E11" s="4" t="s">
        <v>165</v>
      </c>
      <c r="F11" s="4" t="n">
        <v>78</v>
      </c>
      <c r="G11" s="4" t="n">
        <v>74</v>
      </c>
      <c r="H11" s="4" t="s">
        <v>151</v>
      </c>
      <c r="I11" s="4" t="s">
        <v>152</v>
      </c>
      <c r="J11" s="16" t="s">
        <v>188</v>
      </c>
      <c r="K11" s="16" t="s">
        <v>154</v>
      </c>
    </row>
    <row r="12" customFormat="false" ht="15" hidden="false" customHeight="false" outlineLevel="0" collapsed="false">
      <c r="A12" s="4" t="s">
        <v>47</v>
      </c>
      <c r="B12" s="4" t="s">
        <v>189</v>
      </c>
      <c r="C12" s="4" t="s">
        <v>190</v>
      </c>
      <c r="D12" s="4" t="s">
        <v>191</v>
      </c>
      <c r="E12" s="4" t="s">
        <v>192</v>
      </c>
      <c r="F12" s="4" t="n">
        <v>75</v>
      </c>
      <c r="G12" s="4" t="n">
        <v>71</v>
      </c>
      <c r="H12" s="4" t="s">
        <v>151</v>
      </c>
      <c r="I12" s="4" t="s">
        <v>152</v>
      </c>
      <c r="J12" s="16" t="s">
        <v>193</v>
      </c>
      <c r="K12" s="16" t="s">
        <v>167</v>
      </c>
    </row>
    <row r="13" customFormat="false" ht="15" hidden="false" customHeight="false" outlineLevel="0" collapsed="false">
      <c r="A13" s="4" t="s">
        <v>48</v>
      </c>
      <c r="B13" s="4" t="s">
        <v>194</v>
      </c>
      <c r="C13" s="4" t="s">
        <v>195</v>
      </c>
      <c r="D13" s="4" t="s">
        <v>196</v>
      </c>
      <c r="E13" s="4" t="s">
        <v>192</v>
      </c>
      <c r="F13" s="4" t="n">
        <v>76</v>
      </c>
      <c r="G13" s="4" t="n">
        <v>71</v>
      </c>
      <c r="H13" s="4" t="s">
        <v>197</v>
      </c>
      <c r="I13" s="4" t="s">
        <v>152</v>
      </c>
      <c r="J13" s="16" t="s">
        <v>198</v>
      </c>
      <c r="K13" s="16" t="s">
        <v>167</v>
      </c>
    </row>
    <row r="14" customFormat="false" ht="15" hidden="false" customHeight="false" outlineLevel="0" collapsed="false">
      <c r="A14" s="4" t="s">
        <v>49</v>
      </c>
      <c r="B14" s="4" t="s">
        <v>199</v>
      </c>
      <c r="C14" s="4" t="s">
        <v>160</v>
      </c>
      <c r="D14" s="4" t="s">
        <v>149</v>
      </c>
      <c r="E14" s="4" t="s">
        <v>192</v>
      </c>
      <c r="F14" s="4" t="n">
        <v>75</v>
      </c>
      <c r="G14" s="4" t="n">
        <v>71</v>
      </c>
      <c r="H14" s="4" t="s">
        <v>151</v>
      </c>
      <c r="I14" s="4" t="s">
        <v>152</v>
      </c>
      <c r="J14" s="16" t="s">
        <v>200</v>
      </c>
      <c r="K14" s="16" t="s">
        <v>167</v>
      </c>
    </row>
    <row r="15" customFormat="false" ht="15" hidden="false" customHeight="false" outlineLevel="0" collapsed="false">
      <c r="A15" s="4" t="s">
        <v>50</v>
      </c>
      <c r="B15" s="4" t="s">
        <v>201</v>
      </c>
      <c r="C15" s="4" t="s">
        <v>202</v>
      </c>
      <c r="D15" s="4" t="s">
        <v>203</v>
      </c>
      <c r="E15" s="4" t="s">
        <v>192</v>
      </c>
      <c r="F15" s="4" t="n">
        <v>76</v>
      </c>
      <c r="G15" s="4" t="n">
        <v>72</v>
      </c>
      <c r="H15" s="4" t="s">
        <v>151</v>
      </c>
      <c r="I15" s="4" t="s">
        <v>173</v>
      </c>
      <c r="J15" s="16" t="s">
        <v>204</v>
      </c>
      <c r="K15" s="16" t="s">
        <v>167</v>
      </c>
    </row>
    <row r="16" customFormat="false" ht="15" hidden="false" customHeight="false" outlineLevel="0" collapsed="false">
      <c r="A16" s="4" t="s">
        <v>51</v>
      </c>
      <c r="B16" s="4" t="s">
        <v>205</v>
      </c>
      <c r="C16" s="4" t="s">
        <v>202</v>
      </c>
      <c r="D16" s="4" t="s">
        <v>206</v>
      </c>
      <c r="E16" s="4" t="s">
        <v>192</v>
      </c>
      <c r="F16" s="4" t="n">
        <v>76</v>
      </c>
      <c r="G16" s="4" t="n">
        <v>72</v>
      </c>
      <c r="H16" s="4" t="s">
        <v>151</v>
      </c>
      <c r="I16" s="4" t="s">
        <v>173</v>
      </c>
      <c r="J16" s="16" t="s">
        <v>207</v>
      </c>
      <c r="K16" s="16" t="s">
        <v>167</v>
      </c>
    </row>
    <row r="17" customFormat="false" ht="15" hidden="false" customHeight="false" outlineLevel="0" collapsed="false">
      <c r="A17" s="4" t="s">
        <v>52</v>
      </c>
      <c r="B17" s="4" t="s">
        <v>208</v>
      </c>
      <c r="C17" s="4" t="s">
        <v>209</v>
      </c>
      <c r="D17" s="4" t="s">
        <v>210</v>
      </c>
      <c r="E17" s="4" t="s">
        <v>192</v>
      </c>
      <c r="F17" s="4" t="n">
        <v>76</v>
      </c>
      <c r="G17" s="4" t="n">
        <v>72</v>
      </c>
      <c r="H17" s="4" t="s">
        <v>151</v>
      </c>
      <c r="I17" s="4" t="s">
        <v>152</v>
      </c>
      <c r="J17" s="16" t="s">
        <v>211</v>
      </c>
      <c r="K17" s="16" t="s">
        <v>167</v>
      </c>
    </row>
    <row r="18" customFormat="false" ht="15" hidden="false" customHeight="false" outlineLevel="0" collapsed="false">
      <c r="A18" s="4" t="s">
        <v>53</v>
      </c>
      <c r="B18" s="4" t="s">
        <v>212</v>
      </c>
      <c r="C18" s="4" t="s">
        <v>213</v>
      </c>
      <c r="D18" s="4" t="s">
        <v>214</v>
      </c>
      <c r="E18" s="4" t="s">
        <v>192</v>
      </c>
      <c r="F18" s="4" t="n">
        <v>76</v>
      </c>
      <c r="G18" s="4" t="n">
        <v>72</v>
      </c>
      <c r="H18" s="4" t="s">
        <v>151</v>
      </c>
      <c r="I18" s="4" t="s">
        <v>152</v>
      </c>
      <c r="J18" s="16" t="s">
        <v>215</v>
      </c>
      <c r="K18" s="16" t="s">
        <v>167</v>
      </c>
    </row>
    <row r="19" customFormat="false" ht="15" hidden="false" customHeight="false" outlineLevel="0" collapsed="false">
      <c r="A19" s="4" t="s">
        <v>54</v>
      </c>
      <c r="B19" s="4" t="s">
        <v>216</v>
      </c>
      <c r="C19" s="4" t="s">
        <v>181</v>
      </c>
      <c r="D19" s="4" t="s">
        <v>182</v>
      </c>
      <c r="E19" s="4" t="s">
        <v>192</v>
      </c>
      <c r="F19" s="4" t="n">
        <v>76</v>
      </c>
      <c r="G19" s="4" t="n">
        <v>72</v>
      </c>
      <c r="H19" s="4" t="s">
        <v>151</v>
      </c>
      <c r="I19" s="4" t="s">
        <v>152</v>
      </c>
      <c r="J19" s="16" t="s">
        <v>217</v>
      </c>
      <c r="K19" s="16" t="s">
        <v>154</v>
      </c>
    </row>
    <row r="20" customFormat="false" ht="15" hidden="false" customHeight="false" outlineLevel="0" collapsed="false">
      <c r="A20" s="4" t="s">
        <v>55</v>
      </c>
      <c r="B20" s="4" t="s">
        <v>218</v>
      </c>
      <c r="C20" s="4" t="s">
        <v>181</v>
      </c>
      <c r="D20" s="4" t="s">
        <v>219</v>
      </c>
      <c r="E20" s="4" t="s">
        <v>192</v>
      </c>
      <c r="F20" s="4" t="n">
        <v>76</v>
      </c>
      <c r="G20" s="4" t="n">
        <v>72</v>
      </c>
      <c r="H20" s="4" t="s">
        <v>151</v>
      </c>
      <c r="I20" s="4" t="s">
        <v>152</v>
      </c>
      <c r="J20" s="16" t="s">
        <v>220</v>
      </c>
      <c r="K20" s="16" t="s">
        <v>154</v>
      </c>
    </row>
    <row r="21" customFormat="false" ht="15" hidden="false" customHeight="false" outlineLevel="0" collapsed="false">
      <c r="A21" s="4" t="s">
        <v>56</v>
      </c>
      <c r="B21" s="4" t="s">
        <v>221</v>
      </c>
      <c r="C21" s="4" t="s">
        <v>181</v>
      </c>
      <c r="D21" s="4" t="s">
        <v>222</v>
      </c>
      <c r="E21" s="4" t="s">
        <v>192</v>
      </c>
      <c r="F21" s="4" t="n">
        <v>76</v>
      </c>
      <c r="G21" s="4" t="n">
        <v>72</v>
      </c>
      <c r="H21" s="4" t="s">
        <v>151</v>
      </c>
      <c r="I21" s="4" t="s">
        <v>152</v>
      </c>
      <c r="J21" s="16" t="s">
        <v>223</v>
      </c>
      <c r="K21" s="16" t="s">
        <v>154</v>
      </c>
    </row>
    <row r="22" customFormat="false" ht="15" hidden="false" customHeight="false" outlineLevel="0" collapsed="false">
      <c r="A22" s="4" t="s">
        <v>57</v>
      </c>
      <c r="B22" s="4" t="s">
        <v>224</v>
      </c>
      <c r="C22" s="4" t="s">
        <v>163</v>
      </c>
      <c r="D22" s="4" t="s">
        <v>225</v>
      </c>
      <c r="E22" s="4" t="s">
        <v>226</v>
      </c>
      <c r="F22" s="4" t="n">
        <v>76</v>
      </c>
      <c r="G22" s="4" t="n">
        <v>72</v>
      </c>
      <c r="H22" s="4" t="s">
        <v>151</v>
      </c>
      <c r="I22" s="4" t="s">
        <v>152</v>
      </c>
      <c r="J22" s="16" t="s">
        <v>227</v>
      </c>
      <c r="K22" s="16" t="s">
        <v>167</v>
      </c>
    </row>
    <row r="23" customFormat="false" ht="15" hidden="false" customHeight="false" outlineLevel="0" collapsed="false">
      <c r="A23" s="4" t="s">
        <v>58</v>
      </c>
      <c r="B23" s="4" t="s">
        <v>228</v>
      </c>
      <c r="C23" s="4" t="s">
        <v>163</v>
      </c>
      <c r="D23" s="4" t="s">
        <v>225</v>
      </c>
      <c r="E23" s="4" t="s">
        <v>226</v>
      </c>
      <c r="F23" s="4" t="n">
        <v>76</v>
      </c>
      <c r="G23" s="4" t="n">
        <v>72</v>
      </c>
      <c r="H23" s="4" t="s">
        <v>151</v>
      </c>
      <c r="I23" s="4" t="s">
        <v>152</v>
      </c>
      <c r="J23" s="16" t="s">
        <v>229</v>
      </c>
      <c r="K23" s="16" t="s">
        <v>167</v>
      </c>
    </row>
    <row r="24" customFormat="false" ht="15" hidden="false" customHeight="false" outlineLevel="0" collapsed="false">
      <c r="A24" s="4" t="s">
        <v>59</v>
      </c>
      <c r="B24" s="4" t="s">
        <v>230</v>
      </c>
      <c r="C24" s="4" t="s">
        <v>160</v>
      </c>
      <c r="D24" s="4" t="s">
        <v>231</v>
      </c>
      <c r="E24" s="4" t="s">
        <v>226</v>
      </c>
      <c r="F24" s="4" t="n">
        <v>77</v>
      </c>
      <c r="G24" s="4" t="n">
        <v>73</v>
      </c>
      <c r="H24" s="4" t="s">
        <v>151</v>
      </c>
      <c r="I24" s="4" t="s">
        <v>152</v>
      </c>
      <c r="J24" s="16" t="s">
        <v>232</v>
      </c>
      <c r="K24" s="16" t="s">
        <v>233</v>
      </c>
    </row>
    <row r="25" customFormat="false" ht="15" hidden="false" customHeight="false" outlineLevel="0" collapsed="false">
      <c r="A25" s="4" t="s">
        <v>60</v>
      </c>
      <c r="B25" s="4" t="s">
        <v>234</v>
      </c>
      <c r="C25" s="4" t="s">
        <v>209</v>
      </c>
      <c r="D25" s="4" t="s">
        <v>210</v>
      </c>
      <c r="E25" s="4" t="s">
        <v>226</v>
      </c>
      <c r="F25" s="4" t="n">
        <v>76</v>
      </c>
      <c r="G25" s="4" t="n">
        <v>72</v>
      </c>
      <c r="H25" s="4" t="s">
        <v>151</v>
      </c>
      <c r="I25" s="4" t="s">
        <v>152</v>
      </c>
      <c r="J25" s="16" t="s">
        <v>235</v>
      </c>
      <c r="K25" s="16" t="s">
        <v>167</v>
      </c>
    </row>
    <row r="26" customFormat="false" ht="15" hidden="false" customHeight="false" outlineLevel="0" collapsed="false">
      <c r="A26" s="4" t="s">
        <v>61</v>
      </c>
      <c r="B26" s="4" t="s">
        <v>236</v>
      </c>
      <c r="C26" s="4" t="s">
        <v>209</v>
      </c>
      <c r="D26" s="4" t="s">
        <v>210</v>
      </c>
      <c r="E26" s="4" t="s">
        <v>226</v>
      </c>
      <c r="F26" s="4" t="n">
        <v>76</v>
      </c>
      <c r="G26" s="4" t="n">
        <v>72</v>
      </c>
      <c r="H26" s="4" t="s">
        <v>151</v>
      </c>
      <c r="I26" s="4" t="s">
        <v>152</v>
      </c>
      <c r="J26" s="16" t="s">
        <v>237</v>
      </c>
      <c r="K26" s="16" t="s">
        <v>167</v>
      </c>
    </row>
    <row r="27" customFormat="false" ht="15" hidden="false" customHeight="false" outlineLevel="0" collapsed="false">
      <c r="A27" s="4" t="s">
        <v>62</v>
      </c>
      <c r="B27" s="4" t="s">
        <v>238</v>
      </c>
      <c r="C27" s="4" t="s">
        <v>239</v>
      </c>
      <c r="D27" s="4" t="s">
        <v>240</v>
      </c>
      <c r="E27" s="4" t="s">
        <v>241</v>
      </c>
      <c r="F27" s="4" t="n">
        <v>72</v>
      </c>
      <c r="G27" s="4" t="n">
        <v>71</v>
      </c>
      <c r="H27" s="4" t="s">
        <v>151</v>
      </c>
      <c r="I27" s="4" t="s">
        <v>197</v>
      </c>
      <c r="J27" s="16" t="s">
        <v>242</v>
      </c>
      <c r="K27" s="16" t="s">
        <v>167</v>
      </c>
    </row>
    <row r="28" customFormat="false" ht="15" hidden="false" customHeight="false" outlineLevel="0" collapsed="false">
      <c r="A28" s="4" t="s">
        <v>63</v>
      </c>
      <c r="B28" s="4" t="s">
        <v>243</v>
      </c>
      <c r="C28" s="4" t="s">
        <v>244</v>
      </c>
      <c r="D28" s="4" t="s">
        <v>245</v>
      </c>
      <c r="E28" s="4" t="s">
        <v>241</v>
      </c>
      <c r="F28" s="4" t="n">
        <v>72</v>
      </c>
      <c r="G28" s="4" t="n">
        <v>71</v>
      </c>
      <c r="H28" s="4" t="s">
        <v>151</v>
      </c>
      <c r="I28" s="4" t="s">
        <v>246</v>
      </c>
      <c r="J28" s="16" t="s">
        <v>247</v>
      </c>
      <c r="K28" s="16" t="s">
        <v>154</v>
      </c>
    </row>
    <row r="29" customFormat="false" ht="15" hidden="false" customHeight="false" outlineLevel="0" collapsed="false">
      <c r="A29" s="4" t="s">
        <v>64</v>
      </c>
      <c r="B29" s="4" t="s">
        <v>248</v>
      </c>
      <c r="C29" s="4" t="s">
        <v>190</v>
      </c>
      <c r="D29" s="4" t="s">
        <v>191</v>
      </c>
      <c r="E29" s="4" t="s">
        <v>241</v>
      </c>
      <c r="F29" s="4" t="n">
        <v>72</v>
      </c>
      <c r="G29" s="4" t="n">
        <v>71</v>
      </c>
      <c r="H29" s="4" t="s">
        <v>151</v>
      </c>
      <c r="I29" s="4" t="s">
        <v>197</v>
      </c>
      <c r="J29" s="16" t="s">
        <v>249</v>
      </c>
      <c r="K29" s="16" t="s">
        <v>250</v>
      </c>
    </row>
    <row r="30" customFormat="false" ht="15" hidden="false" customHeight="false" outlineLevel="0" collapsed="false">
      <c r="A30" s="4" t="s">
        <v>65</v>
      </c>
      <c r="B30" s="4" t="s">
        <v>251</v>
      </c>
      <c r="C30" s="4" t="s">
        <v>190</v>
      </c>
      <c r="D30" s="4" t="s">
        <v>252</v>
      </c>
      <c r="E30" s="4" t="s">
        <v>241</v>
      </c>
      <c r="F30" s="4" t="n">
        <v>72</v>
      </c>
      <c r="G30" s="4" t="n">
        <v>71</v>
      </c>
      <c r="H30" s="4" t="s">
        <v>151</v>
      </c>
      <c r="I30" s="4" t="s">
        <v>246</v>
      </c>
      <c r="J30" s="16" t="s">
        <v>253</v>
      </c>
      <c r="K30" s="16" t="s">
        <v>250</v>
      </c>
    </row>
    <row r="31" customFormat="false" ht="15" hidden="false" customHeight="false" outlineLevel="0" collapsed="false">
      <c r="A31" s="4" t="s">
        <v>66</v>
      </c>
      <c r="B31" s="4" t="s">
        <v>254</v>
      </c>
      <c r="C31" s="4" t="s">
        <v>202</v>
      </c>
      <c r="D31" s="4" t="s">
        <v>203</v>
      </c>
      <c r="E31" s="4" t="s">
        <v>241</v>
      </c>
      <c r="F31" s="4" t="n">
        <v>73</v>
      </c>
      <c r="G31" s="4" t="n">
        <v>72</v>
      </c>
      <c r="H31" s="4" t="s">
        <v>151</v>
      </c>
      <c r="I31" s="4" t="s">
        <v>197</v>
      </c>
      <c r="J31" s="16" t="s">
        <v>255</v>
      </c>
      <c r="K31" s="16" t="s">
        <v>256</v>
      </c>
    </row>
    <row r="32" customFormat="false" ht="15" hidden="false" customHeight="false" outlineLevel="0" collapsed="false">
      <c r="A32" s="4" t="s">
        <v>67</v>
      </c>
      <c r="B32" s="4" t="s">
        <v>257</v>
      </c>
      <c r="C32" s="4" t="s">
        <v>176</v>
      </c>
      <c r="D32" s="4" t="s">
        <v>258</v>
      </c>
      <c r="E32" s="4" t="s">
        <v>241</v>
      </c>
      <c r="F32" s="4" t="n">
        <v>72</v>
      </c>
      <c r="G32" s="4" t="n">
        <v>71</v>
      </c>
      <c r="H32" s="4" t="s">
        <v>151</v>
      </c>
      <c r="I32" s="4" t="s">
        <v>259</v>
      </c>
      <c r="J32" s="16" t="s">
        <v>260</v>
      </c>
      <c r="K32" s="16" t="s">
        <v>167</v>
      </c>
    </row>
    <row r="33" customFormat="false" ht="15" hidden="false" customHeight="false" outlineLevel="0" collapsed="false">
      <c r="A33" s="4" t="s">
        <v>68</v>
      </c>
      <c r="B33" s="4" t="s">
        <v>261</v>
      </c>
      <c r="C33" s="4" t="s">
        <v>262</v>
      </c>
      <c r="D33" s="4" t="s">
        <v>263</v>
      </c>
      <c r="E33" s="4" t="s">
        <v>241</v>
      </c>
      <c r="F33" s="4" t="n">
        <v>72</v>
      </c>
      <c r="G33" s="4" t="n">
        <v>71</v>
      </c>
      <c r="H33" s="4" t="s">
        <v>151</v>
      </c>
      <c r="I33" s="4" t="s">
        <v>246</v>
      </c>
      <c r="J33" s="16" t="s">
        <v>264</v>
      </c>
      <c r="K33" s="16" t="s">
        <v>167</v>
      </c>
    </row>
    <row r="34" customFormat="false" ht="15" hidden="false" customHeight="false" outlineLevel="0" collapsed="false">
      <c r="A34" s="4" t="s">
        <v>69</v>
      </c>
      <c r="B34" s="4" t="s">
        <v>265</v>
      </c>
      <c r="C34" s="4" t="s">
        <v>202</v>
      </c>
      <c r="D34" s="4" t="s">
        <v>206</v>
      </c>
      <c r="E34" s="4" t="s">
        <v>266</v>
      </c>
      <c r="F34" s="4" t="n">
        <v>76</v>
      </c>
      <c r="G34" s="4" t="n">
        <v>72</v>
      </c>
      <c r="H34" s="4" t="s">
        <v>151</v>
      </c>
      <c r="I34" s="4" t="s">
        <v>173</v>
      </c>
      <c r="J34" s="16" t="s">
        <v>267</v>
      </c>
      <c r="K34" s="16" t="s">
        <v>167</v>
      </c>
    </row>
    <row r="35" customFormat="false" ht="15" hidden="false" customHeight="false" outlineLevel="0" collapsed="false">
      <c r="A35" s="4" t="s">
        <v>70</v>
      </c>
      <c r="B35" s="4" t="s">
        <v>268</v>
      </c>
      <c r="C35" s="4" t="s">
        <v>202</v>
      </c>
      <c r="D35" s="4" t="s">
        <v>203</v>
      </c>
      <c r="E35" s="4" t="s">
        <v>266</v>
      </c>
      <c r="F35" s="4" t="n">
        <v>76</v>
      </c>
      <c r="G35" s="4" t="n">
        <v>72</v>
      </c>
      <c r="H35" s="4" t="s">
        <v>151</v>
      </c>
      <c r="I35" s="4" t="s">
        <v>178</v>
      </c>
      <c r="J35" s="16" t="s">
        <v>269</v>
      </c>
      <c r="K35" s="16" t="s">
        <v>270</v>
      </c>
    </row>
    <row r="36" customFormat="false" ht="15" hidden="false" customHeight="false" outlineLevel="0" collapsed="false">
      <c r="A36" s="4" t="s">
        <v>71</v>
      </c>
      <c r="B36" s="4" t="s">
        <v>271</v>
      </c>
      <c r="C36" s="4" t="s">
        <v>202</v>
      </c>
      <c r="D36" s="4" t="s">
        <v>203</v>
      </c>
      <c r="E36" s="4" t="s">
        <v>266</v>
      </c>
      <c r="F36" s="4" t="n">
        <v>76</v>
      </c>
      <c r="G36" s="4" t="n">
        <v>72</v>
      </c>
      <c r="H36" s="4" t="s">
        <v>151</v>
      </c>
      <c r="I36" s="4" t="s">
        <v>178</v>
      </c>
      <c r="J36" s="16" t="s">
        <v>272</v>
      </c>
      <c r="K36" s="16" t="s">
        <v>273</v>
      </c>
    </row>
    <row r="37" customFormat="false" ht="15" hidden="false" customHeight="false" outlineLevel="0" collapsed="false">
      <c r="A37" s="4" t="s">
        <v>72</v>
      </c>
      <c r="B37" s="4" t="s">
        <v>274</v>
      </c>
      <c r="C37" s="4" t="s">
        <v>202</v>
      </c>
      <c r="D37" s="4" t="s">
        <v>203</v>
      </c>
      <c r="E37" s="4" t="s">
        <v>266</v>
      </c>
      <c r="F37" s="4" t="n">
        <v>76</v>
      </c>
      <c r="G37" s="4" t="n">
        <v>72</v>
      </c>
      <c r="H37" s="4" t="s">
        <v>151</v>
      </c>
      <c r="I37" s="4" t="s">
        <v>178</v>
      </c>
      <c r="J37" s="16" t="s">
        <v>269</v>
      </c>
      <c r="K37" s="16" t="s">
        <v>270</v>
      </c>
    </row>
    <row r="38" customFormat="false" ht="15" hidden="false" customHeight="false" outlineLevel="0" collapsed="false">
      <c r="A38" s="4" t="s">
        <v>73</v>
      </c>
      <c r="B38" s="4" t="s">
        <v>275</v>
      </c>
      <c r="C38" s="4" t="s">
        <v>213</v>
      </c>
      <c r="D38" s="4" t="s">
        <v>214</v>
      </c>
      <c r="E38" s="4" t="s">
        <v>276</v>
      </c>
      <c r="F38" s="4" t="n">
        <v>76</v>
      </c>
      <c r="G38" s="4" t="n">
        <v>72</v>
      </c>
      <c r="H38" s="4" t="s">
        <v>151</v>
      </c>
      <c r="I38" s="4" t="s">
        <v>152</v>
      </c>
      <c r="J38" s="16" t="s">
        <v>277</v>
      </c>
      <c r="K38" s="16" t="s">
        <v>167</v>
      </c>
    </row>
    <row r="39" customFormat="false" ht="15" hidden="false" customHeight="false" outlineLevel="0" collapsed="false">
      <c r="A39" s="4" t="s">
        <v>74</v>
      </c>
      <c r="B39" s="4" t="s">
        <v>278</v>
      </c>
      <c r="C39" s="4" t="s">
        <v>190</v>
      </c>
      <c r="D39" s="4" t="s">
        <v>252</v>
      </c>
      <c r="E39" s="4" t="s">
        <v>279</v>
      </c>
      <c r="F39" s="4" t="n">
        <v>75</v>
      </c>
      <c r="G39" s="4" t="n">
        <v>71</v>
      </c>
      <c r="H39" s="4" t="s">
        <v>151</v>
      </c>
      <c r="I39" s="4" t="s">
        <v>152</v>
      </c>
      <c r="J39" s="16" t="s">
        <v>280</v>
      </c>
      <c r="K39" s="16" t="s">
        <v>167</v>
      </c>
    </row>
    <row r="40" customFormat="false" ht="15" hidden="false" customHeight="false" outlineLevel="0" collapsed="false">
      <c r="A40" s="4" t="s">
        <v>75</v>
      </c>
      <c r="B40" s="4" t="s">
        <v>281</v>
      </c>
      <c r="C40" s="4" t="s">
        <v>160</v>
      </c>
      <c r="D40" s="4" t="s">
        <v>231</v>
      </c>
      <c r="E40" s="4" t="s">
        <v>279</v>
      </c>
      <c r="F40" s="4" t="n">
        <v>77</v>
      </c>
      <c r="G40" s="4" t="n">
        <v>73</v>
      </c>
      <c r="H40" s="4" t="s">
        <v>151</v>
      </c>
      <c r="I40" s="4" t="s">
        <v>152</v>
      </c>
      <c r="J40" s="16" t="s">
        <v>282</v>
      </c>
      <c r="K40" s="16" t="s">
        <v>283</v>
      </c>
    </row>
    <row r="41" customFormat="false" ht="15" hidden="false" customHeight="false" outlineLevel="0" collapsed="false">
      <c r="A41" s="4" t="s">
        <v>76</v>
      </c>
      <c r="B41" s="4" t="s">
        <v>284</v>
      </c>
      <c r="C41" s="4" t="s">
        <v>202</v>
      </c>
      <c r="D41" s="4" t="s">
        <v>206</v>
      </c>
      <c r="E41" s="4" t="s">
        <v>279</v>
      </c>
      <c r="F41" s="4" t="n">
        <v>76</v>
      </c>
      <c r="G41" s="4" t="n">
        <v>72</v>
      </c>
      <c r="H41" s="4" t="s">
        <v>151</v>
      </c>
      <c r="I41" s="4" t="s">
        <v>173</v>
      </c>
      <c r="J41" s="16" t="s">
        <v>285</v>
      </c>
      <c r="K41" s="16" t="s">
        <v>167</v>
      </c>
    </row>
    <row r="42" customFormat="false" ht="15" hidden="false" customHeight="false" outlineLevel="0" collapsed="false">
      <c r="A42" s="4" t="s">
        <v>77</v>
      </c>
      <c r="B42" s="4" t="s">
        <v>286</v>
      </c>
      <c r="C42" s="4" t="s">
        <v>209</v>
      </c>
      <c r="D42" s="4" t="s">
        <v>210</v>
      </c>
      <c r="E42" s="4" t="s">
        <v>279</v>
      </c>
      <c r="F42" s="4" t="n">
        <v>76</v>
      </c>
      <c r="G42" s="4" t="n">
        <v>72</v>
      </c>
      <c r="H42" s="4" t="s">
        <v>151</v>
      </c>
      <c r="I42" s="4" t="s">
        <v>152</v>
      </c>
      <c r="J42" s="16" t="s">
        <v>237</v>
      </c>
      <c r="K42" s="16" t="s">
        <v>167</v>
      </c>
    </row>
    <row r="43" customFormat="false" ht="15" hidden="false" customHeight="false" outlineLevel="0" collapsed="false">
      <c r="A43" s="4" t="s">
        <v>78</v>
      </c>
      <c r="B43" s="4" t="s">
        <v>287</v>
      </c>
      <c r="C43" s="4" t="s">
        <v>288</v>
      </c>
      <c r="D43" s="4" t="s">
        <v>289</v>
      </c>
      <c r="E43" s="4" t="s">
        <v>279</v>
      </c>
      <c r="F43" s="4" t="n">
        <v>76</v>
      </c>
      <c r="G43" s="4" t="n">
        <v>72</v>
      </c>
      <c r="H43" s="4" t="s">
        <v>151</v>
      </c>
      <c r="I43" s="4" t="s">
        <v>173</v>
      </c>
      <c r="J43" s="16" t="s">
        <v>290</v>
      </c>
      <c r="K43" s="16" t="s">
        <v>154</v>
      </c>
    </row>
    <row r="44" customFormat="false" ht="15" hidden="false" customHeight="false" outlineLevel="0" collapsed="false">
      <c r="A44" s="4" t="s">
        <v>79</v>
      </c>
      <c r="B44" s="4" t="s">
        <v>291</v>
      </c>
      <c r="C44" s="4" t="s">
        <v>288</v>
      </c>
      <c r="D44" s="4" t="s">
        <v>289</v>
      </c>
      <c r="E44" s="4" t="s">
        <v>279</v>
      </c>
      <c r="F44" s="4" t="n">
        <v>76</v>
      </c>
      <c r="G44" s="4" t="n">
        <v>72</v>
      </c>
      <c r="H44" s="4" t="s">
        <v>151</v>
      </c>
      <c r="I44" s="4" t="s">
        <v>173</v>
      </c>
      <c r="J44" s="16" t="s">
        <v>292</v>
      </c>
      <c r="K44" s="16" t="s">
        <v>154</v>
      </c>
    </row>
    <row r="45" customFormat="false" ht="15" hidden="false" customHeight="false" outlineLevel="0" collapsed="false">
      <c r="A45" s="4" t="s">
        <v>80</v>
      </c>
      <c r="B45" s="4" t="s">
        <v>293</v>
      </c>
      <c r="C45" s="4" t="s">
        <v>244</v>
      </c>
      <c r="D45" s="4" t="s">
        <v>294</v>
      </c>
      <c r="E45" s="4" t="s">
        <v>279</v>
      </c>
      <c r="F45" s="4" t="n">
        <v>75</v>
      </c>
      <c r="G45" s="4" t="n">
        <v>71</v>
      </c>
      <c r="H45" s="4" t="s">
        <v>151</v>
      </c>
      <c r="I45" s="4" t="s">
        <v>178</v>
      </c>
      <c r="J45" s="16" t="s">
        <v>295</v>
      </c>
      <c r="K45" s="16" t="s">
        <v>167</v>
      </c>
    </row>
    <row r="46" customFormat="false" ht="15" hidden="false" customHeight="false" outlineLevel="0" collapsed="false">
      <c r="A46" s="4" t="s">
        <v>81</v>
      </c>
      <c r="B46" s="4" t="s">
        <v>296</v>
      </c>
      <c r="C46" s="4" t="s">
        <v>244</v>
      </c>
      <c r="D46" s="4" t="s">
        <v>297</v>
      </c>
      <c r="E46" s="4" t="s">
        <v>279</v>
      </c>
      <c r="F46" s="4" t="n">
        <v>75</v>
      </c>
      <c r="G46" s="4" t="n">
        <v>71</v>
      </c>
      <c r="H46" s="4" t="s">
        <v>151</v>
      </c>
      <c r="I46" s="4" t="s">
        <v>178</v>
      </c>
      <c r="J46" s="16" t="s">
        <v>298</v>
      </c>
      <c r="K46" s="16" t="s">
        <v>167</v>
      </c>
    </row>
    <row r="47" customFormat="false" ht="15" hidden="false" customHeight="false" outlineLevel="0" collapsed="false">
      <c r="A47" s="4" t="s">
        <v>82</v>
      </c>
      <c r="B47" s="4" t="s">
        <v>299</v>
      </c>
      <c r="C47" s="4" t="s">
        <v>209</v>
      </c>
      <c r="D47" s="4" t="s">
        <v>210</v>
      </c>
      <c r="E47" s="4" t="s">
        <v>279</v>
      </c>
      <c r="F47" s="4" t="n">
        <v>76</v>
      </c>
      <c r="G47" s="4" t="n">
        <v>72</v>
      </c>
      <c r="H47" s="4" t="s">
        <v>151</v>
      </c>
      <c r="I47" s="4" t="s">
        <v>152</v>
      </c>
      <c r="J47" s="16" t="s">
        <v>237</v>
      </c>
      <c r="K47" s="16" t="s">
        <v>167</v>
      </c>
    </row>
    <row r="48" customFormat="false" ht="15" hidden="false" customHeight="false" outlineLevel="0" collapsed="false">
      <c r="A48" s="4" t="s">
        <v>83</v>
      </c>
      <c r="B48" s="4" t="s">
        <v>300</v>
      </c>
      <c r="C48" s="4" t="s">
        <v>160</v>
      </c>
      <c r="D48" s="4" t="s">
        <v>149</v>
      </c>
      <c r="E48" s="4" t="s">
        <v>279</v>
      </c>
      <c r="F48" s="4" t="n">
        <v>75</v>
      </c>
      <c r="G48" s="4" t="n">
        <v>71</v>
      </c>
      <c r="H48" s="4" t="s">
        <v>151</v>
      </c>
      <c r="I48" s="4" t="s">
        <v>152</v>
      </c>
      <c r="J48" s="16" t="s">
        <v>301</v>
      </c>
      <c r="K48" s="16" t="s">
        <v>167</v>
      </c>
    </row>
    <row r="49" customFormat="false" ht="15" hidden="false" customHeight="false" outlineLevel="0" collapsed="false">
      <c r="A49" s="4" t="s">
        <v>84</v>
      </c>
      <c r="B49" s="4" t="s">
        <v>302</v>
      </c>
      <c r="C49" s="4" t="s">
        <v>239</v>
      </c>
      <c r="D49" s="4" t="s">
        <v>240</v>
      </c>
      <c r="E49" s="4" t="s">
        <v>303</v>
      </c>
      <c r="F49" s="4" t="n">
        <v>76</v>
      </c>
      <c r="G49" s="4" t="n">
        <v>72</v>
      </c>
      <c r="H49" s="4" t="s">
        <v>151</v>
      </c>
      <c r="I49" s="4" t="s">
        <v>173</v>
      </c>
      <c r="J49" s="16" t="s">
        <v>304</v>
      </c>
      <c r="K49" s="16" t="s">
        <v>167</v>
      </c>
    </row>
    <row r="50" customFormat="false" ht="15" hidden="false" customHeight="false" outlineLevel="0" collapsed="false">
      <c r="A50" s="4" t="s">
        <v>85</v>
      </c>
      <c r="B50" s="4" t="s">
        <v>305</v>
      </c>
      <c r="C50" s="4" t="s">
        <v>160</v>
      </c>
      <c r="D50" s="4" t="s">
        <v>149</v>
      </c>
      <c r="E50" s="4" t="s">
        <v>303</v>
      </c>
      <c r="F50" s="4" t="n">
        <v>75</v>
      </c>
      <c r="G50" s="4" t="n">
        <v>71</v>
      </c>
      <c r="H50" s="4" t="s">
        <v>151</v>
      </c>
      <c r="I50" s="4" t="s">
        <v>152</v>
      </c>
      <c r="J50" s="16" t="s">
        <v>301</v>
      </c>
      <c r="K50" s="16" t="s">
        <v>167</v>
      </c>
    </row>
    <row r="51" customFormat="false" ht="15" hidden="false" customHeight="false" outlineLevel="0" collapsed="false">
      <c r="A51" s="4" t="s">
        <v>86</v>
      </c>
      <c r="B51" s="4" t="s">
        <v>306</v>
      </c>
      <c r="C51" s="4" t="s">
        <v>202</v>
      </c>
      <c r="D51" s="4" t="s">
        <v>203</v>
      </c>
      <c r="E51" s="4" t="s">
        <v>303</v>
      </c>
      <c r="F51" s="4" t="n">
        <v>76</v>
      </c>
      <c r="G51" s="4" t="n">
        <v>72</v>
      </c>
      <c r="H51" s="4" t="s">
        <v>151</v>
      </c>
      <c r="I51" s="4" t="s">
        <v>173</v>
      </c>
      <c r="J51" s="16" t="s">
        <v>307</v>
      </c>
      <c r="K51" s="16" t="s">
        <v>167</v>
      </c>
    </row>
    <row r="52" customFormat="false" ht="15" hidden="false" customHeight="false" outlineLevel="0" collapsed="false">
      <c r="A52" s="4" t="s">
        <v>87</v>
      </c>
      <c r="B52" s="4" t="s">
        <v>308</v>
      </c>
      <c r="C52" s="4" t="s">
        <v>202</v>
      </c>
      <c r="D52" s="4" t="s">
        <v>206</v>
      </c>
      <c r="E52" s="4" t="s">
        <v>303</v>
      </c>
      <c r="F52" s="4" t="n">
        <v>76</v>
      </c>
      <c r="G52" s="4" t="n">
        <v>72</v>
      </c>
      <c r="H52" s="4" t="s">
        <v>151</v>
      </c>
      <c r="I52" s="4" t="s">
        <v>173</v>
      </c>
      <c r="J52" s="16" t="s">
        <v>285</v>
      </c>
      <c r="K52" s="16" t="s">
        <v>167</v>
      </c>
    </row>
    <row r="53" customFormat="false" ht="15" hidden="false" customHeight="false" outlineLevel="0" collapsed="false">
      <c r="A53" s="4" t="s">
        <v>88</v>
      </c>
      <c r="B53" s="4" t="s">
        <v>309</v>
      </c>
      <c r="C53" s="4" t="s">
        <v>202</v>
      </c>
      <c r="D53" s="4" t="s">
        <v>206</v>
      </c>
      <c r="E53" s="4" t="s">
        <v>303</v>
      </c>
      <c r="F53" s="4" t="n">
        <v>76</v>
      </c>
      <c r="G53" s="4" t="n">
        <v>72</v>
      </c>
      <c r="H53" s="4" t="s">
        <v>151</v>
      </c>
      <c r="I53" s="4" t="s">
        <v>173</v>
      </c>
      <c r="J53" s="16" t="s">
        <v>207</v>
      </c>
      <c r="K53" s="16" t="s">
        <v>167</v>
      </c>
    </row>
    <row r="54" customFormat="false" ht="15" hidden="false" customHeight="false" outlineLevel="0" collapsed="false">
      <c r="A54" s="4" t="s">
        <v>89</v>
      </c>
      <c r="B54" s="4" t="s">
        <v>310</v>
      </c>
      <c r="C54" s="4" t="s">
        <v>148</v>
      </c>
      <c r="D54" s="4" t="s">
        <v>149</v>
      </c>
      <c r="E54" s="4" t="s">
        <v>303</v>
      </c>
      <c r="F54" s="4" t="n">
        <v>76</v>
      </c>
      <c r="G54" s="4" t="n">
        <v>72</v>
      </c>
      <c r="H54" s="4" t="s">
        <v>151</v>
      </c>
      <c r="I54" s="4" t="s">
        <v>152</v>
      </c>
      <c r="J54" s="16" t="s">
        <v>311</v>
      </c>
      <c r="K54" s="16" t="s">
        <v>273</v>
      </c>
    </row>
    <row r="55" customFormat="false" ht="15" hidden="false" customHeight="false" outlineLevel="0" collapsed="false">
      <c r="A55" s="4" t="s">
        <v>90</v>
      </c>
      <c r="B55" s="4" t="s">
        <v>312</v>
      </c>
      <c r="C55" s="4" t="s">
        <v>209</v>
      </c>
      <c r="D55" s="4" t="s">
        <v>210</v>
      </c>
      <c r="E55" s="4" t="s">
        <v>303</v>
      </c>
      <c r="F55" s="4" t="n">
        <v>76</v>
      </c>
      <c r="G55" s="4" t="n">
        <v>72</v>
      </c>
      <c r="H55" s="4" t="s">
        <v>151</v>
      </c>
      <c r="I55" s="4" t="s">
        <v>152</v>
      </c>
      <c r="J55" s="16" t="s">
        <v>237</v>
      </c>
      <c r="K55" s="16" t="s">
        <v>167</v>
      </c>
    </row>
    <row r="56" customFormat="false" ht="15" hidden="false" customHeight="false" outlineLevel="0" collapsed="false">
      <c r="A56" s="4" t="s">
        <v>91</v>
      </c>
      <c r="B56" s="4" t="s">
        <v>313</v>
      </c>
      <c r="C56" s="4" t="s">
        <v>181</v>
      </c>
      <c r="D56" s="4" t="s">
        <v>219</v>
      </c>
      <c r="E56" s="4" t="s">
        <v>303</v>
      </c>
      <c r="F56" s="4" t="n">
        <v>76</v>
      </c>
      <c r="G56" s="4" t="n">
        <v>72</v>
      </c>
      <c r="H56" s="4" t="s">
        <v>151</v>
      </c>
      <c r="I56" s="4" t="s">
        <v>152</v>
      </c>
      <c r="J56" s="16" t="s">
        <v>314</v>
      </c>
      <c r="K56" s="16" t="s">
        <v>154</v>
      </c>
    </row>
    <row r="57" customFormat="false" ht="15" hidden="false" customHeight="false" outlineLevel="0" collapsed="false">
      <c r="A57" s="4" t="s">
        <v>92</v>
      </c>
      <c r="B57" s="4" t="s">
        <v>315</v>
      </c>
      <c r="C57" s="4" t="s">
        <v>239</v>
      </c>
      <c r="D57" s="4" t="s">
        <v>240</v>
      </c>
      <c r="E57" s="4" t="s">
        <v>316</v>
      </c>
      <c r="F57" s="4" t="n">
        <v>76</v>
      </c>
      <c r="G57" s="4" t="n">
        <v>71</v>
      </c>
      <c r="H57" s="4" t="s">
        <v>246</v>
      </c>
      <c r="I57" s="4" t="s">
        <v>173</v>
      </c>
      <c r="J57" s="16" t="s">
        <v>317</v>
      </c>
      <c r="K57" s="16" t="s">
        <v>167</v>
      </c>
    </row>
    <row r="58" customFormat="false" ht="15" hidden="false" customHeight="false" outlineLevel="0" collapsed="false">
      <c r="A58" s="4" t="s">
        <v>93</v>
      </c>
      <c r="B58" s="4" t="s">
        <v>318</v>
      </c>
      <c r="C58" s="4" t="s">
        <v>181</v>
      </c>
      <c r="D58" s="4" t="s">
        <v>219</v>
      </c>
      <c r="E58" s="4" t="s">
        <v>316</v>
      </c>
      <c r="F58" s="4" t="n">
        <v>77</v>
      </c>
      <c r="G58" s="4" t="n">
        <v>72</v>
      </c>
      <c r="H58" s="4" t="s">
        <v>246</v>
      </c>
      <c r="I58" s="4" t="s">
        <v>152</v>
      </c>
      <c r="J58" s="16" t="s">
        <v>314</v>
      </c>
      <c r="K58" s="16" t="s">
        <v>154</v>
      </c>
    </row>
    <row r="59" customFormat="false" ht="15" hidden="false" customHeight="false" outlineLevel="0" collapsed="false">
      <c r="A59" s="4" t="s">
        <v>94</v>
      </c>
      <c r="B59" s="4" t="s">
        <v>319</v>
      </c>
      <c r="C59" s="4" t="s">
        <v>239</v>
      </c>
      <c r="D59" s="4" t="s">
        <v>240</v>
      </c>
      <c r="E59" s="4" t="s">
        <v>316</v>
      </c>
      <c r="F59" s="4" t="n">
        <v>75</v>
      </c>
      <c r="G59" s="4" t="n">
        <v>71</v>
      </c>
      <c r="H59" s="4" t="s">
        <v>151</v>
      </c>
      <c r="I59" s="4" t="s">
        <v>173</v>
      </c>
      <c r="J59" s="16" t="s">
        <v>317</v>
      </c>
      <c r="K59" s="16" t="s">
        <v>167</v>
      </c>
    </row>
    <row r="60" customFormat="false" ht="15" hidden="false" customHeight="false" outlineLevel="0" collapsed="false">
      <c r="A60" s="4" t="s">
        <v>95</v>
      </c>
      <c r="B60" s="4" t="s">
        <v>320</v>
      </c>
      <c r="C60" s="4" t="s">
        <v>244</v>
      </c>
      <c r="D60" s="4" t="s">
        <v>294</v>
      </c>
      <c r="E60" s="4" t="s">
        <v>316</v>
      </c>
      <c r="F60" s="4" t="n">
        <v>75</v>
      </c>
      <c r="G60" s="4" t="n">
        <v>71</v>
      </c>
      <c r="H60" s="4" t="s">
        <v>151</v>
      </c>
      <c r="I60" s="4" t="s">
        <v>178</v>
      </c>
      <c r="J60" s="16" t="s">
        <v>295</v>
      </c>
      <c r="K60" s="16" t="s">
        <v>167</v>
      </c>
    </row>
    <row r="61" customFormat="false" ht="15" hidden="false" customHeight="false" outlineLevel="0" collapsed="false">
      <c r="A61" s="4" t="s">
        <v>96</v>
      </c>
      <c r="B61" s="4" t="s">
        <v>321</v>
      </c>
      <c r="C61" s="4" t="s">
        <v>190</v>
      </c>
      <c r="D61" s="4" t="s">
        <v>191</v>
      </c>
      <c r="E61" s="4" t="s">
        <v>316</v>
      </c>
      <c r="F61" s="4" t="n">
        <v>75</v>
      </c>
      <c r="G61" s="4" t="n">
        <v>71</v>
      </c>
      <c r="H61" s="4" t="s">
        <v>151</v>
      </c>
      <c r="I61" s="4" t="s">
        <v>152</v>
      </c>
      <c r="J61" s="16" t="s">
        <v>322</v>
      </c>
      <c r="K61" s="16" t="s">
        <v>167</v>
      </c>
    </row>
    <row r="62" customFormat="false" ht="15" hidden="false" customHeight="false" outlineLevel="0" collapsed="false">
      <c r="A62" s="4" t="s">
        <v>97</v>
      </c>
      <c r="B62" s="4" t="s">
        <v>323</v>
      </c>
      <c r="C62" s="4" t="s">
        <v>202</v>
      </c>
      <c r="D62" s="4" t="s">
        <v>203</v>
      </c>
      <c r="E62" s="4" t="s">
        <v>316</v>
      </c>
      <c r="F62" s="4" t="n">
        <v>76</v>
      </c>
      <c r="G62" s="4" t="n">
        <v>72</v>
      </c>
      <c r="H62" s="4" t="s">
        <v>151</v>
      </c>
      <c r="I62" s="4" t="s">
        <v>173</v>
      </c>
      <c r="J62" s="16" t="s">
        <v>307</v>
      </c>
      <c r="K62" s="16" t="s">
        <v>167</v>
      </c>
    </row>
    <row r="63" customFormat="false" ht="15" hidden="false" customHeight="false" outlineLevel="0" collapsed="false">
      <c r="A63" s="4" t="s">
        <v>98</v>
      </c>
      <c r="B63" s="4" t="s">
        <v>324</v>
      </c>
      <c r="C63" s="4" t="s">
        <v>202</v>
      </c>
      <c r="D63" s="4" t="s">
        <v>206</v>
      </c>
      <c r="E63" s="4" t="s">
        <v>316</v>
      </c>
      <c r="F63" s="4" t="n">
        <v>76</v>
      </c>
      <c r="G63" s="4" t="n">
        <v>72</v>
      </c>
      <c r="H63" s="4" t="s">
        <v>151</v>
      </c>
      <c r="I63" s="4" t="s">
        <v>173</v>
      </c>
      <c r="J63" s="16" t="s">
        <v>207</v>
      </c>
      <c r="K63" s="16" t="s">
        <v>167</v>
      </c>
    </row>
    <row r="64" customFormat="false" ht="15" hidden="false" customHeight="false" outlineLevel="0" collapsed="false">
      <c r="A64" s="4" t="s">
        <v>99</v>
      </c>
      <c r="B64" s="4" t="s">
        <v>325</v>
      </c>
      <c r="C64" s="4" t="s">
        <v>202</v>
      </c>
      <c r="D64" s="4" t="s">
        <v>206</v>
      </c>
      <c r="E64" s="4" t="s">
        <v>316</v>
      </c>
      <c r="F64" s="4" t="n">
        <v>76</v>
      </c>
      <c r="G64" s="4" t="n">
        <v>72</v>
      </c>
      <c r="H64" s="4" t="s">
        <v>151</v>
      </c>
      <c r="I64" s="4" t="s">
        <v>173</v>
      </c>
      <c r="J64" s="16" t="s">
        <v>285</v>
      </c>
      <c r="K64" s="16" t="s">
        <v>167</v>
      </c>
    </row>
    <row r="65" customFormat="false" ht="15" hidden="false" customHeight="false" outlineLevel="0" collapsed="false">
      <c r="A65" s="4" t="s">
        <v>100</v>
      </c>
      <c r="B65" s="4" t="s">
        <v>326</v>
      </c>
      <c r="C65" s="4" t="s">
        <v>181</v>
      </c>
      <c r="D65" s="4" t="s">
        <v>222</v>
      </c>
      <c r="E65" s="4" t="s">
        <v>316</v>
      </c>
      <c r="F65" s="4" t="n">
        <v>72</v>
      </c>
      <c r="G65" s="4" t="n">
        <v>67</v>
      </c>
      <c r="H65" s="4" t="s">
        <v>246</v>
      </c>
      <c r="I65" s="4" t="s">
        <v>152</v>
      </c>
      <c r="J65" s="16" t="s">
        <v>327</v>
      </c>
      <c r="K65" s="16" t="s">
        <v>328</v>
      </c>
    </row>
    <row r="66" customFormat="false" ht="15" hidden="false" customHeight="false" outlineLevel="0" collapsed="false">
      <c r="A66" s="4" t="s">
        <v>101</v>
      </c>
      <c r="B66" s="4" t="s">
        <v>329</v>
      </c>
      <c r="C66" s="4" t="s">
        <v>330</v>
      </c>
      <c r="D66" s="4" t="s">
        <v>331</v>
      </c>
      <c r="E66" s="4" t="s">
        <v>332</v>
      </c>
      <c r="F66" s="4" t="n">
        <v>74</v>
      </c>
      <c r="G66" s="4" t="n">
        <v>70</v>
      </c>
      <c r="H66" s="4" t="s">
        <v>151</v>
      </c>
      <c r="I66" s="4" t="s">
        <v>178</v>
      </c>
      <c r="J66" s="16" t="s">
        <v>333</v>
      </c>
      <c r="K66" s="16" t="s">
        <v>167</v>
      </c>
    </row>
    <row r="67" customFormat="false" ht="15" hidden="false" customHeight="false" outlineLevel="0" collapsed="false">
      <c r="A67" s="4" t="s">
        <v>102</v>
      </c>
      <c r="B67" s="4" t="s">
        <v>334</v>
      </c>
      <c r="C67" s="4" t="s">
        <v>330</v>
      </c>
      <c r="D67" s="4" t="s">
        <v>335</v>
      </c>
      <c r="E67" s="4" t="s">
        <v>332</v>
      </c>
      <c r="F67" s="4" t="n">
        <v>75</v>
      </c>
      <c r="G67" s="4" t="n">
        <v>71</v>
      </c>
      <c r="H67" s="4" t="s">
        <v>151</v>
      </c>
      <c r="I67" s="4" t="s">
        <v>178</v>
      </c>
      <c r="J67" s="16" t="s">
        <v>336</v>
      </c>
      <c r="K67" s="16" t="s">
        <v>154</v>
      </c>
    </row>
    <row r="68" customFormat="false" ht="15" hidden="false" customHeight="false" outlineLevel="0" collapsed="false">
      <c r="A68" s="4" t="s">
        <v>103</v>
      </c>
      <c r="B68" s="4" t="s">
        <v>337</v>
      </c>
      <c r="C68" s="4" t="s">
        <v>195</v>
      </c>
      <c r="D68" s="4" t="s">
        <v>196</v>
      </c>
      <c r="E68" s="4" t="s">
        <v>332</v>
      </c>
      <c r="F68" s="4" t="n">
        <v>77</v>
      </c>
      <c r="G68" s="4" t="n">
        <v>72</v>
      </c>
      <c r="H68" s="4" t="s">
        <v>197</v>
      </c>
      <c r="I68" s="4" t="s">
        <v>338</v>
      </c>
      <c r="J68" s="16" t="s">
        <v>339</v>
      </c>
      <c r="K68" s="16" t="s">
        <v>167</v>
      </c>
    </row>
    <row r="69" customFormat="false" ht="15" hidden="false" customHeight="false" outlineLevel="0" collapsed="false">
      <c r="A69" s="4" t="s">
        <v>104</v>
      </c>
      <c r="B69" s="4" t="s">
        <v>340</v>
      </c>
      <c r="C69" s="4" t="s">
        <v>156</v>
      </c>
      <c r="D69" s="4" t="s">
        <v>157</v>
      </c>
      <c r="E69" s="4" t="s">
        <v>332</v>
      </c>
      <c r="F69" s="4" t="n">
        <v>77</v>
      </c>
      <c r="G69" s="4" t="n">
        <v>73</v>
      </c>
      <c r="H69" s="4" t="s">
        <v>151</v>
      </c>
      <c r="I69" s="4" t="s">
        <v>152</v>
      </c>
      <c r="J69" s="16" t="s">
        <v>341</v>
      </c>
      <c r="K69" s="16" t="s">
        <v>167</v>
      </c>
    </row>
    <row r="70" customFormat="false" ht="15" hidden="false" customHeight="false" outlineLevel="0" collapsed="false">
      <c r="A70" s="4" t="s">
        <v>105</v>
      </c>
      <c r="B70" s="4" t="s">
        <v>342</v>
      </c>
      <c r="C70" s="4" t="s">
        <v>156</v>
      </c>
      <c r="D70" s="4" t="s">
        <v>343</v>
      </c>
      <c r="E70" s="4" t="s">
        <v>332</v>
      </c>
      <c r="F70" s="4" t="n">
        <v>77</v>
      </c>
      <c r="G70" s="4" t="n">
        <v>73</v>
      </c>
      <c r="H70" s="4" t="s">
        <v>151</v>
      </c>
      <c r="I70" s="4" t="s">
        <v>152</v>
      </c>
      <c r="J70" s="16" t="s">
        <v>344</v>
      </c>
      <c r="K70" s="16" t="s">
        <v>273</v>
      </c>
    </row>
    <row r="71" customFormat="false" ht="15" hidden="false" customHeight="false" outlineLevel="0" collapsed="false">
      <c r="A71" s="4" t="s">
        <v>106</v>
      </c>
      <c r="B71" s="4" t="s">
        <v>345</v>
      </c>
      <c r="C71" s="4" t="s">
        <v>156</v>
      </c>
      <c r="D71" s="4" t="s">
        <v>346</v>
      </c>
      <c r="E71" s="4" t="s">
        <v>332</v>
      </c>
      <c r="F71" s="4" t="n">
        <v>77</v>
      </c>
      <c r="G71" s="4" t="n">
        <v>73</v>
      </c>
      <c r="H71" s="4" t="s">
        <v>151</v>
      </c>
      <c r="I71" s="4" t="s">
        <v>152</v>
      </c>
      <c r="J71" s="16" t="s">
        <v>347</v>
      </c>
      <c r="K71" s="16" t="s">
        <v>167</v>
      </c>
    </row>
    <row r="72" customFormat="false" ht="15" hidden="false" customHeight="false" outlineLevel="0" collapsed="false">
      <c r="A72" s="4" t="s">
        <v>107</v>
      </c>
      <c r="B72" s="4" t="s">
        <v>348</v>
      </c>
      <c r="C72" s="4" t="s">
        <v>244</v>
      </c>
      <c r="D72" s="4" t="s">
        <v>349</v>
      </c>
      <c r="E72" s="4" t="s">
        <v>350</v>
      </c>
      <c r="F72" s="4" t="n">
        <v>75</v>
      </c>
      <c r="G72" s="4" t="n">
        <v>71</v>
      </c>
      <c r="H72" s="4" t="s">
        <v>151</v>
      </c>
      <c r="I72" s="4" t="s">
        <v>178</v>
      </c>
      <c r="J72" s="16" t="s">
        <v>351</v>
      </c>
      <c r="K72" s="16" t="s">
        <v>167</v>
      </c>
    </row>
    <row r="73" customFormat="false" ht="15" hidden="false" customHeight="false" outlineLevel="0" collapsed="false">
      <c r="A73" s="4" t="s">
        <v>108</v>
      </c>
      <c r="B73" s="4" t="s">
        <v>352</v>
      </c>
      <c r="C73" s="4" t="s">
        <v>244</v>
      </c>
      <c r="D73" s="4" t="s">
        <v>353</v>
      </c>
      <c r="E73" s="4" t="s">
        <v>350</v>
      </c>
      <c r="F73" s="4" t="n">
        <v>75</v>
      </c>
      <c r="G73" s="4" t="n">
        <v>71</v>
      </c>
      <c r="H73" s="4" t="s">
        <v>151</v>
      </c>
      <c r="I73" s="4" t="s">
        <v>178</v>
      </c>
      <c r="J73" s="16" t="s">
        <v>354</v>
      </c>
      <c r="K73" s="16" t="s">
        <v>167</v>
      </c>
    </row>
    <row r="74" customFormat="false" ht="15" hidden="false" customHeight="false" outlineLevel="0" collapsed="false">
      <c r="A74" s="4" t="s">
        <v>109</v>
      </c>
      <c r="B74" s="4" t="s">
        <v>355</v>
      </c>
      <c r="C74" s="4" t="s">
        <v>244</v>
      </c>
      <c r="D74" s="4" t="s">
        <v>245</v>
      </c>
      <c r="E74" s="4" t="s">
        <v>350</v>
      </c>
      <c r="F74" s="4" t="n">
        <v>75</v>
      </c>
      <c r="G74" s="4" t="n">
        <v>71</v>
      </c>
      <c r="H74" s="4" t="s">
        <v>151</v>
      </c>
      <c r="I74" s="4" t="s">
        <v>178</v>
      </c>
      <c r="J74" s="16" t="s">
        <v>356</v>
      </c>
      <c r="K74" s="16" t="s">
        <v>167</v>
      </c>
    </row>
    <row r="75" customFormat="false" ht="15" hidden="false" customHeight="false" outlineLevel="0" collapsed="false">
      <c r="A75" s="4" t="s">
        <v>110</v>
      </c>
      <c r="B75" s="4" t="s">
        <v>357</v>
      </c>
      <c r="C75" s="4" t="s">
        <v>160</v>
      </c>
      <c r="D75" s="4" t="s">
        <v>149</v>
      </c>
      <c r="E75" s="4" t="s">
        <v>350</v>
      </c>
      <c r="F75" s="4" t="n">
        <v>75</v>
      </c>
      <c r="G75" s="4" t="n">
        <v>71</v>
      </c>
      <c r="H75" s="4" t="s">
        <v>151</v>
      </c>
      <c r="I75" s="4" t="s">
        <v>152</v>
      </c>
      <c r="J75" s="16" t="s">
        <v>358</v>
      </c>
      <c r="K75" s="16" t="s">
        <v>167</v>
      </c>
    </row>
    <row r="76" customFormat="false" ht="15" hidden="false" customHeight="false" outlineLevel="0" collapsed="false">
      <c r="A76" s="4" t="s">
        <v>111</v>
      </c>
      <c r="B76" s="4" t="s">
        <v>359</v>
      </c>
      <c r="C76" s="4" t="s">
        <v>160</v>
      </c>
      <c r="D76" s="4" t="s">
        <v>149</v>
      </c>
      <c r="E76" s="4" t="s">
        <v>360</v>
      </c>
      <c r="F76" s="4" t="n">
        <v>77</v>
      </c>
      <c r="G76" s="4" t="n">
        <v>73</v>
      </c>
      <c r="H76" s="4" t="s">
        <v>151</v>
      </c>
      <c r="I76" s="4" t="s">
        <v>152</v>
      </c>
      <c r="J76" s="16" t="s">
        <v>361</v>
      </c>
      <c r="K76" s="16" t="s">
        <v>167</v>
      </c>
    </row>
    <row r="77" customFormat="false" ht="15" hidden="false" customHeight="false" outlineLevel="0" collapsed="false">
      <c r="A77" s="4" t="s">
        <v>112</v>
      </c>
      <c r="B77" s="4" t="s">
        <v>362</v>
      </c>
      <c r="C77" s="4" t="s">
        <v>148</v>
      </c>
      <c r="D77" s="4" t="s">
        <v>149</v>
      </c>
      <c r="E77" s="4" t="s">
        <v>360</v>
      </c>
      <c r="F77" s="4" t="n">
        <v>76</v>
      </c>
      <c r="G77" s="4" t="n">
        <v>72</v>
      </c>
      <c r="H77" s="4" t="s">
        <v>151</v>
      </c>
      <c r="I77" s="4" t="s">
        <v>152</v>
      </c>
      <c r="J77" s="16" t="s">
        <v>363</v>
      </c>
      <c r="K77" s="16" t="s">
        <v>167</v>
      </c>
    </row>
    <row r="78" customFormat="false" ht="15" hidden="false" customHeight="false" outlineLevel="0" collapsed="false">
      <c r="A78" s="4" t="s">
        <v>113</v>
      </c>
      <c r="B78" s="4" t="s">
        <v>364</v>
      </c>
      <c r="C78" s="4" t="s">
        <v>239</v>
      </c>
      <c r="D78" s="4" t="s">
        <v>240</v>
      </c>
      <c r="E78" s="4" t="s">
        <v>365</v>
      </c>
      <c r="F78" s="4" t="n">
        <v>77</v>
      </c>
      <c r="G78" s="4" t="n">
        <v>73</v>
      </c>
      <c r="H78" s="4" t="s">
        <v>151</v>
      </c>
      <c r="I78" s="4" t="s">
        <v>173</v>
      </c>
      <c r="J78" s="16" t="s">
        <v>366</v>
      </c>
      <c r="K78" s="16" t="s">
        <v>367</v>
      </c>
    </row>
    <row r="79" customFormat="false" ht="15" hidden="false" customHeight="false" outlineLevel="0" collapsed="false">
      <c r="A79" s="4" t="s">
        <v>114</v>
      </c>
      <c r="B79" s="4" t="s">
        <v>368</v>
      </c>
      <c r="C79" s="4" t="s">
        <v>160</v>
      </c>
      <c r="D79" s="4" t="s">
        <v>369</v>
      </c>
      <c r="E79" s="4" t="s">
        <v>365</v>
      </c>
      <c r="F79" s="4" t="n">
        <v>77</v>
      </c>
      <c r="G79" s="4" t="n">
        <v>73</v>
      </c>
      <c r="H79" s="4" t="s">
        <v>151</v>
      </c>
      <c r="I79" s="4" t="s">
        <v>152</v>
      </c>
      <c r="J79" s="16" t="s">
        <v>370</v>
      </c>
      <c r="K79" s="16" t="s">
        <v>167</v>
      </c>
    </row>
    <row r="80" customFormat="false" ht="15" hidden="false" customHeight="false" outlineLevel="0" collapsed="false">
      <c r="A80" s="4" t="s">
        <v>115</v>
      </c>
      <c r="B80" s="4" t="s">
        <v>371</v>
      </c>
      <c r="C80" s="4" t="s">
        <v>160</v>
      </c>
      <c r="D80" s="4" t="s">
        <v>149</v>
      </c>
      <c r="E80" s="4" t="s">
        <v>365</v>
      </c>
      <c r="F80" s="4" t="n">
        <v>77</v>
      </c>
      <c r="G80" s="4" t="n">
        <v>73</v>
      </c>
      <c r="H80" s="4" t="s">
        <v>151</v>
      </c>
      <c r="I80" s="4" t="s">
        <v>152</v>
      </c>
      <c r="J80" s="16" t="s">
        <v>372</v>
      </c>
      <c r="K80" s="16" t="s">
        <v>167</v>
      </c>
    </row>
    <row r="81" customFormat="false" ht="15" hidden="false" customHeight="false" outlineLevel="0" collapsed="false">
      <c r="A81" s="4" t="s">
        <v>116</v>
      </c>
      <c r="B81" s="4" t="s">
        <v>373</v>
      </c>
      <c r="C81" s="4" t="s">
        <v>160</v>
      </c>
      <c r="D81" s="4" t="s">
        <v>149</v>
      </c>
      <c r="E81" s="4" t="s">
        <v>365</v>
      </c>
      <c r="F81" s="4" t="n">
        <v>77</v>
      </c>
      <c r="G81" s="4" t="n">
        <v>73</v>
      </c>
      <c r="H81" s="4" t="s">
        <v>151</v>
      </c>
      <c r="I81" s="4" t="s">
        <v>152</v>
      </c>
      <c r="J81" s="16" t="s">
        <v>374</v>
      </c>
      <c r="K81" s="16" t="s">
        <v>167</v>
      </c>
    </row>
    <row r="82" customFormat="false" ht="15" hidden="false" customHeight="false" outlineLevel="0" collapsed="false">
      <c r="A82" s="4" t="s">
        <v>117</v>
      </c>
      <c r="B82" s="4" t="s">
        <v>375</v>
      </c>
      <c r="C82" s="4" t="s">
        <v>148</v>
      </c>
      <c r="D82" s="4" t="s">
        <v>149</v>
      </c>
      <c r="E82" s="4" t="s">
        <v>365</v>
      </c>
      <c r="F82" s="4" t="n">
        <v>77</v>
      </c>
      <c r="G82" s="4" t="n">
        <v>73</v>
      </c>
      <c r="H82" s="4" t="s">
        <v>151</v>
      </c>
      <c r="I82" s="4" t="s">
        <v>152</v>
      </c>
      <c r="J82" s="16" t="s">
        <v>374</v>
      </c>
      <c r="K82" s="16" t="s">
        <v>167</v>
      </c>
    </row>
    <row r="83" customFormat="false" ht="15" hidden="false" customHeight="false" outlineLevel="0" collapsed="false">
      <c r="A83" s="4" t="s">
        <v>118</v>
      </c>
      <c r="B83" s="4" t="s">
        <v>376</v>
      </c>
      <c r="C83" s="4" t="s">
        <v>209</v>
      </c>
      <c r="D83" s="4" t="s">
        <v>210</v>
      </c>
      <c r="E83" s="4" t="s">
        <v>365</v>
      </c>
      <c r="F83" s="4" t="n">
        <v>76</v>
      </c>
      <c r="G83" s="4" t="n">
        <v>72</v>
      </c>
      <c r="H83" s="4" t="s">
        <v>151</v>
      </c>
      <c r="I83" s="4" t="s">
        <v>152</v>
      </c>
      <c r="J83" s="16" t="s">
        <v>377</v>
      </c>
      <c r="K83" s="16" t="s">
        <v>167</v>
      </c>
    </row>
    <row r="84" customFormat="false" ht="15" hidden="false" customHeight="false" outlineLevel="0" collapsed="false">
      <c r="A84" s="4" t="s">
        <v>119</v>
      </c>
      <c r="B84" s="4" t="s">
        <v>378</v>
      </c>
      <c r="C84" s="4" t="s">
        <v>163</v>
      </c>
      <c r="D84" s="4" t="s">
        <v>225</v>
      </c>
      <c r="E84" s="4" t="s">
        <v>379</v>
      </c>
      <c r="F84" s="4" t="n">
        <v>76</v>
      </c>
      <c r="G84" s="4" t="n">
        <v>72</v>
      </c>
      <c r="H84" s="4" t="s">
        <v>151</v>
      </c>
      <c r="I84" s="4" t="s">
        <v>152</v>
      </c>
      <c r="J84" s="16" t="s">
        <v>380</v>
      </c>
      <c r="K84" s="16" t="s">
        <v>167</v>
      </c>
    </row>
    <row r="85" customFormat="false" ht="15" hidden="false" customHeight="false" outlineLevel="0" collapsed="false">
      <c r="A85" s="4" t="s">
        <v>120</v>
      </c>
      <c r="B85" s="4" t="s">
        <v>381</v>
      </c>
      <c r="C85" s="4" t="s">
        <v>163</v>
      </c>
      <c r="D85" s="4" t="s">
        <v>225</v>
      </c>
      <c r="E85" s="4" t="s">
        <v>379</v>
      </c>
      <c r="F85" s="4" t="n">
        <v>76</v>
      </c>
      <c r="G85" s="4" t="n">
        <v>72</v>
      </c>
      <c r="H85" s="4" t="s">
        <v>151</v>
      </c>
      <c r="I85" s="4" t="s">
        <v>152</v>
      </c>
      <c r="J85" s="16" t="s">
        <v>382</v>
      </c>
      <c r="K85" s="16" t="s">
        <v>167</v>
      </c>
    </row>
    <row r="86" customFormat="false" ht="15" hidden="false" customHeight="false" outlineLevel="0" collapsed="false">
      <c r="A86" s="4" t="s">
        <v>121</v>
      </c>
      <c r="B86" s="4" t="s">
        <v>383</v>
      </c>
      <c r="C86" s="4" t="s">
        <v>244</v>
      </c>
      <c r="D86" s="4" t="s">
        <v>384</v>
      </c>
      <c r="E86" s="4" t="s">
        <v>379</v>
      </c>
      <c r="F86" s="4" t="n">
        <v>75</v>
      </c>
      <c r="G86" s="4" t="n">
        <v>71</v>
      </c>
      <c r="H86" s="4" t="s">
        <v>151</v>
      </c>
      <c r="I86" s="4" t="s">
        <v>178</v>
      </c>
      <c r="J86" s="16" t="s">
        <v>385</v>
      </c>
      <c r="K86" s="16" t="s">
        <v>386</v>
      </c>
    </row>
    <row r="87" customFormat="false" ht="15" hidden="false" customHeight="false" outlineLevel="0" collapsed="false">
      <c r="A87" s="4" t="s">
        <v>122</v>
      </c>
      <c r="B87" s="4" t="s">
        <v>387</v>
      </c>
      <c r="C87" s="4" t="s">
        <v>244</v>
      </c>
      <c r="D87" s="4" t="s">
        <v>384</v>
      </c>
      <c r="E87" s="4" t="s">
        <v>379</v>
      </c>
      <c r="F87" s="4" t="n">
        <v>75</v>
      </c>
      <c r="G87" s="4" t="n">
        <v>71</v>
      </c>
      <c r="H87" s="4" t="s">
        <v>151</v>
      </c>
      <c r="I87" s="4" t="s">
        <v>178</v>
      </c>
      <c r="J87" s="16" t="s">
        <v>298</v>
      </c>
      <c r="K87" s="16" t="s">
        <v>167</v>
      </c>
    </row>
    <row r="88" customFormat="false" ht="15" hidden="false" customHeight="false" outlineLevel="0" collapsed="false">
      <c r="A88" s="4" t="s">
        <v>123</v>
      </c>
      <c r="B88" s="4" t="s">
        <v>388</v>
      </c>
      <c r="C88" s="4" t="s">
        <v>190</v>
      </c>
      <c r="D88" s="4" t="s">
        <v>252</v>
      </c>
      <c r="E88" s="4" t="s">
        <v>379</v>
      </c>
      <c r="F88" s="4" t="n">
        <v>75</v>
      </c>
      <c r="G88" s="4" t="n">
        <v>71</v>
      </c>
      <c r="H88" s="4" t="s">
        <v>151</v>
      </c>
      <c r="I88" s="4" t="s">
        <v>152</v>
      </c>
      <c r="J88" s="16" t="s">
        <v>280</v>
      </c>
      <c r="K88" s="16" t="s">
        <v>167</v>
      </c>
    </row>
    <row r="89" customFormat="false" ht="15" hidden="false" customHeight="false" outlineLevel="0" collapsed="false">
      <c r="A89" s="4" t="s">
        <v>124</v>
      </c>
      <c r="B89" s="4" t="s">
        <v>389</v>
      </c>
      <c r="C89" s="4" t="s">
        <v>195</v>
      </c>
      <c r="D89" s="4" t="s">
        <v>196</v>
      </c>
      <c r="E89" s="4" t="s">
        <v>379</v>
      </c>
      <c r="F89" s="4" t="n">
        <v>76</v>
      </c>
      <c r="G89" s="4" t="n">
        <v>71</v>
      </c>
      <c r="H89" s="4" t="s">
        <v>197</v>
      </c>
      <c r="I89" s="4" t="s">
        <v>152</v>
      </c>
      <c r="J89" s="16" t="s">
        <v>390</v>
      </c>
      <c r="K89" s="16" t="s">
        <v>167</v>
      </c>
    </row>
    <row r="90" customFormat="false" ht="15" hidden="false" customHeight="false" outlineLevel="0" collapsed="false">
      <c r="A90" s="4" t="s">
        <v>125</v>
      </c>
      <c r="B90" s="4" t="s">
        <v>391</v>
      </c>
      <c r="C90" s="4" t="s">
        <v>148</v>
      </c>
      <c r="D90" s="4" t="s">
        <v>149</v>
      </c>
      <c r="E90" s="4" t="s">
        <v>379</v>
      </c>
      <c r="F90" s="4" t="n">
        <v>76</v>
      </c>
      <c r="G90" s="4" t="n">
        <v>72</v>
      </c>
      <c r="H90" s="4" t="s">
        <v>151</v>
      </c>
      <c r="I90" s="4" t="s">
        <v>152</v>
      </c>
      <c r="J90" s="16" t="s">
        <v>311</v>
      </c>
      <c r="K90" s="16" t="s">
        <v>273</v>
      </c>
    </row>
    <row r="91" customFormat="false" ht="15" hidden="false" customHeight="false" outlineLevel="0" collapsed="false">
      <c r="A91" s="4" t="s">
        <v>126</v>
      </c>
      <c r="B91" s="4" t="s">
        <v>392</v>
      </c>
      <c r="C91" s="4" t="s">
        <v>160</v>
      </c>
      <c r="D91" s="4" t="s">
        <v>149</v>
      </c>
      <c r="E91" s="4" t="s">
        <v>379</v>
      </c>
      <c r="F91" s="4" t="n">
        <v>75</v>
      </c>
      <c r="G91" s="4" t="n">
        <v>71</v>
      </c>
      <c r="H91" s="4" t="s">
        <v>151</v>
      </c>
      <c r="I91" s="4" t="s">
        <v>152</v>
      </c>
      <c r="J91" s="16" t="s">
        <v>301</v>
      </c>
      <c r="K91" s="16" t="s">
        <v>167</v>
      </c>
    </row>
    <row r="92" customFormat="false" ht="15" hidden="false" customHeight="false" outlineLevel="0" collapsed="false">
      <c r="A92" s="4" t="s">
        <v>127</v>
      </c>
      <c r="B92" s="4" t="s">
        <v>393</v>
      </c>
      <c r="C92" s="4" t="s">
        <v>209</v>
      </c>
      <c r="D92" s="4" t="s">
        <v>210</v>
      </c>
      <c r="E92" s="4" t="s">
        <v>379</v>
      </c>
      <c r="F92" s="4" t="n">
        <v>76</v>
      </c>
      <c r="G92" s="4" t="n">
        <v>72</v>
      </c>
      <c r="H92" s="4" t="s">
        <v>151</v>
      </c>
      <c r="I92" s="4" t="s">
        <v>152</v>
      </c>
      <c r="J92" s="16" t="s">
        <v>237</v>
      </c>
      <c r="K92" s="16" t="s">
        <v>167</v>
      </c>
    </row>
    <row r="93" customFormat="false" ht="15" hidden="false" customHeight="false" outlineLevel="0" collapsed="false">
      <c r="A93" s="4" t="s">
        <v>128</v>
      </c>
      <c r="B93" s="4" t="s">
        <v>394</v>
      </c>
      <c r="C93" s="4" t="s">
        <v>213</v>
      </c>
      <c r="D93" s="4" t="s">
        <v>214</v>
      </c>
      <c r="E93" s="4" t="s">
        <v>379</v>
      </c>
      <c r="F93" s="4" t="n">
        <v>76</v>
      </c>
      <c r="G93" s="4" t="n">
        <v>72</v>
      </c>
      <c r="H93" s="4" t="s">
        <v>151</v>
      </c>
      <c r="I93" s="4" t="s">
        <v>152</v>
      </c>
      <c r="J93" s="16" t="s">
        <v>395</v>
      </c>
      <c r="K93" s="16" t="s">
        <v>167</v>
      </c>
    </row>
    <row r="94" customFormat="false" ht="15" hidden="false" customHeight="false" outlineLevel="0" collapsed="false">
      <c r="A94" s="4" t="s">
        <v>129</v>
      </c>
      <c r="B94" s="4" t="s">
        <v>396</v>
      </c>
      <c r="C94" s="4" t="s">
        <v>213</v>
      </c>
      <c r="D94" s="4" t="s">
        <v>214</v>
      </c>
      <c r="E94" s="4" t="s">
        <v>379</v>
      </c>
      <c r="F94" s="4" t="n">
        <v>76</v>
      </c>
      <c r="G94" s="4" t="n">
        <v>72</v>
      </c>
      <c r="H94" s="4" t="s">
        <v>151</v>
      </c>
      <c r="I94" s="4" t="s">
        <v>152</v>
      </c>
      <c r="J94" s="16" t="s">
        <v>397</v>
      </c>
      <c r="K94" s="16" t="s">
        <v>167</v>
      </c>
    </row>
    <row r="95" customFormat="false" ht="15" hidden="false" customHeight="false" outlineLevel="0" collapsed="false">
      <c r="A95" s="4" t="s">
        <v>130</v>
      </c>
      <c r="B95" s="4" t="s">
        <v>398</v>
      </c>
      <c r="C95" s="4" t="s">
        <v>163</v>
      </c>
      <c r="D95" s="4" t="s">
        <v>399</v>
      </c>
      <c r="E95" s="4" t="s">
        <v>400</v>
      </c>
      <c r="F95" s="4" t="n">
        <v>76</v>
      </c>
      <c r="G95" s="4" t="n">
        <v>72</v>
      </c>
      <c r="H95" s="4" t="s">
        <v>151</v>
      </c>
      <c r="I95" s="4" t="s">
        <v>152</v>
      </c>
      <c r="J95" s="16" t="s">
        <v>401</v>
      </c>
      <c r="K95" s="16" t="s">
        <v>167</v>
      </c>
    </row>
    <row r="96" customFormat="false" ht="15" hidden="false" customHeight="false" outlineLevel="0" collapsed="false">
      <c r="A96" s="4" t="s">
        <v>131</v>
      </c>
      <c r="B96" s="4" t="s">
        <v>402</v>
      </c>
      <c r="C96" s="4" t="s">
        <v>148</v>
      </c>
      <c r="D96" s="4" t="s">
        <v>149</v>
      </c>
      <c r="E96" s="4" t="s">
        <v>400</v>
      </c>
      <c r="F96" s="4" t="n">
        <v>77</v>
      </c>
      <c r="G96" s="4" t="n">
        <v>73</v>
      </c>
      <c r="H96" s="4" t="s">
        <v>151</v>
      </c>
      <c r="I96" s="4" t="s">
        <v>152</v>
      </c>
      <c r="J96" s="16" t="s">
        <v>403</v>
      </c>
      <c r="K96" s="16" t="s">
        <v>167</v>
      </c>
    </row>
    <row r="97" customFormat="false" ht="15" hidden="false" customHeight="false" outlineLevel="0" collapsed="false">
      <c r="A97" s="4" t="s">
        <v>132</v>
      </c>
      <c r="B97" s="4" t="s">
        <v>404</v>
      </c>
      <c r="C97" s="4" t="s">
        <v>148</v>
      </c>
      <c r="D97" s="4" t="s">
        <v>149</v>
      </c>
      <c r="E97" s="4" t="s">
        <v>400</v>
      </c>
      <c r="F97" s="4" t="n">
        <v>77</v>
      </c>
      <c r="G97" s="4" t="n">
        <v>73</v>
      </c>
      <c r="H97" s="4" t="s">
        <v>151</v>
      </c>
      <c r="I97" s="4" t="s">
        <v>152</v>
      </c>
      <c r="J97" s="16" t="s">
        <v>405</v>
      </c>
      <c r="K97" s="16" t="s">
        <v>167</v>
      </c>
    </row>
  </sheetData>
  <autoFilter ref="A1:K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9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5"/>
    <col collapsed="false" customWidth="true" hidden="false" outlineLevel="0" max="3" min="3" style="0" width="12"/>
    <col collapsed="false" customWidth="true" hidden="false" outlineLevel="0" max="5" min="4" style="0" width="11"/>
    <col collapsed="false" customWidth="true" hidden="false" outlineLevel="0" max="6" min="6" style="0" width="17"/>
  </cols>
  <sheetData>
    <row r="1" customFormat="false" ht="39.55" hidden="false" customHeight="false" outlineLevel="0" collapsed="false">
      <c r="A1" s="2" t="s">
        <v>406</v>
      </c>
      <c r="B1" s="2" t="s">
        <v>1</v>
      </c>
      <c r="C1" s="2" t="s">
        <v>407</v>
      </c>
      <c r="D1" s="2" t="s">
        <v>408</v>
      </c>
      <c r="E1" s="2" t="s">
        <v>409</v>
      </c>
      <c r="F1" s="2" t="s">
        <v>410</v>
      </c>
    </row>
    <row r="2" customFormat="false" ht="15" hidden="false" customHeight="false" outlineLevel="0" collapsed="false">
      <c r="A2" s="4" t="str">
        <f aca="false">B2&amp;"|"&amp;C2</f>
        <v>tdbR00000271 Met-CAU|1</v>
      </c>
      <c r="B2" s="4" t="s">
        <v>37</v>
      </c>
      <c r="C2" s="4" t="s">
        <v>411</v>
      </c>
      <c r="D2" s="4" t="n">
        <v>1</v>
      </c>
      <c r="E2" s="17" t="s">
        <v>197</v>
      </c>
      <c r="F2" s="18" t="s">
        <v>412</v>
      </c>
    </row>
    <row r="3" customFormat="false" ht="15" hidden="false" customHeight="false" outlineLevel="0" collapsed="false">
      <c r="A3" s="4" t="str">
        <f aca="false">B3&amp;"|"&amp;C3</f>
        <v>tdbR00000271 Met-CAU|2</v>
      </c>
      <c r="B3" s="4" t="s">
        <v>37</v>
      </c>
      <c r="C3" s="4" t="s">
        <v>413</v>
      </c>
      <c r="D3" s="4" t="n">
        <v>2</v>
      </c>
      <c r="E3" s="17" t="s">
        <v>414</v>
      </c>
      <c r="F3" s="18" t="s">
        <v>412</v>
      </c>
    </row>
    <row r="4" customFormat="false" ht="15" hidden="false" customHeight="false" outlineLevel="0" collapsed="false">
      <c r="A4" s="4" t="str">
        <f aca="false">B4&amp;"|"&amp;C4</f>
        <v>tdbR00000271 Met-CAU|3</v>
      </c>
      <c r="B4" s="4" t="s">
        <v>37</v>
      </c>
      <c r="C4" s="4" t="s">
        <v>415</v>
      </c>
      <c r="D4" s="4" t="n">
        <v>3</v>
      </c>
      <c r="E4" s="17" t="s">
        <v>414</v>
      </c>
      <c r="F4" s="18" t="s">
        <v>412</v>
      </c>
    </row>
    <row r="5" customFormat="false" ht="15" hidden="false" customHeight="false" outlineLevel="0" collapsed="false">
      <c r="A5" s="4" t="str">
        <f aca="false">B5&amp;"|"&amp;C5</f>
        <v>tdbR00000271 Met-CAU|4</v>
      </c>
      <c r="B5" s="4" t="s">
        <v>37</v>
      </c>
      <c r="C5" s="4" t="s">
        <v>416</v>
      </c>
      <c r="D5" s="4" t="n">
        <v>4</v>
      </c>
      <c r="E5" s="17" t="s">
        <v>414</v>
      </c>
      <c r="F5" s="18" t="s">
        <v>412</v>
      </c>
    </row>
    <row r="6" customFormat="false" ht="15" hidden="false" customHeight="false" outlineLevel="0" collapsed="false">
      <c r="A6" s="4" t="str">
        <f aca="false">B6&amp;"|"&amp;C6</f>
        <v>tdbR00000271 Met-CAU|5</v>
      </c>
      <c r="B6" s="4" t="s">
        <v>37</v>
      </c>
      <c r="C6" s="4" t="s">
        <v>417</v>
      </c>
      <c r="D6" s="4" t="n">
        <v>5</v>
      </c>
      <c r="E6" s="17" t="s">
        <v>197</v>
      </c>
      <c r="F6" s="18" t="s">
        <v>412</v>
      </c>
    </row>
    <row r="7" customFormat="false" ht="15" hidden="false" customHeight="false" outlineLevel="0" collapsed="false">
      <c r="A7" s="4" t="str">
        <f aca="false">B7&amp;"|"&amp;C7</f>
        <v>tdbR00000271 Met-CAU|6</v>
      </c>
      <c r="B7" s="4" t="s">
        <v>37</v>
      </c>
      <c r="C7" s="4" t="s">
        <v>418</v>
      </c>
      <c r="D7" s="4" t="n">
        <v>6</v>
      </c>
      <c r="E7" s="17" t="s">
        <v>197</v>
      </c>
      <c r="F7" s="18" t="s">
        <v>412</v>
      </c>
    </row>
    <row r="8" customFormat="false" ht="15" hidden="false" customHeight="false" outlineLevel="0" collapsed="false">
      <c r="A8" s="4" t="str">
        <f aca="false">B8&amp;"|"&amp;C8</f>
        <v>tdbR00000271 Met-CAU|7</v>
      </c>
      <c r="B8" s="4" t="s">
        <v>37</v>
      </c>
      <c r="C8" s="4" t="s">
        <v>419</v>
      </c>
      <c r="D8" s="4" t="n">
        <v>7</v>
      </c>
      <c r="E8" s="17" t="s">
        <v>197</v>
      </c>
      <c r="F8" s="18" t="s">
        <v>412</v>
      </c>
    </row>
    <row r="9" customFormat="false" ht="15" hidden="false" customHeight="false" outlineLevel="0" collapsed="false">
      <c r="A9" s="4" t="str">
        <f aca="false">B9&amp;"|"&amp;C9</f>
        <v>tdbR00000271 Met-CAU|8</v>
      </c>
      <c r="B9" s="4" t="s">
        <v>37</v>
      </c>
      <c r="C9" s="4" t="s">
        <v>420</v>
      </c>
      <c r="D9" s="4" t="n">
        <v>8</v>
      </c>
      <c r="E9" s="3" t="s">
        <v>259</v>
      </c>
      <c r="F9" s="4" t="s">
        <v>421</v>
      </c>
    </row>
    <row r="10" customFormat="false" ht="15" hidden="false" customHeight="false" outlineLevel="0" collapsed="false">
      <c r="A10" s="4" t="str">
        <f aca="false">B10&amp;"|"&amp;C10</f>
        <v>tdbR00000271 Met-CAU|9</v>
      </c>
      <c r="B10" s="4" t="s">
        <v>37</v>
      </c>
      <c r="C10" s="4" t="s">
        <v>422</v>
      </c>
      <c r="D10" s="4" t="n">
        <v>9</v>
      </c>
      <c r="E10" s="3" t="s">
        <v>197</v>
      </c>
      <c r="F10" s="4" t="s">
        <v>423</v>
      </c>
    </row>
    <row r="11" customFormat="false" ht="15" hidden="false" customHeight="false" outlineLevel="0" collapsed="false">
      <c r="A11" s="4" t="str">
        <f aca="false">B11&amp;"|"&amp;C11</f>
        <v>tdbR00000271 Met-CAU|10</v>
      </c>
      <c r="B11" s="4" t="s">
        <v>37</v>
      </c>
      <c r="C11" s="4" t="s">
        <v>424</v>
      </c>
      <c r="D11" s="4" t="n">
        <v>10</v>
      </c>
      <c r="E11" s="8" t="s">
        <v>197</v>
      </c>
      <c r="F11" s="7" t="s">
        <v>425</v>
      </c>
    </row>
    <row r="12" customFormat="false" ht="15" hidden="false" customHeight="false" outlineLevel="0" collapsed="false">
      <c r="A12" s="4" t="str">
        <f aca="false">B12&amp;"|"&amp;C12</f>
        <v>tdbR00000271 Met-CAU|11</v>
      </c>
      <c r="B12" s="4" t="s">
        <v>37</v>
      </c>
      <c r="C12" s="4" t="s">
        <v>426</v>
      </c>
      <c r="D12" s="4" t="n">
        <v>11</v>
      </c>
      <c r="E12" s="8" t="s">
        <v>414</v>
      </c>
      <c r="F12" s="7" t="s">
        <v>425</v>
      </c>
    </row>
    <row r="13" customFormat="false" ht="15" hidden="false" customHeight="false" outlineLevel="0" collapsed="false">
      <c r="A13" s="4" t="str">
        <f aca="false">B13&amp;"|"&amp;C13</f>
        <v>tdbR00000271 Met-CAU|12</v>
      </c>
      <c r="B13" s="4" t="s">
        <v>37</v>
      </c>
      <c r="C13" s="4" t="s">
        <v>427</v>
      </c>
      <c r="D13" s="4" t="n">
        <v>12</v>
      </c>
      <c r="E13" s="8" t="s">
        <v>259</v>
      </c>
      <c r="F13" s="7" t="s">
        <v>425</v>
      </c>
    </row>
    <row r="14" customFormat="false" ht="15" hidden="false" customHeight="false" outlineLevel="0" collapsed="false">
      <c r="A14" s="4" t="str">
        <f aca="false">B14&amp;"|"&amp;C14</f>
        <v>tdbR00000271 Met-CAU|13</v>
      </c>
      <c r="B14" s="4" t="s">
        <v>37</v>
      </c>
      <c r="C14" s="4" t="s">
        <v>428</v>
      </c>
      <c r="D14" s="4" t="n">
        <v>13</v>
      </c>
      <c r="E14" s="8" t="s">
        <v>259</v>
      </c>
      <c r="F14" s="7" t="s">
        <v>425</v>
      </c>
    </row>
    <row r="15" customFormat="false" ht="15" hidden="false" customHeight="false" outlineLevel="0" collapsed="false">
      <c r="A15" s="4" t="str">
        <f aca="false">B15&amp;"|"&amp;C15</f>
        <v>tdbR00000271 Met-CAU|14</v>
      </c>
      <c r="B15" s="4" t="s">
        <v>37</v>
      </c>
      <c r="C15" s="4" t="s">
        <v>429</v>
      </c>
      <c r="D15" s="4" t="n">
        <v>14</v>
      </c>
      <c r="E15" s="19" t="s">
        <v>246</v>
      </c>
      <c r="F15" s="20" t="s">
        <v>430</v>
      </c>
    </row>
    <row r="16" customFormat="false" ht="15" hidden="false" customHeight="false" outlineLevel="0" collapsed="false">
      <c r="A16" s="4" t="str">
        <f aca="false">B16&amp;"|"&amp;C16</f>
        <v>tdbR00000271 Met-CAU|15</v>
      </c>
      <c r="B16" s="4" t="s">
        <v>37</v>
      </c>
      <c r="C16" s="4" t="s">
        <v>431</v>
      </c>
      <c r="D16" s="4" t="n">
        <v>15</v>
      </c>
      <c r="E16" s="19" t="s">
        <v>197</v>
      </c>
      <c r="F16" s="20" t="s">
        <v>430</v>
      </c>
    </row>
    <row r="17" customFormat="false" ht="15" hidden="false" customHeight="false" outlineLevel="0" collapsed="false">
      <c r="A17" s="4" t="str">
        <f aca="false">B17&amp;"|"&amp;C17</f>
        <v>tdbR00000271 Met-CAU|16</v>
      </c>
      <c r="B17" s="4" t="s">
        <v>37</v>
      </c>
      <c r="C17" s="4" t="s">
        <v>432</v>
      </c>
      <c r="D17" s="4" t="n">
        <v>16</v>
      </c>
      <c r="E17" s="19" t="s">
        <v>414</v>
      </c>
      <c r="F17" s="20" t="s">
        <v>430</v>
      </c>
    </row>
    <row r="18" customFormat="false" ht="15" hidden="false" customHeight="false" outlineLevel="0" collapsed="false">
      <c r="A18" s="4" t="str">
        <f aca="false">B18&amp;"|"&amp;C18</f>
        <v>tdbR00000271 Met-CAU|17</v>
      </c>
      <c r="B18" s="4" t="s">
        <v>37</v>
      </c>
      <c r="C18" s="4" t="s">
        <v>433</v>
      </c>
      <c r="D18" s="4" t="n">
        <v>17</v>
      </c>
      <c r="E18" s="19" t="s">
        <v>259</v>
      </c>
      <c r="F18" s="20" t="s">
        <v>430</v>
      </c>
    </row>
    <row r="19" customFormat="false" ht="15" hidden="false" customHeight="false" outlineLevel="0" collapsed="false">
      <c r="A19" s="4" t="str">
        <f aca="false">B19&amp;"|"&amp;C19</f>
        <v>tdbR00000271 Met-CAU|18</v>
      </c>
      <c r="B19" s="4" t="s">
        <v>37</v>
      </c>
      <c r="C19" s="4" t="s">
        <v>434</v>
      </c>
      <c r="D19" s="4" t="n">
        <v>18</v>
      </c>
      <c r="E19" s="19" t="s">
        <v>197</v>
      </c>
      <c r="F19" s="20" t="s">
        <v>430</v>
      </c>
    </row>
    <row r="20" customFormat="false" ht="15" hidden="false" customHeight="false" outlineLevel="0" collapsed="false">
      <c r="A20" s="4" t="str">
        <f aca="false">B20&amp;"|"&amp;C20</f>
        <v>tdbR00000271 Met-CAU|19</v>
      </c>
      <c r="B20" s="4" t="s">
        <v>37</v>
      </c>
      <c r="C20" s="4" t="s">
        <v>435</v>
      </c>
      <c r="D20" s="4" t="n">
        <v>19</v>
      </c>
      <c r="E20" s="19" t="s">
        <v>197</v>
      </c>
      <c r="F20" s="20" t="s">
        <v>430</v>
      </c>
    </row>
    <row r="21" customFormat="false" ht="15" hidden="false" customHeight="false" outlineLevel="0" collapsed="false">
      <c r="A21" s="4" t="str">
        <f aca="false">B21&amp;"|"&amp;C21</f>
        <v>tdbR00000271 Met-CAU|20</v>
      </c>
      <c r="B21" s="4" t="s">
        <v>37</v>
      </c>
      <c r="C21" s="4" t="s">
        <v>436</v>
      </c>
      <c r="D21" s="4" t="n">
        <v>20</v>
      </c>
      <c r="E21" s="19" t="s">
        <v>246</v>
      </c>
      <c r="F21" s="20" t="s">
        <v>430</v>
      </c>
    </row>
    <row r="22" customFormat="false" ht="15" hidden="false" customHeight="false" outlineLevel="0" collapsed="false">
      <c r="A22" s="4" t="str">
        <f aca="false">B22&amp;"|"&amp;C22</f>
        <v>tdbR00000271 Met-CAU|20a</v>
      </c>
      <c r="B22" s="4" t="s">
        <v>37</v>
      </c>
      <c r="C22" s="4" t="s">
        <v>437</v>
      </c>
      <c r="D22" s="4" t="n">
        <v>21</v>
      </c>
      <c r="E22" s="19" t="s">
        <v>414</v>
      </c>
      <c r="F22" s="20" t="s">
        <v>430</v>
      </c>
    </row>
    <row r="23" customFormat="false" ht="15" hidden="false" customHeight="false" outlineLevel="0" collapsed="false">
      <c r="A23" s="4" t="str">
        <f aca="false">B23&amp;"|"&amp;C23</f>
        <v>tdbR00000271 Met-CAU|21</v>
      </c>
      <c r="B23" s="4" t="s">
        <v>37</v>
      </c>
      <c r="C23" s="4" t="s">
        <v>438</v>
      </c>
      <c r="D23" s="4" t="n">
        <v>22</v>
      </c>
      <c r="E23" s="19" t="s">
        <v>246</v>
      </c>
      <c r="F23" s="20" t="s">
        <v>430</v>
      </c>
    </row>
    <row r="24" customFormat="false" ht="15" hidden="false" customHeight="false" outlineLevel="0" collapsed="false">
      <c r="A24" s="4" t="str">
        <f aca="false">B24&amp;"|"&amp;C24</f>
        <v>tdbR00000271 Met-CAU|22</v>
      </c>
      <c r="B24" s="4" t="s">
        <v>37</v>
      </c>
      <c r="C24" s="4" t="s">
        <v>439</v>
      </c>
      <c r="D24" s="4" t="n">
        <v>23</v>
      </c>
      <c r="E24" s="8" t="s">
        <v>259</v>
      </c>
      <c r="F24" s="7" t="s">
        <v>425</v>
      </c>
    </row>
    <row r="25" customFormat="false" ht="15" hidden="false" customHeight="false" outlineLevel="0" collapsed="false">
      <c r="A25" s="4" t="str">
        <f aca="false">B25&amp;"|"&amp;C25</f>
        <v>tdbR00000271 Met-CAU|23</v>
      </c>
      <c r="B25" s="4" t="s">
        <v>37</v>
      </c>
      <c r="C25" s="4" t="s">
        <v>440</v>
      </c>
      <c r="D25" s="4" t="n">
        <v>24</v>
      </c>
      <c r="E25" s="8" t="s">
        <v>246</v>
      </c>
      <c r="F25" s="7" t="s">
        <v>425</v>
      </c>
    </row>
    <row r="26" customFormat="false" ht="15" hidden="false" customHeight="false" outlineLevel="0" collapsed="false">
      <c r="A26" s="4" t="str">
        <f aca="false">B26&amp;"|"&amp;C26</f>
        <v>tdbR00000271 Met-CAU|24</v>
      </c>
      <c r="B26" s="4" t="s">
        <v>37</v>
      </c>
      <c r="C26" s="4" t="s">
        <v>441</v>
      </c>
      <c r="D26" s="4" t="n">
        <v>25</v>
      </c>
      <c r="E26" s="8" t="s">
        <v>197</v>
      </c>
      <c r="F26" s="7" t="s">
        <v>425</v>
      </c>
    </row>
    <row r="27" customFormat="false" ht="15" hidden="false" customHeight="false" outlineLevel="0" collapsed="false">
      <c r="A27" s="4" t="str">
        <f aca="false">B27&amp;"|"&amp;C27</f>
        <v>tdbR00000271 Met-CAU|25</v>
      </c>
      <c r="B27" s="4" t="s">
        <v>37</v>
      </c>
      <c r="C27" s="4" t="s">
        <v>442</v>
      </c>
      <c r="D27" s="4" t="n">
        <v>26</v>
      </c>
      <c r="E27" s="8" t="s">
        <v>414</v>
      </c>
      <c r="F27" s="7" t="s">
        <v>425</v>
      </c>
    </row>
    <row r="28" customFormat="false" ht="15" hidden="false" customHeight="false" outlineLevel="0" collapsed="false">
      <c r="A28" s="4" t="str">
        <f aca="false">B28&amp;"|"&amp;C28</f>
        <v>tdbR00000271 Met-CAU|26</v>
      </c>
      <c r="B28" s="4" t="s">
        <v>37</v>
      </c>
      <c r="C28" s="4" t="s">
        <v>443</v>
      </c>
      <c r="D28" s="4" t="n">
        <v>27</v>
      </c>
      <c r="E28" s="3" t="s">
        <v>197</v>
      </c>
      <c r="F28" s="4" t="s">
        <v>444</v>
      </c>
    </row>
    <row r="29" customFormat="false" ht="15" hidden="false" customHeight="false" outlineLevel="0" collapsed="false">
      <c r="A29" s="4" t="str">
        <f aca="false">B29&amp;"|"&amp;C29</f>
        <v>tdbR00000271 Met-CAU|27</v>
      </c>
      <c r="B29" s="4" t="s">
        <v>37</v>
      </c>
      <c r="C29" s="4" t="s">
        <v>445</v>
      </c>
      <c r="D29" s="4" t="n">
        <v>28</v>
      </c>
      <c r="E29" s="21" t="s">
        <v>414</v>
      </c>
      <c r="F29" s="22" t="s">
        <v>446</v>
      </c>
    </row>
    <row r="30" customFormat="false" ht="15" hidden="false" customHeight="false" outlineLevel="0" collapsed="false">
      <c r="A30" s="4" t="str">
        <f aca="false">B30&amp;"|"&amp;C30</f>
        <v>tdbR00000271 Met-CAU|28</v>
      </c>
      <c r="B30" s="4" t="s">
        <v>37</v>
      </c>
      <c r="C30" s="4" t="s">
        <v>447</v>
      </c>
      <c r="D30" s="4" t="n">
        <v>29</v>
      </c>
      <c r="E30" s="21" t="s">
        <v>414</v>
      </c>
      <c r="F30" s="22" t="s">
        <v>446</v>
      </c>
    </row>
    <row r="31" customFormat="false" ht="15" hidden="false" customHeight="false" outlineLevel="0" collapsed="false">
      <c r="A31" s="4" t="str">
        <f aca="false">B31&amp;"|"&amp;C31</f>
        <v>tdbR00000271 Met-CAU|29</v>
      </c>
      <c r="B31" s="4" t="s">
        <v>37</v>
      </c>
      <c r="C31" s="4" t="s">
        <v>448</v>
      </c>
      <c r="D31" s="4" t="n">
        <v>30</v>
      </c>
      <c r="E31" s="21" t="s">
        <v>197</v>
      </c>
      <c r="F31" s="22" t="s">
        <v>446</v>
      </c>
    </row>
    <row r="32" customFormat="false" ht="15" hidden="false" customHeight="false" outlineLevel="0" collapsed="false">
      <c r="A32" s="4" t="str">
        <f aca="false">B32&amp;"|"&amp;C32</f>
        <v>tdbR00000271 Met-CAU|30</v>
      </c>
      <c r="B32" s="4" t="s">
        <v>37</v>
      </c>
      <c r="C32" s="4" t="s">
        <v>449</v>
      </c>
      <c r="D32" s="4" t="n">
        <v>31</v>
      </c>
      <c r="E32" s="21" t="s">
        <v>414</v>
      </c>
      <c r="F32" s="22" t="s">
        <v>446</v>
      </c>
    </row>
    <row r="33" customFormat="false" ht="15" hidden="false" customHeight="false" outlineLevel="0" collapsed="false">
      <c r="A33" s="4" t="str">
        <f aca="false">B33&amp;"|"&amp;C33</f>
        <v>tdbR00000271 Met-CAU|31</v>
      </c>
      <c r="B33" s="4" t="s">
        <v>37</v>
      </c>
      <c r="C33" s="4" t="s">
        <v>450</v>
      </c>
      <c r="D33" s="4" t="n">
        <v>32</v>
      </c>
      <c r="E33" s="21" t="s">
        <v>246</v>
      </c>
      <c r="F33" s="22" t="s">
        <v>446</v>
      </c>
    </row>
    <row r="34" customFormat="false" ht="15" hidden="false" customHeight="false" outlineLevel="0" collapsed="false">
      <c r="A34" s="4" t="str">
        <f aca="false">B34&amp;"|"&amp;C34</f>
        <v>tdbR00000271 Met-CAU|32</v>
      </c>
      <c r="B34" s="4" t="s">
        <v>37</v>
      </c>
      <c r="C34" s="4" t="s">
        <v>451</v>
      </c>
      <c r="D34" s="4" t="n">
        <v>33</v>
      </c>
      <c r="E34" s="19" t="s">
        <v>414</v>
      </c>
      <c r="F34" s="20" t="s">
        <v>452</v>
      </c>
    </row>
    <row r="35" customFormat="false" ht="15" hidden="false" customHeight="false" outlineLevel="0" collapsed="false">
      <c r="A35" s="4" t="str">
        <f aca="false">B35&amp;"|"&amp;C35</f>
        <v>tdbR00000271 Met-CAU|33</v>
      </c>
      <c r="B35" s="4" t="s">
        <v>37</v>
      </c>
      <c r="C35" s="4" t="s">
        <v>453</v>
      </c>
      <c r="D35" s="4" t="n">
        <v>34</v>
      </c>
      <c r="E35" s="19" t="s">
        <v>259</v>
      </c>
      <c r="F35" s="20" t="s">
        <v>452</v>
      </c>
    </row>
    <row r="36" customFormat="false" ht="15" hidden="false" customHeight="false" outlineLevel="0" collapsed="false">
      <c r="A36" s="4" t="str">
        <f aca="false">B36&amp;"|"&amp;C36</f>
        <v>tdbR00000271 Met-CAU|34</v>
      </c>
      <c r="B36" s="4" t="s">
        <v>37</v>
      </c>
      <c r="C36" s="4" t="s">
        <v>454</v>
      </c>
      <c r="D36" s="4" t="n">
        <v>35</v>
      </c>
      <c r="E36" s="19" t="s">
        <v>414</v>
      </c>
      <c r="F36" s="20" t="s">
        <v>452</v>
      </c>
    </row>
    <row r="37" customFormat="false" ht="15" hidden="false" customHeight="false" outlineLevel="0" collapsed="false">
      <c r="A37" s="4" t="str">
        <f aca="false">B37&amp;"|"&amp;C37</f>
        <v>tdbR00000271 Met-CAU|35</v>
      </c>
      <c r="B37" s="4" t="s">
        <v>37</v>
      </c>
      <c r="C37" s="4" t="s">
        <v>455</v>
      </c>
      <c r="D37" s="4" t="n">
        <v>36</v>
      </c>
      <c r="E37" s="19" t="s">
        <v>246</v>
      </c>
      <c r="F37" s="20" t="s">
        <v>452</v>
      </c>
    </row>
    <row r="38" customFormat="false" ht="15" hidden="false" customHeight="false" outlineLevel="0" collapsed="false">
      <c r="A38" s="4" t="str">
        <f aca="false">B38&amp;"|"&amp;C38</f>
        <v>tdbR00000271 Met-CAU|36</v>
      </c>
      <c r="B38" s="4" t="s">
        <v>37</v>
      </c>
      <c r="C38" s="4" t="s">
        <v>456</v>
      </c>
      <c r="D38" s="4" t="n">
        <v>37</v>
      </c>
      <c r="E38" s="19" t="s">
        <v>259</v>
      </c>
      <c r="F38" s="20" t="s">
        <v>452</v>
      </c>
    </row>
    <row r="39" customFormat="false" ht="15" hidden="false" customHeight="false" outlineLevel="0" collapsed="false">
      <c r="A39" s="4" t="str">
        <f aca="false">B39&amp;"|"&amp;C39</f>
        <v>tdbR00000271 Met-CAU|37</v>
      </c>
      <c r="B39" s="4" t="s">
        <v>37</v>
      </c>
      <c r="C39" s="4" t="s">
        <v>457</v>
      </c>
      <c r="D39" s="4" t="n">
        <v>38</v>
      </c>
      <c r="E39" s="19" t="s">
        <v>246</v>
      </c>
      <c r="F39" s="20" t="s">
        <v>452</v>
      </c>
    </row>
    <row r="40" customFormat="false" ht="15" hidden="false" customHeight="false" outlineLevel="0" collapsed="false">
      <c r="A40" s="4" t="str">
        <f aca="false">B40&amp;"|"&amp;C40</f>
        <v>tdbR00000271 Met-CAU|38</v>
      </c>
      <c r="B40" s="4" t="s">
        <v>37</v>
      </c>
      <c r="C40" s="4" t="s">
        <v>458</v>
      </c>
      <c r="D40" s="4" t="n">
        <v>39</v>
      </c>
      <c r="E40" s="19" t="s">
        <v>246</v>
      </c>
      <c r="F40" s="20" t="s">
        <v>452</v>
      </c>
    </row>
    <row r="41" customFormat="false" ht="15" hidden="false" customHeight="false" outlineLevel="0" collapsed="false">
      <c r="A41" s="4" t="str">
        <f aca="false">B41&amp;"|"&amp;C41</f>
        <v>tdbR00000271 Met-CAU|39</v>
      </c>
      <c r="B41" s="4" t="s">
        <v>37</v>
      </c>
      <c r="C41" s="4" t="s">
        <v>459</v>
      </c>
      <c r="D41" s="4" t="n">
        <v>40</v>
      </c>
      <c r="E41" s="21" t="s">
        <v>259</v>
      </c>
      <c r="F41" s="22" t="s">
        <v>446</v>
      </c>
    </row>
    <row r="42" customFormat="false" ht="15" hidden="false" customHeight="false" outlineLevel="0" collapsed="false">
      <c r="A42" s="4" t="str">
        <f aca="false">B42&amp;"|"&amp;C42</f>
        <v>tdbR00000271 Met-CAU|40</v>
      </c>
      <c r="B42" s="4" t="s">
        <v>37</v>
      </c>
      <c r="C42" s="4" t="s">
        <v>460</v>
      </c>
      <c r="D42" s="4" t="n">
        <v>41</v>
      </c>
      <c r="E42" s="21" t="s">
        <v>197</v>
      </c>
      <c r="F42" s="22" t="s">
        <v>446</v>
      </c>
    </row>
    <row r="43" customFormat="false" ht="15" hidden="false" customHeight="false" outlineLevel="0" collapsed="false">
      <c r="A43" s="4" t="str">
        <f aca="false">B43&amp;"|"&amp;C43</f>
        <v>tdbR00000271 Met-CAU|41</v>
      </c>
      <c r="B43" s="4" t="s">
        <v>37</v>
      </c>
      <c r="C43" s="4" t="s">
        <v>461</v>
      </c>
      <c r="D43" s="4" t="n">
        <v>42</v>
      </c>
      <c r="E43" s="21" t="s">
        <v>414</v>
      </c>
      <c r="F43" s="22" t="s">
        <v>446</v>
      </c>
    </row>
    <row r="44" customFormat="false" ht="15" hidden="false" customHeight="false" outlineLevel="0" collapsed="false">
      <c r="A44" s="4" t="str">
        <f aca="false">B44&amp;"|"&amp;C44</f>
        <v>tdbR00000271 Met-CAU|42</v>
      </c>
      <c r="B44" s="4" t="s">
        <v>37</v>
      </c>
      <c r="C44" s="4" t="s">
        <v>462</v>
      </c>
      <c r="D44" s="4" t="n">
        <v>43</v>
      </c>
      <c r="E44" s="21" t="s">
        <v>197</v>
      </c>
      <c r="F44" s="22" t="s">
        <v>446</v>
      </c>
    </row>
    <row r="45" customFormat="false" ht="15" hidden="false" customHeight="false" outlineLevel="0" collapsed="false">
      <c r="A45" s="4" t="str">
        <f aca="false">B45&amp;"|"&amp;C45</f>
        <v>tdbR00000271 Met-CAU|43</v>
      </c>
      <c r="B45" s="4" t="s">
        <v>37</v>
      </c>
      <c r="C45" s="4" t="s">
        <v>463</v>
      </c>
      <c r="D45" s="4" t="n">
        <v>44</v>
      </c>
      <c r="E45" s="21" t="s">
        <v>197</v>
      </c>
      <c r="F45" s="22" t="s">
        <v>446</v>
      </c>
    </row>
    <row r="46" customFormat="false" ht="15" hidden="false" customHeight="false" outlineLevel="0" collapsed="false">
      <c r="A46" s="4" t="str">
        <f aca="false">B46&amp;"|"&amp;C46</f>
        <v>tdbR00000271 Met-CAU|44</v>
      </c>
      <c r="B46" s="4" t="s">
        <v>37</v>
      </c>
      <c r="C46" s="4" t="s">
        <v>464</v>
      </c>
      <c r="D46" s="4" t="n">
        <v>45</v>
      </c>
      <c r="E46" s="19" t="s">
        <v>246</v>
      </c>
      <c r="F46" s="20" t="s">
        <v>465</v>
      </c>
    </row>
    <row r="47" customFormat="false" ht="15" hidden="false" customHeight="false" outlineLevel="0" collapsed="false">
      <c r="A47" s="4" t="str">
        <f aca="false">B47&amp;"|"&amp;C47</f>
        <v>tdbR00000271 Met-CAU|45</v>
      </c>
      <c r="B47" s="4" t="s">
        <v>37</v>
      </c>
      <c r="C47" s="4" t="s">
        <v>466</v>
      </c>
      <c r="D47" s="4" t="n">
        <v>46</v>
      </c>
      <c r="E47" s="19" t="s">
        <v>197</v>
      </c>
      <c r="F47" s="20" t="s">
        <v>465</v>
      </c>
    </row>
    <row r="48" customFormat="false" ht="15" hidden="false" customHeight="false" outlineLevel="0" collapsed="false">
      <c r="A48" s="4" t="str">
        <f aca="false">B48&amp;"|"&amp;C48</f>
        <v>tdbR00000271 Met-CAU|46</v>
      </c>
      <c r="B48" s="4" t="s">
        <v>37</v>
      </c>
      <c r="C48" s="4" t="s">
        <v>467</v>
      </c>
      <c r="D48" s="4" t="n">
        <v>47</v>
      </c>
      <c r="E48" s="19" t="s">
        <v>246</v>
      </c>
      <c r="F48" s="20" t="s">
        <v>465</v>
      </c>
    </row>
    <row r="49" customFormat="false" ht="15" hidden="false" customHeight="false" outlineLevel="0" collapsed="false">
      <c r="A49" s="4" t="str">
        <f aca="false">B49&amp;"|"&amp;C49</f>
        <v>tdbR00000271 Met-CAU|47</v>
      </c>
      <c r="B49" s="4" t="s">
        <v>37</v>
      </c>
      <c r="C49" s="4" t="s">
        <v>468</v>
      </c>
      <c r="D49" s="4" t="n">
        <v>48</v>
      </c>
      <c r="E49" s="19" t="s">
        <v>259</v>
      </c>
      <c r="F49" s="20" t="s">
        <v>465</v>
      </c>
    </row>
    <row r="50" customFormat="false" ht="15" hidden="false" customHeight="false" outlineLevel="0" collapsed="false">
      <c r="A50" s="4" t="str">
        <f aca="false">B50&amp;"|"&amp;C50</f>
        <v>tdbR00000271 Met-CAU|48</v>
      </c>
      <c r="B50" s="4" t="s">
        <v>37</v>
      </c>
      <c r="C50" s="4" t="s">
        <v>469</v>
      </c>
      <c r="D50" s="4" t="n">
        <v>49</v>
      </c>
      <c r="E50" s="19" t="s">
        <v>414</v>
      </c>
      <c r="F50" s="20" t="s">
        <v>465</v>
      </c>
    </row>
    <row r="51" customFormat="false" ht="15" hidden="false" customHeight="false" outlineLevel="0" collapsed="false">
      <c r="A51" s="4" t="str">
        <f aca="false">B51&amp;"|"&amp;C51</f>
        <v>tdbR00000271 Met-CAU|49</v>
      </c>
      <c r="B51" s="4" t="s">
        <v>37</v>
      </c>
      <c r="C51" s="4" t="s">
        <v>470</v>
      </c>
      <c r="D51" s="4" t="n">
        <v>50</v>
      </c>
      <c r="E51" s="23" t="s">
        <v>197</v>
      </c>
      <c r="F51" s="10" t="s">
        <v>471</v>
      </c>
    </row>
    <row r="52" customFormat="false" ht="15" hidden="false" customHeight="false" outlineLevel="0" collapsed="false">
      <c r="A52" s="4" t="str">
        <f aca="false">B52&amp;"|"&amp;C52</f>
        <v>tdbR00000271 Met-CAU|50</v>
      </c>
      <c r="B52" s="4" t="s">
        <v>37</v>
      </c>
      <c r="C52" s="4" t="s">
        <v>472</v>
      </c>
      <c r="D52" s="4" t="n">
        <v>51</v>
      </c>
      <c r="E52" s="23" t="s">
        <v>259</v>
      </c>
      <c r="F52" s="10" t="s">
        <v>471</v>
      </c>
    </row>
    <row r="53" customFormat="false" ht="15" hidden="false" customHeight="false" outlineLevel="0" collapsed="false">
      <c r="A53" s="4" t="str">
        <f aca="false">B53&amp;"|"&amp;C53</f>
        <v>tdbR00000271 Met-CAU|51</v>
      </c>
      <c r="B53" s="4" t="s">
        <v>37</v>
      </c>
      <c r="C53" s="4" t="s">
        <v>473</v>
      </c>
      <c r="D53" s="4" t="n">
        <v>52</v>
      </c>
      <c r="E53" s="23" t="s">
        <v>197</v>
      </c>
      <c r="F53" s="10" t="s">
        <v>471</v>
      </c>
    </row>
    <row r="54" customFormat="false" ht="15" hidden="false" customHeight="false" outlineLevel="0" collapsed="false">
      <c r="A54" s="4" t="str">
        <f aca="false">B54&amp;"|"&amp;C54</f>
        <v>tdbR00000271 Met-CAU|52</v>
      </c>
      <c r="B54" s="4" t="s">
        <v>37</v>
      </c>
      <c r="C54" s="4" t="s">
        <v>474</v>
      </c>
      <c r="D54" s="4" t="n">
        <v>53</v>
      </c>
      <c r="E54" s="23" t="s">
        <v>197</v>
      </c>
      <c r="F54" s="10" t="s">
        <v>471</v>
      </c>
    </row>
    <row r="55" customFormat="false" ht="15" hidden="false" customHeight="false" outlineLevel="0" collapsed="false">
      <c r="A55" s="4" t="str">
        <f aca="false">B55&amp;"|"&amp;C55</f>
        <v>tdbR00000271 Met-CAU|53</v>
      </c>
      <c r="B55" s="4" t="s">
        <v>37</v>
      </c>
      <c r="C55" s="4" t="s">
        <v>475</v>
      </c>
      <c r="D55" s="4" t="n">
        <v>54</v>
      </c>
      <c r="E55" s="23" t="s">
        <v>197</v>
      </c>
      <c r="F55" s="10" t="s">
        <v>471</v>
      </c>
    </row>
    <row r="56" customFormat="false" ht="15" hidden="false" customHeight="false" outlineLevel="0" collapsed="false">
      <c r="A56" s="4" t="str">
        <f aca="false">B56&amp;"|"&amp;C56</f>
        <v>tdbR00000271 Met-CAU|54</v>
      </c>
      <c r="B56" s="4" t="s">
        <v>37</v>
      </c>
      <c r="C56" s="4" t="s">
        <v>476</v>
      </c>
      <c r="D56" s="4" t="n">
        <v>55</v>
      </c>
      <c r="E56" s="19" t="s">
        <v>259</v>
      </c>
      <c r="F56" s="20" t="s">
        <v>477</v>
      </c>
    </row>
    <row r="57" customFormat="false" ht="15" hidden="false" customHeight="false" outlineLevel="0" collapsed="false">
      <c r="A57" s="4" t="str">
        <f aca="false">B57&amp;"|"&amp;C57</f>
        <v>tdbR00000271 Met-CAU|55</v>
      </c>
      <c r="B57" s="4" t="s">
        <v>37</v>
      </c>
      <c r="C57" s="4" t="s">
        <v>478</v>
      </c>
      <c r="D57" s="4" t="n">
        <v>56</v>
      </c>
      <c r="E57" s="19" t="s">
        <v>259</v>
      </c>
      <c r="F57" s="20" t="s">
        <v>477</v>
      </c>
    </row>
    <row r="58" customFormat="false" ht="15" hidden="false" customHeight="false" outlineLevel="0" collapsed="false">
      <c r="A58" s="4" t="str">
        <f aca="false">B58&amp;"|"&amp;C58</f>
        <v>tdbR00000271 Met-CAU|56</v>
      </c>
      <c r="B58" s="4" t="s">
        <v>37</v>
      </c>
      <c r="C58" s="4" t="s">
        <v>479</v>
      </c>
      <c r="D58" s="4" t="n">
        <v>57</v>
      </c>
      <c r="E58" s="19" t="s">
        <v>414</v>
      </c>
      <c r="F58" s="20" t="s">
        <v>477</v>
      </c>
    </row>
    <row r="59" customFormat="false" ht="15" hidden="false" customHeight="false" outlineLevel="0" collapsed="false">
      <c r="A59" s="4" t="str">
        <f aca="false">B59&amp;"|"&amp;C59</f>
        <v>tdbR00000271 Met-CAU|57</v>
      </c>
      <c r="B59" s="4" t="s">
        <v>37</v>
      </c>
      <c r="C59" s="4" t="s">
        <v>480</v>
      </c>
      <c r="D59" s="4" t="n">
        <v>58</v>
      </c>
      <c r="E59" s="19" t="s">
        <v>197</v>
      </c>
      <c r="F59" s="20" t="s">
        <v>477</v>
      </c>
    </row>
    <row r="60" customFormat="false" ht="15" hidden="false" customHeight="false" outlineLevel="0" collapsed="false">
      <c r="A60" s="4" t="str">
        <f aca="false">B60&amp;"|"&amp;C60</f>
        <v>tdbR00000271 Met-CAU|58</v>
      </c>
      <c r="B60" s="4" t="s">
        <v>37</v>
      </c>
      <c r="C60" s="4" t="s">
        <v>481</v>
      </c>
      <c r="D60" s="4" t="n">
        <v>59</v>
      </c>
      <c r="E60" s="19" t="s">
        <v>197</v>
      </c>
      <c r="F60" s="20" t="s">
        <v>477</v>
      </c>
    </row>
    <row r="61" customFormat="false" ht="15" hidden="false" customHeight="false" outlineLevel="0" collapsed="false">
      <c r="A61" s="4" t="str">
        <f aca="false">B61&amp;"|"&amp;C61</f>
        <v>tdbR00000271 Met-CAU|59</v>
      </c>
      <c r="B61" s="4" t="s">
        <v>37</v>
      </c>
      <c r="C61" s="4" t="s">
        <v>482</v>
      </c>
      <c r="D61" s="4" t="n">
        <v>60</v>
      </c>
      <c r="E61" s="19" t="s">
        <v>246</v>
      </c>
      <c r="F61" s="20" t="s">
        <v>477</v>
      </c>
    </row>
    <row r="62" customFormat="false" ht="15" hidden="false" customHeight="false" outlineLevel="0" collapsed="false">
      <c r="A62" s="4" t="str">
        <f aca="false">B62&amp;"|"&amp;C62</f>
        <v>tdbR00000271 Met-CAU|60</v>
      </c>
      <c r="B62" s="4" t="s">
        <v>37</v>
      </c>
      <c r="C62" s="4" t="s">
        <v>483</v>
      </c>
      <c r="D62" s="4" t="n">
        <v>61</v>
      </c>
      <c r="E62" s="19" t="s">
        <v>197</v>
      </c>
      <c r="F62" s="20" t="s">
        <v>477</v>
      </c>
    </row>
    <row r="63" customFormat="false" ht="15" hidden="false" customHeight="false" outlineLevel="0" collapsed="false">
      <c r="A63" s="4" t="str">
        <f aca="false">B63&amp;"|"&amp;C63</f>
        <v>tdbR00000271 Met-CAU|61</v>
      </c>
      <c r="B63" s="4" t="s">
        <v>37</v>
      </c>
      <c r="C63" s="4" t="s">
        <v>484</v>
      </c>
      <c r="D63" s="4" t="n">
        <v>62</v>
      </c>
      <c r="E63" s="23" t="s">
        <v>414</v>
      </c>
      <c r="F63" s="10" t="s">
        <v>471</v>
      </c>
    </row>
    <row r="64" customFormat="false" ht="15" hidden="false" customHeight="false" outlineLevel="0" collapsed="false">
      <c r="A64" s="4" t="str">
        <f aca="false">B64&amp;"|"&amp;C64</f>
        <v>tdbR00000271 Met-CAU|62</v>
      </c>
      <c r="B64" s="4" t="s">
        <v>37</v>
      </c>
      <c r="C64" s="4" t="s">
        <v>485</v>
      </c>
      <c r="D64" s="4" t="n">
        <v>63</v>
      </c>
      <c r="E64" s="23" t="s">
        <v>414</v>
      </c>
      <c r="F64" s="10" t="s">
        <v>471</v>
      </c>
    </row>
    <row r="65" customFormat="false" ht="15" hidden="false" customHeight="false" outlineLevel="0" collapsed="false">
      <c r="A65" s="4" t="str">
        <f aca="false">B65&amp;"|"&amp;C65</f>
        <v>tdbR00000271 Met-CAU|63</v>
      </c>
      <c r="B65" s="4" t="s">
        <v>37</v>
      </c>
      <c r="C65" s="4" t="s">
        <v>486</v>
      </c>
      <c r="D65" s="4" t="n">
        <v>64</v>
      </c>
      <c r="E65" s="23" t="s">
        <v>414</v>
      </c>
      <c r="F65" s="10" t="s">
        <v>471</v>
      </c>
    </row>
    <row r="66" customFormat="false" ht="15" hidden="false" customHeight="false" outlineLevel="0" collapsed="false">
      <c r="A66" s="4" t="str">
        <f aca="false">B66&amp;"|"&amp;C66</f>
        <v>tdbR00000271 Met-CAU|64</v>
      </c>
      <c r="B66" s="4" t="s">
        <v>37</v>
      </c>
      <c r="C66" s="4" t="s">
        <v>487</v>
      </c>
      <c r="D66" s="4" t="n">
        <v>65</v>
      </c>
      <c r="E66" s="23" t="s">
        <v>246</v>
      </c>
      <c r="F66" s="10" t="s">
        <v>471</v>
      </c>
    </row>
    <row r="67" customFormat="false" ht="15" hidden="false" customHeight="false" outlineLevel="0" collapsed="false">
      <c r="A67" s="4" t="str">
        <f aca="false">B67&amp;"|"&amp;C67</f>
        <v>tdbR00000271 Met-CAU|65</v>
      </c>
      <c r="B67" s="4" t="s">
        <v>37</v>
      </c>
      <c r="C67" s="4" t="s">
        <v>488</v>
      </c>
      <c r="D67" s="4" t="n">
        <v>66</v>
      </c>
      <c r="E67" s="23" t="s">
        <v>414</v>
      </c>
      <c r="F67" s="10" t="s">
        <v>471</v>
      </c>
    </row>
    <row r="68" customFormat="false" ht="15" hidden="false" customHeight="false" outlineLevel="0" collapsed="false">
      <c r="A68" s="4" t="str">
        <f aca="false">B68&amp;"|"&amp;C68</f>
        <v>tdbR00000271 Met-CAU|66</v>
      </c>
      <c r="B68" s="4" t="s">
        <v>37</v>
      </c>
      <c r="C68" s="4" t="s">
        <v>489</v>
      </c>
      <c r="D68" s="4" t="n">
        <v>67</v>
      </c>
      <c r="E68" s="17" t="s">
        <v>414</v>
      </c>
      <c r="F68" s="18" t="s">
        <v>412</v>
      </c>
    </row>
    <row r="69" customFormat="false" ht="15" hidden="false" customHeight="false" outlineLevel="0" collapsed="false">
      <c r="A69" s="4" t="str">
        <f aca="false">B69&amp;"|"&amp;C69</f>
        <v>tdbR00000271 Met-CAU|67</v>
      </c>
      <c r="B69" s="4" t="s">
        <v>37</v>
      </c>
      <c r="C69" s="4" t="s">
        <v>490</v>
      </c>
      <c r="D69" s="4" t="n">
        <v>68</v>
      </c>
      <c r="E69" s="17" t="s">
        <v>414</v>
      </c>
      <c r="F69" s="18" t="s">
        <v>412</v>
      </c>
    </row>
    <row r="70" customFormat="false" ht="15" hidden="false" customHeight="false" outlineLevel="0" collapsed="false">
      <c r="A70" s="4" t="str">
        <f aca="false">B70&amp;"|"&amp;C70</f>
        <v>tdbR00000271 Met-CAU|68</v>
      </c>
      <c r="B70" s="4" t="s">
        <v>37</v>
      </c>
      <c r="C70" s="4" t="s">
        <v>491</v>
      </c>
      <c r="D70" s="4" t="n">
        <v>69</v>
      </c>
      <c r="E70" s="17" t="s">
        <v>414</v>
      </c>
      <c r="F70" s="18" t="s">
        <v>412</v>
      </c>
    </row>
    <row r="71" customFormat="false" ht="15" hidden="false" customHeight="false" outlineLevel="0" collapsed="false">
      <c r="A71" s="4" t="str">
        <f aca="false">B71&amp;"|"&amp;C71</f>
        <v>tdbR00000271 Met-CAU|69</v>
      </c>
      <c r="B71" s="4" t="s">
        <v>37</v>
      </c>
      <c r="C71" s="4" t="s">
        <v>492</v>
      </c>
      <c r="D71" s="4" t="n">
        <v>70</v>
      </c>
      <c r="E71" s="17" t="s">
        <v>197</v>
      </c>
      <c r="F71" s="18" t="s">
        <v>412</v>
      </c>
    </row>
    <row r="72" customFormat="false" ht="15" hidden="false" customHeight="false" outlineLevel="0" collapsed="false">
      <c r="A72" s="4" t="str">
        <f aca="false">B72&amp;"|"&amp;C72</f>
        <v>tdbR00000271 Met-CAU|70</v>
      </c>
      <c r="B72" s="4" t="s">
        <v>37</v>
      </c>
      <c r="C72" s="4" t="s">
        <v>493</v>
      </c>
      <c r="D72" s="4" t="n">
        <v>71</v>
      </c>
      <c r="E72" s="17" t="s">
        <v>197</v>
      </c>
      <c r="F72" s="18" t="s">
        <v>412</v>
      </c>
    </row>
    <row r="73" customFormat="false" ht="15" hidden="false" customHeight="false" outlineLevel="0" collapsed="false">
      <c r="A73" s="4" t="str">
        <f aca="false">B73&amp;"|"&amp;C73</f>
        <v>tdbR00000271 Met-CAU|71</v>
      </c>
      <c r="B73" s="4" t="s">
        <v>37</v>
      </c>
      <c r="C73" s="4" t="s">
        <v>494</v>
      </c>
      <c r="D73" s="4" t="n">
        <v>72</v>
      </c>
      <c r="E73" s="17" t="s">
        <v>197</v>
      </c>
      <c r="F73" s="18" t="s">
        <v>412</v>
      </c>
    </row>
    <row r="74" customFormat="false" ht="15" hidden="false" customHeight="false" outlineLevel="0" collapsed="false">
      <c r="A74" s="4" t="str">
        <f aca="false">B74&amp;"|"&amp;C74</f>
        <v>tdbR00000271 Met-CAU|72</v>
      </c>
      <c r="B74" s="4" t="s">
        <v>37</v>
      </c>
      <c r="C74" s="4" t="s">
        <v>495</v>
      </c>
      <c r="D74" s="4" t="n">
        <v>73</v>
      </c>
      <c r="E74" s="17" t="s">
        <v>414</v>
      </c>
      <c r="F74" s="18" t="s">
        <v>412</v>
      </c>
    </row>
    <row r="75" customFormat="false" ht="15" hidden="false" customHeight="false" outlineLevel="0" collapsed="false">
      <c r="A75" s="4" t="str">
        <f aca="false">B75&amp;"|"&amp;C75</f>
        <v>tdbR00000311 Pro-CGG|1</v>
      </c>
      <c r="B75" s="4" t="s">
        <v>38</v>
      </c>
      <c r="C75" s="4" t="s">
        <v>411</v>
      </c>
      <c r="D75" s="4" t="n">
        <v>1</v>
      </c>
      <c r="E75" s="17" t="s">
        <v>197</v>
      </c>
      <c r="F75" s="18" t="s">
        <v>412</v>
      </c>
    </row>
    <row r="76" customFormat="false" ht="15" hidden="false" customHeight="false" outlineLevel="0" collapsed="false">
      <c r="A76" s="4" t="str">
        <f aca="false">B76&amp;"|"&amp;C76</f>
        <v>tdbR00000311 Pro-CGG|2</v>
      </c>
      <c r="B76" s="4" t="s">
        <v>38</v>
      </c>
      <c r="C76" s="4" t="s">
        <v>413</v>
      </c>
      <c r="D76" s="4" t="n">
        <v>2</v>
      </c>
      <c r="E76" s="17" t="s">
        <v>197</v>
      </c>
      <c r="F76" s="18" t="s">
        <v>412</v>
      </c>
    </row>
    <row r="77" customFormat="false" ht="15" hidden="false" customHeight="false" outlineLevel="0" collapsed="false">
      <c r="A77" s="4" t="str">
        <f aca="false">B77&amp;"|"&amp;C77</f>
        <v>tdbR00000311 Pro-CGG|3</v>
      </c>
      <c r="B77" s="4" t="s">
        <v>38</v>
      </c>
      <c r="C77" s="4" t="s">
        <v>415</v>
      </c>
      <c r="D77" s="4" t="n">
        <v>3</v>
      </c>
      <c r="E77" s="17" t="s">
        <v>197</v>
      </c>
      <c r="F77" s="18" t="s">
        <v>412</v>
      </c>
    </row>
    <row r="78" customFormat="false" ht="15" hidden="false" customHeight="false" outlineLevel="0" collapsed="false">
      <c r="A78" s="4" t="str">
        <f aca="false">B78&amp;"|"&amp;C78</f>
        <v>tdbR00000311 Pro-CGG|4</v>
      </c>
      <c r="B78" s="4" t="s">
        <v>38</v>
      </c>
      <c r="C78" s="4" t="s">
        <v>416</v>
      </c>
      <c r="D78" s="4" t="n">
        <v>4</v>
      </c>
      <c r="E78" s="17" t="s">
        <v>414</v>
      </c>
      <c r="F78" s="18" t="s">
        <v>412</v>
      </c>
    </row>
    <row r="79" customFormat="false" ht="15" hidden="false" customHeight="false" outlineLevel="0" collapsed="false">
      <c r="A79" s="4" t="str">
        <f aca="false">B79&amp;"|"&amp;C79</f>
        <v>tdbR00000311 Pro-CGG|5</v>
      </c>
      <c r="B79" s="4" t="s">
        <v>38</v>
      </c>
      <c r="C79" s="4" t="s">
        <v>417</v>
      </c>
      <c r="D79" s="4" t="n">
        <v>5</v>
      </c>
      <c r="E79" s="17" t="s">
        <v>414</v>
      </c>
      <c r="F79" s="18" t="s">
        <v>412</v>
      </c>
    </row>
    <row r="80" customFormat="false" ht="15" hidden="false" customHeight="false" outlineLevel="0" collapsed="false">
      <c r="A80" s="4" t="str">
        <f aca="false">B80&amp;"|"&amp;C80</f>
        <v>tdbR00000311 Pro-CGG|6</v>
      </c>
      <c r="B80" s="4" t="s">
        <v>38</v>
      </c>
      <c r="C80" s="4" t="s">
        <v>418</v>
      </c>
      <c r="D80" s="4" t="n">
        <v>6</v>
      </c>
      <c r="E80" s="17" t="s">
        <v>197</v>
      </c>
      <c r="F80" s="18" t="s">
        <v>412</v>
      </c>
    </row>
    <row r="81" customFormat="false" ht="15" hidden="false" customHeight="false" outlineLevel="0" collapsed="false">
      <c r="A81" s="4" t="str">
        <f aca="false">B81&amp;"|"&amp;C81</f>
        <v>tdbR00000311 Pro-CGG|7</v>
      </c>
      <c r="B81" s="4" t="s">
        <v>38</v>
      </c>
      <c r="C81" s="4" t="s">
        <v>419</v>
      </c>
      <c r="D81" s="4" t="n">
        <v>7</v>
      </c>
      <c r="E81" s="17" t="s">
        <v>197</v>
      </c>
      <c r="F81" s="18" t="s">
        <v>412</v>
      </c>
    </row>
    <row r="82" customFormat="false" ht="15" hidden="false" customHeight="false" outlineLevel="0" collapsed="false">
      <c r="A82" s="4" t="str">
        <f aca="false">B82&amp;"|"&amp;C82</f>
        <v>tdbR00000311 Pro-CGG|8</v>
      </c>
      <c r="B82" s="4" t="s">
        <v>38</v>
      </c>
      <c r="C82" s="4" t="s">
        <v>420</v>
      </c>
      <c r="D82" s="4" t="n">
        <v>8</v>
      </c>
      <c r="E82" s="3" t="s">
        <v>259</v>
      </c>
      <c r="F82" s="4" t="s">
        <v>421</v>
      </c>
    </row>
    <row r="83" customFormat="false" ht="15" hidden="false" customHeight="false" outlineLevel="0" collapsed="false">
      <c r="A83" s="4" t="str">
        <f aca="false">B83&amp;"|"&amp;C83</f>
        <v>tdbR00000311 Pro-CGG|9</v>
      </c>
      <c r="B83" s="4" t="s">
        <v>38</v>
      </c>
      <c r="C83" s="4" t="s">
        <v>422</v>
      </c>
      <c r="D83" s="4" t="n">
        <v>9</v>
      </c>
      <c r="E83" s="3" t="s">
        <v>197</v>
      </c>
      <c r="F83" s="4" t="s">
        <v>423</v>
      </c>
    </row>
    <row r="84" customFormat="false" ht="15" hidden="false" customHeight="false" outlineLevel="0" collapsed="false">
      <c r="A84" s="4" t="str">
        <f aca="false">B84&amp;"|"&amp;C84</f>
        <v>tdbR00000311 Pro-CGG|10</v>
      </c>
      <c r="B84" s="4" t="s">
        <v>38</v>
      </c>
      <c r="C84" s="4" t="s">
        <v>424</v>
      </c>
      <c r="D84" s="4" t="n">
        <v>10</v>
      </c>
      <c r="E84" s="8" t="s">
        <v>197</v>
      </c>
      <c r="F84" s="7" t="s">
        <v>425</v>
      </c>
    </row>
    <row r="85" customFormat="false" ht="15" hidden="false" customHeight="false" outlineLevel="0" collapsed="false">
      <c r="A85" s="4" t="str">
        <f aca="false">B85&amp;"|"&amp;C85</f>
        <v>tdbR00000311 Pro-CGG|11</v>
      </c>
      <c r="B85" s="4" t="s">
        <v>38</v>
      </c>
      <c r="C85" s="4" t="s">
        <v>426</v>
      </c>
      <c r="D85" s="4" t="n">
        <v>11</v>
      </c>
      <c r="E85" s="8" t="s">
        <v>197</v>
      </c>
      <c r="F85" s="7" t="s">
        <v>425</v>
      </c>
    </row>
    <row r="86" customFormat="false" ht="15" hidden="false" customHeight="false" outlineLevel="0" collapsed="false">
      <c r="A86" s="4" t="str">
        <f aca="false">B86&amp;"|"&amp;C86</f>
        <v>tdbR00000311 Pro-CGG|12</v>
      </c>
      <c r="B86" s="4" t="s">
        <v>38</v>
      </c>
      <c r="C86" s="4" t="s">
        <v>427</v>
      </c>
      <c r="D86" s="4" t="n">
        <v>12</v>
      </c>
      <c r="E86" s="8" t="s">
        <v>197</v>
      </c>
      <c r="F86" s="7" t="s">
        <v>425</v>
      </c>
    </row>
    <row r="87" customFormat="false" ht="15" hidden="false" customHeight="false" outlineLevel="0" collapsed="false">
      <c r="A87" s="4" t="str">
        <f aca="false">B87&amp;"|"&amp;C87</f>
        <v>tdbR00000311 Pro-CGG|13</v>
      </c>
      <c r="B87" s="4" t="s">
        <v>38</v>
      </c>
      <c r="C87" s="4" t="s">
        <v>428</v>
      </c>
      <c r="D87" s="4" t="n">
        <v>13</v>
      </c>
      <c r="E87" s="8" t="s">
        <v>259</v>
      </c>
      <c r="F87" s="7" t="s">
        <v>425</v>
      </c>
    </row>
    <row r="88" customFormat="false" ht="15" hidden="false" customHeight="false" outlineLevel="0" collapsed="false">
      <c r="A88" s="4" t="str">
        <f aca="false">B88&amp;"|"&amp;C88</f>
        <v>tdbR00000311 Pro-CGG|14</v>
      </c>
      <c r="B88" s="4" t="s">
        <v>38</v>
      </c>
      <c r="C88" s="4" t="s">
        <v>429</v>
      </c>
      <c r="D88" s="4" t="n">
        <v>14</v>
      </c>
      <c r="E88" s="19" t="s">
        <v>246</v>
      </c>
      <c r="F88" s="20" t="s">
        <v>430</v>
      </c>
    </row>
    <row r="89" customFormat="false" ht="15" hidden="false" customHeight="false" outlineLevel="0" collapsed="false">
      <c r="A89" s="4" t="str">
        <f aca="false">B89&amp;"|"&amp;C89</f>
        <v>tdbR00000311 Pro-CGG|15</v>
      </c>
      <c r="B89" s="4" t="s">
        <v>38</v>
      </c>
      <c r="C89" s="4" t="s">
        <v>431</v>
      </c>
      <c r="D89" s="4" t="n">
        <v>15</v>
      </c>
      <c r="E89" s="19" t="s">
        <v>197</v>
      </c>
      <c r="F89" s="20" t="s">
        <v>430</v>
      </c>
    </row>
    <row r="90" customFormat="false" ht="15" hidden="false" customHeight="false" outlineLevel="0" collapsed="false">
      <c r="A90" s="4" t="str">
        <f aca="false">B90&amp;"|"&amp;C90</f>
        <v>tdbR00000311 Pro-CGG|16</v>
      </c>
      <c r="B90" s="4" t="s">
        <v>38</v>
      </c>
      <c r="C90" s="4" t="s">
        <v>432</v>
      </c>
      <c r="D90" s="4" t="n">
        <v>16</v>
      </c>
      <c r="E90" s="19" t="s">
        <v>414</v>
      </c>
      <c r="F90" s="20" t="s">
        <v>430</v>
      </c>
    </row>
    <row r="91" customFormat="false" ht="15" hidden="false" customHeight="false" outlineLevel="0" collapsed="false">
      <c r="A91" s="4" t="str">
        <f aca="false">B91&amp;"|"&amp;C91</f>
        <v>tdbR00000311 Pro-CGG|17</v>
      </c>
      <c r="B91" s="4" t="s">
        <v>38</v>
      </c>
      <c r="C91" s="4" t="s">
        <v>433</v>
      </c>
      <c r="D91" s="4" t="n">
        <v>17</v>
      </c>
      <c r="E91" s="19" t="s">
        <v>259</v>
      </c>
      <c r="F91" s="20" t="s">
        <v>430</v>
      </c>
    </row>
    <row r="92" customFormat="false" ht="15" hidden="false" customHeight="false" outlineLevel="0" collapsed="false">
      <c r="A92" s="4" t="str">
        <f aca="false">B92&amp;"|"&amp;C92</f>
        <v>tdbR00000311 Pro-CGG|17a</v>
      </c>
      <c r="B92" s="4" t="s">
        <v>38</v>
      </c>
      <c r="C92" s="4" t="s">
        <v>496</v>
      </c>
      <c r="D92" s="4" t="n">
        <v>18</v>
      </c>
      <c r="E92" s="19" t="s">
        <v>259</v>
      </c>
      <c r="F92" s="20" t="s">
        <v>430</v>
      </c>
    </row>
    <row r="93" customFormat="false" ht="15" hidden="false" customHeight="false" outlineLevel="0" collapsed="false">
      <c r="A93" s="4" t="str">
        <f aca="false">B93&amp;"|"&amp;C93</f>
        <v>tdbR00000311 Pro-CGG|18</v>
      </c>
      <c r="B93" s="4" t="s">
        <v>38</v>
      </c>
      <c r="C93" s="4" t="s">
        <v>434</v>
      </c>
      <c r="D93" s="4" t="n">
        <v>19</v>
      </c>
      <c r="E93" s="19" t="s">
        <v>197</v>
      </c>
      <c r="F93" s="20" t="s">
        <v>430</v>
      </c>
    </row>
    <row r="94" customFormat="false" ht="15" hidden="false" customHeight="false" outlineLevel="0" collapsed="false">
      <c r="A94" s="4" t="str">
        <f aca="false">B94&amp;"|"&amp;C94</f>
        <v>tdbR00000311 Pro-CGG|19</v>
      </c>
      <c r="B94" s="4" t="s">
        <v>38</v>
      </c>
      <c r="C94" s="4" t="s">
        <v>435</v>
      </c>
      <c r="D94" s="4" t="n">
        <v>20</v>
      </c>
      <c r="E94" s="19" t="s">
        <v>197</v>
      </c>
      <c r="F94" s="20" t="s">
        <v>430</v>
      </c>
    </row>
    <row r="95" customFormat="false" ht="15" hidden="false" customHeight="false" outlineLevel="0" collapsed="false">
      <c r="A95" s="4" t="str">
        <f aca="false">B95&amp;"|"&amp;C95</f>
        <v>tdbR00000311 Pro-CGG|20</v>
      </c>
      <c r="B95" s="4" t="s">
        <v>38</v>
      </c>
      <c r="C95" s="4" t="s">
        <v>436</v>
      </c>
      <c r="D95" s="4" t="n">
        <v>21</v>
      </c>
      <c r="E95" s="19" t="s">
        <v>259</v>
      </c>
      <c r="F95" s="20" t="s">
        <v>430</v>
      </c>
    </row>
    <row r="96" customFormat="false" ht="15" hidden="false" customHeight="false" outlineLevel="0" collapsed="false">
      <c r="A96" s="4" t="str">
        <f aca="false">B96&amp;"|"&amp;C96</f>
        <v>tdbR00000311 Pro-CGG|21</v>
      </c>
      <c r="B96" s="4" t="s">
        <v>38</v>
      </c>
      <c r="C96" s="4" t="s">
        <v>438</v>
      </c>
      <c r="D96" s="4" t="n">
        <v>22</v>
      </c>
      <c r="E96" s="19" t="s">
        <v>246</v>
      </c>
      <c r="F96" s="20" t="s">
        <v>430</v>
      </c>
    </row>
    <row r="97" customFormat="false" ht="15" hidden="false" customHeight="false" outlineLevel="0" collapsed="false">
      <c r="A97" s="4" t="str">
        <f aca="false">B97&amp;"|"&amp;C97</f>
        <v>tdbR00000311 Pro-CGG|22</v>
      </c>
      <c r="B97" s="4" t="s">
        <v>38</v>
      </c>
      <c r="C97" s="4" t="s">
        <v>439</v>
      </c>
      <c r="D97" s="4" t="n">
        <v>23</v>
      </c>
      <c r="E97" s="8" t="s">
        <v>259</v>
      </c>
      <c r="F97" s="7" t="s">
        <v>425</v>
      </c>
    </row>
    <row r="98" customFormat="false" ht="15" hidden="false" customHeight="false" outlineLevel="0" collapsed="false">
      <c r="A98" s="4" t="str">
        <f aca="false">B98&amp;"|"&amp;C98</f>
        <v>tdbR00000311 Pro-CGG|23</v>
      </c>
      <c r="B98" s="4" t="s">
        <v>38</v>
      </c>
      <c r="C98" s="4" t="s">
        <v>440</v>
      </c>
      <c r="D98" s="4" t="n">
        <v>24</v>
      </c>
      <c r="E98" s="8" t="s">
        <v>414</v>
      </c>
      <c r="F98" s="7" t="s">
        <v>425</v>
      </c>
    </row>
    <row r="99" customFormat="false" ht="15" hidden="false" customHeight="false" outlineLevel="0" collapsed="false">
      <c r="A99" s="4" t="str">
        <f aca="false">B99&amp;"|"&amp;C99</f>
        <v>tdbR00000311 Pro-CGG|24</v>
      </c>
      <c r="B99" s="4" t="s">
        <v>38</v>
      </c>
      <c r="C99" s="4" t="s">
        <v>441</v>
      </c>
      <c r="D99" s="4" t="n">
        <v>25</v>
      </c>
      <c r="E99" s="8" t="s">
        <v>414</v>
      </c>
      <c r="F99" s="7" t="s">
        <v>425</v>
      </c>
    </row>
    <row r="100" customFormat="false" ht="15" hidden="false" customHeight="false" outlineLevel="0" collapsed="false">
      <c r="A100" s="4" t="str">
        <f aca="false">B100&amp;"|"&amp;C100</f>
        <v>tdbR00000311 Pro-CGG|25</v>
      </c>
      <c r="B100" s="4" t="s">
        <v>38</v>
      </c>
      <c r="C100" s="4" t="s">
        <v>442</v>
      </c>
      <c r="D100" s="4" t="n">
        <v>26</v>
      </c>
      <c r="E100" s="8" t="s">
        <v>259</v>
      </c>
      <c r="F100" s="7" t="s">
        <v>425</v>
      </c>
    </row>
    <row r="101" customFormat="false" ht="15" hidden="false" customHeight="false" outlineLevel="0" collapsed="false">
      <c r="A101" s="4" t="str">
        <f aca="false">B101&amp;"|"&amp;C101</f>
        <v>tdbR00000311 Pro-CGG|26</v>
      </c>
      <c r="B101" s="4" t="s">
        <v>38</v>
      </c>
      <c r="C101" s="4" t="s">
        <v>443</v>
      </c>
      <c r="D101" s="4" t="n">
        <v>27</v>
      </c>
      <c r="E101" s="3" t="s">
        <v>259</v>
      </c>
      <c r="F101" s="4" t="s">
        <v>444</v>
      </c>
    </row>
    <row r="102" customFormat="false" ht="15" hidden="false" customHeight="false" outlineLevel="0" collapsed="false">
      <c r="A102" s="4" t="str">
        <f aca="false">B102&amp;"|"&amp;C102</f>
        <v>tdbR00000311 Pro-CGG|27</v>
      </c>
      <c r="B102" s="4" t="s">
        <v>38</v>
      </c>
      <c r="C102" s="4" t="s">
        <v>445</v>
      </c>
      <c r="D102" s="4" t="n">
        <v>28</v>
      </c>
      <c r="E102" s="21" t="s">
        <v>414</v>
      </c>
      <c r="F102" s="22" t="s">
        <v>446</v>
      </c>
    </row>
    <row r="103" customFormat="false" ht="15" hidden="false" customHeight="false" outlineLevel="0" collapsed="false">
      <c r="A103" s="4" t="str">
        <f aca="false">B103&amp;"|"&amp;C103</f>
        <v>tdbR00000311 Pro-CGG|28</v>
      </c>
      <c r="B103" s="4" t="s">
        <v>38</v>
      </c>
      <c r="C103" s="4" t="s">
        <v>447</v>
      </c>
      <c r="D103" s="4" t="n">
        <v>29</v>
      </c>
      <c r="E103" s="21" t="s">
        <v>197</v>
      </c>
      <c r="F103" s="22" t="s">
        <v>446</v>
      </c>
    </row>
    <row r="104" customFormat="false" ht="15" hidden="false" customHeight="false" outlineLevel="0" collapsed="false">
      <c r="A104" s="4" t="str">
        <f aca="false">B104&amp;"|"&amp;C104</f>
        <v>tdbR00000311 Pro-CGG|29</v>
      </c>
      <c r="B104" s="4" t="s">
        <v>38</v>
      </c>
      <c r="C104" s="4" t="s">
        <v>448</v>
      </c>
      <c r="D104" s="4" t="n">
        <v>30</v>
      </c>
      <c r="E104" s="21" t="s">
        <v>197</v>
      </c>
      <c r="F104" s="22" t="s">
        <v>446</v>
      </c>
    </row>
    <row r="105" customFormat="false" ht="15" hidden="false" customHeight="false" outlineLevel="0" collapsed="false">
      <c r="A105" s="4" t="str">
        <f aca="false">B105&amp;"|"&amp;C105</f>
        <v>tdbR00000311 Pro-CGG|30</v>
      </c>
      <c r="B105" s="4" t="s">
        <v>38</v>
      </c>
      <c r="C105" s="4" t="s">
        <v>449</v>
      </c>
      <c r="D105" s="4" t="n">
        <v>31</v>
      </c>
      <c r="E105" s="21" t="s">
        <v>414</v>
      </c>
      <c r="F105" s="22" t="s">
        <v>446</v>
      </c>
    </row>
    <row r="106" customFormat="false" ht="15" hidden="false" customHeight="false" outlineLevel="0" collapsed="false">
      <c r="A106" s="4" t="str">
        <f aca="false">B106&amp;"|"&amp;C106</f>
        <v>tdbR00000311 Pro-CGG|31</v>
      </c>
      <c r="B106" s="4" t="s">
        <v>38</v>
      </c>
      <c r="C106" s="4" t="s">
        <v>450</v>
      </c>
      <c r="D106" s="4" t="n">
        <v>32</v>
      </c>
      <c r="E106" s="21" t="s">
        <v>414</v>
      </c>
      <c r="F106" s="22" t="s">
        <v>446</v>
      </c>
    </row>
    <row r="107" customFormat="false" ht="15" hidden="false" customHeight="false" outlineLevel="0" collapsed="false">
      <c r="A107" s="4" t="str">
        <f aca="false">B107&amp;"|"&amp;C107</f>
        <v>tdbR00000311 Pro-CGG|32</v>
      </c>
      <c r="B107" s="4" t="s">
        <v>38</v>
      </c>
      <c r="C107" s="4" t="s">
        <v>451</v>
      </c>
      <c r="D107" s="4" t="n">
        <v>33</v>
      </c>
      <c r="E107" s="19" t="s">
        <v>259</v>
      </c>
      <c r="F107" s="20" t="s">
        <v>452</v>
      </c>
    </row>
    <row r="108" customFormat="false" ht="15" hidden="false" customHeight="false" outlineLevel="0" collapsed="false">
      <c r="A108" s="4" t="str">
        <f aca="false">B108&amp;"|"&amp;C108</f>
        <v>tdbR00000311 Pro-CGG|33</v>
      </c>
      <c r="B108" s="4" t="s">
        <v>38</v>
      </c>
      <c r="C108" s="4" t="s">
        <v>453</v>
      </c>
      <c r="D108" s="4" t="n">
        <v>34</v>
      </c>
      <c r="E108" s="19" t="s">
        <v>259</v>
      </c>
      <c r="F108" s="20" t="s">
        <v>452</v>
      </c>
    </row>
    <row r="109" customFormat="false" ht="15" hidden="false" customHeight="false" outlineLevel="0" collapsed="false">
      <c r="A109" s="4" t="str">
        <f aca="false">B109&amp;"|"&amp;C109</f>
        <v>tdbR00000311 Pro-CGG|34</v>
      </c>
      <c r="B109" s="4" t="s">
        <v>38</v>
      </c>
      <c r="C109" s="4" t="s">
        <v>454</v>
      </c>
      <c r="D109" s="4" t="n">
        <v>35</v>
      </c>
      <c r="E109" s="19" t="s">
        <v>414</v>
      </c>
      <c r="F109" s="20" t="s">
        <v>452</v>
      </c>
    </row>
    <row r="110" customFormat="false" ht="15" hidden="false" customHeight="false" outlineLevel="0" collapsed="false">
      <c r="A110" s="4" t="str">
        <f aca="false">B110&amp;"|"&amp;C110</f>
        <v>tdbR00000311 Pro-CGG|35</v>
      </c>
      <c r="B110" s="4" t="s">
        <v>38</v>
      </c>
      <c r="C110" s="4" t="s">
        <v>455</v>
      </c>
      <c r="D110" s="4" t="n">
        <v>36</v>
      </c>
      <c r="E110" s="19" t="s">
        <v>197</v>
      </c>
      <c r="F110" s="20" t="s">
        <v>452</v>
      </c>
    </row>
    <row r="111" customFormat="false" ht="15" hidden="false" customHeight="false" outlineLevel="0" collapsed="false">
      <c r="A111" s="4" t="str">
        <f aca="false">B111&amp;"|"&amp;C111</f>
        <v>tdbR00000311 Pro-CGG|36</v>
      </c>
      <c r="B111" s="4" t="s">
        <v>38</v>
      </c>
      <c r="C111" s="4" t="s">
        <v>456</v>
      </c>
      <c r="D111" s="4" t="n">
        <v>37</v>
      </c>
      <c r="E111" s="19" t="s">
        <v>197</v>
      </c>
      <c r="F111" s="20" t="s">
        <v>452</v>
      </c>
    </row>
    <row r="112" customFormat="false" ht="15" hidden="false" customHeight="false" outlineLevel="0" collapsed="false">
      <c r="A112" s="4" t="str">
        <f aca="false">B112&amp;"|"&amp;C112</f>
        <v>tdbR00000311 Pro-CGG|37</v>
      </c>
      <c r="B112" s="4" t="s">
        <v>38</v>
      </c>
      <c r="C112" s="4" t="s">
        <v>457</v>
      </c>
      <c r="D112" s="4" t="n">
        <v>38</v>
      </c>
      <c r="E112" s="19" t="s">
        <v>197</v>
      </c>
      <c r="F112" s="20" t="s">
        <v>452</v>
      </c>
    </row>
    <row r="113" customFormat="false" ht="15" hidden="false" customHeight="false" outlineLevel="0" collapsed="false">
      <c r="A113" s="4" t="str">
        <f aca="false">B113&amp;"|"&amp;C113</f>
        <v>tdbR00000311 Pro-CGG|38</v>
      </c>
      <c r="B113" s="4" t="s">
        <v>38</v>
      </c>
      <c r="C113" s="4" t="s">
        <v>458</v>
      </c>
      <c r="D113" s="4" t="n">
        <v>39</v>
      </c>
      <c r="E113" s="19" t="s">
        <v>259</v>
      </c>
      <c r="F113" s="20" t="s">
        <v>452</v>
      </c>
    </row>
    <row r="114" customFormat="false" ht="15" hidden="false" customHeight="false" outlineLevel="0" collapsed="false">
      <c r="A114" s="4" t="str">
        <f aca="false">B114&amp;"|"&amp;C114</f>
        <v>tdbR00000311 Pro-CGG|39</v>
      </c>
      <c r="B114" s="4" t="s">
        <v>38</v>
      </c>
      <c r="C114" s="4" t="s">
        <v>459</v>
      </c>
      <c r="D114" s="4" t="n">
        <v>40</v>
      </c>
      <c r="E114" s="21" t="s">
        <v>197</v>
      </c>
      <c r="F114" s="22" t="s">
        <v>446</v>
      </c>
    </row>
    <row r="115" customFormat="false" ht="15" hidden="false" customHeight="false" outlineLevel="0" collapsed="false">
      <c r="A115" s="4" t="str">
        <f aca="false">B115&amp;"|"&amp;C115</f>
        <v>tdbR00000311 Pro-CGG|40</v>
      </c>
      <c r="B115" s="4" t="s">
        <v>38</v>
      </c>
      <c r="C115" s="4" t="s">
        <v>460</v>
      </c>
      <c r="D115" s="4" t="n">
        <v>41</v>
      </c>
      <c r="E115" s="21" t="s">
        <v>197</v>
      </c>
      <c r="F115" s="22" t="s">
        <v>446</v>
      </c>
    </row>
    <row r="116" customFormat="false" ht="15" hidden="false" customHeight="false" outlineLevel="0" collapsed="false">
      <c r="A116" s="4" t="str">
        <f aca="false">B116&amp;"|"&amp;C116</f>
        <v>tdbR00000311 Pro-CGG|41</v>
      </c>
      <c r="B116" s="4" t="s">
        <v>38</v>
      </c>
      <c r="C116" s="4" t="s">
        <v>461</v>
      </c>
      <c r="D116" s="4" t="n">
        <v>42</v>
      </c>
      <c r="E116" s="21" t="s">
        <v>414</v>
      </c>
      <c r="F116" s="22" t="s">
        <v>446</v>
      </c>
    </row>
    <row r="117" customFormat="false" ht="15" hidden="false" customHeight="false" outlineLevel="0" collapsed="false">
      <c r="A117" s="4" t="str">
        <f aca="false">B117&amp;"|"&amp;C117</f>
        <v>tdbR00000311 Pro-CGG|42</v>
      </c>
      <c r="B117" s="4" t="s">
        <v>38</v>
      </c>
      <c r="C117" s="4" t="s">
        <v>462</v>
      </c>
      <c r="D117" s="4" t="n">
        <v>43</v>
      </c>
      <c r="E117" s="21" t="s">
        <v>414</v>
      </c>
      <c r="F117" s="22" t="s">
        <v>446</v>
      </c>
    </row>
    <row r="118" customFormat="false" ht="15" hidden="false" customHeight="false" outlineLevel="0" collapsed="false">
      <c r="A118" s="4" t="str">
        <f aca="false">B118&amp;"|"&amp;C118</f>
        <v>tdbR00000311 Pro-CGG|43</v>
      </c>
      <c r="B118" s="4" t="s">
        <v>38</v>
      </c>
      <c r="C118" s="4" t="s">
        <v>463</v>
      </c>
      <c r="D118" s="4" t="n">
        <v>44</v>
      </c>
      <c r="E118" s="21" t="s">
        <v>197</v>
      </c>
      <c r="F118" s="22" t="s">
        <v>446</v>
      </c>
    </row>
    <row r="119" customFormat="false" ht="15" hidden="false" customHeight="false" outlineLevel="0" collapsed="false">
      <c r="A119" s="4" t="str">
        <f aca="false">B119&amp;"|"&amp;C119</f>
        <v>tdbR00000311 Pro-CGG|44</v>
      </c>
      <c r="B119" s="4" t="s">
        <v>38</v>
      </c>
      <c r="C119" s="4" t="s">
        <v>464</v>
      </c>
      <c r="D119" s="4" t="n">
        <v>45</v>
      </c>
      <c r="E119" s="19" t="s">
        <v>259</v>
      </c>
      <c r="F119" s="20" t="s">
        <v>465</v>
      </c>
    </row>
    <row r="120" customFormat="false" ht="15" hidden="false" customHeight="false" outlineLevel="0" collapsed="false">
      <c r="A120" s="4" t="str">
        <f aca="false">B120&amp;"|"&amp;C120</f>
        <v>tdbR00000311 Pro-CGG|45</v>
      </c>
      <c r="B120" s="4" t="s">
        <v>38</v>
      </c>
      <c r="C120" s="4" t="s">
        <v>466</v>
      </c>
      <c r="D120" s="4" t="n">
        <v>46</v>
      </c>
      <c r="E120" s="19" t="s">
        <v>246</v>
      </c>
      <c r="F120" s="20" t="s">
        <v>465</v>
      </c>
    </row>
    <row r="121" customFormat="false" ht="15" hidden="false" customHeight="false" outlineLevel="0" collapsed="false">
      <c r="A121" s="4" t="str">
        <f aca="false">B121&amp;"|"&amp;C121</f>
        <v>tdbR00000311 Pro-CGG|46</v>
      </c>
      <c r="B121" s="4" t="s">
        <v>38</v>
      </c>
      <c r="C121" s="4" t="s">
        <v>467</v>
      </c>
      <c r="D121" s="4" t="n">
        <v>47</v>
      </c>
      <c r="E121" s="19" t="s">
        <v>246</v>
      </c>
      <c r="F121" s="20" t="s">
        <v>465</v>
      </c>
    </row>
    <row r="122" customFormat="false" ht="15" hidden="false" customHeight="false" outlineLevel="0" collapsed="false">
      <c r="A122" s="4" t="str">
        <f aca="false">B122&amp;"|"&amp;C122</f>
        <v>tdbR00000311 Pro-CGG|48</v>
      </c>
      <c r="B122" s="4" t="s">
        <v>38</v>
      </c>
      <c r="C122" s="4" t="s">
        <v>469</v>
      </c>
      <c r="D122" s="4" t="n">
        <v>48</v>
      </c>
      <c r="E122" s="19" t="s">
        <v>414</v>
      </c>
      <c r="F122" s="20" t="s">
        <v>465</v>
      </c>
    </row>
    <row r="123" customFormat="false" ht="15" hidden="false" customHeight="false" outlineLevel="0" collapsed="false">
      <c r="A123" s="4" t="str">
        <f aca="false">B123&amp;"|"&amp;C123</f>
        <v>tdbR00000311 Pro-CGG|49</v>
      </c>
      <c r="B123" s="4" t="s">
        <v>38</v>
      </c>
      <c r="C123" s="4" t="s">
        <v>470</v>
      </c>
      <c r="D123" s="4" t="n">
        <v>49</v>
      </c>
      <c r="E123" s="23" t="s">
        <v>414</v>
      </c>
      <c r="F123" s="10" t="s">
        <v>471</v>
      </c>
    </row>
    <row r="124" customFormat="false" ht="15" hidden="false" customHeight="false" outlineLevel="0" collapsed="false">
      <c r="A124" s="4" t="str">
        <f aca="false">B124&amp;"|"&amp;C124</f>
        <v>tdbR00000311 Pro-CGG|50</v>
      </c>
      <c r="B124" s="4" t="s">
        <v>38</v>
      </c>
      <c r="C124" s="4" t="s">
        <v>472</v>
      </c>
      <c r="D124" s="4" t="n">
        <v>50</v>
      </c>
      <c r="E124" s="23" t="s">
        <v>259</v>
      </c>
      <c r="F124" s="10" t="s">
        <v>471</v>
      </c>
    </row>
    <row r="125" customFormat="false" ht="15" hidden="false" customHeight="false" outlineLevel="0" collapsed="false">
      <c r="A125" s="4" t="str">
        <f aca="false">B125&amp;"|"&amp;C125</f>
        <v>tdbR00000311 Pro-CGG|51</v>
      </c>
      <c r="B125" s="4" t="s">
        <v>38</v>
      </c>
      <c r="C125" s="4" t="s">
        <v>473</v>
      </c>
      <c r="D125" s="4" t="n">
        <v>51</v>
      </c>
      <c r="E125" s="23" t="s">
        <v>414</v>
      </c>
      <c r="F125" s="10" t="s">
        <v>471</v>
      </c>
    </row>
    <row r="126" customFormat="false" ht="15" hidden="false" customHeight="false" outlineLevel="0" collapsed="false">
      <c r="A126" s="4" t="str">
        <f aca="false">B126&amp;"|"&amp;C126</f>
        <v>tdbR00000311 Pro-CGG|52</v>
      </c>
      <c r="B126" s="4" t="s">
        <v>38</v>
      </c>
      <c r="C126" s="4" t="s">
        <v>474</v>
      </c>
      <c r="D126" s="4" t="n">
        <v>52</v>
      </c>
      <c r="E126" s="23" t="s">
        <v>246</v>
      </c>
      <c r="F126" s="10" t="s">
        <v>471</v>
      </c>
    </row>
    <row r="127" customFormat="false" ht="15" hidden="false" customHeight="false" outlineLevel="0" collapsed="false">
      <c r="A127" s="4" t="str">
        <f aca="false">B127&amp;"|"&amp;C127</f>
        <v>tdbR00000311 Pro-CGG|53</v>
      </c>
      <c r="B127" s="4" t="s">
        <v>38</v>
      </c>
      <c r="C127" s="4" t="s">
        <v>475</v>
      </c>
      <c r="D127" s="4" t="n">
        <v>53</v>
      </c>
      <c r="E127" s="23" t="s">
        <v>197</v>
      </c>
      <c r="F127" s="10" t="s">
        <v>471</v>
      </c>
    </row>
    <row r="128" customFormat="false" ht="15" hidden="false" customHeight="false" outlineLevel="0" collapsed="false">
      <c r="A128" s="4" t="str">
        <f aca="false">B128&amp;"|"&amp;C128</f>
        <v>tdbR00000311 Pro-CGG|54</v>
      </c>
      <c r="B128" s="4" t="s">
        <v>38</v>
      </c>
      <c r="C128" s="4" t="s">
        <v>476</v>
      </c>
      <c r="D128" s="4" t="n">
        <v>54</v>
      </c>
      <c r="E128" s="19" t="s">
        <v>259</v>
      </c>
      <c r="F128" s="20" t="s">
        <v>477</v>
      </c>
    </row>
    <row r="129" customFormat="false" ht="15" hidden="false" customHeight="false" outlineLevel="0" collapsed="false">
      <c r="A129" s="4" t="str">
        <f aca="false">B129&amp;"|"&amp;C129</f>
        <v>tdbR00000311 Pro-CGG|55</v>
      </c>
      <c r="B129" s="4" t="s">
        <v>38</v>
      </c>
      <c r="C129" s="4" t="s">
        <v>478</v>
      </c>
      <c r="D129" s="4" t="n">
        <v>55</v>
      </c>
      <c r="E129" s="19" t="s">
        <v>259</v>
      </c>
      <c r="F129" s="20" t="s">
        <v>477</v>
      </c>
    </row>
    <row r="130" customFormat="false" ht="15" hidden="false" customHeight="false" outlineLevel="0" collapsed="false">
      <c r="A130" s="4" t="str">
        <f aca="false">B130&amp;"|"&amp;C130</f>
        <v>tdbR00000311 Pro-CGG|56</v>
      </c>
      <c r="B130" s="4" t="s">
        <v>38</v>
      </c>
      <c r="C130" s="4" t="s">
        <v>479</v>
      </c>
      <c r="D130" s="4" t="n">
        <v>56</v>
      </c>
      <c r="E130" s="19" t="s">
        <v>414</v>
      </c>
      <c r="F130" s="20" t="s">
        <v>477</v>
      </c>
    </row>
    <row r="131" customFormat="false" ht="15" hidden="false" customHeight="false" outlineLevel="0" collapsed="false">
      <c r="A131" s="4" t="str">
        <f aca="false">B131&amp;"|"&amp;C131</f>
        <v>tdbR00000311 Pro-CGG|57</v>
      </c>
      <c r="B131" s="4" t="s">
        <v>38</v>
      </c>
      <c r="C131" s="4" t="s">
        <v>480</v>
      </c>
      <c r="D131" s="4" t="n">
        <v>57</v>
      </c>
      <c r="E131" s="19" t="s">
        <v>197</v>
      </c>
      <c r="F131" s="20" t="s">
        <v>477</v>
      </c>
    </row>
    <row r="132" customFormat="false" ht="15" hidden="false" customHeight="false" outlineLevel="0" collapsed="false">
      <c r="A132" s="4" t="str">
        <f aca="false">B132&amp;"|"&amp;C132</f>
        <v>tdbR00000311 Pro-CGG|58</v>
      </c>
      <c r="B132" s="4" t="s">
        <v>38</v>
      </c>
      <c r="C132" s="4" t="s">
        <v>481</v>
      </c>
      <c r="D132" s="4" t="n">
        <v>58</v>
      </c>
      <c r="E132" s="19" t="s">
        <v>246</v>
      </c>
      <c r="F132" s="20" t="s">
        <v>477</v>
      </c>
    </row>
    <row r="133" customFormat="false" ht="15" hidden="false" customHeight="false" outlineLevel="0" collapsed="false">
      <c r="A133" s="4" t="str">
        <f aca="false">B133&amp;"|"&amp;C133</f>
        <v>tdbR00000311 Pro-CGG|59</v>
      </c>
      <c r="B133" s="4" t="s">
        <v>38</v>
      </c>
      <c r="C133" s="4" t="s">
        <v>482</v>
      </c>
      <c r="D133" s="4" t="n">
        <v>59</v>
      </c>
      <c r="E133" s="19" t="s">
        <v>246</v>
      </c>
      <c r="F133" s="20" t="s">
        <v>477</v>
      </c>
    </row>
    <row r="134" customFormat="false" ht="15" hidden="false" customHeight="false" outlineLevel="0" collapsed="false">
      <c r="A134" s="4" t="str">
        <f aca="false">B134&amp;"|"&amp;C134</f>
        <v>tdbR00000311 Pro-CGG|60</v>
      </c>
      <c r="B134" s="4" t="s">
        <v>38</v>
      </c>
      <c r="C134" s="4" t="s">
        <v>483</v>
      </c>
      <c r="D134" s="4" t="n">
        <v>60</v>
      </c>
      <c r="E134" s="19" t="s">
        <v>259</v>
      </c>
      <c r="F134" s="20" t="s">
        <v>477</v>
      </c>
    </row>
    <row r="135" customFormat="false" ht="15" hidden="false" customHeight="false" outlineLevel="0" collapsed="false">
      <c r="A135" s="4" t="str">
        <f aca="false">B135&amp;"|"&amp;C135</f>
        <v>tdbR00000311 Pro-CGG|61</v>
      </c>
      <c r="B135" s="4" t="s">
        <v>38</v>
      </c>
      <c r="C135" s="4" t="s">
        <v>484</v>
      </c>
      <c r="D135" s="4" t="n">
        <v>61</v>
      </c>
      <c r="E135" s="23" t="s">
        <v>414</v>
      </c>
      <c r="F135" s="10" t="s">
        <v>471</v>
      </c>
    </row>
    <row r="136" customFormat="false" ht="15" hidden="false" customHeight="false" outlineLevel="0" collapsed="false">
      <c r="A136" s="4" t="str">
        <f aca="false">B136&amp;"|"&amp;C136</f>
        <v>tdbR00000311 Pro-CGG|62</v>
      </c>
      <c r="B136" s="4" t="s">
        <v>38</v>
      </c>
      <c r="C136" s="4" t="s">
        <v>485</v>
      </c>
      <c r="D136" s="4" t="n">
        <v>62</v>
      </c>
      <c r="E136" s="23" t="s">
        <v>259</v>
      </c>
      <c r="F136" s="10" t="s">
        <v>471</v>
      </c>
    </row>
    <row r="137" customFormat="false" ht="15" hidden="false" customHeight="false" outlineLevel="0" collapsed="false">
      <c r="A137" s="4" t="str">
        <f aca="false">B137&amp;"|"&amp;C137</f>
        <v>tdbR00000311 Pro-CGG|63</v>
      </c>
      <c r="B137" s="4" t="s">
        <v>38</v>
      </c>
      <c r="C137" s="4" t="s">
        <v>486</v>
      </c>
      <c r="D137" s="4" t="n">
        <v>63</v>
      </c>
      <c r="E137" s="23" t="s">
        <v>197</v>
      </c>
      <c r="F137" s="10" t="s">
        <v>471</v>
      </c>
    </row>
    <row r="138" customFormat="false" ht="15" hidden="false" customHeight="false" outlineLevel="0" collapsed="false">
      <c r="A138" s="4" t="str">
        <f aca="false">B138&amp;"|"&amp;C138</f>
        <v>tdbR00000311 Pro-CGG|64</v>
      </c>
      <c r="B138" s="4" t="s">
        <v>38</v>
      </c>
      <c r="C138" s="4" t="s">
        <v>487</v>
      </c>
      <c r="D138" s="4" t="n">
        <v>64</v>
      </c>
      <c r="E138" s="23" t="s">
        <v>246</v>
      </c>
      <c r="F138" s="10" t="s">
        <v>471</v>
      </c>
    </row>
    <row r="139" customFormat="false" ht="15" hidden="false" customHeight="false" outlineLevel="0" collapsed="false">
      <c r="A139" s="4" t="str">
        <f aca="false">B139&amp;"|"&amp;C139</f>
        <v>tdbR00000311 Pro-CGG|65</v>
      </c>
      <c r="B139" s="4" t="s">
        <v>38</v>
      </c>
      <c r="C139" s="4" t="s">
        <v>488</v>
      </c>
      <c r="D139" s="4" t="n">
        <v>65</v>
      </c>
      <c r="E139" s="23" t="s">
        <v>197</v>
      </c>
      <c r="F139" s="10" t="s">
        <v>471</v>
      </c>
    </row>
    <row r="140" customFormat="false" ht="15" hidden="false" customHeight="false" outlineLevel="0" collapsed="false">
      <c r="A140" s="4" t="str">
        <f aca="false">B140&amp;"|"&amp;C140</f>
        <v>tdbR00000311 Pro-CGG|66</v>
      </c>
      <c r="B140" s="4" t="s">
        <v>38</v>
      </c>
      <c r="C140" s="4" t="s">
        <v>489</v>
      </c>
      <c r="D140" s="4" t="n">
        <v>66</v>
      </c>
      <c r="E140" s="17" t="s">
        <v>414</v>
      </c>
      <c r="F140" s="18" t="s">
        <v>412</v>
      </c>
    </row>
    <row r="141" customFormat="false" ht="15" hidden="false" customHeight="false" outlineLevel="0" collapsed="false">
      <c r="A141" s="4" t="str">
        <f aca="false">B141&amp;"|"&amp;C141</f>
        <v>tdbR00000311 Pro-CGG|67</v>
      </c>
      <c r="B141" s="4" t="s">
        <v>38</v>
      </c>
      <c r="C141" s="4" t="s">
        <v>490</v>
      </c>
      <c r="D141" s="4" t="n">
        <v>67</v>
      </c>
      <c r="E141" s="17" t="s">
        <v>414</v>
      </c>
      <c r="F141" s="18" t="s">
        <v>412</v>
      </c>
    </row>
    <row r="142" customFormat="false" ht="15" hidden="false" customHeight="false" outlineLevel="0" collapsed="false">
      <c r="A142" s="4" t="str">
        <f aca="false">B142&amp;"|"&amp;C142</f>
        <v>tdbR00000311 Pro-CGG|68</v>
      </c>
      <c r="B142" s="4" t="s">
        <v>38</v>
      </c>
      <c r="C142" s="4" t="s">
        <v>491</v>
      </c>
      <c r="D142" s="4" t="n">
        <v>68</v>
      </c>
      <c r="E142" s="17" t="s">
        <v>197</v>
      </c>
      <c r="F142" s="18" t="s">
        <v>412</v>
      </c>
    </row>
    <row r="143" customFormat="false" ht="15" hidden="false" customHeight="false" outlineLevel="0" collapsed="false">
      <c r="A143" s="4" t="str">
        <f aca="false">B143&amp;"|"&amp;C143</f>
        <v>tdbR00000311 Pro-CGG|69</v>
      </c>
      <c r="B143" s="4" t="s">
        <v>38</v>
      </c>
      <c r="C143" s="4" t="s">
        <v>492</v>
      </c>
      <c r="D143" s="4" t="n">
        <v>69</v>
      </c>
      <c r="E143" s="17" t="s">
        <v>197</v>
      </c>
      <c r="F143" s="18" t="s">
        <v>412</v>
      </c>
    </row>
    <row r="144" customFormat="false" ht="15" hidden="false" customHeight="false" outlineLevel="0" collapsed="false">
      <c r="A144" s="4" t="str">
        <f aca="false">B144&amp;"|"&amp;C144</f>
        <v>tdbR00000311 Pro-CGG|70</v>
      </c>
      <c r="B144" s="4" t="s">
        <v>38</v>
      </c>
      <c r="C144" s="4" t="s">
        <v>493</v>
      </c>
      <c r="D144" s="4" t="n">
        <v>70</v>
      </c>
      <c r="E144" s="17" t="s">
        <v>414</v>
      </c>
      <c r="F144" s="18" t="s">
        <v>412</v>
      </c>
    </row>
    <row r="145" customFormat="false" ht="15" hidden="false" customHeight="false" outlineLevel="0" collapsed="false">
      <c r="A145" s="4" t="str">
        <f aca="false">B145&amp;"|"&amp;C145</f>
        <v>tdbR00000311 Pro-CGG|71</v>
      </c>
      <c r="B145" s="4" t="s">
        <v>38</v>
      </c>
      <c r="C145" s="4" t="s">
        <v>494</v>
      </c>
      <c r="D145" s="4" t="n">
        <v>71</v>
      </c>
      <c r="E145" s="17" t="s">
        <v>414</v>
      </c>
      <c r="F145" s="18" t="s">
        <v>412</v>
      </c>
    </row>
    <row r="146" customFormat="false" ht="15" hidden="false" customHeight="false" outlineLevel="0" collapsed="false">
      <c r="A146" s="4" t="str">
        <f aca="false">B146&amp;"|"&amp;C146</f>
        <v>tdbR00000311 Pro-CGG|72</v>
      </c>
      <c r="B146" s="4" t="s">
        <v>38</v>
      </c>
      <c r="C146" s="4" t="s">
        <v>495</v>
      </c>
      <c r="D146" s="4" t="n">
        <v>72</v>
      </c>
      <c r="E146" s="17" t="s">
        <v>414</v>
      </c>
      <c r="F146" s="18" t="s">
        <v>412</v>
      </c>
    </row>
    <row r="147" customFormat="false" ht="15" hidden="false" customHeight="false" outlineLevel="0" collapsed="false">
      <c r="A147" s="4" t="str">
        <f aca="false">B147&amp;"|"&amp;C147</f>
        <v>tdbR00000500 Ile-CAU|1</v>
      </c>
      <c r="B147" s="4" t="s">
        <v>39</v>
      </c>
      <c r="C147" s="4" t="s">
        <v>411</v>
      </c>
      <c r="D147" s="4" t="n">
        <v>1</v>
      </c>
      <c r="E147" s="17" t="s">
        <v>246</v>
      </c>
      <c r="F147" s="18" t="s">
        <v>412</v>
      </c>
    </row>
    <row r="148" customFormat="false" ht="15" hidden="false" customHeight="false" outlineLevel="0" collapsed="false">
      <c r="A148" s="4" t="str">
        <f aca="false">B148&amp;"|"&amp;C148</f>
        <v>tdbR00000500 Ile-CAU|2</v>
      </c>
      <c r="B148" s="4" t="s">
        <v>39</v>
      </c>
      <c r="C148" s="4" t="s">
        <v>413</v>
      </c>
      <c r="D148" s="4" t="n">
        <v>2</v>
      </c>
      <c r="E148" s="17" t="s">
        <v>197</v>
      </c>
      <c r="F148" s="18" t="s">
        <v>412</v>
      </c>
    </row>
    <row r="149" customFormat="false" ht="15" hidden="false" customHeight="false" outlineLevel="0" collapsed="false">
      <c r="A149" s="4" t="str">
        <f aca="false">B149&amp;"|"&amp;C149</f>
        <v>tdbR00000500 Ile-CAU|3</v>
      </c>
      <c r="B149" s="4" t="s">
        <v>39</v>
      </c>
      <c r="C149" s="4" t="s">
        <v>415</v>
      </c>
      <c r="D149" s="4" t="n">
        <v>3</v>
      </c>
      <c r="E149" s="17" t="s">
        <v>414</v>
      </c>
      <c r="F149" s="18" t="s">
        <v>412</v>
      </c>
    </row>
    <row r="150" customFormat="false" ht="15" hidden="false" customHeight="false" outlineLevel="0" collapsed="false">
      <c r="A150" s="4" t="str">
        <f aca="false">B150&amp;"|"&amp;C150</f>
        <v>tdbR00000500 Ile-CAU|4</v>
      </c>
      <c r="B150" s="4" t="s">
        <v>39</v>
      </c>
      <c r="C150" s="4" t="s">
        <v>416</v>
      </c>
      <c r="D150" s="4" t="n">
        <v>4</v>
      </c>
      <c r="E150" s="17" t="s">
        <v>197</v>
      </c>
      <c r="F150" s="18" t="s">
        <v>412</v>
      </c>
    </row>
    <row r="151" customFormat="false" ht="15" hidden="false" customHeight="false" outlineLevel="0" collapsed="false">
      <c r="A151" s="4" t="str">
        <f aca="false">B151&amp;"|"&amp;C151</f>
        <v>tdbR00000500 Ile-CAU|5</v>
      </c>
      <c r="B151" s="4" t="s">
        <v>39</v>
      </c>
      <c r="C151" s="4" t="s">
        <v>417</v>
      </c>
      <c r="D151" s="4" t="n">
        <v>5</v>
      </c>
      <c r="E151" s="17" t="s">
        <v>197</v>
      </c>
      <c r="F151" s="18" t="s">
        <v>412</v>
      </c>
    </row>
    <row r="152" customFormat="false" ht="15" hidden="false" customHeight="false" outlineLevel="0" collapsed="false">
      <c r="A152" s="4" t="str">
        <f aca="false">B152&amp;"|"&amp;C152</f>
        <v>tdbR00000500 Ile-CAU|6</v>
      </c>
      <c r="B152" s="4" t="s">
        <v>39</v>
      </c>
      <c r="C152" s="4" t="s">
        <v>418</v>
      </c>
      <c r="D152" s="4" t="n">
        <v>6</v>
      </c>
      <c r="E152" s="17" t="s">
        <v>197</v>
      </c>
      <c r="F152" s="18" t="s">
        <v>412</v>
      </c>
    </row>
    <row r="153" customFormat="false" ht="15" hidden="false" customHeight="false" outlineLevel="0" collapsed="false">
      <c r="A153" s="4" t="str">
        <f aca="false">B153&amp;"|"&amp;C153</f>
        <v>tdbR00000500 Ile-CAU|7</v>
      </c>
      <c r="B153" s="4" t="s">
        <v>39</v>
      </c>
      <c r="C153" s="4" t="s">
        <v>419</v>
      </c>
      <c r="D153" s="4" t="n">
        <v>7</v>
      </c>
      <c r="E153" s="17" t="s">
        <v>246</v>
      </c>
      <c r="F153" s="18" t="s">
        <v>412</v>
      </c>
    </row>
    <row r="154" customFormat="false" ht="15" hidden="false" customHeight="false" outlineLevel="0" collapsed="false">
      <c r="A154" s="4" t="str">
        <f aca="false">B154&amp;"|"&amp;C154</f>
        <v>tdbR00000500 Ile-CAU|8</v>
      </c>
      <c r="B154" s="4" t="s">
        <v>39</v>
      </c>
      <c r="C154" s="4" t="s">
        <v>420</v>
      </c>
      <c r="D154" s="4" t="n">
        <v>8</v>
      </c>
      <c r="E154" s="3" t="s">
        <v>259</v>
      </c>
      <c r="F154" s="4" t="s">
        <v>421</v>
      </c>
    </row>
    <row r="155" customFormat="false" ht="15" hidden="false" customHeight="false" outlineLevel="0" collapsed="false">
      <c r="A155" s="4" t="str">
        <f aca="false">B155&amp;"|"&amp;C155</f>
        <v>tdbR00000500 Ile-CAU|9</v>
      </c>
      <c r="B155" s="4" t="s">
        <v>39</v>
      </c>
      <c r="C155" s="4" t="s">
        <v>422</v>
      </c>
      <c r="D155" s="4" t="n">
        <v>9</v>
      </c>
      <c r="E155" s="3" t="s">
        <v>197</v>
      </c>
      <c r="F155" s="4" t="s">
        <v>423</v>
      </c>
    </row>
    <row r="156" customFormat="false" ht="15" hidden="false" customHeight="false" outlineLevel="0" collapsed="false">
      <c r="A156" s="4" t="str">
        <f aca="false">B156&amp;"|"&amp;C156</f>
        <v>tdbR00000500 Ile-CAU|10</v>
      </c>
      <c r="B156" s="4" t="s">
        <v>39</v>
      </c>
      <c r="C156" s="4" t="s">
        <v>424</v>
      </c>
      <c r="D156" s="4" t="n">
        <v>10</v>
      </c>
      <c r="E156" s="8" t="s">
        <v>197</v>
      </c>
      <c r="F156" s="7" t="s">
        <v>425</v>
      </c>
    </row>
    <row r="157" customFormat="false" ht="15" hidden="false" customHeight="false" outlineLevel="0" collapsed="false">
      <c r="A157" s="4" t="str">
        <f aca="false">B157&amp;"|"&amp;C157</f>
        <v>tdbR00000500 Ile-CAU|11</v>
      </c>
      <c r="B157" s="4" t="s">
        <v>39</v>
      </c>
      <c r="C157" s="4" t="s">
        <v>426</v>
      </c>
      <c r="D157" s="4" t="n">
        <v>11</v>
      </c>
      <c r="E157" s="8" t="s">
        <v>197</v>
      </c>
      <c r="F157" s="7" t="s">
        <v>425</v>
      </c>
    </row>
    <row r="158" customFormat="false" ht="15" hidden="false" customHeight="false" outlineLevel="0" collapsed="false">
      <c r="A158" s="4" t="str">
        <f aca="false">B158&amp;"|"&amp;C158</f>
        <v>tdbR00000500 Ile-CAU|12</v>
      </c>
      <c r="B158" s="4" t="s">
        <v>39</v>
      </c>
      <c r="C158" s="4" t="s">
        <v>427</v>
      </c>
      <c r="D158" s="4" t="n">
        <v>12</v>
      </c>
      <c r="E158" s="8" t="s">
        <v>246</v>
      </c>
      <c r="F158" s="7" t="s">
        <v>425</v>
      </c>
    </row>
    <row r="159" customFormat="false" ht="15" hidden="false" customHeight="false" outlineLevel="0" collapsed="false">
      <c r="A159" s="4" t="str">
        <f aca="false">B159&amp;"|"&amp;C159</f>
        <v>tdbR00000500 Ile-CAU|13</v>
      </c>
      <c r="B159" s="4" t="s">
        <v>39</v>
      </c>
      <c r="C159" s="4" t="s">
        <v>428</v>
      </c>
      <c r="D159" s="4" t="n">
        <v>13</v>
      </c>
      <c r="E159" s="8" t="s">
        <v>259</v>
      </c>
      <c r="F159" s="7" t="s">
        <v>425</v>
      </c>
    </row>
    <row r="160" customFormat="false" ht="15" hidden="false" customHeight="false" outlineLevel="0" collapsed="false">
      <c r="A160" s="4" t="str">
        <f aca="false">B160&amp;"|"&amp;C160</f>
        <v>tdbR00000500 Ile-CAU|14</v>
      </c>
      <c r="B160" s="4" t="s">
        <v>39</v>
      </c>
      <c r="C160" s="4" t="s">
        <v>429</v>
      </c>
      <c r="D160" s="4" t="n">
        <v>14</v>
      </c>
      <c r="E160" s="19" t="s">
        <v>246</v>
      </c>
      <c r="F160" s="20" t="s">
        <v>430</v>
      </c>
    </row>
    <row r="161" customFormat="false" ht="15" hidden="false" customHeight="false" outlineLevel="0" collapsed="false">
      <c r="A161" s="4" t="str">
        <f aca="false">B161&amp;"|"&amp;C161</f>
        <v>tdbR00000500 Ile-CAU|15</v>
      </c>
      <c r="B161" s="4" t="s">
        <v>39</v>
      </c>
      <c r="C161" s="4" t="s">
        <v>431</v>
      </c>
      <c r="D161" s="4" t="n">
        <v>15</v>
      </c>
      <c r="E161" s="19" t="s">
        <v>197</v>
      </c>
      <c r="F161" s="20" t="s">
        <v>430</v>
      </c>
    </row>
    <row r="162" customFormat="false" ht="15" hidden="false" customHeight="false" outlineLevel="0" collapsed="false">
      <c r="A162" s="4" t="str">
        <f aca="false">B162&amp;"|"&amp;C162</f>
        <v>tdbR00000500 Ile-CAU|16</v>
      </c>
      <c r="B162" s="4" t="s">
        <v>39</v>
      </c>
      <c r="C162" s="4" t="s">
        <v>432</v>
      </c>
      <c r="D162" s="4" t="n">
        <v>16</v>
      </c>
      <c r="E162" s="19" t="s">
        <v>414</v>
      </c>
      <c r="F162" s="20" t="s">
        <v>430</v>
      </c>
    </row>
    <row r="163" customFormat="false" ht="15" hidden="false" customHeight="false" outlineLevel="0" collapsed="false">
      <c r="A163" s="4" t="str">
        <f aca="false">B163&amp;"|"&amp;C163</f>
        <v>tdbR00000500 Ile-CAU|17</v>
      </c>
      <c r="B163" s="4" t="s">
        <v>39</v>
      </c>
      <c r="C163" s="4" t="s">
        <v>433</v>
      </c>
      <c r="D163" s="4" t="n">
        <v>17</v>
      </c>
      <c r="E163" s="19" t="s">
        <v>414</v>
      </c>
      <c r="F163" s="20" t="s">
        <v>430</v>
      </c>
    </row>
    <row r="164" customFormat="false" ht="15" hidden="false" customHeight="false" outlineLevel="0" collapsed="false">
      <c r="A164" s="4" t="str">
        <f aca="false">B164&amp;"|"&amp;C164</f>
        <v>tdbR00000500 Ile-CAU|17a</v>
      </c>
      <c r="B164" s="4" t="s">
        <v>39</v>
      </c>
      <c r="C164" s="4" t="s">
        <v>496</v>
      </c>
      <c r="D164" s="4" t="n">
        <v>18</v>
      </c>
      <c r="E164" s="19" t="s">
        <v>246</v>
      </c>
      <c r="F164" s="20" t="s">
        <v>430</v>
      </c>
    </row>
    <row r="165" customFormat="false" ht="15" hidden="false" customHeight="false" outlineLevel="0" collapsed="false">
      <c r="A165" s="4" t="str">
        <f aca="false">B165&amp;"|"&amp;C165</f>
        <v>tdbR00000500 Ile-CAU|18</v>
      </c>
      <c r="B165" s="4" t="s">
        <v>39</v>
      </c>
      <c r="C165" s="4" t="s">
        <v>434</v>
      </c>
      <c r="D165" s="4" t="n">
        <v>19</v>
      </c>
      <c r="E165" s="19" t="s">
        <v>197</v>
      </c>
      <c r="F165" s="20" t="s">
        <v>430</v>
      </c>
    </row>
    <row r="166" customFormat="false" ht="15" hidden="false" customHeight="false" outlineLevel="0" collapsed="false">
      <c r="A166" s="4" t="str">
        <f aca="false">B166&amp;"|"&amp;C166</f>
        <v>tdbR00000500 Ile-CAU|19</v>
      </c>
      <c r="B166" s="4" t="s">
        <v>39</v>
      </c>
      <c r="C166" s="4" t="s">
        <v>435</v>
      </c>
      <c r="D166" s="4" t="n">
        <v>20</v>
      </c>
      <c r="E166" s="19" t="s">
        <v>197</v>
      </c>
      <c r="F166" s="20" t="s">
        <v>430</v>
      </c>
    </row>
    <row r="167" customFormat="false" ht="15" hidden="false" customHeight="false" outlineLevel="0" collapsed="false">
      <c r="A167" s="4" t="str">
        <f aca="false">B167&amp;"|"&amp;C167</f>
        <v>tdbR00000500 Ile-CAU|20</v>
      </c>
      <c r="B167" s="4" t="s">
        <v>39</v>
      </c>
      <c r="C167" s="4" t="s">
        <v>436</v>
      </c>
      <c r="D167" s="4" t="n">
        <v>21</v>
      </c>
      <c r="E167" s="19" t="s">
        <v>246</v>
      </c>
      <c r="F167" s="20" t="s">
        <v>430</v>
      </c>
    </row>
    <row r="168" customFormat="false" ht="15" hidden="false" customHeight="false" outlineLevel="0" collapsed="false">
      <c r="A168" s="4" t="str">
        <f aca="false">B168&amp;"|"&amp;C168</f>
        <v>tdbR00000500 Ile-CAU|20a</v>
      </c>
      <c r="B168" s="4" t="s">
        <v>39</v>
      </c>
      <c r="C168" s="4" t="s">
        <v>437</v>
      </c>
      <c r="D168" s="4" t="n">
        <v>22</v>
      </c>
      <c r="E168" s="19" t="s">
        <v>197</v>
      </c>
      <c r="F168" s="20" t="s">
        <v>430</v>
      </c>
    </row>
    <row r="169" customFormat="false" ht="15" hidden="false" customHeight="false" outlineLevel="0" collapsed="false">
      <c r="A169" s="4" t="str">
        <f aca="false">B169&amp;"|"&amp;C169</f>
        <v>tdbR00000500 Ile-CAU|21</v>
      </c>
      <c r="B169" s="4" t="s">
        <v>39</v>
      </c>
      <c r="C169" s="4" t="s">
        <v>438</v>
      </c>
      <c r="D169" s="4" t="n">
        <v>23</v>
      </c>
      <c r="E169" s="19" t="s">
        <v>246</v>
      </c>
      <c r="F169" s="20" t="s">
        <v>430</v>
      </c>
    </row>
    <row r="170" customFormat="false" ht="15" hidden="false" customHeight="false" outlineLevel="0" collapsed="false">
      <c r="A170" s="4" t="str">
        <f aca="false">B170&amp;"|"&amp;C170</f>
        <v>tdbR00000500 Ile-CAU|22</v>
      </c>
      <c r="B170" s="4" t="s">
        <v>39</v>
      </c>
      <c r="C170" s="4" t="s">
        <v>439</v>
      </c>
      <c r="D170" s="4" t="n">
        <v>24</v>
      </c>
      <c r="E170" s="8" t="s">
        <v>259</v>
      </c>
      <c r="F170" s="7" t="s">
        <v>425</v>
      </c>
    </row>
    <row r="171" customFormat="false" ht="15" hidden="false" customHeight="false" outlineLevel="0" collapsed="false">
      <c r="A171" s="4" t="str">
        <f aca="false">B171&amp;"|"&amp;C171</f>
        <v>tdbR00000500 Ile-CAU|23</v>
      </c>
      <c r="B171" s="4" t="s">
        <v>39</v>
      </c>
      <c r="C171" s="4" t="s">
        <v>440</v>
      </c>
      <c r="D171" s="4" t="n">
        <v>25</v>
      </c>
      <c r="E171" s="8" t="s">
        <v>259</v>
      </c>
      <c r="F171" s="7" t="s">
        <v>425</v>
      </c>
    </row>
    <row r="172" customFormat="false" ht="15" hidden="false" customHeight="false" outlineLevel="0" collapsed="false">
      <c r="A172" s="4" t="str">
        <f aca="false">B172&amp;"|"&amp;C172</f>
        <v>tdbR00000500 Ile-CAU|24</v>
      </c>
      <c r="B172" s="4" t="s">
        <v>39</v>
      </c>
      <c r="C172" s="4" t="s">
        <v>441</v>
      </c>
      <c r="D172" s="4" t="n">
        <v>26</v>
      </c>
      <c r="E172" s="8" t="s">
        <v>414</v>
      </c>
      <c r="F172" s="7" t="s">
        <v>425</v>
      </c>
    </row>
    <row r="173" customFormat="false" ht="15" hidden="false" customHeight="false" outlineLevel="0" collapsed="false">
      <c r="A173" s="4" t="str">
        <f aca="false">B173&amp;"|"&amp;C173</f>
        <v>tdbR00000500 Ile-CAU|25</v>
      </c>
      <c r="B173" s="4" t="s">
        <v>39</v>
      </c>
      <c r="C173" s="4" t="s">
        <v>442</v>
      </c>
      <c r="D173" s="4" t="n">
        <v>27</v>
      </c>
      <c r="E173" s="8" t="s">
        <v>414</v>
      </c>
      <c r="F173" s="7" t="s">
        <v>425</v>
      </c>
    </row>
    <row r="174" customFormat="false" ht="15" hidden="false" customHeight="false" outlineLevel="0" collapsed="false">
      <c r="A174" s="4" t="str">
        <f aca="false">B174&amp;"|"&amp;C174</f>
        <v>tdbR00000500 Ile-CAU|26</v>
      </c>
      <c r="B174" s="4" t="s">
        <v>39</v>
      </c>
      <c r="C174" s="4" t="s">
        <v>443</v>
      </c>
      <c r="D174" s="4" t="n">
        <v>28</v>
      </c>
      <c r="E174" s="3" t="s">
        <v>197</v>
      </c>
      <c r="F174" s="4" t="s">
        <v>444</v>
      </c>
    </row>
    <row r="175" customFormat="false" ht="15" hidden="false" customHeight="false" outlineLevel="0" collapsed="false">
      <c r="A175" s="4" t="str">
        <f aca="false">B175&amp;"|"&amp;C175</f>
        <v>tdbR00000500 Ile-CAU|27</v>
      </c>
      <c r="B175" s="4" t="s">
        <v>39</v>
      </c>
      <c r="C175" s="4" t="s">
        <v>445</v>
      </c>
      <c r="D175" s="4" t="n">
        <v>29</v>
      </c>
      <c r="E175" s="21" t="s">
        <v>414</v>
      </c>
      <c r="F175" s="22" t="s">
        <v>446</v>
      </c>
    </row>
    <row r="176" customFormat="false" ht="15" hidden="false" customHeight="false" outlineLevel="0" collapsed="false">
      <c r="A176" s="4" t="str">
        <f aca="false">B176&amp;"|"&amp;C176</f>
        <v>tdbR00000500 Ile-CAU|28</v>
      </c>
      <c r="B176" s="4" t="s">
        <v>39</v>
      </c>
      <c r="C176" s="4" t="s">
        <v>447</v>
      </c>
      <c r="D176" s="4" t="n">
        <v>30</v>
      </c>
      <c r="E176" s="21" t="s">
        <v>414</v>
      </c>
      <c r="F176" s="22" t="s">
        <v>446</v>
      </c>
    </row>
    <row r="177" customFormat="false" ht="15" hidden="false" customHeight="false" outlineLevel="0" collapsed="false">
      <c r="A177" s="4" t="str">
        <f aca="false">B177&amp;"|"&amp;C177</f>
        <v>tdbR00000500 Ile-CAU|29</v>
      </c>
      <c r="B177" s="4" t="s">
        <v>39</v>
      </c>
      <c r="C177" s="4" t="s">
        <v>448</v>
      </c>
      <c r="D177" s="4" t="n">
        <v>31</v>
      </c>
      <c r="E177" s="21" t="s">
        <v>197</v>
      </c>
      <c r="F177" s="22" t="s">
        <v>446</v>
      </c>
    </row>
    <row r="178" customFormat="false" ht="15" hidden="false" customHeight="false" outlineLevel="0" collapsed="false">
      <c r="A178" s="4" t="str">
        <f aca="false">B178&amp;"|"&amp;C178</f>
        <v>tdbR00000500 Ile-CAU|30</v>
      </c>
      <c r="B178" s="4" t="s">
        <v>39</v>
      </c>
      <c r="C178" s="4" t="s">
        <v>449</v>
      </c>
      <c r="D178" s="4" t="n">
        <v>32</v>
      </c>
      <c r="E178" s="21" t="s">
        <v>197</v>
      </c>
      <c r="F178" s="22" t="s">
        <v>446</v>
      </c>
    </row>
    <row r="179" customFormat="false" ht="15" hidden="false" customHeight="false" outlineLevel="0" collapsed="false">
      <c r="A179" s="4" t="str">
        <f aca="false">B179&amp;"|"&amp;C179</f>
        <v>tdbR00000500 Ile-CAU|31</v>
      </c>
      <c r="B179" s="4" t="s">
        <v>39</v>
      </c>
      <c r="C179" s="4" t="s">
        <v>450</v>
      </c>
      <c r="D179" s="4" t="n">
        <v>33</v>
      </c>
      <c r="E179" s="21" t="s">
        <v>197</v>
      </c>
      <c r="F179" s="22" t="s">
        <v>446</v>
      </c>
    </row>
    <row r="180" customFormat="false" ht="15" hidden="false" customHeight="false" outlineLevel="0" collapsed="false">
      <c r="A180" s="4" t="str">
        <f aca="false">B180&amp;"|"&amp;C180</f>
        <v>tdbR00000500 Ile-CAU|32</v>
      </c>
      <c r="B180" s="4" t="s">
        <v>39</v>
      </c>
      <c r="C180" s="4" t="s">
        <v>451</v>
      </c>
      <c r="D180" s="4" t="n">
        <v>34</v>
      </c>
      <c r="E180" s="19" t="s">
        <v>414</v>
      </c>
      <c r="F180" s="20" t="s">
        <v>452</v>
      </c>
    </row>
    <row r="181" customFormat="false" ht="15" hidden="false" customHeight="false" outlineLevel="0" collapsed="false">
      <c r="A181" s="4" t="str">
        <f aca="false">B181&amp;"|"&amp;C181</f>
        <v>tdbR00000500 Ile-CAU|33</v>
      </c>
      <c r="B181" s="4" t="s">
        <v>39</v>
      </c>
      <c r="C181" s="4" t="s">
        <v>453</v>
      </c>
      <c r="D181" s="4" t="n">
        <v>35</v>
      </c>
      <c r="E181" s="19" t="s">
        <v>259</v>
      </c>
      <c r="F181" s="20" t="s">
        <v>452</v>
      </c>
    </row>
    <row r="182" customFormat="false" ht="15" hidden="false" customHeight="false" outlineLevel="0" collapsed="false">
      <c r="A182" s="4" t="str">
        <f aca="false">B182&amp;"|"&amp;C182</f>
        <v>tdbR00000500 Ile-CAU|34</v>
      </c>
      <c r="B182" s="4" t="s">
        <v>39</v>
      </c>
      <c r="C182" s="4" t="s">
        <v>454</v>
      </c>
      <c r="D182" s="4" t="n">
        <v>36</v>
      </c>
      <c r="E182" s="19" t="s">
        <v>414</v>
      </c>
      <c r="F182" s="20" t="s">
        <v>452</v>
      </c>
    </row>
    <row r="183" customFormat="false" ht="15" hidden="false" customHeight="false" outlineLevel="0" collapsed="false">
      <c r="A183" s="4" t="str">
        <f aca="false">B183&amp;"|"&amp;C183</f>
        <v>tdbR00000500 Ile-CAU|35</v>
      </c>
      <c r="B183" s="4" t="s">
        <v>39</v>
      </c>
      <c r="C183" s="4" t="s">
        <v>455</v>
      </c>
      <c r="D183" s="4" t="n">
        <v>37</v>
      </c>
      <c r="E183" s="19" t="s">
        <v>246</v>
      </c>
      <c r="F183" s="20" t="s">
        <v>452</v>
      </c>
    </row>
    <row r="184" customFormat="false" ht="15" hidden="false" customHeight="false" outlineLevel="0" collapsed="false">
      <c r="A184" s="4" t="str">
        <f aca="false">B184&amp;"|"&amp;C184</f>
        <v>tdbR00000500 Ile-CAU|36</v>
      </c>
      <c r="B184" s="4" t="s">
        <v>39</v>
      </c>
      <c r="C184" s="4" t="s">
        <v>456</v>
      </c>
      <c r="D184" s="4" t="n">
        <v>38</v>
      </c>
      <c r="E184" s="19" t="s">
        <v>259</v>
      </c>
      <c r="F184" s="20" t="s">
        <v>452</v>
      </c>
    </row>
    <row r="185" customFormat="false" ht="15" hidden="false" customHeight="false" outlineLevel="0" collapsed="false">
      <c r="A185" s="4" t="str">
        <f aca="false">B185&amp;"|"&amp;C185</f>
        <v>tdbR00000500 Ile-CAU|37</v>
      </c>
      <c r="B185" s="4" t="s">
        <v>39</v>
      </c>
      <c r="C185" s="4" t="s">
        <v>457</v>
      </c>
      <c r="D185" s="4" t="n">
        <v>39</v>
      </c>
      <c r="E185" s="19" t="s">
        <v>246</v>
      </c>
      <c r="F185" s="20" t="s">
        <v>452</v>
      </c>
    </row>
    <row r="186" customFormat="false" ht="15" hidden="false" customHeight="false" outlineLevel="0" collapsed="false">
      <c r="A186" s="4" t="str">
        <f aca="false">B186&amp;"|"&amp;C186</f>
        <v>tdbR00000500 Ile-CAU|38</v>
      </c>
      <c r="B186" s="4" t="s">
        <v>39</v>
      </c>
      <c r="C186" s="4" t="s">
        <v>458</v>
      </c>
      <c r="D186" s="4" t="n">
        <v>40</v>
      </c>
      <c r="E186" s="19" t="s">
        <v>246</v>
      </c>
      <c r="F186" s="20" t="s">
        <v>452</v>
      </c>
    </row>
    <row r="187" customFormat="false" ht="15" hidden="false" customHeight="false" outlineLevel="0" collapsed="false">
      <c r="A187" s="4" t="str">
        <f aca="false">B187&amp;"|"&amp;C187</f>
        <v>tdbR00000500 Ile-CAU|39</v>
      </c>
      <c r="B187" s="4" t="s">
        <v>39</v>
      </c>
      <c r="C187" s="4" t="s">
        <v>459</v>
      </c>
      <c r="D187" s="4" t="n">
        <v>41</v>
      </c>
      <c r="E187" s="21" t="s">
        <v>414</v>
      </c>
      <c r="F187" s="22" t="s">
        <v>446</v>
      </c>
    </row>
    <row r="188" customFormat="false" ht="15" hidden="false" customHeight="false" outlineLevel="0" collapsed="false">
      <c r="A188" s="4" t="str">
        <f aca="false">B188&amp;"|"&amp;C188</f>
        <v>tdbR00000500 Ile-CAU|40</v>
      </c>
      <c r="B188" s="4" t="s">
        <v>39</v>
      </c>
      <c r="C188" s="4" t="s">
        <v>460</v>
      </c>
      <c r="D188" s="4" t="n">
        <v>42</v>
      </c>
      <c r="E188" s="21" t="s">
        <v>414</v>
      </c>
      <c r="F188" s="22" t="s">
        <v>446</v>
      </c>
    </row>
    <row r="189" customFormat="false" ht="15" hidden="false" customHeight="false" outlineLevel="0" collapsed="false">
      <c r="A189" s="4" t="str">
        <f aca="false">B189&amp;"|"&amp;C189</f>
        <v>tdbR00000500 Ile-CAU|41</v>
      </c>
      <c r="B189" s="4" t="s">
        <v>39</v>
      </c>
      <c r="C189" s="4" t="s">
        <v>461</v>
      </c>
      <c r="D189" s="4" t="n">
        <v>43</v>
      </c>
      <c r="E189" s="21" t="s">
        <v>414</v>
      </c>
      <c r="F189" s="22" t="s">
        <v>446</v>
      </c>
    </row>
    <row r="190" customFormat="false" ht="15" hidden="false" customHeight="false" outlineLevel="0" collapsed="false">
      <c r="A190" s="4" t="str">
        <f aca="false">B190&amp;"|"&amp;C190</f>
        <v>tdbR00000500 Ile-CAU|42</v>
      </c>
      <c r="B190" s="4" t="s">
        <v>39</v>
      </c>
      <c r="C190" s="4" t="s">
        <v>462</v>
      </c>
      <c r="D190" s="4" t="n">
        <v>44</v>
      </c>
      <c r="E190" s="21" t="s">
        <v>197</v>
      </c>
      <c r="F190" s="22" t="s">
        <v>446</v>
      </c>
    </row>
    <row r="191" customFormat="false" ht="15" hidden="false" customHeight="false" outlineLevel="0" collapsed="false">
      <c r="A191" s="4" t="str">
        <f aca="false">B191&amp;"|"&amp;C191</f>
        <v>tdbR00000500 Ile-CAU|43</v>
      </c>
      <c r="B191" s="4" t="s">
        <v>39</v>
      </c>
      <c r="C191" s="4" t="s">
        <v>463</v>
      </c>
      <c r="D191" s="4" t="n">
        <v>45</v>
      </c>
      <c r="E191" s="21" t="s">
        <v>197</v>
      </c>
      <c r="F191" s="22" t="s">
        <v>446</v>
      </c>
    </row>
    <row r="192" customFormat="false" ht="15" hidden="false" customHeight="false" outlineLevel="0" collapsed="false">
      <c r="A192" s="4" t="str">
        <f aca="false">B192&amp;"|"&amp;C192</f>
        <v>tdbR00000500 Ile-CAU|44</v>
      </c>
      <c r="B192" s="4" t="s">
        <v>39</v>
      </c>
      <c r="C192" s="4" t="s">
        <v>464</v>
      </c>
      <c r="D192" s="4" t="n">
        <v>46</v>
      </c>
      <c r="E192" s="19" t="s">
        <v>246</v>
      </c>
      <c r="F192" s="20" t="s">
        <v>465</v>
      </c>
    </row>
    <row r="193" customFormat="false" ht="15" hidden="false" customHeight="false" outlineLevel="0" collapsed="false">
      <c r="A193" s="4" t="str">
        <f aca="false">B193&amp;"|"&amp;C193</f>
        <v>tdbR00000500 Ile-CAU|45</v>
      </c>
      <c r="B193" s="4" t="s">
        <v>39</v>
      </c>
      <c r="C193" s="4" t="s">
        <v>466</v>
      </c>
      <c r="D193" s="4" t="n">
        <v>47</v>
      </c>
      <c r="E193" s="19" t="s">
        <v>197</v>
      </c>
      <c r="F193" s="20" t="s">
        <v>465</v>
      </c>
    </row>
    <row r="194" customFormat="false" ht="15" hidden="false" customHeight="false" outlineLevel="0" collapsed="false">
      <c r="A194" s="4" t="str">
        <f aca="false">B194&amp;"|"&amp;C194</f>
        <v>tdbR00000500 Ile-CAU|46</v>
      </c>
      <c r="B194" s="4" t="s">
        <v>39</v>
      </c>
      <c r="C194" s="4" t="s">
        <v>467</v>
      </c>
      <c r="D194" s="4" t="n">
        <v>48</v>
      </c>
      <c r="E194" s="19" t="s">
        <v>246</v>
      </c>
      <c r="F194" s="20" t="s">
        <v>465</v>
      </c>
    </row>
    <row r="195" customFormat="false" ht="15" hidden="false" customHeight="false" outlineLevel="0" collapsed="false">
      <c r="A195" s="4" t="str">
        <f aca="false">B195&amp;"|"&amp;C195</f>
        <v>tdbR00000500 Ile-CAU|47</v>
      </c>
      <c r="B195" s="4" t="s">
        <v>39</v>
      </c>
      <c r="C195" s="4" t="s">
        <v>468</v>
      </c>
      <c r="D195" s="4" t="n">
        <v>49</v>
      </c>
      <c r="E195" s="19" t="s">
        <v>259</v>
      </c>
      <c r="F195" s="20" t="s">
        <v>465</v>
      </c>
    </row>
    <row r="196" customFormat="false" ht="15" hidden="false" customHeight="false" outlineLevel="0" collapsed="false">
      <c r="A196" s="4" t="str">
        <f aca="false">B196&amp;"|"&amp;C196</f>
        <v>tdbR00000500 Ile-CAU|48</v>
      </c>
      <c r="B196" s="4" t="s">
        <v>39</v>
      </c>
      <c r="C196" s="4" t="s">
        <v>469</v>
      </c>
      <c r="D196" s="4" t="n">
        <v>50</v>
      </c>
      <c r="E196" s="19" t="s">
        <v>414</v>
      </c>
      <c r="F196" s="20" t="s">
        <v>465</v>
      </c>
    </row>
    <row r="197" customFormat="false" ht="15" hidden="false" customHeight="false" outlineLevel="0" collapsed="false">
      <c r="A197" s="4" t="str">
        <f aca="false">B197&amp;"|"&amp;C197</f>
        <v>tdbR00000500 Ile-CAU|49</v>
      </c>
      <c r="B197" s="4" t="s">
        <v>39</v>
      </c>
      <c r="C197" s="4" t="s">
        <v>470</v>
      </c>
      <c r="D197" s="4" t="n">
        <v>51</v>
      </c>
      <c r="E197" s="23" t="s">
        <v>197</v>
      </c>
      <c r="F197" s="10" t="s">
        <v>471</v>
      </c>
    </row>
    <row r="198" customFormat="false" ht="15" hidden="false" customHeight="false" outlineLevel="0" collapsed="false">
      <c r="A198" s="4" t="str">
        <f aca="false">B198&amp;"|"&amp;C198</f>
        <v>tdbR00000500 Ile-CAU|50</v>
      </c>
      <c r="B198" s="4" t="s">
        <v>39</v>
      </c>
      <c r="C198" s="4" t="s">
        <v>472</v>
      </c>
      <c r="D198" s="4" t="n">
        <v>52</v>
      </c>
      <c r="E198" s="23" t="s">
        <v>197</v>
      </c>
      <c r="F198" s="10" t="s">
        <v>471</v>
      </c>
    </row>
    <row r="199" customFormat="false" ht="15" hidden="false" customHeight="false" outlineLevel="0" collapsed="false">
      <c r="A199" s="4" t="str">
        <f aca="false">B199&amp;"|"&amp;C199</f>
        <v>tdbR00000500 Ile-CAU|51</v>
      </c>
      <c r="B199" s="4" t="s">
        <v>39</v>
      </c>
      <c r="C199" s="4" t="s">
        <v>473</v>
      </c>
      <c r="D199" s="4" t="n">
        <v>53</v>
      </c>
      <c r="E199" s="23" t="s">
        <v>259</v>
      </c>
      <c r="F199" s="10" t="s">
        <v>471</v>
      </c>
    </row>
    <row r="200" customFormat="false" ht="15" hidden="false" customHeight="false" outlineLevel="0" collapsed="false">
      <c r="A200" s="4" t="str">
        <f aca="false">B200&amp;"|"&amp;C200</f>
        <v>tdbR00000500 Ile-CAU|52</v>
      </c>
      <c r="B200" s="4" t="s">
        <v>39</v>
      </c>
      <c r="C200" s="4" t="s">
        <v>474</v>
      </c>
      <c r="D200" s="4" t="n">
        <v>54</v>
      </c>
      <c r="E200" s="23" t="s">
        <v>246</v>
      </c>
      <c r="F200" s="10" t="s">
        <v>471</v>
      </c>
    </row>
    <row r="201" customFormat="false" ht="15" hidden="false" customHeight="false" outlineLevel="0" collapsed="false">
      <c r="A201" s="4" t="str">
        <f aca="false">B201&amp;"|"&amp;C201</f>
        <v>tdbR00000500 Ile-CAU|53</v>
      </c>
      <c r="B201" s="4" t="s">
        <v>39</v>
      </c>
      <c r="C201" s="4" t="s">
        <v>475</v>
      </c>
      <c r="D201" s="4" t="n">
        <v>55</v>
      </c>
      <c r="E201" s="23" t="s">
        <v>197</v>
      </c>
      <c r="F201" s="10" t="s">
        <v>471</v>
      </c>
    </row>
    <row r="202" customFormat="false" ht="15" hidden="false" customHeight="false" outlineLevel="0" collapsed="false">
      <c r="A202" s="4" t="str">
        <f aca="false">B202&amp;"|"&amp;C202</f>
        <v>tdbR00000500 Ile-CAU|54</v>
      </c>
      <c r="B202" s="4" t="s">
        <v>39</v>
      </c>
      <c r="C202" s="4" t="s">
        <v>476</v>
      </c>
      <c r="D202" s="4" t="n">
        <v>56</v>
      </c>
      <c r="E202" s="19" t="s">
        <v>259</v>
      </c>
      <c r="F202" s="20" t="s">
        <v>477</v>
      </c>
    </row>
    <row r="203" customFormat="false" ht="15" hidden="false" customHeight="false" outlineLevel="0" collapsed="false">
      <c r="A203" s="4" t="str">
        <f aca="false">B203&amp;"|"&amp;C203</f>
        <v>tdbR00000500 Ile-CAU|55</v>
      </c>
      <c r="B203" s="4" t="s">
        <v>39</v>
      </c>
      <c r="C203" s="4" t="s">
        <v>478</v>
      </c>
      <c r="D203" s="4" t="n">
        <v>57</v>
      </c>
      <c r="E203" s="19" t="s">
        <v>259</v>
      </c>
      <c r="F203" s="20" t="s">
        <v>477</v>
      </c>
    </row>
    <row r="204" customFormat="false" ht="15" hidden="false" customHeight="false" outlineLevel="0" collapsed="false">
      <c r="A204" s="4" t="str">
        <f aca="false">B204&amp;"|"&amp;C204</f>
        <v>tdbR00000500 Ile-CAU|56</v>
      </c>
      <c r="B204" s="4" t="s">
        <v>39</v>
      </c>
      <c r="C204" s="4" t="s">
        <v>479</v>
      </c>
      <c r="D204" s="4" t="n">
        <v>58</v>
      </c>
      <c r="E204" s="19" t="s">
        <v>414</v>
      </c>
      <c r="F204" s="20" t="s">
        <v>477</v>
      </c>
    </row>
    <row r="205" customFormat="false" ht="15" hidden="false" customHeight="false" outlineLevel="0" collapsed="false">
      <c r="A205" s="4" t="str">
        <f aca="false">B205&amp;"|"&amp;C205</f>
        <v>tdbR00000500 Ile-CAU|57</v>
      </c>
      <c r="B205" s="4" t="s">
        <v>39</v>
      </c>
      <c r="C205" s="4" t="s">
        <v>480</v>
      </c>
      <c r="D205" s="4" t="n">
        <v>59</v>
      </c>
      <c r="E205" s="19" t="s">
        <v>246</v>
      </c>
      <c r="F205" s="20" t="s">
        <v>477</v>
      </c>
    </row>
    <row r="206" customFormat="false" ht="15" hidden="false" customHeight="false" outlineLevel="0" collapsed="false">
      <c r="A206" s="4" t="str">
        <f aca="false">B206&amp;"|"&amp;C206</f>
        <v>tdbR00000500 Ile-CAU|58</v>
      </c>
      <c r="B206" s="4" t="s">
        <v>39</v>
      </c>
      <c r="C206" s="4" t="s">
        <v>481</v>
      </c>
      <c r="D206" s="4" t="n">
        <v>60</v>
      </c>
      <c r="E206" s="19" t="s">
        <v>246</v>
      </c>
      <c r="F206" s="20" t="s">
        <v>477</v>
      </c>
    </row>
    <row r="207" customFormat="false" ht="15" hidden="false" customHeight="false" outlineLevel="0" collapsed="false">
      <c r="A207" s="4" t="str">
        <f aca="false">B207&amp;"|"&amp;C207</f>
        <v>tdbR00000500 Ile-CAU|59</v>
      </c>
      <c r="B207" s="4" t="s">
        <v>39</v>
      </c>
      <c r="C207" s="4" t="s">
        <v>482</v>
      </c>
      <c r="D207" s="4" t="n">
        <v>61</v>
      </c>
      <c r="E207" s="19" t="s">
        <v>246</v>
      </c>
      <c r="F207" s="20" t="s">
        <v>477</v>
      </c>
    </row>
    <row r="208" customFormat="false" ht="15" hidden="false" customHeight="false" outlineLevel="0" collapsed="false">
      <c r="A208" s="4" t="str">
        <f aca="false">B208&amp;"|"&amp;C208</f>
        <v>tdbR00000500 Ile-CAU|60</v>
      </c>
      <c r="B208" s="4" t="s">
        <v>39</v>
      </c>
      <c r="C208" s="4" t="s">
        <v>483</v>
      </c>
      <c r="D208" s="4" t="n">
        <v>62</v>
      </c>
      <c r="E208" s="19" t="s">
        <v>259</v>
      </c>
      <c r="F208" s="20" t="s">
        <v>477</v>
      </c>
    </row>
    <row r="209" customFormat="false" ht="15" hidden="false" customHeight="false" outlineLevel="0" collapsed="false">
      <c r="A209" s="4" t="str">
        <f aca="false">B209&amp;"|"&amp;C209</f>
        <v>tdbR00000500 Ile-CAU|61</v>
      </c>
      <c r="B209" s="4" t="s">
        <v>39</v>
      </c>
      <c r="C209" s="4" t="s">
        <v>484</v>
      </c>
      <c r="D209" s="4" t="n">
        <v>63</v>
      </c>
      <c r="E209" s="23" t="s">
        <v>414</v>
      </c>
      <c r="F209" s="10" t="s">
        <v>471</v>
      </c>
    </row>
    <row r="210" customFormat="false" ht="15" hidden="false" customHeight="false" outlineLevel="0" collapsed="false">
      <c r="A210" s="4" t="str">
        <f aca="false">B210&amp;"|"&amp;C210</f>
        <v>tdbR00000500 Ile-CAU|62</v>
      </c>
      <c r="B210" s="4" t="s">
        <v>39</v>
      </c>
      <c r="C210" s="4" t="s">
        <v>485</v>
      </c>
      <c r="D210" s="4" t="n">
        <v>64</v>
      </c>
      <c r="E210" s="23" t="s">
        <v>259</v>
      </c>
      <c r="F210" s="10" t="s">
        <v>471</v>
      </c>
    </row>
    <row r="211" customFormat="false" ht="15" hidden="false" customHeight="false" outlineLevel="0" collapsed="false">
      <c r="A211" s="4" t="str">
        <f aca="false">B211&amp;"|"&amp;C211</f>
        <v>tdbR00000500 Ile-CAU|63</v>
      </c>
      <c r="B211" s="4" t="s">
        <v>39</v>
      </c>
      <c r="C211" s="4" t="s">
        <v>486</v>
      </c>
      <c r="D211" s="4" t="n">
        <v>65</v>
      </c>
      <c r="E211" s="23" t="s">
        <v>246</v>
      </c>
      <c r="F211" s="10" t="s">
        <v>471</v>
      </c>
    </row>
    <row r="212" customFormat="false" ht="15" hidden="false" customHeight="false" outlineLevel="0" collapsed="false">
      <c r="A212" s="4" t="str">
        <f aca="false">B212&amp;"|"&amp;C212</f>
        <v>tdbR00000500 Ile-CAU|64</v>
      </c>
      <c r="B212" s="4" t="s">
        <v>39</v>
      </c>
      <c r="C212" s="4" t="s">
        <v>487</v>
      </c>
      <c r="D212" s="4" t="n">
        <v>66</v>
      </c>
      <c r="E212" s="23" t="s">
        <v>414</v>
      </c>
      <c r="F212" s="10" t="s">
        <v>471</v>
      </c>
    </row>
    <row r="213" customFormat="false" ht="15" hidden="false" customHeight="false" outlineLevel="0" collapsed="false">
      <c r="A213" s="4" t="str">
        <f aca="false">B213&amp;"|"&amp;C213</f>
        <v>tdbR00000500 Ile-CAU|65</v>
      </c>
      <c r="B213" s="4" t="s">
        <v>39</v>
      </c>
      <c r="C213" s="4" t="s">
        <v>488</v>
      </c>
      <c r="D213" s="4" t="n">
        <v>67</v>
      </c>
      <c r="E213" s="23" t="s">
        <v>414</v>
      </c>
      <c r="F213" s="10" t="s">
        <v>471</v>
      </c>
    </row>
    <row r="214" customFormat="false" ht="15" hidden="false" customHeight="false" outlineLevel="0" collapsed="false">
      <c r="A214" s="4" t="str">
        <f aca="false">B214&amp;"|"&amp;C214</f>
        <v>tdbR00000500 Ile-CAU|66</v>
      </c>
      <c r="B214" s="4" t="s">
        <v>39</v>
      </c>
      <c r="C214" s="4" t="s">
        <v>489</v>
      </c>
      <c r="D214" s="4" t="n">
        <v>68</v>
      </c>
      <c r="E214" s="17" t="s">
        <v>259</v>
      </c>
      <c r="F214" s="18" t="s">
        <v>412</v>
      </c>
    </row>
    <row r="215" customFormat="false" ht="15" hidden="false" customHeight="false" outlineLevel="0" collapsed="false">
      <c r="A215" s="4" t="str">
        <f aca="false">B215&amp;"|"&amp;C215</f>
        <v>tdbR00000500 Ile-CAU|67</v>
      </c>
      <c r="B215" s="4" t="s">
        <v>39</v>
      </c>
      <c r="C215" s="4" t="s">
        <v>490</v>
      </c>
      <c r="D215" s="4" t="n">
        <v>69</v>
      </c>
      <c r="E215" s="17" t="s">
        <v>414</v>
      </c>
      <c r="F215" s="18" t="s">
        <v>412</v>
      </c>
    </row>
    <row r="216" customFormat="false" ht="15" hidden="false" customHeight="false" outlineLevel="0" collapsed="false">
      <c r="A216" s="4" t="str">
        <f aca="false">B216&amp;"|"&amp;C216</f>
        <v>tdbR00000500 Ile-CAU|68</v>
      </c>
      <c r="B216" s="4" t="s">
        <v>39</v>
      </c>
      <c r="C216" s="4" t="s">
        <v>491</v>
      </c>
      <c r="D216" s="4" t="n">
        <v>70</v>
      </c>
      <c r="E216" s="17" t="s">
        <v>414</v>
      </c>
      <c r="F216" s="18" t="s">
        <v>412</v>
      </c>
    </row>
    <row r="217" customFormat="false" ht="15" hidden="false" customHeight="false" outlineLevel="0" collapsed="false">
      <c r="A217" s="4" t="str">
        <f aca="false">B217&amp;"|"&amp;C217</f>
        <v>tdbR00000500 Ile-CAU|69</v>
      </c>
      <c r="B217" s="4" t="s">
        <v>39</v>
      </c>
      <c r="C217" s="4" t="s">
        <v>492</v>
      </c>
      <c r="D217" s="4" t="n">
        <v>71</v>
      </c>
      <c r="E217" s="17" t="s">
        <v>414</v>
      </c>
      <c r="F217" s="18" t="s">
        <v>412</v>
      </c>
    </row>
    <row r="218" customFormat="false" ht="15" hidden="false" customHeight="false" outlineLevel="0" collapsed="false">
      <c r="A218" s="4" t="str">
        <f aca="false">B218&amp;"|"&amp;C218</f>
        <v>tdbR00000500 Ile-CAU|70</v>
      </c>
      <c r="B218" s="4" t="s">
        <v>39</v>
      </c>
      <c r="C218" s="4" t="s">
        <v>493</v>
      </c>
      <c r="D218" s="4" t="n">
        <v>72</v>
      </c>
      <c r="E218" s="17" t="s">
        <v>197</v>
      </c>
      <c r="F218" s="18" t="s">
        <v>412</v>
      </c>
    </row>
    <row r="219" customFormat="false" ht="15" hidden="false" customHeight="false" outlineLevel="0" collapsed="false">
      <c r="A219" s="4" t="str">
        <f aca="false">B219&amp;"|"&amp;C219</f>
        <v>tdbR00000500 Ile-CAU|71</v>
      </c>
      <c r="B219" s="4" t="s">
        <v>39</v>
      </c>
      <c r="C219" s="4" t="s">
        <v>494</v>
      </c>
      <c r="D219" s="4" t="n">
        <v>73</v>
      </c>
      <c r="E219" s="17" t="s">
        <v>414</v>
      </c>
      <c r="F219" s="18" t="s">
        <v>412</v>
      </c>
    </row>
    <row r="220" customFormat="false" ht="15" hidden="false" customHeight="false" outlineLevel="0" collapsed="false">
      <c r="A220" s="4" t="str">
        <f aca="false">B220&amp;"|"&amp;C220</f>
        <v>tdbR00000500 Ile-CAU|72</v>
      </c>
      <c r="B220" s="4" t="s">
        <v>39</v>
      </c>
      <c r="C220" s="4" t="s">
        <v>495</v>
      </c>
      <c r="D220" s="4" t="n">
        <v>74</v>
      </c>
      <c r="E220" s="17" t="s">
        <v>259</v>
      </c>
      <c r="F220" s="18" t="s">
        <v>412</v>
      </c>
    </row>
    <row r="221" customFormat="false" ht="15" hidden="false" customHeight="false" outlineLevel="0" collapsed="false">
      <c r="A221" s="4" t="str">
        <f aca="false">B221&amp;"|"&amp;C221</f>
        <v>tdbR00000001 Ala-CGC|1</v>
      </c>
      <c r="B221" s="4" t="s">
        <v>40</v>
      </c>
      <c r="C221" s="4" t="s">
        <v>411</v>
      </c>
      <c r="D221" s="4" t="n">
        <v>1</v>
      </c>
      <c r="E221" s="17" t="s">
        <v>197</v>
      </c>
      <c r="F221" s="18" t="s">
        <v>412</v>
      </c>
    </row>
    <row r="222" customFormat="false" ht="15" hidden="false" customHeight="false" outlineLevel="0" collapsed="false">
      <c r="A222" s="4" t="str">
        <f aca="false">B222&amp;"|"&amp;C222</f>
        <v>tdbR00000001 Ala-CGC|2</v>
      </c>
      <c r="B222" s="4" t="s">
        <v>40</v>
      </c>
      <c r="C222" s="4" t="s">
        <v>413</v>
      </c>
      <c r="D222" s="4" t="n">
        <v>2</v>
      </c>
      <c r="E222" s="17" t="s">
        <v>197</v>
      </c>
      <c r="F222" s="18" t="s">
        <v>412</v>
      </c>
    </row>
    <row r="223" customFormat="false" ht="15" hidden="false" customHeight="false" outlineLevel="0" collapsed="false">
      <c r="A223" s="4" t="str">
        <f aca="false">B223&amp;"|"&amp;C223</f>
        <v>tdbR00000001 Ala-CGC|3</v>
      </c>
      <c r="B223" s="4" t="s">
        <v>40</v>
      </c>
      <c r="C223" s="4" t="s">
        <v>415</v>
      </c>
      <c r="D223" s="4" t="n">
        <v>3</v>
      </c>
      <c r="E223" s="17" t="s">
        <v>197</v>
      </c>
      <c r="F223" s="18" t="s">
        <v>412</v>
      </c>
    </row>
    <row r="224" customFormat="false" ht="15" hidden="false" customHeight="false" outlineLevel="0" collapsed="false">
      <c r="A224" s="4" t="str">
        <f aca="false">B224&amp;"|"&amp;C224</f>
        <v>tdbR00000001 Ala-CGC|4</v>
      </c>
      <c r="B224" s="4" t="s">
        <v>40</v>
      </c>
      <c r="C224" s="4" t="s">
        <v>416</v>
      </c>
      <c r="D224" s="4" t="n">
        <v>4</v>
      </c>
      <c r="E224" s="17" t="s">
        <v>414</v>
      </c>
      <c r="F224" s="18" t="s">
        <v>412</v>
      </c>
    </row>
    <row r="225" customFormat="false" ht="15" hidden="false" customHeight="false" outlineLevel="0" collapsed="false">
      <c r="A225" s="4" t="str">
        <f aca="false">B225&amp;"|"&amp;C225</f>
        <v>tdbR00000001 Ala-CGC|5</v>
      </c>
      <c r="B225" s="4" t="s">
        <v>40</v>
      </c>
      <c r="C225" s="4" t="s">
        <v>417</v>
      </c>
      <c r="D225" s="4" t="n">
        <v>5</v>
      </c>
      <c r="E225" s="17" t="s">
        <v>259</v>
      </c>
      <c r="F225" s="18" t="s">
        <v>412</v>
      </c>
    </row>
    <row r="226" customFormat="false" ht="15" hidden="false" customHeight="false" outlineLevel="0" collapsed="false">
      <c r="A226" s="4" t="str">
        <f aca="false">B226&amp;"|"&amp;C226</f>
        <v>tdbR00000001 Ala-CGC|6</v>
      </c>
      <c r="B226" s="4" t="s">
        <v>40</v>
      </c>
      <c r="C226" s="4" t="s">
        <v>418</v>
      </c>
      <c r="D226" s="4" t="n">
        <v>6</v>
      </c>
      <c r="E226" s="17" t="s">
        <v>414</v>
      </c>
      <c r="F226" s="18" t="s">
        <v>412</v>
      </c>
    </row>
    <row r="227" customFormat="false" ht="15" hidden="false" customHeight="false" outlineLevel="0" collapsed="false">
      <c r="A227" s="4" t="str">
        <f aca="false">B227&amp;"|"&amp;C227</f>
        <v>tdbR00000001 Ala-CGC|7</v>
      </c>
      <c r="B227" s="4" t="s">
        <v>40</v>
      </c>
      <c r="C227" s="4" t="s">
        <v>419</v>
      </c>
      <c r="D227" s="4" t="n">
        <v>7</v>
      </c>
      <c r="E227" s="17" t="s">
        <v>197</v>
      </c>
      <c r="F227" s="18" t="s">
        <v>412</v>
      </c>
    </row>
    <row r="228" customFormat="false" ht="15" hidden="false" customHeight="false" outlineLevel="0" collapsed="false">
      <c r="A228" s="4" t="str">
        <f aca="false">B228&amp;"|"&amp;C228</f>
        <v>tdbR00000001 Ala-CGC|8</v>
      </c>
      <c r="B228" s="4" t="s">
        <v>40</v>
      </c>
      <c r="C228" s="4" t="s">
        <v>420</v>
      </c>
      <c r="D228" s="4" t="n">
        <v>8</v>
      </c>
      <c r="E228" s="3" t="s">
        <v>259</v>
      </c>
      <c r="F228" s="4" t="s">
        <v>421</v>
      </c>
    </row>
    <row r="229" customFormat="false" ht="15" hidden="false" customHeight="false" outlineLevel="0" collapsed="false">
      <c r="A229" s="4" t="str">
        <f aca="false">B229&amp;"|"&amp;C229</f>
        <v>tdbR00000001 Ala-CGC|9</v>
      </c>
      <c r="B229" s="4" t="s">
        <v>40</v>
      </c>
      <c r="C229" s="4" t="s">
        <v>422</v>
      </c>
      <c r="D229" s="4" t="n">
        <v>9</v>
      </c>
      <c r="E229" s="3" t="s">
        <v>246</v>
      </c>
      <c r="F229" s="4" t="s">
        <v>423</v>
      </c>
    </row>
    <row r="230" customFormat="false" ht="15" hidden="false" customHeight="false" outlineLevel="0" collapsed="false">
      <c r="A230" s="4" t="str">
        <f aca="false">B230&amp;"|"&amp;C230</f>
        <v>tdbR00000001 Ala-CGC|10</v>
      </c>
      <c r="B230" s="4" t="s">
        <v>40</v>
      </c>
      <c r="C230" s="4" t="s">
        <v>424</v>
      </c>
      <c r="D230" s="4" t="n">
        <v>10</v>
      </c>
      <c r="E230" s="8" t="s">
        <v>197</v>
      </c>
      <c r="F230" s="7" t="s">
        <v>425</v>
      </c>
    </row>
    <row r="231" customFormat="false" ht="15" hidden="false" customHeight="false" outlineLevel="0" collapsed="false">
      <c r="A231" s="4" t="str">
        <f aca="false">B231&amp;"|"&amp;C231</f>
        <v>tdbR00000001 Ala-CGC|11</v>
      </c>
      <c r="B231" s="4" t="s">
        <v>40</v>
      </c>
      <c r="C231" s="4" t="s">
        <v>426</v>
      </c>
      <c r="D231" s="4" t="n">
        <v>11</v>
      </c>
      <c r="E231" s="8" t="s">
        <v>246</v>
      </c>
      <c r="F231" s="7" t="s">
        <v>425</v>
      </c>
    </row>
    <row r="232" customFormat="false" ht="15" hidden="false" customHeight="false" outlineLevel="0" collapsed="false">
      <c r="A232" s="4" t="str">
        <f aca="false">B232&amp;"|"&amp;C232</f>
        <v>tdbR00000001 Ala-CGC|12</v>
      </c>
      <c r="B232" s="4" t="s">
        <v>40</v>
      </c>
      <c r="C232" s="4" t="s">
        <v>427</v>
      </c>
      <c r="D232" s="4" t="n">
        <v>12</v>
      </c>
      <c r="E232" s="8" t="s">
        <v>259</v>
      </c>
      <c r="F232" s="7" t="s">
        <v>425</v>
      </c>
    </row>
    <row r="233" customFormat="false" ht="15" hidden="false" customHeight="false" outlineLevel="0" collapsed="false">
      <c r="A233" s="4" t="str">
        <f aca="false">B233&amp;"|"&amp;C233</f>
        <v>tdbR00000001 Ala-CGC|13</v>
      </c>
      <c r="B233" s="4" t="s">
        <v>40</v>
      </c>
      <c r="C233" s="4" t="s">
        <v>428</v>
      </c>
      <c r="D233" s="4" t="n">
        <v>13</v>
      </c>
      <c r="E233" s="8" t="s">
        <v>414</v>
      </c>
      <c r="F233" s="7" t="s">
        <v>425</v>
      </c>
    </row>
    <row r="234" customFormat="false" ht="15" hidden="false" customHeight="false" outlineLevel="0" collapsed="false">
      <c r="A234" s="4" t="str">
        <f aca="false">B234&amp;"|"&amp;C234</f>
        <v>tdbR00000001 Ala-CGC|14</v>
      </c>
      <c r="B234" s="4" t="s">
        <v>40</v>
      </c>
      <c r="C234" s="4" t="s">
        <v>429</v>
      </c>
      <c r="D234" s="4" t="n">
        <v>14</v>
      </c>
      <c r="E234" s="19" t="s">
        <v>246</v>
      </c>
      <c r="F234" s="20" t="s">
        <v>430</v>
      </c>
    </row>
    <row r="235" customFormat="false" ht="15" hidden="false" customHeight="false" outlineLevel="0" collapsed="false">
      <c r="A235" s="4" t="str">
        <f aca="false">B235&amp;"|"&amp;C235</f>
        <v>tdbR00000001 Ala-CGC|15</v>
      </c>
      <c r="B235" s="4" t="s">
        <v>40</v>
      </c>
      <c r="C235" s="4" t="s">
        <v>431</v>
      </c>
      <c r="D235" s="4" t="n">
        <v>15</v>
      </c>
      <c r="E235" s="19" t="s">
        <v>197</v>
      </c>
      <c r="F235" s="20" t="s">
        <v>430</v>
      </c>
    </row>
    <row r="236" customFormat="false" ht="15" hidden="false" customHeight="false" outlineLevel="0" collapsed="false">
      <c r="A236" s="4" t="str">
        <f aca="false">B236&amp;"|"&amp;C236</f>
        <v>tdbR00000001 Ala-CGC|16</v>
      </c>
      <c r="B236" s="4" t="s">
        <v>40</v>
      </c>
      <c r="C236" s="4" t="s">
        <v>432</v>
      </c>
      <c r="D236" s="4" t="n">
        <v>16</v>
      </c>
      <c r="E236" s="19" t="s">
        <v>414</v>
      </c>
      <c r="F236" s="20" t="s">
        <v>430</v>
      </c>
    </row>
    <row r="237" customFormat="false" ht="15" hidden="false" customHeight="false" outlineLevel="0" collapsed="false">
      <c r="A237" s="4" t="str">
        <f aca="false">B237&amp;"|"&amp;C237</f>
        <v>tdbR00000001 Ala-CGC|18</v>
      </c>
      <c r="B237" s="4" t="s">
        <v>40</v>
      </c>
      <c r="C237" s="4" t="s">
        <v>434</v>
      </c>
      <c r="D237" s="4" t="n">
        <v>17</v>
      </c>
      <c r="E237" s="19" t="s">
        <v>197</v>
      </c>
      <c r="F237" s="20" t="s">
        <v>430</v>
      </c>
    </row>
    <row r="238" customFormat="false" ht="15" hidden="false" customHeight="false" outlineLevel="0" collapsed="false">
      <c r="A238" s="4" t="str">
        <f aca="false">B238&amp;"|"&amp;C238</f>
        <v>tdbR00000001 Ala-CGC|19</v>
      </c>
      <c r="B238" s="4" t="s">
        <v>40</v>
      </c>
      <c r="C238" s="4" t="s">
        <v>435</v>
      </c>
      <c r="D238" s="4" t="n">
        <v>18</v>
      </c>
      <c r="E238" s="19" t="s">
        <v>197</v>
      </c>
      <c r="F238" s="20" t="s">
        <v>430</v>
      </c>
    </row>
    <row r="239" customFormat="false" ht="15" hidden="false" customHeight="false" outlineLevel="0" collapsed="false">
      <c r="A239" s="4" t="str">
        <f aca="false">B239&amp;"|"&amp;C239</f>
        <v>tdbR00000001 Ala-CGC|20</v>
      </c>
      <c r="B239" s="4" t="s">
        <v>40</v>
      </c>
      <c r="C239" s="4" t="s">
        <v>436</v>
      </c>
      <c r="D239" s="4" t="n">
        <v>19</v>
      </c>
      <c r="E239" s="19" t="s">
        <v>259</v>
      </c>
      <c r="F239" s="20" t="s">
        <v>430</v>
      </c>
    </row>
    <row r="240" customFormat="false" ht="15" hidden="false" customHeight="false" outlineLevel="0" collapsed="false">
      <c r="A240" s="4" t="str">
        <f aca="false">B240&amp;"|"&amp;C240</f>
        <v>tdbR00000001 Ala-CGC|21</v>
      </c>
      <c r="B240" s="4" t="s">
        <v>40</v>
      </c>
      <c r="C240" s="4" t="s">
        <v>438</v>
      </c>
      <c r="D240" s="4" t="n">
        <v>20</v>
      </c>
      <c r="E240" s="19" t="s">
        <v>246</v>
      </c>
      <c r="F240" s="20" t="s">
        <v>430</v>
      </c>
    </row>
    <row r="241" customFormat="false" ht="15" hidden="false" customHeight="false" outlineLevel="0" collapsed="false">
      <c r="A241" s="4" t="str">
        <f aca="false">B241&amp;"|"&amp;C241</f>
        <v>tdbR00000001 Ala-CGC|22</v>
      </c>
      <c r="B241" s="4" t="s">
        <v>40</v>
      </c>
      <c r="C241" s="4" t="s">
        <v>439</v>
      </c>
      <c r="D241" s="4" t="n">
        <v>21</v>
      </c>
      <c r="E241" s="8" t="s">
        <v>197</v>
      </c>
      <c r="F241" s="7" t="s">
        <v>425</v>
      </c>
    </row>
    <row r="242" customFormat="false" ht="15" hidden="false" customHeight="false" outlineLevel="0" collapsed="false">
      <c r="A242" s="4" t="str">
        <f aca="false">B242&amp;"|"&amp;C242</f>
        <v>tdbR00000001 Ala-CGC|23</v>
      </c>
      <c r="B242" s="4" t="s">
        <v>40</v>
      </c>
      <c r="C242" s="4" t="s">
        <v>440</v>
      </c>
      <c r="D242" s="4" t="n">
        <v>22</v>
      </c>
      <c r="E242" s="8" t="s">
        <v>246</v>
      </c>
      <c r="F242" s="7" t="s">
        <v>425</v>
      </c>
    </row>
    <row r="243" customFormat="false" ht="15" hidden="false" customHeight="false" outlineLevel="0" collapsed="false">
      <c r="A243" s="4" t="str">
        <f aca="false">B243&amp;"|"&amp;C243</f>
        <v>tdbR00000001 Ala-CGC|24</v>
      </c>
      <c r="B243" s="4" t="s">
        <v>40</v>
      </c>
      <c r="C243" s="4" t="s">
        <v>441</v>
      </c>
      <c r="D243" s="4" t="n">
        <v>23</v>
      </c>
      <c r="E243" s="8" t="s">
        <v>259</v>
      </c>
      <c r="F243" s="7" t="s">
        <v>425</v>
      </c>
    </row>
    <row r="244" customFormat="false" ht="15" hidden="false" customHeight="false" outlineLevel="0" collapsed="false">
      <c r="A244" s="4" t="str">
        <f aca="false">B244&amp;"|"&amp;C244</f>
        <v>tdbR00000001 Ala-CGC|25</v>
      </c>
      <c r="B244" s="4" t="s">
        <v>40</v>
      </c>
      <c r="C244" s="4" t="s">
        <v>442</v>
      </c>
      <c r="D244" s="4" t="n">
        <v>24</v>
      </c>
      <c r="E244" s="8" t="s">
        <v>414</v>
      </c>
      <c r="F244" s="7" t="s">
        <v>425</v>
      </c>
    </row>
    <row r="245" customFormat="false" ht="15" hidden="false" customHeight="false" outlineLevel="0" collapsed="false">
      <c r="A245" s="4" t="str">
        <f aca="false">B245&amp;"|"&amp;C245</f>
        <v>tdbR00000001 Ala-CGC|26</v>
      </c>
      <c r="B245" s="4" t="s">
        <v>40</v>
      </c>
      <c r="C245" s="4" t="s">
        <v>443</v>
      </c>
      <c r="D245" s="4" t="n">
        <v>25</v>
      </c>
      <c r="E245" s="3" t="s">
        <v>197</v>
      </c>
      <c r="F245" s="4" t="s">
        <v>444</v>
      </c>
    </row>
    <row r="246" customFormat="false" ht="15" hidden="false" customHeight="false" outlineLevel="0" collapsed="false">
      <c r="A246" s="4" t="str">
        <f aca="false">B246&amp;"|"&amp;C246</f>
        <v>tdbR00000001 Ala-CGC|27</v>
      </c>
      <c r="B246" s="4" t="s">
        <v>40</v>
      </c>
      <c r="C246" s="4" t="s">
        <v>445</v>
      </c>
      <c r="D246" s="4" t="n">
        <v>26</v>
      </c>
      <c r="E246" s="21" t="s">
        <v>414</v>
      </c>
      <c r="F246" s="22" t="s">
        <v>446</v>
      </c>
    </row>
    <row r="247" customFormat="false" ht="15" hidden="false" customHeight="false" outlineLevel="0" collapsed="false">
      <c r="A247" s="4" t="str">
        <f aca="false">B247&amp;"|"&amp;C247</f>
        <v>tdbR00000001 Ala-CGC|28</v>
      </c>
      <c r="B247" s="4" t="s">
        <v>40</v>
      </c>
      <c r="C247" s="4" t="s">
        <v>447</v>
      </c>
      <c r="D247" s="4" t="n">
        <v>27</v>
      </c>
      <c r="E247" s="21" t="s">
        <v>259</v>
      </c>
      <c r="F247" s="22" t="s">
        <v>446</v>
      </c>
    </row>
    <row r="248" customFormat="false" ht="15" hidden="false" customHeight="false" outlineLevel="0" collapsed="false">
      <c r="A248" s="4" t="str">
        <f aca="false">B248&amp;"|"&amp;C248</f>
        <v>tdbR00000001 Ala-CGC|29</v>
      </c>
      <c r="B248" s="4" t="s">
        <v>40</v>
      </c>
      <c r="C248" s="4" t="s">
        <v>448</v>
      </c>
      <c r="D248" s="4" t="n">
        <v>28</v>
      </c>
      <c r="E248" s="21" t="s">
        <v>259</v>
      </c>
      <c r="F248" s="22" t="s">
        <v>446</v>
      </c>
    </row>
    <row r="249" customFormat="false" ht="15" hidden="false" customHeight="false" outlineLevel="0" collapsed="false">
      <c r="A249" s="4" t="str">
        <f aca="false">B249&amp;"|"&amp;C249</f>
        <v>tdbR00000001 Ala-CGC|30</v>
      </c>
      <c r="B249" s="4" t="s">
        <v>40</v>
      </c>
      <c r="C249" s="4" t="s">
        <v>449</v>
      </c>
      <c r="D249" s="4" t="n">
        <v>29</v>
      </c>
      <c r="E249" s="21" t="s">
        <v>414</v>
      </c>
      <c r="F249" s="22" t="s">
        <v>446</v>
      </c>
    </row>
    <row r="250" customFormat="false" ht="15" hidden="false" customHeight="false" outlineLevel="0" collapsed="false">
      <c r="A250" s="4" t="str">
        <f aca="false">B250&amp;"|"&amp;C250</f>
        <v>tdbR00000001 Ala-CGC|31</v>
      </c>
      <c r="B250" s="4" t="s">
        <v>40</v>
      </c>
      <c r="C250" s="4" t="s">
        <v>450</v>
      </c>
      <c r="D250" s="4" t="n">
        <v>30</v>
      </c>
      <c r="E250" s="21" t="s">
        <v>414</v>
      </c>
      <c r="F250" s="22" t="s">
        <v>446</v>
      </c>
    </row>
    <row r="251" customFormat="false" ht="15" hidden="false" customHeight="false" outlineLevel="0" collapsed="false">
      <c r="A251" s="4" t="str">
        <f aca="false">B251&amp;"|"&amp;C251</f>
        <v>tdbR00000001 Ala-CGC|32</v>
      </c>
      <c r="B251" s="4" t="s">
        <v>40</v>
      </c>
      <c r="C251" s="4" t="s">
        <v>451</v>
      </c>
      <c r="D251" s="4" t="n">
        <v>31</v>
      </c>
      <c r="E251" s="19" t="s">
        <v>259</v>
      </c>
      <c r="F251" s="20" t="s">
        <v>452</v>
      </c>
    </row>
    <row r="252" customFormat="false" ht="15" hidden="false" customHeight="false" outlineLevel="0" collapsed="false">
      <c r="A252" s="4" t="str">
        <f aca="false">B252&amp;"|"&amp;C252</f>
        <v>tdbR00000001 Ala-CGC|33</v>
      </c>
      <c r="B252" s="4" t="s">
        <v>40</v>
      </c>
      <c r="C252" s="4" t="s">
        <v>453</v>
      </c>
      <c r="D252" s="4" t="n">
        <v>32</v>
      </c>
      <c r="E252" s="19" t="s">
        <v>259</v>
      </c>
      <c r="F252" s="20" t="s">
        <v>452</v>
      </c>
    </row>
    <row r="253" customFormat="false" ht="15" hidden="false" customHeight="false" outlineLevel="0" collapsed="false">
      <c r="A253" s="4" t="str">
        <f aca="false">B253&amp;"|"&amp;C253</f>
        <v>tdbR00000001 Ala-CGC|34</v>
      </c>
      <c r="B253" s="4" t="s">
        <v>40</v>
      </c>
      <c r="C253" s="4" t="s">
        <v>454</v>
      </c>
      <c r="D253" s="4" t="n">
        <v>33</v>
      </c>
      <c r="E253" s="19" t="s">
        <v>414</v>
      </c>
      <c r="F253" s="20" t="s">
        <v>452</v>
      </c>
    </row>
    <row r="254" customFormat="false" ht="15" hidden="false" customHeight="false" outlineLevel="0" collapsed="false">
      <c r="A254" s="4" t="str">
        <f aca="false">B254&amp;"|"&amp;C254</f>
        <v>tdbR00000001 Ala-CGC|35</v>
      </c>
      <c r="B254" s="4" t="s">
        <v>40</v>
      </c>
      <c r="C254" s="4" t="s">
        <v>455</v>
      </c>
      <c r="D254" s="4" t="n">
        <v>34</v>
      </c>
      <c r="E254" s="19" t="s">
        <v>197</v>
      </c>
      <c r="F254" s="20" t="s">
        <v>452</v>
      </c>
    </row>
    <row r="255" customFormat="false" ht="15" hidden="false" customHeight="false" outlineLevel="0" collapsed="false">
      <c r="A255" s="4" t="str">
        <f aca="false">B255&amp;"|"&amp;C255</f>
        <v>tdbR00000001 Ala-CGC|36</v>
      </c>
      <c r="B255" s="4" t="s">
        <v>40</v>
      </c>
      <c r="C255" s="4" t="s">
        <v>456</v>
      </c>
      <c r="D255" s="4" t="n">
        <v>35</v>
      </c>
      <c r="E255" s="19" t="s">
        <v>414</v>
      </c>
      <c r="F255" s="20" t="s">
        <v>452</v>
      </c>
    </row>
    <row r="256" customFormat="false" ht="15" hidden="false" customHeight="false" outlineLevel="0" collapsed="false">
      <c r="A256" s="4" t="str">
        <f aca="false">B256&amp;"|"&amp;C256</f>
        <v>tdbR00000001 Ala-CGC|37</v>
      </c>
      <c r="B256" s="4" t="s">
        <v>40</v>
      </c>
      <c r="C256" s="4" t="s">
        <v>457</v>
      </c>
      <c r="D256" s="4" t="n">
        <v>36</v>
      </c>
      <c r="E256" s="19" t="s">
        <v>246</v>
      </c>
      <c r="F256" s="20" t="s">
        <v>452</v>
      </c>
    </row>
    <row r="257" customFormat="false" ht="15" hidden="false" customHeight="false" outlineLevel="0" collapsed="false">
      <c r="A257" s="4" t="str">
        <f aca="false">B257&amp;"|"&amp;C257</f>
        <v>tdbR00000001 Ala-CGC|38</v>
      </c>
      <c r="B257" s="4" t="s">
        <v>40</v>
      </c>
      <c r="C257" s="4" t="s">
        <v>458</v>
      </c>
      <c r="D257" s="4" t="n">
        <v>37</v>
      </c>
      <c r="E257" s="19" t="s">
        <v>246</v>
      </c>
      <c r="F257" s="20" t="s">
        <v>452</v>
      </c>
    </row>
    <row r="258" customFormat="false" ht="15" hidden="false" customHeight="false" outlineLevel="0" collapsed="false">
      <c r="A258" s="4" t="str">
        <f aca="false">B258&amp;"|"&amp;C258</f>
        <v>tdbR00000001 Ala-CGC|39</v>
      </c>
      <c r="B258" s="4" t="s">
        <v>40</v>
      </c>
      <c r="C258" s="4" t="s">
        <v>459</v>
      </c>
      <c r="D258" s="4" t="n">
        <v>38</v>
      </c>
      <c r="E258" s="21" t="s">
        <v>197</v>
      </c>
      <c r="F258" s="22" t="s">
        <v>446</v>
      </c>
    </row>
    <row r="259" customFormat="false" ht="15" hidden="false" customHeight="false" outlineLevel="0" collapsed="false">
      <c r="A259" s="4" t="str">
        <f aca="false">B259&amp;"|"&amp;C259</f>
        <v>tdbR00000001 Ala-CGC|40</v>
      </c>
      <c r="B259" s="4" t="s">
        <v>40</v>
      </c>
      <c r="C259" s="4" t="s">
        <v>460</v>
      </c>
      <c r="D259" s="4" t="n">
        <v>39</v>
      </c>
      <c r="E259" s="21" t="s">
        <v>197</v>
      </c>
      <c r="F259" s="22" t="s">
        <v>446</v>
      </c>
    </row>
    <row r="260" customFormat="false" ht="15" hidden="false" customHeight="false" outlineLevel="0" collapsed="false">
      <c r="A260" s="4" t="str">
        <f aca="false">B260&amp;"|"&amp;C260</f>
        <v>tdbR00000001 Ala-CGC|41</v>
      </c>
      <c r="B260" s="4" t="s">
        <v>40</v>
      </c>
      <c r="C260" s="4" t="s">
        <v>461</v>
      </c>
      <c r="D260" s="4" t="n">
        <v>40</v>
      </c>
      <c r="E260" s="21" t="s">
        <v>246</v>
      </c>
      <c r="F260" s="22" t="s">
        <v>446</v>
      </c>
    </row>
    <row r="261" customFormat="false" ht="15" hidden="false" customHeight="false" outlineLevel="0" collapsed="false">
      <c r="A261" s="4" t="str">
        <f aca="false">B261&amp;"|"&amp;C261</f>
        <v>tdbR00000001 Ala-CGC|42</v>
      </c>
      <c r="B261" s="4" t="s">
        <v>40</v>
      </c>
      <c r="C261" s="4" t="s">
        <v>462</v>
      </c>
      <c r="D261" s="4" t="n">
        <v>41</v>
      </c>
      <c r="E261" s="21" t="s">
        <v>246</v>
      </c>
      <c r="F261" s="22" t="s">
        <v>446</v>
      </c>
    </row>
    <row r="262" customFormat="false" ht="15" hidden="false" customHeight="false" outlineLevel="0" collapsed="false">
      <c r="A262" s="4" t="str">
        <f aca="false">B262&amp;"|"&amp;C262</f>
        <v>tdbR00000001 Ala-CGC|43</v>
      </c>
      <c r="B262" s="4" t="s">
        <v>40</v>
      </c>
      <c r="C262" s="4" t="s">
        <v>463</v>
      </c>
      <c r="D262" s="4" t="n">
        <v>42</v>
      </c>
      <c r="E262" s="21" t="s">
        <v>197</v>
      </c>
      <c r="F262" s="22" t="s">
        <v>446</v>
      </c>
    </row>
    <row r="263" customFormat="false" ht="15" hidden="false" customHeight="false" outlineLevel="0" collapsed="false">
      <c r="A263" s="4" t="str">
        <f aca="false">B263&amp;"|"&amp;C263</f>
        <v>tdbR00000001 Ala-CGC|44</v>
      </c>
      <c r="B263" s="4" t="s">
        <v>40</v>
      </c>
      <c r="C263" s="4" t="s">
        <v>464</v>
      </c>
      <c r="D263" s="4" t="n">
        <v>43</v>
      </c>
      <c r="E263" s="19" t="s">
        <v>246</v>
      </c>
      <c r="F263" s="20" t="s">
        <v>465</v>
      </c>
    </row>
    <row r="264" customFormat="false" ht="15" hidden="false" customHeight="false" outlineLevel="0" collapsed="false">
      <c r="A264" s="4" t="str">
        <f aca="false">B264&amp;"|"&amp;C264</f>
        <v>tdbR00000001 Ala-CGC|45</v>
      </c>
      <c r="B264" s="4" t="s">
        <v>40</v>
      </c>
      <c r="C264" s="4" t="s">
        <v>466</v>
      </c>
      <c r="D264" s="4" t="n">
        <v>44</v>
      </c>
      <c r="E264" s="19" t="s">
        <v>197</v>
      </c>
      <c r="F264" s="20" t="s">
        <v>465</v>
      </c>
    </row>
    <row r="265" customFormat="false" ht="15" hidden="false" customHeight="false" outlineLevel="0" collapsed="false">
      <c r="A265" s="4" t="str">
        <f aca="false">B265&amp;"|"&amp;C265</f>
        <v>tdbR00000001 Ala-CGC|46</v>
      </c>
      <c r="B265" s="4" t="s">
        <v>40</v>
      </c>
      <c r="C265" s="4" t="s">
        <v>467</v>
      </c>
      <c r="D265" s="4" t="n">
        <v>45</v>
      </c>
      <c r="E265" s="19" t="s">
        <v>197</v>
      </c>
      <c r="F265" s="20" t="s">
        <v>465</v>
      </c>
    </row>
    <row r="266" customFormat="false" ht="15" hidden="false" customHeight="false" outlineLevel="0" collapsed="false">
      <c r="A266" s="4" t="str">
        <f aca="false">B266&amp;"|"&amp;C266</f>
        <v>tdbR00000001 Ala-CGC|47</v>
      </c>
      <c r="B266" s="4" t="s">
        <v>40</v>
      </c>
      <c r="C266" s="4" t="s">
        <v>468</v>
      </c>
      <c r="D266" s="4" t="n">
        <v>46</v>
      </c>
      <c r="E266" s="19" t="s">
        <v>414</v>
      </c>
      <c r="F266" s="20" t="s">
        <v>465</v>
      </c>
    </row>
    <row r="267" customFormat="false" ht="15" hidden="false" customHeight="false" outlineLevel="0" collapsed="false">
      <c r="A267" s="4" t="str">
        <f aca="false">B267&amp;"|"&amp;C267</f>
        <v>tdbR00000001 Ala-CGC|48</v>
      </c>
      <c r="B267" s="4" t="s">
        <v>40</v>
      </c>
      <c r="C267" s="4" t="s">
        <v>469</v>
      </c>
      <c r="D267" s="4" t="n">
        <v>47</v>
      </c>
      <c r="E267" s="19" t="s">
        <v>414</v>
      </c>
      <c r="F267" s="20" t="s">
        <v>465</v>
      </c>
    </row>
    <row r="268" customFormat="false" ht="15" hidden="false" customHeight="false" outlineLevel="0" collapsed="false">
      <c r="A268" s="4" t="str">
        <f aca="false">B268&amp;"|"&amp;C268</f>
        <v>tdbR00000001 Ala-CGC|49</v>
      </c>
      <c r="B268" s="4" t="s">
        <v>40</v>
      </c>
      <c r="C268" s="4" t="s">
        <v>470</v>
      </c>
      <c r="D268" s="4" t="n">
        <v>48</v>
      </c>
      <c r="E268" s="23" t="s">
        <v>414</v>
      </c>
      <c r="F268" s="10" t="s">
        <v>471</v>
      </c>
    </row>
    <row r="269" customFormat="false" ht="15" hidden="false" customHeight="false" outlineLevel="0" collapsed="false">
      <c r="A269" s="4" t="str">
        <f aca="false">B269&amp;"|"&amp;C269</f>
        <v>tdbR00000001 Ala-CGC|50</v>
      </c>
      <c r="B269" s="4" t="s">
        <v>40</v>
      </c>
      <c r="C269" s="4" t="s">
        <v>472</v>
      </c>
      <c r="D269" s="4" t="n">
        <v>49</v>
      </c>
      <c r="E269" s="23" t="s">
        <v>259</v>
      </c>
      <c r="F269" s="10" t="s">
        <v>471</v>
      </c>
    </row>
    <row r="270" customFormat="false" ht="15" hidden="false" customHeight="false" outlineLevel="0" collapsed="false">
      <c r="A270" s="4" t="str">
        <f aca="false">B270&amp;"|"&amp;C270</f>
        <v>tdbR00000001 Ala-CGC|51</v>
      </c>
      <c r="B270" s="4" t="s">
        <v>40</v>
      </c>
      <c r="C270" s="4" t="s">
        <v>473</v>
      </c>
      <c r="D270" s="4" t="n">
        <v>50</v>
      </c>
      <c r="E270" s="23" t="s">
        <v>197</v>
      </c>
      <c r="F270" s="10" t="s">
        <v>471</v>
      </c>
    </row>
    <row r="271" customFormat="false" ht="15" hidden="false" customHeight="false" outlineLevel="0" collapsed="false">
      <c r="A271" s="4" t="str">
        <f aca="false">B271&amp;"|"&amp;C271</f>
        <v>tdbR00000001 Ala-CGC|52</v>
      </c>
      <c r="B271" s="4" t="s">
        <v>40</v>
      </c>
      <c r="C271" s="4" t="s">
        <v>474</v>
      </c>
      <c r="D271" s="4" t="n">
        <v>51</v>
      </c>
      <c r="E271" s="23" t="s">
        <v>197</v>
      </c>
      <c r="F271" s="10" t="s">
        <v>471</v>
      </c>
    </row>
    <row r="272" customFormat="false" ht="15" hidden="false" customHeight="false" outlineLevel="0" collapsed="false">
      <c r="A272" s="4" t="str">
        <f aca="false">B272&amp;"|"&amp;C272</f>
        <v>tdbR00000001 Ala-CGC|53</v>
      </c>
      <c r="B272" s="4" t="s">
        <v>40</v>
      </c>
      <c r="C272" s="4" t="s">
        <v>475</v>
      </c>
      <c r="D272" s="4" t="n">
        <v>52</v>
      </c>
      <c r="E272" s="23" t="s">
        <v>197</v>
      </c>
      <c r="F272" s="10" t="s">
        <v>471</v>
      </c>
    </row>
    <row r="273" customFormat="false" ht="15" hidden="false" customHeight="false" outlineLevel="0" collapsed="false">
      <c r="A273" s="4" t="str">
        <f aca="false">B273&amp;"|"&amp;C273</f>
        <v>tdbR00000001 Ala-CGC|54</v>
      </c>
      <c r="B273" s="4" t="s">
        <v>40</v>
      </c>
      <c r="C273" s="4" t="s">
        <v>476</v>
      </c>
      <c r="D273" s="4" t="n">
        <v>53</v>
      </c>
      <c r="E273" s="19" t="s">
        <v>259</v>
      </c>
      <c r="F273" s="20" t="s">
        <v>477</v>
      </c>
    </row>
    <row r="274" customFormat="false" ht="15" hidden="false" customHeight="false" outlineLevel="0" collapsed="false">
      <c r="A274" s="4" t="str">
        <f aca="false">B274&amp;"|"&amp;C274</f>
        <v>tdbR00000001 Ala-CGC|55</v>
      </c>
      <c r="B274" s="4" t="s">
        <v>40</v>
      </c>
      <c r="C274" s="4" t="s">
        <v>478</v>
      </c>
      <c r="D274" s="4" t="n">
        <v>54</v>
      </c>
      <c r="E274" s="19" t="s">
        <v>259</v>
      </c>
      <c r="F274" s="20" t="s">
        <v>477</v>
      </c>
    </row>
    <row r="275" customFormat="false" ht="15" hidden="false" customHeight="false" outlineLevel="0" collapsed="false">
      <c r="A275" s="4" t="str">
        <f aca="false">B275&amp;"|"&amp;C275</f>
        <v>tdbR00000001 Ala-CGC|56</v>
      </c>
      <c r="B275" s="4" t="s">
        <v>40</v>
      </c>
      <c r="C275" s="4" t="s">
        <v>479</v>
      </c>
      <c r="D275" s="4" t="n">
        <v>55</v>
      </c>
      <c r="E275" s="19" t="s">
        <v>414</v>
      </c>
      <c r="F275" s="20" t="s">
        <v>477</v>
      </c>
    </row>
    <row r="276" customFormat="false" ht="15" hidden="false" customHeight="false" outlineLevel="0" collapsed="false">
      <c r="A276" s="4" t="str">
        <f aca="false">B276&amp;"|"&amp;C276</f>
        <v>tdbR00000001 Ala-CGC|57</v>
      </c>
      <c r="B276" s="4" t="s">
        <v>40</v>
      </c>
      <c r="C276" s="4" t="s">
        <v>480</v>
      </c>
      <c r="D276" s="4" t="n">
        <v>56</v>
      </c>
      <c r="E276" s="19" t="s">
        <v>246</v>
      </c>
      <c r="F276" s="20" t="s">
        <v>477</v>
      </c>
    </row>
    <row r="277" customFormat="false" ht="15" hidden="false" customHeight="false" outlineLevel="0" collapsed="false">
      <c r="A277" s="4" t="str">
        <f aca="false">B277&amp;"|"&amp;C277</f>
        <v>tdbR00000001 Ala-CGC|58</v>
      </c>
      <c r="B277" s="4" t="s">
        <v>40</v>
      </c>
      <c r="C277" s="4" t="s">
        <v>481</v>
      </c>
      <c r="D277" s="4" t="n">
        <v>57</v>
      </c>
      <c r="E277" s="19" t="s">
        <v>246</v>
      </c>
      <c r="F277" s="20" t="s">
        <v>477</v>
      </c>
    </row>
    <row r="278" customFormat="false" ht="15" hidden="false" customHeight="false" outlineLevel="0" collapsed="false">
      <c r="A278" s="4" t="str">
        <f aca="false">B278&amp;"|"&amp;C278</f>
        <v>tdbR00000001 Ala-CGC|59</v>
      </c>
      <c r="B278" s="4" t="s">
        <v>40</v>
      </c>
      <c r="C278" s="4" t="s">
        <v>482</v>
      </c>
      <c r="D278" s="4" t="n">
        <v>58</v>
      </c>
      <c r="E278" s="19" t="s">
        <v>246</v>
      </c>
      <c r="F278" s="20" t="s">
        <v>477</v>
      </c>
    </row>
    <row r="279" customFormat="false" ht="15" hidden="false" customHeight="false" outlineLevel="0" collapsed="false">
      <c r="A279" s="4" t="str">
        <f aca="false">B279&amp;"|"&amp;C279</f>
        <v>tdbR00000001 Ala-CGC|60</v>
      </c>
      <c r="B279" s="4" t="s">
        <v>40</v>
      </c>
      <c r="C279" s="4" t="s">
        <v>483</v>
      </c>
      <c r="D279" s="4" t="n">
        <v>59</v>
      </c>
      <c r="E279" s="19" t="s">
        <v>259</v>
      </c>
      <c r="F279" s="20" t="s">
        <v>477</v>
      </c>
    </row>
    <row r="280" customFormat="false" ht="15" hidden="false" customHeight="false" outlineLevel="0" collapsed="false">
      <c r="A280" s="4" t="str">
        <f aca="false">B280&amp;"|"&amp;C280</f>
        <v>tdbR00000001 Ala-CGC|61</v>
      </c>
      <c r="B280" s="4" t="s">
        <v>40</v>
      </c>
      <c r="C280" s="4" t="s">
        <v>484</v>
      </c>
      <c r="D280" s="4" t="n">
        <v>60</v>
      </c>
      <c r="E280" s="23" t="s">
        <v>414</v>
      </c>
      <c r="F280" s="10" t="s">
        <v>471</v>
      </c>
    </row>
    <row r="281" customFormat="false" ht="15" hidden="false" customHeight="false" outlineLevel="0" collapsed="false">
      <c r="A281" s="4" t="str">
        <f aca="false">B281&amp;"|"&amp;C281</f>
        <v>tdbR00000001 Ala-CGC|62</v>
      </c>
      <c r="B281" s="4" t="s">
        <v>40</v>
      </c>
      <c r="C281" s="4" t="s">
        <v>485</v>
      </c>
      <c r="D281" s="4" t="n">
        <v>61</v>
      </c>
      <c r="E281" s="23" t="s">
        <v>414</v>
      </c>
      <c r="F281" s="10" t="s">
        <v>471</v>
      </c>
    </row>
    <row r="282" customFormat="false" ht="15" hidden="false" customHeight="false" outlineLevel="0" collapsed="false">
      <c r="A282" s="4" t="str">
        <f aca="false">B282&amp;"|"&amp;C282</f>
        <v>tdbR00000001 Ala-CGC|63</v>
      </c>
      <c r="B282" s="4" t="s">
        <v>40</v>
      </c>
      <c r="C282" s="4" t="s">
        <v>486</v>
      </c>
      <c r="D282" s="4" t="n">
        <v>62</v>
      </c>
      <c r="E282" s="23" t="s">
        <v>414</v>
      </c>
      <c r="F282" s="10" t="s">
        <v>471</v>
      </c>
    </row>
    <row r="283" customFormat="false" ht="15" hidden="false" customHeight="false" outlineLevel="0" collapsed="false">
      <c r="A283" s="4" t="str">
        <f aca="false">B283&amp;"|"&amp;C283</f>
        <v>tdbR00000001 Ala-CGC|64</v>
      </c>
      <c r="B283" s="4" t="s">
        <v>40</v>
      </c>
      <c r="C283" s="4" t="s">
        <v>487</v>
      </c>
      <c r="D283" s="4" t="n">
        <v>63</v>
      </c>
      <c r="E283" s="23" t="s">
        <v>246</v>
      </c>
      <c r="F283" s="10" t="s">
        <v>471</v>
      </c>
    </row>
    <row r="284" customFormat="false" ht="15" hidden="false" customHeight="false" outlineLevel="0" collapsed="false">
      <c r="A284" s="4" t="str">
        <f aca="false">B284&amp;"|"&amp;C284</f>
        <v>tdbR00000001 Ala-CGC|65</v>
      </c>
      <c r="B284" s="4" t="s">
        <v>40</v>
      </c>
      <c r="C284" s="4" t="s">
        <v>488</v>
      </c>
      <c r="D284" s="4" t="n">
        <v>64</v>
      </c>
      <c r="E284" s="23" t="s">
        <v>197</v>
      </c>
      <c r="F284" s="10" t="s">
        <v>471</v>
      </c>
    </row>
    <row r="285" customFormat="false" ht="15" hidden="false" customHeight="false" outlineLevel="0" collapsed="false">
      <c r="A285" s="4" t="str">
        <f aca="false">B285&amp;"|"&amp;C285</f>
        <v>tdbR00000001 Ala-CGC|66</v>
      </c>
      <c r="B285" s="4" t="s">
        <v>40</v>
      </c>
      <c r="C285" s="4" t="s">
        <v>489</v>
      </c>
      <c r="D285" s="4" t="n">
        <v>65</v>
      </c>
      <c r="E285" s="17" t="s">
        <v>414</v>
      </c>
      <c r="F285" s="18" t="s">
        <v>412</v>
      </c>
    </row>
    <row r="286" customFormat="false" ht="15" hidden="false" customHeight="false" outlineLevel="0" collapsed="false">
      <c r="A286" s="4" t="str">
        <f aca="false">B286&amp;"|"&amp;C286</f>
        <v>tdbR00000001 Ala-CGC|67</v>
      </c>
      <c r="B286" s="4" t="s">
        <v>40</v>
      </c>
      <c r="C286" s="4" t="s">
        <v>490</v>
      </c>
      <c r="D286" s="4" t="n">
        <v>66</v>
      </c>
      <c r="E286" s="17" t="s">
        <v>197</v>
      </c>
      <c r="F286" s="18" t="s">
        <v>412</v>
      </c>
    </row>
    <row r="287" customFormat="false" ht="15" hidden="false" customHeight="false" outlineLevel="0" collapsed="false">
      <c r="A287" s="4" t="str">
        <f aca="false">B287&amp;"|"&amp;C287</f>
        <v>tdbR00000001 Ala-CGC|68</v>
      </c>
      <c r="B287" s="4" t="s">
        <v>40</v>
      </c>
      <c r="C287" s="4" t="s">
        <v>491</v>
      </c>
      <c r="D287" s="4" t="n">
        <v>67</v>
      </c>
      <c r="E287" s="17" t="s">
        <v>246</v>
      </c>
      <c r="F287" s="18" t="s">
        <v>412</v>
      </c>
    </row>
    <row r="288" customFormat="false" ht="15" hidden="false" customHeight="false" outlineLevel="0" collapsed="false">
      <c r="A288" s="4" t="str">
        <f aca="false">B288&amp;"|"&amp;C288</f>
        <v>tdbR00000001 Ala-CGC|69</v>
      </c>
      <c r="B288" s="4" t="s">
        <v>40</v>
      </c>
      <c r="C288" s="4" t="s">
        <v>492</v>
      </c>
      <c r="D288" s="4" t="n">
        <v>68</v>
      </c>
      <c r="E288" s="17" t="s">
        <v>197</v>
      </c>
      <c r="F288" s="18" t="s">
        <v>412</v>
      </c>
    </row>
    <row r="289" customFormat="false" ht="15" hidden="false" customHeight="false" outlineLevel="0" collapsed="false">
      <c r="A289" s="4" t="str">
        <f aca="false">B289&amp;"|"&amp;C289</f>
        <v>tdbR00000001 Ala-CGC|70</v>
      </c>
      <c r="B289" s="4" t="s">
        <v>40</v>
      </c>
      <c r="C289" s="4" t="s">
        <v>493</v>
      </c>
      <c r="D289" s="4" t="n">
        <v>69</v>
      </c>
      <c r="E289" s="17" t="s">
        <v>259</v>
      </c>
      <c r="F289" s="18" t="s">
        <v>412</v>
      </c>
    </row>
    <row r="290" customFormat="false" ht="15" hidden="false" customHeight="false" outlineLevel="0" collapsed="false">
      <c r="A290" s="4" t="str">
        <f aca="false">B290&amp;"|"&amp;C290</f>
        <v>tdbR00000001 Ala-CGC|71</v>
      </c>
      <c r="B290" s="4" t="s">
        <v>40</v>
      </c>
      <c r="C290" s="4" t="s">
        <v>494</v>
      </c>
      <c r="D290" s="4" t="n">
        <v>70</v>
      </c>
      <c r="E290" s="17" t="s">
        <v>414</v>
      </c>
      <c r="F290" s="18" t="s">
        <v>412</v>
      </c>
    </row>
    <row r="291" customFormat="false" ht="15" hidden="false" customHeight="false" outlineLevel="0" collapsed="false">
      <c r="A291" s="4" t="str">
        <f aca="false">B291&amp;"|"&amp;C291</f>
        <v>tdbR00000001 Ala-CGC|72</v>
      </c>
      <c r="B291" s="4" t="s">
        <v>40</v>
      </c>
      <c r="C291" s="4" t="s">
        <v>495</v>
      </c>
      <c r="D291" s="4" t="n">
        <v>71</v>
      </c>
      <c r="E291" s="17" t="s">
        <v>414</v>
      </c>
      <c r="F291" s="18" t="s">
        <v>412</v>
      </c>
    </row>
    <row r="292" customFormat="false" ht="15" hidden="false" customHeight="false" outlineLevel="0" collapsed="false">
      <c r="A292" s="4" t="str">
        <f aca="false">B292&amp;"|"&amp;C292</f>
        <v>tdbR00000499 Ile-CAU|1</v>
      </c>
      <c r="B292" s="4" t="s">
        <v>41</v>
      </c>
      <c r="C292" s="4" t="s">
        <v>411</v>
      </c>
      <c r="D292" s="4" t="n">
        <v>1</v>
      </c>
      <c r="E292" s="17" t="s">
        <v>246</v>
      </c>
      <c r="F292" s="18" t="s">
        <v>412</v>
      </c>
    </row>
    <row r="293" customFormat="false" ht="15" hidden="false" customHeight="false" outlineLevel="0" collapsed="false">
      <c r="A293" s="4" t="str">
        <f aca="false">B293&amp;"|"&amp;C293</f>
        <v>tdbR00000499 Ile-CAU|2</v>
      </c>
      <c r="B293" s="4" t="s">
        <v>41</v>
      </c>
      <c r="C293" s="4" t="s">
        <v>413</v>
      </c>
      <c r="D293" s="4" t="n">
        <v>2</v>
      </c>
      <c r="E293" s="17" t="s">
        <v>197</v>
      </c>
      <c r="F293" s="18" t="s">
        <v>412</v>
      </c>
    </row>
    <row r="294" customFormat="false" ht="15" hidden="false" customHeight="false" outlineLevel="0" collapsed="false">
      <c r="A294" s="4" t="str">
        <f aca="false">B294&amp;"|"&amp;C294</f>
        <v>tdbR00000499 Ile-CAU|3</v>
      </c>
      <c r="B294" s="4" t="s">
        <v>41</v>
      </c>
      <c r="C294" s="4" t="s">
        <v>415</v>
      </c>
      <c r="D294" s="4" t="n">
        <v>3</v>
      </c>
      <c r="E294" s="17" t="s">
        <v>414</v>
      </c>
      <c r="F294" s="18" t="s">
        <v>412</v>
      </c>
    </row>
    <row r="295" customFormat="false" ht="15" hidden="false" customHeight="false" outlineLevel="0" collapsed="false">
      <c r="A295" s="4" t="str">
        <f aca="false">B295&amp;"|"&amp;C295</f>
        <v>tdbR00000499 Ile-CAU|4</v>
      </c>
      <c r="B295" s="4" t="s">
        <v>41</v>
      </c>
      <c r="C295" s="4" t="s">
        <v>416</v>
      </c>
      <c r="D295" s="4" t="n">
        <v>4</v>
      </c>
      <c r="E295" s="17" t="s">
        <v>197</v>
      </c>
      <c r="F295" s="18" t="s">
        <v>412</v>
      </c>
    </row>
    <row r="296" customFormat="false" ht="15" hidden="false" customHeight="false" outlineLevel="0" collapsed="false">
      <c r="A296" s="4" t="str">
        <f aca="false">B296&amp;"|"&amp;C296</f>
        <v>tdbR00000499 Ile-CAU|5</v>
      </c>
      <c r="B296" s="4" t="s">
        <v>41</v>
      </c>
      <c r="C296" s="4" t="s">
        <v>417</v>
      </c>
      <c r="D296" s="4" t="n">
        <v>5</v>
      </c>
      <c r="E296" s="17" t="s">
        <v>197</v>
      </c>
      <c r="F296" s="18" t="s">
        <v>412</v>
      </c>
    </row>
    <row r="297" customFormat="false" ht="15" hidden="false" customHeight="false" outlineLevel="0" collapsed="false">
      <c r="A297" s="4" t="str">
        <f aca="false">B297&amp;"|"&amp;C297</f>
        <v>tdbR00000499 Ile-CAU|6</v>
      </c>
      <c r="B297" s="4" t="s">
        <v>41</v>
      </c>
      <c r="C297" s="4" t="s">
        <v>418</v>
      </c>
      <c r="D297" s="4" t="n">
        <v>6</v>
      </c>
      <c r="E297" s="17" t="s">
        <v>197</v>
      </c>
      <c r="F297" s="18" t="s">
        <v>412</v>
      </c>
    </row>
    <row r="298" customFormat="false" ht="15" hidden="false" customHeight="false" outlineLevel="0" collapsed="false">
      <c r="A298" s="4" t="str">
        <f aca="false">B298&amp;"|"&amp;C298</f>
        <v>tdbR00000499 Ile-CAU|7</v>
      </c>
      <c r="B298" s="4" t="s">
        <v>41</v>
      </c>
      <c r="C298" s="4" t="s">
        <v>419</v>
      </c>
      <c r="D298" s="4" t="n">
        <v>7</v>
      </c>
      <c r="E298" s="17" t="s">
        <v>246</v>
      </c>
      <c r="F298" s="18" t="s">
        <v>412</v>
      </c>
    </row>
    <row r="299" customFormat="false" ht="15" hidden="false" customHeight="false" outlineLevel="0" collapsed="false">
      <c r="A299" s="4" t="str">
        <f aca="false">B299&amp;"|"&amp;C299</f>
        <v>tdbR00000499 Ile-CAU|8</v>
      </c>
      <c r="B299" s="4" t="s">
        <v>41</v>
      </c>
      <c r="C299" s="4" t="s">
        <v>420</v>
      </c>
      <c r="D299" s="4" t="n">
        <v>8</v>
      </c>
      <c r="E299" s="3" t="s">
        <v>259</v>
      </c>
      <c r="F299" s="4" t="s">
        <v>421</v>
      </c>
    </row>
    <row r="300" customFormat="false" ht="15" hidden="false" customHeight="false" outlineLevel="0" collapsed="false">
      <c r="A300" s="4" t="str">
        <f aca="false">B300&amp;"|"&amp;C300</f>
        <v>tdbR00000499 Ile-CAU|9</v>
      </c>
      <c r="B300" s="4" t="s">
        <v>41</v>
      </c>
      <c r="C300" s="4" t="s">
        <v>422</v>
      </c>
      <c r="D300" s="4" t="n">
        <v>9</v>
      </c>
      <c r="E300" s="3" t="s">
        <v>197</v>
      </c>
      <c r="F300" s="4" t="s">
        <v>423</v>
      </c>
    </row>
    <row r="301" customFormat="false" ht="15" hidden="false" customHeight="false" outlineLevel="0" collapsed="false">
      <c r="A301" s="4" t="str">
        <f aca="false">B301&amp;"|"&amp;C301</f>
        <v>tdbR00000499 Ile-CAU|10</v>
      </c>
      <c r="B301" s="4" t="s">
        <v>41</v>
      </c>
      <c r="C301" s="4" t="s">
        <v>424</v>
      </c>
      <c r="D301" s="4" t="n">
        <v>10</v>
      </c>
      <c r="E301" s="8" t="s">
        <v>197</v>
      </c>
      <c r="F301" s="7" t="s">
        <v>425</v>
      </c>
    </row>
    <row r="302" customFormat="false" ht="15" hidden="false" customHeight="false" outlineLevel="0" collapsed="false">
      <c r="A302" s="4" t="str">
        <f aca="false">B302&amp;"|"&amp;C302</f>
        <v>tdbR00000499 Ile-CAU|11</v>
      </c>
      <c r="B302" s="4" t="s">
        <v>41</v>
      </c>
      <c r="C302" s="4" t="s">
        <v>426</v>
      </c>
      <c r="D302" s="4" t="n">
        <v>11</v>
      </c>
      <c r="E302" s="8" t="s">
        <v>197</v>
      </c>
      <c r="F302" s="7" t="s">
        <v>425</v>
      </c>
    </row>
    <row r="303" customFormat="false" ht="15" hidden="false" customHeight="false" outlineLevel="0" collapsed="false">
      <c r="A303" s="4" t="str">
        <f aca="false">B303&amp;"|"&amp;C303</f>
        <v>tdbR00000499 Ile-CAU|12</v>
      </c>
      <c r="B303" s="4" t="s">
        <v>41</v>
      </c>
      <c r="C303" s="4" t="s">
        <v>427</v>
      </c>
      <c r="D303" s="4" t="n">
        <v>12</v>
      </c>
      <c r="E303" s="8" t="s">
        <v>246</v>
      </c>
      <c r="F303" s="7" t="s">
        <v>425</v>
      </c>
    </row>
    <row r="304" customFormat="false" ht="15" hidden="false" customHeight="false" outlineLevel="0" collapsed="false">
      <c r="A304" s="4" t="str">
        <f aca="false">B304&amp;"|"&amp;C304</f>
        <v>tdbR00000499 Ile-CAU|13</v>
      </c>
      <c r="B304" s="4" t="s">
        <v>41</v>
      </c>
      <c r="C304" s="4" t="s">
        <v>428</v>
      </c>
      <c r="D304" s="4" t="n">
        <v>13</v>
      </c>
      <c r="E304" s="8" t="s">
        <v>259</v>
      </c>
      <c r="F304" s="7" t="s">
        <v>425</v>
      </c>
    </row>
    <row r="305" customFormat="false" ht="15" hidden="false" customHeight="false" outlineLevel="0" collapsed="false">
      <c r="A305" s="4" t="str">
        <f aca="false">B305&amp;"|"&amp;C305</f>
        <v>tdbR00000499 Ile-CAU|14</v>
      </c>
      <c r="B305" s="4" t="s">
        <v>41</v>
      </c>
      <c r="C305" s="4" t="s">
        <v>429</v>
      </c>
      <c r="D305" s="4" t="n">
        <v>14</v>
      </c>
      <c r="E305" s="19" t="s">
        <v>246</v>
      </c>
      <c r="F305" s="20" t="s">
        <v>430</v>
      </c>
    </row>
    <row r="306" customFormat="false" ht="15" hidden="false" customHeight="false" outlineLevel="0" collapsed="false">
      <c r="A306" s="4" t="str">
        <f aca="false">B306&amp;"|"&amp;C306</f>
        <v>tdbR00000499 Ile-CAU|15</v>
      </c>
      <c r="B306" s="4" t="s">
        <v>41</v>
      </c>
      <c r="C306" s="4" t="s">
        <v>431</v>
      </c>
      <c r="D306" s="4" t="n">
        <v>15</v>
      </c>
      <c r="E306" s="19" t="s">
        <v>197</v>
      </c>
      <c r="F306" s="20" t="s">
        <v>430</v>
      </c>
    </row>
    <row r="307" customFormat="false" ht="15" hidden="false" customHeight="false" outlineLevel="0" collapsed="false">
      <c r="A307" s="4" t="str">
        <f aca="false">B307&amp;"|"&amp;C307</f>
        <v>tdbR00000499 Ile-CAU|16</v>
      </c>
      <c r="B307" s="4" t="s">
        <v>41</v>
      </c>
      <c r="C307" s="4" t="s">
        <v>432</v>
      </c>
      <c r="D307" s="4" t="n">
        <v>16</v>
      </c>
      <c r="E307" s="19" t="s">
        <v>414</v>
      </c>
      <c r="F307" s="20" t="s">
        <v>430</v>
      </c>
    </row>
    <row r="308" customFormat="false" ht="15" hidden="false" customHeight="false" outlineLevel="0" collapsed="false">
      <c r="A308" s="4" t="str">
        <f aca="false">B308&amp;"|"&amp;C308</f>
        <v>tdbR00000499 Ile-CAU|17</v>
      </c>
      <c r="B308" s="4" t="s">
        <v>41</v>
      </c>
      <c r="C308" s="4" t="s">
        <v>433</v>
      </c>
      <c r="D308" s="4" t="n">
        <v>17</v>
      </c>
      <c r="E308" s="19" t="s">
        <v>259</v>
      </c>
      <c r="F308" s="20" t="s">
        <v>430</v>
      </c>
    </row>
    <row r="309" customFormat="false" ht="15" hidden="false" customHeight="false" outlineLevel="0" collapsed="false">
      <c r="A309" s="4" t="str">
        <f aca="false">B309&amp;"|"&amp;C309</f>
        <v>tdbR00000499 Ile-CAU|17a</v>
      </c>
      <c r="B309" s="4" t="s">
        <v>41</v>
      </c>
      <c r="C309" s="4" t="s">
        <v>496</v>
      </c>
      <c r="D309" s="4" t="n">
        <v>18</v>
      </c>
      <c r="E309" s="19" t="s">
        <v>246</v>
      </c>
      <c r="F309" s="20" t="s">
        <v>430</v>
      </c>
    </row>
    <row r="310" customFormat="false" ht="15" hidden="false" customHeight="false" outlineLevel="0" collapsed="false">
      <c r="A310" s="4" t="str">
        <f aca="false">B310&amp;"|"&amp;C310</f>
        <v>tdbR00000499 Ile-CAU|18</v>
      </c>
      <c r="B310" s="4" t="s">
        <v>41</v>
      </c>
      <c r="C310" s="4" t="s">
        <v>434</v>
      </c>
      <c r="D310" s="4" t="n">
        <v>19</v>
      </c>
      <c r="E310" s="19" t="s">
        <v>197</v>
      </c>
      <c r="F310" s="20" t="s">
        <v>430</v>
      </c>
    </row>
    <row r="311" customFormat="false" ht="15" hidden="false" customHeight="false" outlineLevel="0" collapsed="false">
      <c r="A311" s="4" t="str">
        <f aca="false">B311&amp;"|"&amp;C311</f>
        <v>tdbR00000499 Ile-CAU|19</v>
      </c>
      <c r="B311" s="4" t="s">
        <v>41</v>
      </c>
      <c r="C311" s="4" t="s">
        <v>435</v>
      </c>
      <c r="D311" s="4" t="n">
        <v>20</v>
      </c>
      <c r="E311" s="19" t="s">
        <v>197</v>
      </c>
      <c r="F311" s="20" t="s">
        <v>430</v>
      </c>
    </row>
    <row r="312" customFormat="false" ht="15" hidden="false" customHeight="false" outlineLevel="0" collapsed="false">
      <c r="A312" s="4" t="str">
        <f aca="false">B312&amp;"|"&amp;C312</f>
        <v>tdbR00000499 Ile-CAU|20</v>
      </c>
      <c r="B312" s="4" t="s">
        <v>41</v>
      </c>
      <c r="C312" s="4" t="s">
        <v>436</v>
      </c>
      <c r="D312" s="4" t="n">
        <v>21</v>
      </c>
      <c r="E312" s="19" t="s">
        <v>246</v>
      </c>
      <c r="F312" s="20" t="s">
        <v>430</v>
      </c>
    </row>
    <row r="313" customFormat="false" ht="15" hidden="false" customHeight="false" outlineLevel="0" collapsed="false">
      <c r="A313" s="4" t="str">
        <f aca="false">B313&amp;"|"&amp;C313</f>
        <v>tdbR00000499 Ile-CAU|20a</v>
      </c>
      <c r="B313" s="4" t="s">
        <v>41</v>
      </c>
      <c r="C313" s="4" t="s">
        <v>437</v>
      </c>
      <c r="D313" s="4" t="n">
        <v>22</v>
      </c>
      <c r="E313" s="19" t="s">
        <v>197</v>
      </c>
      <c r="F313" s="20" t="s">
        <v>430</v>
      </c>
    </row>
    <row r="314" customFormat="false" ht="15" hidden="false" customHeight="false" outlineLevel="0" collapsed="false">
      <c r="A314" s="4" t="str">
        <f aca="false">B314&amp;"|"&amp;C314</f>
        <v>tdbR00000499 Ile-CAU|21</v>
      </c>
      <c r="B314" s="4" t="s">
        <v>41</v>
      </c>
      <c r="C314" s="4" t="s">
        <v>438</v>
      </c>
      <c r="D314" s="4" t="n">
        <v>23</v>
      </c>
      <c r="E314" s="19" t="s">
        <v>246</v>
      </c>
      <c r="F314" s="20" t="s">
        <v>430</v>
      </c>
    </row>
    <row r="315" customFormat="false" ht="15" hidden="false" customHeight="false" outlineLevel="0" collapsed="false">
      <c r="A315" s="4" t="str">
        <f aca="false">B315&amp;"|"&amp;C315</f>
        <v>tdbR00000499 Ile-CAU|22</v>
      </c>
      <c r="B315" s="4" t="s">
        <v>41</v>
      </c>
      <c r="C315" s="4" t="s">
        <v>439</v>
      </c>
      <c r="D315" s="4" t="n">
        <v>24</v>
      </c>
      <c r="E315" s="8" t="s">
        <v>259</v>
      </c>
      <c r="F315" s="7" t="s">
        <v>425</v>
      </c>
    </row>
    <row r="316" customFormat="false" ht="15" hidden="false" customHeight="false" outlineLevel="0" collapsed="false">
      <c r="A316" s="4" t="str">
        <f aca="false">B316&amp;"|"&amp;C316</f>
        <v>tdbR00000499 Ile-CAU|23</v>
      </c>
      <c r="B316" s="4" t="s">
        <v>41</v>
      </c>
      <c r="C316" s="4" t="s">
        <v>440</v>
      </c>
      <c r="D316" s="4" t="n">
        <v>25</v>
      </c>
      <c r="E316" s="8" t="s">
        <v>259</v>
      </c>
      <c r="F316" s="7" t="s">
        <v>425</v>
      </c>
    </row>
    <row r="317" customFormat="false" ht="15" hidden="false" customHeight="false" outlineLevel="0" collapsed="false">
      <c r="A317" s="4" t="str">
        <f aca="false">B317&amp;"|"&amp;C317</f>
        <v>tdbR00000499 Ile-CAU|24</v>
      </c>
      <c r="B317" s="4" t="s">
        <v>41</v>
      </c>
      <c r="C317" s="4" t="s">
        <v>441</v>
      </c>
      <c r="D317" s="4" t="n">
        <v>26</v>
      </c>
      <c r="E317" s="8" t="s">
        <v>414</v>
      </c>
      <c r="F317" s="7" t="s">
        <v>425</v>
      </c>
    </row>
    <row r="318" customFormat="false" ht="15" hidden="false" customHeight="false" outlineLevel="0" collapsed="false">
      <c r="A318" s="4" t="str">
        <f aca="false">B318&amp;"|"&amp;C318</f>
        <v>tdbR00000499 Ile-CAU|25</v>
      </c>
      <c r="B318" s="4" t="s">
        <v>41</v>
      </c>
      <c r="C318" s="4" t="s">
        <v>442</v>
      </c>
      <c r="D318" s="4" t="n">
        <v>27</v>
      </c>
      <c r="E318" s="8" t="s">
        <v>414</v>
      </c>
      <c r="F318" s="7" t="s">
        <v>425</v>
      </c>
    </row>
    <row r="319" customFormat="false" ht="15" hidden="false" customHeight="false" outlineLevel="0" collapsed="false">
      <c r="A319" s="4" t="str">
        <f aca="false">B319&amp;"|"&amp;C319</f>
        <v>tdbR00000499 Ile-CAU|26</v>
      </c>
      <c r="B319" s="4" t="s">
        <v>41</v>
      </c>
      <c r="C319" s="4" t="s">
        <v>443</v>
      </c>
      <c r="D319" s="4" t="n">
        <v>28</v>
      </c>
      <c r="E319" s="3" t="s">
        <v>197</v>
      </c>
      <c r="F319" s="4" t="s">
        <v>444</v>
      </c>
    </row>
    <row r="320" customFormat="false" ht="15" hidden="false" customHeight="false" outlineLevel="0" collapsed="false">
      <c r="A320" s="4" t="str">
        <f aca="false">B320&amp;"|"&amp;C320</f>
        <v>tdbR00000499 Ile-CAU|27</v>
      </c>
      <c r="B320" s="4" t="s">
        <v>41</v>
      </c>
      <c r="C320" s="4" t="s">
        <v>445</v>
      </c>
      <c r="D320" s="4" t="n">
        <v>29</v>
      </c>
      <c r="E320" s="21" t="s">
        <v>414</v>
      </c>
      <c r="F320" s="22" t="s">
        <v>446</v>
      </c>
    </row>
    <row r="321" customFormat="false" ht="15" hidden="false" customHeight="false" outlineLevel="0" collapsed="false">
      <c r="A321" s="4" t="str">
        <f aca="false">B321&amp;"|"&amp;C321</f>
        <v>tdbR00000499 Ile-CAU|28</v>
      </c>
      <c r="B321" s="4" t="s">
        <v>41</v>
      </c>
      <c r="C321" s="4" t="s">
        <v>447</v>
      </c>
      <c r="D321" s="4" t="n">
        <v>30</v>
      </c>
      <c r="E321" s="21" t="s">
        <v>414</v>
      </c>
      <c r="F321" s="22" t="s">
        <v>446</v>
      </c>
    </row>
    <row r="322" customFormat="false" ht="15" hidden="false" customHeight="false" outlineLevel="0" collapsed="false">
      <c r="A322" s="4" t="str">
        <f aca="false">B322&amp;"|"&amp;C322</f>
        <v>tdbR00000499 Ile-CAU|29</v>
      </c>
      <c r="B322" s="4" t="s">
        <v>41</v>
      </c>
      <c r="C322" s="4" t="s">
        <v>448</v>
      </c>
      <c r="D322" s="4" t="n">
        <v>31</v>
      </c>
      <c r="E322" s="21" t="s">
        <v>197</v>
      </c>
      <c r="F322" s="22" t="s">
        <v>446</v>
      </c>
    </row>
    <row r="323" customFormat="false" ht="15" hidden="false" customHeight="false" outlineLevel="0" collapsed="false">
      <c r="A323" s="4" t="str">
        <f aca="false">B323&amp;"|"&amp;C323</f>
        <v>tdbR00000499 Ile-CAU|30</v>
      </c>
      <c r="B323" s="4" t="s">
        <v>41</v>
      </c>
      <c r="C323" s="4" t="s">
        <v>449</v>
      </c>
      <c r="D323" s="4" t="n">
        <v>32</v>
      </c>
      <c r="E323" s="21" t="s">
        <v>197</v>
      </c>
      <c r="F323" s="22" t="s">
        <v>446</v>
      </c>
    </row>
    <row r="324" customFormat="false" ht="15" hidden="false" customHeight="false" outlineLevel="0" collapsed="false">
      <c r="A324" s="4" t="str">
        <f aca="false">B324&amp;"|"&amp;C324</f>
        <v>tdbR00000499 Ile-CAU|31</v>
      </c>
      <c r="B324" s="4" t="s">
        <v>41</v>
      </c>
      <c r="C324" s="4" t="s">
        <v>450</v>
      </c>
      <c r="D324" s="4" t="n">
        <v>33</v>
      </c>
      <c r="E324" s="21" t="s">
        <v>197</v>
      </c>
      <c r="F324" s="22" t="s">
        <v>446</v>
      </c>
    </row>
    <row r="325" customFormat="false" ht="15" hidden="false" customHeight="false" outlineLevel="0" collapsed="false">
      <c r="A325" s="4" t="str">
        <f aca="false">B325&amp;"|"&amp;C325</f>
        <v>tdbR00000499 Ile-CAU|32</v>
      </c>
      <c r="B325" s="4" t="s">
        <v>41</v>
      </c>
      <c r="C325" s="4" t="s">
        <v>451</v>
      </c>
      <c r="D325" s="4" t="n">
        <v>34</v>
      </c>
      <c r="E325" s="19" t="s">
        <v>414</v>
      </c>
      <c r="F325" s="20" t="s">
        <v>452</v>
      </c>
    </row>
    <row r="326" customFormat="false" ht="15" hidden="false" customHeight="false" outlineLevel="0" collapsed="false">
      <c r="A326" s="4" t="str">
        <f aca="false">B326&amp;"|"&amp;C326</f>
        <v>tdbR00000499 Ile-CAU|33</v>
      </c>
      <c r="B326" s="4" t="s">
        <v>41</v>
      </c>
      <c r="C326" s="4" t="s">
        <v>453</v>
      </c>
      <c r="D326" s="4" t="n">
        <v>35</v>
      </c>
      <c r="E326" s="19" t="s">
        <v>259</v>
      </c>
      <c r="F326" s="20" t="s">
        <v>452</v>
      </c>
    </row>
    <row r="327" customFormat="false" ht="15" hidden="false" customHeight="false" outlineLevel="0" collapsed="false">
      <c r="A327" s="4" t="str">
        <f aca="false">B327&amp;"|"&amp;C327</f>
        <v>tdbR00000499 Ile-CAU|34</v>
      </c>
      <c r="B327" s="4" t="s">
        <v>41</v>
      </c>
      <c r="C327" s="4" t="s">
        <v>454</v>
      </c>
      <c r="D327" s="4" t="n">
        <v>36</v>
      </c>
      <c r="E327" s="19" t="s">
        <v>414</v>
      </c>
      <c r="F327" s="20" t="s">
        <v>452</v>
      </c>
    </row>
    <row r="328" customFormat="false" ht="15" hidden="false" customHeight="false" outlineLevel="0" collapsed="false">
      <c r="A328" s="4" t="str">
        <f aca="false">B328&amp;"|"&amp;C328</f>
        <v>tdbR00000499 Ile-CAU|35</v>
      </c>
      <c r="B328" s="4" t="s">
        <v>41</v>
      </c>
      <c r="C328" s="4" t="s">
        <v>455</v>
      </c>
      <c r="D328" s="4" t="n">
        <v>37</v>
      </c>
      <c r="E328" s="19" t="s">
        <v>246</v>
      </c>
      <c r="F328" s="20" t="s">
        <v>452</v>
      </c>
    </row>
    <row r="329" customFormat="false" ht="15" hidden="false" customHeight="false" outlineLevel="0" collapsed="false">
      <c r="A329" s="4" t="str">
        <f aca="false">B329&amp;"|"&amp;C329</f>
        <v>tdbR00000499 Ile-CAU|36</v>
      </c>
      <c r="B329" s="4" t="s">
        <v>41</v>
      </c>
      <c r="C329" s="4" t="s">
        <v>456</v>
      </c>
      <c r="D329" s="4" t="n">
        <v>38</v>
      </c>
      <c r="E329" s="19" t="s">
        <v>259</v>
      </c>
      <c r="F329" s="20" t="s">
        <v>452</v>
      </c>
    </row>
    <row r="330" customFormat="false" ht="15" hidden="false" customHeight="false" outlineLevel="0" collapsed="false">
      <c r="A330" s="4" t="str">
        <f aca="false">B330&amp;"|"&amp;C330</f>
        <v>tdbR00000499 Ile-CAU|37</v>
      </c>
      <c r="B330" s="4" t="s">
        <v>41</v>
      </c>
      <c r="C330" s="4" t="s">
        <v>457</v>
      </c>
      <c r="D330" s="4" t="n">
        <v>39</v>
      </c>
      <c r="E330" s="19" t="s">
        <v>246</v>
      </c>
      <c r="F330" s="20" t="s">
        <v>452</v>
      </c>
    </row>
    <row r="331" customFormat="false" ht="15" hidden="false" customHeight="false" outlineLevel="0" collapsed="false">
      <c r="A331" s="4" t="str">
        <f aca="false">B331&amp;"|"&amp;C331</f>
        <v>tdbR00000499 Ile-CAU|38</v>
      </c>
      <c r="B331" s="4" t="s">
        <v>41</v>
      </c>
      <c r="C331" s="4" t="s">
        <v>458</v>
      </c>
      <c r="D331" s="4" t="n">
        <v>40</v>
      </c>
      <c r="E331" s="19" t="s">
        <v>246</v>
      </c>
      <c r="F331" s="20" t="s">
        <v>452</v>
      </c>
    </row>
    <row r="332" customFormat="false" ht="15" hidden="false" customHeight="false" outlineLevel="0" collapsed="false">
      <c r="A332" s="4" t="str">
        <f aca="false">B332&amp;"|"&amp;C332</f>
        <v>tdbR00000499 Ile-CAU|39</v>
      </c>
      <c r="B332" s="4" t="s">
        <v>41</v>
      </c>
      <c r="C332" s="4" t="s">
        <v>459</v>
      </c>
      <c r="D332" s="4" t="n">
        <v>41</v>
      </c>
      <c r="E332" s="21" t="s">
        <v>414</v>
      </c>
      <c r="F332" s="22" t="s">
        <v>446</v>
      </c>
    </row>
    <row r="333" customFormat="false" ht="15" hidden="false" customHeight="false" outlineLevel="0" collapsed="false">
      <c r="A333" s="4" t="str">
        <f aca="false">B333&amp;"|"&amp;C333</f>
        <v>tdbR00000499 Ile-CAU|40</v>
      </c>
      <c r="B333" s="4" t="s">
        <v>41</v>
      </c>
      <c r="C333" s="4" t="s">
        <v>460</v>
      </c>
      <c r="D333" s="4" t="n">
        <v>42</v>
      </c>
      <c r="E333" s="21" t="s">
        <v>414</v>
      </c>
      <c r="F333" s="22" t="s">
        <v>446</v>
      </c>
    </row>
    <row r="334" customFormat="false" ht="15" hidden="false" customHeight="false" outlineLevel="0" collapsed="false">
      <c r="A334" s="4" t="str">
        <f aca="false">B334&amp;"|"&amp;C334</f>
        <v>tdbR00000499 Ile-CAU|41</v>
      </c>
      <c r="B334" s="4" t="s">
        <v>41</v>
      </c>
      <c r="C334" s="4" t="s">
        <v>461</v>
      </c>
      <c r="D334" s="4" t="n">
        <v>43</v>
      </c>
      <c r="E334" s="21" t="s">
        <v>414</v>
      </c>
      <c r="F334" s="22" t="s">
        <v>446</v>
      </c>
    </row>
    <row r="335" customFormat="false" ht="15" hidden="false" customHeight="false" outlineLevel="0" collapsed="false">
      <c r="A335" s="4" t="str">
        <f aca="false">B335&amp;"|"&amp;C335</f>
        <v>tdbR00000499 Ile-CAU|42</v>
      </c>
      <c r="B335" s="4" t="s">
        <v>41</v>
      </c>
      <c r="C335" s="4" t="s">
        <v>462</v>
      </c>
      <c r="D335" s="4" t="n">
        <v>44</v>
      </c>
      <c r="E335" s="21" t="s">
        <v>197</v>
      </c>
      <c r="F335" s="22" t="s">
        <v>446</v>
      </c>
    </row>
    <row r="336" customFormat="false" ht="15" hidden="false" customHeight="false" outlineLevel="0" collapsed="false">
      <c r="A336" s="4" t="str">
        <f aca="false">B336&amp;"|"&amp;C336</f>
        <v>tdbR00000499 Ile-CAU|43</v>
      </c>
      <c r="B336" s="4" t="s">
        <v>41</v>
      </c>
      <c r="C336" s="4" t="s">
        <v>463</v>
      </c>
      <c r="D336" s="4" t="n">
        <v>45</v>
      </c>
      <c r="E336" s="21" t="s">
        <v>197</v>
      </c>
      <c r="F336" s="22" t="s">
        <v>446</v>
      </c>
    </row>
    <row r="337" customFormat="false" ht="15" hidden="false" customHeight="false" outlineLevel="0" collapsed="false">
      <c r="A337" s="4" t="str">
        <f aca="false">B337&amp;"|"&amp;C337</f>
        <v>tdbR00000499 Ile-CAU|44</v>
      </c>
      <c r="B337" s="4" t="s">
        <v>41</v>
      </c>
      <c r="C337" s="4" t="s">
        <v>464</v>
      </c>
      <c r="D337" s="4" t="n">
        <v>46</v>
      </c>
      <c r="E337" s="19" t="s">
        <v>246</v>
      </c>
      <c r="F337" s="20" t="s">
        <v>465</v>
      </c>
    </row>
    <row r="338" customFormat="false" ht="15" hidden="false" customHeight="false" outlineLevel="0" collapsed="false">
      <c r="A338" s="4" t="str">
        <f aca="false">B338&amp;"|"&amp;C338</f>
        <v>tdbR00000499 Ile-CAU|45</v>
      </c>
      <c r="B338" s="4" t="s">
        <v>41</v>
      </c>
      <c r="C338" s="4" t="s">
        <v>466</v>
      </c>
      <c r="D338" s="4" t="n">
        <v>47</v>
      </c>
      <c r="E338" s="19" t="s">
        <v>197</v>
      </c>
      <c r="F338" s="20" t="s">
        <v>465</v>
      </c>
    </row>
    <row r="339" customFormat="false" ht="15" hidden="false" customHeight="false" outlineLevel="0" collapsed="false">
      <c r="A339" s="4" t="str">
        <f aca="false">B339&amp;"|"&amp;C339</f>
        <v>tdbR00000499 Ile-CAU|46</v>
      </c>
      <c r="B339" s="4" t="s">
        <v>41</v>
      </c>
      <c r="C339" s="4" t="s">
        <v>467</v>
      </c>
      <c r="D339" s="4" t="n">
        <v>48</v>
      </c>
      <c r="E339" s="19" t="s">
        <v>246</v>
      </c>
      <c r="F339" s="20" t="s">
        <v>465</v>
      </c>
    </row>
    <row r="340" customFormat="false" ht="15" hidden="false" customHeight="false" outlineLevel="0" collapsed="false">
      <c r="A340" s="4" t="str">
        <f aca="false">B340&amp;"|"&amp;C340</f>
        <v>tdbR00000499 Ile-CAU|47</v>
      </c>
      <c r="B340" s="4" t="s">
        <v>41</v>
      </c>
      <c r="C340" s="4" t="s">
        <v>468</v>
      </c>
      <c r="D340" s="4" t="n">
        <v>49</v>
      </c>
      <c r="E340" s="19" t="s">
        <v>259</v>
      </c>
      <c r="F340" s="20" t="s">
        <v>465</v>
      </c>
    </row>
    <row r="341" customFormat="false" ht="15" hidden="false" customHeight="false" outlineLevel="0" collapsed="false">
      <c r="A341" s="4" t="str">
        <f aca="false">B341&amp;"|"&amp;C341</f>
        <v>tdbR00000499 Ile-CAU|48</v>
      </c>
      <c r="B341" s="4" t="s">
        <v>41</v>
      </c>
      <c r="C341" s="4" t="s">
        <v>469</v>
      </c>
      <c r="D341" s="4" t="n">
        <v>50</v>
      </c>
      <c r="E341" s="19" t="s">
        <v>414</v>
      </c>
      <c r="F341" s="20" t="s">
        <v>465</v>
      </c>
    </row>
    <row r="342" customFormat="false" ht="15" hidden="false" customHeight="false" outlineLevel="0" collapsed="false">
      <c r="A342" s="4" t="str">
        <f aca="false">B342&amp;"|"&amp;C342</f>
        <v>tdbR00000499 Ile-CAU|49</v>
      </c>
      <c r="B342" s="4" t="s">
        <v>41</v>
      </c>
      <c r="C342" s="4" t="s">
        <v>470</v>
      </c>
      <c r="D342" s="4" t="n">
        <v>51</v>
      </c>
      <c r="E342" s="23" t="s">
        <v>197</v>
      </c>
      <c r="F342" s="10" t="s">
        <v>471</v>
      </c>
    </row>
    <row r="343" customFormat="false" ht="15" hidden="false" customHeight="false" outlineLevel="0" collapsed="false">
      <c r="A343" s="4" t="str">
        <f aca="false">B343&amp;"|"&amp;C343</f>
        <v>tdbR00000499 Ile-CAU|50</v>
      </c>
      <c r="B343" s="4" t="s">
        <v>41</v>
      </c>
      <c r="C343" s="4" t="s">
        <v>472</v>
      </c>
      <c r="D343" s="4" t="n">
        <v>52</v>
      </c>
      <c r="E343" s="23" t="s">
        <v>197</v>
      </c>
      <c r="F343" s="10" t="s">
        <v>471</v>
      </c>
    </row>
    <row r="344" customFormat="false" ht="15" hidden="false" customHeight="false" outlineLevel="0" collapsed="false">
      <c r="A344" s="4" t="str">
        <f aca="false">B344&amp;"|"&amp;C344</f>
        <v>tdbR00000499 Ile-CAU|51</v>
      </c>
      <c r="B344" s="4" t="s">
        <v>41</v>
      </c>
      <c r="C344" s="4" t="s">
        <v>473</v>
      </c>
      <c r="D344" s="4" t="n">
        <v>53</v>
      </c>
      <c r="E344" s="23" t="s">
        <v>259</v>
      </c>
      <c r="F344" s="10" t="s">
        <v>471</v>
      </c>
    </row>
    <row r="345" customFormat="false" ht="15" hidden="false" customHeight="false" outlineLevel="0" collapsed="false">
      <c r="A345" s="4" t="str">
        <f aca="false">B345&amp;"|"&amp;C345</f>
        <v>tdbR00000499 Ile-CAU|52</v>
      </c>
      <c r="B345" s="4" t="s">
        <v>41</v>
      </c>
      <c r="C345" s="4" t="s">
        <v>474</v>
      </c>
      <c r="D345" s="4" t="n">
        <v>54</v>
      </c>
      <c r="E345" s="23" t="s">
        <v>246</v>
      </c>
      <c r="F345" s="10" t="s">
        <v>471</v>
      </c>
    </row>
    <row r="346" customFormat="false" ht="15" hidden="false" customHeight="false" outlineLevel="0" collapsed="false">
      <c r="A346" s="4" t="str">
        <f aca="false">B346&amp;"|"&amp;C346</f>
        <v>tdbR00000499 Ile-CAU|53</v>
      </c>
      <c r="B346" s="4" t="s">
        <v>41</v>
      </c>
      <c r="C346" s="4" t="s">
        <v>475</v>
      </c>
      <c r="D346" s="4" t="n">
        <v>55</v>
      </c>
      <c r="E346" s="23" t="s">
        <v>197</v>
      </c>
      <c r="F346" s="10" t="s">
        <v>471</v>
      </c>
    </row>
    <row r="347" customFormat="false" ht="15" hidden="false" customHeight="false" outlineLevel="0" collapsed="false">
      <c r="A347" s="4" t="str">
        <f aca="false">B347&amp;"|"&amp;C347</f>
        <v>tdbR00000499 Ile-CAU|54</v>
      </c>
      <c r="B347" s="4" t="s">
        <v>41</v>
      </c>
      <c r="C347" s="4" t="s">
        <v>476</v>
      </c>
      <c r="D347" s="4" t="n">
        <v>56</v>
      </c>
      <c r="E347" s="19" t="s">
        <v>259</v>
      </c>
      <c r="F347" s="20" t="s">
        <v>477</v>
      </c>
    </row>
    <row r="348" customFormat="false" ht="15" hidden="false" customHeight="false" outlineLevel="0" collapsed="false">
      <c r="A348" s="4" t="str">
        <f aca="false">B348&amp;"|"&amp;C348</f>
        <v>tdbR00000499 Ile-CAU|55</v>
      </c>
      <c r="B348" s="4" t="s">
        <v>41</v>
      </c>
      <c r="C348" s="4" t="s">
        <v>478</v>
      </c>
      <c r="D348" s="4" t="n">
        <v>57</v>
      </c>
      <c r="E348" s="19" t="s">
        <v>259</v>
      </c>
      <c r="F348" s="20" t="s">
        <v>477</v>
      </c>
    </row>
    <row r="349" customFormat="false" ht="15" hidden="false" customHeight="false" outlineLevel="0" collapsed="false">
      <c r="A349" s="4" t="str">
        <f aca="false">B349&amp;"|"&amp;C349</f>
        <v>tdbR00000499 Ile-CAU|56</v>
      </c>
      <c r="B349" s="4" t="s">
        <v>41</v>
      </c>
      <c r="C349" s="4" t="s">
        <v>479</v>
      </c>
      <c r="D349" s="4" t="n">
        <v>58</v>
      </c>
      <c r="E349" s="19" t="s">
        <v>414</v>
      </c>
      <c r="F349" s="20" t="s">
        <v>477</v>
      </c>
    </row>
    <row r="350" customFormat="false" ht="15" hidden="false" customHeight="false" outlineLevel="0" collapsed="false">
      <c r="A350" s="4" t="str">
        <f aca="false">B350&amp;"|"&amp;C350</f>
        <v>tdbR00000499 Ile-CAU|57</v>
      </c>
      <c r="B350" s="4" t="s">
        <v>41</v>
      </c>
      <c r="C350" s="4" t="s">
        <v>480</v>
      </c>
      <c r="D350" s="4" t="n">
        <v>59</v>
      </c>
      <c r="E350" s="19" t="s">
        <v>246</v>
      </c>
      <c r="F350" s="20" t="s">
        <v>477</v>
      </c>
    </row>
    <row r="351" customFormat="false" ht="15" hidden="false" customHeight="false" outlineLevel="0" collapsed="false">
      <c r="A351" s="4" t="str">
        <f aca="false">B351&amp;"|"&amp;C351</f>
        <v>tdbR00000499 Ile-CAU|58</v>
      </c>
      <c r="B351" s="4" t="s">
        <v>41</v>
      </c>
      <c r="C351" s="4" t="s">
        <v>481</v>
      </c>
      <c r="D351" s="4" t="n">
        <v>60</v>
      </c>
      <c r="E351" s="19" t="s">
        <v>246</v>
      </c>
      <c r="F351" s="20" t="s">
        <v>477</v>
      </c>
    </row>
    <row r="352" customFormat="false" ht="15" hidden="false" customHeight="false" outlineLevel="0" collapsed="false">
      <c r="A352" s="4" t="str">
        <f aca="false">B352&amp;"|"&amp;C352</f>
        <v>tdbR00000499 Ile-CAU|59</v>
      </c>
      <c r="B352" s="4" t="s">
        <v>41</v>
      </c>
      <c r="C352" s="4" t="s">
        <v>482</v>
      </c>
      <c r="D352" s="4" t="n">
        <v>61</v>
      </c>
      <c r="E352" s="19" t="s">
        <v>246</v>
      </c>
      <c r="F352" s="20" t="s">
        <v>477</v>
      </c>
    </row>
    <row r="353" customFormat="false" ht="15" hidden="false" customHeight="false" outlineLevel="0" collapsed="false">
      <c r="A353" s="4" t="str">
        <f aca="false">B353&amp;"|"&amp;C353</f>
        <v>tdbR00000499 Ile-CAU|60</v>
      </c>
      <c r="B353" s="4" t="s">
        <v>41</v>
      </c>
      <c r="C353" s="4" t="s">
        <v>483</v>
      </c>
      <c r="D353" s="4" t="n">
        <v>62</v>
      </c>
      <c r="E353" s="19" t="s">
        <v>259</v>
      </c>
      <c r="F353" s="20" t="s">
        <v>477</v>
      </c>
    </row>
    <row r="354" customFormat="false" ht="15" hidden="false" customHeight="false" outlineLevel="0" collapsed="false">
      <c r="A354" s="4" t="str">
        <f aca="false">B354&amp;"|"&amp;C354</f>
        <v>tdbR00000499 Ile-CAU|61</v>
      </c>
      <c r="B354" s="4" t="s">
        <v>41</v>
      </c>
      <c r="C354" s="4" t="s">
        <v>484</v>
      </c>
      <c r="D354" s="4" t="n">
        <v>63</v>
      </c>
      <c r="E354" s="23" t="s">
        <v>414</v>
      </c>
      <c r="F354" s="10" t="s">
        <v>471</v>
      </c>
    </row>
    <row r="355" customFormat="false" ht="15" hidden="false" customHeight="false" outlineLevel="0" collapsed="false">
      <c r="A355" s="4" t="str">
        <f aca="false">B355&amp;"|"&amp;C355</f>
        <v>tdbR00000499 Ile-CAU|62</v>
      </c>
      <c r="B355" s="4" t="s">
        <v>41</v>
      </c>
      <c r="C355" s="4" t="s">
        <v>485</v>
      </c>
      <c r="D355" s="4" t="n">
        <v>64</v>
      </c>
      <c r="E355" s="23" t="s">
        <v>259</v>
      </c>
      <c r="F355" s="10" t="s">
        <v>471</v>
      </c>
    </row>
    <row r="356" customFormat="false" ht="15" hidden="false" customHeight="false" outlineLevel="0" collapsed="false">
      <c r="A356" s="4" t="str">
        <f aca="false">B356&amp;"|"&amp;C356</f>
        <v>tdbR00000499 Ile-CAU|63</v>
      </c>
      <c r="B356" s="4" t="s">
        <v>41</v>
      </c>
      <c r="C356" s="4" t="s">
        <v>486</v>
      </c>
      <c r="D356" s="4" t="n">
        <v>65</v>
      </c>
      <c r="E356" s="23" t="s">
        <v>246</v>
      </c>
      <c r="F356" s="10" t="s">
        <v>471</v>
      </c>
    </row>
    <row r="357" customFormat="false" ht="15" hidden="false" customHeight="false" outlineLevel="0" collapsed="false">
      <c r="A357" s="4" t="str">
        <f aca="false">B357&amp;"|"&amp;C357</f>
        <v>tdbR00000499 Ile-CAU|64</v>
      </c>
      <c r="B357" s="4" t="s">
        <v>41</v>
      </c>
      <c r="C357" s="4" t="s">
        <v>487</v>
      </c>
      <c r="D357" s="4" t="n">
        <v>66</v>
      </c>
      <c r="E357" s="23" t="s">
        <v>414</v>
      </c>
      <c r="F357" s="10" t="s">
        <v>471</v>
      </c>
    </row>
    <row r="358" customFormat="false" ht="15" hidden="false" customHeight="false" outlineLevel="0" collapsed="false">
      <c r="A358" s="4" t="str">
        <f aca="false">B358&amp;"|"&amp;C358</f>
        <v>tdbR00000499 Ile-CAU|65</v>
      </c>
      <c r="B358" s="4" t="s">
        <v>41</v>
      </c>
      <c r="C358" s="4" t="s">
        <v>488</v>
      </c>
      <c r="D358" s="4" t="n">
        <v>67</v>
      </c>
      <c r="E358" s="23" t="s">
        <v>414</v>
      </c>
      <c r="F358" s="10" t="s">
        <v>471</v>
      </c>
    </row>
    <row r="359" customFormat="false" ht="15" hidden="false" customHeight="false" outlineLevel="0" collapsed="false">
      <c r="A359" s="4" t="str">
        <f aca="false">B359&amp;"|"&amp;C359</f>
        <v>tdbR00000499 Ile-CAU|66</v>
      </c>
      <c r="B359" s="4" t="s">
        <v>41</v>
      </c>
      <c r="C359" s="4" t="s">
        <v>489</v>
      </c>
      <c r="D359" s="4" t="n">
        <v>68</v>
      </c>
      <c r="E359" s="17" t="s">
        <v>259</v>
      </c>
      <c r="F359" s="18" t="s">
        <v>412</v>
      </c>
    </row>
    <row r="360" customFormat="false" ht="15" hidden="false" customHeight="false" outlineLevel="0" collapsed="false">
      <c r="A360" s="4" t="str">
        <f aca="false">B360&amp;"|"&amp;C360</f>
        <v>tdbR00000499 Ile-CAU|67</v>
      </c>
      <c r="B360" s="4" t="s">
        <v>41</v>
      </c>
      <c r="C360" s="4" t="s">
        <v>490</v>
      </c>
      <c r="D360" s="4" t="n">
        <v>69</v>
      </c>
      <c r="E360" s="17" t="s">
        <v>414</v>
      </c>
      <c r="F360" s="18" t="s">
        <v>412</v>
      </c>
    </row>
    <row r="361" customFormat="false" ht="15" hidden="false" customHeight="false" outlineLevel="0" collapsed="false">
      <c r="A361" s="4" t="str">
        <f aca="false">B361&amp;"|"&amp;C361</f>
        <v>tdbR00000499 Ile-CAU|68</v>
      </c>
      <c r="B361" s="4" t="s">
        <v>41</v>
      </c>
      <c r="C361" s="4" t="s">
        <v>491</v>
      </c>
      <c r="D361" s="4" t="n">
        <v>70</v>
      </c>
      <c r="E361" s="17" t="s">
        <v>414</v>
      </c>
      <c r="F361" s="18" t="s">
        <v>412</v>
      </c>
    </row>
    <row r="362" customFormat="false" ht="15" hidden="false" customHeight="false" outlineLevel="0" collapsed="false">
      <c r="A362" s="4" t="str">
        <f aca="false">B362&amp;"|"&amp;C362</f>
        <v>tdbR00000499 Ile-CAU|69</v>
      </c>
      <c r="B362" s="4" t="s">
        <v>41</v>
      </c>
      <c r="C362" s="4" t="s">
        <v>492</v>
      </c>
      <c r="D362" s="4" t="n">
        <v>71</v>
      </c>
      <c r="E362" s="17" t="s">
        <v>414</v>
      </c>
      <c r="F362" s="18" t="s">
        <v>412</v>
      </c>
    </row>
    <row r="363" customFormat="false" ht="15" hidden="false" customHeight="false" outlineLevel="0" collapsed="false">
      <c r="A363" s="4" t="str">
        <f aca="false">B363&amp;"|"&amp;C363</f>
        <v>tdbR00000499 Ile-CAU|70</v>
      </c>
      <c r="B363" s="4" t="s">
        <v>41</v>
      </c>
      <c r="C363" s="4" t="s">
        <v>493</v>
      </c>
      <c r="D363" s="4" t="n">
        <v>72</v>
      </c>
      <c r="E363" s="17" t="s">
        <v>197</v>
      </c>
      <c r="F363" s="18" t="s">
        <v>412</v>
      </c>
    </row>
    <row r="364" customFormat="false" ht="15" hidden="false" customHeight="false" outlineLevel="0" collapsed="false">
      <c r="A364" s="4" t="str">
        <f aca="false">B364&amp;"|"&amp;C364</f>
        <v>tdbR00000499 Ile-CAU|71</v>
      </c>
      <c r="B364" s="4" t="s">
        <v>41</v>
      </c>
      <c r="C364" s="4" t="s">
        <v>494</v>
      </c>
      <c r="D364" s="4" t="n">
        <v>73</v>
      </c>
      <c r="E364" s="17" t="s">
        <v>414</v>
      </c>
      <c r="F364" s="18" t="s">
        <v>412</v>
      </c>
    </row>
    <row r="365" customFormat="false" ht="15" hidden="false" customHeight="false" outlineLevel="0" collapsed="false">
      <c r="A365" s="4" t="str">
        <f aca="false">B365&amp;"|"&amp;C365</f>
        <v>tdbR00000499 Ile-CAU|72</v>
      </c>
      <c r="B365" s="4" t="s">
        <v>41</v>
      </c>
      <c r="C365" s="4" t="s">
        <v>495</v>
      </c>
      <c r="D365" s="4" t="n">
        <v>74</v>
      </c>
      <c r="E365" s="17" t="s">
        <v>259</v>
      </c>
      <c r="F365" s="18" t="s">
        <v>412</v>
      </c>
    </row>
    <row r="366" customFormat="false" ht="15" hidden="false" customHeight="false" outlineLevel="0" collapsed="false">
      <c r="A366" s="4" t="str">
        <f aca="false">B366&amp;"|"&amp;C366</f>
        <v>tdbR00000380 Ser-CGA|1</v>
      </c>
      <c r="B366" s="4" t="s">
        <v>42</v>
      </c>
      <c r="C366" s="4" t="s">
        <v>411</v>
      </c>
      <c r="D366" s="4" t="n">
        <v>1</v>
      </c>
      <c r="E366" s="17" t="s">
        <v>197</v>
      </c>
      <c r="F366" s="18" t="s">
        <v>412</v>
      </c>
    </row>
    <row r="367" customFormat="false" ht="15" hidden="false" customHeight="false" outlineLevel="0" collapsed="false">
      <c r="A367" s="4" t="str">
        <f aca="false">B367&amp;"|"&amp;C367</f>
        <v>tdbR00000380 Ser-CGA|2</v>
      </c>
      <c r="B367" s="4" t="s">
        <v>42</v>
      </c>
      <c r="C367" s="4" t="s">
        <v>413</v>
      </c>
      <c r="D367" s="4" t="n">
        <v>2</v>
      </c>
      <c r="E367" s="17" t="s">
        <v>414</v>
      </c>
      <c r="F367" s="18" t="s">
        <v>412</v>
      </c>
    </row>
    <row r="368" customFormat="false" ht="15" hidden="false" customHeight="false" outlineLevel="0" collapsed="false">
      <c r="A368" s="4" t="str">
        <f aca="false">B368&amp;"|"&amp;C368</f>
        <v>tdbR00000380 Ser-CGA|3</v>
      </c>
      <c r="B368" s="4" t="s">
        <v>42</v>
      </c>
      <c r="C368" s="4" t="s">
        <v>415</v>
      </c>
      <c r="D368" s="4" t="n">
        <v>3</v>
      </c>
      <c r="E368" s="17" t="s">
        <v>414</v>
      </c>
      <c r="F368" s="18" t="s">
        <v>412</v>
      </c>
    </row>
    <row r="369" customFormat="false" ht="15" hidden="false" customHeight="false" outlineLevel="0" collapsed="false">
      <c r="A369" s="4" t="str">
        <f aca="false">B369&amp;"|"&amp;C369</f>
        <v>tdbR00000380 Ser-CGA|4</v>
      </c>
      <c r="B369" s="4" t="s">
        <v>42</v>
      </c>
      <c r="C369" s="4" t="s">
        <v>416</v>
      </c>
      <c r="D369" s="4" t="n">
        <v>4</v>
      </c>
      <c r="E369" s="17" t="s">
        <v>197</v>
      </c>
      <c r="F369" s="18" t="s">
        <v>412</v>
      </c>
    </row>
    <row r="370" customFormat="false" ht="15" hidden="false" customHeight="false" outlineLevel="0" collapsed="false">
      <c r="A370" s="4" t="str">
        <f aca="false">B370&amp;"|"&amp;C370</f>
        <v>tdbR00000380 Ser-CGA|5</v>
      </c>
      <c r="B370" s="4" t="s">
        <v>42</v>
      </c>
      <c r="C370" s="4" t="s">
        <v>417</v>
      </c>
      <c r="D370" s="4" t="n">
        <v>5</v>
      </c>
      <c r="E370" s="17" t="s">
        <v>246</v>
      </c>
      <c r="F370" s="18" t="s">
        <v>412</v>
      </c>
    </row>
    <row r="371" customFormat="false" ht="15" hidden="false" customHeight="false" outlineLevel="0" collapsed="false">
      <c r="A371" s="4" t="str">
        <f aca="false">B371&amp;"|"&amp;C371</f>
        <v>tdbR00000380 Ser-CGA|6</v>
      </c>
      <c r="B371" s="4" t="s">
        <v>42</v>
      </c>
      <c r="C371" s="4" t="s">
        <v>418</v>
      </c>
      <c r="D371" s="4" t="n">
        <v>6</v>
      </c>
      <c r="E371" s="17" t="s">
        <v>197</v>
      </c>
      <c r="F371" s="18" t="s">
        <v>412</v>
      </c>
    </row>
    <row r="372" customFormat="false" ht="15" hidden="false" customHeight="false" outlineLevel="0" collapsed="false">
      <c r="A372" s="4" t="str">
        <f aca="false">B372&amp;"|"&amp;C372</f>
        <v>tdbR00000380 Ser-CGA|7</v>
      </c>
      <c r="B372" s="4" t="s">
        <v>42</v>
      </c>
      <c r="C372" s="4" t="s">
        <v>419</v>
      </c>
      <c r="D372" s="4" t="n">
        <v>7</v>
      </c>
      <c r="E372" s="17" t="s">
        <v>197</v>
      </c>
      <c r="F372" s="18" t="s">
        <v>412</v>
      </c>
    </row>
    <row r="373" customFormat="false" ht="15" hidden="false" customHeight="false" outlineLevel="0" collapsed="false">
      <c r="A373" s="4" t="str">
        <f aca="false">B373&amp;"|"&amp;C373</f>
        <v>tdbR00000380 Ser-CGA|8</v>
      </c>
      <c r="B373" s="4" t="s">
        <v>42</v>
      </c>
      <c r="C373" s="4" t="s">
        <v>420</v>
      </c>
      <c r="D373" s="4" t="n">
        <v>8</v>
      </c>
      <c r="E373" s="3" t="s">
        <v>259</v>
      </c>
      <c r="F373" s="4" t="s">
        <v>421</v>
      </c>
    </row>
    <row r="374" customFormat="false" ht="15" hidden="false" customHeight="false" outlineLevel="0" collapsed="false">
      <c r="A374" s="4" t="str">
        <f aca="false">B374&amp;"|"&amp;C374</f>
        <v>tdbR00000380 Ser-CGA|9</v>
      </c>
      <c r="B374" s="4" t="s">
        <v>42</v>
      </c>
      <c r="C374" s="4" t="s">
        <v>422</v>
      </c>
      <c r="D374" s="4" t="n">
        <v>9</v>
      </c>
      <c r="E374" s="3" t="s">
        <v>246</v>
      </c>
      <c r="F374" s="4" t="s">
        <v>423</v>
      </c>
    </row>
    <row r="375" customFormat="false" ht="15" hidden="false" customHeight="false" outlineLevel="0" collapsed="false">
      <c r="A375" s="4" t="str">
        <f aca="false">B375&amp;"|"&amp;C375</f>
        <v>tdbR00000380 Ser-CGA|10</v>
      </c>
      <c r="B375" s="4" t="s">
        <v>42</v>
      </c>
      <c r="C375" s="4" t="s">
        <v>424</v>
      </c>
      <c r="D375" s="4" t="n">
        <v>10</v>
      </c>
      <c r="E375" s="8" t="s">
        <v>197</v>
      </c>
      <c r="F375" s="7" t="s">
        <v>425</v>
      </c>
    </row>
    <row r="376" customFormat="false" ht="15" hidden="false" customHeight="false" outlineLevel="0" collapsed="false">
      <c r="A376" s="4" t="str">
        <f aca="false">B376&amp;"|"&amp;C376</f>
        <v>tdbR00000380 Ser-CGA|11</v>
      </c>
      <c r="B376" s="4" t="s">
        <v>42</v>
      </c>
      <c r="C376" s="4" t="s">
        <v>426</v>
      </c>
      <c r="D376" s="4" t="n">
        <v>11</v>
      </c>
      <c r="E376" s="8" t="s">
        <v>414</v>
      </c>
      <c r="F376" s="7" t="s">
        <v>425</v>
      </c>
    </row>
    <row r="377" customFormat="false" ht="15" hidden="false" customHeight="false" outlineLevel="0" collapsed="false">
      <c r="A377" s="4" t="str">
        <f aca="false">B377&amp;"|"&amp;C377</f>
        <v>tdbR00000380 Ser-CGA|12</v>
      </c>
      <c r="B377" s="4" t="s">
        <v>42</v>
      </c>
      <c r="C377" s="4" t="s">
        <v>427</v>
      </c>
      <c r="D377" s="4" t="n">
        <v>12</v>
      </c>
      <c r="E377" s="8" t="s">
        <v>246</v>
      </c>
      <c r="F377" s="7" t="s">
        <v>425</v>
      </c>
    </row>
    <row r="378" customFormat="false" ht="15" hidden="false" customHeight="false" outlineLevel="0" collapsed="false">
      <c r="A378" s="4" t="str">
        <f aca="false">B378&amp;"|"&amp;C378</f>
        <v>tdbR00000380 Ser-CGA|13</v>
      </c>
      <c r="B378" s="4" t="s">
        <v>42</v>
      </c>
      <c r="C378" s="4" t="s">
        <v>428</v>
      </c>
      <c r="D378" s="4" t="n">
        <v>13</v>
      </c>
      <c r="E378" s="8" t="s">
        <v>259</v>
      </c>
      <c r="F378" s="7" t="s">
        <v>425</v>
      </c>
    </row>
    <row r="379" customFormat="false" ht="15" hidden="false" customHeight="false" outlineLevel="0" collapsed="false">
      <c r="A379" s="4" t="str">
        <f aca="false">B379&amp;"|"&amp;C379</f>
        <v>tdbR00000380 Ser-CGA|14</v>
      </c>
      <c r="B379" s="4" t="s">
        <v>42</v>
      </c>
      <c r="C379" s="4" t="s">
        <v>429</v>
      </c>
      <c r="D379" s="4" t="n">
        <v>14</v>
      </c>
      <c r="E379" s="19" t="s">
        <v>246</v>
      </c>
      <c r="F379" s="20" t="s">
        <v>430</v>
      </c>
    </row>
    <row r="380" customFormat="false" ht="15" hidden="false" customHeight="false" outlineLevel="0" collapsed="false">
      <c r="A380" s="4" t="str">
        <f aca="false">B380&amp;"|"&amp;C380</f>
        <v>tdbR00000380 Ser-CGA|15</v>
      </c>
      <c r="B380" s="4" t="s">
        <v>42</v>
      </c>
      <c r="C380" s="4" t="s">
        <v>431</v>
      </c>
      <c r="D380" s="4" t="n">
        <v>15</v>
      </c>
      <c r="E380" s="19" t="s">
        <v>197</v>
      </c>
      <c r="F380" s="20" t="s">
        <v>430</v>
      </c>
    </row>
    <row r="381" customFormat="false" ht="15" hidden="false" customHeight="false" outlineLevel="0" collapsed="false">
      <c r="A381" s="4" t="str">
        <f aca="false">B381&amp;"|"&amp;C381</f>
        <v>tdbR00000380 Ser-CGA|16</v>
      </c>
      <c r="B381" s="4" t="s">
        <v>42</v>
      </c>
      <c r="C381" s="4" t="s">
        <v>432</v>
      </c>
      <c r="D381" s="4" t="n">
        <v>16</v>
      </c>
      <c r="E381" s="19" t="s">
        <v>414</v>
      </c>
      <c r="F381" s="20" t="s">
        <v>430</v>
      </c>
    </row>
    <row r="382" customFormat="false" ht="15" hidden="false" customHeight="false" outlineLevel="0" collapsed="false">
      <c r="A382" s="4" t="str">
        <f aca="false">B382&amp;"|"&amp;C382</f>
        <v>tdbR00000380 Ser-CGA|17</v>
      </c>
      <c r="B382" s="4" t="s">
        <v>42</v>
      </c>
      <c r="C382" s="4" t="s">
        <v>433</v>
      </c>
      <c r="D382" s="4" t="n">
        <v>17</v>
      </c>
      <c r="E382" s="19" t="s">
        <v>259</v>
      </c>
      <c r="F382" s="20" t="s">
        <v>430</v>
      </c>
    </row>
    <row r="383" customFormat="false" ht="15" hidden="false" customHeight="false" outlineLevel="0" collapsed="false">
      <c r="A383" s="4" t="str">
        <f aca="false">B383&amp;"|"&amp;C383</f>
        <v>tdbR00000380 Ser-CGA|17a</v>
      </c>
      <c r="B383" s="4" t="s">
        <v>42</v>
      </c>
      <c r="C383" s="4" t="s">
        <v>496</v>
      </c>
      <c r="D383" s="4" t="n">
        <v>18</v>
      </c>
      <c r="E383" s="19" t="s">
        <v>259</v>
      </c>
      <c r="F383" s="20" t="s">
        <v>430</v>
      </c>
    </row>
    <row r="384" customFormat="false" ht="15" hidden="false" customHeight="false" outlineLevel="0" collapsed="false">
      <c r="A384" s="4" t="str">
        <f aca="false">B384&amp;"|"&amp;C384</f>
        <v>tdbR00000380 Ser-CGA|18</v>
      </c>
      <c r="B384" s="4" t="s">
        <v>42</v>
      </c>
      <c r="C384" s="4" t="s">
        <v>434</v>
      </c>
      <c r="D384" s="4" t="n">
        <v>19</v>
      </c>
      <c r="E384" s="19" t="s">
        <v>197</v>
      </c>
      <c r="F384" s="20" t="s">
        <v>430</v>
      </c>
    </row>
    <row r="385" customFormat="false" ht="15" hidden="false" customHeight="false" outlineLevel="0" collapsed="false">
      <c r="A385" s="4" t="str">
        <f aca="false">B385&amp;"|"&amp;C385</f>
        <v>tdbR00000380 Ser-CGA|19</v>
      </c>
      <c r="B385" s="4" t="s">
        <v>42</v>
      </c>
      <c r="C385" s="4" t="s">
        <v>435</v>
      </c>
      <c r="D385" s="4" t="n">
        <v>20</v>
      </c>
      <c r="E385" s="19" t="s">
        <v>197</v>
      </c>
      <c r="F385" s="20" t="s">
        <v>430</v>
      </c>
    </row>
    <row r="386" customFormat="false" ht="15" hidden="false" customHeight="false" outlineLevel="0" collapsed="false">
      <c r="A386" s="4" t="str">
        <f aca="false">B386&amp;"|"&amp;C386</f>
        <v>tdbR00000380 Ser-CGA|20</v>
      </c>
      <c r="B386" s="4" t="s">
        <v>42</v>
      </c>
      <c r="C386" s="4" t="s">
        <v>436</v>
      </c>
      <c r="D386" s="4" t="n">
        <v>21</v>
      </c>
      <c r="E386" s="19" t="s">
        <v>414</v>
      </c>
      <c r="F386" s="20" t="s">
        <v>430</v>
      </c>
    </row>
    <row r="387" customFormat="false" ht="15" hidden="false" customHeight="false" outlineLevel="0" collapsed="false">
      <c r="A387" s="4" t="str">
        <f aca="false">B387&amp;"|"&amp;C387</f>
        <v>tdbR00000380 Ser-CGA|20a</v>
      </c>
      <c r="B387" s="4" t="s">
        <v>42</v>
      </c>
      <c r="C387" s="4" t="s">
        <v>437</v>
      </c>
      <c r="D387" s="4" t="n">
        <v>22</v>
      </c>
      <c r="E387" s="19" t="s">
        <v>414</v>
      </c>
      <c r="F387" s="20" t="s">
        <v>430</v>
      </c>
    </row>
    <row r="388" customFormat="false" ht="15" hidden="false" customHeight="false" outlineLevel="0" collapsed="false">
      <c r="A388" s="4" t="str">
        <f aca="false">B388&amp;"|"&amp;C388</f>
        <v>tdbR00000380 Ser-CGA|21</v>
      </c>
      <c r="B388" s="4" t="s">
        <v>42</v>
      </c>
      <c r="C388" s="4" t="s">
        <v>438</v>
      </c>
      <c r="D388" s="4" t="n">
        <v>23</v>
      </c>
      <c r="E388" s="19" t="s">
        <v>246</v>
      </c>
      <c r="F388" s="20" t="s">
        <v>430</v>
      </c>
    </row>
    <row r="389" customFormat="false" ht="15" hidden="false" customHeight="false" outlineLevel="0" collapsed="false">
      <c r="A389" s="4" t="str">
        <f aca="false">B389&amp;"|"&amp;C389</f>
        <v>tdbR00000380 Ser-CGA|22</v>
      </c>
      <c r="B389" s="4" t="s">
        <v>42</v>
      </c>
      <c r="C389" s="4" t="s">
        <v>439</v>
      </c>
      <c r="D389" s="4" t="n">
        <v>24</v>
      </c>
      <c r="E389" s="8" t="s">
        <v>246</v>
      </c>
      <c r="F389" s="7" t="s">
        <v>425</v>
      </c>
    </row>
    <row r="390" customFormat="false" ht="15" hidden="false" customHeight="false" outlineLevel="0" collapsed="false">
      <c r="A390" s="4" t="str">
        <f aca="false">B390&amp;"|"&amp;C390</f>
        <v>tdbR00000380 Ser-CGA|23</v>
      </c>
      <c r="B390" s="4" t="s">
        <v>42</v>
      </c>
      <c r="C390" s="4" t="s">
        <v>440</v>
      </c>
      <c r="D390" s="4" t="n">
        <v>25</v>
      </c>
      <c r="E390" s="8" t="s">
        <v>259</v>
      </c>
      <c r="F390" s="7" t="s">
        <v>425</v>
      </c>
    </row>
    <row r="391" customFormat="false" ht="15" hidden="false" customHeight="false" outlineLevel="0" collapsed="false">
      <c r="A391" s="4" t="str">
        <f aca="false">B391&amp;"|"&amp;C391</f>
        <v>tdbR00000380 Ser-CGA|24</v>
      </c>
      <c r="B391" s="4" t="s">
        <v>42</v>
      </c>
      <c r="C391" s="4" t="s">
        <v>441</v>
      </c>
      <c r="D391" s="4" t="n">
        <v>26</v>
      </c>
      <c r="E391" s="8" t="s">
        <v>197</v>
      </c>
      <c r="F391" s="7" t="s">
        <v>425</v>
      </c>
    </row>
    <row r="392" customFormat="false" ht="15" hidden="false" customHeight="false" outlineLevel="0" collapsed="false">
      <c r="A392" s="4" t="str">
        <f aca="false">B392&amp;"|"&amp;C392</f>
        <v>tdbR00000380 Ser-CGA|25</v>
      </c>
      <c r="B392" s="4" t="s">
        <v>42</v>
      </c>
      <c r="C392" s="4" t="s">
        <v>442</v>
      </c>
      <c r="D392" s="4" t="n">
        <v>27</v>
      </c>
      <c r="E392" s="8" t="s">
        <v>414</v>
      </c>
      <c r="F392" s="7" t="s">
        <v>425</v>
      </c>
    </row>
    <row r="393" customFormat="false" ht="15" hidden="false" customHeight="false" outlineLevel="0" collapsed="false">
      <c r="A393" s="4" t="str">
        <f aca="false">B393&amp;"|"&amp;C393</f>
        <v>tdbR00000380 Ser-CGA|26</v>
      </c>
      <c r="B393" s="4" t="s">
        <v>42</v>
      </c>
      <c r="C393" s="4" t="s">
        <v>443</v>
      </c>
      <c r="D393" s="4" t="n">
        <v>28</v>
      </c>
      <c r="E393" s="3" t="s">
        <v>197</v>
      </c>
      <c r="F393" s="4" t="s">
        <v>444</v>
      </c>
    </row>
    <row r="394" customFormat="false" ht="15" hidden="false" customHeight="false" outlineLevel="0" collapsed="false">
      <c r="A394" s="4" t="str">
        <f aca="false">B394&amp;"|"&amp;C394</f>
        <v>tdbR00000380 Ser-CGA|27</v>
      </c>
      <c r="B394" s="4" t="s">
        <v>42</v>
      </c>
      <c r="C394" s="4" t="s">
        <v>445</v>
      </c>
      <c r="D394" s="4" t="n">
        <v>29</v>
      </c>
      <c r="E394" s="21" t="s">
        <v>197</v>
      </c>
      <c r="F394" s="22" t="s">
        <v>446</v>
      </c>
    </row>
    <row r="395" customFormat="false" ht="15" hidden="false" customHeight="false" outlineLevel="0" collapsed="false">
      <c r="A395" s="4" t="str">
        <f aca="false">B395&amp;"|"&amp;C395</f>
        <v>tdbR00000380 Ser-CGA|28</v>
      </c>
      <c r="B395" s="4" t="s">
        <v>42</v>
      </c>
      <c r="C395" s="4" t="s">
        <v>447</v>
      </c>
      <c r="D395" s="4" t="n">
        <v>30</v>
      </c>
      <c r="E395" s="21" t="s">
        <v>259</v>
      </c>
      <c r="F395" s="22" t="s">
        <v>446</v>
      </c>
    </row>
    <row r="396" customFormat="false" ht="15" hidden="false" customHeight="false" outlineLevel="0" collapsed="false">
      <c r="A396" s="4" t="str">
        <f aca="false">B396&amp;"|"&amp;C396</f>
        <v>tdbR00000380 Ser-CGA|29</v>
      </c>
      <c r="B396" s="4" t="s">
        <v>42</v>
      </c>
      <c r="C396" s="4" t="s">
        <v>448</v>
      </c>
      <c r="D396" s="4" t="n">
        <v>31</v>
      </c>
      <c r="E396" s="21" t="s">
        <v>259</v>
      </c>
      <c r="F396" s="22" t="s">
        <v>446</v>
      </c>
    </row>
    <row r="397" customFormat="false" ht="15" hidden="false" customHeight="false" outlineLevel="0" collapsed="false">
      <c r="A397" s="4" t="str">
        <f aca="false">B397&amp;"|"&amp;C397</f>
        <v>tdbR00000380 Ser-CGA|30</v>
      </c>
      <c r="B397" s="4" t="s">
        <v>42</v>
      </c>
      <c r="C397" s="4" t="s">
        <v>449</v>
      </c>
      <c r="D397" s="4" t="n">
        <v>32</v>
      </c>
      <c r="E397" s="21" t="s">
        <v>197</v>
      </c>
      <c r="F397" s="22" t="s">
        <v>446</v>
      </c>
    </row>
    <row r="398" customFormat="false" ht="15" hidden="false" customHeight="false" outlineLevel="0" collapsed="false">
      <c r="A398" s="4" t="str">
        <f aca="false">B398&amp;"|"&amp;C398</f>
        <v>tdbR00000380 Ser-CGA|31</v>
      </c>
      <c r="B398" s="4" t="s">
        <v>42</v>
      </c>
      <c r="C398" s="4" t="s">
        <v>450</v>
      </c>
      <c r="D398" s="4" t="n">
        <v>33</v>
      </c>
      <c r="E398" s="21" t="s">
        <v>414</v>
      </c>
      <c r="F398" s="22" t="s">
        <v>446</v>
      </c>
    </row>
    <row r="399" customFormat="false" ht="15" hidden="false" customHeight="false" outlineLevel="0" collapsed="false">
      <c r="A399" s="4" t="str">
        <f aca="false">B399&amp;"|"&amp;C399</f>
        <v>tdbR00000380 Ser-CGA|32</v>
      </c>
      <c r="B399" s="4" t="s">
        <v>42</v>
      </c>
      <c r="C399" s="4" t="s">
        <v>451</v>
      </c>
      <c r="D399" s="4" t="n">
        <v>34</v>
      </c>
      <c r="E399" s="19" t="s">
        <v>259</v>
      </c>
      <c r="F399" s="20" t="s">
        <v>452</v>
      </c>
    </row>
    <row r="400" customFormat="false" ht="15" hidden="false" customHeight="false" outlineLevel="0" collapsed="false">
      <c r="A400" s="4" t="str">
        <f aca="false">B400&amp;"|"&amp;C400</f>
        <v>tdbR00000380 Ser-CGA|33</v>
      </c>
      <c r="B400" s="4" t="s">
        <v>42</v>
      </c>
      <c r="C400" s="4" t="s">
        <v>453</v>
      </c>
      <c r="D400" s="4" t="n">
        <v>35</v>
      </c>
      <c r="E400" s="19" t="s">
        <v>259</v>
      </c>
      <c r="F400" s="20" t="s">
        <v>452</v>
      </c>
    </row>
    <row r="401" customFormat="false" ht="15" hidden="false" customHeight="false" outlineLevel="0" collapsed="false">
      <c r="A401" s="4" t="str">
        <f aca="false">B401&amp;"|"&amp;C401</f>
        <v>tdbR00000380 Ser-CGA|34</v>
      </c>
      <c r="B401" s="4" t="s">
        <v>42</v>
      </c>
      <c r="C401" s="4" t="s">
        <v>454</v>
      </c>
      <c r="D401" s="4" t="n">
        <v>36</v>
      </c>
      <c r="E401" s="19" t="s">
        <v>414</v>
      </c>
      <c r="F401" s="20" t="s">
        <v>452</v>
      </c>
    </row>
    <row r="402" customFormat="false" ht="15" hidden="false" customHeight="false" outlineLevel="0" collapsed="false">
      <c r="A402" s="4" t="str">
        <f aca="false">B402&amp;"|"&amp;C402</f>
        <v>tdbR00000380 Ser-CGA|35</v>
      </c>
      <c r="B402" s="4" t="s">
        <v>42</v>
      </c>
      <c r="C402" s="4" t="s">
        <v>455</v>
      </c>
      <c r="D402" s="4" t="n">
        <v>37</v>
      </c>
      <c r="E402" s="19" t="s">
        <v>197</v>
      </c>
      <c r="F402" s="20" t="s">
        <v>452</v>
      </c>
    </row>
    <row r="403" customFormat="false" ht="15" hidden="false" customHeight="false" outlineLevel="0" collapsed="false">
      <c r="A403" s="4" t="str">
        <f aca="false">B403&amp;"|"&amp;C403</f>
        <v>tdbR00000380 Ser-CGA|36</v>
      </c>
      <c r="B403" s="4" t="s">
        <v>42</v>
      </c>
      <c r="C403" s="4" t="s">
        <v>456</v>
      </c>
      <c r="D403" s="4" t="n">
        <v>38</v>
      </c>
      <c r="E403" s="19" t="s">
        <v>246</v>
      </c>
      <c r="F403" s="20" t="s">
        <v>452</v>
      </c>
    </row>
    <row r="404" customFormat="false" ht="15" hidden="false" customHeight="false" outlineLevel="0" collapsed="false">
      <c r="A404" s="4" t="str">
        <f aca="false">B404&amp;"|"&amp;C404</f>
        <v>tdbR00000380 Ser-CGA|37</v>
      </c>
      <c r="B404" s="4" t="s">
        <v>42</v>
      </c>
      <c r="C404" s="4" t="s">
        <v>457</v>
      </c>
      <c r="D404" s="4" t="n">
        <v>39</v>
      </c>
      <c r="E404" s="19" t="s">
        <v>197</v>
      </c>
      <c r="F404" s="20" t="s">
        <v>452</v>
      </c>
    </row>
    <row r="405" customFormat="false" ht="15" hidden="false" customHeight="false" outlineLevel="0" collapsed="false">
      <c r="A405" s="4" t="str">
        <f aca="false">B405&amp;"|"&amp;C405</f>
        <v>tdbR00000380 Ser-CGA|38</v>
      </c>
      <c r="B405" s="4" t="s">
        <v>42</v>
      </c>
      <c r="C405" s="4" t="s">
        <v>458</v>
      </c>
      <c r="D405" s="4" t="n">
        <v>40</v>
      </c>
      <c r="E405" s="19" t="s">
        <v>246</v>
      </c>
      <c r="F405" s="20" t="s">
        <v>452</v>
      </c>
    </row>
    <row r="406" customFormat="false" ht="15" hidden="false" customHeight="false" outlineLevel="0" collapsed="false">
      <c r="A406" s="4" t="str">
        <f aca="false">B406&amp;"|"&amp;C406</f>
        <v>tdbR00000380 Ser-CGA|39</v>
      </c>
      <c r="B406" s="4" t="s">
        <v>42</v>
      </c>
      <c r="C406" s="4" t="s">
        <v>459</v>
      </c>
      <c r="D406" s="4" t="n">
        <v>41</v>
      </c>
      <c r="E406" s="21" t="s">
        <v>197</v>
      </c>
      <c r="F406" s="22" t="s">
        <v>446</v>
      </c>
    </row>
    <row r="407" customFormat="false" ht="15" hidden="false" customHeight="false" outlineLevel="0" collapsed="false">
      <c r="A407" s="4" t="str">
        <f aca="false">B407&amp;"|"&amp;C407</f>
        <v>tdbR00000380 Ser-CGA|40</v>
      </c>
      <c r="B407" s="4" t="s">
        <v>42</v>
      </c>
      <c r="C407" s="4" t="s">
        <v>460</v>
      </c>
      <c r="D407" s="4" t="n">
        <v>42</v>
      </c>
      <c r="E407" s="21" t="s">
        <v>414</v>
      </c>
      <c r="F407" s="22" t="s">
        <v>446</v>
      </c>
    </row>
    <row r="408" customFormat="false" ht="15" hidden="false" customHeight="false" outlineLevel="0" collapsed="false">
      <c r="A408" s="4" t="str">
        <f aca="false">B408&amp;"|"&amp;C408</f>
        <v>tdbR00000380 Ser-CGA|41</v>
      </c>
      <c r="B408" s="4" t="s">
        <v>42</v>
      </c>
      <c r="C408" s="4" t="s">
        <v>461</v>
      </c>
      <c r="D408" s="4" t="n">
        <v>43</v>
      </c>
      <c r="E408" s="21" t="s">
        <v>246</v>
      </c>
      <c r="F408" s="22" t="s">
        <v>446</v>
      </c>
    </row>
    <row r="409" customFormat="false" ht="15" hidden="false" customHeight="false" outlineLevel="0" collapsed="false">
      <c r="A409" s="4" t="str">
        <f aca="false">B409&amp;"|"&amp;C409</f>
        <v>tdbR00000380 Ser-CGA|42</v>
      </c>
      <c r="B409" s="4" t="s">
        <v>42</v>
      </c>
      <c r="C409" s="4" t="s">
        <v>462</v>
      </c>
      <c r="D409" s="4" t="n">
        <v>44</v>
      </c>
      <c r="E409" s="21" t="s">
        <v>246</v>
      </c>
      <c r="F409" s="22" t="s">
        <v>446</v>
      </c>
    </row>
    <row r="410" customFormat="false" ht="15" hidden="false" customHeight="false" outlineLevel="0" collapsed="false">
      <c r="A410" s="4" t="str">
        <f aca="false">B410&amp;"|"&amp;C410</f>
        <v>tdbR00000380 Ser-CGA|43</v>
      </c>
      <c r="B410" s="4" t="s">
        <v>42</v>
      </c>
      <c r="C410" s="4" t="s">
        <v>463</v>
      </c>
      <c r="D410" s="4" t="n">
        <v>45</v>
      </c>
      <c r="E410" s="21" t="s">
        <v>414</v>
      </c>
      <c r="F410" s="22" t="s">
        <v>446</v>
      </c>
    </row>
    <row r="411" customFormat="false" ht="15" hidden="false" customHeight="false" outlineLevel="0" collapsed="false">
      <c r="A411" s="4" t="str">
        <f aca="false">B411&amp;"|"&amp;C411</f>
        <v>tdbR00000380 Ser-CGA|44</v>
      </c>
      <c r="B411" s="4" t="s">
        <v>42</v>
      </c>
      <c r="C411" s="4" t="s">
        <v>464</v>
      </c>
      <c r="D411" s="4" t="n">
        <v>46</v>
      </c>
      <c r="E411" s="19" t="s">
        <v>197</v>
      </c>
      <c r="F411" s="20" t="s">
        <v>465</v>
      </c>
    </row>
    <row r="412" customFormat="false" ht="15" hidden="false" customHeight="false" outlineLevel="0" collapsed="false">
      <c r="A412" s="4" t="str">
        <f aca="false">B412&amp;"|"&amp;C412</f>
        <v>tdbR00000380 Ser-CGA|45</v>
      </c>
      <c r="B412" s="4" t="s">
        <v>42</v>
      </c>
      <c r="C412" s="4" t="s">
        <v>466</v>
      </c>
      <c r="D412" s="4" t="n">
        <v>47</v>
      </c>
      <c r="E412" s="19" t="s">
        <v>259</v>
      </c>
      <c r="F412" s="20" t="s">
        <v>465</v>
      </c>
    </row>
    <row r="413" customFormat="false" ht="15" hidden="false" customHeight="false" outlineLevel="0" collapsed="false">
      <c r="A413" s="4" t="str">
        <f aca="false">B413&amp;"|"&amp;C413</f>
        <v>tdbR00000380 Ser-CGA|e1</v>
      </c>
      <c r="B413" s="4" t="s">
        <v>42</v>
      </c>
      <c r="C413" s="4" t="s">
        <v>497</v>
      </c>
      <c r="D413" s="4" t="n">
        <v>48</v>
      </c>
      <c r="E413" s="19" t="s">
        <v>259</v>
      </c>
      <c r="F413" s="20" t="s">
        <v>465</v>
      </c>
    </row>
    <row r="414" customFormat="false" ht="15" hidden="false" customHeight="false" outlineLevel="0" collapsed="false">
      <c r="A414" s="4" t="str">
        <f aca="false">B414&amp;"|"&amp;C414</f>
        <v>tdbR00000380 Ser-CGA|e2</v>
      </c>
      <c r="B414" s="4" t="s">
        <v>42</v>
      </c>
      <c r="C414" s="4" t="s">
        <v>498</v>
      </c>
      <c r="D414" s="4" t="n">
        <v>49</v>
      </c>
      <c r="E414" s="19" t="s">
        <v>414</v>
      </c>
      <c r="F414" s="20" t="s">
        <v>465</v>
      </c>
    </row>
    <row r="415" customFormat="false" ht="15" hidden="false" customHeight="false" outlineLevel="0" collapsed="false">
      <c r="A415" s="4" t="str">
        <f aca="false">B415&amp;"|"&amp;C415</f>
        <v>tdbR00000380 Ser-CGA|e3</v>
      </c>
      <c r="B415" s="4" t="s">
        <v>42</v>
      </c>
      <c r="C415" s="4" t="s">
        <v>499</v>
      </c>
      <c r="D415" s="4" t="n">
        <v>50</v>
      </c>
      <c r="E415" s="19" t="s">
        <v>414</v>
      </c>
      <c r="F415" s="20" t="s">
        <v>465</v>
      </c>
    </row>
    <row r="416" customFormat="false" ht="15" hidden="false" customHeight="false" outlineLevel="0" collapsed="false">
      <c r="A416" s="4" t="str">
        <f aca="false">B416&amp;"|"&amp;C416</f>
        <v>tdbR00000380 Ser-CGA|e4</v>
      </c>
      <c r="B416" s="4" t="s">
        <v>42</v>
      </c>
      <c r="C416" s="4" t="s">
        <v>500</v>
      </c>
      <c r="D416" s="4" t="n">
        <v>51</v>
      </c>
      <c r="E416" s="19" t="s">
        <v>246</v>
      </c>
      <c r="F416" s="20" t="s">
        <v>465</v>
      </c>
    </row>
    <row r="417" customFormat="false" ht="15" hidden="false" customHeight="false" outlineLevel="0" collapsed="false">
      <c r="A417" s="4" t="str">
        <f aca="false">B417&amp;"|"&amp;C417</f>
        <v>tdbR00000380 Ser-CGA|e5</v>
      </c>
      <c r="B417" s="4" t="s">
        <v>42</v>
      </c>
      <c r="C417" s="4" t="s">
        <v>501</v>
      </c>
      <c r="D417" s="4" t="n">
        <v>52</v>
      </c>
      <c r="E417" s="19" t="s">
        <v>414</v>
      </c>
      <c r="F417" s="20" t="s">
        <v>465</v>
      </c>
    </row>
    <row r="418" customFormat="false" ht="15" hidden="false" customHeight="false" outlineLevel="0" collapsed="false">
      <c r="A418" s="4" t="str">
        <f aca="false">B418&amp;"|"&amp;C418</f>
        <v>tdbR00000380 Ser-CGA|e6</v>
      </c>
      <c r="B418" s="4" t="s">
        <v>42</v>
      </c>
      <c r="C418" s="4" t="s">
        <v>502</v>
      </c>
      <c r="D418" s="4" t="n">
        <v>53</v>
      </c>
      <c r="E418" s="19" t="s">
        <v>246</v>
      </c>
      <c r="F418" s="20" t="s">
        <v>465</v>
      </c>
    </row>
    <row r="419" customFormat="false" ht="15" hidden="false" customHeight="false" outlineLevel="0" collapsed="false">
      <c r="A419" s="4" t="str">
        <f aca="false">B419&amp;"|"&amp;C419</f>
        <v>tdbR00000380 Ser-CGA|e7</v>
      </c>
      <c r="B419" s="4" t="s">
        <v>42</v>
      </c>
      <c r="C419" s="4" t="s">
        <v>503</v>
      </c>
      <c r="D419" s="4" t="n">
        <v>54</v>
      </c>
      <c r="E419" s="19" t="s">
        <v>414</v>
      </c>
      <c r="F419" s="20" t="s">
        <v>465</v>
      </c>
    </row>
    <row r="420" customFormat="false" ht="15" hidden="false" customHeight="false" outlineLevel="0" collapsed="false">
      <c r="A420" s="4" t="str">
        <f aca="false">B420&amp;"|"&amp;C420</f>
        <v>tdbR00000380 Ser-CGA|e8</v>
      </c>
      <c r="B420" s="4" t="s">
        <v>42</v>
      </c>
      <c r="C420" s="4" t="s">
        <v>504</v>
      </c>
      <c r="D420" s="4" t="n">
        <v>55</v>
      </c>
      <c r="E420" s="19" t="s">
        <v>197</v>
      </c>
      <c r="F420" s="20" t="s">
        <v>465</v>
      </c>
    </row>
    <row r="421" customFormat="false" ht="15" hidden="false" customHeight="false" outlineLevel="0" collapsed="false">
      <c r="A421" s="4" t="str">
        <f aca="false">B421&amp;"|"&amp;C421</f>
        <v>tdbR00000380 Ser-CGA|e9</v>
      </c>
      <c r="B421" s="4" t="s">
        <v>42</v>
      </c>
      <c r="C421" s="4" t="s">
        <v>505</v>
      </c>
      <c r="D421" s="4" t="n">
        <v>56</v>
      </c>
      <c r="E421" s="19" t="s">
        <v>197</v>
      </c>
      <c r="F421" s="20" t="s">
        <v>465</v>
      </c>
    </row>
    <row r="422" customFormat="false" ht="15" hidden="false" customHeight="false" outlineLevel="0" collapsed="false">
      <c r="A422" s="4" t="str">
        <f aca="false">B422&amp;"|"&amp;C422</f>
        <v>tdbR00000380 Ser-CGA|e10</v>
      </c>
      <c r="B422" s="4" t="s">
        <v>42</v>
      </c>
      <c r="C422" s="4" t="s">
        <v>506</v>
      </c>
      <c r="D422" s="4" t="n">
        <v>57</v>
      </c>
      <c r="E422" s="19" t="s">
        <v>246</v>
      </c>
      <c r="F422" s="20" t="s">
        <v>465</v>
      </c>
    </row>
    <row r="423" customFormat="false" ht="15" hidden="false" customHeight="false" outlineLevel="0" collapsed="false">
      <c r="A423" s="4" t="str">
        <f aca="false">B423&amp;"|"&amp;C423</f>
        <v>tdbR00000380 Ser-CGA|46</v>
      </c>
      <c r="B423" s="4" t="s">
        <v>42</v>
      </c>
      <c r="C423" s="4" t="s">
        <v>467</v>
      </c>
      <c r="D423" s="4" t="n">
        <v>58</v>
      </c>
      <c r="E423" s="19" t="s">
        <v>414</v>
      </c>
      <c r="F423" s="20" t="s">
        <v>465</v>
      </c>
    </row>
    <row r="424" customFormat="false" ht="15" hidden="false" customHeight="false" outlineLevel="0" collapsed="false">
      <c r="A424" s="4" t="str">
        <f aca="false">B424&amp;"|"&amp;C424</f>
        <v>tdbR00000380 Ser-CGA|47</v>
      </c>
      <c r="B424" s="4" t="s">
        <v>42</v>
      </c>
      <c r="C424" s="4" t="s">
        <v>468</v>
      </c>
      <c r="D424" s="4" t="n">
        <v>59</v>
      </c>
      <c r="E424" s="19" t="s">
        <v>259</v>
      </c>
      <c r="F424" s="20" t="s">
        <v>465</v>
      </c>
    </row>
    <row r="425" customFormat="false" ht="15" hidden="false" customHeight="false" outlineLevel="0" collapsed="false">
      <c r="A425" s="4" t="str">
        <f aca="false">B425&amp;"|"&amp;C425</f>
        <v>tdbR00000380 Ser-CGA|48</v>
      </c>
      <c r="B425" s="4" t="s">
        <v>42</v>
      </c>
      <c r="C425" s="4" t="s">
        <v>469</v>
      </c>
      <c r="D425" s="4" t="n">
        <v>60</v>
      </c>
      <c r="E425" s="19" t="s">
        <v>414</v>
      </c>
      <c r="F425" s="20" t="s">
        <v>465</v>
      </c>
    </row>
    <row r="426" customFormat="false" ht="15" hidden="false" customHeight="false" outlineLevel="0" collapsed="false">
      <c r="A426" s="4" t="str">
        <f aca="false">B426&amp;"|"&amp;C426</f>
        <v>tdbR00000380 Ser-CGA|49</v>
      </c>
      <c r="B426" s="4" t="s">
        <v>42</v>
      </c>
      <c r="C426" s="4" t="s">
        <v>470</v>
      </c>
      <c r="D426" s="4" t="n">
        <v>61</v>
      </c>
      <c r="E426" s="23" t="s">
        <v>246</v>
      </c>
      <c r="F426" s="10" t="s">
        <v>471</v>
      </c>
    </row>
    <row r="427" customFormat="false" ht="15" hidden="false" customHeight="false" outlineLevel="0" collapsed="false">
      <c r="A427" s="4" t="str">
        <f aca="false">B427&amp;"|"&amp;C427</f>
        <v>tdbR00000380 Ser-CGA|50</v>
      </c>
      <c r="B427" s="4" t="s">
        <v>42</v>
      </c>
      <c r="C427" s="4" t="s">
        <v>472</v>
      </c>
      <c r="D427" s="4" t="n">
        <v>62</v>
      </c>
      <c r="E427" s="23" t="s">
        <v>197</v>
      </c>
      <c r="F427" s="10" t="s">
        <v>471</v>
      </c>
    </row>
    <row r="428" customFormat="false" ht="15" hidden="false" customHeight="false" outlineLevel="0" collapsed="false">
      <c r="A428" s="4" t="str">
        <f aca="false">B428&amp;"|"&amp;C428</f>
        <v>tdbR00000380 Ser-CGA|51</v>
      </c>
      <c r="B428" s="4" t="s">
        <v>42</v>
      </c>
      <c r="C428" s="4" t="s">
        <v>473</v>
      </c>
      <c r="D428" s="4" t="n">
        <v>63</v>
      </c>
      <c r="E428" s="23" t="s">
        <v>197</v>
      </c>
      <c r="F428" s="10" t="s">
        <v>471</v>
      </c>
    </row>
    <row r="429" customFormat="false" ht="15" hidden="false" customHeight="false" outlineLevel="0" collapsed="false">
      <c r="A429" s="4" t="str">
        <f aca="false">B429&amp;"|"&amp;C429</f>
        <v>tdbR00000380 Ser-CGA|52</v>
      </c>
      <c r="B429" s="4" t="s">
        <v>42</v>
      </c>
      <c r="C429" s="4" t="s">
        <v>474</v>
      </c>
      <c r="D429" s="4" t="n">
        <v>64</v>
      </c>
      <c r="E429" s="23" t="s">
        <v>246</v>
      </c>
      <c r="F429" s="10" t="s">
        <v>471</v>
      </c>
    </row>
    <row r="430" customFormat="false" ht="15" hidden="false" customHeight="false" outlineLevel="0" collapsed="false">
      <c r="A430" s="4" t="str">
        <f aca="false">B430&amp;"|"&amp;C430</f>
        <v>tdbR00000380 Ser-CGA|53</v>
      </c>
      <c r="B430" s="4" t="s">
        <v>42</v>
      </c>
      <c r="C430" s="4" t="s">
        <v>475</v>
      </c>
      <c r="D430" s="4" t="n">
        <v>65</v>
      </c>
      <c r="E430" s="23" t="s">
        <v>197</v>
      </c>
      <c r="F430" s="10" t="s">
        <v>471</v>
      </c>
    </row>
    <row r="431" customFormat="false" ht="15" hidden="false" customHeight="false" outlineLevel="0" collapsed="false">
      <c r="A431" s="4" t="str">
        <f aca="false">B431&amp;"|"&amp;C431</f>
        <v>tdbR00000380 Ser-CGA|54</v>
      </c>
      <c r="B431" s="4" t="s">
        <v>42</v>
      </c>
      <c r="C431" s="4" t="s">
        <v>476</v>
      </c>
      <c r="D431" s="4" t="n">
        <v>66</v>
      </c>
      <c r="E431" s="19" t="s">
        <v>259</v>
      </c>
      <c r="F431" s="20" t="s">
        <v>477</v>
      </c>
    </row>
    <row r="432" customFormat="false" ht="15" hidden="false" customHeight="false" outlineLevel="0" collapsed="false">
      <c r="A432" s="4" t="str">
        <f aca="false">B432&amp;"|"&amp;C432</f>
        <v>tdbR00000380 Ser-CGA|55</v>
      </c>
      <c r="B432" s="4" t="s">
        <v>42</v>
      </c>
      <c r="C432" s="4" t="s">
        <v>478</v>
      </c>
      <c r="D432" s="4" t="n">
        <v>67</v>
      </c>
      <c r="E432" s="19" t="s">
        <v>259</v>
      </c>
      <c r="F432" s="20" t="s">
        <v>477</v>
      </c>
    </row>
    <row r="433" customFormat="false" ht="15" hidden="false" customHeight="false" outlineLevel="0" collapsed="false">
      <c r="A433" s="4" t="str">
        <f aca="false">B433&amp;"|"&amp;C433</f>
        <v>tdbR00000380 Ser-CGA|56</v>
      </c>
      <c r="B433" s="4" t="s">
        <v>42</v>
      </c>
      <c r="C433" s="4" t="s">
        <v>479</v>
      </c>
      <c r="D433" s="4" t="n">
        <v>68</v>
      </c>
      <c r="E433" s="19" t="s">
        <v>414</v>
      </c>
      <c r="F433" s="20" t="s">
        <v>477</v>
      </c>
    </row>
    <row r="434" customFormat="false" ht="15" hidden="false" customHeight="false" outlineLevel="0" collapsed="false">
      <c r="A434" s="4" t="str">
        <f aca="false">B434&amp;"|"&amp;C434</f>
        <v>tdbR00000380 Ser-CGA|57</v>
      </c>
      <c r="B434" s="4" t="s">
        <v>42</v>
      </c>
      <c r="C434" s="4" t="s">
        <v>480</v>
      </c>
      <c r="D434" s="4" t="n">
        <v>69</v>
      </c>
      <c r="E434" s="19" t="s">
        <v>246</v>
      </c>
      <c r="F434" s="20" t="s">
        <v>477</v>
      </c>
    </row>
    <row r="435" customFormat="false" ht="15" hidden="false" customHeight="false" outlineLevel="0" collapsed="false">
      <c r="A435" s="4" t="str">
        <f aca="false">B435&amp;"|"&amp;C435</f>
        <v>tdbR00000380 Ser-CGA|58</v>
      </c>
      <c r="B435" s="4" t="s">
        <v>42</v>
      </c>
      <c r="C435" s="4" t="s">
        <v>481</v>
      </c>
      <c r="D435" s="4" t="n">
        <v>70</v>
      </c>
      <c r="E435" s="19" t="s">
        <v>246</v>
      </c>
      <c r="F435" s="20" t="s">
        <v>477</v>
      </c>
    </row>
    <row r="436" customFormat="false" ht="15" hidden="false" customHeight="false" outlineLevel="0" collapsed="false">
      <c r="A436" s="4" t="str">
        <f aca="false">B436&amp;"|"&amp;C436</f>
        <v>tdbR00000380 Ser-CGA|59</v>
      </c>
      <c r="B436" s="4" t="s">
        <v>42</v>
      </c>
      <c r="C436" s="4" t="s">
        <v>482</v>
      </c>
      <c r="D436" s="4" t="n">
        <v>71</v>
      </c>
      <c r="E436" s="19" t="s">
        <v>246</v>
      </c>
      <c r="F436" s="20" t="s">
        <v>477</v>
      </c>
    </row>
    <row r="437" customFormat="false" ht="15" hidden="false" customHeight="false" outlineLevel="0" collapsed="false">
      <c r="A437" s="4" t="str">
        <f aca="false">B437&amp;"|"&amp;C437</f>
        <v>tdbR00000380 Ser-CGA|60</v>
      </c>
      <c r="B437" s="4" t="s">
        <v>42</v>
      </c>
      <c r="C437" s="4" t="s">
        <v>483</v>
      </c>
      <c r="D437" s="4" t="n">
        <v>72</v>
      </c>
      <c r="E437" s="19" t="s">
        <v>259</v>
      </c>
      <c r="F437" s="20" t="s">
        <v>477</v>
      </c>
    </row>
    <row r="438" customFormat="false" ht="15" hidden="false" customHeight="false" outlineLevel="0" collapsed="false">
      <c r="A438" s="4" t="str">
        <f aca="false">B438&amp;"|"&amp;C438</f>
        <v>tdbR00000380 Ser-CGA|61</v>
      </c>
      <c r="B438" s="4" t="s">
        <v>42</v>
      </c>
      <c r="C438" s="4" t="s">
        <v>484</v>
      </c>
      <c r="D438" s="4" t="n">
        <v>73</v>
      </c>
      <c r="E438" s="23" t="s">
        <v>414</v>
      </c>
      <c r="F438" s="10" t="s">
        <v>471</v>
      </c>
    </row>
    <row r="439" customFormat="false" ht="15" hidden="false" customHeight="false" outlineLevel="0" collapsed="false">
      <c r="A439" s="4" t="str">
        <f aca="false">B439&amp;"|"&amp;C439</f>
        <v>tdbR00000380 Ser-CGA|62</v>
      </c>
      <c r="B439" s="4" t="s">
        <v>42</v>
      </c>
      <c r="C439" s="4" t="s">
        <v>485</v>
      </c>
      <c r="D439" s="4" t="n">
        <v>74</v>
      </c>
      <c r="E439" s="23" t="s">
        <v>259</v>
      </c>
      <c r="F439" s="10" t="s">
        <v>471</v>
      </c>
    </row>
    <row r="440" customFormat="false" ht="15" hidden="false" customHeight="false" outlineLevel="0" collapsed="false">
      <c r="A440" s="4" t="str">
        <f aca="false">B440&amp;"|"&amp;C440</f>
        <v>tdbR00000380 Ser-CGA|63</v>
      </c>
      <c r="B440" s="4" t="s">
        <v>42</v>
      </c>
      <c r="C440" s="4" t="s">
        <v>486</v>
      </c>
      <c r="D440" s="4" t="n">
        <v>75</v>
      </c>
      <c r="E440" s="23" t="s">
        <v>414</v>
      </c>
      <c r="F440" s="10" t="s">
        <v>471</v>
      </c>
    </row>
    <row r="441" customFormat="false" ht="15" hidden="false" customHeight="false" outlineLevel="0" collapsed="false">
      <c r="A441" s="4" t="str">
        <f aca="false">B441&amp;"|"&amp;C441</f>
        <v>tdbR00000380 Ser-CGA|64</v>
      </c>
      <c r="B441" s="4" t="s">
        <v>42</v>
      </c>
      <c r="C441" s="4" t="s">
        <v>487</v>
      </c>
      <c r="D441" s="4" t="n">
        <v>76</v>
      </c>
      <c r="E441" s="23" t="s">
        <v>414</v>
      </c>
      <c r="F441" s="10" t="s">
        <v>471</v>
      </c>
    </row>
    <row r="442" customFormat="false" ht="15" hidden="false" customHeight="false" outlineLevel="0" collapsed="false">
      <c r="A442" s="4" t="str">
        <f aca="false">B442&amp;"|"&amp;C442</f>
        <v>tdbR00000380 Ser-CGA|65</v>
      </c>
      <c r="B442" s="4" t="s">
        <v>42</v>
      </c>
      <c r="C442" s="4" t="s">
        <v>488</v>
      </c>
      <c r="D442" s="4" t="n">
        <v>77</v>
      </c>
      <c r="E442" s="23" t="s">
        <v>259</v>
      </c>
      <c r="F442" s="10" t="s">
        <v>471</v>
      </c>
    </row>
    <row r="443" customFormat="false" ht="15" hidden="false" customHeight="false" outlineLevel="0" collapsed="false">
      <c r="A443" s="4" t="str">
        <f aca="false">B443&amp;"|"&amp;C443</f>
        <v>tdbR00000380 Ser-CGA|66</v>
      </c>
      <c r="B443" s="4" t="s">
        <v>42</v>
      </c>
      <c r="C443" s="4" t="s">
        <v>489</v>
      </c>
      <c r="D443" s="4" t="n">
        <v>78</v>
      </c>
      <c r="E443" s="17" t="s">
        <v>414</v>
      </c>
      <c r="F443" s="18" t="s">
        <v>412</v>
      </c>
    </row>
    <row r="444" customFormat="false" ht="15" hidden="false" customHeight="false" outlineLevel="0" collapsed="false">
      <c r="A444" s="4" t="str">
        <f aca="false">B444&amp;"|"&amp;C444</f>
        <v>tdbR00000380 Ser-CGA|67</v>
      </c>
      <c r="B444" s="4" t="s">
        <v>42</v>
      </c>
      <c r="C444" s="4" t="s">
        <v>490</v>
      </c>
      <c r="D444" s="4" t="n">
        <v>79</v>
      </c>
      <c r="E444" s="17" t="s">
        <v>414</v>
      </c>
      <c r="F444" s="18" t="s">
        <v>412</v>
      </c>
    </row>
    <row r="445" customFormat="false" ht="15" hidden="false" customHeight="false" outlineLevel="0" collapsed="false">
      <c r="A445" s="4" t="str">
        <f aca="false">B445&amp;"|"&amp;C445</f>
        <v>tdbR00000380 Ser-CGA|68</v>
      </c>
      <c r="B445" s="4" t="s">
        <v>42</v>
      </c>
      <c r="C445" s="4" t="s">
        <v>491</v>
      </c>
      <c r="D445" s="4" t="n">
        <v>80</v>
      </c>
      <c r="E445" s="17" t="s">
        <v>259</v>
      </c>
      <c r="F445" s="18" t="s">
        <v>412</v>
      </c>
    </row>
    <row r="446" customFormat="false" ht="15" hidden="false" customHeight="false" outlineLevel="0" collapsed="false">
      <c r="A446" s="4" t="str">
        <f aca="false">B446&amp;"|"&amp;C446</f>
        <v>tdbR00000380 Ser-CGA|69</v>
      </c>
      <c r="B446" s="4" t="s">
        <v>42</v>
      </c>
      <c r="C446" s="4" t="s">
        <v>492</v>
      </c>
      <c r="D446" s="4" t="n">
        <v>81</v>
      </c>
      <c r="E446" s="17" t="s">
        <v>414</v>
      </c>
      <c r="F446" s="18" t="s">
        <v>412</v>
      </c>
    </row>
    <row r="447" customFormat="false" ht="15" hidden="false" customHeight="false" outlineLevel="0" collapsed="false">
      <c r="A447" s="4" t="str">
        <f aca="false">B447&amp;"|"&amp;C447</f>
        <v>tdbR00000380 Ser-CGA|70</v>
      </c>
      <c r="B447" s="4" t="s">
        <v>42</v>
      </c>
      <c r="C447" s="4" t="s">
        <v>493</v>
      </c>
      <c r="D447" s="4" t="n">
        <v>82</v>
      </c>
      <c r="E447" s="17" t="s">
        <v>197</v>
      </c>
      <c r="F447" s="18" t="s">
        <v>412</v>
      </c>
    </row>
    <row r="448" customFormat="false" ht="15" hidden="false" customHeight="false" outlineLevel="0" collapsed="false">
      <c r="A448" s="4" t="str">
        <f aca="false">B448&amp;"|"&amp;C448</f>
        <v>tdbR00000380 Ser-CGA|71</v>
      </c>
      <c r="B448" s="4" t="s">
        <v>42</v>
      </c>
      <c r="C448" s="4" t="s">
        <v>494</v>
      </c>
      <c r="D448" s="4" t="n">
        <v>83</v>
      </c>
      <c r="E448" s="17" t="s">
        <v>197</v>
      </c>
      <c r="F448" s="18" t="s">
        <v>412</v>
      </c>
    </row>
    <row r="449" customFormat="false" ht="15" hidden="false" customHeight="false" outlineLevel="0" collapsed="false">
      <c r="A449" s="4" t="str">
        <f aca="false">B449&amp;"|"&amp;C449</f>
        <v>tdbR00000380 Ser-CGA|72</v>
      </c>
      <c r="B449" s="4" t="s">
        <v>42</v>
      </c>
      <c r="C449" s="4" t="s">
        <v>495</v>
      </c>
      <c r="D449" s="4" t="n">
        <v>84</v>
      </c>
      <c r="E449" s="17" t="s">
        <v>414</v>
      </c>
      <c r="F449" s="18" t="s">
        <v>412</v>
      </c>
    </row>
    <row r="450" customFormat="false" ht="15" hidden="false" customHeight="false" outlineLevel="0" collapsed="false">
      <c r="A450" s="4" t="str">
        <f aca="false">B450&amp;"|"&amp;C450</f>
        <v>tdbR00000430 Thr-GGU|1</v>
      </c>
      <c r="B450" s="4" t="s">
        <v>43</v>
      </c>
      <c r="C450" s="4" t="s">
        <v>411</v>
      </c>
      <c r="D450" s="4" t="n">
        <v>1</v>
      </c>
      <c r="E450" s="17" t="s">
        <v>197</v>
      </c>
      <c r="F450" s="18" t="s">
        <v>412</v>
      </c>
    </row>
    <row r="451" customFormat="false" ht="15" hidden="false" customHeight="false" outlineLevel="0" collapsed="false">
      <c r="A451" s="4" t="str">
        <f aca="false">B451&amp;"|"&amp;C451</f>
        <v>tdbR00000430 Thr-GGU|2</v>
      </c>
      <c r="B451" s="4" t="s">
        <v>43</v>
      </c>
      <c r="C451" s="4" t="s">
        <v>413</v>
      </c>
      <c r="D451" s="4" t="n">
        <v>2</v>
      </c>
      <c r="E451" s="17" t="s">
        <v>414</v>
      </c>
      <c r="F451" s="18" t="s">
        <v>412</v>
      </c>
    </row>
    <row r="452" customFormat="false" ht="15" hidden="false" customHeight="false" outlineLevel="0" collapsed="false">
      <c r="A452" s="4" t="str">
        <f aca="false">B452&amp;"|"&amp;C452</f>
        <v>tdbR00000430 Thr-GGU|3</v>
      </c>
      <c r="B452" s="4" t="s">
        <v>43</v>
      </c>
      <c r="C452" s="4" t="s">
        <v>415</v>
      </c>
      <c r="D452" s="4" t="n">
        <v>3</v>
      </c>
      <c r="E452" s="17" t="s">
        <v>414</v>
      </c>
      <c r="F452" s="18" t="s">
        <v>412</v>
      </c>
    </row>
    <row r="453" customFormat="false" ht="15" hidden="false" customHeight="false" outlineLevel="0" collapsed="false">
      <c r="A453" s="4" t="str">
        <f aca="false">B453&amp;"|"&amp;C453</f>
        <v>tdbR00000430 Thr-GGU|4</v>
      </c>
      <c r="B453" s="4" t="s">
        <v>43</v>
      </c>
      <c r="C453" s="4" t="s">
        <v>416</v>
      </c>
      <c r="D453" s="4" t="n">
        <v>4</v>
      </c>
      <c r="E453" s="17" t="s">
        <v>259</v>
      </c>
      <c r="F453" s="18" t="s">
        <v>412</v>
      </c>
    </row>
    <row r="454" customFormat="false" ht="15" hidden="false" customHeight="false" outlineLevel="0" collapsed="false">
      <c r="A454" s="4" t="str">
        <f aca="false">B454&amp;"|"&amp;C454</f>
        <v>tdbR00000430 Thr-GGU|5</v>
      </c>
      <c r="B454" s="4" t="s">
        <v>43</v>
      </c>
      <c r="C454" s="4" t="s">
        <v>417</v>
      </c>
      <c r="D454" s="4" t="n">
        <v>5</v>
      </c>
      <c r="E454" s="17" t="s">
        <v>197</v>
      </c>
      <c r="F454" s="18" t="s">
        <v>412</v>
      </c>
    </row>
    <row r="455" customFormat="false" ht="15" hidden="false" customHeight="false" outlineLevel="0" collapsed="false">
      <c r="A455" s="4" t="str">
        <f aca="false">B455&amp;"|"&amp;C455</f>
        <v>tdbR00000430 Thr-GGU|6</v>
      </c>
      <c r="B455" s="4" t="s">
        <v>43</v>
      </c>
      <c r="C455" s="4" t="s">
        <v>418</v>
      </c>
      <c r="D455" s="4" t="n">
        <v>6</v>
      </c>
      <c r="E455" s="17" t="s">
        <v>197</v>
      </c>
      <c r="F455" s="18" t="s">
        <v>412</v>
      </c>
    </row>
    <row r="456" customFormat="false" ht="15" hidden="false" customHeight="false" outlineLevel="0" collapsed="false">
      <c r="A456" s="4" t="str">
        <f aca="false">B456&amp;"|"&amp;C456</f>
        <v>tdbR00000430 Thr-GGU|7</v>
      </c>
      <c r="B456" s="4" t="s">
        <v>43</v>
      </c>
      <c r="C456" s="4" t="s">
        <v>419</v>
      </c>
      <c r="D456" s="4" t="n">
        <v>7</v>
      </c>
      <c r="E456" s="17" t="s">
        <v>197</v>
      </c>
      <c r="F456" s="18" t="s">
        <v>412</v>
      </c>
    </row>
    <row r="457" customFormat="false" ht="15" hidden="false" customHeight="false" outlineLevel="0" collapsed="false">
      <c r="A457" s="4" t="str">
        <f aca="false">B457&amp;"|"&amp;C457</f>
        <v>tdbR00000430 Thr-GGU|8</v>
      </c>
      <c r="B457" s="4" t="s">
        <v>43</v>
      </c>
      <c r="C457" s="4" t="s">
        <v>420</v>
      </c>
      <c r="D457" s="4" t="n">
        <v>8</v>
      </c>
      <c r="E457" s="3" t="s">
        <v>259</v>
      </c>
      <c r="F457" s="4" t="s">
        <v>421</v>
      </c>
    </row>
    <row r="458" customFormat="false" ht="15" hidden="false" customHeight="false" outlineLevel="0" collapsed="false">
      <c r="A458" s="4" t="str">
        <f aca="false">B458&amp;"|"&amp;C458</f>
        <v>tdbR00000430 Thr-GGU|9</v>
      </c>
      <c r="B458" s="4" t="s">
        <v>43</v>
      </c>
      <c r="C458" s="4" t="s">
        <v>422</v>
      </c>
      <c r="D458" s="4" t="n">
        <v>9</v>
      </c>
      <c r="E458" s="3" t="s">
        <v>246</v>
      </c>
      <c r="F458" s="4" t="s">
        <v>423</v>
      </c>
    </row>
    <row r="459" customFormat="false" ht="15" hidden="false" customHeight="false" outlineLevel="0" collapsed="false">
      <c r="A459" s="4" t="str">
        <f aca="false">B459&amp;"|"&amp;C459</f>
        <v>tdbR00000430 Thr-GGU|10</v>
      </c>
      <c r="B459" s="4" t="s">
        <v>43</v>
      </c>
      <c r="C459" s="4" t="s">
        <v>424</v>
      </c>
      <c r="D459" s="4" t="n">
        <v>10</v>
      </c>
      <c r="E459" s="8" t="s">
        <v>197</v>
      </c>
      <c r="F459" s="7" t="s">
        <v>425</v>
      </c>
    </row>
    <row r="460" customFormat="false" ht="15" hidden="false" customHeight="false" outlineLevel="0" collapsed="false">
      <c r="A460" s="4" t="str">
        <f aca="false">B460&amp;"|"&amp;C460</f>
        <v>tdbR00000430 Thr-GGU|11</v>
      </c>
      <c r="B460" s="4" t="s">
        <v>43</v>
      </c>
      <c r="C460" s="4" t="s">
        <v>426</v>
      </c>
      <c r="D460" s="4" t="n">
        <v>11</v>
      </c>
      <c r="E460" s="8" t="s">
        <v>414</v>
      </c>
      <c r="F460" s="7" t="s">
        <v>425</v>
      </c>
    </row>
    <row r="461" customFormat="false" ht="15" hidden="false" customHeight="false" outlineLevel="0" collapsed="false">
      <c r="A461" s="4" t="str">
        <f aca="false">B461&amp;"|"&amp;C461</f>
        <v>tdbR00000430 Thr-GGU|12</v>
      </c>
      <c r="B461" s="4" t="s">
        <v>43</v>
      </c>
      <c r="C461" s="4" t="s">
        <v>427</v>
      </c>
      <c r="D461" s="4" t="n">
        <v>12</v>
      </c>
      <c r="E461" s="8" t="s">
        <v>259</v>
      </c>
      <c r="F461" s="7" t="s">
        <v>425</v>
      </c>
    </row>
    <row r="462" customFormat="false" ht="15" hidden="false" customHeight="false" outlineLevel="0" collapsed="false">
      <c r="A462" s="4" t="str">
        <f aca="false">B462&amp;"|"&amp;C462</f>
        <v>tdbR00000430 Thr-GGU|13</v>
      </c>
      <c r="B462" s="4" t="s">
        <v>43</v>
      </c>
      <c r="C462" s="4" t="s">
        <v>428</v>
      </c>
      <c r="D462" s="4" t="n">
        <v>13</v>
      </c>
      <c r="E462" s="8" t="s">
        <v>259</v>
      </c>
      <c r="F462" s="7" t="s">
        <v>425</v>
      </c>
    </row>
    <row r="463" customFormat="false" ht="15" hidden="false" customHeight="false" outlineLevel="0" collapsed="false">
      <c r="A463" s="4" t="str">
        <f aca="false">B463&amp;"|"&amp;C463</f>
        <v>tdbR00000430 Thr-GGU|14</v>
      </c>
      <c r="B463" s="4" t="s">
        <v>43</v>
      </c>
      <c r="C463" s="4" t="s">
        <v>429</v>
      </c>
      <c r="D463" s="4" t="n">
        <v>14</v>
      </c>
      <c r="E463" s="19" t="s">
        <v>246</v>
      </c>
      <c r="F463" s="20" t="s">
        <v>430</v>
      </c>
    </row>
    <row r="464" customFormat="false" ht="15" hidden="false" customHeight="false" outlineLevel="0" collapsed="false">
      <c r="A464" s="4" t="str">
        <f aca="false">B464&amp;"|"&amp;C464</f>
        <v>tdbR00000430 Thr-GGU|15</v>
      </c>
      <c r="B464" s="4" t="s">
        <v>43</v>
      </c>
      <c r="C464" s="4" t="s">
        <v>431</v>
      </c>
      <c r="D464" s="4" t="n">
        <v>15</v>
      </c>
      <c r="E464" s="19" t="s">
        <v>197</v>
      </c>
      <c r="F464" s="20" t="s">
        <v>430</v>
      </c>
    </row>
    <row r="465" customFormat="false" ht="15" hidden="false" customHeight="false" outlineLevel="0" collapsed="false">
      <c r="A465" s="4" t="str">
        <f aca="false">B465&amp;"|"&amp;C465</f>
        <v>tdbR00000430 Thr-GGU|16</v>
      </c>
      <c r="B465" s="4" t="s">
        <v>43</v>
      </c>
      <c r="C465" s="4" t="s">
        <v>432</v>
      </c>
      <c r="D465" s="4" t="n">
        <v>16</v>
      </c>
      <c r="E465" s="19" t="s">
        <v>414</v>
      </c>
      <c r="F465" s="20" t="s">
        <v>430</v>
      </c>
    </row>
    <row r="466" customFormat="false" ht="15" hidden="false" customHeight="false" outlineLevel="0" collapsed="false">
      <c r="A466" s="4" t="str">
        <f aca="false">B466&amp;"|"&amp;C466</f>
        <v>tdbR00000430 Thr-GGU|18</v>
      </c>
      <c r="B466" s="4" t="s">
        <v>43</v>
      </c>
      <c r="C466" s="4" t="s">
        <v>434</v>
      </c>
      <c r="D466" s="4" t="n">
        <v>17</v>
      </c>
      <c r="E466" s="19" t="s">
        <v>197</v>
      </c>
      <c r="F466" s="20" t="s">
        <v>430</v>
      </c>
    </row>
    <row r="467" customFormat="false" ht="15" hidden="false" customHeight="false" outlineLevel="0" collapsed="false">
      <c r="A467" s="4" t="str">
        <f aca="false">B467&amp;"|"&amp;C467</f>
        <v>tdbR00000430 Thr-GGU|19</v>
      </c>
      <c r="B467" s="4" t="s">
        <v>43</v>
      </c>
      <c r="C467" s="4" t="s">
        <v>435</v>
      </c>
      <c r="D467" s="4" t="n">
        <v>18</v>
      </c>
      <c r="E467" s="19" t="s">
        <v>197</v>
      </c>
      <c r="F467" s="20" t="s">
        <v>430</v>
      </c>
    </row>
    <row r="468" customFormat="false" ht="15" hidden="false" customHeight="false" outlineLevel="0" collapsed="false">
      <c r="A468" s="4" t="str">
        <f aca="false">B468&amp;"|"&amp;C468</f>
        <v>tdbR00000430 Thr-GGU|20</v>
      </c>
      <c r="B468" s="4" t="s">
        <v>43</v>
      </c>
      <c r="C468" s="4" t="s">
        <v>436</v>
      </c>
      <c r="D468" s="4" t="n">
        <v>19</v>
      </c>
      <c r="E468" s="19" t="s">
        <v>259</v>
      </c>
      <c r="F468" s="20" t="s">
        <v>430</v>
      </c>
    </row>
    <row r="469" customFormat="false" ht="15" hidden="false" customHeight="false" outlineLevel="0" collapsed="false">
      <c r="A469" s="4" t="str">
        <f aca="false">B469&amp;"|"&amp;C469</f>
        <v>tdbR00000430 Thr-GGU|21</v>
      </c>
      <c r="B469" s="4" t="s">
        <v>43</v>
      </c>
      <c r="C469" s="4" t="s">
        <v>438</v>
      </c>
      <c r="D469" s="4" t="n">
        <v>20</v>
      </c>
      <c r="E469" s="19" t="s">
        <v>246</v>
      </c>
      <c r="F469" s="20" t="s">
        <v>430</v>
      </c>
    </row>
    <row r="470" customFormat="false" ht="15" hidden="false" customHeight="false" outlineLevel="0" collapsed="false">
      <c r="A470" s="4" t="str">
        <f aca="false">B470&amp;"|"&amp;C470</f>
        <v>tdbR00000430 Thr-GGU|22</v>
      </c>
      <c r="B470" s="4" t="s">
        <v>43</v>
      </c>
      <c r="C470" s="4" t="s">
        <v>439</v>
      </c>
      <c r="D470" s="4" t="n">
        <v>21</v>
      </c>
      <c r="E470" s="8" t="s">
        <v>246</v>
      </c>
      <c r="F470" s="7" t="s">
        <v>425</v>
      </c>
    </row>
    <row r="471" customFormat="false" ht="15" hidden="false" customHeight="false" outlineLevel="0" collapsed="false">
      <c r="A471" s="4" t="str">
        <f aca="false">B471&amp;"|"&amp;C471</f>
        <v>tdbR00000430 Thr-GGU|23</v>
      </c>
      <c r="B471" s="4" t="s">
        <v>43</v>
      </c>
      <c r="C471" s="4" t="s">
        <v>440</v>
      </c>
      <c r="D471" s="4" t="n">
        <v>22</v>
      </c>
      <c r="E471" s="8" t="s">
        <v>246</v>
      </c>
      <c r="F471" s="7" t="s">
        <v>425</v>
      </c>
    </row>
    <row r="472" customFormat="false" ht="15" hidden="false" customHeight="false" outlineLevel="0" collapsed="false">
      <c r="A472" s="4" t="str">
        <f aca="false">B472&amp;"|"&amp;C472</f>
        <v>tdbR00000430 Thr-GGU|24</v>
      </c>
      <c r="B472" s="4" t="s">
        <v>43</v>
      </c>
      <c r="C472" s="4" t="s">
        <v>441</v>
      </c>
      <c r="D472" s="4" t="n">
        <v>23</v>
      </c>
      <c r="E472" s="8" t="s">
        <v>197</v>
      </c>
      <c r="F472" s="7" t="s">
        <v>425</v>
      </c>
    </row>
    <row r="473" customFormat="false" ht="15" hidden="false" customHeight="false" outlineLevel="0" collapsed="false">
      <c r="A473" s="4" t="str">
        <f aca="false">B473&amp;"|"&amp;C473</f>
        <v>tdbR00000430 Thr-GGU|25</v>
      </c>
      <c r="B473" s="4" t="s">
        <v>43</v>
      </c>
      <c r="C473" s="4" t="s">
        <v>442</v>
      </c>
      <c r="D473" s="4" t="n">
        <v>24</v>
      </c>
      <c r="E473" s="8" t="s">
        <v>414</v>
      </c>
      <c r="F473" s="7" t="s">
        <v>425</v>
      </c>
    </row>
    <row r="474" customFormat="false" ht="15" hidden="false" customHeight="false" outlineLevel="0" collapsed="false">
      <c r="A474" s="4" t="str">
        <f aca="false">B474&amp;"|"&amp;C474</f>
        <v>tdbR00000430 Thr-GGU|26</v>
      </c>
      <c r="B474" s="4" t="s">
        <v>43</v>
      </c>
      <c r="C474" s="4" t="s">
        <v>443</v>
      </c>
      <c r="D474" s="4" t="n">
        <v>25</v>
      </c>
      <c r="E474" s="3" t="s">
        <v>197</v>
      </c>
      <c r="F474" s="4" t="s">
        <v>444</v>
      </c>
    </row>
    <row r="475" customFormat="false" ht="15" hidden="false" customHeight="false" outlineLevel="0" collapsed="false">
      <c r="A475" s="4" t="str">
        <f aca="false">B475&amp;"|"&amp;C475</f>
        <v>tdbR00000430 Thr-GGU|27</v>
      </c>
      <c r="B475" s="4" t="s">
        <v>43</v>
      </c>
      <c r="C475" s="4" t="s">
        <v>445</v>
      </c>
      <c r="D475" s="4" t="n">
        <v>26</v>
      </c>
      <c r="E475" s="21" t="s">
        <v>414</v>
      </c>
      <c r="F475" s="22" t="s">
        <v>446</v>
      </c>
    </row>
    <row r="476" customFormat="false" ht="15" hidden="false" customHeight="false" outlineLevel="0" collapsed="false">
      <c r="A476" s="4" t="str">
        <f aca="false">B476&amp;"|"&amp;C476</f>
        <v>tdbR00000430 Thr-GGU|28</v>
      </c>
      <c r="B476" s="4" t="s">
        <v>43</v>
      </c>
      <c r="C476" s="4" t="s">
        <v>447</v>
      </c>
      <c r="D476" s="4" t="n">
        <v>27</v>
      </c>
      <c r="E476" s="21" t="s">
        <v>197</v>
      </c>
      <c r="F476" s="22" t="s">
        <v>446</v>
      </c>
    </row>
    <row r="477" customFormat="false" ht="15" hidden="false" customHeight="false" outlineLevel="0" collapsed="false">
      <c r="A477" s="4" t="str">
        <f aca="false">B477&amp;"|"&amp;C477</f>
        <v>tdbR00000430 Thr-GGU|29</v>
      </c>
      <c r="B477" s="4" t="s">
        <v>43</v>
      </c>
      <c r="C477" s="4" t="s">
        <v>448</v>
      </c>
      <c r="D477" s="4" t="n">
        <v>28</v>
      </c>
      <c r="E477" s="21" t="s">
        <v>259</v>
      </c>
      <c r="F477" s="22" t="s">
        <v>446</v>
      </c>
    </row>
    <row r="478" customFormat="false" ht="15" hidden="false" customHeight="false" outlineLevel="0" collapsed="false">
      <c r="A478" s="4" t="str">
        <f aca="false">B478&amp;"|"&amp;C478</f>
        <v>tdbR00000430 Thr-GGU|30</v>
      </c>
      <c r="B478" s="4" t="s">
        <v>43</v>
      </c>
      <c r="C478" s="4" t="s">
        <v>449</v>
      </c>
      <c r="D478" s="4" t="n">
        <v>29</v>
      </c>
      <c r="E478" s="21" t="s">
        <v>414</v>
      </c>
      <c r="F478" s="22" t="s">
        <v>446</v>
      </c>
    </row>
    <row r="479" customFormat="false" ht="15" hidden="false" customHeight="false" outlineLevel="0" collapsed="false">
      <c r="A479" s="4" t="str">
        <f aca="false">B479&amp;"|"&amp;C479</f>
        <v>tdbR00000430 Thr-GGU|31</v>
      </c>
      <c r="B479" s="4" t="s">
        <v>43</v>
      </c>
      <c r="C479" s="4" t="s">
        <v>450</v>
      </c>
      <c r="D479" s="4" t="n">
        <v>30</v>
      </c>
      <c r="E479" s="21" t="s">
        <v>414</v>
      </c>
      <c r="F479" s="22" t="s">
        <v>446</v>
      </c>
    </row>
    <row r="480" customFormat="false" ht="15" hidden="false" customHeight="false" outlineLevel="0" collapsed="false">
      <c r="A480" s="4" t="str">
        <f aca="false">B480&amp;"|"&amp;C480</f>
        <v>tdbR00000430 Thr-GGU|32</v>
      </c>
      <c r="B480" s="4" t="s">
        <v>43</v>
      </c>
      <c r="C480" s="4" t="s">
        <v>451</v>
      </c>
      <c r="D480" s="4" t="n">
        <v>31</v>
      </c>
      <c r="E480" s="19" t="s">
        <v>259</v>
      </c>
      <c r="F480" s="20" t="s">
        <v>452</v>
      </c>
    </row>
    <row r="481" customFormat="false" ht="15" hidden="false" customHeight="false" outlineLevel="0" collapsed="false">
      <c r="A481" s="4" t="str">
        <f aca="false">B481&amp;"|"&amp;C481</f>
        <v>tdbR00000430 Thr-GGU|33</v>
      </c>
      <c r="B481" s="4" t="s">
        <v>43</v>
      </c>
      <c r="C481" s="4" t="s">
        <v>453</v>
      </c>
      <c r="D481" s="4" t="n">
        <v>32</v>
      </c>
      <c r="E481" s="19" t="s">
        <v>259</v>
      </c>
      <c r="F481" s="20" t="s">
        <v>452</v>
      </c>
    </row>
    <row r="482" customFormat="false" ht="15" hidden="false" customHeight="false" outlineLevel="0" collapsed="false">
      <c r="A482" s="4" t="str">
        <f aca="false">B482&amp;"|"&amp;C482</f>
        <v>tdbR00000430 Thr-GGU|34</v>
      </c>
      <c r="B482" s="4" t="s">
        <v>43</v>
      </c>
      <c r="C482" s="4" t="s">
        <v>454</v>
      </c>
      <c r="D482" s="4" t="n">
        <v>33</v>
      </c>
      <c r="E482" s="19" t="s">
        <v>197</v>
      </c>
      <c r="F482" s="20" t="s">
        <v>452</v>
      </c>
    </row>
    <row r="483" customFormat="false" ht="15" hidden="false" customHeight="false" outlineLevel="0" collapsed="false">
      <c r="A483" s="4" t="str">
        <f aca="false">B483&amp;"|"&amp;C483</f>
        <v>tdbR00000430 Thr-GGU|35</v>
      </c>
      <c r="B483" s="4" t="s">
        <v>43</v>
      </c>
      <c r="C483" s="4" t="s">
        <v>455</v>
      </c>
      <c r="D483" s="4" t="n">
        <v>34</v>
      </c>
      <c r="E483" s="19" t="s">
        <v>197</v>
      </c>
      <c r="F483" s="20" t="s">
        <v>452</v>
      </c>
    </row>
    <row r="484" customFormat="false" ht="15" hidden="false" customHeight="false" outlineLevel="0" collapsed="false">
      <c r="A484" s="4" t="str">
        <f aca="false">B484&amp;"|"&amp;C484</f>
        <v>tdbR00000430 Thr-GGU|36</v>
      </c>
      <c r="B484" s="4" t="s">
        <v>43</v>
      </c>
      <c r="C484" s="4" t="s">
        <v>456</v>
      </c>
      <c r="D484" s="4" t="n">
        <v>35</v>
      </c>
      <c r="E484" s="19" t="s">
        <v>259</v>
      </c>
      <c r="F484" s="20" t="s">
        <v>452</v>
      </c>
    </row>
    <row r="485" customFormat="false" ht="15" hidden="false" customHeight="false" outlineLevel="0" collapsed="false">
      <c r="A485" s="4" t="str">
        <f aca="false">B485&amp;"|"&amp;C485</f>
        <v>tdbR00000430 Thr-GGU|37</v>
      </c>
      <c r="B485" s="4" t="s">
        <v>43</v>
      </c>
      <c r="C485" s="4" t="s">
        <v>457</v>
      </c>
      <c r="D485" s="4" t="n">
        <v>36</v>
      </c>
      <c r="E485" s="19" t="s">
        <v>246</v>
      </c>
      <c r="F485" s="20" t="s">
        <v>452</v>
      </c>
    </row>
    <row r="486" customFormat="false" ht="15" hidden="false" customHeight="false" outlineLevel="0" collapsed="false">
      <c r="A486" s="4" t="str">
        <f aca="false">B486&amp;"|"&amp;C486</f>
        <v>tdbR00000430 Thr-GGU|38</v>
      </c>
      <c r="B486" s="4" t="s">
        <v>43</v>
      </c>
      <c r="C486" s="4" t="s">
        <v>458</v>
      </c>
      <c r="D486" s="4" t="n">
        <v>37</v>
      </c>
      <c r="E486" s="19" t="s">
        <v>246</v>
      </c>
      <c r="F486" s="20" t="s">
        <v>452</v>
      </c>
    </row>
    <row r="487" customFormat="false" ht="15" hidden="false" customHeight="false" outlineLevel="0" collapsed="false">
      <c r="A487" s="4" t="str">
        <f aca="false">B487&amp;"|"&amp;C487</f>
        <v>tdbR00000430 Thr-GGU|39</v>
      </c>
      <c r="B487" s="4" t="s">
        <v>43</v>
      </c>
      <c r="C487" s="4" t="s">
        <v>459</v>
      </c>
      <c r="D487" s="4" t="n">
        <v>38</v>
      </c>
      <c r="E487" s="21" t="s">
        <v>197</v>
      </c>
      <c r="F487" s="22" t="s">
        <v>446</v>
      </c>
    </row>
    <row r="488" customFormat="false" ht="15" hidden="false" customHeight="false" outlineLevel="0" collapsed="false">
      <c r="A488" s="4" t="str">
        <f aca="false">B488&amp;"|"&amp;C488</f>
        <v>tdbR00000430 Thr-GGU|40</v>
      </c>
      <c r="B488" s="4" t="s">
        <v>43</v>
      </c>
      <c r="C488" s="4" t="s">
        <v>460</v>
      </c>
      <c r="D488" s="4" t="n">
        <v>39</v>
      </c>
      <c r="E488" s="21" t="s">
        <v>197</v>
      </c>
      <c r="F488" s="22" t="s">
        <v>446</v>
      </c>
    </row>
    <row r="489" customFormat="false" ht="15" hidden="false" customHeight="false" outlineLevel="0" collapsed="false">
      <c r="A489" s="4" t="str">
        <f aca="false">B489&amp;"|"&amp;C489</f>
        <v>tdbR00000430 Thr-GGU|41</v>
      </c>
      <c r="B489" s="4" t="s">
        <v>43</v>
      </c>
      <c r="C489" s="4" t="s">
        <v>461</v>
      </c>
      <c r="D489" s="4" t="n">
        <v>40</v>
      </c>
      <c r="E489" s="21" t="s">
        <v>246</v>
      </c>
      <c r="F489" s="22" t="s">
        <v>446</v>
      </c>
    </row>
    <row r="490" customFormat="false" ht="15" hidden="false" customHeight="false" outlineLevel="0" collapsed="false">
      <c r="A490" s="4" t="str">
        <f aca="false">B490&amp;"|"&amp;C490</f>
        <v>tdbR00000430 Thr-GGU|42</v>
      </c>
      <c r="B490" s="4" t="s">
        <v>43</v>
      </c>
      <c r="C490" s="4" t="s">
        <v>462</v>
      </c>
      <c r="D490" s="4" t="n">
        <v>41</v>
      </c>
      <c r="E490" s="21" t="s">
        <v>414</v>
      </c>
      <c r="F490" s="22" t="s">
        <v>446</v>
      </c>
    </row>
    <row r="491" customFormat="false" ht="15" hidden="false" customHeight="false" outlineLevel="0" collapsed="false">
      <c r="A491" s="4" t="str">
        <f aca="false">B491&amp;"|"&amp;C491</f>
        <v>tdbR00000430 Thr-GGU|43</v>
      </c>
      <c r="B491" s="4" t="s">
        <v>43</v>
      </c>
      <c r="C491" s="4" t="s">
        <v>463</v>
      </c>
      <c r="D491" s="4" t="n">
        <v>42</v>
      </c>
      <c r="E491" s="21" t="s">
        <v>197</v>
      </c>
      <c r="F491" s="22" t="s">
        <v>446</v>
      </c>
    </row>
    <row r="492" customFormat="false" ht="15" hidden="false" customHeight="false" outlineLevel="0" collapsed="false">
      <c r="A492" s="4" t="str">
        <f aca="false">B492&amp;"|"&amp;C492</f>
        <v>tdbR00000430 Thr-GGU|44</v>
      </c>
      <c r="B492" s="4" t="s">
        <v>43</v>
      </c>
      <c r="C492" s="4" t="s">
        <v>464</v>
      </c>
      <c r="D492" s="4" t="n">
        <v>43</v>
      </c>
      <c r="E492" s="19" t="s">
        <v>246</v>
      </c>
      <c r="F492" s="20" t="s">
        <v>465</v>
      </c>
    </row>
    <row r="493" customFormat="false" ht="15" hidden="false" customHeight="false" outlineLevel="0" collapsed="false">
      <c r="A493" s="4" t="str">
        <f aca="false">B493&amp;"|"&amp;C493</f>
        <v>tdbR00000430 Thr-GGU|45</v>
      </c>
      <c r="B493" s="4" t="s">
        <v>43</v>
      </c>
      <c r="C493" s="4" t="s">
        <v>466</v>
      </c>
      <c r="D493" s="4" t="n">
        <v>44</v>
      </c>
      <c r="E493" s="19" t="s">
        <v>197</v>
      </c>
      <c r="F493" s="20" t="s">
        <v>465</v>
      </c>
    </row>
    <row r="494" customFormat="false" ht="15" hidden="false" customHeight="false" outlineLevel="0" collapsed="false">
      <c r="A494" s="4" t="str">
        <f aca="false">B494&amp;"|"&amp;C494</f>
        <v>tdbR00000430 Thr-GGU|46</v>
      </c>
      <c r="B494" s="4" t="s">
        <v>43</v>
      </c>
      <c r="C494" s="4" t="s">
        <v>467</v>
      </c>
      <c r="D494" s="4" t="n">
        <v>45</v>
      </c>
      <c r="E494" s="19" t="s">
        <v>246</v>
      </c>
      <c r="F494" s="20" t="s">
        <v>465</v>
      </c>
    </row>
    <row r="495" customFormat="false" ht="15" hidden="false" customHeight="false" outlineLevel="0" collapsed="false">
      <c r="A495" s="4" t="str">
        <f aca="false">B495&amp;"|"&amp;C495</f>
        <v>tdbR00000430 Thr-GGU|47</v>
      </c>
      <c r="B495" s="4" t="s">
        <v>43</v>
      </c>
      <c r="C495" s="4" t="s">
        <v>468</v>
      </c>
      <c r="D495" s="4" t="n">
        <v>46</v>
      </c>
      <c r="E495" s="19" t="s">
        <v>414</v>
      </c>
      <c r="F495" s="20" t="s">
        <v>465</v>
      </c>
    </row>
    <row r="496" customFormat="false" ht="15" hidden="false" customHeight="false" outlineLevel="0" collapsed="false">
      <c r="A496" s="4" t="str">
        <f aca="false">B496&amp;"|"&amp;C496</f>
        <v>tdbR00000430 Thr-GGU|48</v>
      </c>
      <c r="B496" s="4" t="s">
        <v>43</v>
      </c>
      <c r="C496" s="4" t="s">
        <v>469</v>
      </c>
      <c r="D496" s="4" t="n">
        <v>47</v>
      </c>
      <c r="E496" s="19" t="s">
        <v>414</v>
      </c>
      <c r="F496" s="20" t="s">
        <v>465</v>
      </c>
    </row>
    <row r="497" customFormat="false" ht="15" hidden="false" customHeight="false" outlineLevel="0" collapsed="false">
      <c r="A497" s="4" t="str">
        <f aca="false">B497&amp;"|"&amp;C497</f>
        <v>tdbR00000430 Thr-GGU|49</v>
      </c>
      <c r="B497" s="4" t="s">
        <v>43</v>
      </c>
      <c r="C497" s="4" t="s">
        <v>470</v>
      </c>
      <c r="D497" s="4" t="n">
        <v>48</v>
      </c>
      <c r="E497" s="23" t="s">
        <v>414</v>
      </c>
      <c r="F497" s="10" t="s">
        <v>471</v>
      </c>
    </row>
    <row r="498" customFormat="false" ht="15" hidden="false" customHeight="false" outlineLevel="0" collapsed="false">
      <c r="A498" s="4" t="str">
        <f aca="false">B498&amp;"|"&amp;C498</f>
        <v>tdbR00000430 Thr-GGU|50</v>
      </c>
      <c r="B498" s="4" t="s">
        <v>43</v>
      </c>
      <c r="C498" s="4" t="s">
        <v>472</v>
      </c>
      <c r="D498" s="4" t="n">
        <v>49</v>
      </c>
      <c r="E498" s="23" t="s">
        <v>414</v>
      </c>
      <c r="F498" s="10" t="s">
        <v>471</v>
      </c>
    </row>
    <row r="499" customFormat="false" ht="15" hidden="false" customHeight="false" outlineLevel="0" collapsed="false">
      <c r="A499" s="4" t="str">
        <f aca="false">B499&amp;"|"&amp;C499</f>
        <v>tdbR00000430 Thr-GGU|51</v>
      </c>
      <c r="B499" s="4" t="s">
        <v>43</v>
      </c>
      <c r="C499" s="4" t="s">
        <v>473</v>
      </c>
      <c r="D499" s="4" t="n">
        <v>50</v>
      </c>
      <c r="E499" s="23" t="s">
        <v>197</v>
      </c>
      <c r="F499" s="10" t="s">
        <v>471</v>
      </c>
    </row>
    <row r="500" customFormat="false" ht="15" hidden="false" customHeight="false" outlineLevel="0" collapsed="false">
      <c r="A500" s="4" t="str">
        <f aca="false">B500&amp;"|"&amp;C500</f>
        <v>tdbR00000430 Thr-GGU|52</v>
      </c>
      <c r="B500" s="4" t="s">
        <v>43</v>
      </c>
      <c r="C500" s="4" t="s">
        <v>474</v>
      </c>
      <c r="D500" s="4" t="n">
        <v>51</v>
      </c>
      <c r="E500" s="23" t="s">
        <v>197</v>
      </c>
      <c r="F500" s="10" t="s">
        <v>471</v>
      </c>
    </row>
    <row r="501" customFormat="false" ht="15" hidden="false" customHeight="false" outlineLevel="0" collapsed="false">
      <c r="A501" s="4" t="str">
        <f aca="false">B501&amp;"|"&amp;C501</f>
        <v>tdbR00000430 Thr-GGU|53</v>
      </c>
      <c r="B501" s="4" t="s">
        <v>43</v>
      </c>
      <c r="C501" s="4" t="s">
        <v>475</v>
      </c>
      <c r="D501" s="4" t="n">
        <v>52</v>
      </c>
      <c r="E501" s="23" t="s">
        <v>246</v>
      </c>
      <c r="F501" s="10" t="s">
        <v>471</v>
      </c>
    </row>
    <row r="502" customFormat="false" ht="15" hidden="false" customHeight="false" outlineLevel="0" collapsed="false">
      <c r="A502" s="4" t="str">
        <f aca="false">B502&amp;"|"&amp;C502</f>
        <v>tdbR00000430 Thr-GGU|54</v>
      </c>
      <c r="B502" s="4" t="s">
        <v>43</v>
      </c>
      <c r="C502" s="4" t="s">
        <v>476</v>
      </c>
      <c r="D502" s="4" t="n">
        <v>53</v>
      </c>
      <c r="E502" s="19" t="s">
        <v>259</v>
      </c>
      <c r="F502" s="20" t="s">
        <v>477</v>
      </c>
    </row>
    <row r="503" customFormat="false" ht="15" hidden="false" customHeight="false" outlineLevel="0" collapsed="false">
      <c r="A503" s="4" t="str">
        <f aca="false">B503&amp;"|"&amp;C503</f>
        <v>tdbR00000430 Thr-GGU|55</v>
      </c>
      <c r="B503" s="4" t="s">
        <v>43</v>
      </c>
      <c r="C503" s="4" t="s">
        <v>478</v>
      </c>
      <c r="D503" s="4" t="n">
        <v>54</v>
      </c>
      <c r="E503" s="19" t="s">
        <v>259</v>
      </c>
      <c r="F503" s="20" t="s">
        <v>477</v>
      </c>
    </row>
    <row r="504" customFormat="false" ht="15" hidden="false" customHeight="false" outlineLevel="0" collapsed="false">
      <c r="A504" s="4" t="str">
        <f aca="false">B504&amp;"|"&amp;C504</f>
        <v>tdbR00000430 Thr-GGU|56</v>
      </c>
      <c r="B504" s="4" t="s">
        <v>43</v>
      </c>
      <c r="C504" s="4" t="s">
        <v>479</v>
      </c>
      <c r="D504" s="4" t="n">
        <v>55</v>
      </c>
      <c r="E504" s="19" t="s">
        <v>414</v>
      </c>
      <c r="F504" s="20" t="s">
        <v>477</v>
      </c>
    </row>
    <row r="505" customFormat="false" ht="15" hidden="false" customHeight="false" outlineLevel="0" collapsed="false">
      <c r="A505" s="4" t="str">
        <f aca="false">B505&amp;"|"&amp;C505</f>
        <v>tdbR00000430 Thr-GGU|57</v>
      </c>
      <c r="B505" s="4" t="s">
        <v>43</v>
      </c>
      <c r="C505" s="4" t="s">
        <v>480</v>
      </c>
      <c r="D505" s="4" t="n">
        <v>56</v>
      </c>
      <c r="E505" s="19" t="s">
        <v>246</v>
      </c>
      <c r="F505" s="20" t="s">
        <v>477</v>
      </c>
    </row>
    <row r="506" customFormat="false" ht="15" hidden="false" customHeight="false" outlineLevel="0" collapsed="false">
      <c r="A506" s="4" t="str">
        <f aca="false">B506&amp;"|"&amp;C506</f>
        <v>tdbR00000430 Thr-GGU|58</v>
      </c>
      <c r="B506" s="4" t="s">
        <v>43</v>
      </c>
      <c r="C506" s="4" t="s">
        <v>481</v>
      </c>
      <c r="D506" s="4" t="n">
        <v>57</v>
      </c>
      <c r="E506" s="19" t="s">
        <v>246</v>
      </c>
      <c r="F506" s="20" t="s">
        <v>477</v>
      </c>
    </row>
    <row r="507" customFormat="false" ht="15" hidden="false" customHeight="false" outlineLevel="0" collapsed="false">
      <c r="A507" s="4" t="str">
        <f aca="false">B507&amp;"|"&amp;C507</f>
        <v>tdbR00000430 Thr-GGU|59</v>
      </c>
      <c r="B507" s="4" t="s">
        <v>43</v>
      </c>
      <c r="C507" s="4" t="s">
        <v>482</v>
      </c>
      <c r="D507" s="4" t="n">
        <v>58</v>
      </c>
      <c r="E507" s="19" t="s">
        <v>246</v>
      </c>
      <c r="F507" s="20" t="s">
        <v>477</v>
      </c>
    </row>
    <row r="508" customFormat="false" ht="15" hidden="false" customHeight="false" outlineLevel="0" collapsed="false">
      <c r="A508" s="4" t="str">
        <f aca="false">B508&amp;"|"&amp;C508</f>
        <v>tdbR00000430 Thr-GGU|60</v>
      </c>
      <c r="B508" s="4" t="s">
        <v>43</v>
      </c>
      <c r="C508" s="4" t="s">
        <v>483</v>
      </c>
      <c r="D508" s="4" t="n">
        <v>59</v>
      </c>
      <c r="E508" s="19" t="s">
        <v>259</v>
      </c>
      <c r="F508" s="20" t="s">
        <v>477</v>
      </c>
    </row>
    <row r="509" customFormat="false" ht="15" hidden="false" customHeight="false" outlineLevel="0" collapsed="false">
      <c r="A509" s="4" t="str">
        <f aca="false">B509&amp;"|"&amp;C509</f>
        <v>tdbR00000430 Thr-GGU|61</v>
      </c>
      <c r="B509" s="4" t="s">
        <v>43</v>
      </c>
      <c r="C509" s="4" t="s">
        <v>484</v>
      </c>
      <c r="D509" s="4" t="n">
        <v>60</v>
      </c>
      <c r="E509" s="23" t="s">
        <v>259</v>
      </c>
      <c r="F509" s="10" t="s">
        <v>471</v>
      </c>
    </row>
    <row r="510" customFormat="false" ht="15" hidden="false" customHeight="false" outlineLevel="0" collapsed="false">
      <c r="A510" s="4" t="str">
        <f aca="false">B510&amp;"|"&amp;C510</f>
        <v>tdbR00000430 Thr-GGU|62</v>
      </c>
      <c r="B510" s="4" t="s">
        <v>43</v>
      </c>
      <c r="C510" s="4" t="s">
        <v>485</v>
      </c>
      <c r="D510" s="4" t="n">
        <v>61</v>
      </c>
      <c r="E510" s="23" t="s">
        <v>414</v>
      </c>
      <c r="F510" s="10" t="s">
        <v>471</v>
      </c>
    </row>
    <row r="511" customFormat="false" ht="15" hidden="false" customHeight="false" outlineLevel="0" collapsed="false">
      <c r="A511" s="4" t="str">
        <f aca="false">B511&amp;"|"&amp;C511</f>
        <v>tdbR00000430 Thr-GGU|63</v>
      </c>
      <c r="B511" s="4" t="s">
        <v>43</v>
      </c>
      <c r="C511" s="4" t="s">
        <v>486</v>
      </c>
      <c r="D511" s="4" t="n">
        <v>62</v>
      </c>
      <c r="E511" s="23" t="s">
        <v>414</v>
      </c>
      <c r="F511" s="10" t="s">
        <v>471</v>
      </c>
    </row>
    <row r="512" customFormat="false" ht="15" hidden="false" customHeight="false" outlineLevel="0" collapsed="false">
      <c r="A512" s="4" t="str">
        <f aca="false">B512&amp;"|"&amp;C512</f>
        <v>tdbR00000430 Thr-GGU|64</v>
      </c>
      <c r="B512" s="4" t="s">
        <v>43</v>
      </c>
      <c r="C512" s="4" t="s">
        <v>487</v>
      </c>
      <c r="D512" s="4" t="n">
        <v>63</v>
      </c>
      <c r="E512" s="23" t="s">
        <v>197</v>
      </c>
      <c r="F512" s="10" t="s">
        <v>471</v>
      </c>
    </row>
    <row r="513" customFormat="false" ht="15" hidden="false" customHeight="false" outlineLevel="0" collapsed="false">
      <c r="A513" s="4" t="str">
        <f aca="false">B513&amp;"|"&amp;C513</f>
        <v>tdbR00000430 Thr-GGU|65</v>
      </c>
      <c r="B513" s="4" t="s">
        <v>43</v>
      </c>
      <c r="C513" s="4" t="s">
        <v>488</v>
      </c>
      <c r="D513" s="4" t="n">
        <v>64</v>
      </c>
      <c r="E513" s="23" t="s">
        <v>197</v>
      </c>
      <c r="F513" s="10" t="s">
        <v>471</v>
      </c>
    </row>
    <row r="514" customFormat="false" ht="15" hidden="false" customHeight="false" outlineLevel="0" collapsed="false">
      <c r="A514" s="4" t="str">
        <f aca="false">B514&amp;"|"&amp;C514</f>
        <v>tdbR00000430 Thr-GGU|66</v>
      </c>
      <c r="B514" s="4" t="s">
        <v>43</v>
      </c>
      <c r="C514" s="4" t="s">
        <v>489</v>
      </c>
      <c r="D514" s="4" t="n">
        <v>65</v>
      </c>
      <c r="E514" s="17" t="s">
        <v>414</v>
      </c>
      <c r="F514" s="18" t="s">
        <v>412</v>
      </c>
    </row>
    <row r="515" customFormat="false" ht="15" hidden="false" customHeight="false" outlineLevel="0" collapsed="false">
      <c r="A515" s="4" t="str">
        <f aca="false">B515&amp;"|"&amp;C515</f>
        <v>tdbR00000430 Thr-GGU|67</v>
      </c>
      <c r="B515" s="4" t="s">
        <v>43</v>
      </c>
      <c r="C515" s="4" t="s">
        <v>490</v>
      </c>
      <c r="D515" s="4" t="n">
        <v>66</v>
      </c>
      <c r="E515" s="17" t="s">
        <v>414</v>
      </c>
      <c r="F515" s="18" t="s">
        <v>412</v>
      </c>
    </row>
    <row r="516" customFormat="false" ht="15" hidden="false" customHeight="false" outlineLevel="0" collapsed="false">
      <c r="A516" s="4" t="str">
        <f aca="false">B516&amp;"|"&amp;C516</f>
        <v>tdbR00000430 Thr-GGU|68</v>
      </c>
      <c r="B516" s="4" t="s">
        <v>43</v>
      </c>
      <c r="C516" s="4" t="s">
        <v>491</v>
      </c>
      <c r="D516" s="4" t="n">
        <v>67</v>
      </c>
      <c r="E516" s="17" t="s">
        <v>259</v>
      </c>
      <c r="F516" s="18" t="s">
        <v>412</v>
      </c>
    </row>
    <row r="517" customFormat="false" ht="15" hidden="false" customHeight="false" outlineLevel="0" collapsed="false">
      <c r="A517" s="4" t="str">
        <f aca="false">B517&amp;"|"&amp;C517</f>
        <v>tdbR00000430 Thr-GGU|69</v>
      </c>
      <c r="B517" s="4" t="s">
        <v>43</v>
      </c>
      <c r="C517" s="4" t="s">
        <v>492</v>
      </c>
      <c r="D517" s="4" t="n">
        <v>68</v>
      </c>
      <c r="E517" s="17" t="s">
        <v>246</v>
      </c>
      <c r="F517" s="18" t="s">
        <v>412</v>
      </c>
    </row>
    <row r="518" customFormat="false" ht="15" hidden="false" customHeight="false" outlineLevel="0" collapsed="false">
      <c r="A518" s="4" t="str">
        <f aca="false">B518&amp;"|"&amp;C518</f>
        <v>tdbR00000430 Thr-GGU|70</v>
      </c>
      <c r="B518" s="4" t="s">
        <v>43</v>
      </c>
      <c r="C518" s="4" t="s">
        <v>493</v>
      </c>
      <c r="D518" s="4" t="n">
        <v>69</v>
      </c>
      <c r="E518" s="17" t="s">
        <v>197</v>
      </c>
      <c r="F518" s="18" t="s">
        <v>412</v>
      </c>
    </row>
    <row r="519" customFormat="false" ht="15" hidden="false" customHeight="false" outlineLevel="0" collapsed="false">
      <c r="A519" s="4" t="str">
        <f aca="false">B519&amp;"|"&amp;C519</f>
        <v>tdbR00000430 Thr-GGU|71</v>
      </c>
      <c r="B519" s="4" t="s">
        <v>43</v>
      </c>
      <c r="C519" s="4" t="s">
        <v>494</v>
      </c>
      <c r="D519" s="4" t="n">
        <v>70</v>
      </c>
      <c r="E519" s="17" t="s">
        <v>197</v>
      </c>
      <c r="F519" s="18" t="s">
        <v>412</v>
      </c>
    </row>
    <row r="520" customFormat="false" ht="15" hidden="false" customHeight="false" outlineLevel="0" collapsed="false">
      <c r="A520" s="4" t="str">
        <f aca="false">B520&amp;"|"&amp;C520</f>
        <v>tdbR00000430 Thr-GGU|72</v>
      </c>
      <c r="B520" s="4" t="s">
        <v>43</v>
      </c>
      <c r="C520" s="4" t="s">
        <v>495</v>
      </c>
      <c r="D520" s="4" t="n">
        <v>71</v>
      </c>
      <c r="E520" s="17" t="s">
        <v>414</v>
      </c>
      <c r="F520" s="18" t="s">
        <v>412</v>
      </c>
    </row>
    <row r="521" customFormat="false" ht="15" hidden="false" customHeight="false" outlineLevel="0" collapsed="false">
      <c r="A521" s="4" t="str">
        <f aca="false">B521&amp;"|"&amp;C521</f>
        <v>tdbR00000446 Val-CAC|1</v>
      </c>
      <c r="B521" s="4" t="s">
        <v>44</v>
      </c>
      <c r="C521" s="4" t="s">
        <v>411</v>
      </c>
      <c r="D521" s="4" t="n">
        <v>1</v>
      </c>
      <c r="E521" s="17" t="s">
        <v>197</v>
      </c>
      <c r="F521" s="18" t="s">
        <v>412</v>
      </c>
    </row>
    <row r="522" customFormat="false" ht="15" hidden="false" customHeight="false" outlineLevel="0" collapsed="false">
      <c r="A522" s="4" t="str">
        <f aca="false">B522&amp;"|"&amp;C522</f>
        <v>tdbR00000446 Val-CAC|2</v>
      </c>
      <c r="B522" s="4" t="s">
        <v>44</v>
      </c>
      <c r="C522" s="4" t="s">
        <v>413</v>
      </c>
      <c r="D522" s="4" t="n">
        <v>2</v>
      </c>
      <c r="E522" s="17" t="s">
        <v>197</v>
      </c>
      <c r="F522" s="18" t="s">
        <v>412</v>
      </c>
    </row>
    <row r="523" customFormat="false" ht="15" hidden="false" customHeight="false" outlineLevel="0" collapsed="false">
      <c r="A523" s="4" t="str">
        <f aca="false">B523&amp;"|"&amp;C523</f>
        <v>tdbR00000446 Val-CAC|3</v>
      </c>
      <c r="B523" s="4" t="s">
        <v>44</v>
      </c>
      <c r="C523" s="4" t="s">
        <v>415</v>
      </c>
      <c r="D523" s="4" t="n">
        <v>3</v>
      </c>
      <c r="E523" s="17" t="s">
        <v>197</v>
      </c>
      <c r="F523" s="18" t="s">
        <v>412</v>
      </c>
    </row>
    <row r="524" customFormat="false" ht="15" hidden="false" customHeight="false" outlineLevel="0" collapsed="false">
      <c r="A524" s="4" t="str">
        <f aca="false">B524&amp;"|"&amp;C524</f>
        <v>tdbR00000446 Val-CAC|4</v>
      </c>
      <c r="B524" s="4" t="s">
        <v>44</v>
      </c>
      <c r="C524" s="4" t="s">
        <v>416</v>
      </c>
      <c r="D524" s="4" t="n">
        <v>4</v>
      </c>
      <c r="E524" s="17" t="s">
        <v>259</v>
      </c>
      <c r="F524" s="18" t="s">
        <v>412</v>
      </c>
    </row>
    <row r="525" customFormat="false" ht="15" hidden="false" customHeight="false" outlineLevel="0" collapsed="false">
      <c r="A525" s="4" t="str">
        <f aca="false">B525&amp;"|"&amp;C525</f>
        <v>tdbR00000446 Val-CAC|5</v>
      </c>
      <c r="B525" s="4" t="s">
        <v>44</v>
      </c>
      <c r="C525" s="4" t="s">
        <v>417</v>
      </c>
      <c r="D525" s="4" t="n">
        <v>5</v>
      </c>
      <c r="E525" s="17" t="s">
        <v>414</v>
      </c>
      <c r="F525" s="18" t="s">
        <v>412</v>
      </c>
    </row>
    <row r="526" customFormat="false" ht="15" hidden="false" customHeight="false" outlineLevel="0" collapsed="false">
      <c r="A526" s="4" t="str">
        <f aca="false">B526&amp;"|"&amp;C526</f>
        <v>tdbR00000446 Val-CAC|6</v>
      </c>
      <c r="B526" s="4" t="s">
        <v>44</v>
      </c>
      <c r="C526" s="4" t="s">
        <v>418</v>
      </c>
      <c r="D526" s="4" t="n">
        <v>6</v>
      </c>
      <c r="E526" s="17" t="s">
        <v>197</v>
      </c>
      <c r="F526" s="18" t="s">
        <v>412</v>
      </c>
    </row>
    <row r="527" customFormat="false" ht="15" hidden="false" customHeight="false" outlineLevel="0" collapsed="false">
      <c r="A527" s="4" t="str">
        <f aca="false">B527&amp;"|"&amp;C527</f>
        <v>tdbR00000446 Val-CAC|7</v>
      </c>
      <c r="B527" s="4" t="s">
        <v>44</v>
      </c>
      <c r="C527" s="4" t="s">
        <v>419</v>
      </c>
      <c r="D527" s="4" t="n">
        <v>7</v>
      </c>
      <c r="E527" s="17" t="s">
        <v>197</v>
      </c>
      <c r="F527" s="18" t="s">
        <v>412</v>
      </c>
    </row>
    <row r="528" customFormat="false" ht="15" hidden="false" customHeight="false" outlineLevel="0" collapsed="false">
      <c r="A528" s="4" t="str">
        <f aca="false">B528&amp;"|"&amp;C528</f>
        <v>tdbR00000446 Val-CAC|8</v>
      </c>
      <c r="B528" s="4" t="s">
        <v>44</v>
      </c>
      <c r="C528" s="4" t="s">
        <v>420</v>
      </c>
      <c r="D528" s="4" t="n">
        <v>8</v>
      </c>
      <c r="E528" s="3" t="s">
        <v>259</v>
      </c>
      <c r="F528" s="4" t="s">
        <v>421</v>
      </c>
    </row>
    <row r="529" customFormat="false" ht="15" hidden="false" customHeight="false" outlineLevel="0" collapsed="false">
      <c r="A529" s="4" t="str">
        <f aca="false">B529&amp;"|"&amp;C529</f>
        <v>tdbR00000446 Val-CAC|9</v>
      </c>
      <c r="B529" s="4" t="s">
        <v>44</v>
      </c>
      <c r="C529" s="4" t="s">
        <v>422</v>
      </c>
      <c r="D529" s="4" t="n">
        <v>9</v>
      </c>
      <c r="E529" s="3" t="s">
        <v>197</v>
      </c>
      <c r="F529" s="4" t="s">
        <v>423</v>
      </c>
    </row>
    <row r="530" customFormat="false" ht="15" hidden="false" customHeight="false" outlineLevel="0" collapsed="false">
      <c r="A530" s="4" t="str">
        <f aca="false">B530&amp;"|"&amp;C530</f>
        <v>tdbR00000446 Val-CAC|10</v>
      </c>
      <c r="B530" s="4" t="s">
        <v>44</v>
      </c>
      <c r="C530" s="4" t="s">
        <v>424</v>
      </c>
      <c r="D530" s="4" t="n">
        <v>10</v>
      </c>
      <c r="E530" s="8" t="s">
        <v>197</v>
      </c>
      <c r="F530" s="7" t="s">
        <v>425</v>
      </c>
    </row>
    <row r="531" customFormat="false" ht="15" hidden="false" customHeight="false" outlineLevel="0" collapsed="false">
      <c r="A531" s="4" t="str">
        <f aca="false">B531&amp;"|"&amp;C531</f>
        <v>tdbR00000446 Val-CAC|11</v>
      </c>
      <c r="B531" s="4" t="s">
        <v>44</v>
      </c>
      <c r="C531" s="4" t="s">
        <v>426</v>
      </c>
      <c r="D531" s="4" t="n">
        <v>11</v>
      </c>
      <c r="E531" s="8" t="s">
        <v>259</v>
      </c>
      <c r="F531" s="7" t="s">
        <v>425</v>
      </c>
    </row>
    <row r="532" customFormat="false" ht="15" hidden="false" customHeight="false" outlineLevel="0" collapsed="false">
      <c r="A532" s="4" t="str">
        <f aca="false">B532&amp;"|"&amp;C532</f>
        <v>tdbR00000446 Val-CAC|12</v>
      </c>
      <c r="B532" s="4" t="s">
        <v>44</v>
      </c>
      <c r="C532" s="4" t="s">
        <v>427</v>
      </c>
      <c r="D532" s="4" t="n">
        <v>12</v>
      </c>
      <c r="E532" s="8" t="s">
        <v>414</v>
      </c>
      <c r="F532" s="7" t="s">
        <v>425</v>
      </c>
    </row>
    <row r="533" customFormat="false" ht="15" hidden="false" customHeight="false" outlineLevel="0" collapsed="false">
      <c r="A533" s="4" t="str">
        <f aca="false">B533&amp;"|"&amp;C533</f>
        <v>tdbR00000446 Val-CAC|13</v>
      </c>
      <c r="B533" s="4" t="s">
        <v>44</v>
      </c>
      <c r="C533" s="4" t="s">
        <v>428</v>
      </c>
      <c r="D533" s="4" t="n">
        <v>13</v>
      </c>
      <c r="E533" s="8" t="s">
        <v>259</v>
      </c>
      <c r="F533" s="7" t="s">
        <v>425</v>
      </c>
    </row>
    <row r="534" customFormat="false" ht="15" hidden="false" customHeight="false" outlineLevel="0" collapsed="false">
      <c r="A534" s="4" t="str">
        <f aca="false">B534&amp;"|"&amp;C534</f>
        <v>tdbR00000446 Val-CAC|14</v>
      </c>
      <c r="B534" s="4" t="s">
        <v>44</v>
      </c>
      <c r="C534" s="4" t="s">
        <v>429</v>
      </c>
      <c r="D534" s="4" t="n">
        <v>14</v>
      </c>
      <c r="E534" s="19" t="s">
        <v>246</v>
      </c>
      <c r="F534" s="20" t="s">
        <v>430</v>
      </c>
    </row>
    <row r="535" customFormat="false" ht="15" hidden="false" customHeight="false" outlineLevel="0" collapsed="false">
      <c r="A535" s="4" t="str">
        <f aca="false">B535&amp;"|"&amp;C535</f>
        <v>tdbR00000446 Val-CAC|15</v>
      </c>
      <c r="B535" s="4" t="s">
        <v>44</v>
      </c>
      <c r="C535" s="4" t="s">
        <v>431</v>
      </c>
      <c r="D535" s="4" t="n">
        <v>15</v>
      </c>
      <c r="E535" s="19" t="s">
        <v>197</v>
      </c>
      <c r="F535" s="20" t="s">
        <v>430</v>
      </c>
    </row>
    <row r="536" customFormat="false" ht="15" hidden="false" customHeight="false" outlineLevel="0" collapsed="false">
      <c r="A536" s="4" t="str">
        <f aca="false">B536&amp;"|"&amp;C536</f>
        <v>tdbR00000446 Val-CAC|16</v>
      </c>
      <c r="B536" s="4" t="s">
        <v>44</v>
      </c>
      <c r="C536" s="4" t="s">
        <v>432</v>
      </c>
      <c r="D536" s="4" t="n">
        <v>16</v>
      </c>
      <c r="E536" s="19" t="s">
        <v>259</v>
      </c>
      <c r="F536" s="20" t="s">
        <v>430</v>
      </c>
    </row>
    <row r="537" customFormat="false" ht="15" hidden="false" customHeight="false" outlineLevel="0" collapsed="false">
      <c r="A537" s="4" t="str">
        <f aca="false">B537&amp;"|"&amp;C537</f>
        <v>tdbR00000446 Val-CAC|17</v>
      </c>
      <c r="B537" s="4" t="s">
        <v>44</v>
      </c>
      <c r="C537" s="4" t="s">
        <v>433</v>
      </c>
      <c r="D537" s="4" t="n">
        <v>17</v>
      </c>
      <c r="E537" s="19" t="s">
        <v>414</v>
      </c>
      <c r="F537" s="20" t="s">
        <v>430</v>
      </c>
    </row>
    <row r="538" customFormat="false" ht="15" hidden="false" customHeight="false" outlineLevel="0" collapsed="false">
      <c r="A538" s="4" t="str">
        <f aca="false">B538&amp;"|"&amp;C538</f>
        <v>tdbR00000446 Val-CAC|17a</v>
      </c>
      <c r="B538" s="4" t="s">
        <v>44</v>
      </c>
      <c r="C538" s="4" t="s">
        <v>496</v>
      </c>
      <c r="D538" s="4" t="n">
        <v>18</v>
      </c>
      <c r="E538" s="19" t="s">
        <v>414</v>
      </c>
      <c r="F538" s="20" t="s">
        <v>430</v>
      </c>
    </row>
    <row r="539" customFormat="false" ht="15" hidden="false" customHeight="false" outlineLevel="0" collapsed="false">
      <c r="A539" s="4" t="str">
        <f aca="false">B539&amp;"|"&amp;C539</f>
        <v>tdbR00000446 Val-CAC|18</v>
      </c>
      <c r="B539" s="4" t="s">
        <v>44</v>
      </c>
      <c r="C539" s="4" t="s">
        <v>434</v>
      </c>
      <c r="D539" s="4" t="n">
        <v>19</v>
      </c>
      <c r="E539" s="19" t="s">
        <v>197</v>
      </c>
      <c r="F539" s="20" t="s">
        <v>430</v>
      </c>
    </row>
    <row r="540" customFormat="false" ht="15" hidden="false" customHeight="false" outlineLevel="0" collapsed="false">
      <c r="A540" s="4" t="str">
        <f aca="false">B540&amp;"|"&amp;C540</f>
        <v>tdbR00000446 Val-CAC|19</v>
      </c>
      <c r="B540" s="4" t="s">
        <v>44</v>
      </c>
      <c r="C540" s="4" t="s">
        <v>435</v>
      </c>
      <c r="D540" s="4" t="n">
        <v>20</v>
      </c>
      <c r="E540" s="19" t="s">
        <v>197</v>
      </c>
      <c r="F540" s="20" t="s">
        <v>430</v>
      </c>
    </row>
    <row r="541" customFormat="false" ht="15" hidden="false" customHeight="false" outlineLevel="0" collapsed="false">
      <c r="A541" s="4" t="str">
        <f aca="false">B541&amp;"|"&amp;C541</f>
        <v>tdbR00000446 Val-CAC|20</v>
      </c>
      <c r="B541" s="4" t="s">
        <v>44</v>
      </c>
      <c r="C541" s="4" t="s">
        <v>436</v>
      </c>
      <c r="D541" s="4" t="n">
        <v>21</v>
      </c>
      <c r="E541" s="19" t="s">
        <v>259</v>
      </c>
      <c r="F541" s="20" t="s">
        <v>430</v>
      </c>
    </row>
    <row r="542" customFormat="false" ht="15" hidden="false" customHeight="false" outlineLevel="0" collapsed="false">
      <c r="A542" s="4" t="str">
        <f aca="false">B542&amp;"|"&amp;C542</f>
        <v>tdbR00000446 Val-CAC|20a</v>
      </c>
      <c r="B542" s="4" t="s">
        <v>44</v>
      </c>
      <c r="C542" s="4" t="s">
        <v>437</v>
      </c>
      <c r="D542" s="4" t="n">
        <v>22</v>
      </c>
      <c r="E542" s="19" t="s">
        <v>259</v>
      </c>
      <c r="F542" s="20" t="s">
        <v>430</v>
      </c>
    </row>
    <row r="543" customFormat="false" ht="15" hidden="false" customHeight="false" outlineLevel="0" collapsed="false">
      <c r="A543" s="4" t="str">
        <f aca="false">B543&amp;"|"&amp;C543</f>
        <v>tdbR00000446 Val-CAC|21</v>
      </c>
      <c r="B543" s="4" t="s">
        <v>44</v>
      </c>
      <c r="C543" s="4" t="s">
        <v>438</v>
      </c>
      <c r="D543" s="4" t="n">
        <v>23</v>
      </c>
      <c r="E543" s="19" t="s">
        <v>246</v>
      </c>
      <c r="F543" s="20" t="s">
        <v>430</v>
      </c>
    </row>
    <row r="544" customFormat="false" ht="15" hidden="false" customHeight="false" outlineLevel="0" collapsed="false">
      <c r="A544" s="4" t="str">
        <f aca="false">B544&amp;"|"&amp;C544</f>
        <v>tdbR00000446 Val-CAC|22</v>
      </c>
      <c r="B544" s="4" t="s">
        <v>44</v>
      </c>
      <c r="C544" s="4" t="s">
        <v>439</v>
      </c>
      <c r="D544" s="4" t="n">
        <v>24</v>
      </c>
      <c r="E544" s="8" t="s">
        <v>259</v>
      </c>
      <c r="F544" s="7" t="s">
        <v>425</v>
      </c>
    </row>
    <row r="545" customFormat="false" ht="15" hidden="false" customHeight="false" outlineLevel="0" collapsed="false">
      <c r="A545" s="4" t="str">
        <f aca="false">B545&amp;"|"&amp;C545</f>
        <v>tdbR00000446 Val-CAC|23</v>
      </c>
      <c r="B545" s="4" t="s">
        <v>44</v>
      </c>
      <c r="C545" s="4" t="s">
        <v>440</v>
      </c>
      <c r="D545" s="4" t="n">
        <v>25</v>
      </c>
      <c r="E545" s="8" t="s">
        <v>197</v>
      </c>
      <c r="F545" s="7" t="s">
        <v>425</v>
      </c>
    </row>
    <row r="546" customFormat="false" ht="15" hidden="false" customHeight="false" outlineLevel="0" collapsed="false">
      <c r="A546" s="4" t="str">
        <f aca="false">B546&amp;"|"&amp;C546</f>
        <v>tdbR00000446 Val-CAC|24</v>
      </c>
      <c r="B546" s="4" t="s">
        <v>44</v>
      </c>
      <c r="C546" s="4" t="s">
        <v>441</v>
      </c>
      <c r="D546" s="4" t="n">
        <v>26</v>
      </c>
      <c r="E546" s="8" t="s">
        <v>246</v>
      </c>
      <c r="F546" s="7" t="s">
        <v>425</v>
      </c>
    </row>
    <row r="547" customFormat="false" ht="15" hidden="false" customHeight="false" outlineLevel="0" collapsed="false">
      <c r="A547" s="4" t="str">
        <f aca="false">B547&amp;"|"&amp;C547</f>
        <v>tdbR00000446 Val-CAC|25</v>
      </c>
      <c r="B547" s="4" t="s">
        <v>44</v>
      </c>
      <c r="C547" s="4" t="s">
        <v>442</v>
      </c>
      <c r="D547" s="4" t="n">
        <v>27</v>
      </c>
      <c r="E547" s="8" t="s">
        <v>414</v>
      </c>
      <c r="F547" s="7" t="s">
        <v>425</v>
      </c>
    </row>
    <row r="548" customFormat="false" ht="15" hidden="false" customHeight="false" outlineLevel="0" collapsed="false">
      <c r="A548" s="4" t="str">
        <f aca="false">B548&amp;"|"&amp;C548</f>
        <v>tdbR00000446 Val-CAC|26</v>
      </c>
      <c r="B548" s="4" t="s">
        <v>44</v>
      </c>
      <c r="C548" s="4" t="s">
        <v>443</v>
      </c>
      <c r="D548" s="4" t="n">
        <v>28</v>
      </c>
      <c r="E548" s="3" t="s">
        <v>197</v>
      </c>
      <c r="F548" s="4" t="s">
        <v>444</v>
      </c>
    </row>
    <row r="549" customFormat="false" ht="15" hidden="false" customHeight="false" outlineLevel="0" collapsed="false">
      <c r="A549" s="4" t="str">
        <f aca="false">B549&amp;"|"&amp;C549</f>
        <v>tdbR00000446 Val-CAC|27</v>
      </c>
      <c r="B549" s="4" t="s">
        <v>44</v>
      </c>
      <c r="C549" s="4" t="s">
        <v>445</v>
      </c>
      <c r="D549" s="4" t="n">
        <v>29</v>
      </c>
      <c r="E549" s="21" t="s">
        <v>197</v>
      </c>
      <c r="F549" s="22" t="s">
        <v>446</v>
      </c>
    </row>
    <row r="550" customFormat="false" ht="15" hidden="false" customHeight="false" outlineLevel="0" collapsed="false">
      <c r="A550" s="4" t="str">
        <f aca="false">B550&amp;"|"&amp;C550</f>
        <v>tdbR00000446 Val-CAC|28</v>
      </c>
      <c r="B550" s="4" t="s">
        <v>44</v>
      </c>
      <c r="C550" s="4" t="s">
        <v>447</v>
      </c>
      <c r="D550" s="4" t="n">
        <v>30</v>
      </c>
      <c r="E550" s="21" t="s">
        <v>414</v>
      </c>
      <c r="F550" s="22" t="s">
        <v>446</v>
      </c>
    </row>
    <row r="551" customFormat="false" ht="15" hidden="false" customHeight="false" outlineLevel="0" collapsed="false">
      <c r="A551" s="4" t="str">
        <f aca="false">B551&amp;"|"&amp;C551</f>
        <v>tdbR00000446 Val-CAC|29</v>
      </c>
      <c r="B551" s="4" t="s">
        <v>44</v>
      </c>
      <c r="C551" s="4" t="s">
        <v>448</v>
      </c>
      <c r="D551" s="4" t="n">
        <v>31</v>
      </c>
      <c r="E551" s="21" t="s">
        <v>259</v>
      </c>
      <c r="F551" s="22" t="s">
        <v>446</v>
      </c>
    </row>
    <row r="552" customFormat="false" ht="15" hidden="false" customHeight="false" outlineLevel="0" collapsed="false">
      <c r="A552" s="4" t="str">
        <f aca="false">B552&amp;"|"&amp;C552</f>
        <v>tdbR00000446 Val-CAC|30</v>
      </c>
      <c r="B552" s="4" t="s">
        <v>44</v>
      </c>
      <c r="C552" s="4" t="s">
        <v>449</v>
      </c>
      <c r="D552" s="4" t="n">
        <v>32</v>
      </c>
      <c r="E552" s="21" t="s">
        <v>414</v>
      </c>
      <c r="F552" s="22" t="s">
        <v>446</v>
      </c>
    </row>
    <row r="553" customFormat="false" ht="15" hidden="false" customHeight="false" outlineLevel="0" collapsed="false">
      <c r="A553" s="4" t="str">
        <f aca="false">B553&amp;"|"&amp;C553</f>
        <v>tdbR00000446 Val-CAC|31</v>
      </c>
      <c r="B553" s="4" t="s">
        <v>44</v>
      </c>
      <c r="C553" s="4" t="s">
        <v>450</v>
      </c>
      <c r="D553" s="4" t="n">
        <v>33</v>
      </c>
      <c r="E553" s="21" t="s">
        <v>414</v>
      </c>
      <c r="F553" s="22" t="s">
        <v>446</v>
      </c>
    </row>
    <row r="554" customFormat="false" ht="15" hidden="false" customHeight="false" outlineLevel="0" collapsed="false">
      <c r="A554" s="4" t="str">
        <f aca="false">B554&amp;"|"&amp;C554</f>
        <v>tdbR00000446 Val-CAC|32</v>
      </c>
      <c r="B554" s="4" t="s">
        <v>44</v>
      </c>
      <c r="C554" s="4" t="s">
        <v>451</v>
      </c>
      <c r="D554" s="4" t="n">
        <v>34</v>
      </c>
      <c r="E554" s="19" t="s">
        <v>259</v>
      </c>
      <c r="F554" s="20" t="s">
        <v>452</v>
      </c>
    </row>
    <row r="555" customFormat="false" ht="15" hidden="false" customHeight="false" outlineLevel="0" collapsed="false">
      <c r="A555" s="4" t="str">
        <f aca="false">B555&amp;"|"&amp;C555</f>
        <v>tdbR00000446 Val-CAC|33</v>
      </c>
      <c r="B555" s="4" t="s">
        <v>44</v>
      </c>
      <c r="C555" s="4" t="s">
        <v>453</v>
      </c>
      <c r="D555" s="4" t="n">
        <v>35</v>
      </c>
      <c r="E555" s="19" t="s">
        <v>259</v>
      </c>
      <c r="F555" s="20" t="s">
        <v>452</v>
      </c>
    </row>
    <row r="556" customFormat="false" ht="15" hidden="false" customHeight="false" outlineLevel="0" collapsed="false">
      <c r="A556" s="4" t="str">
        <f aca="false">B556&amp;"|"&amp;C556</f>
        <v>tdbR00000446 Val-CAC|34</v>
      </c>
      <c r="B556" s="4" t="s">
        <v>44</v>
      </c>
      <c r="C556" s="4" t="s">
        <v>454</v>
      </c>
      <c r="D556" s="4" t="n">
        <v>36</v>
      </c>
      <c r="E556" s="19" t="s">
        <v>414</v>
      </c>
      <c r="F556" s="20" t="s">
        <v>452</v>
      </c>
    </row>
    <row r="557" customFormat="false" ht="15" hidden="false" customHeight="false" outlineLevel="0" collapsed="false">
      <c r="A557" s="4" t="str">
        <f aca="false">B557&amp;"|"&amp;C557</f>
        <v>tdbR00000446 Val-CAC|35</v>
      </c>
      <c r="B557" s="4" t="s">
        <v>44</v>
      </c>
      <c r="C557" s="4" t="s">
        <v>455</v>
      </c>
      <c r="D557" s="4" t="n">
        <v>37</v>
      </c>
      <c r="E557" s="19" t="s">
        <v>246</v>
      </c>
      <c r="F557" s="20" t="s">
        <v>452</v>
      </c>
    </row>
    <row r="558" customFormat="false" ht="15" hidden="false" customHeight="false" outlineLevel="0" collapsed="false">
      <c r="A558" s="4" t="str">
        <f aca="false">B558&amp;"|"&amp;C558</f>
        <v>tdbR00000446 Val-CAC|36</v>
      </c>
      <c r="B558" s="4" t="s">
        <v>44</v>
      </c>
      <c r="C558" s="4" t="s">
        <v>456</v>
      </c>
      <c r="D558" s="4" t="n">
        <v>38</v>
      </c>
      <c r="E558" s="19" t="s">
        <v>414</v>
      </c>
      <c r="F558" s="20" t="s">
        <v>452</v>
      </c>
    </row>
    <row r="559" customFormat="false" ht="15" hidden="false" customHeight="false" outlineLevel="0" collapsed="false">
      <c r="A559" s="4" t="str">
        <f aca="false">B559&amp;"|"&amp;C559</f>
        <v>tdbR00000446 Val-CAC|37</v>
      </c>
      <c r="B559" s="4" t="s">
        <v>44</v>
      </c>
      <c r="C559" s="4" t="s">
        <v>457</v>
      </c>
      <c r="D559" s="4" t="n">
        <v>39</v>
      </c>
      <c r="E559" s="19" t="s">
        <v>246</v>
      </c>
      <c r="F559" s="20" t="s">
        <v>452</v>
      </c>
    </row>
    <row r="560" customFormat="false" ht="15" hidden="false" customHeight="false" outlineLevel="0" collapsed="false">
      <c r="A560" s="4" t="str">
        <f aca="false">B560&amp;"|"&amp;C560</f>
        <v>tdbR00000446 Val-CAC|38</v>
      </c>
      <c r="B560" s="4" t="s">
        <v>44</v>
      </c>
      <c r="C560" s="4" t="s">
        <v>458</v>
      </c>
      <c r="D560" s="4" t="n">
        <v>40</v>
      </c>
      <c r="E560" s="19" t="s">
        <v>414</v>
      </c>
      <c r="F560" s="20" t="s">
        <v>452</v>
      </c>
    </row>
    <row r="561" customFormat="false" ht="15" hidden="false" customHeight="false" outlineLevel="0" collapsed="false">
      <c r="A561" s="4" t="str">
        <f aca="false">B561&amp;"|"&amp;C561</f>
        <v>tdbR00000446 Val-CAC|39</v>
      </c>
      <c r="B561" s="4" t="s">
        <v>44</v>
      </c>
      <c r="C561" s="4" t="s">
        <v>459</v>
      </c>
      <c r="D561" s="4" t="n">
        <v>41</v>
      </c>
      <c r="E561" s="21" t="s">
        <v>197</v>
      </c>
      <c r="F561" s="22" t="s">
        <v>446</v>
      </c>
    </row>
    <row r="562" customFormat="false" ht="15" hidden="false" customHeight="false" outlineLevel="0" collapsed="false">
      <c r="A562" s="4" t="str">
        <f aca="false">B562&amp;"|"&amp;C562</f>
        <v>tdbR00000446 Val-CAC|40</v>
      </c>
      <c r="B562" s="4" t="s">
        <v>44</v>
      </c>
      <c r="C562" s="4" t="s">
        <v>460</v>
      </c>
      <c r="D562" s="4" t="n">
        <v>42</v>
      </c>
      <c r="E562" s="21" t="s">
        <v>197</v>
      </c>
      <c r="F562" s="22" t="s">
        <v>446</v>
      </c>
    </row>
    <row r="563" customFormat="false" ht="15" hidden="false" customHeight="false" outlineLevel="0" collapsed="false">
      <c r="A563" s="4" t="str">
        <f aca="false">B563&amp;"|"&amp;C563</f>
        <v>tdbR00000446 Val-CAC|41</v>
      </c>
      <c r="B563" s="4" t="s">
        <v>44</v>
      </c>
      <c r="C563" s="4" t="s">
        <v>461</v>
      </c>
      <c r="D563" s="4" t="n">
        <v>43</v>
      </c>
      <c r="E563" s="21" t="s">
        <v>246</v>
      </c>
      <c r="F563" s="22" t="s">
        <v>446</v>
      </c>
    </row>
    <row r="564" customFormat="false" ht="15" hidden="false" customHeight="false" outlineLevel="0" collapsed="false">
      <c r="A564" s="4" t="str">
        <f aca="false">B564&amp;"|"&amp;C564</f>
        <v>tdbR00000446 Val-CAC|42</v>
      </c>
      <c r="B564" s="4" t="s">
        <v>44</v>
      </c>
      <c r="C564" s="4" t="s">
        <v>462</v>
      </c>
      <c r="D564" s="4" t="n">
        <v>44</v>
      </c>
      <c r="E564" s="21" t="s">
        <v>197</v>
      </c>
      <c r="F564" s="22" t="s">
        <v>446</v>
      </c>
    </row>
    <row r="565" customFormat="false" ht="15" hidden="false" customHeight="false" outlineLevel="0" collapsed="false">
      <c r="A565" s="4" t="str">
        <f aca="false">B565&amp;"|"&amp;C565</f>
        <v>tdbR00000446 Val-CAC|43</v>
      </c>
      <c r="B565" s="4" t="s">
        <v>44</v>
      </c>
      <c r="C565" s="4" t="s">
        <v>463</v>
      </c>
      <c r="D565" s="4" t="n">
        <v>45</v>
      </c>
      <c r="E565" s="21" t="s">
        <v>414</v>
      </c>
      <c r="F565" s="22" t="s">
        <v>446</v>
      </c>
    </row>
    <row r="566" customFormat="false" ht="15" hidden="false" customHeight="false" outlineLevel="0" collapsed="false">
      <c r="A566" s="4" t="str">
        <f aca="false">B566&amp;"|"&amp;C566</f>
        <v>tdbR00000446 Val-CAC|44</v>
      </c>
      <c r="B566" s="4" t="s">
        <v>44</v>
      </c>
      <c r="C566" s="4" t="s">
        <v>464</v>
      </c>
      <c r="D566" s="4" t="n">
        <v>46</v>
      </c>
      <c r="E566" s="19" t="s">
        <v>246</v>
      </c>
      <c r="F566" s="20" t="s">
        <v>465</v>
      </c>
    </row>
    <row r="567" customFormat="false" ht="15" hidden="false" customHeight="false" outlineLevel="0" collapsed="false">
      <c r="A567" s="4" t="str">
        <f aca="false">B567&amp;"|"&amp;C567</f>
        <v>tdbR00000446 Val-CAC|45</v>
      </c>
      <c r="B567" s="4" t="s">
        <v>44</v>
      </c>
      <c r="C567" s="4" t="s">
        <v>466</v>
      </c>
      <c r="D567" s="4" t="n">
        <v>47</v>
      </c>
      <c r="E567" s="19" t="s">
        <v>197</v>
      </c>
      <c r="F567" s="20" t="s">
        <v>465</v>
      </c>
    </row>
    <row r="568" customFormat="false" ht="15" hidden="false" customHeight="false" outlineLevel="0" collapsed="false">
      <c r="A568" s="4" t="str">
        <f aca="false">B568&amp;"|"&amp;C568</f>
        <v>tdbR00000446 Val-CAC|46</v>
      </c>
      <c r="B568" s="4" t="s">
        <v>44</v>
      </c>
      <c r="C568" s="4" t="s">
        <v>467</v>
      </c>
      <c r="D568" s="4" t="n">
        <v>48</v>
      </c>
      <c r="E568" s="19" t="s">
        <v>197</v>
      </c>
      <c r="F568" s="20" t="s">
        <v>465</v>
      </c>
    </row>
    <row r="569" customFormat="false" ht="15" hidden="false" customHeight="false" outlineLevel="0" collapsed="false">
      <c r="A569" s="4" t="str">
        <f aca="false">B569&amp;"|"&amp;C569</f>
        <v>tdbR00000446 Val-CAC|47</v>
      </c>
      <c r="B569" s="4" t="s">
        <v>44</v>
      </c>
      <c r="C569" s="4" t="s">
        <v>468</v>
      </c>
      <c r="D569" s="4" t="n">
        <v>49</v>
      </c>
      <c r="E569" s="19" t="s">
        <v>259</v>
      </c>
      <c r="F569" s="20" t="s">
        <v>465</v>
      </c>
    </row>
    <row r="570" customFormat="false" ht="15" hidden="false" customHeight="false" outlineLevel="0" collapsed="false">
      <c r="A570" s="4" t="str">
        <f aca="false">B570&amp;"|"&amp;C570</f>
        <v>tdbR00000446 Val-CAC|48</v>
      </c>
      <c r="B570" s="4" t="s">
        <v>44</v>
      </c>
      <c r="C570" s="4" t="s">
        <v>469</v>
      </c>
      <c r="D570" s="4" t="n">
        <v>50</v>
      </c>
      <c r="E570" s="19" t="s">
        <v>414</v>
      </c>
      <c r="F570" s="20" t="s">
        <v>465</v>
      </c>
    </row>
    <row r="571" customFormat="false" ht="15" hidden="false" customHeight="false" outlineLevel="0" collapsed="false">
      <c r="A571" s="4" t="str">
        <f aca="false">B571&amp;"|"&amp;C571</f>
        <v>tdbR00000446 Val-CAC|49</v>
      </c>
      <c r="B571" s="4" t="s">
        <v>44</v>
      </c>
      <c r="C571" s="4" t="s">
        <v>470</v>
      </c>
      <c r="D571" s="4" t="n">
        <v>51</v>
      </c>
      <c r="E571" s="23" t="s">
        <v>197</v>
      </c>
      <c r="F571" s="10" t="s">
        <v>471</v>
      </c>
    </row>
    <row r="572" customFormat="false" ht="15" hidden="false" customHeight="false" outlineLevel="0" collapsed="false">
      <c r="A572" s="4" t="str">
        <f aca="false">B572&amp;"|"&amp;C572</f>
        <v>tdbR00000446 Val-CAC|50</v>
      </c>
      <c r="B572" s="4" t="s">
        <v>44</v>
      </c>
      <c r="C572" s="4" t="s">
        <v>472</v>
      </c>
      <c r="D572" s="4" t="n">
        <v>52</v>
      </c>
      <c r="E572" s="23" t="s">
        <v>197</v>
      </c>
      <c r="F572" s="10" t="s">
        <v>471</v>
      </c>
    </row>
    <row r="573" customFormat="false" ht="15" hidden="false" customHeight="false" outlineLevel="0" collapsed="false">
      <c r="A573" s="4" t="str">
        <f aca="false">B573&amp;"|"&amp;C573</f>
        <v>tdbR00000446 Val-CAC|51</v>
      </c>
      <c r="B573" s="4" t="s">
        <v>44</v>
      </c>
      <c r="C573" s="4" t="s">
        <v>473</v>
      </c>
      <c r="D573" s="4" t="n">
        <v>53</v>
      </c>
      <c r="E573" s="23" t="s">
        <v>414</v>
      </c>
      <c r="F573" s="10" t="s">
        <v>471</v>
      </c>
    </row>
    <row r="574" customFormat="false" ht="15" hidden="false" customHeight="false" outlineLevel="0" collapsed="false">
      <c r="A574" s="4" t="str">
        <f aca="false">B574&amp;"|"&amp;C574</f>
        <v>tdbR00000446 Val-CAC|52</v>
      </c>
      <c r="B574" s="4" t="s">
        <v>44</v>
      </c>
      <c r="C574" s="4" t="s">
        <v>474</v>
      </c>
      <c r="D574" s="4" t="n">
        <v>54</v>
      </c>
      <c r="E574" s="23" t="s">
        <v>197</v>
      </c>
      <c r="F574" s="10" t="s">
        <v>471</v>
      </c>
    </row>
    <row r="575" customFormat="false" ht="15" hidden="false" customHeight="false" outlineLevel="0" collapsed="false">
      <c r="A575" s="4" t="str">
        <f aca="false">B575&amp;"|"&amp;C575</f>
        <v>tdbR00000446 Val-CAC|53</v>
      </c>
      <c r="B575" s="4" t="s">
        <v>44</v>
      </c>
      <c r="C575" s="4" t="s">
        <v>475</v>
      </c>
      <c r="D575" s="4" t="n">
        <v>55</v>
      </c>
      <c r="E575" s="23" t="s">
        <v>197</v>
      </c>
      <c r="F575" s="10" t="s">
        <v>471</v>
      </c>
    </row>
    <row r="576" customFormat="false" ht="15" hidden="false" customHeight="false" outlineLevel="0" collapsed="false">
      <c r="A576" s="4" t="str">
        <f aca="false">B576&amp;"|"&amp;C576</f>
        <v>tdbR00000446 Val-CAC|54</v>
      </c>
      <c r="B576" s="4" t="s">
        <v>44</v>
      </c>
      <c r="C576" s="4" t="s">
        <v>476</v>
      </c>
      <c r="D576" s="4" t="n">
        <v>56</v>
      </c>
      <c r="E576" s="19" t="s">
        <v>259</v>
      </c>
      <c r="F576" s="20" t="s">
        <v>477</v>
      </c>
    </row>
    <row r="577" customFormat="false" ht="15" hidden="false" customHeight="false" outlineLevel="0" collapsed="false">
      <c r="A577" s="4" t="str">
        <f aca="false">B577&amp;"|"&amp;C577</f>
        <v>tdbR00000446 Val-CAC|55</v>
      </c>
      <c r="B577" s="4" t="s">
        <v>44</v>
      </c>
      <c r="C577" s="4" t="s">
        <v>478</v>
      </c>
      <c r="D577" s="4" t="n">
        <v>57</v>
      </c>
      <c r="E577" s="19" t="s">
        <v>259</v>
      </c>
      <c r="F577" s="20" t="s">
        <v>477</v>
      </c>
    </row>
    <row r="578" customFormat="false" ht="15" hidden="false" customHeight="false" outlineLevel="0" collapsed="false">
      <c r="A578" s="4" t="str">
        <f aca="false">B578&amp;"|"&amp;C578</f>
        <v>tdbR00000446 Val-CAC|56</v>
      </c>
      <c r="B578" s="4" t="s">
        <v>44</v>
      </c>
      <c r="C578" s="4" t="s">
        <v>479</v>
      </c>
      <c r="D578" s="4" t="n">
        <v>58</v>
      </c>
      <c r="E578" s="19" t="s">
        <v>197</v>
      </c>
      <c r="F578" s="20" t="s">
        <v>477</v>
      </c>
    </row>
    <row r="579" customFormat="false" ht="15" hidden="false" customHeight="false" outlineLevel="0" collapsed="false">
      <c r="A579" s="4" t="str">
        <f aca="false">B579&amp;"|"&amp;C579</f>
        <v>tdbR00000446 Val-CAC|57</v>
      </c>
      <c r="B579" s="4" t="s">
        <v>44</v>
      </c>
      <c r="C579" s="4" t="s">
        <v>480</v>
      </c>
      <c r="D579" s="4" t="n">
        <v>59</v>
      </c>
      <c r="E579" s="19" t="s">
        <v>246</v>
      </c>
      <c r="F579" s="20" t="s">
        <v>477</v>
      </c>
    </row>
    <row r="580" customFormat="false" ht="15" hidden="false" customHeight="false" outlineLevel="0" collapsed="false">
      <c r="A580" s="4" t="str">
        <f aca="false">B580&amp;"|"&amp;C580</f>
        <v>tdbR00000446 Val-CAC|58</v>
      </c>
      <c r="B580" s="4" t="s">
        <v>44</v>
      </c>
      <c r="C580" s="4" t="s">
        <v>481</v>
      </c>
      <c r="D580" s="4" t="n">
        <v>60</v>
      </c>
      <c r="E580" s="19" t="s">
        <v>246</v>
      </c>
      <c r="F580" s="20" t="s">
        <v>477</v>
      </c>
    </row>
    <row r="581" customFormat="false" ht="15" hidden="false" customHeight="false" outlineLevel="0" collapsed="false">
      <c r="A581" s="4" t="str">
        <f aca="false">B581&amp;"|"&amp;C581</f>
        <v>tdbR00000446 Val-CAC|59</v>
      </c>
      <c r="B581" s="4" t="s">
        <v>44</v>
      </c>
      <c r="C581" s="4" t="s">
        <v>482</v>
      </c>
      <c r="D581" s="4" t="n">
        <v>61</v>
      </c>
      <c r="E581" s="19" t="s">
        <v>414</v>
      </c>
      <c r="F581" s="20" t="s">
        <v>477</v>
      </c>
    </row>
    <row r="582" customFormat="false" ht="15" hidden="false" customHeight="false" outlineLevel="0" collapsed="false">
      <c r="A582" s="4" t="str">
        <f aca="false">B582&amp;"|"&amp;C582</f>
        <v>tdbR00000446 Val-CAC|60</v>
      </c>
      <c r="B582" s="4" t="s">
        <v>44</v>
      </c>
      <c r="C582" s="4" t="s">
        <v>483</v>
      </c>
      <c r="D582" s="4" t="n">
        <v>62</v>
      </c>
      <c r="E582" s="19" t="s">
        <v>259</v>
      </c>
      <c r="F582" s="20" t="s">
        <v>477</v>
      </c>
    </row>
    <row r="583" customFormat="false" ht="15" hidden="false" customHeight="false" outlineLevel="0" collapsed="false">
      <c r="A583" s="4" t="str">
        <f aca="false">B583&amp;"|"&amp;C583</f>
        <v>tdbR00000446 Val-CAC|61</v>
      </c>
      <c r="B583" s="4" t="s">
        <v>44</v>
      </c>
      <c r="C583" s="4" t="s">
        <v>484</v>
      </c>
      <c r="D583" s="4" t="n">
        <v>63</v>
      </c>
      <c r="E583" s="23" t="s">
        <v>414</v>
      </c>
      <c r="F583" s="10" t="s">
        <v>471</v>
      </c>
    </row>
    <row r="584" customFormat="false" ht="15" hidden="false" customHeight="false" outlineLevel="0" collapsed="false">
      <c r="A584" s="4" t="str">
        <f aca="false">B584&amp;"|"&amp;C584</f>
        <v>tdbR00000446 Val-CAC|62</v>
      </c>
      <c r="B584" s="4" t="s">
        <v>44</v>
      </c>
      <c r="C584" s="4" t="s">
        <v>485</v>
      </c>
      <c r="D584" s="4" t="n">
        <v>64</v>
      </c>
      <c r="E584" s="23" t="s">
        <v>414</v>
      </c>
      <c r="F584" s="10" t="s">
        <v>471</v>
      </c>
    </row>
    <row r="585" customFormat="false" ht="15" hidden="false" customHeight="false" outlineLevel="0" collapsed="false">
      <c r="A585" s="4" t="str">
        <f aca="false">B585&amp;"|"&amp;C585</f>
        <v>tdbR00000446 Val-CAC|63</v>
      </c>
      <c r="B585" s="4" t="s">
        <v>44</v>
      </c>
      <c r="C585" s="4" t="s">
        <v>486</v>
      </c>
      <c r="D585" s="4" t="n">
        <v>65</v>
      </c>
      <c r="E585" s="23" t="s">
        <v>197</v>
      </c>
      <c r="F585" s="10" t="s">
        <v>471</v>
      </c>
    </row>
    <row r="586" customFormat="false" ht="15" hidden="false" customHeight="false" outlineLevel="0" collapsed="false">
      <c r="A586" s="4" t="str">
        <f aca="false">B586&amp;"|"&amp;C586</f>
        <v>tdbR00000446 Val-CAC|64</v>
      </c>
      <c r="B586" s="4" t="s">
        <v>44</v>
      </c>
      <c r="C586" s="4" t="s">
        <v>487</v>
      </c>
      <c r="D586" s="4" t="n">
        <v>66</v>
      </c>
      <c r="E586" s="23" t="s">
        <v>414</v>
      </c>
      <c r="F586" s="10" t="s">
        <v>471</v>
      </c>
    </row>
    <row r="587" customFormat="false" ht="15" hidden="false" customHeight="false" outlineLevel="0" collapsed="false">
      <c r="A587" s="4" t="str">
        <f aca="false">B587&amp;"|"&amp;C587</f>
        <v>tdbR00000446 Val-CAC|65</v>
      </c>
      <c r="B587" s="4" t="s">
        <v>44</v>
      </c>
      <c r="C587" s="4" t="s">
        <v>488</v>
      </c>
      <c r="D587" s="4" t="n">
        <v>67</v>
      </c>
      <c r="E587" s="23" t="s">
        <v>414</v>
      </c>
      <c r="F587" s="10" t="s">
        <v>471</v>
      </c>
    </row>
    <row r="588" customFormat="false" ht="15" hidden="false" customHeight="false" outlineLevel="0" collapsed="false">
      <c r="A588" s="4" t="str">
        <f aca="false">B588&amp;"|"&amp;C588</f>
        <v>tdbR00000446 Val-CAC|66</v>
      </c>
      <c r="B588" s="4" t="s">
        <v>44</v>
      </c>
      <c r="C588" s="4" t="s">
        <v>489</v>
      </c>
      <c r="D588" s="4" t="n">
        <v>68</v>
      </c>
      <c r="E588" s="17" t="s">
        <v>414</v>
      </c>
      <c r="F588" s="18" t="s">
        <v>412</v>
      </c>
    </row>
    <row r="589" customFormat="false" ht="15" hidden="false" customHeight="false" outlineLevel="0" collapsed="false">
      <c r="A589" s="4" t="str">
        <f aca="false">B589&amp;"|"&amp;C589</f>
        <v>tdbR00000446 Val-CAC|67</v>
      </c>
      <c r="B589" s="4" t="s">
        <v>44</v>
      </c>
      <c r="C589" s="4" t="s">
        <v>490</v>
      </c>
      <c r="D589" s="4" t="n">
        <v>69</v>
      </c>
      <c r="E589" s="17" t="s">
        <v>414</v>
      </c>
      <c r="F589" s="18" t="s">
        <v>412</v>
      </c>
    </row>
    <row r="590" customFormat="false" ht="15" hidden="false" customHeight="false" outlineLevel="0" collapsed="false">
      <c r="A590" s="4" t="str">
        <f aca="false">B590&amp;"|"&amp;C590</f>
        <v>tdbR00000446 Val-CAC|68</v>
      </c>
      <c r="B590" s="4" t="s">
        <v>44</v>
      </c>
      <c r="C590" s="4" t="s">
        <v>491</v>
      </c>
      <c r="D590" s="4" t="n">
        <v>70</v>
      </c>
      <c r="E590" s="17" t="s">
        <v>197</v>
      </c>
      <c r="F590" s="18" t="s">
        <v>412</v>
      </c>
    </row>
    <row r="591" customFormat="false" ht="15" hidden="false" customHeight="false" outlineLevel="0" collapsed="false">
      <c r="A591" s="4" t="str">
        <f aca="false">B591&amp;"|"&amp;C591</f>
        <v>tdbR00000446 Val-CAC|69</v>
      </c>
      <c r="B591" s="4" t="s">
        <v>44</v>
      </c>
      <c r="C591" s="4" t="s">
        <v>492</v>
      </c>
      <c r="D591" s="4" t="n">
        <v>71</v>
      </c>
      <c r="E591" s="17" t="s">
        <v>246</v>
      </c>
      <c r="F591" s="18" t="s">
        <v>412</v>
      </c>
    </row>
    <row r="592" customFormat="false" ht="15" hidden="false" customHeight="false" outlineLevel="0" collapsed="false">
      <c r="A592" s="4" t="str">
        <f aca="false">B592&amp;"|"&amp;C592</f>
        <v>tdbR00000446 Val-CAC|70</v>
      </c>
      <c r="B592" s="4" t="s">
        <v>44</v>
      </c>
      <c r="C592" s="4" t="s">
        <v>493</v>
      </c>
      <c r="D592" s="4" t="n">
        <v>72</v>
      </c>
      <c r="E592" s="17" t="s">
        <v>414</v>
      </c>
      <c r="F592" s="18" t="s">
        <v>412</v>
      </c>
    </row>
    <row r="593" customFormat="false" ht="15" hidden="false" customHeight="false" outlineLevel="0" collapsed="false">
      <c r="A593" s="4" t="str">
        <f aca="false">B593&amp;"|"&amp;C593</f>
        <v>tdbR00000446 Val-CAC|71</v>
      </c>
      <c r="B593" s="4" t="s">
        <v>44</v>
      </c>
      <c r="C593" s="4" t="s">
        <v>494</v>
      </c>
      <c r="D593" s="4" t="n">
        <v>73</v>
      </c>
      <c r="E593" s="17" t="s">
        <v>414</v>
      </c>
      <c r="F593" s="18" t="s">
        <v>412</v>
      </c>
    </row>
    <row r="594" customFormat="false" ht="15" hidden="false" customHeight="false" outlineLevel="0" collapsed="false">
      <c r="A594" s="4" t="str">
        <f aca="false">B594&amp;"|"&amp;C594</f>
        <v>tdbR00000446 Val-CAC|72</v>
      </c>
      <c r="B594" s="4" t="s">
        <v>44</v>
      </c>
      <c r="C594" s="4" t="s">
        <v>495</v>
      </c>
      <c r="D594" s="4" t="n">
        <v>74</v>
      </c>
      <c r="E594" s="17" t="s">
        <v>414</v>
      </c>
      <c r="F594" s="18" t="s">
        <v>412</v>
      </c>
    </row>
    <row r="595" customFormat="false" ht="15" hidden="false" customHeight="false" outlineLevel="0" collapsed="false">
      <c r="A595" s="4" t="str">
        <f aca="false">B595&amp;"|"&amp;C595</f>
        <v>tdbR00000447 Val-CAC|1</v>
      </c>
      <c r="B595" s="4" t="s">
        <v>45</v>
      </c>
      <c r="C595" s="4" t="s">
        <v>411</v>
      </c>
      <c r="D595" s="4" t="n">
        <v>1</v>
      </c>
      <c r="E595" s="17" t="s">
        <v>197</v>
      </c>
      <c r="F595" s="18" t="s">
        <v>412</v>
      </c>
    </row>
    <row r="596" customFormat="false" ht="15" hidden="false" customHeight="false" outlineLevel="0" collapsed="false">
      <c r="A596" s="4" t="str">
        <f aca="false">B596&amp;"|"&amp;C596</f>
        <v>tdbR00000447 Val-CAC|2</v>
      </c>
      <c r="B596" s="4" t="s">
        <v>45</v>
      </c>
      <c r="C596" s="4" t="s">
        <v>413</v>
      </c>
      <c r="D596" s="4" t="n">
        <v>2</v>
      </c>
      <c r="E596" s="17" t="s">
        <v>197</v>
      </c>
      <c r="F596" s="18" t="s">
        <v>412</v>
      </c>
    </row>
    <row r="597" customFormat="false" ht="15" hidden="false" customHeight="false" outlineLevel="0" collapsed="false">
      <c r="A597" s="4" t="str">
        <f aca="false">B597&amp;"|"&amp;C597</f>
        <v>tdbR00000447 Val-CAC|3</v>
      </c>
      <c r="B597" s="4" t="s">
        <v>45</v>
      </c>
      <c r="C597" s="4" t="s">
        <v>415</v>
      </c>
      <c r="D597" s="4" t="n">
        <v>3</v>
      </c>
      <c r="E597" s="17" t="s">
        <v>197</v>
      </c>
      <c r="F597" s="18" t="s">
        <v>412</v>
      </c>
    </row>
    <row r="598" customFormat="false" ht="15" hidden="false" customHeight="false" outlineLevel="0" collapsed="false">
      <c r="A598" s="4" t="str">
        <f aca="false">B598&amp;"|"&amp;C598</f>
        <v>tdbR00000447 Val-CAC|4</v>
      </c>
      <c r="B598" s="4" t="s">
        <v>45</v>
      </c>
      <c r="C598" s="4" t="s">
        <v>416</v>
      </c>
      <c r="D598" s="4" t="n">
        <v>4</v>
      </c>
      <c r="E598" s="17" t="s">
        <v>259</v>
      </c>
      <c r="F598" s="18" t="s">
        <v>412</v>
      </c>
    </row>
    <row r="599" customFormat="false" ht="15" hidden="false" customHeight="false" outlineLevel="0" collapsed="false">
      <c r="A599" s="4" t="str">
        <f aca="false">B599&amp;"|"&amp;C599</f>
        <v>tdbR00000447 Val-CAC|5</v>
      </c>
      <c r="B599" s="4" t="s">
        <v>45</v>
      </c>
      <c r="C599" s="4" t="s">
        <v>417</v>
      </c>
      <c r="D599" s="4" t="n">
        <v>5</v>
      </c>
      <c r="E599" s="17" t="s">
        <v>259</v>
      </c>
      <c r="F599" s="18" t="s">
        <v>412</v>
      </c>
    </row>
    <row r="600" customFormat="false" ht="15" hidden="false" customHeight="false" outlineLevel="0" collapsed="false">
      <c r="A600" s="4" t="str">
        <f aca="false">B600&amp;"|"&amp;C600</f>
        <v>tdbR00000447 Val-CAC|6</v>
      </c>
      <c r="B600" s="4" t="s">
        <v>45</v>
      </c>
      <c r="C600" s="4" t="s">
        <v>418</v>
      </c>
      <c r="D600" s="4" t="n">
        <v>6</v>
      </c>
      <c r="E600" s="17" t="s">
        <v>197</v>
      </c>
      <c r="F600" s="18" t="s">
        <v>412</v>
      </c>
    </row>
    <row r="601" customFormat="false" ht="15" hidden="false" customHeight="false" outlineLevel="0" collapsed="false">
      <c r="A601" s="4" t="str">
        <f aca="false">B601&amp;"|"&amp;C601</f>
        <v>tdbR00000447 Val-CAC|7</v>
      </c>
      <c r="B601" s="4" t="s">
        <v>45</v>
      </c>
      <c r="C601" s="4" t="s">
        <v>419</v>
      </c>
      <c r="D601" s="4" t="n">
        <v>7</v>
      </c>
      <c r="E601" s="17" t="s">
        <v>197</v>
      </c>
      <c r="F601" s="18" t="s">
        <v>412</v>
      </c>
    </row>
    <row r="602" customFormat="false" ht="15" hidden="false" customHeight="false" outlineLevel="0" collapsed="false">
      <c r="A602" s="4" t="str">
        <f aca="false">B602&amp;"|"&amp;C602</f>
        <v>tdbR00000447 Val-CAC|8</v>
      </c>
      <c r="B602" s="4" t="s">
        <v>45</v>
      </c>
      <c r="C602" s="4" t="s">
        <v>420</v>
      </c>
      <c r="D602" s="4" t="n">
        <v>8</v>
      </c>
      <c r="E602" s="3" t="s">
        <v>259</v>
      </c>
      <c r="F602" s="4" t="s">
        <v>421</v>
      </c>
    </row>
    <row r="603" customFormat="false" ht="15" hidden="false" customHeight="false" outlineLevel="0" collapsed="false">
      <c r="A603" s="4" t="str">
        <f aca="false">B603&amp;"|"&amp;C603</f>
        <v>tdbR00000447 Val-CAC|9</v>
      </c>
      <c r="B603" s="4" t="s">
        <v>45</v>
      </c>
      <c r="C603" s="4" t="s">
        <v>422</v>
      </c>
      <c r="D603" s="4" t="n">
        <v>9</v>
      </c>
      <c r="E603" s="3" t="s">
        <v>197</v>
      </c>
      <c r="F603" s="4" t="s">
        <v>423</v>
      </c>
    </row>
    <row r="604" customFormat="false" ht="15" hidden="false" customHeight="false" outlineLevel="0" collapsed="false">
      <c r="A604" s="4" t="str">
        <f aca="false">B604&amp;"|"&amp;C604</f>
        <v>tdbR00000447 Val-CAC|10</v>
      </c>
      <c r="B604" s="4" t="s">
        <v>45</v>
      </c>
      <c r="C604" s="4" t="s">
        <v>424</v>
      </c>
      <c r="D604" s="4" t="n">
        <v>10</v>
      </c>
      <c r="E604" s="8" t="s">
        <v>197</v>
      </c>
      <c r="F604" s="7" t="s">
        <v>425</v>
      </c>
    </row>
    <row r="605" customFormat="false" ht="15" hidden="false" customHeight="false" outlineLevel="0" collapsed="false">
      <c r="A605" s="4" t="str">
        <f aca="false">B605&amp;"|"&amp;C605</f>
        <v>tdbR00000447 Val-CAC|11</v>
      </c>
      <c r="B605" s="4" t="s">
        <v>45</v>
      </c>
      <c r="C605" s="4" t="s">
        <v>426</v>
      </c>
      <c r="D605" s="4" t="n">
        <v>11</v>
      </c>
      <c r="E605" s="8" t="s">
        <v>259</v>
      </c>
      <c r="F605" s="7" t="s">
        <v>425</v>
      </c>
    </row>
    <row r="606" customFormat="false" ht="15" hidden="false" customHeight="false" outlineLevel="0" collapsed="false">
      <c r="A606" s="4" t="str">
        <f aca="false">B606&amp;"|"&amp;C606</f>
        <v>tdbR00000447 Val-CAC|12</v>
      </c>
      <c r="B606" s="4" t="s">
        <v>45</v>
      </c>
      <c r="C606" s="4" t="s">
        <v>427</v>
      </c>
      <c r="D606" s="4" t="n">
        <v>12</v>
      </c>
      <c r="E606" s="8" t="s">
        <v>414</v>
      </c>
      <c r="F606" s="7" t="s">
        <v>425</v>
      </c>
    </row>
    <row r="607" customFormat="false" ht="15" hidden="false" customHeight="false" outlineLevel="0" collapsed="false">
      <c r="A607" s="4" t="str">
        <f aca="false">B607&amp;"|"&amp;C607</f>
        <v>tdbR00000447 Val-CAC|13</v>
      </c>
      <c r="B607" s="4" t="s">
        <v>45</v>
      </c>
      <c r="C607" s="4" t="s">
        <v>428</v>
      </c>
      <c r="D607" s="4" t="n">
        <v>13</v>
      </c>
      <c r="E607" s="8" t="s">
        <v>259</v>
      </c>
      <c r="F607" s="7" t="s">
        <v>425</v>
      </c>
    </row>
    <row r="608" customFormat="false" ht="15" hidden="false" customHeight="false" outlineLevel="0" collapsed="false">
      <c r="A608" s="4" t="str">
        <f aca="false">B608&amp;"|"&amp;C608</f>
        <v>tdbR00000447 Val-CAC|14</v>
      </c>
      <c r="B608" s="4" t="s">
        <v>45</v>
      </c>
      <c r="C608" s="4" t="s">
        <v>429</v>
      </c>
      <c r="D608" s="4" t="n">
        <v>14</v>
      </c>
      <c r="E608" s="19" t="s">
        <v>246</v>
      </c>
      <c r="F608" s="20" t="s">
        <v>430</v>
      </c>
    </row>
    <row r="609" customFormat="false" ht="15" hidden="false" customHeight="false" outlineLevel="0" collapsed="false">
      <c r="A609" s="4" t="str">
        <f aca="false">B609&amp;"|"&amp;C609</f>
        <v>tdbR00000447 Val-CAC|15</v>
      </c>
      <c r="B609" s="4" t="s">
        <v>45</v>
      </c>
      <c r="C609" s="4" t="s">
        <v>431</v>
      </c>
      <c r="D609" s="4" t="n">
        <v>15</v>
      </c>
      <c r="E609" s="19" t="s">
        <v>197</v>
      </c>
      <c r="F609" s="20" t="s">
        <v>430</v>
      </c>
    </row>
    <row r="610" customFormat="false" ht="15" hidden="false" customHeight="false" outlineLevel="0" collapsed="false">
      <c r="A610" s="4" t="str">
        <f aca="false">B610&amp;"|"&amp;C610</f>
        <v>tdbR00000447 Val-CAC|16</v>
      </c>
      <c r="B610" s="4" t="s">
        <v>45</v>
      </c>
      <c r="C610" s="4" t="s">
        <v>432</v>
      </c>
      <c r="D610" s="4" t="n">
        <v>16</v>
      </c>
      <c r="E610" s="19" t="s">
        <v>259</v>
      </c>
      <c r="F610" s="20" t="s">
        <v>430</v>
      </c>
    </row>
    <row r="611" customFormat="false" ht="15" hidden="false" customHeight="false" outlineLevel="0" collapsed="false">
      <c r="A611" s="4" t="str">
        <f aca="false">B611&amp;"|"&amp;C611</f>
        <v>tdbR00000447 Val-CAC|17</v>
      </c>
      <c r="B611" s="4" t="s">
        <v>45</v>
      </c>
      <c r="C611" s="4" t="s">
        <v>433</v>
      </c>
      <c r="D611" s="4" t="n">
        <v>17</v>
      </c>
      <c r="E611" s="19" t="s">
        <v>414</v>
      </c>
      <c r="F611" s="20" t="s">
        <v>430</v>
      </c>
    </row>
    <row r="612" customFormat="false" ht="15" hidden="false" customHeight="false" outlineLevel="0" collapsed="false">
      <c r="A612" s="4" t="str">
        <f aca="false">B612&amp;"|"&amp;C612</f>
        <v>tdbR00000447 Val-CAC|17a</v>
      </c>
      <c r="B612" s="4" t="s">
        <v>45</v>
      </c>
      <c r="C612" s="4" t="s">
        <v>496</v>
      </c>
      <c r="D612" s="4" t="n">
        <v>18</v>
      </c>
      <c r="E612" s="19" t="s">
        <v>246</v>
      </c>
      <c r="F612" s="20" t="s">
        <v>430</v>
      </c>
    </row>
    <row r="613" customFormat="false" ht="15" hidden="false" customHeight="false" outlineLevel="0" collapsed="false">
      <c r="A613" s="4" t="str">
        <f aca="false">B613&amp;"|"&amp;C613</f>
        <v>tdbR00000447 Val-CAC|18</v>
      </c>
      <c r="B613" s="4" t="s">
        <v>45</v>
      </c>
      <c r="C613" s="4" t="s">
        <v>434</v>
      </c>
      <c r="D613" s="4" t="n">
        <v>19</v>
      </c>
      <c r="E613" s="19" t="s">
        <v>197</v>
      </c>
      <c r="F613" s="20" t="s">
        <v>430</v>
      </c>
    </row>
    <row r="614" customFormat="false" ht="15" hidden="false" customHeight="false" outlineLevel="0" collapsed="false">
      <c r="A614" s="4" t="str">
        <f aca="false">B614&amp;"|"&amp;C614</f>
        <v>tdbR00000447 Val-CAC|19</v>
      </c>
      <c r="B614" s="4" t="s">
        <v>45</v>
      </c>
      <c r="C614" s="4" t="s">
        <v>435</v>
      </c>
      <c r="D614" s="4" t="n">
        <v>20</v>
      </c>
      <c r="E614" s="19" t="s">
        <v>197</v>
      </c>
      <c r="F614" s="20" t="s">
        <v>430</v>
      </c>
    </row>
    <row r="615" customFormat="false" ht="15" hidden="false" customHeight="false" outlineLevel="0" collapsed="false">
      <c r="A615" s="4" t="str">
        <f aca="false">B615&amp;"|"&amp;C615</f>
        <v>tdbR00000447 Val-CAC|20</v>
      </c>
      <c r="B615" s="4" t="s">
        <v>45</v>
      </c>
      <c r="C615" s="4" t="s">
        <v>436</v>
      </c>
      <c r="D615" s="4" t="n">
        <v>21</v>
      </c>
      <c r="E615" s="19" t="s">
        <v>414</v>
      </c>
      <c r="F615" s="20" t="s">
        <v>430</v>
      </c>
    </row>
    <row r="616" customFormat="false" ht="15" hidden="false" customHeight="false" outlineLevel="0" collapsed="false">
      <c r="A616" s="4" t="str">
        <f aca="false">B616&amp;"|"&amp;C616</f>
        <v>tdbR00000447 Val-CAC|20a</v>
      </c>
      <c r="B616" s="4" t="s">
        <v>45</v>
      </c>
      <c r="C616" s="4" t="s">
        <v>437</v>
      </c>
      <c r="D616" s="4" t="n">
        <v>22</v>
      </c>
      <c r="E616" s="19" t="s">
        <v>259</v>
      </c>
      <c r="F616" s="20" t="s">
        <v>430</v>
      </c>
    </row>
    <row r="617" customFormat="false" ht="15" hidden="false" customHeight="false" outlineLevel="0" collapsed="false">
      <c r="A617" s="4" t="str">
        <f aca="false">B617&amp;"|"&amp;C617</f>
        <v>tdbR00000447 Val-CAC|21</v>
      </c>
      <c r="B617" s="4" t="s">
        <v>45</v>
      </c>
      <c r="C617" s="4" t="s">
        <v>438</v>
      </c>
      <c r="D617" s="4" t="n">
        <v>23</v>
      </c>
      <c r="E617" s="19" t="s">
        <v>246</v>
      </c>
      <c r="F617" s="20" t="s">
        <v>430</v>
      </c>
    </row>
    <row r="618" customFormat="false" ht="15" hidden="false" customHeight="false" outlineLevel="0" collapsed="false">
      <c r="A618" s="4" t="str">
        <f aca="false">B618&amp;"|"&amp;C618</f>
        <v>tdbR00000447 Val-CAC|22</v>
      </c>
      <c r="B618" s="4" t="s">
        <v>45</v>
      </c>
      <c r="C618" s="4" t="s">
        <v>439</v>
      </c>
      <c r="D618" s="4" t="n">
        <v>24</v>
      </c>
      <c r="E618" s="8" t="s">
        <v>259</v>
      </c>
      <c r="F618" s="7" t="s">
        <v>425</v>
      </c>
    </row>
    <row r="619" customFormat="false" ht="15" hidden="false" customHeight="false" outlineLevel="0" collapsed="false">
      <c r="A619" s="4" t="str">
        <f aca="false">B619&amp;"|"&amp;C619</f>
        <v>tdbR00000447 Val-CAC|23</v>
      </c>
      <c r="B619" s="4" t="s">
        <v>45</v>
      </c>
      <c r="C619" s="4" t="s">
        <v>440</v>
      </c>
      <c r="D619" s="4" t="n">
        <v>25</v>
      </c>
      <c r="E619" s="8" t="s">
        <v>197</v>
      </c>
      <c r="F619" s="7" t="s">
        <v>425</v>
      </c>
    </row>
    <row r="620" customFormat="false" ht="15" hidden="false" customHeight="false" outlineLevel="0" collapsed="false">
      <c r="A620" s="4" t="str">
        <f aca="false">B620&amp;"|"&amp;C620</f>
        <v>tdbR00000447 Val-CAC|24</v>
      </c>
      <c r="B620" s="4" t="s">
        <v>45</v>
      </c>
      <c r="C620" s="4" t="s">
        <v>441</v>
      </c>
      <c r="D620" s="4" t="n">
        <v>26</v>
      </c>
      <c r="E620" s="8" t="s">
        <v>246</v>
      </c>
      <c r="F620" s="7" t="s">
        <v>425</v>
      </c>
    </row>
    <row r="621" customFormat="false" ht="15" hidden="false" customHeight="false" outlineLevel="0" collapsed="false">
      <c r="A621" s="4" t="str">
        <f aca="false">B621&amp;"|"&amp;C621</f>
        <v>tdbR00000447 Val-CAC|25</v>
      </c>
      <c r="B621" s="4" t="s">
        <v>45</v>
      </c>
      <c r="C621" s="4" t="s">
        <v>442</v>
      </c>
      <c r="D621" s="4" t="n">
        <v>27</v>
      </c>
      <c r="E621" s="8" t="s">
        <v>414</v>
      </c>
      <c r="F621" s="7" t="s">
        <v>425</v>
      </c>
    </row>
    <row r="622" customFormat="false" ht="15" hidden="false" customHeight="false" outlineLevel="0" collapsed="false">
      <c r="A622" s="4" t="str">
        <f aca="false">B622&amp;"|"&amp;C622</f>
        <v>tdbR00000447 Val-CAC|26</v>
      </c>
      <c r="B622" s="4" t="s">
        <v>45</v>
      </c>
      <c r="C622" s="4" t="s">
        <v>443</v>
      </c>
      <c r="D622" s="4" t="n">
        <v>28</v>
      </c>
      <c r="E622" s="3" t="s">
        <v>246</v>
      </c>
      <c r="F622" s="4" t="s">
        <v>444</v>
      </c>
    </row>
    <row r="623" customFormat="false" ht="15" hidden="false" customHeight="false" outlineLevel="0" collapsed="false">
      <c r="A623" s="4" t="str">
        <f aca="false">B623&amp;"|"&amp;C623</f>
        <v>tdbR00000447 Val-CAC|27</v>
      </c>
      <c r="B623" s="4" t="s">
        <v>45</v>
      </c>
      <c r="C623" s="4" t="s">
        <v>445</v>
      </c>
      <c r="D623" s="4" t="n">
        <v>29</v>
      </c>
      <c r="E623" s="21" t="s">
        <v>414</v>
      </c>
      <c r="F623" s="22" t="s">
        <v>446</v>
      </c>
    </row>
    <row r="624" customFormat="false" ht="15" hidden="false" customHeight="false" outlineLevel="0" collapsed="false">
      <c r="A624" s="4" t="str">
        <f aca="false">B624&amp;"|"&amp;C624</f>
        <v>tdbR00000447 Val-CAC|28</v>
      </c>
      <c r="B624" s="4" t="s">
        <v>45</v>
      </c>
      <c r="C624" s="4" t="s">
        <v>447</v>
      </c>
      <c r="D624" s="4" t="n">
        <v>30</v>
      </c>
      <c r="E624" s="21" t="s">
        <v>414</v>
      </c>
      <c r="F624" s="22" t="s">
        <v>446</v>
      </c>
    </row>
    <row r="625" customFormat="false" ht="15" hidden="false" customHeight="false" outlineLevel="0" collapsed="false">
      <c r="A625" s="4" t="str">
        <f aca="false">B625&amp;"|"&amp;C625</f>
        <v>tdbR00000447 Val-CAC|29</v>
      </c>
      <c r="B625" s="4" t="s">
        <v>45</v>
      </c>
      <c r="C625" s="4" t="s">
        <v>448</v>
      </c>
      <c r="D625" s="4" t="n">
        <v>31</v>
      </c>
      <c r="E625" s="21" t="s">
        <v>259</v>
      </c>
      <c r="F625" s="22" t="s">
        <v>446</v>
      </c>
    </row>
    <row r="626" customFormat="false" ht="15" hidden="false" customHeight="false" outlineLevel="0" collapsed="false">
      <c r="A626" s="4" t="str">
        <f aca="false">B626&amp;"|"&amp;C626</f>
        <v>tdbR00000447 Val-CAC|30</v>
      </c>
      <c r="B626" s="4" t="s">
        <v>45</v>
      </c>
      <c r="C626" s="4" t="s">
        <v>449</v>
      </c>
      <c r="D626" s="4" t="n">
        <v>32</v>
      </c>
      <c r="E626" s="21" t="s">
        <v>414</v>
      </c>
      <c r="F626" s="22" t="s">
        <v>446</v>
      </c>
    </row>
    <row r="627" customFormat="false" ht="15" hidden="false" customHeight="false" outlineLevel="0" collapsed="false">
      <c r="A627" s="4" t="str">
        <f aca="false">B627&amp;"|"&amp;C627</f>
        <v>tdbR00000447 Val-CAC|31</v>
      </c>
      <c r="B627" s="4" t="s">
        <v>45</v>
      </c>
      <c r="C627" s="4" t="s">
        <v>450</v>
      </c>
      <c r="D627" s="4" t="n">
        <v>33</v>
      </c>
      <c r="E627" s="21" t="s">
        <v>414</v>
      </c>
      <c r="F627" s="22" t="s">
        <v>446</v>
      </c>
    </row>
    <row r="628" customFormat="false" ht="15" hidden="false" customHeight="false" outlineLevel="0" collapsed="false">
      <c r="A628" s="4" t="str">
        <f aca="false">B628&amp;"|"&amp;C628</f>
        <v>tdbR00000447 Val-CAC|32</v>
      </c>
      <c r="B628" s="4" t="s">
        <v>45</v>
      </c>
      <c r="C628" s="4" t="s">
        <v>451</v>
      </c>
      <c r="D628" s="4" t="n">
        <v>34</v>
      </c>
      <c r="E628" s="19" t="s">
        <v>259</v>
      </c>
      <c r="F628" s="20" t="s">
        <v>452</v>
      </c>
    </row>
    <row r="629" customFormat="false" ht="15" hidden="false" customHeight="false" outlineLevel="0" collapsed="false">
      <c r="A629" s="4" t="str">
        <f aca="false">B629&amp;"|"&amp;C629</f>
        <v>tdbR00000447 Val-CAC|33</v>
      </c>
      <c r="B629" s="4" t="s">
        <v>45</v>
      </c>
      <c r="C629" s="4" t="s">
        <v>453</v>
      </c>
      <c r="D629" s="4" t="n">
        <v>35</v>
      </c>
      <c r="E629" s="19" t="s">
        <v>259</v>
      </c>
      <c r="F629" s="20" t="s">
        <v>452</v>
      </c>
    </row>
    <row r="630" customFormat="false" ht="15" hidden="false" customHeight="false" outlineLevel="0" collapsed="false">
      <c r="A630" s="4" t="str">
        <f aca="false">B630&amp;"|"&amp;C630</f>
        <v>tdbR00000447 Val-CAC|34</v>
      </c>
      <c r="B630" s="4" t="s">
        <v>45</v>
      </c>
      <c r="C630" s="4" t="s">
        <v>454</v>
      </c>
      <c r="D630" s="4" t="n">
        <v>36</v>
      </c>
      <c r="E630" s="19" t="s">
        <v>414</v>
      </c>
      <c r="F630" s="20" t="s">
        <v>452</v>
      </c>
    </row>
    <row r="631" customFormat="false" ht="15" hidden="false" customHeight="false" outlineLevel="0" collapsed="false">
      <c r="A631" s="4" t="str">
        <f aca="false">B631&amp;"|"&amp;C631</f>
        <v>tdbR00000447 Val-CAC|35</v>
      </c>
      <c r="B631" s="4" t="s">
        <v>45</v>
      </c>
      <c r="C631" s="4" t="s">
        <v>455</v>
      </c>
      <c r="D631" s="4" t="n">
        <v>37</v>
      </c>
      <c r="E631" s="19" t="s">
        <v>246</v>
      </c>
      <c r="F631" s="20" t="s">
        <v>452</v>
      </c>
    </row>
    <row r="632" customFormat="false" ht="15" hidden="false" customHeight="false" outlineLevel="0" collapsed="false">
      <c r="A632" s="4" t="str">
        <f aca="false">B632&amp;"|"&amp;C632</f>
        <v>tdbR00000447 Val-CAC|36</v>
      </c>
      <c r="B632" s="4" t="s">
        <v>45</v>
      </c>
      <c r="C632" s="4" t="s">
        <v>456</v>
      </c>
      <c r="D632" s="4" t="n">
        <v>38</v>
      </c>
      <c r="E632" s="19" t="s">
        <v>414</v>
      </c>
      <c r="F632" s="20" t="s">
        <v>452</v>
      </c>
    </row>
    <row r="633" customFormat="false" ht="15" hidden="false" customHeight="false" outlineLevel="0" collapsed="false">
      <c r="A633" s="4" t="str">
        <f aca="false">B633&amp;"|"&amp;C633</f>
        <v>tdbR00000447 Val-CAC|37</v>
      </c>
      <c r="B633" s="4" t="s">
        <v>45</v>
      </c>
      <c r="C633" s="4" t="s">
        <v>457</v>
      </c>
      <c r="D633" s="4" t="n">
        <v>39</v>
      </c>
      <c r="E633" s="19" t="s">
        <v>246</v>
      </c>
      <c r="F633" s="20" t="s">
        <v>452</v>
      </c>
    </row>
    <row r="634" customFormat="false" ht="15" hidden="false" customHeight="false" outlineLevel="0" collapsed="false">
      <c r="A634" s="4" t="str">
        <f aca="false">B634&amp;"|"&amp;C634</f>
        <v>tdbR00000447 Val-CAC|38</v>
      </c>
      <c r="B634" s="4" t="s">
        <v>45</v>
      </c>
      <c r="C634" s="4" t="s">
        <v>458</v>
      </c>
      <c r="D634" s="4" t="n">
        <v>40</v>
      </c>
      <c r="E634" s="19" t="s">
        <v>259</v>
      </c>
      <c r="F634" s="20" t="s">
        <v>452</v>
      </c>
    </row>
    <row r="635" customFormat="false" ht="15" hidden="false" customHeight="false" outlineLevel="0" collapsed="false">
      <c r="A635" s="4" t="str">
        <f aca="false">B635&amp;"|"&amp;C635</f>
        <v>tdbR00000447 Val-CAC|39</v>
      </c>
      <c r="B635" s="4" t="s">
        <v>45</v>
      </c>
      <c r="C635" s="4" t="s">
        <v>459</v>
      </c>
      <c r="D635" s="4" t="n">
        <v>41</v>
      </c>
      <c r="E635" s="21" t="s">
        <v>197</v>
      </c>
      <c r="F635" s="22" t="s">
        <v>446</v>
      </c>
    </row>
    <row r="636" customFormat="false" ht="15" hidden="false" customHeight="false" outlineLevel="0" collapsed="false">
      <c r="A636" s="4" t="str">
        <f aca="false">B636&amp;"|"&amp;C636</f>
        <v>tdbR00000447 Val-CAC|40</v>
      </c>
      <c r="B636" s="4" t="s">
        <v>45</v>
      </c>
      <c r="C636" s="4" t="s">
        <v>460</v>
      </c>
      <c r="D636" s="4" t="n">
        <v>42</v>
      </c>
      <c r="E636" s="21" t="s">
        <v>197</v>
      </c>
      <c r="F636" s="22" t="s">
        <v>446</v>
      </c>
    </row>
    <row r="637" customFormat="false" ht="15" hidden="false" customHeight="false" outlineLevel="0" collapsed="false">
      <c r="A637" s="4" t="str">
        <f aca="false">B637&amp;"|"&amp;C637</f>
        <v>tdbR00000447 Val-CAC|41</v>
      </c>
      <c r="B637" s="4" t="s">
        <v>45</v>
      </c>
      <c r="C637" s="4" t="s">
        <v>461</v>
      </c>
      <c r="D637" s="4" t="n">
        <v>43</v>
      </c>
      <c r="E637" s="21" t="s">
        <v>246</v>
      </c>
      <c r="F637" s="22" t="s">
        <v>446</v>
      </c>
    </row>
    <row r="638" customFormat="false" ht="15" hidden="false" customHeight="false" outlineLevel="0" collapsed="false">
      <c r="A638" s="4" t="str">
        <f aca="false">B638&amp;"|"&amp;C638</f>
        <v>tdbR00000447 Val-CAC|42</v>
      </c>
      <c r="B638" s="4" t="s">
        <v>45</v>
      </c>
      <c r="C638" s="4" t="s">
        <v>462</v>
      </c>
      <c r="D638" s="4" t="n">
        <v>44</v>
      </c>
      <c r="E638" s="21" t="s">
        <v>197</v>
      </c>
      <c r="F638" s="22" t="s">
        <v>446</v>
      </c>
    </row>
    <row r="639" customFormat="false" ht="15" hidden="false" customHeight="false" outlineLevel="0" collapsed="false">
      <c r="A639" s="4" t="str">
        <f aca="false">B639&amp;"|"&amp;C639</f>
        <v>tdbR00000447 Val-CAC|43</v>
      </c>
      <c r="B639" s="4" t="s">
        <v>45</v>
      </c>
      <c r="C639" s="4" t="s">
        <v>463</v>
      </c>
      <c r="D639" s="4" t="n">
        <v>45</v>
      </c>
      <c r="E639" s="21" t="s">
        <v>197</v>
      </c>
      <c r="F639" s="22" t="s">
        <v>446</v>
      </c>
    </row>
    <row r="640" customFormat="false" ht="15" hidden="false" customHeight="false" outlineLevel="0" collapsed="false">
      <c r="A640" s="4" t="str">
        <f aca="false">B640&amp;"|"&amp;C640</f>
        <v>tdbR00000447 Val-CAC|44</v>
      </c>
      <c r="B640" s="4" t="s">
        <v>45</v>
      </c>
      <c r="C640" s="4" t="s">
        <v>464</v>
      </c>
      <c r="D640" s="4" t="n">
        <v>46</v>
      </c>
      <c r="E640" s="19" t="s">
        <v>246</v>
      </c>
      <c r="F640" s="20" t="s">
        <v>465</v>
      </c>
    </row>
    <row r="641" customFormat="false" ht="15" hidden="false" customHeight="false" outlineLevel="0" collapsed="false">
      <c r="A641" s="4" t="str">
        <f aca="false">B641&amp;"|"&amp;C641</f>
        <v>tdbR00000447 Val-CAC|45</v>
      </c>
      <c r="B641" s="4" t="s">
        <v>45</v>
      </c>
      <c r="C641" s="4" t="s">
        <v>466</v>
      </c>
      <c r="D641" s="4" t="n">
        <v>47</v>
      </c>
      <c r="E641" s="19" t="s">
        <v>197</v>
      </c>
      <c r="F641" s="20" t="s">
        <v>465</v>
      </c>
    </row>
    <row r="642" customFormat="false" ht="15" hidden="false" customHeight="false" outlineLevel="0" collapsed="false">
      <c r="A642" s="4" t="str">
        <f aca="false">B642&amp;"|"&amp;C642</f>
        <v>tdbR00000447 Val-CAC|46</v>
      </c>
      <c r="B642" s="4" t="s">
        <v>45</v>
      </c>
      <c r="C642" s="4" t="s">
        <v>467</v>
      </c>
      <c r="D642" s="4" t="n">
        <v>48</v>
      </c>
      <c r="E642" s="19" t="s">
        <v>197</v>
      </c>
      <c r="F642" s="20" t="s">
        <v>465</v>
      </c>
    </row>
    <row r="643" customFormat="false" ht="15" hidden="false" customHeight="false" outlineLevel="0" collapsed="false">
      <c r="A643" s="4" t="str">
        <f aca="false">B643&amp;"|"&amp;C643</f>
        <v>tdbR00000447 Val-CAC|47</v>
      </c>
      <c r="B643" s="4" t="s">
        <v>45</v>
      </c>
      <c r="C643" s="4" t="s">
        <v>468</v>
      </c>
      <c r="D643" s="4" t="n">
        <v>49</v>
      </c>
      <c r="E643" s="19" t="s">
        <v>259</v>
      </c>
      <c r="F643" s="20" t="s">
        <v>465</v>
      </c>
    </row>
    <row r="644" customFormat="false" ht="15" hidden="false" customHeight="false" outlineLevel="0" collapsed="false">
      <c r="A644" s="4" t="str">
        <f aca="false">B644&amp;"|"&amp;C644</f>
        <v>tdbR00000447 Val-CAC|48</v>
      </c>
      <c r="B644" s="4" t="s">
        <v>45</v>
      </c>
      <c r="C644" s="4" t="s">
        <v>469</v>
      </c>
      <c r="D644" s="4" t="n">
        <v>50</v>
      </c>
      <c r="E644" s="19" t="s">
        <v>414</v>
      </c>
      <c r="F644" s="20" t="s">
        <v>465</v>
      </c>
    </row>
    <row r="645" customFormat="false" ht="15" hidden="false" customHeight="false" outlineLevel="0" collapsed="false">
      <c r="A645" s="4" t="str">
        <f aca="false">B645&amp;"|"&amp;C645</f>
        <v>tdbR00000447 Val-CAC|49</v>
      </c>
      <c r="B645" s="4" t="s">
        <v>45</v>
      </c>
      <c r="C645" s="4" t="s">
        <v>470</v>
      </c>
      <c r="D645" s="4" t="n">
        <v>51</v>
      </c>
      <c r="E645" s="23" t="s">
        <v>197</v>
      </c>
      <c r="F645" s="10" t="s">
        <v>471</v>
      </c>
    </row>
    <row r="646" customFormat="false" ht="15" hidden="false" customHeight="false" outlineLevel="0" collapsed="false">
      <c r="A646" s="4" t="str">
        <f aca="false">B646&amp;"|"&amp;C646</f>
        <v>tdbR00000447 Val-CAC|50</v>
      </c>
      <c r="B646" s="4" t="s">
        <v>45</v>
      </c>
      <c r="C646" s="4" t="s">
        <v>472</v>
      </c>
      <c r="D646" s="4" t="n">
        <v>52</v>
      </c>
      <c r="E646" s="23" t="s">
        <v>197</v>
      </c>
      <c r="F646" s="10" t="s">
        <v>471</v>
      </c>
    </row>
    <row r="647" customFormat="false" ht="15" hidden="false" customHeight="false" outlineLevel="0" collapsed="false">
      <c r="A647" s="4" t="str">
        <f aca="false">B647&amp;"|"&amp;C647</f>
        <v>tdbR00000447 Val-CAC|51</v>
      </c>
      <c r="B647" s="4" t="s">
        <v>45</v>
      </c>
      <c r="C647" s="4" t="s">
        <v>473</v>
      </c>
      <c r="D647" s="4" t="n">
        <v>53</v>
      </c>
      <c r="E647" s="23" t="s">
        <v>414</v>
      </c>
      <c r="F647" s="10" t="s">
        <v>471</v>
      </c>
    </row>
    <row r="648" customFormat="false" ht="15" hidden="false" customHeight="false" outlineLevel="0" collapsed="false">
      <c r="A648" s="4" t="str">
        <f aca="false">B648&amp;"|"&amp;C648</f>
        <v>tdbR00000447 Val-CAC|52</v>
      </c>
      <c r="B648" s="4" t="s">
        <v>45</v>
      </c>
      <c r="C648" s="4" t="s">
        <v>474</v>
      </c>
      <c r="D648" s="4" t="n">
        <v>54</v>
      </c>
      <c r="E648" s="23" t="s">
        <v>197</v>
      </c>
      <c r="F648" s="10" t="s">
        <v>471</v>
      </c>
    </row>
    <row r="649" customFormat="false" ht="15" hidden="false" customHeight="false" outlineLevel="0" collapsed="false">
      <c r="A649" s="4" t="str">
        <f aca="false">B649&amp;"|"&amp;C649</f>
        <v>tdbR00000447 Val-CAC|53</v>
      </c>
      <c r="B649" s="4" t="s">
        <v>45</v>
      </c>
      <c r="C649" s="4" t="s">
        <v>475</v>
      </c>
      <c r="D649" s="4" t="n">
        <v>55</v>
      </c>
      <c r="E649" s="23" t="s">
        <v>197</v>
      </c>
      <c r="F649" s="10" t="s">
        <v>471</v>
      </c>
    </row>
    <row r="650" customFormat="false" ht="15" hidden="false" customHeight="false" outlineLevel="0" collapsed="false">
      <c r="A650" s="4" t="str">
        <f aca="false">B650&amp;"|"&amp;C650</f>
        <v>tdbR00000447 Val-CAC|54</v>
      </c>
      <c r="B650" s="4" t="s">
        <v>45</v>
      </c>
      <c r="C650" s="4" t="s">
        <v>476</v>
      </c>
      <c r="D650" s="4" t="n">
        <v>56</v>
      </c>
      <c r="E650" s="19" t="s">
        <v>259</v>
      </c>
      <c r="F650" s="20" t="s">
        <v>477</v>
      </c>
    </row>
    <row r="651" customFormat="false" ht="15" hidden="false" customHeight="false" outlineLevel="0" collapsed="false">
      <c r="A651" s="4" t="str">
        <f aca="false">B651&amp;"|"&amp;C651</f>
        <v>tdbR00000447 Val-CAC|55</v>
      </c>
      <c r="B651" s="4" t="s">
        <v>45</v>
      </c>
      <c r="C651" s="4" t="s">
        <v>478</v>
      </c>
      <c r="D651" s="4" t="n">
        <v>57</v>
      </c>
      <c r="E651" s="19" t="s">
        <v>259</v>
      </c>
      <c r="F651" s="20" t="s">
        <v>477</v>
      </c>
    </row>
    <row r="652" customFormat="false" ht="15" hidden="false" customHeight="false" outlineLevel="0" collapsed="false">
      <c r="A652" s="4" t="str">
        <f aca="false">B652&amp;"|"&amp;C652</f>
        <v>tdbR00000447 Val-CAC|56</v>
      </c>
      <c r="B652" s="4" t="s">
        <v>45</v>
      </c>
      <c r="C652" s="4" t="s">
        <v>479</v>
      </c>
      <c r="D652" s="4" t="n">
        <v>58</v>
      </c>
      <c r="E652" s="19" t="s">
        <v>414</v>
      </c>
      <c r="F652" s="20" t="s">
        <v>477</v>
      </c>
    </row>
    <row r="653" customFormat="false" ht="15" hidden="false" customHeight="false" outlineLevel="0" collapsed="false">
      <c r="A653" s="4" t="str">
        <f aca="false">B653&amp;"|"&amp;C653</f>
        <v>tdbR00000447 Val-CAC|57</v>
      </c>
      <c r="B653" s="4" t="s">
        <v>45</v>
      </c>
      <c r="C653" s="4" t="s">
        <v>480</v>
      </c>
      <c r="D653" s="4" t="n">
        <v>59</v>
      </c>
      <c r="E653" s="19" t="s">
        <v>246</v>
      </c>
      <c r="F653" s="20" t="s">
        <v>477</v>
      </c>
    </row>
    <row r="654" customFormat="false" ht="15" hidden="false" customHeight="false" outlineLevel="0" collapsed="false">
      <c r="A654" s="4" t="str">
        <f aca="false">B654&amp;"|"&amp;C654</f>
        <v>tdbR00000447 Val-CAC|58</v>
      </c>
      <c r="B654" s="4" t="s">
        <v>45</v>
      </c>
      <c r="C654" s="4" t="s">
        <v>481</v>
      </c>
      <c r="D654" s="4" t="n">
        <v>60</v>
      </c>
      <c r="E654" s="19" t="s">
        <v>246</v>
      </c>
      <c r="F654" s="20" t="s">
        <v>477</v>
      </c>
    </row>
    <row r="655" customFormat="false" ht="15" hidden="false" customHeight="false" outlineLevel="0" collapsed="false">
      <c r="A655" s="4" t="str">
        <f aca="false">B655&amp;"|"&amp;C655</f>
        <v>tdbR00000447 Val-CAC|59</v>
      </c>
      <c r="B655" s="4" t="s">
        <v>45</v>
      </c>
      <c r="C655" s="4" t="s">
        <v>482</v>
      </c>
      <c r="D655" s="4" t="n">
        <v>61</v>
      </c>
      <c r="E655" s="19" t="s">
        <v>246</v>
      </c>
      <c r="F655" s="20" t="s">
        <v>477</v>
      </c>
    </row>
    <row r="656" customFormat="false" ht="15" hidden="false" customHeight="false" outlineLevel="0" collapsed="false">
      <c r="A656" s="4" t="str">
        <f aca="false">B656&amp;"|"&amp;C656</f>
        <v>tdbR00000447 Val-CAC|60</v>
      </c>
      <c r="B656" s="4" t="s">
        <v>45</v>
      </c>
      <c r="C656" s="4" t="s">
        <v>483</v>
      </c>
      <c r="D656" s="4" t="n">
        <v>62</v>
      </c>
      <c r="E656" s="19" t="s">
        <v>259</v>
      </c>
      <c r="F656" s="20" t="s">
        <v>477</v>
      </c>
    </row>
    <row r="657" customFormat="false" ht="15" hidden="false" customHeight="false" outlineLevel="0" collapsed="false">
      <c r="A657" s="4" t="str">
        <f aca="false">B657&amp;"|"&amp;C657</f>
        <v>tdbR00000447 Val-CAC|61</v>
      </c>
      <c r="B657" s="4" t="s">
        <v>45</v>
      </c>
      <c r="C657" s="4" t="s">
        <v>484</v>
      </c>
      <c r="D657" s="4" t="n">
        <v>63</v>
      </c>
      <c r="E657" s="23" t="s">
        <v>414</v>
      </c>
      <c r="F657" s="10" t="s">
        <v>471</v>
      </c>
    </row>
    <row r="658" customFormat="false" ht="15" hidden="false" customHeight="false" outlineLevel="0" collapsed="false">
      <c r="A658" s="4" t="str">
        <f aca="false">B658&amp;"|"&amp;C658</f>
        <v>tdbR00000447 Val-CAC|62</v>
      </c>
      <c r="B658" s="4" t="s">
        <v>45</v>
      </c>
      <c r="C658" s="4" t="s">
        <v>485</v>
      </c>
      <c r="D658" s="4" t="n">
        <v>64</v>
      </c>
      <c r="E658" s="23" t="s">
        <v>414</v>
      </c>
      <c r="F658" s="10" t="s">
        <v>471</v>
      </c>
    </row>
    <row r="659" customFormat="false" ht="15" hidden="false" customHeight="false" outlineLevel="0" collapsed="false">
      <c r="A659" s="4" t="str">
        <f aca="false">B659&amp;"|"&amp;C659</f>
        <v>tdbR00000447 Val-CAC|63</v>
      </c>
      <c r="B659" s="4" t="s">
        <v>45</v>
      </c>
      <c r="C659" s="4" t="s">
        <v>486</v>
      </c>
      <c r="D659" s="4" t="n">
        <v>65</v>
      </c>
      <c r="E659" s="23" t="s">
        <v>197</v>
      </c>
      <c r="F659" s="10" t="s">
        <v>471</v>
      </c>
    </row>
    <row r="660" customFormat="false" ht="15" hidden="false" customHeight="false" outlineLevel="0" collapsed="false">
      <c r="A660" s="4" t="str">
        <f aca="false">B660&amp;"|"&amp;C660</f>
        <v>tdbR00000447 Val-CAC|64</v>
      </c>
      <c r="B660" s="4" t="s">
        <v>45</v>
      </c>
      <c r="C660" s="4" t="s">
        <v>487</v>
      </c>
      <c r="D660" s="4" t="n">
        <v>66</v>
      </c>
      <c r="E660" s="23" t="s">
        <v>414</v>
      </c>
      <c r="F660" s="10" t="s">
        <v>471</v>
      </c>
    </row>
    <row r="661" customFormat="false" ht="15" hidden="false" customHeight="false" outlineLevel="0" collapsed="false">
      <c r="A661" s="4" t="str">
        <f aca="false">B661&amp;"|"&amp;C661</f>
        <v>tdbR00000447 Val-CAC|65</v>
      </c>
      <c r="B661" s="4" t="s">
        <v>45</v>
      </c>
      <c r="C661" s="4" t="s">
        <v>488</v>
      </c>
      <c r="D661" s="4" t="n">
        <v>67</v>
      </c>
      <c r="E661" s="23" t="s">
        <v>414</v>
      </c>
      <c r="F661" s="10" t="s">
        <v>471</v>
      </c>
    </row>
    <row r="662" customFormat="false" ht="15" hidden="false" customHeight="false" outlineLevel="0" collapsed="false">
      <c r="A662" s="4" t="str">
        <f aca="false">B662&amp;"|"&amp;C662</f>
        <v>tdbR00000447 Val-CAC|66</v>
      </c>
      <c r="B662" s="4" t="s">
        <v>45</v>
      </c>
      <c r="C662" s="4" t="s">
        <v>489</v>
      </c>
      <c r="D662" s="4" t="n">
        <v>68</v>
      </c>
      <c r="E662" s="17" t="s">
        <v>414</v>
      </c>
      <c r="F662" s="18" t="s">
        <v>412</v>
      </c>
    </row>
    <row r="663" customFormat="false" ht="15" hidden="false" customHeight="false" outlineLevel="0" collapsed="false">
      <c r="A663" s="4" t="str">
        <f aca="false">B663&amp;"|"&amp;C663</f>
        <v>tdbR00000447 Val-CAC|67</v>
      </c>
      <c r="B663" s="4" t="s">
        <v>45</v>
      </c>
      <c r="C663" s="4" t="s">
        <v>490</v>
      </c>
      <c r="D663" s="4" t="n">
        <v>69</v>
      </c>
      <c r="E663" s="17" t="s">
        <v>414</v>
      </c>
      <c r="F663" s="18" t="s">
        <v>412</v>
      </c>
    </row>
    <row r="664" customFormat="false" ht="15" hidden="false" customHeight="false" outlineLevel="0" collapsed="false">
      <c r="A664" s="4" t="str">
        <f aca="false">B664&amp;"|"&amp;C664</f>
        <v>tdbR00000447 Val-CAC|68</v>
      </c>
      <c r="B664" s="4" t="s">
        <v>45</v>
      </c>
      <c r="C664" s="4" t="s">
        <v>491</v>
      </c>
      <c r="D664" s="4" t="n">
        <v>70</v>
      </c>
      <c r="E664" s="17" t="s">
        <v>246</v>
      </c>
      <c r="F664" s="18" t="s">
        <v>412</v>
      </c>
    </row>
    <row r="665" customFormat="false" ht="15" hidden="false" customHeight="false" outlineLevel="0" collapsed="false">
      <c r="A665" s="4" t="str">
        <f aca="false">B665&amp;"|"&amp;C665</f>
        <v>tdbR00000447 Val-CAC|69</v>
      </c>
      <c r="B665" s="4" t="s">
        <v>45</v>
      </c>
      <c r="C665" s="4" t="s">
        <v>492</v>
      </c>
      <c r="D665" s="4" t="n">
        <v>71</v>
      </c>
      <c r="E665" s="17" t="s">
        <v>246</v>
      </c>
      <c r="F665" s="18" t="s">
        <v>412</v>
      </c>
    </row>
    <row r="666" customFormat="false" ht="15" hidden="false" customHeight="false" outlineLevel="0" collapsed="false">
      <c r="A666" s="4" t="str">
        <f aca="false">B666&amp;"|"&amp;C666</f>
        <v>tdbR00000447 Val-CAC|70</v>
      </c>
      <c r="B666" s="4" t="s">
        <v>45</v>
      </c>
      <c r="C666" s="4" t="s">
        <v>493</v>
      </c>
      <c r="D666" s="4" t="n">
        <v>72</v>
      </c>
      <c r="E666" s="17" t="s">
        <v>414</v>
      </c>
      <c r="F666" s="18" t="s">
        <v>412</v>
      </c>
    </row>
    <row r="667" customFormat="false" ht="15" hidden="false" customHeight="false" outlineLevel="0" collapsed="false">
      <c r="A667" s="4" t="str">
        <f aca="false">B667&amp;"|"&amp;C667</f>
        <v>tdbR00000447 Val-CAC|71</v>
      </c>
      <c r="B667" s="4" t="s">
        <v>45</v>
      </c>
      <c r="C667" s="4" t="s">
        <v>494</v>
      </c>
      <c r="D667" s="4" t="n">
        <v>73</v>
      </c>
      <c r="E667" s="17" t="s">
        <v>414</v>
      </c>
      <c r="F667" s="18" t="s">
        <v>412</v>
      </c>
    </row>
    <row r="668" customFormat="false" ht="15" hidden="false" customHeight="false" outlineLevel="0" collapsed="false">
      <c r="A668" s="4" t="str">
        <f aca="false">B668&amp;"|"&amp;C668</f>
        <v>tdbR00000447 Val-CAC|72</v>
      </c>
      <c r="B668" s="4" t="s">
        <v>45</v>
      </c>
      <c r="C668" s="4" t="s">
        <v>495</v>
      </c>
      <c r="D668" s="4" t="n">
        <v>74</v>
      </c>
      <c r="E668" s="17" t="s">
        <v>414</v>
      </c>
      <c r="F668" s="18" t="s">
        <v>412</v>
      </c>
    </row>
    <row r="669" customFormat="false" ht="15" hidden="false" customHeight="false" outlineLevel="0" collapsed="false">
      <c r="A669" s="4" t="str">
        <f aca="false">B669&amp;"|"&amp;C669</f>
        <v>tdbR00000448 Val-GAC|1</v>
      </c>
      <c r="B669" s="4" t="s">
        <v>46</v>
      </c>
      <c r="C669" s="4" t="s">
        <v>411</v>
      </c>
      <c r="D669" s="4" t="n">
        <v>1</v>
      </c>
      <c r="E669" s="17" t="s">
        <v>197</v>
      </c>
      <c r="F669" s="18" t="s">
        <v>412</v>
      </c>
    </row>
    <row r="670" customFormat="false" ht="15" hidden="false" customHeight="false" outlineLevel="0" collapsed="false">
      <c r="A670" s="4" t="str">
        <f aca="false">B670&amp;"|"&amp;C670</f>
        <v>tdbR00000448 Val-GAC|2</v>
      </c>
      <c r="B670" s="4" t="s">
        <v>46</v>
      </c>
      <c r="C670" s="4" t="s">
        <v>413</v>
      </c>
      <c r="D670" s="4" t="n">
        <v>2</v>
      </c>
      <c r="E670" s="17" t="s">
        <v>197</v>
      </c>
      <c r="F670" s="18" t="s">
        <v>412</v>
      </c>
    </row>
    <row r="671" customFormat="false" ht="15" hidden="false" customHeight="false" outlineLevel="0" collapsed="false">
      <c r="A671" s="4" t="str">
        <f aca="false">B671&amp;"|"&amp;C671</f>
        <v>tdbR00000448 Val-GAC|3</v>
      </c>
      <c r="B671" s="4" t="s">
        <v>46</v>
      </c>
      <c r="C671" s="4" t="s">
        <v>415</v>
      </c>
      <c r="D671" s="4" t="n">
        <v>3</v>
      </c>
      <c r="E671" s="17" t="s">
        <v>197</v>
      </c>
      <c r="F671" s="18" t="s">
        <v>412</v>
      </c>
    </row>
    <row r="672" customFormat="false" ht="15" hidden="false" customHeight="false" outlineLevel="0" collapsed="false">
      <c r="A672" s="4" t="str">
        <f aca="false">B672&amp;"|"&amp;C672</f>
        <v>tdbR00000448 Val-GAC|4</v>
      </c>
      <c r="B672" s="4" t="s">
        <v>46</v>
      </c>
      <c r="C672" s="4" t="s">
        <v>416</v>
      </c>
      <c r="D672" s="4" t="n">
        <v>4</v>
      </c>
      <c r="E672" s="17" t="s">
        <v>259</v>
      </c>
      <c r="F672" s="18" t="s">
        <v>412</v>
      </c>
    </row>
    <row r="673" customFormat="false" ht="15" hidden="false" customHeight="false" outlineLevel="0" collapsed="false">
      <c r="A673" s="4" t="str">
        <f aca="false">B673&amp;"|"&amp;C673</f>
        <v>tdbR00000448 Val-GAC|5</v>
      </c>
      <c r="B673" s="4" t="s">
        <v>46</v>
      </c>
      <c r="C673" s="4" t="s">
        <v>417</v>
      </c>
      <c r="D673" s="4" t="n">
        <v>5</v>
      </c>
      <c r="E673" s="17" t="s">
        <v>259</v>
      </c>
      <c r="F673" s="18" t="s">
        <v>412</v>
      </c>
    </row>
    <row r="674" customFormat="false" ht="15" hidden="false" customHeight="false" outlineLevel="0" collapsed="false">
      <c r="A674" s="4" t="str">
        <f aca="false">B674&amp;"|"&amp;C674</f>
        <v>tdbR00000448 Val-GAC|6</v>
      </c>
      <c r="B674" s="4" t="s">
        <v>46</v>
      </c>
      <c r="C674" s="4" t="s">
        <v>418</v>
      </c>
      <c r="D674" s="4" t="n">
        <v>6</v>
      </c>
      <c r="E674" s="17" t="s">
        <v>197</v>
      </c>
      <c r="F674" s="18" t="s">
        <v>412</v>
      </c>
    </row>
    <row r="675" customFormat="false" ht="15" hidden="false" customHeight="false" outlineLevel="0" collapsed="false">
      <c r="A675" s="4" t="str">
        <f aca="false">B675&amp;"|"&amp;C675</f>
        <v>tdbR00000448 Val-GAC|7</v>
      </c>
      <c r="B675" s="4" t="s">
        <v>46</v>
      </c>
      <c r="C675" s="4" t="s">
        <v>419</v>
      </c>
      <c r="D675" s="4" t="n">
        <v>7</v>
      </c>
      <c r="E675" s="17" t="s">
        <v>197</v>
      </c>
      <c r="F675" s="18" t="s">
        <v>412</v>
      </c>
    </row>
    <row r="676" customFormat="false" ht="15" hidden="false" customHeight="false" outlineLevel="0" collapsed="false">
      <c r="A676" s="4" t="str">
        <f aca="false">B676&amp;"|"&amp;C676</f>
        <v>tdbR00000448 Val-GAC|8</v>
      </c>
      <c r="B676" s="4" t="s">
        <v>46</v>
      </c>
      <c r="C676" s="4" t="s">
        <v>420</v>
      </c>
      <c r="D676" s="4" t="n">
        <v>8</v>
      </c>
      <c r="E676" s="3" t="s">
        <v>259</v>
      </c>
      <c r="F676" s="4" t="s">
        <v>421</v>
      </c>
    </row>
    <row r="677" customFormat="false" ht="15" hidden="false" customHeight="false" outlineLevel="0" collapsed="false">
      <c r="A677" s="4" t="str">
        <f aca="false">B677&amp;"|"&amp;C677</f>
        <v>tdbR00000448 Val-GAC|9</v>
      </c>
      <c r="B677" s="4" t="s">
        <v>46</v>
      </c>
      <c r="C677" s="4" t="s">
        <v>422</v>
      </c>
      <c r="D677" s="4" t="n">
        <v>9</v>
      </c>
      <c r="E677" s="3" t="s">
        <v>197</v>
      </c>
      <c r="F677" s="4" t="s">
        <v>423</v>
      </c>
    </row>
    <row r="678" customFormat="false" ht="15" hidden="false" customHeight="false" outlineLevel="0" collapsed="false">
      <c r="A678" s="4" t="str">
        <f aca="false">B678&amp;"|"&amp;C678</f>
        <v>tdbR00000448 Val-GAC|10</v>
      </c>
      <c r="B678" s="4" t="s">
        <v>46</v>
      </c>
      <c r="C678" s="4" t="s">
        <v>424</v>
      </c>
      <c r="D678" s="4" t="n">
        <v>10</v>
      </c>
      <c r="E678" s="8" t="s">
        <v>197</v>
      </c>
      <c r="F678" s="7" t="s">
        <v>425</v>
      </c>
    </row>
    <row r="679" customFormat="false" ht="15" hidden="false" customHeight="false" outlineLevel="0" collapsed="false">
      <c r="A679" s="4" t="str">
        <f aca="false">B679&amp;"|"&amp;C679</f>
        <v>tdbR00000448 Val-GAC|11</v>
      </c>
      <c r="B679" s="4" t="s">
        <v>46</v>
      </c>
      <c r="C679" s="4" t="s">
        <v>426</v>
      </c>
      <c r="D679" s="4" t="n">
        <v>11</v>
      </c>
      <c r="E679" s="8" t="s">
        <v>259</v>
      </c>
      <c r="F679" s="7" t="s">
        <v>425</v>
      </c>
    </row>
    <row r="680" customFormat="false" ht="15" hidden="false" customHeight="false" outlineLevel="0" collapsed="false">
      <c r="A680" s="4" t="str">
        <f aca="false">B680&amp;"|"&amp;C680</f>
        <v>tdbR00000448 Val-GAC|12</v>
      </c>
      <c r="B680" s="4" t="s">
        <v>46</v>
      </c>
      <c r="C680" s="4" t="s">
        <v>427</v>
      </c>
      <c r="D680" s="4" t="n">
        <v>12</v>
      </c>
      <c r="E680" s="8" t="s">
        <v>414</v>
      </c>
      <c r="F680" s="7" t="s">
        <v>425</v>
      </c>
    </row>
    <row r="681" customFormat="false" ht="15" hidden="false" customHeight="false" outlineLevel="0" collapsed="false">
      <c r="A681" s="4" t="str">
        <f aca="false">B681&amp;"|"&amp;C681</f>
        <v>tdbR00000448 Val-GAC|13</v>
      </c>
      <c r="B681" s="4" t="s">
        <v>46</v>
      </c>
      <c r="C681" s="4" t="s">
        <v>428</v>
      </c>
      <c r="D681" s="4" t="n">
        <v>13</v>
      </c>
      <c r="E681" s="8" t="s">
        <v>259</v>
      </c>
      <c r="F681" s="7" t="s">
        <v>425</v>
      </c>
    </row>
    <row r="682" customFormat="false" ht="15" hidden="false" customHeight="false" outlineLevel="0" collapsed="false">
      <c r="A682" s="4" t="str">
        <f aca="false">B682&amp;"|"&amp;C682</f>
        <v>tdbR00000448 Val-GAC|14</v>
      </c>
      <c r="B682" s="4" t="s">
        <v>46</v>
      </c>
      <c r="C682" s="4" t="s">
        <v>429</v>
      </c>
      <c r="D682" s="4" t="n">
        <v>14</v>
      </c>
      <c r="E682" s="19" t="s">
        <v>246</v>
      </c>
      <c r="F682" s="20" t="s">
        <v>430</v>
      </c>
    </row>
    <row r="683" customFormat="false" ht="15" hidden="false" customHeight="false" outlineLevel="0" collapsed="false">
      <c r="A683" s="4" t="str">
        <f aca="false">B683&amp;"|"&amp;C683</f>
        <v>tdbR00000448 Val-GAC|15</v>
      </c>
      <c r="B683" s="4" t="s">
        <v>46</v>
      </c>
      <c r="C683" s="4" t="s">
        <v>431</v>
      </c>
      <c r="D683" s="4" t="n">
        <v>15</v>
      </c>
      <c r="E683" s="19" t="s">
        <v>197</v>
      </c>
      <c r="F683" s="20" t="s">
        <v>430</v>
      </c>
    </row>
    <row r="684" customFormat="false" ht="15" hidden="false" customHeight="false" outlineLevel="0" collapsed="false">
      <c r="A684" s="4" t="str">
        <f aca="false">B684&amp;"|"&amp;C684</f>
        <v>tdbR00000448 Val-GAC|16</v>
      </c>
      <c r="B684" s="4" t="s">
        <v>46</v>
      </c>
      <c r="C684" s="4" t="s">
        <v>432</v>
      </c>
      <c r="D684" s="4" t="n">
        <v>16</v>
      </c>
      <c r="E684" s="19" t="s">
        <v>259</v>
      </c>
      <c r="F684" s="20" t="s">
        <v>430</v>
      </c>
    </row>
    <row r="685" customFormat="false" ht="15" hidden="false" customHeight="false" outlineLevel="0" collapsed="false">
      <c r="A685" s="4" t="str">
        <f aca="false">B685&amp;"|"&amp;C685</f>
        <v>tdbR00000448 Val-GAC|17</v>
      </c>
      <c r="B685" s="4" t="s">
        <v>46</v>
      </c>
      <c r="C685" s="4" t="s">
        <v>433</v>
      </c>
      <c r="D685" s="4" t="n">
        <v>17</v>
      </c>
      <c r="E685" s="19" t="s">
        <v>414</v>
      </c>
      <c r="F685" s="20" t="s">
        <v>430</v>
      </c>
    </row>
    <row r="686" customFormat="false" ht="15" hidden="false" customHeight="false" outlineLevel="0" collapsed="false">
      <c r="A686" s="4" t="str">
        <f aca="false">B686&amp;"|"&amp;C686</f>
        <v>tdbR00000448 Val-GAC|17a</v>
      </c>
      <c r="B686" s="4" t="s">
        <v>46</v>
      </c>
      <c r="C686" s="4" t="s">
        <v>496</v>
      </c>
      <c r="D686" s="4" t="n">
        <v>18</v>
      </c>
      <c r="E686" s="19" t="s">
        <v>246</v>
      </c>
      <c r="F686" s="20" t="s">
        <v>430</v>
      </c>
    </row>
    <row r="687" customFormat="false" ht="15" hidden="false" customHeight="false" outlineLevel="0" collapsed="false">
      <c r="A687" s="4" t="str">
        <f aca="false">B687&amp;"|"&amp;C687</f>
        <v>tdbR00000448 Val-GAC|18</v>
      </c>
      <c r="B687" s="4" t="s">
        <v>46</v>
      </c>
      <c r="C687" s="4" t="s">
        <v>434</v>
      </c>
      <c r="D687" s="4" t="n">
        <v>19</v>
      </c>
      <c r="E687" s="19" t="s">
        <v>197</v>
      </c>
      <c r="F687" s="20" t="s">
        <v>430</v>
      </c>
    </row>
    <row r="688" customFormat="false" ht="15" hidden="false" customHeight="false" outlineLevel="0" collapsed="false">
      <c r="A688" s="4" t="str">
        <f aca="false">B688&amp;"|"&amp;C688</f>
        <v>tdbR00000448 Val-GAC|19</v>
      </c>
      <c r="B688" s="4" t="s">
        <v>46</v>
      </c>
      <c r="C688" s="4" t="s">
        <v>435</v>
      </c>
      <c r="D688" s="4" t="n">
        <v>20</v>
      </c>
      <c r="E688" s="19" t="s">
        <v>197</v>
      </c>
      <c r="F688" s="20" t="s">
        <v>430</v>
      </c>
    </row>
    <row r="689" customFormat="false" ht="15" hidden="false" customHeight="false" outlineLevel="0" collapsed="false">
      <c r="A689" s="4" t="str">
        <f aca="false">B689&amp;"|"&amp;C689</f>
        <v>tdbR00000448 Val-GAC|20</v>
      </c>
      <c r="B689" s="4" t="s">
        <v>46</v>
      </c>
      <c r="C689" s="4" t="s">
        <v>436</v>
      </c>
      <c r="D689" s="4" t="n">
        <v>21</v>
      </c>
      <c r="E689" s="19" t="s">
        <v>414</v>
      </c>
      <c r="F689" s="20" t="s">
        <v>430</v>
      </c>
    </row>
    <row r="690" customFormat="false" ht="15" hidden="false" customHeight="false" outlineLevel="0" collapsed="false">
      <c r="A690" s="4" t="str">
        <f aca="false">B690&amp;"|"&amp;C690</f>
        <v>tdbR00000448 Val-GAC|20a</v>
      </c>
      <c r="B690" s="4" t="s">
        <v>46</v>
      </c>
      <c r="C690" s="4" t="s">
        <v>437</v>
      </c>
      <c r="D690" s="4" t="n">
        <v>22</v>
      </c>
      <c r="E690" s="19" t="s">
        <v>259</v>
      </c>
      <c r="F690" s="20" t="s">
        <v>430</v>
      </c>
    </row>
    <row r="691" customFormat="false" ht="15" hidden="false" customHeight="false" outlineLevel="0" collapsed="false">
      <c r="A691" s="4" t="str">
        <f aca="false">B691&amp;"|"&amp;C691</f>
        <v>tdbR00000448 Val-GAC|21</v>
      </c>
      <c r="B691" s="4" t="s">
        <v>46</v>
      </c>
      <c r="C691" s="4" t="s">
        <v>438</v>
      </c>
      <c r="D691" s="4" t="n">
        <v>23</v>
      </c>
      <c r="E691" s="19" t="s">
        <v>246</v>
      </c>
      <c r="F691" s="20" t="s">
        <v>430</v>
      </c>
    </row>
    <row r="692" customFormat="false" ht="15" hidden="false" customHeight="false" outlineLevel="0" collapsed="false">
      <c r="A692" s="4" t="str">
        <f aca="false">B692&amp;"|"&amp;C692</f>
        <v>tdbR00000448 Val-GAC|22</v>
      </c>
      <c r="B692" s="4" t="s">
        <v>46</v>
      </c>
      <c r="C692" s="4" t="s">
        <v>439</v>
      </c>
      <c r="D692" s="4" t="n">
        <v>24</v>
      </c>
      <c r="E692" s="8" t="s">
        <v>259</v>
      </c>
      <c r="F692" s="7" t="s">
        <v>425</v>
      </c>
    </row>
    <row r="693" customFormat="false" ht="15" hidden="false" customHeight="false" outlineLevel="0" collapsed="false">
      <c r="A693" s="4" t="str">
        <f aca="false">B693&amp;"|"&amp;C693</f>
        <v>tdbR00000448 Val-GAC|23</v>
      </c>
      <c r="B693" s="4" t="s">
        <v>46</v>
      </c>
      <c r="C693" s="4" t="s">
        <v>440</v>
      </c>
      <c r="D693" s="4" t="n">
        <v>25</v>
      </c>
      <c r="E693" s="8" t="s">
        <v>197</v>
      </c>
      <c r="F693" s="7" t="s">
        <v>425</v>
      </c>
    </row>
    <row r="694" customFormat="false" ht="15" hidden="false" customHeight="false" outlineLevel="0" collapsed="false">
      <c r="A694" s="4" t="str">
        <f aca="false">B694&amp;"|"&amp;C694</f>
        <v>tdbR00000448 Val-GAC|24</v>
      </c>
      <c r="B694" s="4" t="s">
        <v>46</v>
      </c>
      <c r="C694" s="4" t="s">
        <v>441</v>
      </c>
      <c r="D694" s="4" t="n">
        <v>26</v>
      </c>
      <c r="E694" s="8" t="s">
        <v>246</v>
      </c>
      <c r="F694" s="7" t="s">
        <v>425</v>
      </c>
    </row>
    <row r="695" customFormat="false" ht="15" hidden="false" customHeight="false" outlineLevel="0" collapsed="false">
      <c r="A695" s="4" t="str">
        <f aca="false">B695&amp;"|"&amp;C695</f>
        <v>tdbR00000448 Val-GAC|25</v>
      </c>
      <c r="B695" s="4" t="s">
        <v>46</v>
      </c>
      <c r="C695" s="4" t="s">
        <v>442</v>
      </c>
      <c r="D695" s="4" t="n">
        <v>27</v>
      </c>
      <c r="E695" s="8" t="s">
        <v>414</v>
      </c>
      <c r="F695" s="7" t="s">
        <v>425</v>
      </c>
    </row>
    <row r="696" customFormat="false" ht="15" hidden="false" customHeight="false" outlineLevel="0" collapsed="false">
      <c r="A696" s="4" t="str">
        <f aca="false">B696&amp;"|"&amp;C696</f>
        <v>tdbR00000448 Val-GAC|26</v>
      </c>
      <c r="B696" s="4" t="s">
        <v>46</v>
      </c>
      <c r="C696" s="4" t="s">
        <v>443</v>
      </c>
      <c r="D696" s="4" t="n">
        <v>28</v>
      </c>
      <c r="E696" s="3" t="s">
        <v>246</v>
      </c>
      <c r="F696" s="4" t="s">
        <v>444</v>
      </c>
    </row>
    <row r="697" customFormat="false" ht="15" hidden="false" customHeight="false" outlineLevel="0" collapsed="false">
      <c r="A697" s="4" t="str">
        <f aca="false">B697&amp;"|"&amp;C697</f>
        <v>tdbR00000448 Val-GAC|27</v>
      </c>
      <c r="B697" s="4" t="s">
        <v>46</v>
      </c>
      <c r="C697" s="4" t="s">
        <v>445</v>
      </c>
      <c r="D697" s="4" t="n">
        <v>29</v>
      </c>
      <c r="E697" s="21" t="s">
        <v>414</v>
      </c>
      <c r="F697" s="22" t="s">
        <v>446</v>
      </c>
    </row>
    <row r="698" customFormat="false" ht="15" hidden="false" customHeight="false" outlineLevel="0" collapsed="false">
      <c r="A698" s="4" t="str">
        <f aca="false">B698&amp;"|"&amp;C698</f>
        <v>tdbR00000448 Val-GAC|28</v>
      </c>
      <c r="B698" s="4" t="s">
        <v>46</v>
      </c>
      <c r="C698" s="4" t="s">
        <v>447</v>
      </c>
      <c r="D698" s="4" t="n">
        <v>30</v>
      </c>
      <c r="E698" s="21" t="s">
        <v>414</v>
      </c>
      <c r="F698" s="22" t="s">
        <v>446</v>
      </c>
    </row>
    <row r="699" customFormat="false" ht="15" hidden="false" customHeight="false" outlineLevel="0" collapsed="false">
      <c r="A699" s="4" t="str">
        <f aca="false">B699&amp;"|"&amp;C699</f>
        <v>tdbR00000448 Val-GAC|29</v>
      </c>
      <c r="B699" s="4" t="s">
        <v>46</v>
      </c>
      <c r="C699" s="4" t="s">
        <v>448</v>
      </c>
      <c r="D699" s="4" t="n">
        <v>31</v>
      </c>
      <c r="E699" s="21" t="s">
        <v>259</v>
      </c>
      <c r="F699" s="22" t="s">
        <v>446</v>
      </c>
    </row>
    <row r="700" customFormat="false" ht="15" hidden="false" customHeight="false" outlineLevel="0" collapsed="false">
      <c r="A700" s="4" t="str">
        <f aca="false">B700&amp;"|"&amp;C700</f>
        <v>tdbR00000448 Val-GAC|30</v>
      </c>
      <c r="B700" s="4" t="s">
        <v>46</v>
      </c>
      <c r="C700" s="4" t="s">
        <v>449</v>
      </c>
      <c r="D700" s="4" t="n">
        <v>32</v>
      </c>
      <c r="E700" s="21" t="s">
        <v>414</v>
      </c>
      <c r="F700" s="22" t="s">
        <v>446</v>
      </c>
    </row>
    <row r="701" customFormat="false" ht="15" hidden="false" customHeight="false" outlineLevel="0" collapsed="false">
      <c r="A701" s="4" t="str">
        <f aca="false">B701&amp;"|"&amp;C701</f>
        <v>tdbR00000448 Val-GAC|31</v>
      </c>
      <c r="B701" s="4" t="s">
        <v>46</v>
      </c>
      <c r="C701" s="4" t="s">
        <v>450</v>
      </c>
      <c r="D701" s="4" t="n">
        <v>33</v>
      </c>
      <c r="E701" s="21" t="s">
        <v>414</v>
      </c>
      <c r="F701" s="22" t="s">
        <v>446</v>
      </c>
    </row>
    <row r="702" customFormat="false" ht="15" hidden="false" customHeight="false" outlineLevel="0" collapsed="false">
      <c r="A702" s="4" t="str">
        <f aca="false">B702&amp;"|"&amp;C702</f>
        <v>tdbR00000448 Val-GAC|32</v>
      </c>
      <c r="B702" s="4" t="s">
        <v>46</v>
      </c>
      <c r="C702" s="4" t="s">
        <v>451</v>
      </c>
      <c r="D702" s="4" t="n">
        <v>34</v>
      </c>
      <c r="E702" s="19" t="s">
        <v>259</v>
      </c>
      <c r="F702" s="20" t="s">
        <v>452</v>
      </c>
    </row>
    <row r="703" customFormat="false" ht="15" hidden="false" customHeight="false" outlineLevel="0" collapsed="false">
      <c r="A703" s="4" t="str">
        <f aca="false">B703&amp;"|"&amp;C703</f>
        <v>tdbR00000448 Val-GAC|33</v>
      </c>
      <c r="B703" s="4" t="s">
        <v>46</v>
      </c>
      <c r="C703" s="4" t="s">
        <v>453</v>
      </c>
      <c r="D703" s="4" t="n">
        <v>35</v>
      </c>
      <c r="E703" s="19" t="s">
        <v>259</v>
      </c>
      <c r="F703" s="20" t="s">
        <v>452</v>
      </c>
    </row>
    <row r="704" customFormat="false" ht="15" hidden="false" customHeight="false" outlineLevel="0" collapsed="false">
      <c r="A704" s="4" t="str">
        <f aca="false">B704&amp;"|"&amp;C704</f>
        <v>tdbR00000448 Val-GAC|34</v>
      </c>
      <c r="B704" s="4" t="s">
        <v>46</v>
      </c>
      <c r="C704" s="4" t="s">
        <v>454</v>
      </c>
      <c r="D704" s="4" t="n">
        <v>36</v>
      </c>
      <c r="E704" s="19" t="s">
        <v>197</v>
      </c>
      <c r="F704" s="20" t="s">
        <v>452</v>
      </c>
    </row>
    <row r="705" customFormat="false" ht="15" hidden="false" customHeight="false" outlineLevel="0" collapsed="false">
      <c r="A705" s="4" t="str">
        <f aca="false">B705&amp;"|"&amp;C705</f>
        <v>tdbR00000448 Val-GAC|35</v>
      </c>
      <c r="B705" s="4" t="s">
        <v>46</v>
      </c>
      <c r="C705" s="4" t="s">
        <v>455</v>
      </c>
      <c r="D705" s="4" t="n">
        <v>37</v>
      </c>
      <c r="E705" s="19" t="s">
        <v>246</v>
      </c>
      <c r="F705" s="20" t="s">
        <v>452</v>
      </c>
    </row>
    <row r="706" customFormat="false" ht="15" hidden="false" customHeight="false" outlineLevel="0" collapsed="false">
      <c r="A706" s="4" t="str">
        <f aca="false">B706&amp;"|"&amp;C706</f>
        <v>tdbR00000448 Val-GAC|36</v>
      </c>
      <c r="B706" s="4" t="s">
        <v>46</v>
      </c>
      <c r="C706" s="4" t="s">
        <v>456</v>
      </c>
      <c r="D706" s="4" t="n">
        <v>38</v>
      </c>
      <c r="E706" s="19" t="s">
        <v>414</v>
      </c>
      <c r="F706" s="20" t="s">
        <v>452</v>
      </c>
    </row>
    <row r="707" customFormat="false" ht="15" hidden="false" customHeight="false" outlineLevel="0" collapsed="false">
      <c r="A707" s="4" t="str">
        <f aca="false">B707&amp;"|"&amp;C707</f>
        <v>tdbR00000448 Val-GAC|37</v>
      </c>
      <c r="B707" s="4" t="s">
        <v>46</v>
      </c>
      <c r="C707" s="4" t="s">
        <v>457</v>
      </c>
      <c r="D707" s="4" t="n">
        <v>39</v>
      </c>
      <c r="E707" s="19" t="s">
        <v>246</v>
      </c>
      <c r="F707" s="20" t="s">
        <v>452</v>
      </c>
    </row>
    <row r="708" customFormat="false" ht="15" hidden="false" customHeight="false" outlineLevel="0" collapsed="false">
      <c r="A708" s="4" t="str">
        <f aca="false">B708&amp;"|"&amp;C708</f>
        <v>tdbR00000448 Val-GAC|38</v>
      </c>
      <c r="B708" s="4" t="s">
        <v>46</v>
      </c>
      <c r="C708" s="4" t="s">
        <v>458</v>
      </c>
      <c r="D708" s="4" t="n">
        <v>40</v>
      </c>
      <c r="E708" s="19" t="s">
        <v>259</v>
      </c>
      <c r="F708" s="20" t="s">
        <v>452</v>
      </c>
    </row>
    <row r="709" customFormat="false" ht="15" hidden="false" customHeight="false" outlineLevel="0" collapsed="false">
      <c r="A709" s="4" t="str">
        <f aca="false">B709&amp;"|"&amp;C709</f>
        <v>tdbR00000448 Val-GAC|39</v>
      </c>
      <c r="B709" s="4" t="s">
        <v>46</v>
      </c>
      <c r="C709" s="4" t="s">
        <v>459</v>
      </c>
      <c r="D709" s="4" t="n">
        <v>41</v>
      </c>
      <c r="E709" s="21" t="s">
        <v>197</v>
      </c>
      <c r="F709" s="22" t="s">
        <v>446</v>
      </c>
    </row>
    <row r="710" customFormat="false" ht="15" hidden="false" customHeight="false" outlineLevel="0" collapsed="false">
      <c r="A710" s="4" t="str">
        <f aca="false">B710&amp;"|"&amp;C710</f>
        <v>tdbR00000448 Val-GAC|40</v>
      </c>
      <c r="B710" s="4" t="s">
        <v>46</v>
      </c>
      <c r="C710" s="4" t="s">
        <v>460</v>
      </c>
      <c r="D710" s="4" t="n">
        <v>42</v>
      </c>
      <c r="E710" s="21" t="s">
        <v>197</v>
      </c>
      <c r="F710" s="22" t="s">
        <v>446</v>
      </c>
    </row>
    <row r="711" customFormat="false" ht="15" hidden="false" customHeight="false" outlineLevel="0" collapsed="false">
      <c r="A711" s="4" t="str">
        <f aca="false">B711&amp;"|"&amp;C711</f>
        <v>tdbR00000448 Val-GAC|41</v>
      </c>
      <c r="B711" s="4" t="s">
        <v>46</v>
      </c>
      <c r="C711" s="4" t="s">
        <v>461</v>
      </c>
      <c r="D711" s="4" t="n">
        <v>43</v>
      </c>
      <c r="E711" s="21" t="s">
        <v>246</v>
      </c>
      <c r="F711" s="22" t="s">
        <v>446</v>
      </c>
    </row>
    <row r="712" customFormat="false" ht="15" hidden="false" customHeight="false" outlineLevel="0" collapsed="false">
      <c r="A712" s="4" t="str">
        <f aca="false">B712&amp;"|"&amp;C712</f>
        <v>tdbR00000448 Val-GAC|42</v>
      </c>
      <c r="B712" s="4" t="s">
        <v>46</v>
      </c>
      <c r="C712" s="4" t="s">
        <v>462</v>
      </c>
      <c r="D712" s="4" t="n">
        <v>44</v>
      </c>
      <c r="E712" s="21" t="s">
        <v>197</v>
      </c>
      <c r="F712" s="22" t="s">
        <v>446</v>
      </c>
    </row>
    <row r="713" customFormat="false" ht="15" hidden="false" customHeight="false" outlineLevel="0" collapsed="false">
      <c r="A713" s="4" t="str">
        <f aca="false">B713&amp;"|"&amp;C713</f>
        <v>tdbR00000448 Val-GAC|43</v>
      </c>
      <c r="B713" s="4" t="s">
        <v>46</v>
      </c>
      <c r="C713" s="4" t="s">
        <v>463</v>
      </c>
      <c r="D713" s="4" t="n">
        <v>45</v>
      </c>
      <c r="E713" s="21" t="s">
        <v>197</v>
      </c>
      <c r="F713" s="22" t="s">
        <v>446</v>
      </c>
    </row>
    <row r="714" customFormat="false" ht="15" hidden="false" customHeight="false" outlineLevel="0" collapsed="false">
      <c r="A714" s="4" t="str">
        <f aca="false">B714&amp;"|"&amp;C714</f>
        <v>tdbR00000448 Val-GAC|44</v>
      </c>
      <c r="B714" s="4" t="s">
        <v>46</v>
      </c>
      <c r="C714" s="4" t="s">
        <v>464</v>
      </c>
      <c r="D714" s="4" t="n">
        <v>46</v>
      </c>
      <c r="E714" s="19" t="s">
        <v>246</v>
      </c>
      <c r="F714" s="20" t="s">
        <v>465</v>
      </c>
    </row>
    <row r="715" customFormat="false" ht="15" hidden="false" customHeight="false" outlineLevel="0" collapsed="false">
      <c r="A715" s="4" t="str">
        <f aca="false">B715&amp;"|"&amp;C715</f>
        <v>tdbR00000448 Val-GAC|45</v>
      </c>
      <c r="B715" s="4" t="s">
        <v>46</v>
      </c>
      <c r="C715" s="4" t="s">
        <v>466</v>
      </c>
      <c r="D715" s="4" t="n">
        <v>47</v>
      </c>
      <c r="E715" s="19" t="s">
        <v>197</v>
      </c>
      <c r="F715" s="20" t="s">
        <v>465</v>
      </c>
    </row>
    <row r="716" customFormat="false" ht="15" hidden="false" customHeight="false" outlineLevel="0" collapsed="false">
      <c r="A716" s="4" t="str">
        <f aca="false">B716&amp;"|"&amp;C716</f>
        <v>tdbR00000448 Val-GAC|46</v>
      </c>
      <c r="B716" s="4" t="s">
        <v>46</v>
      </c>
      <c r="C716" s="4" t="s">
        <v>467</v>
      </c>
      <c r="D716" s="4" t="n">
        <v>48</v>
      </c>
      <c r="E716" s="19" t="s">
        <v>197</v>
      </c>
      <c r="F716" s="20" t="s">
        <v>465</v>
      </c>
    </row>
    <row r="717" customFormat="false" ht="15" hidden="false" customHeight="false" outlineLevel="0" collapsed="false">
      <c r="A717" s="4" t="str">
        <f aca="false">B717&amp;"|"&amp;C717</f>
        <v>tdbR00000448 Val-GAC|47</v>
      </c>
      <c r="B717" s="4" t="s">
        <v>46</v>
      </c>
      <c r="C717" s="4" t="s">
        <v>468</v>
      </c>
      <c r="D717" s="4" t="n">
        <v>49</v>
      </c>
      <c r="E717" s="19" t="s">
        <v>259</v>
      </c>
      <c r="F717" s="20" t="s">
        <v>465</v>
      </c>
    </row>
    <row r="718" customFormat="false" ht="15" hidden="false" customHeight="false" outlineLevel="0" collapsed="false">
      <c r="A718" s="4" t="str">
        <f aca="false">B718&amp;"|"&amp;C718</f>
        <v>tdbR00000448 Val-GAC|48</v>
      </c>
      <c r="B718" s="4" t="s">
        <v>46</v>
      </c>
      <c r="C718" s="4" t="s">
        <v>469</v>
      </c>
      <c r="D718" s="4" t="n">
        <v>50</v>
      </c>
      <c r="E718" s="19" t="s">
        <v>414</v>
      </c>
      <c r="F718" s="20" t="s">
        <v>465</v>
      </c>
    </row>
    <row r="719" customFormat="false" ht="15" hidden="false" customHeight="false" outlineLevel="0" collapsed="false">
      <c r="A719" s="4" t="str">
        <f aca="false">B719&amp;"|"&amp;C719</f>
        <v>tdbR00000448 Val-GAC|49</v>
      </c>
      <c r="B719" s="4" t="s">
        <v>46</v>
      </c>
      <c r="C719" s="4" t="s">
        <v>470</v>
      </c>
      <c r="D719" s="4" t="n">
        <v>51</v>
      </c>
      <c r="E719" s="23" t="s">
        <v>197</v>
      </c>
      <c r="F719" s="10" t="s">
        <v>471</v>
      </c>
    </row>
    <row r="720" customFormat="false" ht="15" hidden="false" customHeight="false" outlineLevel="0" collapsed="false">
      <c r="A720" s="4" t="str">
        <f aca="false">B720&amp;"|"&amp;C720</f>
        <v>tdbR00000448 Val-GAC|50</v>
      </c>
      <c r="B720" s="4" t="s">
        <v>46</v>
      </c>
      <c r="C720" s="4" t="s">
        <v>472</v>
      </c>
      <c r="D720" s="4" t="n">
        <v>52</v>
      </c>
      <c r="E720" s="23" t="s">
        <v>197</v>
      </c>
      <c r="F720" s="10" t="s">
        <v>471</v>
      </c>
    </row>
    <row r="721" customFormat="false" ht="15" hidden="false" customHeight="false" outlineLevel="0" collapsed="false">
      <c r="A721" s="4" t="str">
        <f aca="false">B721&amp;"|"&amp;C721</f>
        <v>tdbR00000448 Val-GAC|51</v>
      </c>
      <c r="B721" s="4" t="s">
        <v>46</v>
      </c>
      <c r="C721" s="4" t="s">
        <v>473</v>
      </c>
      <c r="D721" s="4" t="n">
        <v>53</v>
      </c>
      <c r="E721" s="23" t="s">
        <v>414</v>
      </c>
      <c r="F721" s="10" t="s">
        <v>471</v>
      </c>
    </row>
    <row r="722" customFormat="false" ht="15" hidden="false" customHeight="false" outlineLevel="0" collapsed="false">
      <c r="A722" s="4" t="str">
        <f aca="false">B722&amp;"|"&amp;C722</f>
        <v>tdbR00000448 Val-GAC|52</v>
      </c>
      <c r="B722" s="4" t="s">
        <v>46</v>
      </c>
      <c r="C722" s="4" t="s">
        <v>474</v>
      </c>
      <c r="D722" s="4" t="n">
        <v>54</v>
      </c>
      <c r="E722" s="23" t="s">
        <v>197</v>
      </c>
      <c r="F722" s="10" t="s">
        <v>471</v>
      </c>
    </row>
    <row r="723" customFormat="false" ht="15" hidden="false" customHeight="false" outlineLevel="0" collapsed="false">
      <c r="A723" s="4" t="str">
        <f aca="false">B723&amp;"|"&amp;C723</f>
        <v>tdbR00000448 Val-GAC|53</v>
      </c>
      <c r="B723" s="4" t="s">
        <v>46</v>
      </c>
      <c r="C723" s="4" t="s">
        <v>475</v>
      </c>
      <c r="D723" s="4" t="n">
        <v>55</v>
      </c>
      <c r="E723" s="23" t="s">
        <v>197</v>
      </c>
      <c r="F723" s="10" t="s">
        <v>471</v>
      </c>
    </row>
    <row r="724" customFormat="false" ht="15" hidden="false" customHeight="false" outlineLevel="0" collapsed="false">
      <c r="A724" s="4" t="str">
        <f aca="false">B724&amp;"|"&amp;C724</f>
        <v>tdbR00000448 Val-GAC|54</v>
      </c>
      <c r="B724" s="4" t="s">
        <v>46</v>
      </c>
      <c r="C724" s="4" t="s">
        <v>476</v>
      </c>
      <c r="D724" s="4" t="n">
        <v>56</v>
      </c>
      <c r="E724" s="19" t="s">
        <v>259</v>
      </c>
      <c r="F724" s="20" t="s">
        <v>477</v>
      </c>
    </row>
    <row r="725" customFormat="false" ht="15" hidden="false" customHeight="false" outlineLevel="0" collapsed="false">
      <c r="A725" s="4" t="str">
        <f aca="false">B725&amp;"|"&amp;C725</f>
        <v>tdbR00000448 Val-GAC|55</v>
      </c>
      <c r="B725" s="4" t="s">
        <v>46</v>
      </c>
      <c r="C725" s="4" t="s">
        <v>478</v>
      </c>
      <c r="D725" s="4" t="n">
        <v>57</v>
      </c>
      <c r="E725" s="19" t="s">
        <v>259</v>
      </c>
      <c r="F725" s="20" t="s">
        <v>477</v>
      </c>
    </row>
    <row r="726" customFormat="false" ht="15" hidden="false" customHeight="false" outlineLevel="0" collapsed="false">
      <c r="A726" s="4" t="str">
        <f aca="false">B726&amp;"|"&amp;C726</f>
        <v>tdbR00000448 Val-GAC|56</v>
      </c>
      <c r="B726" s="4" t="s">
        <v>46</v>
      </c>
      <c r="C726" s="4" t="s">
        <v>479</v>
      </c>
      <c r="D726" s="4" t="n">
        <v>58</v>
      </c>
      <c r="E726" s="19" t="s">
        <v>414</v>
      </c>
      <c r="F726" s="20" t="s">
        <v>477</v>
      </c>
    </row>
    <row r="727" customFormat="false" ht="15" hidden="false" customHeight="false" outlineLevel="0" collapsed="false">
      <c r="A727" s="4" t="str">
        <f aca="false">B727&amp;"|"&amp;C727</f>
        <v>tdbR00000448 Val-GAC|57</v>
      </c>
      <c r="B727" s="4" t="s">
        <v>46</v>
      </c>
      <c r="C727" s="4" t="s">
        <v>480</v>
      </c>
      <c r="D727" s="4" t="n">
        <v>59</v>
      </c>
      <c r="E727" s="19" t="s">
        <v>246</v>
      </c>
      <c r="F727" s="20" t="s">
        <v>477</v>
      </c>
    </row>
    <row r="728" customFormat="false" ht="15" hidden="false" customHeight="false" outlineLevel="0" collapsed="false">
      <c r="A728" s="4" t="str">
        <f aca="false">B728&amp;"|"&amp;C728</f>
        <v>tdbR00000448 Val-GAC|58</v>
      </c>
      <c r="B728" s="4" t="s">
        <v>46</v>
      </c>
      <c r="C728" s="4" t="s">
        <v>481</v>
      </c>
      <c r="D728" s="4" t="n">
        <v>60</v>
      </c>
      <c r="E728" s="19" t="s">
        <v>246</v>
      </c>
      <c r="F728" s="20" t="s">
        <v>477</v>
      </c>
    </row>
    <row r="729" customFormat="false" ht="15" hidden="false" customHeight="false" outlineLevel="0" collapsed="false">
      <c r="A729" s="4" t="str">
        <f aca="false">B729&amp;"|"&amp;C729</f>
        <v>tdbR00000448 Val-GAC|59</v>
      </c>
      <c r="B729" s="4" t="s">
        <v>46</v>
      </c>
      <c r="C729" s="4" t="s">
        <v>482</v>
      </c>
      <c r="D729" s="4" t="n">
        <v>61</v>
      </c>
      <c r="E729" s="19" t="s">
        <v>246</v>
      </c>
      <c r="F729" s="20" t="s">
        <v>477</v>
      </c>
    </row>
    <row r="730" customFormat="false" ht="15" hidden="false" customHeight="false" outlineLevel="0" collapsed="false">
      <c r="A730" s="4" t="str">
        <f aca="false">B730&amp;"|"&amp;C730</f>
        <v>tdbR00000448 Val-GAC|60</v>
      </c>
      <c r="B730" s="4" t="s">
        <v>46</v>
      </c>
      <c r="C730" s="4" t="s">
        <v>483</v>
      </c>
      <c r="D730" s="4" t="n">
        <v>62</v>
      </c>
      <c r="E730" s="19" t="s">
        <v>259</v>
      </c>
      <c r="F730" s="20" t="s">
        <v>477</v>
      </c>
    </row>
    <row r="731" customFormat="false" ht="15" hidden="false" customHeight="false" outlineLevel="0" collapsed="false">
      <c r="A731" s="4" t="str">
        <f aca="false">B731&amp;"|"&amp;C731</f>
        <v>tdbR00000448 Val-GAC|61</v>
      </c>
      <c r="B731" s="4" t="s">
        <v>46</v>
      </c>
      <c r="C731" s="4" t="s">
        <v>484</v>
      </c>
      <c r="D731" s="4" t="n">
        <v>63</v>
      </c>
      <c r="E731" s="23" t="s">
        <v>414</v>
      </c>
      <c r="F731" s="10" t="s">
        <v>471</v>
      </c>
    </row>
    <row r="732" customFormat="false" ht="15" hidden="false" customHeight="false" outlineLevel="0" collapsed="false">
      <c r="A732" s="4" t="str">
        <f aca="false">B732&amp;"|"&amp;C732</f>
        <v>tdbR00000448 Val-GAC|62</v>
      </c>
      <c r="B732" s="4" t="s">
        <v>46</v>
      </c>
      <c r="C732" s="4" t="s">
        <v>485</v>
      </c>
      <c r="D732" s="4" t="n">
        <v>64</v>
      </c>
      <c r="E732" s="23" t="s">
        <v>414</v>
      </c>
      <c r="F732" s="10" t="s">
        <v>471</v>
      </c>
    </row>
    <row r="733" customFormat="false" ht="15" hidden="false" customHeight="false" outlineLevel="0" collapsed="false">
      <c r="A733" s="4" t="str">
        <f aca="false">B733&amp;"|"&amp;C733</f>
        <v>tdbR00000448 Val-GAC|63</v>
      </c>
      <c r="B733" s="4" t="s">
        <v>46</v>
      </c>
      <c r="C733" s="4" t="s">
        <v>486</v>
      </c>
      <c r="D733" s="4" t="n">
        <v>65</v>
      </c>
      <c r="E733" s="23" t="s">
        <v>197</v>
      </c>
      <c r="F733" s="10" t="s">
        <v>471</v>
      </c>
    </row>
    <row r="734" customFormat="false" ht="15" hidden="false" customHeight="false" outlineLevel="0" collapsed="false">
      <c r="A734" s="4" t="str">
        <f aca="false">B734&amp;"|"&amp;C734</f>
        <v>tdbR00000448 Val-GAC|64</v>
      </c>
      <c r="B734" s="4" t="s">
        <v>46</v>
      </c>
      <c r="C734" s="4" t="s">
        <v>487</v>
      </c>
      <c r="D734" s="4" t="n">
        <v>66</v>
      </c>
      <c r="E734" s="23" t="s">
        <v>414</v>
      </c>
      <c r="F734" s="10" t="s">
        <v>471</v>
      </c>
    </row>
    <row r="735" customFormat="false" ht="15" hidden="false" customHeight="false" outlineLevel="0" collapsed="false">
      <c r="A735" s="4" t="str">
        <f aca="false">B735&amp;"|"&amp;C735</f>
        <v>tdbR00000448 Val-GAC|65</v>
      </c>
      <c r="B735" s="4" t="s">
        <v>46</v>
      </c>
      <c r="C735" s="4" t="s">
        <v>488</v>
      </c>
      <c r="D735" s="4" t="n">
        <v>67</v>
      </c>
      <c r="E735" s="23" t="s">
        <v>414</v>
      </c>
      <c r="F735" s="10" t="s">
        <v>471</v>
      </c>
    </row>
    <row r="736" customFormat="false" ht="15" hidden="false" customHeight="false" outlineLevel="0" collapsed="false">
      <c r="A736" s="4" t="str">
        <f aca="false">B736&amp;"|"&amp;C736</f>
        <v>tdbR00000448 Val-GAC|66</v>
      </c>
      <c r="B736" s="4" t="s">
        <v>46</v>
      </c>
      <c r="C736" s="4" t="s">
        <v>489</v>
      </c>
      <c r="D736" s="4" t="n">
        <v>68</v>
      </c>
      <c r="E736" s="17" t="s">
        <v>414</v>
      </c>
      <c r="F736" s="18" t="s">
        <v>412</v>
      </c>
    </row>
    <row r="737" customFormat="false" ht="15" hidden="false" customHeight="false" outlineLevel="0" collapsed="false">
      <c r="A737" s="4" t="str">
        <f aca="false">B737&amp;"|"&amp;C737</f>
        <v>tdbR00000448 Val-GAC|67</v>
      </c>
      <c r="B737" s="4" t="s">
        <v>46</v>
      </c>
      <c r="C737" s="4" t="s">
        <v>490</v>
      </c>
      <c r="D737" s="4" t="n">
        <v>69</v>
      </c>
      <c r="E737" s="17" t="s">
        <v>414</v>
      </c>
      <c r="F737" s="18" t="s">
        <v>412</v>
      </c>
    </row>
    <row r="738" customFormat="false" ht="15" hidden="false" customHeight="false" outlineLevel="0" collapsed="false">
      <c r="A738" s="4" t="str">
        <f aca="false">B738&amp;"|"&amp;C738</f>
        <v>tdbR00000448 Val-GAC|68</v>
      </c>
      <c r="B738" s="4" t="s">
        <v>46</v>
      </c>
      <c r="C738" s="4" t="s">
        <v>491</v>
      </c>
      <c r="D738" s="4" t="n">
        <v>70</v>
      </c>
      <c r="E738" s="17" t="s">
        <v>246</v>
      </c>
      <c r="F738" s="18" t="s">
        <v>412</v>
      </c>
    </row>
    <row r="739" customFormat="false" ht="15" hidden="false" customHeight="false" outlineLevel="0" collapsed="false">
      <c r="A739" s="4" t="str">
        <f aca="false">B739&amp;"|"&amp;C739</f>
        <v>tdbR00000448 Val-GAC|69</v>
      </c>
      <c r="B739" s="4" t="s">
        <v>46</v>
      </c>
      <c r="C739" s="4" t="s">
        <v>492</v>
      </c>
      <c r="D739" s="4" t="n">
        <v>71</v>
      </c>
      <c r="E739" s="17" t="s">
        <v>246</v>
      </c>
      <c r="F739" s="18" t="s">
        <v>412</v>
      </c>
    </row>
    <row r="740" customFormat="false" ht="15" hidden="false" customHeight="false" outlineLevel="0" collapsed="false">
      <c r="A740" s="4" t="str">
        <f aca="false">B740&amp;"|"&amp;C740</f>
        <v>tdbR00000448 Val-GAC|70</v>
      </c>
      <c r="B740" s="4" t="s">
        <v>46</v>
      </c>
      <c r="C740" s="4" t="s">
        <v>493</v>
      </c>
      <c r="D740" s="4" t="n">
        <v>72</v>
      </c>
      <c r="E740" s="17" t="s">
        <v>414</v>
      </c>
      <c r="F740" s="18" t="s">
        <v>412</v>
      </c>
    </row>
    <row r="741" customFormat="false" ht="15" hidden="false" customHeight="false" outlineLevel="0" collapsed="false">
      <c r="A741" s="4" t="str">
        <f aca="false">B741&amp;"|"&amp;C741</f>
        <v>tdbR00000448 Val-GAC|71</v>
      </c>
      <c r="B741" s="4" t="s">
        <v>46</v>
      </c>
      <c r="C741" s="4" t="s">
        <v>494</v>
      </c>
      <c r="D741" s="4" t="n">
        <v>73</v>
      </c>
      <c r="E741" s="17" t="s">
        <v>414</v>
      </c>
      <c r="F741" s="18" t="s">
        <v>412</v>
      </c>
    </row>
    <row r="742" customFormat="false" ht="15" hidden="false" customHeight="false" outlineLevel="0" collapsed="false">
      <c r="A742" s="4" t="str">
        <f aca="false">B742&amp;"|"&amp;C742</f>
        <v>tdbR00000448 Val-GAC|72</v>
      </c>
      <c r="B742" s="4" t="s">
        <v>46</v>
      </c>
      <c r="C742" s="4" t="s">
        <v>495</v>
      </c>
      <c r="D742" s="4" t="n">
        <v>74</v>
      </c>
      <c r="E742" s="17" t="s">
        <v>414</v>
      </c>
      <c r="F742" s="18" t="s">
        <v>412</v>
      </c>
    </row>
    <row r="743" customFormat="false" ht="15" hidden="false" customHeight="false" outlineLevel="0" collapsed="false">
      <c r="A743" s="4" t="str">
        <f aca="false">B743&amp;"|"&amp;C743</f>
        <v>tdbR00000060 Glu-UUC|1</v>
      </c>
      <c r="B743" s="4" t="s">
        <v>47</v>
      </c>
      <c r="C743" s="4" t="s">
        <v>411</v>
      </c>
      <c r="D743" s="4" t="n">
        <v>1</v>
      </c>
      <c r="E743" s="17" t="s">
        <v>259</v>
      </c>
      <c r="F743" s="18" t="s">
        <v>412</v>
      </c>
    </row>
    <row r="744" customFormat="false" ht="15" hidden="false" customHeight="false" outlineLevel="0" collapsed="false">
      <c r="A744" s="4" t="str">
        <f aca="false">B744&amp;"|"&amp;C744</f>
        <v>tdbR00000060 Glu-UUC|2</v>
      </c>
      <c r="B744" s="4" t="s">
        <v>47</v>
      </c>
      <c r="C744" s="4" t="s">
        <v>413</v>
      </c>
      <c r="D744" s="4" t="n">
        <v>2</v>
      </c>
      <c r="E744" s="17" t="s">
        <v>414</v>
      </c>
      <c r="F744" s="18" t="s">
        <v>412</v>
      </c>
    </row>
    <row r="745" customFormat="false" ht="15" hidden="false" customHeight="false" outlineLevel="0" collapsed="false">
      <c r="A745" s="4" t="str">
        <f aca="false">B745&amp;"|"&amp;C745</f>
        <v>tdbR00000060 Glu-UUC|3</v>
      </c>
      <c r="B745" s="4" t="s">
        <v>47</v>
      </c>
      <c r="C745" s="4" t="s">
        <v>415</v>
      </c>
      <c r="D745" s="4" t="n">
        <v>3</v>
      </c>
      <c r="E745" s="17" t="s">
        <v>414</v>
      </c>
      <c r="F745" s="18" t="s">
        <v>412</v>
      </c>
    </row>
    <row r="746" customFormat="false" ht="15" hidden="false" customHeight="false" outlineLevel="0" collapsed="false">
      <c r="A746" s="4" t="str">
        <f aca="false">B746&amp;"|"&amp;C746</f>
        <v>tdbR00000060 Glu-UUC|4</v>
      </c>
      <c r="B746" s="4" t="s">
        <v>47</v>
      </c>
      <c r="C746" s="4" t="s">
        <v>416</v>
      </c>
      <c r="D746" s="4" t="n">
        <v>4</v>
      </c>
      <c r="E746" s="17" t="s">
        <v>414</v>
      </c>
      <c r="F746" s="18" t="s">
        <v>412</v>
      </c>
    </row>
    <row r="747" customFormat="false" ht="15" hidden="false" customHeight="false" outlineLevel="0" collapsed="false">
      <c r="A747" s="4" t="str">
        <f aca="false">B747&amp;"|"&amp;C747</f>
        <v>tdbR00000060 Glu-UUC|5</v>
      </c>
      <c r="B747" s="4" t="s">
        <v>47</v>
      </c>
      <c r="C747" s="4" t="s">
        <v>417</v>
      </c>
      <c r="D747" s="4" t="n">
        <v>5</v>
      </c>
      <c r="E747" s="17" t="s">
        <v>246</v>
      </c>
      <c r="F747" s="18" t="s">
        <v>412</v>
      </c>
    </row>
    <row r="748" customFormat="false" ht="15" hidden="false" customHeight="false" outlineLevel="0" collapsed="false">
      <c r="A748" s="4" t="str">
        <f aca="false">B748&amp;"|"&amp;C748</f>
        <v>tdbR00000060 Glu-UUC|6</v>
      </c>
      <c r="B748" s="4" t="s">
        <v>47</v>
      </c>
      <c r="C748" s="4" t="s">
        <v>418</v>
      </c>
      <c r="D748" s="4" t="n">
        <v>6</v>
      </c>
      <c r="E748" s="17" t="s">
        <v>259</v>
      </c>
      <c r="F748" s="18" t="s">
        <v>412</v>
      </c>
    </row>
    <row r="749" customFormat="false" ht="15" hidden="false" customHeight="false" outlineLevel="0" collapsed="false">
      <c r="A749" s="4" t="str">
        <f aca="false">B749&amp;"|"&amp;C749</f>
        <v>tdbR00000060 Glu-UUC|7</v>
      </c>
      <c r="B749" s="4" t="s">
        <v>47</v>
      </c>
      <c r="C749" s="4" t="s">
        <v>419</v>
      </c>
      <c r="D749" s="4" t="n">
        <v>7</v>
      </c>
      <c r="E749" s="17" t="s">
        <v>246</v>
      </c>
      <c r="F749" s="18" t="s">
        <v>412</v>
      </c>
    </row>
    <row r="750" customFormat="false" ht="15" hidden="false" customHeight="false" outlineLevel="0" collapsed="false">
      <c r="A750" s="4" t="str">
        <f aca="false">B750&amp;"|"&amp;C750</f>
        <v>tdbR00000060 Glu-UUC|8</v>
      </c>
      <c r="B750" s="4" t="s">
        <v>47</v>
      </c>
      <c r="C750" s="4" t="s">
        <v>420</v>
      </c>
      <c r="D750" s="4" t="n">
        <v>8</v>
      </c>
      <c r="E750" s="3" t="s">
        <v>259</v>
      </c>
      <c r="F750" s="4" t="s">
        <v>421</v>
      </c>
    </row>
    <row r="751" customFormat="false" ht="15" hidden="false" customHeight="false" outlineLevel="0" collapsed="false">
      <c r="A751" s="4" t="str">
        <f aca="false">B751&amp;"|"&amp;C751</f>
        <v>tdbR00000060 Glu-UUC|9</v>
      </c>
      <c r="B751" s="4" t="s">
        <v>47</v>
      </c>
      <c r="C751" s="4" t="s">
        <v>422</v>
      </c>
      <c r="D751" s="4" t="n">
        <v>9</v>
      </c>
      <c r="E751" s="3" t="s">
        <v>197</v>
      </c>
      <c r="F751" s="4" t="s">
        <v>423</v>
      </c>
    </row>
    <row r="752" customFormat="false" ht="15" hidden="false" customHeight="false" outlineLevel="0" collapsed="false">
      <c r="A752" s="4" t="str">
        <f aca="false">B752&amp;"|"&amp;C752</f>
        <v>tdbR00000060 Glu-UUC|10</v>
      </c>
      <c r="B752" s="4" t="s">
        <v>47</v>
      </c>
      <c r="C752" s="4" t="s">
        <v>424</v>
      </c>
      <c r="D752" s="4" t="n">
        <v>10</v>
      </c>
      <c r="E752" s="8" t="s">
        <v>197</v>
      </c>
      <c r="F752" s="7" t="s">
        <v>425</v>
      </c>
    </row>
    <row r="753" customFormat="false" ht="15" hidden="false" customHeight="false" outlineLevel="0" collapsed="false">
      <c r="A753" s="4" t="str">
        <f aca="false">B753&amp;"|"&amp;C753</f>
        <v>tdbR00000060 Glu-UUC|11</v>
      </c>
      <c r="B753" s="4" t="s">
        <v>47</v>
      </c>
      <c r="C753" s="4" t="s">
        <v>426</v>
      </c>
      <c r="D753" s="4" t="n">
        <v>11</v>
      </c>
      <c r="E753" s="8" t="s">
        <v>259</v>
      </c>
      <c r="F753" s="7" t="s">
        <v>425</v>
      </c>
    </row>
    <row r="754" customFormat="false" ht="15" hidden="false" customHeight="false" outlineLevel="0" collapsed="false">
      <c r="A754" s="4" t="str">
        <f aca="false">B754&amp;"|"&amp;C754</f>
        <v>tdbR00000060 Glu-UUC|12</v>
      </c>
      <c r="B754" s="4" t="s">
        <v>47</v>
      </c>
      <c r="C754" s="4" t="s">
        <v>427</v>
      </c>
      <c r="D754" s="4" t="n">
        <v>12</v>
      </c>
      <c r="E754" s="8" t="s">
        <v>414</v>
      </c>
      <c r="F754" s="7" t="s">
        <v>425</v>
      </c>
    </row>
    <row r="755" customFormat="false" ht="15" hidden="false" customHeight="false" outlineLevel="0" collapsed="false">
      <c r="A755" s="4" t="str">
        <f aca="false">B755&amp;"|"&amp;C755</f>
        <v>tdbR00000060 Glu-UUC|13</v>
      </c>
      <c r="B755" s="4" t="s">
        <v>47</v>
      </c>
      <c r="C755" s="4" t="s">
        <v>428</v>
      </c>
      <c r="D755" s="4" t="n">
        <v>13</v>
      </c>
      <c r="E755" s="8" t="s">
        <v>259</v>
      </c>
      <c r="F755" s="7" t="s">
        <v>425</v>
      </c>
    </row>
    <row r="756" customFormat="false" ht="15" hidden="false" customHeight="false" outlineLevel="0" collapsed="false">
      <c r="A756" s="4" t="str">
        <f aca="false">B756&amp;"|"&amp;C756</f>
        <v>tdbR00000060 Glu-UUC|14</v>
      </c>
      <c r="B756" s="4" t="s">
        <v>47</v>
      </c>
      <c r="C756" s="4" t="s">
        <v>429</v>
      </c>
      <c r="D756" s="4" t="n">
        <v>14</v>
      </c>
      <c r="E756" s="19" t="s">
        <v>246</v>
      </c>
      <c r="F756" s="20" t="s">
        <v>430</v>
      </c>
    </row>
    <row r="757" customFormat="false" ht="15" hidden="false" customHeight="false" outlineLevel="0" collapsed="false">
      <c r="A757" s="4" t="str">
        <f aca="false">B757&amp;"|"&amp;C757</f>
        <v>tdbR00000060 Glu-UUC|15</v>
      </c>
      <c r="B757" s="4" t="s">
        <v>47</v>
      </c>
      <c r="C757" s="4" t="s">
        <v>431</v>
      </c>
      <c r="D757" s="4" t="n">
        <v>15</v>
      </c>
      <c r="E757" s="19" t="s">
        <v>197</v>
      </c>
      <c r="F757" s="20" t="s">
        <v>430</v>
      </c>
    </row>
    <row r="758" customFormat="false" ht="15" hidden="false" customHeight="false" outlineLevel="0" collapsed="false">
      <c r="A758" s="4" t="str">
        <f aca="false">B758&amp;"|"&amp;C758</f>
        <v>tdbR00000060 Glu-UUC|16</v>
      </c>
      <c r="B758" s="4" t="s">
        <v>47</v>
      </c>
      <c r="C758" s="4" t="s">
        <v>432</v>
      </c>
      <c r="D758" s="4" t="n">
        <v>16</v>
      </c>
      <c r="E758" s="19" t="s">
        <v>259</v>
      </c>
      <c r="F758" s="20" t="s">
        <v>430</v>
      </c>
    </row>
    <row r="759" customFormat="false" ht="15" hidden="false" customHeight="false" outlineLevel="0" collapsed="false">
      <c r="A759" s="4" t="str">
        <f aca="false">B759&amp;"|"&amp;C759</f>
        <v>tdbR00000060 Glu-UUC|18</v>
      </c>
      <c r="B759" s="4" t="s">
        <v>47</v>
      </c>
      <c r="C759" s="4" t="s">
        <v>434</v>
      </c>
      <c r="D759" s="4" t="n">
        <v>17</v>
      </c>
      <c r="E759" s="19" t="s">
        <v>197</v>
      </c>
      <c r="F759" s="20" t="s">
        <v>430</v>
      </c>
    </row>
    <row r="760" customFormat="false" ht="15" hidden="false" customHeight="false" outlineLevel="0" collapsed="false">
      <c r="A760" s="4" t="str">
        <f aca="false">B760&amp;"|"&amp;C760</f>
        <v>tdbR00000060 Glu-UUC|19</v>
      </c>
      <c r="B760" s="4" t="s">
        <v>47</v>
      </c>
      <c r="C760" s="4" t="s">
        <v>435</v>
      </c>
      <c r="D760" s="4" t="n">
        <v>18</v>
      </c>
      <c r="E760" s="19" t="s">
        <v>197</v>
      </c>
      <c r="F760" s="20" t="s">
        <v>430</v>
      </c>
    </row>
    <row r="761" customFormat="false" ht="15" hidden="false" customHeight="false" outlineLevel="0" collapsed="false">
      <c r="A761" s="4" t="str">
        <f aca="false">B761&amp;"|"&amp;C761</f>
        <v>tdbR00000060 Glu-UUC|20</v>
      </c>
      <c r="B761" s="4" t="s">
        <v>47</v>
      </c>
      <c r="C761" s="4" t="s">
        <v>436</v>
      </c>
      <c r="D761" s="4" t="n">
        <v>19</v>
      </c>
      <c r="E761" s="19" t="s">
        <v>414</v>
      </c>
      <c r="F761" s="20" t="s">
        <v>430</v>
      </c>
    </row>
    <row r="762" customFormat="false" ht="15" hidden="false" customHeight="false" outlineLevel="0" collapsed="false">
      <c r="A762" s="4" t="str">
        <f aca="false">B762&amp;"|"&amp;C762</f>
        <v>tdbR00000060 Glu-UUC|20a</v>
      </c>
      <c r="B762" s="4" t="s">
        <v>47</v>
      </c>
      <c r="C762" s="4" t="s">
        <v>437</v>
      </c>
      <c r="D762" s="4" t="n">
        <v>20</v>
      </c>
      <c r="E762" s="19" t="s">
        <v>259</v>
      </c>
      <c r="F762" s="20" t="s">
        <v>430</v>
      </c>
    </row>
    <row r="763" customFormat="false" ht="15" hidden="false" customHeight="false" outlineLevel="0" collapsed="false">
      <c r="A763" s="4" t="str">
        <f aca="false">B763&amp;"|"&amp;C763</f>
        <v>tdbR00000060 Glu-UUC|21</v>
      </c>
      <c r="B763" s="4" t="s">
        <v>47</v>
      </c>
      <c r="C763" s="4" t="s">
        <v>438</v>
      </c>
      <c r="D763" s="4" t="n">
        <v>21</v>
      </c>
      <c r="E763" s="19" t="s">
        <v>246</v>
      </c>
      <c r="F763" s="20" t="s">
        <v>430</v>
      </c>
    </row>
    <row r="764" customFormat="false" ht="15" hidden="false" customHeight="false" outlineLevel="0" collapsed="false">
      <c r="A764" s="4" t="str">
        <f aca="false">B764&amp;"|"&amp;C764</f>
        <v>tdbR00000060 Glu-UUC|22</v>
      </c>
      <c r="B764" s="4" t="s">
        <v>47</v>
      </c>
      <c r="C764" s="4" t="s">
        <v>439</v>
      </c>
      <c r="D764" s="4" t="n">
        <v>22</v>
      </c>
      <c r="E764" s="8" t="s">
        <v>197</v>
      </c>
      <c r="F764" s="7" t="s">
        <v>425</v>
      </c>
    </row>
    <row r="765" customFormat="false" ht="15" hidden="false" customHeight="false" outlineLevel="0" collapsed="false">
      <c r="A765" s="4" t="str">
        <f aca="false">B765&amp;"|"&amp;C765</f>
        <v>tdbR00000060 Glu-UUC|23</v>
      </c>
      <c r="B765" s="4" t="s">
        <v>47</v>
      </c>
      <c r="C765" s="4" t="s">
        <v>440</v>
      </c>
      <c r="D765" s="4" t="n">
        <v>23</v>
      </c>
      <c r="E765" s="8" t="s">
        <v>197</v>
      </c>
      <c r="F765" s="7" t="s">
        <v>425</v>
      </c>
    </row>
    <row r="766" customFormat="false" ht="15" hidden="false" customHeight="false" outlineLevel="0" collapsed="false">
      <c r="A766" s="4" t="str">
        <f aca="false">B766&amp;"|"&amp;C766</f>
        <v>tdbR00000060 Glu-UUC|24</v>
      </c>
      <c r="B766" s="4" t="s">
        <v>47</v>
      </c>
      <c r="C766" s="4" t="s">
        <v>441</v>
      </c>
      <c r="D766" s="4" t="n">
        <v>24</v>
      </c>
      <c r="E766" s="8" t="s">
        <v>246</v>
      </c>
      <c r="F766" s="7" t="s">
        <v>425</v>
      </c>
    </row>
    <row r="767" customFormat="false" ht="15" hidden="false" customHeight="false" outlineLevel="0" collapsed="false">
      <c r="A767" s="4" t="str">
        <f aca="false">B767&amp;"|"&amp;C767</f>
        <v>tdbR00000060 Glu-UUC|25</v>
      </c>
      <c r="B767" s="4" t="s">
        <v>47</v>
      </c>
      <c r="C767" s="4" t="s">
        <v>442</v>
      </c>
      <c r="D767" s="4" t="n">
        <v>25</v>
      </c>
      <c r="E767" s="8" t="s">
        <v>259</v>
      </c>
      <c r="F767" s="7" t="s">
        <v>425</v>
      </c>
    </row>
    <row r="768" customFormat="false" ht="15" hidden="false" customHeight="false" outlineLevel="0" collapsed="false">
      <c r="A768" s="4" t="str">
        <f aca="false">B768&amp;"|"&amp;C768</f>
        <v>tdbR00000060 Glu-UUC|26</v>
      </c>
      <c r="B768" s="4" t="s">
        <v>47</v>
      </c>
      <c r="C768" s="4" t="s">
        <v>443</v>
      </c>
      <c r="D768" s="4" t="n">
        <v>26</v>
      </c>
      <c r="E768" s="3" t="s">
        <v>246</v>
      </c>
      <c r="F768" s="4" t="s">
        <v>444</v>
      </c>
    </row>
    <row r="769" customFormat="false" ht="15" hidden="false" customHeight="false" outlineLevel="0" collapsed="false">
      <c r="A769" s="4" t="str">
        <f aca="false">B769&amp;"|"&amp;C769</f>
        <v>tdbR00000060 Glu-UUC|27</v>
      </c>
      <c r="B769" s="4" t="s">
        <v>47</v>
      </c>
      <c r="C769" s="4" t="s">
        <v>445</v>
      </c>
      <c r="D769" s="4" t="n">
        <v>27</v>
      </c>
      <c r="E769" s="21" t="s">
        <v>259</v>
      </c>
      <c r="F769" s="22" t="s">
        <v>446</v>
      </c>
    </row>
    <row r="770" customFormat="false" ht="15" hidden="false" customHeight="false" outlineLevel="0" collapsed="false">
      <c r="A770" s="4" t="str">
        <f aca="false">B770&amp;"|"&amp;C770</f>
        <v>tdbR00000060 Glu-UUC|28</v>
      </c>
      <c r="B770" s="4" t="s">
        <v>47</v>
      </c>
      <c r="C770" s="4" t="s">
        <v>447</v>
      </c>
      <c r="D770" s="4" t="n">
        <v>28</v>
      </c>
      <c r="E770" s="21" t="s">
        <v>414</v>
      </c>
      <c r="F770" s="22" t="s">
        <v>446</v>
      </c>
    </row>
    <row r="771" customFormat="false" ht="15" hidden="false" customHeight="false" outlineLevel="0" collapsed="false">
      <c r="A771" s="4" t="str">
        <f aca="false">B771&amp;"|"&amp;C771</f>
        <v>tdbR00000060 Glu-UUC|29</v>
      </c>
      <c r="B771" s="4" t="s">
        <v>47</v>
      </c>
      <c r="C771" s="4" t="s">
        <v>448</v>
      </c>
      <c r="D771" s="4" t="n">
        <v>29</v>
      </c>
      <c r="E771" s="21" t="s">
        <v>259</v>
      </c>
      <c r="F771" s="22" t="s">
        <v>446</v>
      </c>
    </row>
    <row r="772" customFormat="false" ht="15" hidden="false" customHeight="false" outlineLevel="0" collapsed="false">
      <c r="A772" s="4" t="str">
        <f aca="false">B772&amp;"|"&amp;C772</f>
        <v>tdbR00000060 Glu-UUC|30</v>
      </c>
      <c r="B772" s="4" t="s">
        <v>47</v>
      </c>
      <c r="C772" s="4" t="s">
        <v>449</v>
      </c>
      <c r="D772" s="4" t="n">
        <v>30</v>
      </c>
      <c r="E772" s="21" t="s">
        <v>197</v>
      </c>
      <c r="F772" s="22" t="s">
        <v>446</v>
      </c>
    </row>
    <row r="773" customFormat="false" ht="15" hidden="false" customHeight="false" outlineLevel="0" collapsed="false">
      <c r="A773" s="4" t="str">
        <f aca="false">B773&amp;"|"&amp;C773</f>
        <v>tdbR00000060 Glu-UUC|31</v>
      </c>
      <c r="B773" s="4" t="s">
        <v>47</v>
      </c>
      <c r="C773" s="4" t="s">
        <v>450</v>
      </c>
      <c r="D773" s="4" t="n">
        <v>31</v>
      </c>
      <c r="E773" s="21" t="s">
        <v>197</v>
      </c>
      <c r="F773" s="22" t="s">
        <v>446</v>
      </c>
    </row>
    <row r="774" customFormat="false" ht="15" hidden="false" customHeight="false" outlineLevel="0" collapsed="false">
      <c r="A774" s="4" t="str">
        <f aca="false">B774&amp;"|"&amp;C774</f>
        <v>tdbR00000060 Glu-UUC|32</v>
      </c>
      <c r="B774" s="4" t="s">
        <v>47</v>
      </c>
      <c r="C774" s="4" t="s">
        <v>451</v>
      </c>
      <c r="D774" s="4" t="n">
        <v>32</v>
      </c>
      <c r="E774" s="19" t="s">
        <v>414</v>
      </c>
      <c r="F774" s="20" t="s">
        <v>452</v>
      </c>
    </row>
    <row r="775" customFormat="false" ht="15" hidden="false" customHeight="false" outlineLevel="0" collapsed="false">
      <c r="A775" s="4" t="str">
        <f aca="false">B775&amp;"|"&amp;C775</f>
        <v>tdbR00000060 Glu-UUC|33</v>
      </c>
      <c r="B775" s="4" t="s">
        <v>47</v>
      </c>
      <c r="C775" s="4" t="s">
        <v>453</v>
      </c>
      <c r="D775" s="4" t="n">
        <v>33</v>
      </c>
      <c r="E775" s="19" t="s">
        <v>259</v>
      </c>
      <c r="F775" s="20" t="s">
        <v>452</v>
      </c>
    </row>
    <row r="776" customFormat="false" ht="15" hidden="false" customHeight="false" outlineLevel="0" collapsed="false">
      <c r="A776" s="4" t="str">
        <f aca="false">B776&amp;"|"&amp;C776</f>
        <v>tdbR00000060 Glu-UUC|34</v>
      </c>
      <c r="B776" s="4" t="s">
        <v>47</v>
      </c>
      <c r="C776" s="4" t="s">
        <v>454</v>
      </c>
      <c r="D776" s="4" t="n">
        <v>34</v>
      </c>
      <c r="E776" s="19" t="s">
        <v>259</v>
      </c>
      <c r="F776" s="20" t="s">
        <v>452</v>
      </c>
    </row>
    <row r="777" customFormat="false" ht="15" hidden="false" customHeight="false" outlineLevel="0" collapsed="false">
      <c r="A777" s="4" t="str">
        <f aca="false">B777&amp;"|"&amp;C777</f>
        <v>tdbR00000060 Glu-UUC|35</v>
      </c>
      <c r="B777" s="4" t="s">
        <v>47</v>
      </c>
      <c r="C777" s="4" t="s">
        <v>455</v>
      </c>
      <c r="D777" s="4" t="n">
        <v>35</v>
      </c>
      <c r="E777" s="19" t="s">
        <v>259</v>
      </c>
      <c r="F777" s="20" t="s">
        <v>452</v>
      </c>
    </row>
    <row r="778" customFormat="false" ht="15" hidden="false" customHeight="false" outlineLevel="0" collapsed="false">
      <c r="A778" s="4" t="str">
        <f aca="false">B778&amp;"|"&amp;C778</f>
        <v>tdbR00000060 Glu-UUC|36</v>
      </c>
      <c r="B778" s="4" t="s">
        <v>47</v>
      </c>
      <c r="C778" s="4" t="s">
        <v>456</v>
      </c>
      <c r="D778" s="4" t="n">
        <v>36</v>
      </c>
      <c r="E778" s="19" t="s">
        <v>414</v>
      </c>
      <c r="F778" s="20" t="s">
        <v>452</v>
      </c>
    </row>
    <row r="779" customFormat="false" ht="15" hidden="false" customHeight="false" outlineLevel="0" collapsed="false">
      <c r="A779" s="4" t="str">
        <f aca="false">B779&amp;"|"&amp;C779</f>
        <v>tdbR00000060 Glu-UUC|37</v>
      </c>
      <c r="B779" s="4" t="s">
        <v>47</v>
      </c>
      <c r="C779" s="4" t="s">
        <v>457</v>
      </c>
      <c r="D779" s="4" t="n">
        <v>37</v>
      </c>
      <c r="E779" s="19" t="s">
        <v>246</v>
      </c>
      <c r="F779" s="20" t="s">
        <v>452</v>
      </c>
    </row>
    <row r="780" customFormat="false" ht="15" hidden="false" customHeight="false" outlineLevel="0" collapsed="false">
      <c r="A780" s="4" t="str">
        <f aca="false">B780&amp;"|"&amp;C780</f>
        <v>tdbR00000060 Glu-UUC|38</v>
      </c>
      <c r="B780" s="4" t="s">
        <v>47</v>
      </c>
      <c r="C780" s="4" t="s">
        <v>458</v>
      </c>
      <c r="D780" s="4" t="n">
        <v>38</v>
      </c>
      <c r="E780" s="19" t="s">
        <v>414</v>
      </c>
      <c r="F780" s="20" t="s">
        <v>452</v>
      </c>
    </row>
    <row r="781" customFormat="false" ht="15" hidden="false" customHeight="false" outlineLevel="0" collapsed="false">
      <c r="A781" s="4" t="str">
        <f aca="false">B781&amp;"|"&amp;C781</f>
        <v>tdbR00000060 Glu-UUC|39</v>
      </c>
      <c r="B781" s="4" t="s">
        <v>47</v>
      </c>
      <c r="C781" s="4" t="s">
        <v>459</v>
      </c>
      <c r="D781" s="4" t="n">
        <v>39</v>
      </c>
      <c r="E781" s="21" t="s">
        <v>414</v>
      </c>
      <c r="F781" s="22" t="s">
        <v>446</v>
      </c>
    </row>
    <row r="782" customFormat="false" ht="15" hidden="false" customHeight="false" outlineLevel="0" collapsed="false">
      <c r="A782" s="4" t="str">
        <f aca="false">B782&amp;"|"&amp;C782</f>
        <v>tdbR00000060 Glu-UUC|40</v>
      </c>
      <c r="B782" s="4" t="s">
        <v>47</v>
      </c>
      <c r="C782" s="4" t="s">
        <v>460</v>
      </c>
      <c r="D782" s="4" t="n">
        <v>40</v>
      </c>
      <c r="E782" s="21" t="s">
        <v>414</v>
      </c>
      <c r="F782" s="22" t="s">
        <v>446</v>
      </c>
    </row>
    <row r="783" customFormat="false" ht="15" hidden="false" customHeight="false" outlineLevel="0" collapsed="false">
      <c r="A783" s="4" t="str">
        <f aca="false">B783&amp;"|"&amp;C783</f>
        <v>tdbR00000060 Glu-UUC|41</v>
      </c>
      <c r="B783" s="4" t="s">
        <v>47</v>
      </c>
      <c r="C783" s="4" t="s">
        <v>461</v>
      </c>
      <c r="D783" s="4" t="n">
        <v>41</v>
      </c>
      <c r="E783" s="21" t="s">
        <v>246</v>
      </c>
      <c r="F783" s="22" t="s">
        <v>446</v>
      </c>
    </row>
    <row r="784" customFormat="false" ht="15" hidden="false" customHeight="false" outlineLevel="0" collapsed="false">
      <c r="A784" s="4" t="str">
        <f aca="false">B784&amp;"|"&amp;C784</f>
        <v>tdbR00000060 Glu-UUC|42</v>
      </c>
      <c r="B784" s="4" t="s">
        <v>47</v>
      </c>
      <c r="C784" s="4" t="s">
        <v>462</v>
      </c>
      <c r="D784" s="4" t="n">
        <v>42</v>
      </c>
      <c r="E784" s="21" t="s">
        <v>197</v>
      </c>
      <c r="F784" s="22" t="s">
        <v>446</v>
      </c>
    </row>
    <row r="785" customFormat="false" ht="15" hidden="false" customHeight="false" outlineLevel="0" collapsed="false">
      <c r="A785" s="4" t="str">
        <f aca="false">B785&amp;"|"&amp;C785</f>
        <v>tdbR00000060 Glu-UUC|43</v>
      </c>
      <c r="B785" s="4" t="s">
        <v>47</v>
      </c>
      <c r="C785" s="4" t="s">
        <v>463</v>
      </c>
      <c r="D785" s="4" t="n">
        <v>43</v>
      </c>
      <c r="E785" s="21" t="s">
        <v>246</v>
      </c>
      <c r="F785" s="22" t="s">
        <v>446</v>
      </c>
    </row>
    <row r="786" customFormat="false" ht="15" hidden="false" customHeight="false" outlineLevel="0" collapsed="false">
      <c r="A786" s="4" t="str">
        <f aca="false">B786&amp;"|"&amp;C786</f>
        <v>tdbR00000060 Glu-UUC|44</v>
      </c>
      <c r="B786" s="4" t="s">
        <v>47</v>
      </c>
      <c r="C786" s="4" t="s">
        <v>464</v>
      </c>
      <c r="D786" s="4" t="n">
        <v>44</v>
      </c>
      <c r="E786" s="19" t="s">
        <v>246</v>
      </c>
      <c r="F786" s="20" t="s">
        <v>465</v>
      </c>
    </row>
    <row r="787" customFormat="false" ht="15" hidden="false" customHeight="false" outlineLevel="0" collapsed="false">
      <c r="A787" s="4" t="str">
        <f aca="false">B787&amp;"|"&amp;C787</f>
        <v>tdbR00000060 Glu-UUC|45</v>
      </c>
      <c r="B787" s="4" t="s">
        <v>47</v>
      </c>
      <c r="C787" s="4" t="s">
        <v>466</v>
      </c>
      <c r="D787" s="4" t="n">
        <v>45</v>
      </c>
      <c r="E787" s="19" t="s">
        <v>197</v>
      </c>
      <c r="F787" s="20" t="s">
        <v>465</v>
      </c>
    </row>
    <row r="788" customFormat="false" ht="15" hidden="false" customHeight="false" outlineLevel="0" collapsed="false">
      <c r="A788" s="4" t="str">
        <f aca="false">B788&amp;"|"&amp;C788</f>
        <v>tdbR00000060 Glu-UUC|46</v>
      </c>
      <c r="B788" s="4" t="s">
        <v>47</v>
      </c>
      <c r="C788" s="4" t="s">
        <v>467</v>
      </c>
      <c r="D788" s="4" t="n">
        <v>46</v>
      </c>
      <c r="E788" s="19" t="s">
        <v>197</v>
      </c>
      <c r="F788" s="20" t="s">
        <v>465</v>
      </c>
    </row>
    <row r="789" customFormat="false" ht="15" hidden="false" customHeight="false" outlineLevel="0" collapsed="false">
      <c r="A789" s="4" t="str">
        <f aca="false">B789&amp;"|"&amp;C789</f>
        <v>tdbR00000060 Glu-UUC|48</v>
      </c>
      <c r="B789" s="4" t="s">
        <v>47</v>
      </c>
      <c r="C789" s="4" t="s">
        <v>469</v>
      </c>
      <c r="D789" s="4" t="n">
        <v>47</v>
      </c>
      <c r="E789" s="19" t="s">
        <v>414</v>
      </c>
      <c r="F789" s="20" t="s">
        <v>465</v>
      </c>
    </row>
    <row r="790" customFormat="false" ht="15" hidden="false" customHeight="false" outlineLevel="0" collapsed="false">
      <c r="A790" s="4" t="str">
        <f aca="false">B790&amp;"|"&amp;C790</f>
        <v>tdbR00000060 Glu-UUC|49</v>
      </c>
      <c r="B790" s="4" t="s">
        <v>47</v>
      </c>
      <c r="C790" s="4" t="s">
        <v>470</v>
      </c>
      <c r="D790" s="4" t="n">
        <v>48</v>
      </c>
      <c r="E790" s="23" t="s">
        <v>414</v>
      </c>
      <c r="F790" s="10" t="s">
        <v>471</v>
      </c>
    </row>
    <row r="791" customFormat="false" ht="15" hidden="false" customHeight="false" outlineLevel="0" collapsed="false">
      <c r="A791" s="4" t="str">
        <f aca="false">B791&amp;"|"&amp;C791</f>
        <v>tdbR00000060 Glu-UUC|50</v>
      </c>
      <c r="B791" s="4" t="s">
        <v>47</v>
      </c>
      <c r="C791" s="4" t="s">
        <v>472</v>
      </c>
      <c r="D791" s="4" t="n">
        <v>49</v>
      </c>
      <c r="E791" s="23" t="s">
        <v>414</v>
      </c>
      <c r="F791" s="10" t="s">
        <v>471</v>
      </c>
    </row>
    <row r="792" customFormat="false" ht="15" hidden="false" customHeight="false" outlineLevel="0" collapsed="false">
      <c r="A792" s="4" t="str">
        <f aca="false">B792&amp;"|"&amp;C792</f>
        <v>tdbR00000060 Glu-UUC|51</v>
      </c>
      <c r="B792" s="4" t="s">
        <v>47</v>
      </c>
      <c r="C792" s="4" t="s">
        <v>473</v>
      </c>
      <c r="D792" s="4" t="n">
        <v>50</v>
      </c>
      <c r="E792" s="23" t="s">
        <v>197</v>
      </c>
      <c r="F792" s="10" t="s">
        <v>471</v>
      </c>
    </row>
    <row r="793" customFormat="false" ht="15" hidden="false" customHeight="false" outlineLevel="0" collapsed="false">
      <c r="A793" s="4" t="str">
        <f aca="false">B793&amp;"|"&amp;C793</f>
        <v>tdbR00000060 Glu-UUC|52</v>
      </c>
      <c r="B793" s="4" t="s">
        <v>47</v>
      </c>
      <c r="C793" s="4" t="s">
        <v>474</v>
      </c>
      <c r="D793" s="4" t="n">
        <v>51</v>
      </c>
      <c r="E793" s="23" t="s">
        <v>197</v>
      </c>
      <c r="F793" s="10" t="s">
        <v>471</v>
      </c>
    </row>
    <row r="794" customFormat="false" ht="15" hidden="false" customHeight="false" outlineLevel="0" collapsed="false">
      <c r="A794" s="4" t="str">
        <f aca="false">B794&amp;"|"&amp;C794</f>
        <v>tdbR00000060 Glu-UUC|53</v>
      </c>
      <c r="B794" s="4" t="s">
        <v>47</v>
      </c>
      <c r="C794" s="4" t="s">
        <v>475</v>
      </c>
      <c r="D794" s="4" t="n">
        <v>52</v>
      </c>
      <c r="E794" s="23" t="s">
        <v>197</v>
      </c>
      <c r="F794" s="10" t="s">
        <v>471</v>
      </c>
    </row>
    <row r="795" customFormat="false" ht="15" hidden="false" customHeight="false" outlineLevel="0" collapsed="false">
      <c r="A795" s="4" t="str">
        <f aca="false">B795&amp;"|"&amp;C795</f>
        <v>tdbR00000060 Glu-UUC|54</v>
      </c>
      <c r="B795" s="4" t="s">
        <v>47</v>
      </c>
      <c r="C795" s="4" t="s">
        <v>476</v>
      </c>
      <c r="D795" s="4" t="n">
        <v>53</v>
      </c>
      <c r="E795" s="19" t="s">
        <v>259</v>
      </c>
      <c r="F795" s="20" t="s">
        <v>477</v>
      </c>
    </row>
    <row r="796" customFormat="false" ht="15" hidden="false" customHeight="false" outlineLevel="0" collapsed="false">
      <c r="A796" s="4" t="str">
        <f aca="false">B796&amp;"|"&amp;C796</f>
        <v>tdbR00000060 Glu-UUC|55</v>
      </c>
      <c r="B796" s="4" t="s">
        <v>47</v>
      </c>
      <c r="C796" s="4" t="s">
        <v>478</v>
      </c>
      <c r="D796" s="4" t="n">
        <v>54</v>
      </c>
      <c r="E796" s="19" t="s">
        <v>259</v>
      </c>
      <c r="F796" s="20" t="s">
        <v>477</v>
      </c>
    </row>
    <row r="797" customFormat="false" ht="15" hidden="false" customHeight="false" outlineLevel="0" collapsed="false">
      <c r="A797" s="4" t="str">
        <f aca="false">B797&amp;"|"&amp;C797</f>
        <v>tdbR00000060 Glu-UUC|56</v>
      </c>
      <c r="B797" s="4" t="s">
        <v>47</v>
      </c>
      <c r="C797" s="4" t="s">
        <v>479</v>
      </c>
      <c r="D797" s="4" t="n">
        <v>55</v>
      </c>
      <c r="E797" s="19" t="s">
        <v>414</v>
      </c>
      <c r="F797" s="20" t="s">
        <v>477</v>
      </c>
    </row>
    <row r="798" customFormat="false" ht="15" hidden="false" customHeight="false" outlineLevel="0" collapsed="false">
      <c r="A798" s="4" t="str">
        <f aca="false">B798&amp;"|"&amp;C798</f>
        <v>tdbR00000060 Glu-UUC|57</v>
      </c>
      <c r="B798" s="4" t="s">
        <v>47</v>
      </c>
      <c r="C798" s="4" t="s">
        <v>480</v>
      </c>
      <c r="D798" s="4" t="n">
        <v>56</v>
      </c>
      <c r="E798" s="19" t="s">
        <v>197</v>
      </c>
      <c r="F798" s="20" t="s">
        <v>477</v>
      </c>
    </row>
    <row r="799" customFormat="false" ht="15" hidden="false" customHeight="false" outlineLevel="0" collapsed="false">
      <c r="A799" s="4" t="str">
        <f aca="false">B799&amp;"|"&amp;C799</f>
        <v>tdbR00000060 Glu-UUC|58</v>
      </c>
      <c r="B799" s="4" t="s">
        <v>47</v>
      </c>
      <c r="C799" s="4" t="s">
        <v>481</v>
      </c>
      <c r="D799" s="4" t="n">
        <v>57</v>
      </c>
      <c r="E799" s="19" t="s">
        <v>246</v>
      </c>
      <c r="F799" s="20" t="s">
        <v>477</v>
      </c>
    </row>
    <row r="800" customFormat="false" ht="15" hidden="false" customHeight="false" outlineLevel="0" collapsed="false">
      <c r="A800" s="4" t="str">
        <f aca="false">B800&amp;"|"&amp;C800</f>
        <v>tdbR00000060 Glu-UUC|59</v>
      </c>
      <c r="B800" s="4" t="s">
        <v>47</v>
      </c>
      <c r="C800" s="4" t="s">
        <v>482</v>
      </c>
      <c r="D800" s="4" t="n">
        <v>58</v>
      </c>
      <c r="E800" s="19" t="s">
        <v>259</v>
      </c>
      <c r="F800" s="20" t="s">
        <v>477</v>
      </c>
    </row>
    <row r="801" customFormat="false" ht="15" hidden="false" customHeight="false" outlineLevel="0" collapsed="false">
      <c r="A801" s="4" t="str">
        <f aca="false">B801&amp;"|"&amp;C801</f>
        <v>tdbR00000060 Glu-UUC|60</v>
      </c>
      <c r="B801" s="4" t="s">
        <v>47</v>
      </c>
      <c r="C801" s="4" t="s">
        <v>483</v>
      </c>
      <c r="D801" s="4" t="n">
        <v>59</v>
      </c>
      <c r="E801" s="19" t="s">
        <v>259</v>
      </c>
      <c r="F801" s="20" t="s">
        <v>477</v>
      </c>
    </row>
    <row r="802" customFormat="false" ht="15" hidden="false" customHeight="false" outlineLevel="0" collapsed="false">
      <c r="A802" s="4" t="str">
        <f aca="false">B802&amp;"|"&amp;C802</f>
        <v>tdbR00000060 Glu-UUC|61</v>
      </c>
      <c r="B802" s="4" t="s">
        <v>47</v>
      </c>
      <c r="C802" s="4" t="s">
        <v>484</v>
      </c>
      <c r="D802" s="4" t="n">
        <v>60</v>
      </c>
      <c r="E802" s="23" t="s">
        <v>414</v>
      </c>
      <c r="F802" s="10" t="s">
        <v>471</v>
      </c>
    </row>
    <row r="803" customFormat="false" ht="15" hidden="false" customHeight="false" outlineLevel="0" collapsed="false">
      <c r="A803" s="4" t="str">
        <f aca="false">B803&amp;"|"&amp;C803</f>
        <v>tdbR00000060 Glu-UUC|62</v>
      </c>
      <c r="B803" s="4" t="s">
        <v>47</v>
      </c>
      <c r="C803" s="4" t="s">
        <v>485</v>
      </c>
      <c r="D803" s="4" t="n">
        <v>61</v>
      </c>
      <c r="E803" s="23" t="s">
        <v>414</v>
      </c>
      <c r="F803" s="10" t="s">
        <v>471</v>
      </c>
    </row>
    <row r="804" customFormat="false" ht="15" hidden="false" customHeight="false" outlineLevel="0" collapsed="false">
      <c r="A804" s="4" t="str">
        <f aca="false">B804&amp;"|"&amp;C804</f>
        <v>tdbR00000060 Glu-UUC|63</v>
      </c>
      <c r="B804" s="4" t="s">
        <v>47</v>
      </c>
      <c r="C804" s="4" t="s">
        <v>486</v>
      </c>
      <c r="D804" s="4" t="n">
        <v>62</v>
      </c>
      <c r="E804" s="23" t="s">
        <v>414</v>
      </c>
      <c r="F804" s="10" t="s">
        <v>471</v>
      </c>
    </row>
    <row r="805" customFormat="false" ht="15" hidden="false" customHeight="false" outlineLevel="0" collapsed="false">
      <c r="A805" s="4" t="str">
        <f aca="false">B805&amp;"|"&amp;C805</f>
        <v>tdbR00000060 Glu-UUC|64</v>
      </c>
      <c r="B805" s="4" t="s">
        <v>47</v>
      </c>
      <c r="C805" s="4" t="s">
        <v>487</v>
      </c>
      <c r="D805" s="4" t="n">
        <v>63</v>
      </c>
      <c r="E805" s="23" t="s">
        <v>197</v>
      </c>
      <c r="F805" s="10" t="s">
        <v>471</v>
      </c>
    </row>
    <row r="806" customFormat="false" ht="15" hidden="false" customHeight="false" outlineLevel="0" collapsed="false">
      <c r="A806" s="4" t="str">
        <f aca="false">B806&amp;"|"&amp;C806</f>
        <v>tdbR00000060 Glu-UUC|65</v>
      </c>
      <c r="B806" s="4" t="s">
        <v>47</v>
      </c>
      <c r="C806" s="4" t="s">
        <v>488</v>
      </c>
      <c r="D806" s="4" t="n">
        <v>64</v>
      </c>
      <c r="E806" s="23" t="s">
        <v>197</v>
      </c>
      <c r="F806" s="10" t="s">
        <v>471</v>
      </c>
    </row>
    <row r="807" customFormat="false" ht="15" hidden="false" customHeight="false" outlineLevel="0" collapsed="false">
      <c r="A807" s="4" t="str">
        <f aca="false">B807&amp;"|"&amp;C807</f>
        <v>tdbR00000060 Glu-UUC|66</v>
      </c>
      <c r="B807" s="4" t="s">
        <v>47</v>
      </c>
      <c r="C807" s="4" t="s">
        <v>489</v>
      </c>
      <c r="D807" s="4" t="n">
        <v>65</v>
      </c>
      <c r="E807" s="17" t="s">
        <v>259</v>
      </c>
      <c r="F807" s="18" t="s">
        <v>412</v>
      </c>
    </row>
    <row r="808" customFormat="false" ht="15" hidden="false" customHeight="false" outlineLevel="0" collapsed="false">
      <c r="A808" s="4" t="str">
        <f aca="false">B808&amp;"|"&amp;C808</f>
        <v>tdbR00000060 Glu-UUC|67</v>
      </c>
      <c r="B808" s="4" t="s">
        <v>47</v>
      </c>
      <c r="C808" s="4" t="s">
        <v>490</v>
      </c>
      <c r="D808" s="4" t="n">
        <v>66</v>
      </c>
      <c r="E808" s="17" t="s">
        <v>246</v>
      </c>
      <c r="F808" s="18" t="s">
        <v>412</v>
      </c>
    </row>
    <row r="809" customFormat="false" ht="15" hidden="false" customHeight="false" outlineLevel="0" collapsed="false">
      <c r="A809" s="4" t="str">
        <f aca="false">B809&amp;"|"&amp;C809</f>
        <v>tdbR00000060 Glu-UUC|68</v>
      </c>
      <c r="B809" s="4" t="s">
        <v>47</v>
      </c>
      <c r="C809" s="4" t="s">
        <v>491</v>
      </c>
      <c r="D809" s="4" t="n">
        <v>67</v>
      </c>
      <c r="E809" s="17" t="s">
        <v>259</v>
      </c>
      <c r="F809" s="18" t="s">
        <v>412</v>
      </c>
    </row>
    <row r="810" customFormat="false" ht="15" hidden="false" customHeight="false" outlineLevel="0" collapsed="false">
      <c r="A810" s="4" t="str">
        <f aca="false">B810&amp;"|"&amp;C810</f>
        <v>tdbR00000060 Glu-UUC|69</v>
      </c>
      <c r="B810" s="4" t="s">
        <v>47</v>
      </c>
      <c r="C810" s="4" t="s">
        <v>492</v>
      </c>
      <c r="D810" s="4" t="n">
        <v>68</v>
      </c>
      <c r="E810" s="17" t="s">
        <v>197</v>
      </c>
      <c r="F810" s="18" t="s">
        <v>412</v>
      </c>
    </row>
    <row r="811" customFormat="false" ht="15" hidden="false" customHeight="false" outlineLevel="0" collapsed="false">
      <c r="A811" s="4" t="str">
        <f aca="false">B811&amp;"|"&amp;C811</f>
        <v>tdbR00000060 Glu-UUC|70</v>
      </c>
      <c r="B811" s="4" t="s">
        <v>47</v>
      </c>
      <c r="C811" s="4" t="s">
        <v>493</v>
      </c>
      <c r="D811" s="4" t="n">
        <v>69</v>
      </c>
      <c r="E811" s="17" t="s">
        <v>197</v>
      </c>
      <c r="F811" s="18" t="s">
        <v>412</v>
      </c>
    </row>
    <row r="812" customFormat="false" ht="15" hidden="false" customHeight="false" outlineLevel="0" collapsed="false">
      <c r="A812" s="4" t="str">
        <f aca="false">B812&amp;"|"&amp;C812</f>
        <v>tdbR00000060 Glu-UUC|71</v>
      </c>
      <c r="B812" s="4" t="s">
        <v>47</v>
      </c>
      <c r="C812" s="4" t="s">
        <v>494</v>
      </c>
      <c r="D812" s="4" t="n">
        <v>70</v>
      </c>
      <c r="E812" s="17" t="s">
        <v>197</v>
      </c>
      <c r="F812" s="18" t="s">
        <v>412</v>
      </c>
    </row>
    <row r="813" customFormat="false" ht="15" hidden="false" customHeight="false" outlineLevel="0" collapsed="false">
      <c r="A813" s="4" t="str">
        <f aca="false">B813&amp;"|"&amp;C813</f>
        <v>tdbR00000060 Glu-UUC|72</v>
      </c>
      <c r="B813" s="4" t="s">
        <v>47</v>
      </c>
      <c r="C813" s="4" t="s">
        <v>495</v>
      </c>
      <c r="D813" s="4" t="n">
        <v>71</v>
      </c>
      <c r="E813" s="17" t="s">
        <v>246</v>
      </c>
      <c r="F813" s="18" t="s">
        <v>412</v>
      </c>
    </row>
    <row r="814" customFormat="false" ht="15" hidden="false" customHeight="false" outlineLevel="0" collapsed="false">
      <c r="A814" s="4" t="str">
        <f aca="false">B814&amp;"|"&amp;C814</f>
        <v>tdbR00000147 His-GUG|1</v>
      </c>
      <c r="B814" s="4" t="s">
        <v>48</v>
      </c>
      <c r="C814" s="4" t="s">
        <v>411</v>
      </c>
      <c r="D814" s="4" t="n">
        <v>1</v>
      </c>
      <c r="E814" s="17" t="s">
        <v>197</v>
      </c>
      <c r="F814" s="18" t="s">
        <v>412</v>
      </c>
    </row>
    <row r="815" customFormat="false" ht="15" hidden="false" customHeight="false" outlineLevel="0" collapsed="false">
      <c r="A815" s="4" t="str">
        <f aca="false">B815&amp;"|"&amp;C815</f>
        <v>tdbR00000147 His-GUG|2</v>
      </c>
      <c r="B815" s="4" t="s">
        <v>48</v>
      </c>
      <c r="C815" s="4" t="s">
        <v>413</v>
      </c>
      <c r="D815" s="4" t="n">
        <v>2</v>
      </c>
      <c r="E815" s="17" t="s">
        <v>414</v>
      </c>
      <c r="F815" s="18" t="s">
        <v>412</v>
      </c>
    </row>
    <row r="816" customFormat="false" ht="15" hidden="false" customHeight="false" outlineLevel="0" collapsed="false">
      <c r="A816" s="4" t="str">
        <f aca="false">B816&amp;"|"&amp;C816</f>
        <v>tdbR00000147 His-GUG|3</v>
      </c>
      <c r="B816" s="4" t="s">
        <v>48</v>
      </c>
      <c r="C816" s="4" t="s">
        <v>415</v>
      </c>
      <c r="D816" s="4" t="n">
        <v>3</v>
      </c>
      <c r="E816" s="17" t="s">
        <v>414</v>
      </c>
      <c r="F816" s="18" t="s">
        <v>412</v>
      </c>
    </row>
    <row r="817" customFormat="false" ht="15" hidden="false" customHeight="false" outlineLevel="0" collapsed="false">
      <c r="A817" s="4" t="str">
        <f aca="false">B817&amp;"|"&amp;C817</f>
        <v>tdbR00000147 His-GUG|4</v>
      </c>
      <c r="B817" s="4" t="s">
        <v>48</v>
      </c>
      <c r="C817" s="4" t="s">
        <v>416</v>
      </c>
      <c r="D817" s="4" t="n">
        <v>4</v>
      </c>
      <c r="E817" s="17" t="s">
        <v>197</v>
      </c>
      <c r="F817" s="18" t="s">
        <v>412</v>
      </c>
    </row>
    <row r="818" customFormat="false" ht="15" hidden="false" customHeight="false" outlineLevel="0" collapsed="false">
      <c r="A818" s="4" t="str">
        <f aca="false">B818&amp;"|"&amp;C818</f>
        <v>tdbR00000147 His-GUG|5</v>
      </c>
      <c r="B818" s="4" t="s">
        <v>48</v>
      </c>
      <c r="C818" s="4" t="s">
        <v>417</v>
      </c>
      <c r="D818" s="4" t="n">
        <v>5</v>
      </c>
      <c r="E818" s="17" t="s">
        <v>259</v>
      </c>
      <c r="F818" s="18" t="s">
        <v>412</v>
      </c>
    </row>
    <row r="819" customFormat="false" ht="15" hidden="false" customHeight="false" outlineLevel="0" collapsed="false">
      <c r="A819" s="4" t="str">
        <f aca="false">B819&amp;"|"&amp;C819</f>
        <v>tdbR00000147 His-GUG|6</v>
      </c>
      <c r="B819" s="4" t="s">
        <v>48</v>
      </c>
      <c r="C819" s="4" t="s">
        <v>418</v>
      </c>
      <c r="D819" s="4" t="n">
        <v>6</v>
      </c>
      <c r="E819" s="17" t="s">
        <v>197</v>
      </c>
      <c r="F819" s="18" t="s">
        <v>412</v>
      </c>
    </row>
    <row r="820" customFormat="false" ht="15" hidden="false" customHeight="false" outlineLevel="0" collapsed="false">
      <c r="A820" s="4" t="str">
        <f aca="false">B820&amp;"|"&amp;C820</f>
        <v>tdbR00000147 His-GUG|7</v>
      </c>
      <c r="B820" s="4" t="s">
        <v>48</v>
      </c>
      <c r="C820" s="4" t="s">
        <v>419</v>
      </c>
      <c r="D820" s="4" t="n">
        <v>7</v>
      </c>
      <c r="E820" s="17" t="s">
        <v>246</v>
      </c>
      <c r="F820" s="18" t="s">
        <v>412</v>
      </c>
    </row>
    <row r="821" customFormat="false" ht="15" hidden="false" customHeight="false" outlineLevel="0" collapsed="false">
      <c r="A821" s="4" t="str">
        <f aca="false">B821&amp;"|"&amp;C821</f>
        <v>tdbR00000147 His-GUG|8</v>
      </c>
      <c r="B821" s="4" t="s">
        <v>48</v>
      </c>
      <c r="C821" s="4" t="s">
        <v>420</v>
      </c>
      <c r="D821" s="4" t="n">
        <v>8</v>
      </c>
      <c r="E821" s="3" t="s">
        <v>259</v>
      </c>
      <c r="F821" s="4" t="s">
        <v>421</v>
      </c>
    </row>
    <row r="822" customFormat="false" ht="15" hidden="false" customHeight="false" outlineLevel="0" collapsed="false">
      <c r="A822" s="4" t="str">
        <f aca="false">B822&amp;"|"&amp;C822</f>
        <v>tdbR00000147 His-GUG|9</v>
      </c>
      <c r="B822" s="4" t="s">
        <v>48</v>
      </c>
      <c r="C822" s="4" t="s">
        <v>422</v>
      </c>
      <c r="D822" s="4" t="n">
        <v>9</v>
      </c>
      <c r="E822" s="3" t="s">
        <v>414</v>
      </c>
      <c r="F822" s="4" t="s">
        <v>423</v>
      </c>
    </row>
    <row r="823" customFormat="false" ht="15" hidden="false" customHeight="false" outlineLevel="0" collapsed="false">
      <c r="A823" s="4" t="str">
        <f aca="false">B823&amp;"|"&amp;C823</f>
        <v>tdbR00000147 His-GUG|10</v>
      </c>
      <c r="B823" s="4" t="s">
        <v>48</v>
      </c>
      <c r="C823" s="4" t="s">
        <v>424</v>
      </c>
      <c r="D823" s="4" t="n">
        <v>10</v>
      </c>
      <c r="E823" s="8" t="s">
        <v>197</v>
      </c>
      <c r="F823" s="7" t="s">
        <v>425</v>
      </c>
    </row>
    <row r="824" customFormat="false" ht="15" hidden="false" customHeight="false" outlineLevel="0" collapsed="false">
      <c r="A824" s="4" t="str">
        <f aca="false">B824&amp;"|"&amp;C824</f>
        <v>tdbR00000147 His-GUG|11</v>
      </c>
      <c r="B824" s="4" t="s">
        <v>48</v>
      </c>
      <c r="C824" s="4" t="s">
        <v>426</v>
      </c>
      <c r="D824" s="4" t="n">
        <v>11</v>
      </c>
      <c r="E824" s="8" t="s">
        <v>259</v>
      </c>
      <c r="F824" s="7" t="s">
        <v>425</v>
      </c>
    </row>
    <row r="825" customFormat="false" ht="15" hidden="false" customHeight="false" outlineLevel="0" collapsed="false">
      <c r="A825" s="4" t="str">
        <f aca="false">B825&amp;"|"&amp;C825</f>
        <v>tdbR00000147 His-GUG|12</v>
      </c>
      <c r="B825" s="4" t="s">
        <v>48</v>
      </c>
      <c r="C825" s="4" t="s">
        <v>427</v>
      </c>
      <c r="D825" s="4" t="n">
        <v>12</v>
      </c>
      <c r="E825" s="8" t="s">
        <v>414</v>
      </c>
      <c r="F825" s="7" t="s">
        <v>425</v>
      </c>
    </row>
    <row r="826" customFormat="false" ht="15" hidden="false" customHeight="false" outlineLevel="0" collapsed="false">
      <c r="A826" s="4" t="str">
        <f aca="false">B826&amp;"|"&amp;C826</f>
        <v>tdbR00000147 His-GUG|13</v>
      </c>
      <c r="B826" s="4" t="s">
        <v>48</v>
      </c>
      <c r="C826" s="4" t="s">
        <v>428</v>
      </c>
      <c r="D826" s="4" t="n">
        <v>13</v>
      </c>
      <c r="E826" s="8" t="s">
        <v>259</v>
      </c>
      <c r="F826" s="7" t="s">
        <v>425</v>
      </c>
    </row>
    <row r="827" customFormat="false" ht="15" hidden="false" customHeight="false" outlineLevel="0" collapsed="false">
      <c r="A827" s="4" t="str">
        <f aca="false">B827&amp;"|"&amp;C827</f>
        <v>tdbR00000147 His-GUG|14</v>
      </c>
      <c r="B827" s="4" t="s">
        <v>48</v>
      </c>
      <c r="C827" s="4" t="s">
        <v>429</v>
      </c>
      <c r="D827" s="4" t="n">
        <v>14</v>
      </c>
      <c r="E827" s="19" t="s">
        <v>246</v>
      </c>
      <c r="F827" s="20" t="s">
        <v>430</v>
      </c>
    </row>
    <row r="828" customFormat="false" ht="15" hidden="false" customHeight="false" outlineLevel="0" collapsed="false">
      <c r="A828" s="4" t="str">
        <f aca="false">B828&amp;"|"&amp;C828</f>
        <v>tdbR00000147 His-GUG|15</v>
      </c>
      <c r="B828" s="4" t="s">
        <v>48</v>
      </c>
      <c r="C828" s="4" t="s">
        <v>431</v>
      </c>
      <c r="D828" s="4" t="n">
        <v>15</v>
      </c>
      <c r="E828" s="19" t="s">
        <v>197</v>
      </c>
      <c r="F828" s="20" t="s">
        <v>430</v>
      </c>
    </row>
    <row r="829" customFormat="false" ht="15" hidden="false" customHeight="false" outlineLevel="0" collapsed="false">
      <c r="A829" s="4" t="str">
        <f aca="false">B829&amp;"|"&amp;C829</f>
        <v>tdbR00000147 His-GUG|16</v>
      </c>
      <c r="B829" s="4" t="s">
        <v>48</v>
      </c>
      <c r="C829" s="4" t="s">
        <v>432</v>
      </c>
      <c r="D829" s="4" t="n">
        <v>16</v>
      </c>
      <c r="E829" s="19" t="s">
        <v>259</v>
      </c>
      <c r="F829" s="20" t="s">
        <v>430</v>
      </c>
    </row>
    <row r="830" customFormat="false" ht="15" hidden="false" customHeight="false" outlineLevel="0" collapsed="false">
      <c r="A830" s="4" t="str">
        <f aca="false">B830&amp;"|"&amp;C830</f>
        <v>tdbR00000147 His-GUG|18</v>
      </c>
      <c r="B830" s="4" t="s">
        <v>48</v>
      </c>
      <c r="C830" s="4" t="s">
        <v>434</v>
      </c>
      <c r="D830" s="4" t="n">
        <v>17</v>
      </c>
      <c r="E830" s="19" t="s">
        <v>197</v>
      </c>
      <c r="F830" s="20" t="s">
        <v>430</v>
      </c>
    </row>
    <row r="831" customFormat="false" ht="15" hidden="false" customHeight="false" outlineLevel="0" collapsed="false">
      <c r="A831" s="4" t="str">
        <f aca="false">B831&amp;"|"&amp;C831</f>
        <v>tdbR00000147 His-GUG|19</v>
      </c>
      <c r="B831" s="4" t="s">
        <v>48</v>
      </c>
      <c r="C831" s="4" t="s">
        <v>435</v>
      </c>
      <c r="D831" s="4" t="n">
        <v>18</v>
      </c>
      <c r="E831" s="19" t="s">
        <v>197</v>
      </c>
      <c r="F831" s="20" t="s">
        <v>430</v>
      </c>
    </row>
    <row r="832" customFormat="false" ht="15" hidden="false" customHeight="false" outlineLevel="0" collapsed="false">
      <c r="A832" s="4" t="str">
        <f aca="false">B832&amp;"|"&amp;C832</f>
        <v>tdbR00000147 His-GUG|20</v>
      </c>
      <c r="B832" s="4" t="s">
        <v>48</v>
      </c>
      <c r="C832" s="4" t="s">
        <v>436</v>
      </c>
      <c r="D832" s="4" t="n">
        <v>19</v>
      </c>
      <c r="E832" s="19" t="s">
        <v>259</v>
      </c>
      <c r="F832" s="20" t="s">
        <v>430</v>
      </c>
    </row>
    <row r="833" customFormat="false" ht="15" hidden="false" customHeight="false" outlineLevel="0" collapsed="false">
      <c r="A833" s="4" t="str">
        <f aca="false">B833&amp;"|"&amp;C833</f>
        <v>tdbR00000147 His-GUG|20a</v>
      </c>
      <c r="B833" s="4" t="s">
        <v>48</v>
      </c>
      <c r="C833" s="4" t="s">
        <v>437</v>
      </c>
      <c r="D833" s="4" t="n">
        <v>20</v>
      </c>
      <c r="E833" s="19" t="s">
        <v>259</v>
      </c>
      <c r="F833" s="20" t="s">
        <v>430</v>
      </c>
    </row>
    <row r="834" customFormat="false" ht="15" hidden="false" customHeight="false" outlineLevel="0" collapsed="false">
      <c r="A834" s="4" t="str">
        <f aca="false">B834&amp;"|"&amp;C834</f>
        <v>tdbR00000147 His-GUG|21</v>
      </c>
      <c r="B834" s="4" t="s">
        <v>48</v>
      </c>
      <c r="C834" s="4" t="s">
        <v>438</v>
      </c>
      <c r="D834" s="4" t="n">
        <v>21</v>
      </c>
      <c r="E834" s="19" t="s">
        <v>246</v>
      </c>
      <c r="F834" s="20" t="s">
        <v>430</v>
      </c>
    </row>
    <row r="835" customFormat="false" ht="15" hidden="false" customHeight="false" outlineLevel="0" collapsed="false">
      <c r="A835" s="4" t="str">
        <f aca="false">B835&amp;"|"&amp;C835</f>
        <v>tdbR00000147 His-GUG|22</v>
      </c>
      <c r="B835" s="4" t="s">
        <v>48</v>
      </c>
      <c r="C835" s="4" t="s">
        <v>439</v>
      </c>
      <c r="D835" s="4" t="n">
        <v>22</v>
      </c>
      <c r="E835" s="8" t="s">
        <v>197</v>
      </c>
      <c r="F835" s="7" t="s">
        <v>425</v>
      </c>
    </row>
    <row r="836" customFormat="false" ht="15" hidden="false" customHeight="false" outlineLevel="0" collapsed="false">
      <c r="A836" s="4" t="str">
        <f aca="false">B836&amp;"|"&amp;C836</f>
        <v>tdbR00000147 His-GUG|23</v>
      </c>
      <c r="B836" s="4" t="s">
        <v>48</v>
      </c>
      <c r="C836" s="4" t="s">
        <v>440</v>
      </c>
      <c r="D836" s="4" t="n">
        <v>23</v>
      </c>
      <c r="E836" s="8" t="s">
        <v>197</v>
      </c>
      <c r="F836" s="7" t="s">
        <v>425</v>
      </c>
    </row>
    <row r="837" customFormat="false" ht="15" hidden="false" customHeight="false" outlineLevel="0" collapsed="false">
      <c r="A837" s="4" t="str">
        <f aca="false">B837&amp;"|"&amp;C837</f>
        <v>tdbR00000147 His-GUG|24</v>
      </c>
      <c r="B837" s="4" t="s">
        <v>48</v>
      </c>
      <c r="C837" s="4" t="s">
        <v>441</v>
      </c>
      <c r="D837" s="4" t="n">
        <v>24</v>
      </c>
      <c r="E837" s="8" t="s">
        <v>246</v>
      </c>
      <c r="F837" s="7" t="s">
        <v>425</v>
      </c>
    </row>
    <row r="838" customFormat="false" ht="15" hidden="false" customHeight="false" outlineLevel="0" collapsed="false">
      <c r="A838" s="4" t="str">
        <f aca="false">B838&amp;"|"&amp;C838</f>
        <v>tdbR00000147 His-GUG|25</v>
      </c>
      <c r="B838" s="4" t="s">
        <v>48</v>
      </c>
      <c r="C838" s="4" t="s">
        <v>442</v>
      </c>
      <c r="D838" s="4" t="n">
        <v>25</v>
      </c>
      <c r="E838" s="8" t="s">
        <v>414</v>
      </c>
      <c r="F838" s="7" t="s">
        <v>425</v>
      </c>
    </row>
    <row r="839" customFormat="false" ht="15" hidden="false" customHeight="false" outlineLevel="0" collapsed="false">
      <c r="A839" s="4" t="str">
        <f aca="false">B839&amp;"|"&amp;C839</f>
        <v>tdbR00000147 His-GUG|26</v>
      </c>
      <c r="B839" s="4" t="s">
        <v>48</v>
      </c>
      <c r="C839" s="4" t="s">
        <v>443</v>
      </c>
      <c r="D839" s="4" t="n">
        <v>26</v>
      </c>
      <c r="E839" s="3" t="s">
        <v>414</v>
      </c>
      <c r="F839" s="4" t="s">
        <v>444</v>
      </c>
    </row>
    <row r="840" customFormat="false" ht="15" hidden="false" customHeight="false" outlineLevel="0" collapsed="false">
      <c r="A840" s="4" t="str">
        <f aca="false">B840&amp;"|"&amp;C840</f>
        <v>tdbR00000147 His-GUG|27</v>
      </c>
      <c r="B840" s="4" t="s">
        <v>48</v>
      </c>
      <c r="C840" s="4" t="s">
        <v>445</v>
      </c>
      <c r="D840" s="4" t="n">
        <v>27</v>
      </c>
      <c r="E840" s="21" t="s">
        <v>414</v>
      </c>
      <c r="F840" s="22" t="s">
        <v>446</v>
      </c>
    </row>
    <row r="841" customFormat="false" ht="15" hidden="false" customHeight="false" outlineLevel="0" collapsed="false">
      <c r="A841" s="4" t="str">
        <f aca="false">B841&amp;"|"&amp;C841</f>
        <v>tdbR00000147 His-GUG|28</v>
      </c>
      <c r="B841" s="4" t="s">
        <v>48</v>
      </c>
      <c r="C841" s="4" t="s">
        <v>447</v>
      </c>
      <c r="D841" s="4" t="n">
        <v>28</v>
      </c>
      <c r="E841" s="21" t="s">
        <v>414</v>
      </c>
      <c r="F841" s="22" t="s">
        <v>446</v>
      </c>
    </row>
    <row r="842" customFormat="false" ht="15" hidden="false" customHeight="false" outlineLevel="0" collapsed="false">
      <c r="A842" s="4" t="str">
        <f aca="false">B842&amp;"|"&amp;C842</f>
        <v>tdbR00000147 His-GUG|29</v>
      </c>
      <c r="B842" s="4" t="s">
        <v>48</v>
      </c>
      <c r="C842" s="4" t="s">
        <v>448</v>
      </c>
      <c r="D842" s="4" t="n">
        <v>29</v>
      </c>
      <c r="E842" s="21" t="s">
        <v>246</v>
      </c>
      <c r="F842" s="22" t="s">
        <v>446</v>
      </c>
    </row>
    <row r="843" customFormat="false" ht="15" hidden="false" customHeight="false" outlineLevel="0" collapsed="false">
      <c r="A843" s="4" t="str">
        <f aca="false">B843&amp;"|"&amp;C843</f>
        <v>tdbR00000147 His-GUG|30</v>
      </c>
      <c r="B843" s="4" t="s">
        <v>48</v>
      </c>
      <c r="C843" s="4" t="s">
        <v>449</v>
      </c>
      <c r="D843" s="4" t="n">
        <v>30</v>
      </c>
      <c r="E843" s="21" t="s">
        <v>414</v>
      </c>
      <c r="F843" s="22" t="s">
        <v>446</v>
      </c>
    </row>
    <row r="844" customFormat="false" ht="15" hidden="false" customHeight="false" outlineLevel="0" collapsed="false">
      <c r="A844" s="4" t="str">
        <f aca="false">B844&amp;"|"&amp;C844</f>
        <v>tdbR00000147 His-GUG|31</v>
      </c>
      <c r="B844" s="4" t="s">
        <v>48</v>
      </c>
      <c r="C844" s="4" t="s">
        <v>450</v>
      </c>
      <c r="D844" s="4" t="n">
        <v>31</v>
      </c>
      <c r="E844" s="21" t="s">
        <v>197</v>
      </c>
      <c r="F844" s="22" t="s">
        <v>446</v>
      </c>
    </row>
    <row r="845" customFormat="false" ht="15" hidden="false" customHeight="false" outlineLevel="0" collapsed="false">
      <c r="A845" s="4" t="str">
        <f aca="false">B845&amp;"|"&amp;C845</f>
        <v>tdbR00000147 His-GUG|32</v>
      </c>
      <c r="B845" s="4" t="s">
        <v>48</v>
      </c>
      <c r="C845" s="4" t="s">
        <v>451</v>
      </c>
      <c r="D845" s="4" t="n">
        <v>32</v>
      </c>
      <c r="E845" s="19" t="s">
        <v>259</v>
      </c>
      <c r="F845" s="20" t="s">
        <v>452</v>
      </c>
    </row>
    <row r="846" customFormat="false" ht="15" hidden="false" customHeight="false" outlineLevel="0" collapsed="false">
      <c r="A846" s="4" t="str">
        <f aca="false">B846&amp;"|"&amp;C846</f>
        <v>tdbR00000147 His-GUG|33</v>
      </c>
      <c r="B846" s="4" t="s">
        <v>48</v>
      </c>
      <c r="C846" s="4" t="s">
        <v>453</v>
      </c>
      <c r="D846" s="4" t="n">
        <v>33</v>
      </c>
      <c r="E846" s="19" t="s">
        <v>259</v>
      </c>
      <c r="F846" s="20" t="s">
        <v>452</v>
      </c>
    </row>
    <row r="847" customFormat="false" ht="15" hidden="false" customHeight="false" outlineLevel="0" collapsed="false">
      <c r="A847" s="4" t="str">
        <f aca="false">B847&amp;"|"&amp;C847</f>
        <v>tdbR00000147 His-GUG|34</v>
      </c>
      <c r="B847" s="4" t="s">
        <v>48</v>
      </c>
      <c r="C847" s="4" t="s">
        <v>454</v>
      </c>
      <c r="D847" s="4" t="n">
        <v>34</v>
      </c>
      <c r="E847" s="19" t="s">
        <v>197</v>
      </c>
      <c r="F847" s="20" t="s">
        <v>452</v>
      </c>
    </row>
    <row r="848" customFormat="false" ht="15" hidden="false" customHeight="false" outlineLevel="0" collapsed="false">
      <c r="A848" s="4" t="str">
        <f aca="false">B848&amp;"|"&amp;C848</f>
        <v>tdbR00000147 His-GUG|35</v>
      </c>
      <c r="B848" s="4" t="s">
        <v>48</v>
      </c>
      <c r="C848" s="4" t="s">
        <v>455</v>
      </c>
      <c r="D848" s="4" t="n">
        <v>35</v>
      </c>
      <c r="E848" s="19" t="s">
        <v>259</v>
      </c>
      <c r="F848" s="20" t="s">
        <v>452</v>
      </c>
    </row>
    <row r="849" customFormat="false" ht="15" hidden="false" customHeight="false" outlineLevel="0" collapsed="false">
      <c r="A849" s="4" t="str">
        <f aca="false">B849&amp;"|"&amp;C849</f>
        <v>tdbR00000147 His-GUG|36</v>
      </c>
      <c r="B849" s="4" t="s">
        <v>48</v>
      </c>
      <c r="C849" s="4" t="s">
        <v>456</v>
      </c>
      <c r="D849" s="4" t="n">
        <v>36</v>
      </c>
      <c r="E849" s="19" t="s">
        <v>197</v>
      </c>
      <c r="F849" s="20" t="s">
        <v>452</v>
      </c>
    </row>
    <row r="850" customFormat="false" ht="15" hidden="false" customHeight="false" outlineLevel="0" collapsed="false">
      <c r="A850" s="4" t="str">
        <f aca="false">B850&amp;"|"&amp;C850</f>
        <v>tdbR00000147 His-GUG|37</v>
      </c>
      <c r="B850" s="4" t="s">
        <v>48</v>
      </c>
      <c r="C850" s="4" t="s">
        <v>457</v>
      </c>
      <c r="D850" s="4" t="n">
        <v>37</v>
      </c>
      <c r="E850" s="19" t="s">
        <v>197</v>
      </c>
      <c r="F850" s="20" t="s">
        <v>452</v>
      </c>
    </row>
    <row r="851" customFormat="false" ht="15" hidden="false" customHeight="false" outlineLevel="0" collapsed="false">
      <c r="A851" s="4" t="str">
        <f aca="false">B851&amp;"|"&amp;C851</f>
        <v>tdbR00000147 His-GUG|38</v>
      </c>
      <c r="B851" s="4" t="s">
        <v>48</v>
      </c>
      <c r="C851" s="4" t="s">
        <v>458</v>
      </c>
      <c r="D851" s="4" t="n">
        <v>38</v>
      </c>
      <c r="E851" s="19" t="s">
        <v>414</v>
      </c>
      <c r="F851" s="20" t="s">
        <v>452</v>
      </c>
    </row>
    <row r="852" customFormat="false" ht="15" hidden="false" customHeight="false" outlineLevel="0" collapsed="false">
      <c r="A852" s="4" t="str">
        <f aca="false">B852&amp;"|"&amp;C852</f>
        <v>tdbR00000147 His-GUG|39</v>
      </c>
      <c r="B852" s="4" t="s">
        <v>48</v>
      </c>
      <c r="C852" s="4" t="s">
        <v>459</v>
      </c>
      <c r="D852" s="4" t="n">
        <v>39</v>
      </c>
      <c r="E852" s="21" t="s">
        <v>414</v>
      </c>
      <c r="F852" s="22" t="s">
        <v>446</v>
      </c>
    </row>
    <row r="853" customFormat="false" ht="15" hidden="false" customHeight="false" outlineLevel="0" collapsed="false">
      <c r="A853" s="4" t="str">
        <f aca="false">B853&amp;"|"&amp;C853</f>
        <v>tdbR00000147 His-GUG|40</v>
      </c>
      <c r="B853" s="4" t="s">
        <v>48</v>
      </c>
      <c r="C853" s="4" t="s">
        <v>460</v>
      </c>
      <c r="D853" s="4" t="n">
        <v>40</v>
      </c>
      <c r="E853" s="21" t="s">
        <v>197</v>
      </c>
      <c r="F853" s="22" t="s">
        <v>446</v>
      </c>
    </row>
    <row r="854" customFormat="false" ht="15" hidden="false" customHeight="false" outlineLevel="0" collapsed="false">
      <c r="A854" s="4" t="str">
        <f aca="false">B854&amp;"|"&amp;C854</f>
        <v>tdbR00000147 His-GUG|41</v>
      </c>
      <c r="B854" s="4" t="s">
        <v>48</v>
      </c>
      <c r="C854" s="4" t="s">
        <v>461</v>
      </c>
      <c r="D854" s="4" t="n">
        <v>41</v>
      </c>
      <c r="E854" s="21" t="s">
        <v>259</v>
      </c>
      <c r="F854" s="22" t="s">
        <v>446</v>
      </c>
    </row>
    <row r="855" customFormat="false" ht="15" hidden="false" customHeight="false" outlineLevel="0" collapsed="false">
      <c r="A855" s="4" t="str">
        <f aca="false">B855&amp;"|"&amp;C855</f>
        <v>tdbR00000147 His-GUG|42</v>
      </c>
      <c r="B855" s="4" t="s">
        <v>48</v>
      </c>
      <c r="C855" s="4" t="s">
        <v>462</v>
      </c>
      <c r="D855" s="4" t="n">
        <v>42</v>
      </c>
      <c r="E855" s="21" t="s">
        <v>197</v>
      </c>
      <c r="F855" s="22" t="s">
        <v>446</v>
      </c>
    </row>
    <row r="856" customFormat="false" ht="15" hidden="false" customHeight="false" outlineLevel="0" collapsed="false">
      <c r="A856" s="4" t="str">
        <f aca="false">B856&amp;"|"&amp;C856</f>
        <v>tdbR00000147 His-GUG|43</v>
      </c>
      <c r="B856" s="4" t="s">
        <v>48</v>
      </c>
      <c r="C856" s="4" t="s">
        <v>463</v>
      </c>
      <c r="D856" s="4" t="n">
        <v>43</v>
      </c>
      <c r="E856" s="21" t="s">
        <v>197</v>
      </c>
      <c r="F856" s="22" t="s">
        <v>446</v>
      </c>
    </row>
    <row r="857" customFormat="false" ht="15" hidden="false" customHeight="false" outlineLevel="0" collapsed="false">
      <c r="A857" s="4" t="str">
        <f aca="false">B857&amp;"|"&amp;C857</f>
        <v>tdbR00000147 His-GUG|44</v>
      </c>
      <c r="B857" s="4" t="s">
        <v>48</v>
      </c>
      <c r="C857" s="4" t="s">
        <v>464</v>
      </c>
      <c r="D857" s="4" t="n">
        <v>44</v>
      </c>
      <c r="E857" s="19" t="s">
        <v>259</v>
      </c>
      <c r="F857" s="20" t="s">
        <v>465</v>
      </c>
    </row>
    <row r="858" customFormat="false" ht="15" hidden="false" customHeight="false" outlineLevel="0" collapsed="false">
      <c r="A858" s="4" t="str">
        <f aca="false">B858&amp;"|"&amp;C858</f>
        <v>tdbR00000147 His-GUG|45</v>
      </c>
      <c r="B858" s="4" t="s">
        <v>48</v>
      </c>
      <c r="C858" s="4" t="s">
        <v>466</v>
      </c>
      <c r="D858" s="4" t="n">
        <v>45</v>
      </c>
      <c r="E858" s="19" t="s">
        <v>246</v>
      </c>
      <c r="F858" s="20" t="s">
        <v>465</v>
      </c>
    </row>
    <row r="859" customFormat="false" ht="15" hidden="false" customHeight="false" outlineLevel="0" collapsed="false">
      <c r="A859" s="4" t="str">
        <f aca="false">B859&amp;"|"&amp;C859</f>
        <v>tdbR00000147 His-GUG|46</v>
      </c>
      <c r="B859" s="4" t="s">
        <v>48</v>
      </c>
      <c r="C859" s="4" t="s">
        <v>467</v>
      </c>
      <c r="D859" s="4" t="n">
        <v>46</v>
      </c>
      <c r="E859" s="19" t="s">
        <v>246</v>
      </c>
      <c r="F859" s="20" t="s">
        <v>465</v>
      </c>
    </row>
    <row r="860" customFormat="false" ht="15" hidden="false" customHeight="false" outlineLevel="0" collapsed="false">
      <c r="A860" s="4" t="str">
        <f aca="false">B860&amp;"|"&amp;C860</f>
        <v>tdbR00000147 His-GUG|48</v>
      </c>
      <c r="B860" s="4" t="s">
        <v>48</v>
      </c>
      <c r="C860" s="4" t="s">
        <v>469</v>
      </c>
      <c r="D860" s="4" t="n">
        <v>47</v>
      </c>
      <c r="E860" s="19" t="s">
        <v>414</v>
      </c>
      <c r="F860" s="20" t="s">
        <v>465</v>
      </c>
    </row>
    <row r="861" customFormat="false" ht="15" hidden="false" customHeight="false" outlineLevel="0" collapsed="false">
      <c r="A861" s="4" t="str">
        <f aca="false">B861&amp;"|"&amp;C861</f>
        <v>tdbR00000147 His-GUG|49</v>
      </c>
      <c r="B861" s="4" t="s">
        <v>48</v>
      </c>
      <c r="C861" s="4" t="s">
        <v>470</v>
      </c>
      <c r="D861" s="4" t="n">
        <v>48</v>
      </c>
      <c r="E861" s="23" t="s">
        <v>414</v>
      </c>
      <c r="F861" s="10" t="s">
        <v>471</v>
      </c>
    </row>
    <row r="862" customFormat="false" ht="15" hidden="false" customHeight="false" outlineLevel="0" collapsed="false">
      <c r="A862" s="4" t="str">
        <f aca="false">B862&amp;"|"&amp;C862</f>
        <v>tdbR00000147 His-GUG|50</v>
      </c>
      <c r="B862" s="4" t="s">
        <v>48</v>
      </c>
      <c r="C862" s="4" t="s">
        <v>472</v>
      </c>
      <c r="D862" s="4" t="n">
        <v>49</v>
      </c>
      <c r="E862" s="23" t="s">
        <v>414</v>
      </c>
      <c r="F862" s="10" t="s">
        <v>471</v>
      </c>
    </row>
    <row r="863" customFormat="false" ht="15" hidden="false" customHeight="false" outlineLevel="0" collapsed="false">
      <c r="A863" s="4" t="str">
        <f aca="false">B863&amp;"|"&amp;C863</f>
        <v>tdbR00000147 His-GUG|51</v>
      </c>
      <c r="B863" s="4" t="s">
        <v>48</v>
      </c>
      <c r="C863" s="4" t="s">
        <v>473</v>
      </c>
      <c r="D863" s="4" t="n">
        <v>50</v>
      </c>
      <c r="E863" s="23" t="s">
        <v>246</v>
      </c>
      <c r="F863" s="10" t="s">
        <v>471</v>
      </c>
    </row>
    <row r="864" customFormat="false" ht="15" hidden="false" customHeight="false" outlineLevel="0" collapsed="false">
      <c r="A864" s="4" t="str">
        <f aca="false">B864&amp;"|"&amp;C864</f>
        <v>tdbR00000147 His-GUG|52</v>
      </c>
      <c r="B864" s="4" t="s">
        <v>48</v>
      </c>
      <c r="C864" s="4" t="s">
        <v>474</v>
      </c>
      <c r="D864" s="4" t="n">
        <v>51</v>
      </c>
      <c r="E864" s="23" t="s">
        <v>197</v>
      </c>
      <c r="F864" s="10" t="s">
        <v>471</v>
      </c>
    </row>
    <row r="865" customFormat="false" ht="15" hidden="false" customHeight="false" outlineLevel="0" collapsed="false">
      <c r="A865" s="4" t="str">
        <f aca="false">B865&amp;"|"&amp;C865</f>
        <v>tdbR00000147 His-GUG|53</v>
      </c>
      <c r="B865" s="4" t="s">
        <v>48</v>
      </c>
      <c r="C865" s="4" t="s">
        <v>475</v>
      </c>
      <c r="D865" s="4" t="n">
        <v>52</v>
      </c>
      <c r="E865" s="23" t="s">
        <v>197</v>
      </c>
      <c r="F865" s="10" t="s">
        <v>471</v>
      </c>
    </row>
    <row r="866" customFormat="false" ht="15" hidden="false" customHeight="false" outlineLevel="0" collapsed="false">
      <c r="A866" s="4" t="str">
        <f aca="false">B866&amp;"|"&amp;C866</f>
        <v>tdbR00000147 His-GUG|54</v>
      </c>
      <c r="B866" s="4" t="s">
        <v>48</v>
      </c>
      <c r="C866" s="4" t="s">
        <v>476</v>
      </c>
      <c r="D866" s="4" t="n">
        <v>53</v>
      </c>
      <c r="E866" s="19" t="s">
        <v>259</v>
      </c>
      <c r="F866" s="20" t="s">
        <v>477</v>
      </c>
    </row>
    <row r="867" customFormat="false" ht="15" hidden="false" customHeight="false" outlineLevel="0" collapsed="false">
      <c r="A867" s="4" t="str">
        <f aca="false">B867&amp;"|"&amp;C867</f>
        <v>tdbR00000147 His-GUG|55</v>
      </c>
      <c r="B867" s="4" t="s">
        <v>48</v>
      </c>
      <c r="C867" s="4" t="s">
        <v>478</v>
      </c>
      <c r="D867" s="4" t="n">
        <v>54</v>
      </c>
      <c r="E867" s="19" t="s">
        <v>259</v>
      </c>
      <c r="F867" s="20" t="s">
        <v>477</v>
      </c>
    </row>
    <row r="868" customFormat="false" ht="15" hidden="false" customHeight="false" outlineLevel="0" collapsed="false">
      <c r="A868" s="4" t="str">
        <f aca="false">B868&amp;"|"&amp;C868</f>
        <v>tdbR00000147 His-GUG|56</v>
      </c>
      <c r="B868" s="4" t="s">
        <v>48</v>
      </c>
      <c r="C868" s="4" t="s">
        <v>479</v>
      </c>
      <c r="D868" s="4" t="n">
        <v>55</v>
      </c>
      <c r="E868" s="19" t="s">
        <v>414</v>
      </c>
      <c r="F868" s="20" t="s">
        <v>477</v>
      </c>
    </row>
    <row r="869" customFormat="false" ht="15" hidden="false" customHeight="false" outlineLevel="0" collapsed="false">
      <c r="A869" s="4" t="str">
        <f aca="false">B869&amp;"|"&amp;C869</f>
        <v>tdbR00000147 His-GUG|57</v>
      </c>
      <c r="B869" s="4" t="s">
        <v>48</v>
      </c>
      <c r="C869" s="4" t="s">
        <v>480</v>
      </c>
      <c r="D869" s="4" t="n">
        <v>56</v>
      </c>
      <c r="E869" s="19" t="s">
        <v>197</v>
      </c>
      <c r="F869" s="20" t="s">
        <v>477</v>
      </c>
    </row>
    <row r="870" customFormat="false" ht="15" hidden="false" customHeight="false" outlineLevel="0" collapsed="false">
      <c r="A870" s="4" t="str">
        <f aca="false">B870&amp;"|"&amp;C870</f>
        <v>tdbR00000147 His-GUG|58</v>
      </c>
      <c r="B870" s="4" t="s">
        <v>48</v>
      </c>
      <c r="C870" s="4" t="s">
        <v>481</v>
      </c>
      <c r="D870" s="4" t="n">
        <v>57</v>
      </c>
      <c r="E870" s="19" t="s">
        <v>246</v>
      </c>
      <c r="F870" s="20" t="s">
        <v>477</v>
      </c>
    </row>
    <row r="871" customFormat="false" ht="15" hidden="false" customHeight="false" outlineLevel="0" collapsed="false">
      <c r="A871" s="4" t="str">
        <f aca="false">B871&amp;"|"&amp;C871</f>
        <v>tdbR00000147 His-GUG|59</v>
      </c>
      <c r="B871" s="4" t="s">
        <v>48</v>
      </c>
      <c r="C871" s="4" t="s">
        <v>482</v>
      </c>
      <c r="D871" s="4" t="n">
        <v>58</v>
      </c>
      <c r="E871" s="19" t="s">
        <v>246</v>
      </c>
      <c r="F871" s="20" t="s">
        <v>477</v>
      </c>
    </row>
    <row r="872" customFormat="false" ht="15" hidden="false" customHeight="false" outlineLevel="0" collapsed="false">
      <c r="A872" s="4" t="str">
        <f aca="false">B872&amp;"|"&amp;C872</f>
        <v>tdbR00000147 His-GUG|60</v>
      </c>
      <c r="B872" s="4" t="s">
        <v>48</v>
      </c>
      <c r="C872" s="4" t="s">
        <v>483</v>
      </c>
      <c r="D872" s="4" t="n">
        <v>59</v>
      </c>
      <c r="E872" s="19" t="s">
        <v>259</v>
      </c>
      <c r="F872" s="20" t="s">
        <v>477</v>
      </c>
    </row>
    <row r="873" customFormat="false" ht="15" hidden="false" customHeight="false" outlineLevel="0" collapsed="false">
      <c r="A873" s="4" t="str">
        <f aca="false">B873&amp;"|"&amp;C873</f>
        <v>tdbR00000147 His-GUG|61</v>
      </c>
      <c r="B873" s="4" t="s">
        <v>48</v>
      </c>
      <c r="C873" s="4" t="s">
        <v>484</v>
      </c>
      <c r="D873" s="4" t="n">
        <v>60</v>
      </c>
      <c r="E873" s="23" t="s">
        <v>414</v>
      </c>
      <c r="F873" s="10" t="s">
        <v>471</v>
      </c>
    </row>
    <row r="874" customFormat="false" ht="15" hidden="false" customHeight="false" outlineLevel="0" collapsed="false">
      <c r="A874" s="4" t="str">
        <f aca="false">B874&amp;"|"&amp;C874</f>
        <v>tdbR00000147 His-GUG|62</v>
      </c>
      <c r="B874" s="4" t="s">
        <v>48</v>
      </c>
      <c r="C874" s="4" t="s">
        <v>485</v>
      </c>
      <c r="D874" s="4" t="n">
        <v>61</v>
      </c>
      <c r="E874" s="23" t="s">
        <v>414</v>
      </c>
      <c r="F874" s="10" t="s">
        <v>471</v>
      </c>
    </row>
    <row r="875" customFormat="false" ht="15" hidden="false" customHeight="false" outlineLevel="0" collapsed="false">
      <c r="A875" s="4" t="str">
        <f aca="false">B875&amp;"|"&amp;C875</f>
        <v>tdbR00000147 His-GUG|63</v>
      </c>
      <c r="B875" s="4" t="s">
        <v>48</v>
      </c>
      <c r="C875" s="4" t="s">
        <v>486</v>
      </c>
      <c r="D875" s="4" t="n">
        <v>62</v>
      </c>
      <c r="E875" s="23" t="s">
        <v>259</v>
      </c>
      <c r="F875" s="10" t="s">
        <v>471</v>
      </c>
    </row>
    <row r="876" customFormat="false" ht="15" hidden="false" customHeight="false" outlineLevel="0" collapsed="false">
      <c r="A876" s="4" t="str">
        <f aca="false">B876&amp;"|"&amp;C876</f>
        <v>tdbR00000147 His-GUG|64</v>
      </c>
      <c r="B876" s="4" t="s">
        <v>48</v>
      </c>
      <c r="C876" s="4" t="s">
        <v>487</v>
      </c>
      <c r="D876" s="4" t="n">
        <v>63</v>
      </c>
      <c r="E876" s="23" t="s">
        <v>197</v>
      </c>
      <c r="F876" s="10" t="s">
        <v>471</v>
      </c>
    </row>
    <row r="877" customFormat="false" ht="15" hidden="false" customHeight="false" outlineLevel="0" collapsed="false">
      <c r="A877" s="4" t="str">
        <f aca="false">B877&amp;"|"&amp;C877</f>
        <v>tdbR00000147 His-GUG|65</v>
      </c>
      <c r="B877" s="4" t="s">
        <v>48</v>
      </c>
      <c r="C877" s="4" t="s">
        <v>488</v>
      </c>
      <c r="D877" s="4" t="n">
        <v>64</v>
      </c>
      <c r="E877" s="23" t="s">
        <v>197</v>
      </c>
      <c r="F877" s="10" t="s">
        <v>471</v>
      </c>
    </row>
    <row r="878" customFormat="false" ht="15" hidden="false" customHeight="false" outlineLevel="0" collapsed="false">
      <c r="A878" s="4" t="str">
        <f aca="false">B878&amp;"|"&amp;C878</f>
        <v>tdbR00000147 His-GUG|66</v>
      </c>
      <c r="B878" s="4" t="s">
        <v>48</v>
      </c>
      <c r="C878" s="4" t="s">
        <v>489</v>
      </c>
      <c r="D878" s="4" t="n">
        <v>65</v>
      </c>
      <c r="E878" s="17" t="s">
        <v>259</v>
      </c>
      <c r="F878" s="18" t="s">
        <v>412</v>
      </c>
    </row>
    <row r="879" customFormat="false" ht="15" hidden="false" customHeight="false" outlineLevel="0" collapsed="false">
      <c r="A879" s="4" t="str">
        <f aca="false">B879&amp;"|"&amp;C879</f>
        <v>tdbR00000147 His-GUG|67</v>
      </c>
      <c r="B879" s="4" t="s">
        <v>48</v>
      </c>
      <c r="C879" s="4" t="s">
        <v>490</v>
      </c>
      <c r="D879" s="4" t="n">
        <v>66</v>
      </c>
      <c r="E879" s="17" t="s">
        <v>414</v>
      </c>
      <c r="F879" s="18" t="s">
        <v>412</v>
      </c>
    </row>
    <row r="880" customFormat="false" ht="15" hidden="false" customHeight="false" outlineLevel="0" collapsed="false">
      <c r="A880" s="4" t="str">
        <f aca="false">B880&amp;"|"&amp;C880</f>
        <v>tdbR00000147 His-GUG|68</v>
      </c>
      <c r="B880" s="4" t="s">
        <v>48</v>
      </c>
      <c r="C880" s="4" t="s">
        <v>491</v>
      </c>
      <c r="D880" s="4" t="n">
        <v>67</v>
      </c>
      <c r="E880" s="17" t="s">
        <v>246</v>
      </c>
      <c r="F880" s="18" t="s">
        <v>412</v>
      </c>
    </row>
    <row r="881" customFormat="false" ht="15" hidden="false" customHeight="false" outlineLevel="0" collapsed="false">
      <c r="A881" s="4" t="str">
        <f aca="false">B881&amp;"|"&amp;C881</f>
        <v>tdbR00000147 His-GUG|69</v>
      </c>
      <c r="B881" s="4" t="s">
        <v>48</v>
      </c>
      <c r="C881" s="4" t="s">
        <v>492</v>
      </c>
      <c r="D881" s="4" t="n">
        <v>68</v>
      </c>
      <c r="E881" s="17" t="s">
        <v>414</v>
      </c>
      <c r="F881" s="18" t="s">
        <v>412</v>
      </c>
    </row>
    <row r="882" customFormat="false" ht="15" hidden="false" customHeight="false" outlineLevel="0" collapsed="false">
      <c r="A882" s="4" t="str">
        <f aca="false">B882&amp;"|"&amp;C882</f>
        <v>tdbR00000147 His-GUG|70</v>
      </c>
      <c r="B882" s="4" t="s">
        <v>48</v>
      </c>
      <c r="C882" s="4" t="s">
        <v>493</v>
      </c>
      <c r="D882" s="4" t="n">
        <v>69</v>
      </c>
      <c r="E882" s="17" t="s">
        <v>197</v>
      </c>
      <c r="F882" s="18" t="s">
        <v>412</v>
      </c>
    </row>
    <row r="883" customFormat="false" ht="15" hidden="false" customHeight="false" outlineLevel="0" collapsed="false">
      <c r="A883" s="4" t="str">
        <f aca="false">B883&amp;"|"&amp;C883</f>
        <v>tdbR00000147 His-GUG|71</v>
      </c>
      <c r="B883" s="4" t="s">
        <v>48</v>
      </c>
      <c r="C883" s="4" t="s">
        <v>494</v>
      </c>
      <c r="D883" s="4" t="n">
        <v>70</v>
      </c>
      <c r="E883" s="17" t="s">
        <v>197</v>
      </c>
      <c r="F883" s="18" t="s">
        <v>412</v>
      </c>
    </row>
    <row r="884" customFormat="false" ht="15" hidden="false" customHeight="false" outlineLevel="0" collapsed="false">
      <c r="A884" s="4" t="str">
        <f aca="false">B884&amp;"|"&amp;C884</f>
        <v>tdbR00000147 His-GUG|72</v>
      </c>
      <c r="B884" s="4" t="s">
        <v>48</v>
      </c>
      <c r="C884" s="4" t="s">
        <v>495</v>
      </c>
      <c r="D884" s="4" t="n">
        <v>71</v>
      </c>
      <c r="E884" s="17" t="s">
        <v>414</v>
      </c>
      <c r="F884" s="18" t="s">
        <v>412</v>
      </c>
    </row>
    <row r="885" customFormat="false" ht="15" hidden="false" customHeight="false" outlineLevel="0" collapsed="false">
      <c r="A885" s="4" t="str">
        <f aca="false">B885&amp;"|"&amp;C885</f>
        <v>tdbR00000533 Ile-CAU|1</v>
      </c>
      <c r="B885" s="4" t="s">
        <v>49</v>
      </c>
      <c r="C885" s="4" t="s">
        <v>411</v>
      </c>
      <c r="D885" s="4" t="n">
        <v>1</v>
      </c>
      <c r="E885" s="17" t="s">
        <v>246</v>
      </c>
      <c r="F885" s="18" t="s">
        <v>412</v>
      </c>
    </row>
    <row r="886" customFormat="false" ht="15" hidden="false" customHeight="false" outlineLevel="0" collapsed="false">
      <c r="A886" s="4" t="str">
        <f aca="false">B886&amp;"|"&amp;C886</f>
        <v>tdbR00000533 Ile-CAU|2</v>
      </c>
      <c r="B886" s="4" t="s">
        <v>49</v>
      </c>
      <c r="C886" s="4" t="s">
        <v>413</v>
      </c>
      <c r="D886" s="4" t="n">
        <v>2</v>
      </c>
      <c r="E886" s="17" t="s">
        <v>197</v>
      </c>
      <c r="F886" s="18" t="s">
        <v>412</v>
      </c>
    </row>
    <row r="887" customFormat="false" ht="15" hidden="false" customHeight="false" outlineLevel="0" collapsed="false">
      <c r="A887" s="4" t="str">
        <f aca="false">B887&amp;"|"&amp;C887</f>
        <v>tdbR00000533 Ile-CAU|3</v>
      </c>
      <c r="B887" s="4" t="s">
        <v>49</v>
      </c>
      <c r="C887" s="4" t="s">
        <v>415</v>
      </c>
      <c r="D887" s="4" t="n">
        <v>3</v>
      </c>
      <c r="E887" s="17" t="s">
        <v>414</v>
      </c>
      <c r="F887" s="18" t="s">
        <v>412</v>
      </c>
    </row>
    <row r="888" customFormat="false" ht="15" hidden="false" customHeight="false" outlineLevel="0" collapsed="false">
      <c r="A888" s="4" t="str">
        <f aca="false">B888&amp;"|"&amp;C888</f>
        <v>tdbR00000533 Ile-CAU|4</v>
      </c>
      <c r="B888" s="4" t="s">
        <v>49</v>
      </c>
      <c r="C888" s="4" t="s">
        <v>416</v>
      </c>
      <c r="D888" s="4" t="n">
        <v>4</v>
      </c>
      <c r="E888" s="17" t="s">
        <v>246</v>
      </c>
      <c r="F888" s="18" t="s">
        <v>412</v>
      </c>
    </row>
    <row r="889" customFormat="false" ht="15" hidden="false" customHeight="false" outlineLevel="0" collapsed="false">
      <c r="A889" s="4" t="str">
        <f aca="false">B889&amp;"|"&amp;C889</f>
        <v>tdbR00000533 Ile-CAU|5</v>
      </c>
      <c r="B889" s="4" t="s">
        <v>49</v>
      </c>
      <c r="C889" s="4" t="s">
        <v>417</v>
      </c>
      <c r="D889" s="4" t="n">
        <v>5</v>
      </c>
      <c r="E889" s="17" t="s">
        <v>197</v>
      </c>
      <c r="F889" s="18" t="s">
        <v>412</v>
      </c>
    </row>
    <row r="890" customFormat="false" ht="15" hidden="false" customHeight="false" outlineLevel="0" collapsed="false">
      <c r="A890" s="4" t="str">
        <f aca="false">B890&amp;"|"&amp;C890</f>
        <v>tdbR00000533 Ile-CAU|6</v>
      </c>
      <c r="B890" s="4" t="s">
        <v>49</v>
      </c>
      <c r="C890" s="4" t="s">
        <v>418</v>
      </c>
      <c r="D890" s="4" t="n">
        <v>6</v>
      </c>
      <c r="E890" s="17" t="s">
        <v>246</v>
      </c>
      <c r="F890" s="18" t="s">
        <v>412</v>
      </c>
    </row>
    <row r="891" customFormat="false" ht="15" hidden="false" customHeight="false" outlineLevel="0" collapsed="false">
      <c r="A891" s="4" t="str">
        <f aca="false">B891&amp;"|"&amp;C891</f>
        <v>tdbR00000533 Ile-CAU|7</v>
      </c>
      <c r="B891" s="4" t="s">
        <v>49</v>
      </c>
      <c r="C891" s="4" t="s">
        <v>419</v>
      </c>
      <c r="D891" s="4" t="n">
        <v>7</v>
      </c>
      <c r="E891" s="17" t="s">
        <v>197</v>
      </c>
      <c r="F891" s="18" t="s">
        <v>412</v>
      </c>
    </row>
    <row r="892" customFormat="false" ht="15" hidden="false" customHeight="false" outlineLevel="0" collapsed="false">
      <c r="A892" s="4" t="str">
        <f aca="false">B892&amp;"|"&amp;C892</f>
        <v>tdbR00000533 Ile-CAU|8</v>
      </c>
      <c r="B892" s="4" t="s">
        <v>49</v>
      </c>
      <c r="C892" s="4" t="s">
        <v>420</v>
      </c>
      <c r="D892" s="4" t="n">
        <v>8</v>
      </c>
      <c r="E892" s="3" t="s">
        <v>259</v>
      </c>
      <c r="F892" s="4" t="s">
        <v>421</v>
      </c>
    </row>
    <row r="893" customFormat="false" ht="15" hidden="false" customHeight="false" outlineLevel="0" collapsed="false">
      <c r="A893" s="4" t="str">
        <f aca="false">B893&amp;"|"&amp;C893</f>
        <v>tdbR00000533 Ile-CAU|9</v>
      </c>
      <c r="B893" s="4" t="s">
        <v>49</v>
      </c>
      <c r="C893" s="4" t="s">
        <v>422</v>
      </c>
      <c r="D893" s="4" t="n">
        <v>9</v>
      </c>
      <c r="E893" s="3" t="s">
        <v>197</v>
      </c>
      <c r="F893" s="4" t="s">
        <v>423</v>
      </c>
    </row>
    <row r="894" customFormat="false" ht="15" hidden="false" customHeight="false" outlineLevel="0" collapsed="false">
      <c r="A894" s="4" t="str">
        <f aca="false">B894&amp;"|"&amp;C894</f>
        <v>tdbR00000533 Ile-CAU|10</v>
      </c>
      <c r="B894" s="4" t="s">
        <v>49</v>
      </c>
      <c r="C894" s="4" t="s">
        <v>424</v>
      </c>
      <c r="D894" s="4" t="n">
        <v>10</v>
      </c>
      <c r="E894" s="8" t="s">
        <v>197</v>
      </c>
      <c r="F894" s="7" t="s">
        <v>425</v>
      </c>
    </row>
    <row r="895" customFormat="false" ht="15" hidden="false" customHeight="false" outlineLevel="0" collapsed="false">
      <c r="A895" s="4" t="str">
        <f aca="false">B895&amp;"|"&amp;C895</f>
        <v>tdbR00000533 Ile-CAU|11</v>
      </c>
      <c r="B895" s="4" t="s">
        <v>49</v>
      </c>
      <c r="C895" s="4" t="s">
        <v>426</v>
      </c>
      <c r="D895" s="4" t="n">
        <v>11</v>
      </c>
      <c r="E895" s="8" t="s">
        <v>414</v>
      </c>
      <c r="F895" s="7" t="s">
        <v>425</v>
      </c>
    </row>
    <row r="896" customFormat="false" ht="15" hidden="false" customHeight="false" outlineLevel="0" collapsed="false">
      <c r="A896" s="4" t="str">
        <f aca="false">B896&amp;"|"&amp;C896</f>
        <v>tdbR00000533 Ile-CAU|12</v>
      </c>
      <c r="B896" s="4" t="s">
        <v>49</v>
      </c>
      <c r="C896" s="4" t="s">
        <v>427</v>
      </c>
      <c r="D896" s="4" t="n">
        <v>12</v>
      </c>
      <c r="E896" s="8" t="s">
        <v>197</v>
      </c>
      <c r="F896" s="7" t="s">
        <v>425</v>
      </c>
    </row>
    <row r="897" customFormat="false" ht="15" hidden="false" customHeight="false" outlineLevel="0" collapsed="false">
      <c r="A897" s="4" t="str">
        <f aca="false">B897&amp;"|"&amp;C897</f>
        <v>tdbR00000533 Ile-CAU|13</v>
      </c>
      <c r="B897" s="4" t="s">
        <v>49</v>
      </c>
      <c r="C897" s="4" t="s">
        <v>428</v>
      </c>
      <c r="D897" s="4" t="n">
        <v>13</v>
      </c>
      <c r="E897" s="8" t="s">
        <v>414</v>
      </c>
      <c r="F897" s="7" t="s">
        <v>425</v>
      </c>
    </row>
    <row r="898" customFormat="false" ht="15" hidden="false" customHeight="false" outlineLevel="0" collapsed="false">
      <c r="A898" s="4" t="str">
        <f aca="false">B898&amp;"|"&amp;C898</f>
        <v>tdbR00000533 Ile-CAU|14</v>
      </c>
      <c r="B898" s="4" t="s">
        <v>49</v>
      </c>
      <c r="C898" s="4" t="s">
        <v>429</v>
      </c>
      <c r="D898" s="4" t="n">
        <v>14</v>
      </c>
      <c r="E898" s="19" t="s">
        <v>246</v>
      </c>
      <c r="F898" s="20" t="s">
        <v>430</v>
      </c>
    </row>
    <row r="899" customFormat="false" ht="15" hidden="false" customHeight="false" outlineLevel="0" collapsed="false">
      <c r="A899" s="4" t="str">
        <f aca="false">B899&amp;"|"&amp;C899</f>
        <v>tdbR00000533 Ile-CAU|15</v>
      </c>
      <c r="B899" s="4" t="s">
        <v>49</v>
      </c>
      <c r="C899" s="4" t="s">
        <v>431</v>
      </c>
      <c r="D899" s="4" t="n">
        <v>15</v>
      </c>
      <c r="E899" s="19" t="s">
        <v>197</v>
      </c>
      <c r="F899" s="20" t="s">
        <v>430</v>
      </c>
    </row>
    <row r="900" customFormat="false" ht="15" hidden="false" customHeight="false" outlineLevel="0" collapsed="false">
      <c r="A900" s="4" t="str">
        <f aca="false">B900&amp;"|"&amp;C900</f>
        <v>tdbR00000533 Ile-CAU|16</v>
      </c>
      <c r="B900" s="4" t="s">
        <v>49</v>
      </c>
      <c r="C900" s="4" t="s">
        <v>432</v>
      </c>
      <c r="D900" s="4" t="n">
        <v>16</v>
      </c>
      <c r="E900" s="19" t="s">
        <v>259</v>
      </c>
      <c r="F900" s="20" t="s">
        <v>430</v>
      </c>
    </row>
    <row r="901" customFormat="false" ht="15" hidden="false" customHeight="false" outlineLevel="0" collapsed="false">
      <c r="A901" s="4" t="str">
        <f aca="false">B901&amp;"|"&amp;C901</f>
        <v>tdbR00000533 Ile-CAU|18</v>
      </c>
      <c r="B901" s="4" t="s">
        <v>49</v>
      </c>
      <c r="C901" s="4" t="s">
        <v>434</v>
      </c>
      <c r="D901" s="4" t="n">
        <v>17</v>
      </c>
      <c r="E901" s="19" t="s">
        <v>197</v>
      </c>
      <c r="F901" s="20" t="s">
        <v>430</v>
      </c>
    </row>
    <row r="902" customFormat="false" ht="15" hidden="false" customHeight="false" outlineLevel="0" collapsed="false">
      <c r="A902" s="4" t="str">
        <f aca="false">B902&amp;"|"&amp;C902</f>
        <v>tdbR00000533 Ile-CAU|19</v>
      </c>
      <c r="B902" s="4" t="s">
        <v>49</v>
      </c>
      <c r="C902" s="4" t="s">
        <v>435</v>
      </c>
      <c r="D902" s="4" t="n">
        <v>18</v>
      </c>
      <c r="E902" s="19" t="s">
        <v>197</v>
      </c>
      <c r="F902" s="20" t="s">
        <v>430</v>
      </c>
    </row>
    <row r="903" customFormat="false" ht="15" hidden="false" customHeight="false" outlineLevel="0" collapsed="false">
      <c r="A903" s="4" t="str">
        <f aca="false">B903&amp;"|"&amp;C903</f>
        <v>tdbR00000533 Ile-CAU|20</v>
      </c>
      <c r="B903" s="4" t="s">
        <v>49</v>
      </c>
      <c r="C903" s="4" t="s">
        <v>436</v>
      </c>
      <c r="D903" s="4" t="n">
        <v>19</v>
      </c>
      <c r="E903" s="19" t="s">
        <v>246</v>
      </c>
      <c r="F903" s="20" t="s">
        <v>430</v>
      </c>
    </row>
    <row r="904" customFormat="false" ht="15" hidden="false" customHeight="false" outlineLevel="0" collapsed="false">
      <c r="A904" s="4" t="str">
        <f aca="false">B904&amp;"|"&amp;C904</f>
        <v>tdbR00000533 Ile-CAU|21</v>
      </c>
      <c r="B904" s="4" t="s">
        <v>49</v>
      </c>
      <c r="C904" s="4" t="s">
        <v>438</v>
      </c>
      <c r="D904" s="4" t="n">
        <v>20</v>
      </c>
      <c r="E904" s="19" t="s">
        <v>246</v>
      </c>
      <c r="F904" s="20" t="s">
        <v>430</v>
      </c>
    </row>
    <row r="905" customFormat="false" ht="15" hidden="false" customHeight="false" outlineLevel="0" collapsed="false">
      <c r="A905" s="4" t="str">
        <f aca="false">B905&amp;"|"&amp;C905</f>
        <v>tdbR00000533 Ile-CAU|22</v>
      </c>
      <c r="B905" s="4" t="s">
        <v>49</v>
      </c>
      <c r="C905" s="4" t="s">
        <v>439</v>
      </c>
      <c r="D905" s="4" t="n">
        <v>21</v>
      </c>
      <c r="E905" s="8" t="s">
        <v>197</v>
      </c>
      <c r="F905" s="7" t="s">
        <v>425</v>
      </c>
    </row>
    <row r="906" customFormat="false" ht="15" hidden="false" customHeight="false" outlineLevel="0" collapsed="false">
      <c r="A906" s="4" t="str">
        <f aca="false">B906&amp;"|"&amp;C906</f>
        <v>tdbR00000533 Ile-CAU|23</v>
      </c>
      <c r="B906" s="4" t="s">
        <v>49</v>
      </c>
      <c r="C906" s="4" t="s">
        <v>440</v>
      </c>
      <c r="D906" s="4" t="n">
        <v>22</v>
      </c>
      <c r="E906" s="8" t="s">
        <v>414</v>
      </c>
      <c r="F906" s="7" t="s">
        <v>425</v>
      </c>
    </row>
    <row r="907" customFormat="false" ht="15" hidden="false" customHeight="false" outlineLevel="0" collapsed="false">
      <c r="A907" s="4" t="str">
        <f aca="false">B907&amp;"|"&amp;C907</f>
        <v>tdbR00000533 Ile-CAU|24</v>
      </c>
      <c r="B907" s="4" t="s">
        <v>49</v>
      </c>
      <c r="C907" s="4" t="s">
        <v>441</v>
      </c>
      <c r="D907" s="4" t="n">
        <v>23</v>
      </c>
      <c r="E907" s="8" t="s">
        <v>197</v>
      </c>
      <c r="F907" s="7" t="s">
        <v>425</v>
      </c>
    </row>
    <row r="908" customFormat="false" ht="15" hidden="false" customHeight="false" outlineLevel="0" collapsed="false">
      <c r="A908" s="4" t="str">
        <f aca="false">B908&amp;"|"&amp;C908</f>
        <v>tdbR00000533 Ile-CAU|25</v>
      </c>
      <c r="B908" s="4" t="s">
        <v>49</v>
      </c>
      <c r="C908" s="4" t="s">
        <v>442</v>
      </c>
      <c r="D908" s="4" t="n">
        <v>24</v>
      </c>
      <c r="E908" s="8" t="s">
        <v>259</v>
      </c>
      <c r="F908" s="7" t="s">
        <v>425</v>
      </c>
    </row>
    <row r="909" customFormat="false" ht="15" hidden="false" customHeight="false" outlineLevel="0" collapsed="false">
      <c r="A909" s="4" t="str">
        <f aca="false">B909&amp;"|"&amp;C909</f>
        <v>tdbR00000533 Ile-CAU|26</v>
      </c>
      <c r="B909" s="4" t="s">
        <v>49</v>
      </c>
      <c r="C909" s="4" t="s">
        <v>443</v>
      </c>
      <c r="D909" s="4" t="n">
        <v>25</v>
      </c>
      <c r="E909" s="3" t="s">
        <v>197</v>
      </c>
      <c r="F909" s="4" t="s">
        <v>444</v>
      </c>
    </row>
    <row r="910" customFormat="false" ht="15" hidden="false" customHeight="false" outlineLevel="0" collapsed="false">
      <c r="A910" s="4" t="str">
        <f aca="false">B910&amp;"|"&amp;C910</f>
        <v>tdbR00000533 Ile-CAU|27</v>
      </c>
      <c r="B910" s="4" t="s">
        <v>49</v>
      </c>
      <c r="C910" s="4" t="s">
        <v>445</v>
      </c>
      <c r="D910" s="4" t="n">
        <v>26</v>
      </c>
      <c r="E910" s="21" t="s">
        <v>414</v>
      </c>
      <c r="F910" s="22" t="s">
        <v>446</v>
      </c>
    </row>
    <row r="911" customFormat="false" ht="15" hidden="false" customHeight="false" outlineLevel="0" collapsed="false">
      <c r="A911" s="4" t="str">
        <f aca="false">B911&amp;"|"&amp;C911</f>
        <v>tdbR00000533 Ile-CAU|28</v>
      </c>
      <c r="B911" s="4" t="s">
        <v>49</v>
      </c>
      <c r="C911" s="4" t="s">
        <v>447</v>
      </c>
      <c r="D911" s="4" t="n">
        <v>27</v>
      </c>
      <c r="E911" s="21" t="s">
        <v>259</v>
      </c>
      <c r="F911" s="22" t="s">
        <v>446</v>
      </c>
    </row>
    <row r="912" customFormat="false" ht="15" hidden="false" customHeight="false" outlineLevel="0" collapsed="false">
      <c r="A912" s="4" t="str">
        <f aca="false">B912&amp;"|"&amp;C912</f>
        <v>tdbR00000533 Ile-CAU|29</v>
      </c>
      <c r="B912" s="4" t="s">
        <v>49</v>
      </c>
      <c r="C912" s="4" t="s">
        <v>448</v>
      </c>
      <c r="D912" s="4" t="n">
        <v>28</v>
      </c>
      <c r="E912" s="21" t="s">
        <v>197</v>
      </c>
      <c r="F912" s="22" t="s">
        <v>446</v>
      </c>
    </row>
    <row r="913" customFormat="false" ht="15" hidden="false" customHeight="false" outlineLevel="0" collapsed="false">
      <c r="A913" s="4" t="str">
        <f aca="false">B913&amp;"|"&amp;C913</f>
        <v>tdbR00000533 Ile-CAU|30</v>
      </c>
      <c r="B913" s="4" t="s">
        <v>49</v>
      </c>
      <c r="C913" s="4" t="s">
        <v>449</v>
      </c>
      <c r="D913" s="4" t="n">
        <v>29</v>
      </c>
      <c r="E913" s="21" t="s">
        <v>197</v>
      </c>
      <c r="F913" s="22" t="s">
        <v>446</v>
      </c>
    </row>
    <row r="914" customFormat="false" ht="15" hidden="false" customHeight="false" outlineLevel="0" collapsed="false">
      <c r="A914" s="4" t="str">
        <f aca="false">B914&amp;"|"&amp;C914</f>
        <v>tdbR00000533 Ile-CAU|31</v>
      </c>
      <c r="B914" s="4" t="s">
        <v>49</v>
      </c>
      <c r="C914" s="4" t="s">
        <v>450</v>
      </c>
      <c r="D914" s="4" t="n">
        <v>30</v>
      </c>
      <c r="E914" s="21" t="s">
        <v>197</v>
      </c>
      <c r="F914" s="22" t="s">
        <v>446</v>
      </c>
    </row>
    <row r="915" customFormat="false" ht="15" hidden="false" customHeight="false" outlineLevel="0" collapsed="false">
      <c r="A915" s="4" t="str">
        <f aca="false">B915&amp;"|"&amp;C915</f>
        <v>tdbR00000533 Ile-CAU|32</v>
      </c>
      <c r="B915" s="4" t="s">
        <v>49</v>
      </c>
      <c r="C915" s="4" t="s">
        <v>451</v>
      </c>
      <c r="D915" s="4" t="n">
        <v>31</v>
      </c>
      <c r="E915" s="19" t="s">
        <v>414</v>
      </c>
      <c r="F915" s="20" t="s">
        <v>452</v>
      </c>
    </row>
    <row r="916" customFormat="false" ht="15" hidden="false" customHeight="false" outlineLevel="0" collapsed="false">
      <c r="A916" s="4" t="str">
        <f aca="false">B916&amp;"|"&amp;C916</f>
        <v>tdbR00000533 Ile-CAU|33</v>
      </c>
      <c r="B916" s="4" t="s">
        <v>49</v>
      </c>
      <c r="C916" s="4" t="s">
        <v>453</v>
      </c>
      <c r="D916" s="4" t="n">
        <v>32</v>
      </c>
      <c r="E916" s="19" t="s">
        <v>414</v>
      </c>
      <c r="F916" s="20" t="s">
        <v>452</v>
      </c>
    </row>
    <row r="917" customFormat="false" ht="15" hidden="false" customHeight="false" outlineLevel="0" collapsed="false">
      <c r="A917" s="4" t="str">
        <f aca="false">B917&amp;"|"&amp;C917</f>
        <v>tdbR00000533 Ile-CAU|34</v>
      </c>
      <c r="B917" s="4" t="s">
        <v>49</v>
      </c>
      <c r="C917" s="4" t="s">
        <v>454</v>
      </c>
      <c r="D917" s="4" t="n">
        <v>33</v>
      </c>
      <c r="E917" s="19" t="s">
        <v>414</v>
      </c>
      <c r="F917" s="20" t="s">
        <v>452</v>
      </c>
    </row>
    <row r="918" customFormat="false" ht="15" hidden="false" customHeight="false" outlineLevel="0" collapsed="false">
      <c r="A918" s="4" t="str">
        <f aca="false">B918&amp;"|"&amp;C918</f>
        <v>tdbR00000533 Ile-CAU|35</v>
      </c>
      <c r="B918" s="4" t="s">
        <v>49</v>
      </c>
      <c r="C918" s="4" t="s">
        <v>455</v>
      </c>
      <c r="D918" s="4" t="n">
        <v>34</v>
      </c>
      <c r="E918" s="19" t="s">
        <v>246</v>
      </c>
      <c r="F918" s="20" t="s">
        <v>452</v>
      </c>
    </row>
    <row r="919" customFormat="false" ht="15" hidden="false" customHeight="false" outlineLevel="0" collapsed="false">
      <c r="A919" s="4" t="str">
        <f aca="false">B919&amp;"|"&amp;C919</f>
        <v>tdbR00000533 Ile-CAU|36</v>
      </c>
      <c r="B919" s="4" t="s">
        <v>49</v>
      </c>
      <c r="C919" s="4" t="s">
        <v>456</v>
      </c>
      <c r="D919" s="4" t="n">
        <v>35</v>
      </c>
      <c r="E919" s="19" t="s">
        <v>259</v>
      </c>
      <c r="F919" s="20" t="s">
        <v>452</v>
      </c>
    </row>
    <row r="920" customFormat="false" ht="15" hidden="false" customHeight="false" outlineLevel="0" collapsed="false">
      <c r="A920" s="4" t="str">
        <f aca="false">B920&amp;"|"&amp;C920</f>
        <v>tdbR00000533 Ile-CAU|37</v>
      </c>
      <c r="B920" s="4" t="s">
        <v>49</v>
      </c>
      <c r="C920" s="4" t="s">
        <v>457</v>
      </c>
      <c r="D920" s="4" t="n">
        <v>36</v>
      </c>
      <c r="E920" s="19" t="s">
        <v>246</v>
      </c>
      <c r="F920" s="20" t="s">
        <v>452</v>
      </c>
    </row>
    <row r="921" customFormat="false" ht="15" hidden="false" customHeight="false" outlineLevel="0" collapsed="false">
      <c r="A921" s="4" t="str">
        <f aca="false">B921&amp;"|"&amp;C921</f>
        <v>tdbR00000533 Ile-CAU|38</v>
      </c>
      <c r="B921" s="4" t="s">
        <v>49</v>
      </c>
      <c r="C921" s="4" t="s">
        <v>458</v>
      </c>
      <c r="D921" s="4" t="n">
        <v>37</v>
      </c>
      <c r="E921" s="19" t="s">
        <v>246</v>
      </c>
      <c r="F921" s="20" t="s">
        <v>452</v>
      </c>
    </row>
    <row r="922" customFormat="false" ht="15" hidden="false" customHeight="false" outlineLevel="0" collapsed="false">
      <c r="A922" s="4" t="str">
        <f aca="false">B922&amp;"|"&amp;C922</f>
        <v>tdbR00000533 Ile-CAU|39</v>
      </c>
      <c r="B922" s="4" t="s">
        <v>49</v>
      </c>
      <c r="C922" s="4" t="s">
        <v>459</v>
      </c>
      <c r="D922" s="4" t="n">
        <v>38</v>
      </c>
      <c r="E922" s="21" t="s">
        <v>414</v>
      </c>
      <c r="F922" s="22" t="s">
        <v>446</v>
      </c>
    </row>
    <row r="923" customFormat="false" ht="15" hidden="false" customHeight="false" outlineLevel="0" collapsed="false">
      <c r="A923" s="4" t="str">
        <f aca="false">B923&amp;"|"&amp;C923</f>
        <v>tdbR00000533 Ile-CAU|40</v>
      </c>
      <c r="B923" s="4" t="s">
        <v>49</v>
      </c>
      <c r="C923" s="4" t="s">
        <v>460</v>
      </c>
      <c r="D923" s="4" t="n">
        <v>39</v>
      </c>
      <c r="E923" s="21" t="s">
        <v>414</v>
      </c>
      <c r="F923" s="22" t="s">
        <v>446</v>
      </c>
    </row>
    <row r="924" customFormat="false" ht="15" hidden="false" customHeight="false" outlineLevel="0" collapsed="false">
      <c r="A924" s="4" t="str">
        <f aca="false">B924&amp;"|"&amp;C924</f>
        <v>tdbR00000533 Ile-CAU|41</v>
      </c>
      <c r="B924" s="4" t="s">
        <v>49</v>
      </c>
      <c r="C924" s="4" t="s">
        <v>461</v>
      </c>
      <c r="D924" s="4" t="n">
        <v>40</v>
      </c>
      <c r="E924" s="21" t="s">
        <v>414</v>
      </c>
      <c r="F924" s="22" t="s">
        <v>446</v>
      </c>
    </row>
    <row r="925" customFormat="false" ht="15" hidden="false" customHeight="false" outlineLevel="0" collapsed="false">
      <c r="A925" s="4" t="str">
        <f aca="false">B925&amp;"|"&amp;C925</f>
        <v>tdbR00000533 Ile-CAU|42</v>
      </c>
      <c r="B925" s="4" t="s">
        <v>49</v>
      </c>
      <c r="C925" s="4" t="s">
        <v>462</v>
      </c>
      <c r="D925" s="4" t="n">
        <v>41</v>
      </c>
      <c r="E925" s="21" t="s">
        <v>246</v>
      </c>
      <c r="F925" s="22" t="s">
        <v>446</v>
      </c>
    </row>
    <row r="926" customFormat="false" ht="15" hidden="false" customHeight="false" outlineLevel="0" collapsed="false">
      <c r="A926" s="4" t="str">
        <f aca="false">B926&amp;"|"&amp;C926</f>
        <v>tdbR00000533 Ile-CAU|43</v>
      </c>
      <c r="B926" s="4" t="s">
        <v>49</v>
      </c>
      <c r="C926" s="4" t="s">
        <v>463</v>
      </c>
      <c r="D926" s="4" t="n">
        <v>42</v>
      </c>
      <c r="E926" s="21" t="s">
        <v>197</v>
      </c>
      <c r="F926" s="22" t="s">
        <v>446</v>
      </c>
    </row>
    <row r="927" customFormat="false" ht="15" hidden="false" customHeight="false" outlineLevel="0" collapsed="false">
      <c r="A927" s="4" t="str">
        <f aca="false">B927&amp;"|"&amp;C927</f>
        <v>tdbR00000533 Ile-CAU|44</v>
      </c>
      <c r="B927" s="4" t="s">
        <v>49</v>
      </c>
      <c r="C927" s="4" t="s">
        <v>464</v>
      </c>
      <c r="D927" s="4" t="n">
        <v>43</v>
      </c>
      <c r="E927" s="19" t="s">
        <v>246</v>
      </c>
      <c r="F927" s="20" t="s">
        <v>465</v>
      </c>
    </row>
    <row r="928" customFormat="false" ht="15" hidden="false" customHeight="false" outlineLevel="0" collapsed="false">
      <c r="A928" s="4" t="str">
        <f aca="false">B928&amp;"|"&amp;C928</f>
        <v>tdbR00000533 Ile-CAU|45</v>
      </c>
      <c r="B928" s="4" t="s">
        <v>49</v>
      </c>
      <c r="C928" s="4" t="s">
        <v>466</v>
      </c>
      <c r="D928" s="4" t="n">
        <v>44</v>
      </c>
      <c r="E928" s="19" t="s">
        <v>197</v>
      </c>
      <c r="F928" s="20" t="s">
        <v>465</v>
      </c>
    </row>
    <row r="929" customFormat="false" ht="15" hidden="false" customHeight="false" outlineLevel="0" collapsed="false">
      <c r="A929" s="4" t="str">
        <f aca="false">B929&amp;"|"&amp;C929</f>
        <v>tdbR00000533 Ile-CAU|46</v>
      </c>
      <c r="B929" s="4" t="s">
        <v>49</v>
      </c>
      <c r="C929" s="4" t="s">
        <v>467</v>
      </c>
      <c r="D929" s="4" t="n">
        <v>45</v>
      </c>
      <c r="E929" s="19" t="s">
        <v>197</v>
      </c>
      <c r="F929" s="20" t="s">
        <v>465</v>
      </c>
    </row>
    <row r="930" customFormat="false" ht="15" hidden="false" customHeight="false" outlineLevel="0" collapsed="false">
      <c r="A930" s="4" t="str">
        <f aca="false">B930&amp;"|"&amp;C930</f>
        <v>tdbR00000533 Ile-CAU|47</v>
      </c>
      <c r="B930" s="4" t="s">
        <v>49</v>
      </c>
      <c r="C930" s="4" t="s">
        <v>468</v>
      </c>
      <c r="D930" s="4" t="n">
        <v>46</v>
      </c>
      <c r="E930" s="19" t="s">
        <v>259</v>
      </c>
      <c r="F930" s="20" t="s">
        <v>465</v>
      </c>
    </row>
    <row r="931" customFormat="false" ht="15" hidden="false" customHeight="false" outlineLevel="0" collapsed="false">
      <c r="A931" s="4" t="str">
        <f aca="false">B931&amp;"|"&amp;C931</f>
        <v>tdbR00000533 Ile-CAU|48</v>
      </c>
      <c r="B931" s="4" t="s">
        <v>49</v>
      </c>
      <c r="C931" s="4" t="s">
        <v>469</v>
      </c>
      <c r="D931" s="4" t="n">
        <v>47</v>
      </c>
      <c r="E931" s="19" t="s">
        <v>414</v>
      </c>
      <c r="F931" s="20" t="s">
        <v>465</v>
      </c>
    </row>
    <row r="932" customFormat="false" ht="15" hidden="false" customHeight="false" outlineLevel="0" collapsed="false">
      <c r="A932" s="4" t="str">
        <f aca="false">B932&amp;"|"&amp;C932</f>
        <v>tdbR00000533 Ile-CAU|49</v>
      </c>
      <c r="B932" s="4" t="s">
        <v>49</v>
      </c>
      <c r="C932" s="4" t="s">
        <v>470</v>
      </c>
      <c r="D932" s="4" t="n">
        <v>48</v>
      </c>
      <c r="E932" s="23" t="s">
        <v>414</v>
      </c>
      <c r="F932" s="10" t="s">
        <v>471</v>
      </c>
    </row>
    <row r="933" customFormat="false" ht="15" hidden="false" customHeight="false" outlineLevel="0" collapsed="false">
      <c r="A933" s="4" t="str">
        <f aca="false">B933&amp;"|"&amp;C933</f>
        <v>tdbR00000533 Ile-CAU|50</v>
      </c>
      <c r="B933" s="4" t="s">
        <v>49</v>
      </c>
      <c r="C933" s="4" t="s">
        <v>472</v>
      </c>
      <c r="D933" s="4" t="n">
        <v>49</v>
      </c>
      <c r="E933" s="23" t="s">
        <v>197</v>
      </c>
      <c r="F933" s="10" t="s">
        <v>471</v>
      </c>
    </row>
    <row r="934" customFormat="false" ht="15" hidden="false" customHeight="false" outlineLevel="0" collapsed="false">
      <c r="A934" s="4" t="str">
        <f aca="false">B934&amp;"|"&amp;C934</f>
        <v>tdbR00000533 Ile-CAU|51</v>
      </c>
      <c r="B934" s="4" t="s">
        <v>49</v>
      </c>
      <c r="C934" s="4" t="s">
        <v>473</v>
      </c>
      <c r="D934" s="4" t="n">
        <v>50</v>
      </c>
      <c r="E934" s="23" t="s">
        <v>246</v>
      </c>
      <c r="F934" s="10" t="s">
        <v>471</v>
      </c>
    </row>
    <row r="935" customFormat="false" ht="15" hidden="false" customHeight="false" outlineLevel="0" collapsed="false">
      <c r="A935" s="4" t="str">
        <f aca="false">B935&amp;"|"&amp;C935</f>
        <v>tdbR00000533 Ile-CAU|52</v>
      </c>
      <c r="B935" s="4" t="s">
        <v>49</v>
      </c>
      <c r="C935" s="4" t="s">
        <v>474</v>
      </c>
      <c r="D935" s="4" t="n">
        <v>51</v>
      </c>
      <c r="E935" s="23" t="s">
        <v>197</v>
      </c>
      <c r="F935" s="10" t="s">
        <v>471</v>
      </c>
    </row>
    <row r="936" customFormat="false" ht="15" hidden="false" customHeight="false" outlineLevel="0" collapsed="false">
      <c r="A936" s="4" t="str">
        <f aca="false">B936&amp;"|"&amp;C936</f>
        <v>tdbR00000533 Ile-CAU|53</v>
      </c>
      <c r="B936" s="4" t="s">
        <v>49</v>
      </c>
      <c r="C936" s="4" t="s">
        <v>475</v>
      </c>
      <c r="D936" s="4" t="n">
        <v>52</v>
      </c>
      <c r="E936" s="23" t="s">
        <v>197</v>
      </c>
      <c r="F936" s="10" t="s">
        <v>471</v>
      </c>
    </row>
    <row r="937" customFormat="false" ht="15" hidden="false" customHeight="false" outlineLevel="0" collapsed="false">
      <c r="A937" s="4" t="str">
        <f aca="false">B937&amp;"|"&amp;C937</f>
        <v>tdbR00000533 Ile-CAU|54</v>
      </c>
      <c r="B937" s="4" t="s">
        <v>49</v>
      </c>
      <c r="C937" s="4" t="s">
        <v>476</v>
      </c>
      <c r="D937" s="4" t="n">
        <v>53</v>
      </c>
      <c r="E937" s="19" t="s">
        <v>246</v>
      </c>
      <c r="F937" s="20" t="s">
        <v>477</v>
      </c>
    </row>
    <row r="938" customFormat="false" ht="15" hidden="false" customHeight="false" outlineLevel="0" collapsed="false">
      <c r="A938" s="4" t="str">
        <f aca="false">B938&amp;"|"&amp;C938</f>
        <v>tdbR00000533 Ile-CAU|55</v>
      </c>
      <c r="B938" s="4" t="s">
        <v>49</v>
      </c>
      <c r="C938" s="4" t="s">
        <v>478</v>
      </c>
      <c r="D938" s="4" t="n">
        <v>54</v>
      </c>
      <c r="E938" s="19" t="s">
        <v>259</v>
      </c>
      <c r="F938" s="20" t="s">
        <v>477</v>
      </c>
    </row>
    <row r="939" customFormat="false" ht="15" hidden="false" customHeight="false" outlineLevel="0" collapsed="false">
      <c r="A939" s="4" t="str">
        <f aca="false">B939&amp;"|"&amp;C939</f>
        <v>tdbR00000533 Ile-CAU|56</v>
      </c>
      <c r="B939" s="4" t="s">
        <v>49</v>
      </c>
      <c r="C939" s="4" t="s">
        <v>479</v>
      </c>
      <c r="D939" s="4" t="n">
        <v>55</v>
      </c>
      <c r="E939" s="19" t="s">
        <v>414</v>
      </c>
      <c r="F939" s="20" t="s">
        <v>477</v>
      </c>
    </row>
    <row r="940" customFormat="false" ht="15" hidden="false" customHeight="false" outlineLevel="0" collapsed="false">
      <c r="A940" s="4" t="str">
        <f aca="false">B940&amp;"|"&amp;C940</f>
        <v>tdbR00000533 Ile-CAU|57</v>
      </c>
      <c r="B940" s="4" t="s">
        <v>49</v>
      </c>
      <c r="C940" s="4" t="s">
        <v>480</v>
      </c>
      <c r="D940" s="4" t="n">
        <v>56</v>
      </c>
      <c r="E940" s="19" t="s">
        <v>197</v>
      </c>
      <c r="F940" s="20" t="s">
        <v>477</v>
      </c>
    </row>
    <row r="941" customFormat="false" ht="15" hidden="false" customHeight="false" outlineLevel="0" collapsed="false">
      <c r="A941" s="4" t="str">
        <f aca="false">B941&amp;"|"&amp;C941</f>
        <v>tdbR00000533 Ile-CAU|58</v>
      </c>
      <c r="B941" s="4" t="s">
        <v>49</v>
      </c>
      <c r="C941" s="4" t="s">
        <v>481</v>
      </c>
      <c r="D941" s="4" t="n">
        <v>57</v>
      </c>
      <c r="E941" s="19" t="s">
        <v>246</v>
      </c>
      <c r="F941" s="20" t="s">
        <v>477</v>
      </c>
    </row>
    <row r="942" customFormat="false" ht="15" hidden="false" customHeight="false" outlineLevel="0" collapsed="false">
      <c r="A942" s="4" t="str">
        <f aca="false">B942&amp;"|"&amp;C942</f>
        <v>tdbR00000533 Ile-CAU|59</v>
      </c>
      <c r="B942" s="4" t="s">
        <v>49</v>
      </c>
      <c r="C942" s="4" t="s">
        <v>482</v>
      </c>
      <c r="D942" s="4" t="n">
        <v>58</v>
      </c>
      <c r="E942" s="19" t="s">
        <v>246</v>
      </c>
      <c r="F942" s="20" t="s">
        <v>477</v>
      </c>
    </row>
    <row r="943" customFormat="false" ht="15" hidden="false" customHeight="false" outlineLevel="0" collapsed="false">
      <c r="A943" s="4" t="str">
        <f aca="false">B943&amp;"|"&amp;C943</f>
        <v>tdbR00000533 Ile-CAU|60</v>
      </c>
      <c r="B943" s="4" t="s">
        <v>49</v>
      </c>
      <c r="C943" s="4" t="s">
        <v>483</v>
      </c>
      <c r="D943" s="4" t="n">
        <v>59</v>
      </c>
      <c r="E943" s="19" t="s">
        <v>246</v>
      </c>
      <c r="F943" s="20" t="s">
        <v>477</v>
      </c>
    </row>
    <row r="944" customFormat="false" ht="15" hidden="false" customHeight="false" outlineLevel="0" collapsed="false">
      <c r="A944" s="4" t="str">
        <f aca="false">B944&amp;"|"&amp;C944</f>
        <v>tdbR00000533 Ile-CAU|61</v>
      </c>
      <c r="B944" s="4" t="s">
        <v>49</v>
      </c>
      <c r="C944" s="4" t="s">
        <v>484</v>
      </c>
      <c r="D944" s="4" t="n">
        <v>60</v>
      </c>
      <c r="E944" s="23" t="s">
        <v>414</v>
      </c>
      <c r="F944" s="10" t="s">
        <v>471</v>
      </c>
    </row>
    <row r="945" customFormat="false" ht="15" hidden="false" customHeight="false" outlineLevel="0" collapsed="false">
      <c r="A945" s="4" t="str">
        <f aca="false">B945&amp;"|"&amp;C945</f>
        <v>tdbR00000533 Ile-CAU|62</v>
      </c>
      <c r="B945" s="4" t="s">
        <v>49</v>
      </c>
      <c r="C945" s="4" t="s">
        <v>485</v>
      </c>
      <c r="D945" s="4" t="n">
        <v>61</v>
      </c>
      <c r="E945" s="23" t="s">
        <v>414</v>
      </c>
      <c r="F945" s="10" t="s">
        <v>471</v>
      </c>
    </row>
    <row r="946" customFormat="false" ht="15" hidden="false" customHeight="false" outlineLevel="0" collapsed="false">
      <c r="A946" s="4" t="str">
        <f aca="false">B946&amp;"|"&amp;C946</f>
        <v>tdbR00000533 Ile-CAU|63</v>
      </c>
      <c r="B946" s="4" t="s">
        <v>49</v>
      </c>
      <c r="C946" s="4" t="s">
        <v>486</v>
      </c>
      <c r="D946" s="4" t="n">
        <v>62</v>
      </c>
      <c r="E946" s="23" t="s">
        <v>259</v>
      </c>
      <c r="F946" s="10" t="s">
        <v>471</v>
      </c>
    </row>
    <row r="947" customFormat="false" ht="15" hidden="false" customHeight="false" outlineLevel="0" collapsed="false">
      <c r="A947" s="4" t="str">
        <f aca="false">B947&amp;"|"&amp;C947</f>
        <v>tdbR00000533 Ile-CAU|64</v>
      </c>
      <c r="B947" s="4" t="s">
        <v>49</v>
      </c>
      <c r="C947" s="4" t="s">
        <v>487</v>
      </c>
      <c r="D947" s="4" t="n">
        <v>63</v>
      </c>
      <c r="E947" s="23" t="s">
        <v>259</v>
      </c>
      <c r="F947" s="10" t="s">
        <v>471</v>
      </c>
    </row>
    <row r="948" customFormat="false" ht="15" hidden="false" customHeight="false" outlineLevel="0" collapsed="false">
      <c r="A948" s="4" t="str">
        <f aca="false">B948&amp;"|"&amp;C948</f>
        <v>tdbR00000533 Ile-CAU|65</v>
      </c>
      <c r="B948" s="4" t="s">
        <v>49</v>
      </c>
      <c r="C948" s="4" t="s">
        <v>488</v>
      </c>
      <c r="D948" s="4" t="n">
        <v>64</v>
      </c>
      <c r="E948" s="23" t="s">
        <v>197</v>
      </c>
      <c r="F948" s="10" t="s">
        <v>471</v>
      </c>
    </row>
    <row r="949" customFormat="false" ht="15" hidden="false" customHeight="false" outlineLevel="0" collapsed="false">
      <c r="A949" s="4" t="str">
        <f aca="false">B949&amp;"|"&amp;C949</f>
        <v>tdbR00000533 Ile-CAU|66</v>
      </c>
      <c r="B949" s="4" t="s">
        <v>49</v>
      </c>
      <c r="C949" s="4" t="s">
        <v>489</v>
      </c>
      <c r="D949" s="4" t="n">
        <v>65</v>
      </c>
      <c r="E949" s="17" t="s">
        <v>414</v>
      </c>
      <c r="F949" s="18" t="s">
        <v>412</v>
      </c>
    </row>
    <row r="950" customFormat="false" ht="15" hidden="false" customHeight="false" outlineLevel="0" collapsed="false">
      <c r="A950" s="4" t="str">
        <f aca="false">B950&amp;"|"&amp;C950</f>
        <v>tdbR00000533 Ile-CAU|67</v>
      </c>
      <c r="B950" s="4" t="s">
        <v>49</v>
      </c>
      <c r="C950" s="4" t="s">
        <v>490</v>
      </c>
      <c r="D950" s="4" t="n">
        <v>66</v>
      </c>
      <c r="E950" s="17" t="s">
        <v>259</v>
      </c>
      <c r="F950" s="18" t="s">
        <v>412</v>
      </c>
    </row>
    <row r="951" customFormat="false" ht="15" hidden="false" customHeight="false" outlineLevel="0" collapsed="false">
      <c r="A951" s="4" t="str">
        <f aca="false">B951&amp;"|"&amp;C951</f>
        <v>tdbR00000533 Ile-CAU|68</v>
      </c>
      <c r="B951" s="4" t="s">
        <v>49</v>
      </c>
      <c r="C951" s="4" t="s">
        <v>491</v>
      </c>
      <c r="D951" s="4" t="n">
        <v>67</v>
      </c>
      <c r="E951" s="17" t="s">
        <v>414</v>
      </c>
      <c r="F951" s="18" t="s">
        <v>412</v>
      </c>
    </row>
    <row r="952" customFormat="false" ht="15" hidden="false" customHeight="false" outlineLevel="0" collapsed="false">
      <c r="A952" s="4" t="str">
        <f aca="false">B952&amp;"|"&amp;C952</f>
        <v>tdbR00000533 Ile-CAU|69</v>
      </c>
      <c r="B952" s="4" t="s">
        <v>49</v>
      </c>
      <c r="C952" s="4" t="s">
        <v>492</v>
      </c>
      <c r="D952" s="4" t="n">
        <v>68</v>
      </c>
      <c r="E952" s="17" t="s">
        <v>259</v>
      </c>
      <c r="F952" s="18" t="s">
        <v>412</v>
      </c>
    </row>
    <row r="953" customFormat="false" ht="15" hidden="false" customHeight="false" outlineLevel="0" collapsed="false">
      <c r="A953" s="4" t="str">
        <f aca="false">B953&amp;"|"&amp;C953</f>
        <v>tdbR00000533 Ile-CAU|70</v>
      </c>
      <c r="B953" s="4" t="s">
        <v>49</v>
      </c>
      <c r="C953" s="4" t="s">
        <v>493</v>
      </c>
      <c r="D953" s="4" t="n">
        <v>69</v>
      </c>
      <c r="E953" s="17" t="s">
        <v>197</v>
      </c>
      <c r="F953" s="18" t="s">
        <v>412</v>
      </c>
    </row>
    <row r="954" customFormat="false" ht="15" hidden="false" customHeight="false" outlineLevel="0" collapsed="false">
      <c r="A954" s="4" t="str">
        <f aca="false">B954&amp;"|"&amp;C954</f>
        <v>tdbR00000533 Ile-CAU|71</v>
      </c>
      <c r="B954" s="4" t="s">
        <v>49</v>
      </c>
      <c r="C954" s="4" t="s">
        <v>494</v>
      </c>
      <c r="D954" s="4" t="n">
        <v>70</v>
      </c>
      <c r="E954" s="17" t="s">
        <v>414</v>
      </c>
      <c r="F954" s="18" t="s">
        <v>412</v>
      </c>
    </row>
    <row r="955" customFormat="false" ht="15" hidden="false" customHeight="false" outlineLevel="0" collapsed="false">
      <c r="A955" s="4" t="str">
        <f aca="false">B955&amp;"|"&amp;C955</f>
        <v>tdbR00000533 Ile-CAU|72</v>
      </c>
      <c r="B955" s="4" t="s">
        <v>49</v>
      </c>
      <c r="C955" s="4" t="s">
        <v>495</v>
      </c>
      <c r="D955" s="4" t="n">
        <v>71</v>
      </c>
      <c r="E955" s="17" t="s">
        <v>259</v>
      </c>
      <c r="F955" s="18" t="s">
        <v>412</v>
      </c>
    </row>
    <row r="956" customFormat="false" ht="15" hidden="false" customHeight="false" outlineLevel="0" collapsed="false">
      <c r="A956" s="4" t="str">
        <f aca="false">B956&amp;"|"&amp;C956</f>
        <v>tdbR00000202 Lys-UUU|1</v>
      </c>
      <c r="B956" s="4" t="s">
        <v>50</v>
      </c>
      <c r="C956" s="4" t="s">
        <v>411</v>
      </c>
      <c r="D956" s="4" t="n">
        <v>1</v>
      </c>
      <c r="E956" s="17" t="s">
        <v>197</v>
      </c>
      <c r="F956" s="18" t="s">
        <v>412</v>
      </c>
    </row>
    <row r="957" customFormat="false" ht="15" hidden="false" customHeight="false" outlineLevel="0" collapsed="false">
      <c r="A957" s="4" t="str">
        <f aca="false">B957&amp;"|"&amp;C957</f>
        <v>tdbR00000202 Lys-UUU|2</v>
      </c>
      <c r="B957" s="4" t="s">
        <v>50</v>
      </c>
      <c r="C957" s="4" t="s">
        <v>413</v>
      </c>
      <c r="D957" s="4" t="n">
        <v>2</v>
      </c>
      <c r="E957" s="17" t="s">
        <v>414</v>
      </c>
      <c r="F957" s="18" t="s">
        <v>412</v>
      </c>
    </row>
    <row r="958" customFormat="false" ht="15" hidden="false" customHeight="false" outlineLevel="0" collapsed="false">
      <c r="A958" s="4" t="str">
        <f aca="false">B958&amp;"|"&amp;C958</f>
        <v>tdbR00000202 Lys-UUU|3</v>
      </c>
      <c r="B958" s="4" t="s">
        <v>50</v>
      </c>
      <c r="C958" s="4" t="s">
        <v>415</v>
      </c>
      <c r="D958" s="4" t="n">
        <v>3</v>
      </c>
      <c r="E958" s="17" t="s">
        <v>414</v>
      </c>
      <c r="F958" s="18" t="s">
        <v>412</v>
      </c>
    </row>
    <row r="959" customFormat="false" ht="15" hidden="false" customHeight="false" outlineLevel="0" collapsed="false">
      <c r="A959" s="4" t="str">
        <f aca="false">B959&amp;"|"&amp;C959</f>
        <v>tdbR00000202 Lys-UUU|4</v>
      </c>
      <c r="B959" s="4" t="s">
        <v>50</v>
      </c>
      <c r="C959" s="4" t="s">
        <v>416</v>
      </c>
      <c r="D959" s="4" t="n">
        <v>4</v>
      </c>
      <c r="E959" s="17" t="s">
        <v>414</v>
      </c>
      <c r="F959" s="18" t="s">
        <v>412</v>
      </c>
    </row>
    <row r="960" customFormat="false" ht="15" hidden="false" customHeight="false" outlineLevel="0" collapsed="false">
      <c r="A960" s="4" t="str">
        <f aca="false">B960&amp;"|"&amp;C960</f>
        <v>tdbR00000202 Lys-UUU|5</v>
      </c>
      <c r="B960" s="4" t="s">
        <v>50</v>
      </c>
      <c r="C960" s="4" t="s">
        <v>417</v>
      </c>
      <c r="D960" s="4" t="n">
        <v>5</v>
      </c>
      <c r="E960" s="17" t="s">
        <v>197</v>
      </c>
      <c r="F960" s="18" t="s">
        <v>412</v>
      </c>
    </row>
    <row r="961" customFormat="false" ht="15" hidden="false" customHeight="false" outlineLevel="0" collapsed="false">
      <c r="A961" s="4" t="str">
        <f aca="false">B961&amp;"|"&amp;C961</f>
        <v>tdbR00000202 Lys-UUU|6</v>
      </c>
      <c r="B961" s="4" t="s">
        <v>50</v>
      </c>
      <c r="C961" s="4" t="s">
        <v>418</v>
      </c>
      <c r="D961" s="4" t="n">
        <v>6</v>
      </c>
      <c r="E961" s="17" t="s">
        <v>197</v>
      </c>
      <c r="F961" s="18" t="s">
        <v>412</v>
      </c>
    </row>
    <row r="962" customFormat="false" ht="15" hidden="false" customHeight="false" outlineLevel="0" collapsed="false">
      <c r="A962" s="4" t="str">
        <f aca="false">B962&amp;"|"&amp;C962</f>
        <v>tdbR00000202 Lys-UUU|7</v>
      </c>
      <c r="B962" s="4" t="s">
        <v>50</v>
      </c>
      <c r="C962" s="4" t="s">
        <v>419</v>
      </c>
      <c r="D962" s="4" t="n">
        <v>7</v>
      </c>
      <c r="E962" s="17" t="s">
        <v>246</v>
      </c>
      <c r="F962" s="18" t="s">
        <v>412</v>
      </c>
    </row>
    <row r="963" customFormat="false" ht="15" hidden="false" customHeight="false" outlineLevel="0" collapsed="false">
      <c r="A963" s="4" t="str">
        <f aca="false">B963&amp;"|"&amp;C963</f>
        <v>tdbR00000202 Lys-UUU|8</v>
      </c>
      <c r="B963" s="4" t="s">
        <v>50</v>
      </c>
      <c r="C963" s="4" t="s">
        <v>420</v>
      </c>
      <c r="D963" s="4" t="n">
        <v>8</v>
      </c>
      <c r="E963" s="3" t="s">
        <v>259</v>
      </c>
      <c r="F963" s="4" t="s">
        <v>421</v>
      </c>
    </row>
    <row r="964" customFormat="false" ht="15" hidden="false" customHeight="false" outlineLevel="0" collapsed="false">
      <c r="A964" s="4" t="str">
        <f aca="false">B964&amp;"|"&amp;C964</f>
        <v>tdbR00000202 Lys-UUU|9</v>
      </c>
      <c r="B964" s="4" t="s">
        <v>50</v>
      </c>
      <c r="C964" s="4" t="s">
        <v>422</v>
      </c>
      <c r="D964" s="4" t="n">
        <v>9</v>
      </c>
      <c r="E964" s="3" t="s">
        <v>246</v>
      </c>
      <c r="F964" s="4" t="s">
        <v>423</v>
      </c>
    </row>
    <row r="965" customFormat="false" ht="15" hidden="false" customHeight="false" outlineLevel="0" collapsed="false">
      <c r="A965" s="4" t="str">
        <f aca="false">B965&amp;"|"&amp;C965</f>
        <v>tdbR00000202 Lys-UUU|10</v>
      </c>
      <c r="B965" s="4" t="s">
        <v>50</v>
      </c>
      <c r="C965" s="4" t="s">
        <v>424</v>
      </c>
      <c r="D965" s="4" t="n">
        <v>10</v>
      </c>
      <c r="E965" s="8" t="s">
        <v>197</v>
      </c>
      <c r="F965" s="7" t="s">
        <v>425</v>
      </c>
    </row>
    <row r="966" customFormat="false" ht="15" hidden="false" customHeight="false" outlineLevel="0" collapsed="false">
      <c r="A966" s="4" t="str">
        <f aca="false">B966&amp;"|"&amp;C966</f>
        <v>tdbR00000202 Lys-UUU|11</v>
      </c>
      <c r="B966" s="4" t="s">
        <v>50</v>
      </c>
      <c r="C966" s="4" t="s">
        <v>426</v>
      </c>
      <c r="D966" s="4" t="n">
        <v>11</v>
      </c>
      <c r="E966" s="8" t="s">
        <v>414</v>
      </c>
      <c r="F966" s="7" t="s">
        <v>425</v>
      </c>
    </row>
    <row r="967" customFormat="false" ht="15" hidden="false" customHeight="false" outlineLevel="0" collapsed="false">
      <c r="A967" s="4" t="str">
        <f aca="false">B967&amp;"|"&amp;C967</f>
        <v>tdbR00000202 Lys-UUU|12</v>
      </c>
      <c r="B967" s="4" t="s">
        <v>50</v>
      </c>
      <c r="C967" s="4" t="s">
        <v>427</v>
      </c>
      <c r="D967" s="4" t="n">
        <v>12</v>
      </c>
      <c r="E967" s="8" t="s">
        <v>259</v>
      </c>
      <c r="F967" s="7" t="s">
        <v>425</v>
      </c>
    </row>
    <row r="968" customFormat="false" ht="15" hidden="false" customHeight="false" outlineLevel="0" collapsed="false">
      <c r="A968" s="4" t="str">
        <f aca="false">B968&amp;"|"&amp;C968</f>
        <v>tdbR00000202 Lys-UUU|13</v>
      </c>
      <c r="B968" s="4" t="s">
        <v>50</v>
      </c>
      <c r="C968" s="4" t="s">
        <v>428</v>
      </c>
      <c r="D968" s="4" t="n">
        <v>13</v>
      </c>
      <c r="E968" s="8" t="s">
        <v>414</v>
      </c>
      <c r="F968" s="7" t="s">
        <v>425</v>
      </c>
    </row>
    <row r="969" customFormat="false" ht="15" hidden="false" customHeight="false" outlineLevel="0" collapsed="false">
      <c r="A969" s="4" t="str">
        <f aca="false">B969&amp;"|"&amp;C969</f>
        <v>tdbR00000202 Lys-UUU|14</v>
      </c>
      <c r="B969" s="4" t="s">
        <v>50</v>
      </c>
      <c r="C969" s="4" t="s">
        <v>429</v>
      </c>
      <c r="D969" s="4" t="n">
        <v>14</v>
      </c>
      <c r="E969" s="19" t="s">
        <v>246</v>
      </c>
      <c r="F969" s="20" t="s">
        <v>430</v>
      </c>
    </row>
    <row r="970" customFormat="false" ht="15" hidden="false" customHeight="false" outlineLevel="0" collapsed="false">
      <c r="A970" s="4" t="str">
        <f aca="false">B970&amp;"|"&amp;C970</f>
        <v>tdbR00000202 Lys-UUU|15</v>
      </c>
      <c r="B970" s="4" t="s">
        <v>50</v>
      </c>
      <c r="C970" s="4" t="s">
        <v>431</v>
      </c>
      <c r="D970" s="4" t="n">
        <v>15</v>
      </c>
      <c r="E970" s="19" t="s">
        <v>197</v>
      </c>
      <c r="F970" s="20" t="s">
        <v>430</v>
      </c>
    </row>
    <row r="971" customFormat="false" ht="15" hidden="false" customHeight="false" outlineLevel="0" collapsed="false">
      <c r="A971" s="4" t="str">
        <f aca="false">B971&amp;"|"&amp;C971</f>
        <v>tdbR00000202 Lys-UUU|16</v>
      </c>
      <c r="B971" s="4" t="s">
        <v>50</v>
      </c>
      <c r="C971" s="4" t="s">
        <v>432</v>
      </c>
      <c r="D971" s="4" t="n">
        <v>16</v>
      </c>
      <c r="E971" s="19" t="s">
        <v>259</v>
      </c>
      <c r="F971" s="20" t="s">
        <v>430</v>
      </c>
    </row>
    <row r="972" customFormat="false" ht="15" hidden="false" customHeight="false" outlineLevel="0" collapsed="false">
      <c r="A972" s="4" t="str">
        <f aca="false">B972&amp;"|"&amp;C972</f>
        <v>tdbR00000202 Lys-UUU|17</v>
      </c>
      <c r="B972" s="4" t="s">
        <v>50</v>
      </c>
      <c r="C972" s="4" t="s">
        <v>433</v>
      </c>
      <c r="D972" s="4" t="n">
        <v>17</v>
      </c>
      <c r="E972" s="19" t="s">
        <v>414</v>
      </c>
      <c r="F972" s="20" t="s">
        <v>430</v>
      </c>
    </row>
    <row r="973" customFormat="false" ht="15" hidden="false" customHeight="false" outlineLevel="0" collapsed="false">
      <c r="A973" s="4" t="str">
        <f aca="false">B973&amp;"|"&amp;C973</f>
        <v>tdbR00000202 Lys-UUU|18</v>
      </c>
      <c r="B973" s="4" t="s">
        <v>50</v>
      </c>
      <c r="C973" s="4" t="s">
        <v>434</v>
      </c>
      <c r="D973" s="4" t="n">
        <v>18</v>
      </c>
      <c r="E973" s="19" t="s">
        <v>197</v>
      </c>
      <c r="F973" s="20" t="s">
        <v>430</v>
      </c>
    </row>
    <row r="974" customFormat="false" ht="15" hidden="false" customHeight="false" outlineLevel="0" collapsed="false">
      <c r="A974" s="4" t="str">
        <f aca="false">B974&amp;"|"&amp;C974</f>
        <v>tdbR00000202 Lys-UUU|19</v>
      </c>
      <c r="B974" s="4" t="s">
        <v>50</v>
      </c>
      <c r="C974" s="4" t="s">
        <v>435</v>
      </c>
      <c r="D974" s="4" t="n">
        <v>19</v>
      </c>
      <c r="E974" s="19" t="s">
        <v>197</v>
      </c>
      <c r="F974" s="20" t="s">
        <v>430</v>
      </c>
    </row>
    <row r="975" customFormat="false" ht="15" hidden="false" customHeight="false" outlineLevel="0" collapsed="false">
      <c r="A975" s="4" t="str">
        <f aca="false">B975&amp;"|"&amp;C975</f>
        <v>tdbR00000202 Lys-UUU|20</v>
      </c>
      <c r="B975" s="4" t="s">
        <v>50</v>
      </c>
      <c r="C975" s="4" t="s">
        <v>436</v>
      </c>
      <c r="D975" s="4" t="n">
        <v>20</v>
      </c>
      <c r="E975" s="19" t="s">
        <v>259</v>
      </c>
      <c r="F975" s="20" t="s">
        <v>430</v>
      </c>
    </row>
    <row r="976" customFormat="false" ht="15" hidden="false" customHeight="false" outlineLevel="0" collapsed="false">
      <c r="A976" s="4" t="str">
        <f aca="false">B976&amp;"|"&amp;C976</f>
        <v>tdbR00000202 Lys-UUU|21</v>
      </c>
      <c r="B976" s="4" t="s">
        <v>50</v>
      </c>
      <c r="C976" s="4" t="s">
        <v>438</v>
      </c>
      <c r="D976" s="4" t="n">
        <v>21</v>
      </c>
      <c r="E976" s="19" t="s">
        <v>246</v>
      </c>
      <c r="F976" s="20" t="s">
        <v>430</v>
      </c>
    </row>
    <row r="977" customFormat="false" ht="15" hidden="false" customHeight="false" outlineLevel="0" collapsed="false">
      <c r="A977" s="4" t="str">
        <f aca="false">B977&amp;"|"&amp;C977</f>
        <v>tdbR00000202 Lys-UUU|22</v>
      </c>
      <c r="B977" s="4" t="s">
        <v>50</v>
      </c>
      <c r="C977" s="4" t="s">
        <v>439</v>
      </c>
      <c r="D977" s="4" t="n">
        <v>22</v>
      </c>
      <c r="E977" s="8" t="s">
        <v>197</v>
      </c>
      <c r="F977" s="7" t="s">
        <v>425</v>
      </c>
    </row>
    <row r="978" customFormat="false" ht="15" hidden="false" customHeight="false" outlineLevel="0" collapsed="false">
      <c r="A978" s="4" t="str">
        <f aca="false">B978&amp;"|"&amp;C978</f>
        <v>tdbR00000202 Lys-UUU|23</v>
      </c>
      <c r="B978" s="4" t="s">
        <v>50</v>
      </c>
      <c r="C978" s="4" t="s">
        <v>440</v>
      </c>
      <c r="D978" s="4" t="n">
        <v>23</v>
      </c>
      <c r="E978" s="8" t="s">
        <v>246</v>
      </c>
      <c r="F978" s="7" t="s">
        <v>425</v>
      </c>
    </row>
    <row r="979" customFormat="false" ht="15" hidden="false" customHeight="false" outlineLevel="0" collapsed="false">
      <c r="A979" s="4" t="str">
        <f aca="false">B979&amp;"|"&amp;C979</f>
        <v>tdbR00000202 Lys-UUU|24</v>
      </c>
      <c r="B979" s="4" t="s">
        <v>50</v>
      </c>
      <c r="C979" s="4" t="s">
        <v>441</v>
      </c>
      <c r="D979" s="4" t="n">
        <v>24</v>
      </c>
      <c r="E979" s="8" t="s">
        <v>197</v>
      </c>
      <c r="F979" s="7" t="s">
        <v>425</v>
      </c>
    </row>
    <row r="980" customFormat="false" ht="15" hidden="false" customHeight="false" outlineLevel="0" collapsed="false">
      <c r="A980" s="4" t="str">
        <f aca="false">B980&amp;"|"&amp;C980</f>
        <v>tdbR00000202 Lys-UUU|25</v>
      </c>
      <c r="B980" s="4" t="s">
        <v>50</v>
      </c>
      <c r="C980" s="4" t="s">
        <v>442</v>
      </c>
      <c r="D980" s="4" t="n">
        <v>25</v>
      </c>
      <c r="E980" s="8" t="s">
        <v>414</v>
      </c>
      <c r="F980" s="7" t="s">
        <v>425</v>
      </c>
    </row>
    <row r="981" customFormat="false" ht="15" hidden="false" customHeight="false" outlineLevel="0" collapsed="false">
      <c r="A981" s="4" t="str">
        <f aca="false">B981&amp;"|"&amp;C981</f>
        <v>tdbR00000202 Lys-UUU|26</v>
      </c>
      <c r="B981" s="4" t="s">
        <v>50</v>
      </c>
      <c r="C981" s="4" t="s">
        <v>443</v>
      </c>
      <c r="D981" s="4" t="n">
        <v>26</v>
      </c>
      <c r="E981" s="3" t="s">
        <v>246</v>
      </c>
      <c r="F981" s="4" t="s">
        <v>444</v>
      </c>
    </row>
    <row r="982" customFormat="false" ht="15" hidden="false" customHeight="false" outlineLevel="0" collapsed="false">
      <c r="A982" s="4" t="str">
        <f aca="false">B982&amp;"|"&amp;C982</f>
        <v>tdbR00000202 Lys-UUU|27</v>
      </c>
      <c r="B982" s="4" t="s">
        <v>50</v>
      </c>
      <c r="C982" s="4" t="s">
        <v>445</v>
      </c>
      <c r="D982" s="4" t="n">
        <v>27</v>
      </c>
      <c r="E982" s="21" t="s">
        <v>259</v>
      </c>
      <c r="F982" s="22" t="s">
        <v>446</v>
      </c>
    </row>
    <row r="983" customFormat="false" ht="15" hidden="false" customHeight="false" outlineLevel="0" collapsed="false">
      <c r="A983" s="4" t="str">
        <f aca="false">B983&amp;"|"&amp;C983</f>
        <v>tdbR00000202 Lys-UUU|28</v>
      </c>
      <c r="B983" s="4" t="s">
        <v>50</v>
      </c>
      <c r="C983" s="4" t="s">
        <v>447</v>
      </c>
      <c r="D983" s="4" t="n">
        <v>28</v>
      </c>
      <c r="E983" s="21" t="s">
        <v>259</v>
      </c>
      <c r="F983" s="22" t="s">
        <v>446</v>
      </c>
    </row>
    <row r="984" customFormat="false" ht="15" hidden="false" customHeight="false" outlineLevel="0" collapsed="false">
      <c r="A984" s="4" t="str">
        <f aca="false">B984&amp;"|"&amp;C984</f>
        <v>tdbR00000202 Lys-UUU|29</v>
      </c>
      <c r="B984" s="4" t="s">
        <v>50</v>
      </c>
      <c r="C984" s="4" t="s">
        <v>448</v>
      </c>
      <c r="D984" s="4" t="n">
        <v>29</v>
      </c>
      <c r="E984" s="21" t="s">
        <v>197</v>
      </c>
      <c r="F984" s="22" t="s">
        <v>446</v>
      </c>
    </row>
    <row r="985" customFormat="false" ht="15" hidden="false" customHeight="false" outlineLevel="0" collapsed="false">
      <c r="A985" s="4" t="str">
        <f aca="false">B985&amp;"|"&amp;C985</f>
        <v>tdbR00000202 Lys-UUU|30</v>
      </c>
      <c r="B985" s="4" t="s">
        <v>50</v>
      </c>
      <c r="C985" s="4" t="s">
        <v>449</v>
      </c>
      <c r="D985" s="4" t="n">
        <v>30</v>
      </c>
      <c r="E985" s="21" t="s">
        <v>197</v>
      </c>
      <c r="F985" s="22" t="s">
        <v>446</v>
      </c>
    </row>
    <row r="986" customFormat="false" ht="15" hidden="false" customHeight="false" outlineLevel="0" collapsed="false">
      <c r="A986" s="4" t="str">
        <f aca="false">B986&amp;"|"&amp;C986</f>
        <v>tdbR00000202 Lys-UUU|31</v>
      </c>
      <c r="B986" s="4" t="s">
        <v>50</v>
      </c>
      <c r="C986" s="4" t="s">
        <v>450</v>
      </c>
      <c r="D986" s="4" t="n">
        <v>31</v>
      </c>
      <c r="E986" s="21" t="s">
        <v>246</v>
      </c>
      <c r="F986" s="22" t="s">
        <v>446</v>
      </c>
    </row>
    <row r="987" customFormat="false" ht="15" hidden="false" customHeight="false" outlineLevel="0" collapsed="false">
      <c r="A987" s="4" t="str">
        <f aca="false">B987&amp;"|"&amp;C987</f>
        <v>tdbR00000202 Lys-UUU|32</v>
      </c>
      <c r="B987" s="4" t="s">
        <v>50</v>
      </c>
      <c r="C987" s="4" t="s">
        <v>451</v>
      </c>
      <c r="D987" s="4" t="n">
        <v>32</v>
      </c>
      <c r="E987" s="19" t="s">
        <v>414</v>
      </c>
      <c r="F987" s="20" t="s">
        <v>452</v>
      </c>
    </row>
    <row r="988" customFormat="false" ht="15" hidden="false" customHeight="false" outlineLevel="0" collapsed="false">
      <c r="A988" s="4" t="str">
        <f aca="false">B988&amp;"|"&amp;C988</f>
        <v>tdbR00000202 Lys-UUU|33</v>
      </c>
      <c r="B988" s="4" t="s">
        <v>50</v>
      </c>
      <c r="C988" s="4" t="s">
        <v>453</v>
      </c>
      <c r="D988" s="4" t="n">
        <v>33</v>
      </c>
      <c r="E988" s="19" t="s">
        <v>259</v>
      </c>
      <c r="F988" s="20" t="s">
        <v>452</v>
      </c>
    </row>
    <row r="989" customFormat="false" ht="15" hidden="false" customHeight="false" outlineLevel="0" collapsed="false">
      <c r="A989" s="4" t="str">
        <f aca="false">B989&amp;"|"&amp;C989</f>
        <v>tdbR00000202 Lys-UUU|34</v>
      </c>
      <c r="B989" s="4" t="s">
        <v>50</v>
      </c>
      <c r="C989" s="4" t="s">
        <v>454</v>
      </c>
      <c r="D989" s="4" t="n">
        <v>34</v>
      </c>
      <c r="E989" s="19" t="s">
        <v>259</v>
      </c>
      <c r="F989" s="20" t="s">
        <v>452</v>
      </c>
    </row>
    <row r="990" customFormat="false" ht="15" hidden="false" customHeight="false" outlineLevel="0" collapsed="false">
      <c r="A990" s="4" t="str">
        <f aca="false">B990&amp;"|"&amp;C990</f>
        <v>tdbR00000202 Lys-UUU|35</v>
      </c>
      <c r="B990" s="4" t="s">
        <v>50</v>
      </c>
      <c r="C990" s="4" t="s">
        <v>455</v>
      </c>
      <c r="D990" s="4" t="n">
        <v>35</v>
      </c>
      <c r="E990" s="19" t="s">
        <v>259</v>
      </c>
      <c r="F990" s="20" t="s">
        <v>452</v>
      </c>
    </row>
    <row r="991" customFormat="false" ht="15" hidden="false" customHeight="false" outlineLevel="0" collapsed="false">
      <c r="A991" s="4" t="str">
        <f aca="false">B991&amp;"|"&amp;C991</f>
        <v>tdbR00000202 Lys-UUU|36</v>
      </c>
      <c r="B991" s="4" t="s">
        <v>50</v>
      </c>
      <c r="C991" s="4" t="s">
        <v>456</v>
      </c>
      <c r="D991" s="4" t="n">
        <v>36</v>
      </c>
      <c r="E991" s="19" t="s">
        <v>259</v>
      </c>
      <c r="F991" s="20" t="s">
        <v>452</v>
      </c>
    </row>
    <row r="992" customFormat="false" ht="15" hidden="false" customHeight="false" outlineLevel="0" collapsed="false">
      <c r="A992" s="4" t="str">
        <f aca="false">B992&amp;"|"&amp;C992</f>
        <v>tdbR00000202 Lys-UUU|37</v>
      </c>
      <c r="B992" s="4" t="s">
        <v>50</v>
      </c>
      <c r="C992" s="4" t="s">
        <v>457</v>
      </c>
      <c r="D992" s="4" t="n">
        <v>37</v>
      </c>
      <c r="E992" s="19" t="s">
        <v>246</v>
      </c>
      <c r="F992" s="20" t="s">
        <v>452</v>
      </c>
    </row>
    <row r="993" customFormat="false" ht="15" hidden="false" customHeight="false" outlineLevel="0" collapsed="false">
      <c r="A993" s="4" t="str">
        <f aca="false">B993&amp;"|"&amp;C993</f>
        <v>tdbR00000202 Lys-UUU|38</v>
      </c>
      <c r="B993" s="4" t="s">
        <v>50</v>
      </c>
      <c r="C993" s="4" t="s">
        <v>458</v>
      </c>
      <c r="D993" s="4" t="n">
        <v>38</v>
      </c>
      <c r="E993" s="19" t="s">
        <v>246</v>
      </c>
      <c r="F993" s="20" t="s">
        <v>452</v>
      </c>
    </row>
    <row r="994" customFormat="false" ht="15" hidden="false" customHeight="false" outlineLevel="0" collapsed="false">
      <c r="A994" s="4" t="str">
        <f aca="false">B994&amp;"|"&amp;C994</f>
        <v>tdbR00000202 Lys-UUU|39</v>
      </c>
      <c r="B994" s="4" t="s">
        <v>50</v>
      </c>
      <c r="C994" s="4" t="s">
        <v>459</v>
      </c>
      <c r="D994" s="4" t="n">
        <v>39</v>
      </c>
      <c r="E994" s="21" t="s">
        <v>259</v>
      </c>
      <c r="F994" s="22" t="s">
        <v>446</v>
      </c>
    </row>
    <row r="995" customFormat="false" ht="15" hidden="false" customHeight="false" outlineLevel="0" collapsed="false">
      <c r="A995" s="4" t="str">
        <f aca="false">B995&amp;"|"&amp;C995</f>
        <v>tdbR00000202 Lys-UUU|40</v>
      </c>
      <c r="B995" s="4" t="s">
        <v>50</v>
      </c>
      <c r="C995" s="4" t="s">
        <v>460</v>
      </c>
      <c r="D995" s="4" t="n">
        <v>40</v>
      </c>
      <c r="E995" s="21" t="s">
        <v>414</v>
      </c>
      <c r="F995" s="22" t="s">
        <v>446</v>
      </c>
    </row>
    <row r="996" customFormat="false" ht="15" hidden="false" customHeight="false" outlineLevel="0" collapsed="false">
      <c r="A996" s="4" t="str">
        <f aca="false">B996&amp;"|"&amp;C996</f>
        <v>tdbR00000202 Lys-UUU|41</v>
      </c>
      <c r="B996" s="4" t="s">
        <v>50</v>
      </c>
      <c r="C996" s="4" t="s">
        <v>461</v>
      </c>
      <c r="D996" s="4" t="n">
        <v>41</v>
      </c>
      <c r="E996" s="21" t="s">
        <v>414</v>
      </c>
      <c r="F996" s="22" t="s">
        <v>446</v>
      </c>
    </row>
    <row r="997" customFormat="false" ht="15" hidden="false" customHeight="false" outlineLevel="0" collapsed="false">
      <c r="A997" s="4" t="str">
        <f aca="false">B997&amp;"|"&amp;C997</f>
        <v>tdbR00000202 Lys-UUU|42</v>
      </c>
      <c r="B997" s="4" t="s">
        <v>50</v>
      </c>
      <c r="C997" s="4" t="s">
        <v>462</v>
      </c>
      <c r="D997" s="4" t="n">
        <v>42</v>
      </c>
      <c r="E997" s="21" t="s">
        <v>246</v>
      </c>
      <c r="F997" s="22" t="s">
        <v>446</v>
      </c>
    </row>
    <row r="998" customFormat="false" ht="15" hidden="false" customHeight="false" outlineLevel="0" collapsed="false">
      <c r="A998" s="4" t="str">
        <f aca="false">B998&amp;"|"&amp;C998</f>
        <v>tdbR00000202 Lys-UUU|43</v>
      </c>
      <c r="B998" s="4" t="s">
        <v>50</v>
      </c>
      <c r="C998" s="4" t="s">
        <v>463</v>
      </c>
      <c r="D998" s="4" t="n">
        <v>43</v>
      </c>
      <c r="E998" s="21" t="s">
        <v>246</v>
      </c>
      <c r="F998" s="22" t="s">
        <v>446</v>
      </c>
    </row>
    <row r="999" customFormat="false" ht="15" hidden="false" customHeight="false" outlineLevel="0" collapsed="false">
      <c r="A999" s="4" t="str">
        <f aca="false">B999&amp;"|"&amp;C999</f>
        <v>tdbR00000202 Lys-UUU|44</v>
      </c>
      <c r="B999" s="4" t="s">
        <v>50</v>
      </c>
      <c r="C999" s="4" t="s">
        <v>464</v>
      </c>
      <c r="D999" s="4" t="n">
        <v>44</v>
      </c>
      <c r="E999" s="19" t="s">
        <v>197</v>
      </c>
      <c r="F999" s="20" t="s">
        <v>465</v>
      </c>
    </row>
    <row r="1000" customFormat="false" ht="15" hidden="false" customHeight="false" outlineLevel="0" collapsed="false">
      <c r="A1000" s="4" t="str">
        <f aca="false">B1000&amp;"|"&amp;C1000</f>
        <v>tdbR00000202 Lys-UUU|45</v>
      </c>
      <c r="B1000" s="4" t="s">
        <v>50</v>
      </c>
      <c r="C1000" s="4" t="s">
        <v>466</v>
      </c>
      <c r="D1000" s="4" t="n">
        <v>45</v>
      </c>
      <c r="E1000" s="19" t="s">
        <v>197</v>
      </c>
      <c r="F1000" s="20" t="s">
        <v>465</v>
      </c>
    </row>
    <row r="1001" customFormat="false" ht="15" hidden="false" customHeight="false" outlineLevel="0" collapsed="false">
      <c r="A1001" s="4" t="str">
        <f aca="false">B1001&amp;"|"&amp;C1001</f>
        <v>tdbR00000202 Lys-UUU|46</v>
      </c>
      <c r="B1001" s="4" t="s">
        <v>50</v>
      </c>
      <c r="C1001" s="4" t="s">
        <v>467</v>
      </c>
      <c r="D1001" s="4" t="n">
        <v>46</v>
      </c>
      <c r="E1001" s="19" t="s">
        <v>197</v>
      </c>
      <c r="F1001" s="20" t="s">
        <v>465</v>
      </c>
    </row>
    <row r="1002" customFormat="false" ht="15" hidden="false" customHeight="false" outlineLevel="0" collapsed="false">
      <c r="A1002" s="4" t="str">
        <f aca="false">B1002&amp;"|"&amp;C1002</f>
        <v>tdbR00000202 Lys-UUU|47</v>
      </c>
      <c r="B1002" s="4" t="s">
        <v>50</v>
      </c>
      <c r="C1002" s="4" t="s">
        <v>468</v>
      </c>
      <c r="D1002" s="4" t="n">
        <v>47</v>
      </c>
      <c r="E1002" s="19" t="s">
        <v>259</v>
      </c>
      <c r="F1002" s="20" t="s">
        <v>465</v>
      </c>
    </row>
    <row r="1003" customFormat="false" ht="15" hidden="false" customHeight="false" outlineLevel="0" collapsed="false">
      <c r="A1003" s="4" t="str">
        <f aca="false">B1003&amp;"|"&amp;C1003</f>
        <v>tdbR00000202 Lys-UUU|48</v>
      </c>
      <c r="B1003" s="4" t="s">
        <v>50</v>
      </c>
      <c r="C1003" s="4" t="s">
        <v>469</v>
      </c>
      <c r="D1003" s="4" t="n">
        <v>48</v>
      </c>
      <c r="E1003" s="19" t="s">
        <v>414</v>
      </c>
      <c r="F1003" s="20" t="s">
        <v>465</v>
      </c>
    </row>
    <row r="1004" customFormat="false" ht="15" hidden="false" customHeight="false" outlineLevel="0" collapsed="false">
      <c r="A1004" s="4" t="str">
        <f aca="false">B1004&amp;"|"&amp;C1004</f>
        <v>tdbR00000202 Lys-UUU|49</v>
      </c>
      <c r="B1004" s="4" t="s">
        <v>50</v>
      </c>
      <c r="C1004" s="4" t="s">
        <v>470</v>
      </c>
      <c r="D1004" s="4" t="n">
        <v>49</v>
      </c>
      <c r="E1004" s="23" t="s">
        <v>414</v>
      </c>
      <c r="F1004" s="10" t="s">
        <v>471</v>
      </c>
    </row>
    <row r="1005" customFormat="false" ht="15" hidden="false" customHeight="false" outlineLevel="0" collapsed="false">
      <c r="A1005" s="4" t="str">
        <f aca="false">B1005&amp;"|"&amp;C1005</f>
        <v>tdbR00000202 Lys-UUU|50</v>
      </c>
      <c r="B1005" s="4" t="s">
        <v>50</v>
      </c>
      <c r="C1005" s="4" t="s">
        <v>472</v>
      </c>
      <c r="D1005" s="4" t="n">
        <v>50</v>
      </c>
      <c r="E1005" s="23" t="s">
        <v>246</v>
      </c>
      <c r="F1005" s="10" t="s">
        <v>471</v>
      </c>
    </row>
    <row r="1006" customFormat="false" ht="15" hidden="false" customHeight="false" outlineLevel="0" collapsed="false">
      <c r="A1006" s="4" t="str">
        <f aca="false">B1006&amp;"|"&amp;C1006</f>
        <v>tdbR00000202 Lys-UUU|51</v>
      </c>
      <c r="B1006" s="4" t="s">
        <v>50</v>
      </c>
      <c r="C1006" s="4" t="s">
        <v>473</v>
      </c>
      <c r="D1006" s="4" t="n">
        <v>51</v>
      </c>
      <c r="E1006" s="23" t="s">
        <v>197</v>
      </c>
      <c r="F1006" s="10" t="s">
        <v>471</v>
      </c>
    </row>
    <row r="1007" customFormat="false" ht="15" hidden="false" customHeight="false" outlineLevel="0" collapsed="false">
      <c r="A1007" s="4" t="str">
        <f aca="false">B1007&amp;"|"&amp;C1007</f>
        <v>tdbR00000202 Lys-UUU|52</v>
      </c>
      <c r="B1007" s="4" t="s">
        <v>50</v>
      </c>
      <c r="C1007" s="4" t="s">
        <v>474</v>
      </c>
      <c r="D1007" s="4" t="n">
        <v>52</v>
      </c>
      <c r="E1007" s="23" t="s">
        <v>197</v>
      </c>
      <c r="F1007" s="10" t="s">
        <v>471</v>
      </c>
    </row>
    <row r="1008" customFormat="false" ht="15" hidden="false" customHeight="false" outlineLevel="0" collapsed="false">
      <c r="A1008" s="4" t="str">
        <f aca="false">B1008&amp;"|"&amp;C1008</f>
        <v>tdbR00000202 Lys-UUU|53</v>
      </c>
      <c r="B1008" s="4" t="s">
        <v>50</v>
      </c>
      <c r="C1008" s="4" t="s">
        <v>475</v>
      </c>
      <c r="D1008" s="4" t="n">
        <v>53</v>
      </c>
      <c r="E1008" s="23" t="s">
        <v>197</v>
      </c>
      <c r="F1008" s="10" t="s">
        <v>471</v>
      </c>
    </row>
    <row r="1009" customFormat="false" ht="15" hidden="false" customHeight="false" outlineLevel="0" collapsed="false">
      <c r="A1009" s="4" t="str">
        <f aca="false">B1009&amp;"|"&amp;C1009</f>
        <v>tdbR00000202 Lys-UUU|54</v>
      </c>
      <c r="B1009" s="4" t="s">
        <v>50</v>
      </c>
      <c r="C1009" s="4" t="s">
        <v>476</v>
      </c>
      <c r="D1009" s="4" t="n">
        <v>54</v>
      </c>
      <c r="E1009" s="19" t="s">
        <v>259</v>
      </c>
      <c r="F1009" s="20" t="s">
        <v>477</v>
      </c>
    </row>
    <row r="1010" customFormat="false" ht="15" hidden="false" customHeight="false" outlineLevel="0" collapsed="false">
      <c r="A1010" s="4" t="str">
        <f aca="false">B1010&amp;"|"&amp;C1010</f>
        <v>tdbR00000202 Lys-UUU|55</v>
      </c>
      <c r="B1010" s="4" t="s">
        <v>50</v>
      </c>
      <c r="C1010" s="4" t="s">
        <v>478</v>
      </c>
      <c r="D1010" s="4" t="n">
        <v>55</v>
      </c>
      <c r="E1010" s="19" t="s">
        <v>259</v>
      </c>
      <c r="F1010" s="20" t="s">
        <v>477</v>
      </c>
    </row>
    <row r="1011" customFormat="false" ht="15" hidden="false" customHeight="false" outlineLevel="0" collapsed="false">
      <c r="A1011" s="4" t="str">
        <f aca="false">B1011&amp;"|"&amp;C1011</f>
        <v>tdbR00000202 Lys-UUU|56</v>
      </c>
      <c r="B1011" s="4" t="s">
        <v>50</v>
      </c>
      <c r="C1011" s="4" t="s">
        <v>479</v>
      </c>
      <c r="D1011" s="4" t="n">
        <v>56</v>
      </c>
      <c r="E1011" s="19" t="s">
        <v>414</v>
      </c>
      <c r="F1011" s="20" t="s">
        <v>477</v>
      </c>
    </row>
    <row r="1012" customFormat="false" ht="15" hidden="false" customHeight="false" outlineLevel="0" collapsed="false">
      <c r="A1012" s="4" t="str">
        <f aca="false">B1012&amp;"|"&amp;C1012</f>
        <v>tdbR00000202 Lys-UUU|57</v>
      </c>
      <c r="B1012" s="4" t="s">
        <v>50</v>
      </c>
      <c r="C1012" s="4" t="s">
        <v>480</v>
      </c>
      <c r="D1012" s="4" t="n">
        <v>57</v>
      </c>
      <c r="E1012" s="19" t="s">
        <v>246</v>
      </c>
      <c r="F1012" s="20" t="s">
        <v>477</v>
      </c>
    </row>
    <row r="1013" customFormat="false" ht="15" hidden="false" customHeight="false" outlineLevel="0" collapsed="false">
      <c r="A1013" s="4" t="str">
        <f aca="false">B1013&amp;"|"&amp;C1013</f>
        <v>tdbR00000202 Lys-UUU|58</v>
      </c>
      <c r="B1013" s="4" t="s">
        <v>50</v>
      </c>
      <c r="C1013" s="4" t="s">
        <v>481</v>
      </c>
      <c r="D1013" s="4" t="n">
        <v>58</v>
      </c>
      <c r="E1013" s="19" t="s">
        <v>246</v>
      </c>
      <c r="F1013" s="20" t="s">
        <v>477</v>
      </c>
    </row>
    <row r="1014" customFormat="false" ht="15" hidden="false" customHeight="false" outlineLevel="0" collapsed="false">
      <c r="A1014" s="4" t="str">
        <f aca="false">B1014&amp;"|"&amp;C1014</f>
        <v>tdbR00000202 Lys-UUU|59</v>
      </c>
      <c r="B1014" s="4" t="s">
        <v>50</v>
      </c>
      <c r="C1014" s="4" t="s">
        <v>482</v>
      </c>
      <c r="D1014" s="4" t="n">
        <v>59</v>
      </c>
      <c r="E1014" s="19" t="s">
        <v>197</v>
      </c>
      <c r="F1014" s="20" t="s">
        <v>477</v>
      </c>
    </row>
    <row r="1015" customFormat="false" ht="15" hidden="false" customHeight="false" outlineLevel="0" collapsed="false">
      <c r="A1015" s="4" t="str">
        <f aca="false">B1015&amp;"|"&amp;C1015</f>
        <v>tdbR00000202 Lys-UUU|60</v>
      </c>
      <c r="B1015" s="4" t="s">
        <v>50</v>
      </c>
      <c r="C1015" s="4" t="s">
        <v>483</v>
      </c>
      <c r="D1015" s="4" t="n">
        <v>60</v>
      </c>
      <c r="E1015" s="19" t="s">
        <v>259</v>
      </c>
      <c r="F1015" s="20" t="s">
        <v>477</v>
      </c>
    </row>
    <row r="1016" customFormat="false" ht="15" hidden="false" customHeight="false" outlineLevel="0" collapsed="false">
      <c r="A1016" s="4" t="str">
        <f aca="false">B1016&amp;"|"&amp;C1016</f>
        <v>tdbR00000202 Lys-UUU|61</v>
      </c>
      <c r="B1016" s="4" t="s">
        <v>50</v>
      </c>
      <c r="C1016" s="4" t="s">
        <v>484</v>
      </c>
      <c r="D1016" s="4" t="n">
        <v>61</v>
      </c>
      <c r="E1016" s="23" t="s">
        <v>414</v>
      </c>
      <c r="F1016" s="10" t="s">
        <v>471</v>
      </c>
    </row>
    <row r="1017" customFormat="false" ht="15" hidden="false" customHeight="false" outlineLevel="0" collapsed="false">
      <c r="A1017" s="4" t="str">
        <f aca="false">B1017&amp;"|"&amp;C1017</f>
        <v>tdbR00000202 Lys-UUU|62</v>
      </c>
      <c r="B1017" s="4" t="s">
        <v>50</v>
      </c>
      <c r="C1017" s="4" t="s">
        <v>485</v>
      </c>
      <c r="D1017" s="4" t="n">
        <v>62</v>
      </c>
      <c r="E1017" s="23" t="s">
        <v>414</v>
      </c>
      <c r="F1017" s="10" t="s">
        <v>471</v>
      </c>
    </row>
    <row r="1018" customFormat="false" ht="15" hidden="false" customHeight="false" outlineLevel="0" collapsed="false">
      <c r="A1018" s="4" t="str">
        <f aca="false">B1018&amp;"|"&amp;C1018</f>
        <v>tdbR00000202 Lys-UUU|63</v>
      </c>
      <c r="B1018" s="4" t="s">
        <v>50</v>
      </c>
      <c r="C1018" s="4" t="s">
        <v>486</v>
      </c>
      <c r="D1018" s="4" t="n">
        <v>63</v>
      </c>
      <c r="E1018" s="23" t="s">
        <v>414</v>
      </c>
      <c r="F1018" s="10" t="s">
        <v>471</v>
      </c>
    </row>
    <row r="1019" customFormat="false" ht="15" hidden="false" customHeight="false" outlineLevel="0" collapsed="false">
      <c r="A1019" s="4" t="str">
        <f aca="false">B1019&amp;"|"&amp;C1019</f>
        <v>tdbR00000202 Lys-UUU|64</v>
      </c>
      <c r="B1019" s="4" t="s">
        <v>50</v>
      </c>
      <c r="C1019" s="4" t="s">
        <v>487</v>
      </c>
      <c r="D1019" s="4" t="n">
        <v>64</v>
      </c>
      <c r="E1019" s="23" t="s">
        <v>259</v>
      </c>
      <c r="F1019" s="10" t="s">
        <v>471</v>
      </c>
    </row>
    <row r="1020" customFormat="false" ht="15" hidden="false" customHeight="false" outlineLevel="0" collapsed="false">
      <c r="A1020" s="4" t="str">
        <f aca="false">B1020&amp;"|"&amp;C1020</f>
        <v>tdbR00000202 Lys-UUU|65</v>
      </c>
      <c r="B1020" s="4" t="s">
        <v>50</v>
      </c>
      <c r="C1020" s="4" t="s">
        <v>488</v>
      </c>
      <c r="D1020" s="4" t="n">
        <v>65</v>
      </c>
      <c r="E1020" s="23" t="s">
        <v>197</v>
      </c>
      <c r="F1020" s="10" t="s">
        <v>471</v>
      </c>
    </row>
    <row r="1021" customFormat="false" ht="15" hidden="false" customHeight="false" outlineLevel="0" collapsed="false">
      <c r="A1021" s="4" t="str">
        <f aca="false">B1021&amp;"|"&amp;C1021</f>
        <v>tdbR00000202 Lys-UUU|66</v>
      </c>
      <c r="B1021" s="4" t="s">
        <v>50</v>
      </c>
      <c r="C1021" s="4" t="s">
        <v>489</v>
      </c>
      <c r="D1021" s="4" t="n">
        <v>66</v>
      </c>
      <c r="E1021" s="17" t="s">
        <v>259</v>
      </c>
      <c r="F1021" s="18" t="s">
        <v>412</v>
      </c>
    </row>
    <row r="1022" customFormat="false" ht="15" hidden="false" customHeight="false" outlineLevel="0" collapsed="false">
      <c r="A1022" s="4" t="str">
        <f aca="false">B1022&amp;"|"&amp;C1022</f>
        <v>tdbR00000202 Lys-UUU|67</v>
      </c>
      <c r="B1022" s="4" t="s">
        <v>50</v>
      </c>
      <c r="C1022" s="4" t="s">
        <v>490</v>
      </c>
      <c r="D1022" s="4" t="n">
        <v>67</v>
      </c>
      <c r="E1022" s="17" t="s">
        <v>259</v>
      </c>
      <c r="F1022" s="18" t="s">
        <v>412</v>
      </c>
    </row>
    <row r="1023" customFormat="false" ht="15" hidden="false" customHeight="false" outlineLevel="0" collapsed="false">
      <c r="A1023" s="4" t="str">
        <f aca="false">B1023&amp;"|"&amp;C1023</f>
        <v>tdbR00000202 Lys-UUU|68</v>
      </c>
      <c r="B1023" s="4" t="s">
        <v>50</v>
      </c>
      <c r="C1023" s="4" t="s">
        <v>491</v>
      </c>
      <c r="D1023" s="4" t="n">
        <v>68</v>
      </c>
      <c r="E1023" s="17" t="s">
        <v>414</v>
      </c>
      <c r="F1023" s="18" t="s">
        <v>412</v>
      </c>
    </row>
    <row r="1024" customFormat="false" ht="15" hidden="false" customHeight="false" outlineLevel="0" collapsed="false">
      <c r="A1024" s="4" t="str">
        <f aca="false">B1024&amp;"|"&amp;C1024</f>
        <v>tdbR00000202 Lys-UUU|69</v>
      </c>
      <c r="B1024" s="4" t="s">
        <v>50</v>
      </c>
      <c r="C1024" s="4" t="s">
        <v>492</v>
      </c>
      <c r="D1024" s="4" t="n">
        <v>69</v>
      </c>
      <c r="E1024" s="17" t="s">
        <v>197</v>
      </c>
      <c r="F1024" s="18" t="s">
        <v>412</v>
      </c>
    </row>
    <row r="1025" customFormat="false" ht="15" hidden="false" customHeight="false" outlineLevel="0" collapsed="false">
      <c r="A1025" s="4" t="str">
        <f aca="false">B1025&amp;"|"&amp;C1025</f>
        <v>tdbR00000202 Lys-UUU|70</v>
      </c>
      <c r="B1025" s="4" t="s">
        <v>50</v>
      </c>
      <c r="C1025" s="4" t="s">
        <v>493</v>
      </c>
      <c r="D1025" s="4" t="n">
        <v>70</v>
      </c>
      <c r="E1025" s="17" t="s">
        <v>197</v>
      </c>
      <c r="F1025" s="18" t="s">
        <v>412</v>
      </c>
    </row>
    <row r="1026" customFormat="false" ht="15" hidden="false" customHeight="false" outlineLevel="0" collapsed="false">
      <c r="A1026" s="4" t="str">
        <f aca="false">B1026&amp;"|"&amp;C1026</f>
        <v>tdbR00000202 Lys-UUU|71</v>
      </c>
      <c r="B1026" s="4" t="s">
        <v>50</v>
      </c>
      <c r="C1026" s="4" t="s">
        <v>494</v>
      </c>
      <c r="D1026" s="4" t="n">
        <v>71</v>
      </c>
      <c r="E1026" s="17" t="s">
        <v>197</v>
      </c>
      <c r="F1026" s="18" t="s">
        <v>412</v>
      </c>
    </row>
    <row r="1027" customFormat="false" ht="15" hidden="false" customHeight="false" outlineLevel="0" collapsed="false">
      <c r="A1027" s="4" t="str">
        <f aca="false">B1027&amp;"|"&amp;C1027</f>
        <v>tdbR00000202 Lys-UUU|72</v>
      </c>
      <c r="B1027" s="4" t="s">
        <v>50</v>
      </c>
      <c r="C1027" s="4" t="s">
        <v>495</v>
      </c>
      <c r="D1027" s="4" t="n">
        <v>72</v>
      </c>
      <c r="E1027" s="17" t="s">
        <v>414</v>
      </c>
      <c r="F1027" s="18" t="s">
        <v>412</v>
      </c>
    </row>
    <row r="1028" customFormat="false" ht="15" hidden="false" customHeight="false" outlineLevel="0" collapsed="false">
      <c r="A1028" s="4" t="str">
        <f aca="false">B1028&amp;"|"&amp;C1028</f>
        <v>tdbR00000201 Lys-CUU|1</v>
      </c>
      <c r="B1028" s="4" t="s">
        <v>51</v>
      </c>
      <c r="C1028" s="4" t="s">
        <v>411</v>
      </c>
      <c r="D1028" s="4" t="n">
        <v>1</v>
      </c>
      <c r="E1028" s="17" t="s">
        <v>197</v>
      </c>
      <c r="F1028" s="18" t="s">
        <v>412</v>
      </c>
    </row>
    <row r="1029" customFormat="false" ht="15" hidden="false" customHeight="false" outlineLevel="0" collapsed="false">
      <c r="A1029" s="4" t="str">
        <f aca="false">B1029&amp;"|"&amp;C1029</f>
        <v>tdbR00000201 Lys-CUU|2</v>
      </c>
      <c r="B1029" s="4" t="s">
        <v>51</v>
      </c>
      <c r="C1029" s="4" t="s">
        <v>413</v>
      </c>
      <c r="D1029" s="4" t="n">
        <v>2</v>
      </c>
      <c r="E1029" s="17" t="s">
        <v>414</v>
      </c>
      <c r="F1029" s="18" t="s">
        <v>412</v>
      </c>
    </row>
    <row r="1030" customFormat="false" ht="15" hidden="false" customHeight="false" outlineLevel="0" collapsed="false">
      <c r="A1030" s="4" t="str">
        <f aca="false">B1030&amp;"|"&amp;C1030</f>
        <v>tdbR00000201 Lys-CUU|3</v>
      </c>
      <c r="B1030" s="4" t="s">
        <v>51</v>
      </c>
      <c r="C1030" s="4" t="s">
        <v>415</v>
      </c>
      <c r="D1030" s="4" t="n">
        <v>3</v>
      </c>
      <c r="E1030" s="17" t="s">
        <v>414</v>
      </c>
      <c r="F1030" s="18" t="s">
        <v>412</v>
      </c>
    </row>
    <row r="1031" customFormat="false" ht="15" hidden="false" customHeight="false" outlineLevel="0" collapsed="false">
      <c r="A1031" s="4" t="str">
        <f aca="false">B1031&amp;"|"&amp;C1031</f>
        <v>tdbR00000201 Lys-CUU|4</v>
      </c>
      <c r="B1031" s="4" t="s">
        <v>51</v>
      </c>
      <c r="C1031" s="4" t="s">
        <v>416</v>
      </c>
      <c r="D1031" s="4" t="n">
        <v>4</v>
      </c>
      <c r="E1031" s="17" t="s">
        <v>414</v>
      </c>
      <c r="F1031" s="18" t="s">
        <v>412</v>
      </c>
    </row>
    <row r="1032" customFormat="false" ht="15" hidden="false" customHeight="false" outlineLevel="0" collapsed="false">
      <c r="A1032" s="4" t="str">
        <f aca="false">B1032&amp;"|"&amp;C1032</f>
        <v>tdbR00000201 Lys-CUU|5</v>
      </c>
      <c r="B1032" s="4" t="s">
        <v>51</v>
      </c>
      <c r="C1032" s="4" t="s">
        <v>417</v>
      </c>
      <c r="D1032" s="4" t="n">
        <v>5</v>
      </c>
      <c r="E1032" s="17" t="s">
        <v>197</v>
      </c>
      <c r="F1032" s="18" t="s">
        <v>412</v>
      </c>
    </row>
    <row r="1033" customFormat="false" ht="15" hidden="false" customHeight="false" outlineLevel="0" collapsed="false">
      <c r="A1033" s="4" t="str">
        <f aca="false">B1033&amp;"|"&amp;C1033</f>
        <v>tdbR00000201 Lys-CUU|6</v>
      </c>
      <c r="B1033" s="4" t="s">
        <v>51</v>
      </c>
      <c r="C1033" s="4" t="s">
        <v>418</v>
      </c>
      <c r="D1033" s="4" t="n">
        <v>6</v>
      </c>
      <c r="E1033" s="17" t="s">
        <v>197</v>
      </c>
      <c r="F1033" s="18" t="s">
        <v>412</v>
      </c>
    </row>
    <row r="1034" customFormat="false" ht="15" hidden="false" customHeight="false" outlineLevel="0" collapsed="false">
      <c r="A1034" s="4" t="str">
        <f aca="false">B1034&amp;"|"&amp;C1034</f>
        <v>tdbR00000201 Lys-CUU|7</v>
      </c>
      <c r="B1034" s="4" t="s">
        <v>51</v>
      </c>
      <c r="C1034" s="4" t="s">
        <v>419</v>
      </c>
      <c r="D1034" s="4" t="n">
        <v>7</v>
      </c>
      <c r="E1034" s="17" t="s">
        <v>414</v>
      </c>
      <c r="F1034" s="18" t="s">
        <v>412</v>
      </c>
    </row>
    <row r="1035" customFormat="false" ht="15" hidden="false" customHeight="false" outlineLevel="0" collapsed="false">
      <c r="A1035" s="4" t="str">
        <f aca="false">B1035&amp;"|"&amp;C1035</f>
        <v>tdbR00000201 Lys-CUU|8</v>
      </c>
      <c r="B1035" s="4" t="s">
        <v>51</v>
      </c>
      <c r="C1035" s="4" t="s">
        <v>420</v>
      </c>
      <c r="D1035" s="4" t="n">
        <v>8</v>
      </c>
      <c r="E1035" s="3" t="s">
        <v>259</v>
      </c>
      <c r="F1035" s="4" t="s">
        <v>421</v>
      </c>
    </row>
    <row r="1036" customFormat="false" ht="15" hidden="false" customHeight="false" outlineLevel="0" collapsed="false">
      <c r="A1036" s="4" t="str">
        <f aca="false">B1036&amp;"|"&amp;C1036</f>
        <v>tdbR00000201 Lys-CUU|9</v>
      </c>
      <c r="B1036" s="4" t="s">
        <v>51</v>
      </c>
      <c r="C1036" s="4" t="s">
        <v>422</v>
      </c>
      <c r="D1036" s="4" t="n">
        <v>9</v>
      </c>
      <c r="E1036" s="3" t="s">
        <v>246</v>
      </c>
      <c r="F1036" s="4" t="s">
        <v>423</v>
      </c>
    </row>
    <row r="1037" customFormat="false" ht="15" hidden="false" customHeight="false" outlineLevel="0" collapsed="false">
      <c r="A1037" s="4" t="str">
        <f aca="false">B1037&amp;"|"&amp;C1037</f>
        <v>tdbR00000201 Lys-CUU|10</v>
      </c>
      <c r="B1037" s="4" t="s">
        <v>51</v>
      </c>
      <c r="C1037" s="4" t="s">
        <v>424</v>
      </c>
      <c r="D1037" s="4" t="n">
        <v>10</v>
      </c>
      <c r="E1037" s="8" t="s">
        <v>197</v>
      </c>
      <c r="F1037" s="7" t="s">
        <v>425</v>
      </c>
    </row>
    <row r="1038" customFormat="false" ht="15" hidden="false" customHeight="false" outlineLevel="0" collapsed="false">
      <c r="A1038" s="4" t="str">
        <f aca="false">B1038&amp;"|"&amp;C1038</f>
        <v>tdbR00000201 Lys-CUU|11</v>
      </c>
      <c r="B1038" s="4" t="s">
        <v>51</v>
      </c>
      <c r="C1038" s="4" t="s">
        <v>426</v>
      </c>
      <c r="D1038" s="4" t="n">
        <v>11</v>
      </c>
      <c r="E1038" s="8" t="s">
        <v>414</v>
      </c>
      <c r="F1038" s="7" t="s">
        <v>425</v>
      </c>
    </row>
    <row r="1039" customFormat="false" ht="15" hidden="false" customHeight="false" outlineLevel="0" collapsed="false">
      <c r="A1039" s="4" t="str">
        <f aca="false">B1039&amp;"|"&amp;C1039</f>
        <v>tdbR00000201 Lys-CUU|12</v>
      </c>
      <c r="B1039" s="4" t="s">
        <v>51</v>
      </c>
      <c r="C1039" s="4" t="s">
        <v>427</v>
      </c>
      <c r="D1039" s="4" t="n">
        <v>12</v>
      </c>
      <c r="E1039" s="8" t="s">
        <v>259</v>
      </c>
      <c r="F1039" s="7" t="s">
        <v>425</v>
      </c>
    </row>
    <row r="1040" customFormat="false" ht="15" hidden="false" customHeight="false" outlineLevel="0" collapsed="false">
      <c r="A1040" s="4" t="str">
        <f aca="false">B1040&amp;"|"&amp;C1040</f>
        <v>tdbR00000201 Lys-CUU|13</v>
      </c>
      <c r="B1040" s="4" t="s">
        <v>51</v>
      </c>
      <c r="C1040" s="4" t="s">
        <v>428</v>
      </c>
      <c r="D1040" s="4" t="n">
        <v>13</v>
      </c>
      <c r="E1040" s="8" t="s">
        <v>414</v>
      </c>
      <c r="F1040" s="7" t="s">
        <v>425</v>
      </c>
    </row>
    <row r="1041" customFormat="false" ht="15" hidden="false" customHeight="false" outlineLevel="0" collapsed="false">
      <c r="A1041" s="4" t="str">
        <f aca="false">B1041&amp;"|"&amp;C1041</f>
        <v>tdbR00000201 Lys-CUU|14</v>
      </c>
      <c r="B1041" s="4" t="s">
        <v>51</v>
      </c>
      <c r="C1041" s="4" t="s">
        <v>429</v>
      </c>
      <c r="D1041" s="4" t="n">
        <v>14</v>
      </c>
      <c r="E1041" s="19" t="s">
        <v>246</v>
      </c>
      <c r="F1041" s="20" t="s">
        <v>430</v>
      </c>
    </row>
    <row r="1042" customFormat="false" ht="15" hidden="false" customHeight="false" outlineLevel="0" collapsed="false">
      <c r="A1042" s="4" t="str">
        <f aca="false">B1042&amp;"|"&amp;C1042</f>
        <v>tdbR00000201 Lys-CUU|15</v>
      </c>
      <c r="B1042" s="4" t="s">
        <v>51</v>
      </c>
      <c r="C1042" s="4" t="s">
        <v>431</v>
      </c>
      <c r="D1042" s="4" t="n">
        <v>15</v>
      </c>
      <c r="E1042" s="19" t="s">
        <v>197</v>
      </c>
      <c r="F1042" s="20" t="s">
        <v>430</v>
      </c>
    </row>
    <row r="1043" customFormat="false" ht="15" hidden="false" customHeight="false" outlineLevel="0" collapsed="false">
      <c r="A1043" s="4" t="str">
        <f aca="false">B1043&amp;"|"&amp;C1043</f>
        <v>tdbR00000201 Lys-CUU|16</v>
      </c>
      <c r="B1043" s="4" t="s">
        <v>51</v>
      </c>
      <c r="C1043" s="4" t="s">
        <v>432</v>
      </c>
      <c r="D1043" s="4" t="n">
        <v>16</v>
      </c>
      <c r="E1043" s="19" t="s">
        <v>259</v>
      </c>
      <c r="F1043" s="20" t="s">
        <v>430</v>
      </c>
    </row>
    <row r="1044" customFormat="false" ht="15" hidden="false" customHeight="false" outlineLevel="0" collapsed="false">
      <c r="A1044" s="4" t="str">
        <f aca="false">B1044&amp;"|"&amp;C1044</f>
        <v>tdbR00000201 Lys-CUU|17</v>
      </c>
      <c r="B1044" s="4" t="s">
        <v>51</v>
      </c>
      <c r="C1044" s="4" t="s">
        <v>433</v>
      </c>
      <c r="D1044" s="4" t="n">
        <v>17</v>
      </c>
      <c r="E1044" s="19" t="s">
        <v>414</v>
      </c>
      <c r="F1044" s="20" t="s">
        <v>430</v>
      </c>
    </row>
    <row r="1045" customFormat="false" ht="15" hidden="false" customHeight="false" outlineLevel="0" collapsed="false">
      <c r="A1045" s="4" t="str">
        <f aca="false">B1045&amp;"|"&amp;C1045</f>
        <v>tdbR00000201 Lys-CUU|18</v>
      </c>
      <c r="B1045" s="4" t="s">
        <v>51</v>
      </c>
      <c r="C1045" s="4" t="s">
        <v>434</v>
      </c>
      <c r="D1045" s="4" t="n">
        <v>18</v>
      </c>
      <c r="E1045" s="19" t="s">
        <v>197</v>
      </c>
      <c r="F1045" s="20" t="s">
        <v>430</v>
      </c>
    </row>
    <row r="1046" customFormat="false" ht="15" hidden="false" customHeight="false" outlineLevel="0" collapsed="false">
      <c r="A1046" s="4" t="str">
        <f aca="false">B1046&amp;"|"&amp;C1046</f>
        <v>tdbR00000201 Lys-CUU|19</v>
      </c>
      <c r="B1046" s="4" t="s">
        <v>51</v>
      </c>
      <c r="C1046" s="4" t="s">
        <v>435</v>
      </c>
      <c r="D1046" s="4" t="n">
        <v>19</v>
      </c>
      <c r="E1046" s="19" t="s">
        <v>197</v>
      </c>
      <c r="F1046" s="20" t="s">
        <v>430</v>
      </c>
    </row>
    <row r="1047" customFormat="false" ht="15" hidden="false" customHeight="false" outlineLevel="0" collapsed="false">
      <c r="A1047" s="4" t="str">
        <f aca="false">B1047&amp;"|"&amp;C1047</f>
        <v>tdbR00000201 Lys-CUU|20</v>
      </c>
      <c r="B1047" s="4" t="s">
        <v>51</v>
      </c>
      <c r="C1047" s="4" t="s">
        <v>436</v>
      </c>
      <c r="D1047" s="4" t="n">
        <v>20</v>
      </c>
      <c r="E1047" s="19" t="s">
        <v>259</v>
      </c>
      <c r="F1047" s="20" t="s">
        <v>430</v>
      </c>
    </row>
    <row r="1048" customFormat="false" ht="15" hidden="false" customHeight="false" outlineLevel="0" collapsed="false">
      <c r="A1048" s="4" t="str">
        <f aca="false">B1048&amp;"|"&amp;C1048</f>
        <v>tdbR00000201 Lys-CUU|21</v>
      </c>
      <c r="B1048" s="4" t="s">
        <v>51</v>
      </c>
      <c r="C1048" s="4" t="s">
        <v>438</v>
      </c>
      <c r="D1048" s="4" t="n">
        <v>21</v>
      </c>
      <c r="E1048" s="19" t="s">
        <v>246</v>
      </c>
      <c r="F1048" s="20" t="s">
        <v>430</v>
      </c>
    </row>
    <row r="1049" customFormat="false" ht="15" hidden="false" customHeight="false" outlineLevel="0" collapsed="false">
      <c r="A1049" s="4" t="str">
        <f aca="false">B1049&amp;"|"&amp;C1049</f>
        <v>tdbR00000201 Lys-CUU|22</v>
      </c>
      <c r="B1049" s="4" t="s">
        <v>51</v>
      </c>
      <c r="C1049" s="4" t="s">
        <v>439</v>
      </c>
      <c r="D1049" s="4" t="n">
        <v>22</v>
      </c>
      <c r="E1049" s="8" t="s">
        <v>197</v>
      </c>
      <c r="F1049" s="7" t="s">
        <v>425</v>
      </c>
    </row>
    <row r="1050" customFormat="false" ht="15" hidden="false" customHeight="false" outlineLevel="0" collapsed="false">
      <c r="A1050" s="4" t="str">
        <f aca="false">B1050&amp;"|"&amp;C1050</f>
        <v>tdbR00000201 Lys-CUU|23</v>
      </c>
      <c r="B1050" s="4" t="s">
        <v>51</v>
      </c>
      <c r="C1050" s="4" t="s">
        <v>440</v>
      </c>
      <c r="D1050" s="4" t="n">
        <v>23</v>
      </c>
      <c r="E1050" s="8" t="s">
        <v>246</v>
      </c>
      <c r="F1050" s="7" t="s">
        <v>425</v>
      </c>
    </row>
    <row r="1051" customFormat="false" ht="15" hidden="false" customHeight="false" outlineLevel="0" collapsed="false">
      <c r="A1051" s="4" t="str">
        <f aca="false">B1051&amp;"|"&amp;C1051</f>
        <v>tdbR00000201 Lys-CUU|24</v>
      </c>
      <c r="B1051" s="4" t="s">
        <v>51</v>
      </c>
      <c r="C1051" s="4" t="s">
        <v>441</v>
      </c>
      <c r="D1051" s="4" t="n">
        <v>24</v>
      </c>
      <c r="E1051" s="8" t="s">
        <v>197</v>
      </c>
      <c r="F1051" s="7" t="s">
        <v>425</v>
      </c>
    </row>
    <row r="1052" customFormat="false" ht="15" hidden="false" customHeight="false" outlineLevel="0" collapsed="false">
      <c r="A1052" s="4" t="str">
        <f aca="false">B1052&amp;"|"&amp;C1052</f>
        <v>tdbR00000201 Lys-CUU|25</v>
      </c>
      <c r="B1052" s="4" t="s">
        <v>51</v>
      </c>
      <c r="C1052" s="4" t="s">
        <v>442</v>
      </c>
      <c r="D1052" s="4" t="n">
        <v>25</v>
      </c>
      <c r="E1052" s="8" t="s">
        <v>414</v>
      </c>
      <c r="F1052" s="7" t="s">
        <v>425</v>
      </c>
    </row>
    <row r="1053" customFormat="false" ht="15" hidden="false" customHeight="false" outlineLevel="0" collapsed="false">
      <c r="A1053" s="4" t="str">
        <f aca="false">B1053&amp;"|"&amp;C1053</f>
        <v>tdbR00000201 Lys-CUU|26</v>
      </c>
      <c r="B1053" s="4" t="s">
        <v>51</v>
      </c>
      <c r="C1053" s="4" t="s">
        <v>443</v>
      </c>
      <c r="D1053" s="4" t="n">
        <v>26</v>
      </c>
      <c r="E1053" s="3" t="s">
        <v>246</v>
      </c>
      <c r="F1053" s="4" t="s">
        <v>444</v>
      </c>
    </row>
    <row r="1054" customFormat="false" ht="15" hidden="false" customHeight="false" outlineLevel="0" collapsed="false">
      <c r="A1054" s="4" t="str">
        <f aca="false">B1054&amp;"|"&amp;C1054</f>
        <v>tdbR00000201 Lys-CUU|27</v>
      </c>
      <c r="B1054" s="4" t="s">
        <v>51</v>
      </c>
      <c r="C1054" s="4" t="s">
        <v>445</v>
      </c>
      <c r="D1054" s="4" t="n">
        <v>27</v>
      </c>
      <c r="E1054" s="21" t="s">
        <v>259</v>
      </c>
      <c r="F1054" s="22" t="s">
        <v>446</v>
      </c>
    </row>
    <row r="1055" customFormat="false" ht="15" hidden="false" customHeight="false" outlineLevel="0" collapsed="false">
      <c r="A1055" s="4" t="str">
        <f aca="false">B1055&amp;"|"&amp;C1055</f>
        <v>tdbR00000201 Lys-CUU|28</v>
      </c>
      <c r="B1055" s="4" t="s">
        <v>51</v>
      </c>
      <c r="C1055" s="4" t="s">
        <v>447</v>
      </c>
      <c r="D1055" s="4" t="n">
        <v>28</v>
      </c>
      <c r="E1055" s="21" t="s">
        <v>197</v>
      </c>
      <c r="F1055" s="22" t="s">
        <v>446</v>
      </c>
    </row>
    <row r="1056" customFormat="false" ht="15" hidden="false" customHeight="false" outlineLevel="0" collapsed="false">
      <c r="A1056" s="4" t="str">
        <f aca="false">B1056&amp;"|"&amp;C1056</f>
        <v>tdbR00000201 Lys-CUU|29</v>
      </c>
      <c r="B1056" s="4" t="s">
        <v>51</v>
      </c>
      <c r="C1056" s="4" t="s">
        <v>448</v>
      </c>
      <c r="D1056" s="4" t="n">
        <v>29</v>
      </c>
      <c r="E1056" s="21" t="s">
        <v>246</v>
      </c>
      <c r="F1056" s="22" t="s">
        <v>446</v>
      </c>
    </row>
    <row r="1057" customFormat="false" ht="15" hidden="false" customHeight="false" outlineLevel="0" collapsed="false">
      <c r="A1057" s="4" t="str">
        <f aca="false">B1057&amp;"|"&amp;C1057</f>
        <v>tdbR00000201 Lys-CUU|30</v>
      </c>
      <c r="B1057" s="4" t="s">
        <v>51</v>
      </c>
      <c r="C1057" s="4" t="s">
        <v>449</v>
      </c>
      <c r="D1057" s="4" t="n">
        <v>30</v>
      </c>
      <c r="E1057" s="21" t="s">
        <v>197</v>
      </c>
      <c r="F1057" s="22" t="s">
        <v>446</v>
      </c>
    </row>
    <row r="1058" customFormat="false" ht="15" hidden="false" customHeight="false" outlineLevel="0" collapsed="false">
      <c r="A1058" s="4" t="str">
        <f aca="false">B1058&amp;"|"&amp;C1058</f>
        <v>tdbR00000201 Lys-CUU|31</v>
      </c>
      <c r="B1058" s="4" t="s">
        <v>51</v>
      </c>
      <c r="C1058" s="4" t="s">
        <v>450</v>
      </c>
      <c r="D1058" s="4" t="n">
        <v>31</v>
      </c>
      <c r="E1058" s="21" t="s">
        <v>246</v>
      </c>
      <c r="F1058" s="22" t="s">
        <v>446</v>
      </c>
    </row>
    <row r="1059" customFormat="false" ht="15" hidden="false" customHeight="false" outlineLevel="0" collapsed="false">
      <c r="A1059" s="4" t="str">
        <f aca="false">B1059&amp;"|"&amp;C1059</f>
        <v>tdbR00000201 Lys-CUU|32</v>
      </c>
      <c r="B1059" s="4" t="s">
        <v>51</v>
      </c>
      <c r="C1059" s="4" t="s">
        <v>451</v>
      </c>
      <c r="D1059" s="4" t="n">
        <v>32</v>
      </c>
      <c r="E1059" s="19" t="s">
        <v>414</v>
      </c>
      <c r="F1059" s="20" t="s">
        <v>452</v>
      </c>
    </row>
    <row r="1060" customFormat="false" ht="15" hidden="false" customHeight="false" outlineLevel="0" collapsed="false">
      <c r="A1060" s="4" t="str">
        <f aca="false">B1060&amp;"|"&amp;C1060</f>
        <v>tdbR00000201 Lys-CUU|33</v>
      </c>
      <c r="B1060" s="4" t="s">
        <v>51</v>
      </c>
      <c r="C1060" s="4" t="s">
        <v>453</v>
      </c>
      <c r="D1060" s="4" t="n">
        <v>33</v>
      </c>
      <c r="E1060" s="19" t="s">
        <v>259</v>
      </c>
      <c r="F1060" s="20" t="s">
        <v>452</v>
      </c>
    </row>
    <row r="1061" customFormat="false" ht="15" hidden="false" customHeight="false" outlineLevel="0" collapsed="false">
      <c r="A1061" s="4" t="str">
        <f aca="false">B1061&amp;"|"&amp;C1061</f>
        <v>tdbR00000201 Lys-CUU|34</v>
      </c>
      <c r="B1061" s="4" t="s">
        <v>51</v>
      </c>
      <c r="C1061" s="4" t="s">
        <v>454</v>
      </c>
      <c r="D1061" s="4" t="n">
        <v>34</v>
      </c>
      <c r="E1061" s="19" t="s">
        <v>414</v>
      </c>
      <c r="F1061" s="20" t="s">
        <v>452</v>
      </c>
    </row>
    <row r="1062" customFormat="false" ht="15" hidden="false" customHeight="false" outlineLevel="0" collapsed="false">
      <c r="A1062" s="4" t="str">
        <f aca="false">B1062&amp;"|"&amp;C1062</f>
        <v>tdbR00000201 Lys-CUU|35</v>
      </c>
      <c r="B1062" s="4" t="s">
        <v>51</v>
      </c>
      <c r="C1062" s="4" t="s">
        <v>455</v>
      </c>
      <c r="D1062" s="4" t="n">
        <v>35</v>
      </c>
      <c r="E1062" s="19" t="s">
        <v>259</v>
      </c>
      <c r="F1062" s="20" t="s">
        <v>452</v>
      </c>
    </row>
    <row r="1063" customFormat="false" ht="15" hidden="false" customHeight="false" outlineLevel="0" collapsed="false">
      <c r="A1063" s="4" t="str">
        <f aca="false">B1063&amp;"|"&amp;C1063</f>
        <v>tdbR00000201 Lys-CUU|36</v>
      </c>
      <c r="B1063" s="4" t="s">
        <v>51</v>
      </c>
      <c r="C1063" s="4" t="s">
        <v>456</v>
      </c>
      <c r="D1063" s="4" t="n">
        <v>36</v>
      </c>
      <c r="E1063" s="19" t="s">
        <v>259</v>
      </c>
      <c r="F1063" s="20" t="s">
        <v>452</v>
      </c>
    </row>
    <row r="1064" customFormat="false" ht="15" hidden="false" customHeight="false" outlineLevel="0" collapsed="false">
      <c r="A1064" s="4" t="str">
        <f aca="false">B1064&amp;"|"&amp;C1064</f>
        <v>tdbR00000201 Lys-CUU|37</v>
      </c>
      <c r="B1064" s="4" t="s">
        <v>51</v>
      </c>
      <c r="C1064" s="4" t="s">
        <v>457</v>
      </c>
      <c r="D1064" s="4" t="n">
        <v>37</v>
      </c>
      <c r="E1064" s="19" t="s">
        <v>246</v>
      </c>
      <c r="F1064" s="20" t="s">
        <v>452</v>
      </c>
    </row>
    <row r="1065" customFormat="false" ht="15" hidden="false" customHeight="false" outlineLevel="0" collapsed="false">
      <c r="A1065" s="4" t="str">
        <f aca="false">B1065&amp;"|"&amp;C1065</f>
        <v>tdbR00000201 Lys-CUU|38</v>
      </c>
      <c r="B1065" s="4" t="s">
        <v>51</v>
      </c>
      <c r="C1065" s="4" t="s">
        <v>458</v>
      </c>
      <c r="D1065" s="4" t="n">
        <v>38</v>
      </c>
      <c r="E1065" s="19" t="s">
        <v>246</v>
      </c>
      <c r="F1065" s="20" t="s">
        <v>452</v>
      </c>
    </row>
    <row r="1066" customFormat="false" ht="15" hidden="false" customHeight="false" outlineLevel="0" collapsed="false">
      <c r="A1066" s="4" t="str">
        <f aca="false">B1066&amp;"|"&amp;C1066</f>
        <v>tdbR00000201 Lys-CUU|39</v>
      </c>
      <c r="B1066" s="4" t="s">
        <v>51</v>
      </c>
      <c r="C1066" s="4" t="s">
        <v>459</v>
      </c>
      <c r="D1066" s="4" t="n">
        <v>39</v>
      </c>
      <c r="E1066" s="21" t="s">
        <v>259</v>
      </c>
      <c r="F1066" s="22" t="s">
        <v>446</v>
      </c>
    </row>
    <row r="1067" customFormat="false" ht="15" hidden="false" customHeight="false" outlineLevel="0" collapsed="false">
      <c r="A1067" s="4" t="str">
        <f aca="false">B1067&amp;"|"&amp;C1067</f>
        <v>tdbR00000201 Lys-CUU|40</v>
      </c>
      <c r="B1067" s="4" t="s">
        <v>51</v>
      </c>
      <c r="C1067" s="4" t="s">
        <v>460</v>
      </c>
      <c r="D1067" s="4" t="n">
        <v>40</v>
      </c>
      <c r="E1067" s="21" t="s">
        <v>414</v>
      </c>
      <c r="F1067" s="22" t="s">
        <v>446</v>
      </c>
    </row>
    <row r="1068" customFormat="false" ht="15" hidden="false" customHeight="false" outlineLevel="0" collapsed="false">
      <c r="A1068" s="4" t="str">
        <f aca="false">B1068&amp;"|"&amp;C1068</f>
        <v>tdbR00000201 Lys-CUU|41</v>
      </c>
      <c r="B1068" s="4" t="s">
        <v>51</v>
      </c>
      <c r="C1068" s="4" t="s">
        <v>461</v>
      </c>
      <c r="D1068" s="4" t="n">
        <v>41</v>
      </c>
      <c r="E1068" s="21" t="s">
        <v>259</v>
      </c>
      <c r="F1068" s="22" t="s">
        <v>446</v>
      </c>
    </row>
    <row r="1069" customFormat="false" ht="15" hidden="false" customHeight="false" outlineLevel="0" collapsed="false">
      <c r="A1069" s="4" t="str">
        <f aca="false">B1069&amp;"|"&amp;C1069</f>
        <v>tdbR00000201 Lys-CUU|42</v>
      </c>
      <c r="B1069" s="4" t="s">
        <v>51</v>
      </c>
      <c r="C1069" s="4" t="s">
        <v>462</v>
      </c>
      <c r="D1069" s="4" t="n">
        <v>42</v>
      </c>
      <c r="E1069" s="21" t="s">
        <v>414</v>
      </c>
      <c r="F1069" s="22" t="s">
        <v>446</v>
      </c>
    </row>
    <row r="1070" customFormat="false" ht="15" hidden="false" customHeight="false" outlineLevel="0" collapsed="false">
      <c r="A1070" s="4" t="str">
        <f aca="false">B1070&amp;"|"&amp;C1070</f>
        <v>tdbR00000201 Lys-CUU|43</v>
      </c>
      <c r="B1070" s="4" t="s">
        <v>51</v>
      </c>
      <c r="C1070" s="4" t="s">
        <v>463</v>
      </c>
      <c r="D1070" s="4" t="n">
        <v>43</v>
      </c>
      <c r="E1070" s="21" t="s">
        <v>246</v>
      </c>
      <c r="F1070" s="22" t="s">
        <v>446</v>
      </c>
    </row>
    <row r="1071" customFormat="false" ht="15" hidden="false" customHeight="false" outlineLevel="0" collapsed="false">
      <c r="A1071" s="4" t="str">
        <f aca="false">B1071&amp;"|"&amp;C1071</f>
        <v>tdbR00000201 Lys-CUU|44</v>
      </c>
      <c r="B1071" s="4" t="s">
        <v>51</v>
      </c>
      <c r="C1071" s="4" t="s">
        <v>464</v>
      </c>
      <c r="D1071" s="4" t="n">
        <v>44</v>
      </c>
      <c r="E1071" s="19" t="s">
        <v>197</v>
      </c>
      <c r="F1071" s="20" t="s">
        <v>465</v>
      </c>
    </row>
    <row r="1072" customFormat="false" ht="15" hidden="false" customHeight="false" outlineLevel="0" collapsed="false">
      <c r="A1072" s="4" t="str">
        <f aca="false">B1072&amp;"|"&amp;C1072</f>
        <v>tdbR00000201 Lys-CUU|45</v>
      </c>
      <c r="B1072" s="4" t="s">
        <v>51</v>
      </c>
      <c r="C1072" s="4" t="s">
        <v>466</v>
      </c>
      <c r="D1072" s="4" t="n">
        <v>45</v>
      </c>
      <c r="E1072" s="19" t="s">
        <v>197</v>
      </c>
      <c r="F1072" s="20" t="s">
        <v>465</v>
      </c>
    </row>
    <row r="1073" customFormat="false" ht="15" hidden="false" customHeight="false" outlineLevel="0" collapsed="false">
      <c r="A1073" s="4" t="str">
        <f aca="false">B1073&amp;"|"&amp;C1073</f>
        <v>tdbR00000201 Lys-CUU|46</v>
      </c>
      <c r="B1073" s="4" t="s">
        <v>51</v>
      </c>
      <c r="C1073" s="4" t="s">
        <v>467</v>
      </c>
      <c r="D1073" s="4" t="n">
        <v>46</v>
      </c>
      <c r="E1073" s="19" t="s">
        <v>197</v>
      </c>
      <c r="F1073" s="20" t="s">
        <v>465</v>
      </c>
    </row>
    <row r="1074" customFormat="false" ht="15" hidden="false" customHeight="false" outlineLevel="0" collapsed="false">
      <c r="A1074" s="4" t="str">
        <f aca="false">B1074&amp;"|"&amp;C1074</f>
        <v>tdbR00000201 Lys-CUU|47</v>
      </c>
      <c r="B1074" s="4" t="s">
        <v>51</v>
      </c>
      <c r="C1074" s="4" t="s">
        <v>468</v>
      </c>
      <c r="D1074" s="4" t="n">
        <v>47</v>
      </c>
      <c r="E1074" s="19" t="s">
        <v>259</v>
      </c>
      <c r="F1074" s="20" t="s">
        <v>465</v>
      </c>
    </row>
    <row r="1075" customFormat="false" ht="15" hidden="false" customHeight="false" outlineLevel="0" collapsed="false">
      <c r="A1075" s="4" t="str">
        <f aca="false">B1075&amp;"|"&amp;C1075</f>
        <v>tdbR00000201 Lys-CUU|48</v>
      </c>
      <c r="B1075" s="4" t="s">
        <v>51</v>
      </c>
      <c r="C1075" s="4" t="s">
        <v>469</v>
      </c>
      <c r="D1075" s="4" t="n">
        <v>48</v>
      </c>
      <c r="E1075" s="19" t="s">
        <v>414</v>
      </c>
      <c r="F1075" s="20" t="s">
        <v>465</v>
      </c>
    </row>
    <row r="1076" customFormat="false" ht="15" hidden="false" customHeight="false" outlineLevel="0" collapsed="false">
      <c r="A1076" s="4" t="str">
        <f aca="false">B1076&amp;"|"&amp;C1076</f>
        <v>tdbR00000201 Lys-CUU|49</v>
      </c>
      <c r="B1076" s="4" t="s">
        <v>51</v>
      </c>
      <c r="C1076" s="4" t="s">
        <v>470</v>
      </c>
      <c r="D1076" s="4" t="n">
        <v>49</v>
      </c>
      <c r="E1076" s="23" t="s">
        <v>197</v>
      </c>
      <c r="F1076" s="10" t="s">
        <v>471</v>
      </c>
    </row>
    <row r="1077" customFormat="false" ht="15" hidden="false" customHeight="false" outlineLevel="0" collapsed="false">
      <c r="A1077" s="4" t="str">
        <f aca="false">B1077&amp;"|"&amp;C1077</f>
        <v>tdbR00000201 Lys-CUU|50</v>
      </c>
      <c r="B1077" s="4" t="s">
        <v>51</v>
      </c>
      <c r="C1077" s="4" t="s">
        <v>472</v>
      </c>
      <c r="D1077" s="4" t="n">
        <v>50</v>
      </c>
      <c r="E1077" s="23" t="s">
        <v>259</v>
      </c>
      <c r="F1077" s="10" t="s">
        <v>471</v>
      </c>
    </row>
    <row r="1078" customFormat="false" ht="15" hidden="false" customHeight="false" outlineLevel="0" collapsed="false">
      <c r="A1078" s="4" t="str">
        <f aca="false">B1078&amp;"|"&amp;C1078</f>
        <v>tdbR00000201 Lys-CUU|51</v>
      </c>
      <c r="B1078" s="4" t="s">
        <v>51</v>
      </c>
      <c r="C1078" s="4" t="s">
        <v>473</v>
      </c>
      <c r="D1078" s="4" t="n">
        <v>51</v>
      </c>
      <c r="E1078" s="23" t="s">
        <v>197</v>
      </c>
      <c r="F1078" s="10" t="s">
        <v>471</v>
      </c>
    </row>
    <row r="1079" customFormat="false" ht="15" hidden="false" customHeight="false" outlineLevel="0" collapsed="false">
      <c r="A1079" s="4" t="str">
        <f aca="false">B1079&amp;"|"&amp;C1079</f>
        <v>tdbR00000201 Lys-CUU|52</v>
      </c>
      <c r="B1079" s="4" t="s">
        <v>51</v>
      </c>
      <c r="C1079" s="4" t="s">
        <v>474</v>
      </c>
      <c r="D1079" s="4" t="n">
        <v>52</v>
      </c>
      <c r="E1079" s="23" t="s">
        <v>197</v>
      </c>
      <c r="F1079" s="10" t="s">
        <v>471</v>
      </c>
    </row>
    <row r="1080" customFormat="false" ht="15" hidden="false" customHeight="false" outlineLevel="0" collapsed="false">
      <c r="A1080" s="4" t="str">
        <f aca="false">B1080&amp;"|"&amp;C1080</f>
        <v>tdbR00000201 Lys-CUU|53</v>
      </c>
      <c r="B1080" s="4" t="s">
        <v>51</v>
      </c>
      <c r="C1080" s="4" t="s">
        <v>475</v>
      </c>
      <c r="D1080" s="4" t="n">
        <v>53</v>
      </c>
      <c r="E1080" s="23" t="s">
        <v>197</v>
      </c>
      <c r="F1080" s="10" t="s">
        <v>471</v>
      </c>
    </row>
    <row r="1081" customFormat="false" ht="15" hidden="false" customHeight="false" outlineLevel="0" collapsed="false">
      <c r="A1081" s="4" t="str">
        <f aca="false">B1081&amp;"|"&amp;C1081</f>
        <v>tdbR00000201 Lys-CUU|54</v>
      </c>
      <c r="B1081" s="4" t="s">
        <v>51</v>
      </c>
      <c r="C1081" s="4" t="s">
        <v>476</v>
      </c>
      <c r="D1081" s="4" t="n">
        <v>54</v>
      </c>
      <c r="E1081" s="19" t="s">
        <v>259</v>
      </c>
      <c r="F1081" s="20" t="s">
        <v>477</v>
      </c>
    </row>
    <row r="1082" customFormat="false" ht="15" hidden="false" customHeight="false" outlineLevel="0" collapsed="false">
      <c r="A1082" s="4" t="str">
        <f aca="false">B1082&amp;"|"&amp;C1082</f>
        <v>tdbR00000201 Lys-CUU|55</v>
      </c>
      <c r="B1082" s="4" t="s">
        <v>51</v>
      </c>
      <c r="C1082" s="4" t="s">
        <v>478</v>
      </c>
      <c r="D1082" s="4" t="n">
        <v>55</v>
      </c>
      <c r="E1082" s="19" t="s">
        <v>259</v>
      </c>
      <c r="F1082" s="20" t="s">
        <v>477</v>
      </c>
    </row>
    <row r="1083" customFormat="false" ht="15" hidden="false" customHeight="false" outlineLevel="0" collapsed="false">
      <c r="A1083" s="4" t="str">
        <f aca="false">B1083&amp;"|"&amp;C1083</f>
        <v>tdbR00000201 Lys-CUU|56</v>
      </c>
      <c r="B1083" s="4" t="s">
        <v>51</v>
      </c>
      <c r="C1083" s="4" t="s">
        <v>479</v>
      </c>
      <c r="D1083" s="4" t="n">
        <v>56</v>
      </c>
      <c r="E1083" s="19" t="s">
        <v>414</v>
      </c>
      <c r="F1083" s="20" t="s">
        <v>477</v>
      </c>
    </row>
    <row r="1084" customFormat="false" ht="15" hidden="false" customHeight="false" outlineLevel="0" collapsed="false">
      <c r="A1084" s="4" t="str">
        <f aca="false">B1084&amp;"|"&amp;C1084</f>
        <v>tdbR00000201 Lys-CUU|57</v>
      </c>
      <c r="B1084" s="4" t="s">
        <v>51</v>
      </c>
      <c r="C1084" s="4" t="s">
        <v>480</v>
      </c>
      <c r="D1084" s="4" t="n">
        <v>57</v>
      </c>
      <c r="E1084" s="19" t="s">
        <v>197</v>
      </c>
      <c r="F1084" s="20" t="s">
        <v>477</v>
      </c>
    </row>
    <row r="1085" customFormat="false" ht="15" hidden="false" customHeight="false" outlineLevel="0" collapsed="false">
      <c r="A1085" s="4" t="str">
        <f aca="false">B1085&amp;"|"&amp;C1085</f>
        <v>tdbR00000201 Lys-CUU|58</v>
      </c>
      <c r="B1085" s="4" t="s">
        <v>51</v>
      </c>
      <c r="C1085" s="4" t="s">
        <v>481</v>
      </c>
      <c r="D1085" s="4" t="n">
        <v>58</v>
      </c>
      <c r="E1085" s="19" t="s">
        <v>246</v>
      </c>
      <c r="F1085" s="20" t="s">
        <v>477</v>
      </c>
    </row>
    <row r="1086" customFormat="false" ht="15" hidden="false" customHeight="false" outlineLevel="0" collapsed="false">
      <c r="A1086" s="4" t="str">
        <f aca="false">B1086&amp;"|"&amp;C1086</f>
        <v>tdbR00000201 Lys-CUU|59</v>
      </c>
      <c r="B1086" s="4" t="s">
        <v>51</v>
      </c>
      <c r="C1086" s="4" t="s">
        <v>482</v>
      </c>
      <c r="D1086" s="4" t="n">
        <v>59</v>
      </c>
      <c r="E1086" s="19" t="s">
        <v>197</v>
      </c>
      <c r="F1086" s="20" t="s">
        <v>477</v>
      </c>
    </row>
    <row r="1087" customFormat="false" ht="15" hidden="false" customHeight="false" outlineLevel="0" collapsed="false">
      <c r="A1087" s="4" t="str">
        <f aca="false">B1087&amp;"|"&amp;C1087</f>
        <v>tdbR00000201 Lys-CUU|60</v>
      </c>
      <c r="B1087" s="4" t="s">
        <v>51</v>
      </c>
      <c r="C1087" s="4" t="s">
        <v>483</v>
      </c>
      <c r="D1087" s="4" t="n">
        <v>60</v>
      </c>
      <c r="E1087" s="19" t="s">
        <v>414</v>
      </c>
      <c r="F1087" s="20" t="s">
        <v>477</v>
      </c>
    </row>
    <row r="1088" customFormat="false" ht="15" hidden="false" customHeight="false" outlineLevel="0" collapsed="false">
      <c r="A1088" s="4" t="str">
        <f aca="false">B1088&amp;"|"&amp;C1088</f>
        <v>tdbR00000201 Lys-CUU|61</v>
      </c>
      <c r="B1088" s="4" t="s">
        <v>51</v>
      </c>
      <c r="C1088" s="4" t="s">
        <v>484</v>
      </c>
      <c r="D1088" s="4" t="n">
        <v>61</v>
      </c>
      <c r="E1088" s="23" t="s">
        <v>414</v>
      </c>
      <c r="F1088" s="10" t="s">
        <v>471</v>
      </c>
    </row>
    <row r="1089" customFormat="false" ht="15" hidden="false" customHeight="false" outlineLevel="0" collapsed="false">
      <c r="A1089" s="4" t="str">
        <f aca="false">B1089&amp;"|"&amp;C1089</f>
        <v>tdbR00000201 Lys-CUU|62</v>
      </c>
      <c r="B1089" s="4" t="s">
        <v>51</v>
      </c>
      <c r="C1089" s="4" t="s">
        <v>485</v>
      </c>
      <c r="D1089" s="4" t="n">
        <v>62</v>
      </c>
      <c r="E1089" s="23" t="s">
        <v>414</v>
      </c>
      <c r="F1089" s="10" t="s">
        <v>471</v>
      </c>
    </row>
    <row r="1090" customFormat="false" ht="15" hidden="false" customHeight="false" outlineLevel="0" collapsed="false">
      <c r="A1090" s="4" t="str">
        <f aca="false">B1090&amp;"|"&amp;C1090</f>
        <v>tdbR00000201 Lys-CUU|63</v>
      </c>
      <c r="B1090" s="4" t="s">
        <v>51</v>
      </c>
      <c r="C1090" s="4" t="s">
        <v>486</v>
      </c>
      <c r="D1090" s="4" t="n">
        <v>63</v>
      </c>
      <c r="E1090" s="23" t="s">
        <v>414</v>
      </c>
      <c r="F1090" s="10" t="s">
        <v>471</v>
      </c>
    </row>
    <row r="1091" customFormat="false" ht="15" hidden="false" customHeight="false" outlineLevel="0" collapsed="false">
      <c r="A1091" s="4" t="str">
        <f aca="false">B1091&amp;"|"&amp;C1091</f>
        <v>tdbR00000201 Lys-CUU|64</v>
      </c>
      <c r="B1091" s="4" t="s">
        <v>51</v>
      </c>
      <c r="C1091" s="4" t="s">
        <v>487</v>
      </c>
      <c r="D1091" s="4" t="n">
        <v>64</v>
      </c>
      <c r="E1091" s="23" t="s">
        <v>246</v>
      </c>
      <c r="F1091" s="10" t="s">
        <v>471</v>
      </c>
    </row>
    <row r="1092" customFormat="false" ht="15" hidden="false" customHeight="false" outlineLevel="0" collapsed="false">
      <c r="A1092" s="4" t="str">
        <f aca="false">B1092&amp;"|"&amp;C1092</f>
        <v>tdbR00000201 Lys-CUU|65</v>
      </c>
      <c r="B1092" s="4" t="s">
        <v>51</v>
      </c>
      <c r="C1092" s="4" t="s">
        <v>488</v>
      </c>
      <c r="D1092" s="4" t="n">
        <v>65</v>
      </c>
      <c r="E1092" s="23" t="s">
        <v>414</v>
      </c>
      <c r="F1092" s="10" t="s">
        <v>471</v>
      </c>
    </row>
    <row r="1093" customFormat="false" ht="15" hidden="false" customHeight="false" outlineLevel="0" collapsed="false">
      <c r="A1093" s="4" t="str">
        <f aca="false">B1093&amp;"|"&amp;C1093</f>
        <v>tdbR00000201 Lys-CUU|66</v>
      </c>
      <c r="B1093" s="4" t="s">
        <v>51</v>
      </c>
      <c r="C1093" s="4" t="s">
        <v>489</v>
      </c>
      <c r="D1093" s="4" t="n">
        <v>66</v>
      </c>
      <c r="E1093" s="17" t="s">
        <v>197</v>
      </c>
      <c r="F1093" s="18" t="s">
        <v>412</v>
      </c>
    </row>
    <row r="1094" customFormat="false" ht="15" hidden="false" customHeight="false" outlineLevel="0" collapsed="false">
      <c r="A1094" s="4" t="str">
        <f aca="false">B1094&amp;"|"&amp;C1094</f>
        <v>tdbR00000201 Lys-CUU|67</v>
      </c>
      <c r="B1094" s="4" t="s">
        <v>51</v>
      </c>
      <c r="C1094" s="4" t="s">
        <v>490</v>
      </c>
      <c r="D1094" s="4" t="n">
        <v>67</v>
      </c>
      <c r="E1094" s="17" t="s">
        <v>259</v>
      </c>
      <c r="F1094" s="18" t="s">
        <v>412</v>
      </c>
    </row>
    <row r="1095" customFormat="false" ht="15" hidden="false" customHeight="false" outlineLevel="0" collapsed="false">
      <c r="A1095" s="4" t="str">
        <f aca="false">B1095&amp;"|"&amp;C1095</f>
        <v>tdbR00000201 Lys-CUU|68</v>
      </c>
      <c r="B1095" s="4" t="s">
        <v>51</v>
      </c>
      <c r="C1095" s="4" t="s">
        <v>491</v>
      </c>
      <c r="D1095" s="4" t="n">
        <v>68</v>
      </c>
      <c r="E1095" s="17" t="s">
        <v>259</v>
      </c>
      <c r="F1095" s="18" t="s">
        <v>412</v>
      </c>
    </row>
    <row r="1096" customFormat="false" ht="15" hidden="false" customHeight="false" outlineLevel="0" collapsed="false">
      <c r="A1096" s="4" t="str">
        <f aca="false">B1096&amp;"|"&amp;C1096</f>
        <v>tdbR00000201 Lys-CUU|69</v>
      </c>
      <c r="B1096" s="4" t="s">
        <v>51</v>
      </c>
      <c r="C1096" s="4" t="s">
        <v>492</v>
      </c>
      <c r="D1096" s="4" t="n">
        <v>69</v>
      </c>
      <c r="E1096" s="17" t="s">
        <v>197</v>
      </c>
      <c r="F1096" s="18" t="s">
        <v>412</v>
      </c>
    </row>
    <row r="1097" customFormat="false" ht="15" hidden="false" customHeight="false" outlineLevel="0" collapsed="false">
      <c r="A1097" s="4" t="str">
        <f aca="false">B1097&amp;"|"&amp;C1097</f>
        <v>tdbR00000201 Lys-CUU|70</v>
      </c>
      <c r="B1097" s="4" t="s">
        <v>51</v>
      </c>
      <c r="C1097" s="4" t="s">
        <v>493</v>
      </c>
      <c r="D1097" s="4" t="n">
        <v>70</v>
      </c>
      <c r="E1097" s="17" t="s">
        <v>197</v>
      </c>
      <c r="F1097" s="18" t="s">
        <v>412</v>
      </c>
    </row>
    <row r="1098" customFormat="false" ht="15" hidden="false" customHeight="false" outlineLevel="0" collapsed="false">
      <c r="A1098" s="4" t="str">
        <f aca="false">B1098&amp;"|"&amp;C1098</f>
        <v>tdbR00000201 Lys-CUU|71</v>
      </c>
      <c r="B1098" s="4" t="s">
        <v>51</v>
      </c>
      <c r="C1098" s="4" t="s">
        <v>494</v>
      </c>
      <c r="D1098" s="4" t="n">
        <v>71</v>
      </c>
      <c r="E1098" s="17" t="s">
        <v>197</v>
      </c>
      <c r="F1098" s="18" t="s">
        <v>412</v>
      </c>
    </row>
    <row r="1099" customFormat="false" ht="15" hidden="false" customHeight="false" outlineLevel="0" collapsed="false">
      <c r="A1099" s="4" t="str">
        <f aca="false">B1099&amp;"|"&amp;C1099</f>
        <v>tdbR00000201 Lys-CUU|72</v>
      </c>
      <c r="B1099" s="4" t="s">
        <v>51</v>
      </c>
      <c r="C1099" s="4" t="s">
        <v>495</v>
      </c>
      <c r="D1099" s="4" t="n">
        <v>72</v>
      </c>
      <c r="E1099" s="17" t="s">
        <v>414</v>
      </c>
      <c r="F1099" s="18" t="s">
        <v>412</v>
      </c>
    </row>
    <row r="1100" customFormat="false" ht="15" hidden="false" customHeight="false" outlineLevel="0" collapsed="false">
      <c r="A1100" s="4" t="str">
        <f aca="false">B1100&amp;"|"&amp;C1100</f>
        <v>tdbR00000095 Phe-GAA|1</v>
      </c>
      <c r="B1100" s="4" t="s">
        <v>52</v>
      </c>
      <c r="C1100" s="4" t="s">
        <v>411</v>
      </c>
      <c r="D1100" s="4" t="n">
        <v>1</v>
      </c>
      <c r="E1100" s="17" t="s">
        <v>197</v>
      </c>
      <c r="F1100" s="18" t="s">
        <v>412</v>
      </c>
    </row>
    <row r="1101" customFormat="false" ht="15" hidden="false" customHeight="false" outlineLevel="0" collapsed="false">
      <c r="A1101" s="4" t="str">
        <f aca="false">B1101&amp;"|"&amp;C1101</f>
        <v>tdbR00000095 Phe-GAA|2</v>
      </c>
      <c r="B1101" s="4" t="s">
        <v>52</v>
      </c>
      <c r="C1101" s="4" t="s">
        <v>413</v>
      </c>
      <c r="D1101" s="4" t="n">
        <v>2</v>
      </c>
      <c r="E1101" s="17" t="s">
        <v>414</v>
      </c>
      <c r="F1101" s="18" t="s">
        <v>412</v>
      </c>
    </row>
    <row r="1102" customFormat="false" ht="15" hidden="false" customHeight="false" outlineLevel="0" collapsed="false">
      <c r="A1102" s="4" t="str">
        <f aca="false">B1102&amp;"|"&amp;C1102</f>
        <v>tdbR00000095 Phe-GAA|3</v>
      </c>
      <c r="B1102" s="4" t="s">
        <v>52</v>
      </c>
      <c r="C1102" s="4" t="s">
        <v>415</v>
      </c>
      <c r="D1102" s="4" t="n">
        <v>3</v>
      </c>
      <c r="E1102" s="17" t="s">
        <v>414</v>
      </c>
      <c r="F1102" s="18" t="s">
        <v>412</v>
      </c>
    </row>
    <row r="1103" customFormat="false" ht="15" hidden="false" customHeight="false" outlineLevel="0" collapsed="false">
      <c r="A1103" s="4" t="str">
        <f aca="false">B1103&amp;"|"&amp;C1103</f>
        <v>tdbR00000095 Phe-GAA|4</v>
      </c>
      <c r="B1103" s="4" t="s">
        <v>52</v>
      </c>
      <c r="C1103" s="4" t="s">
        <v>416</v>
      </c>
      <c r="D1103" s="4" t="n">
        <v>4</v>
      </c>
      <c r="E1103" s="17" t="s">
        <v>197</v>
      </c>
      <c r="F1103" s="18" t="s">
        <v>412</v>
      </c>
    </row>
    <row r="1104" customFormat="false" ht="15" hidden="false" customHeight="false" outlineLevel="0" collapsed="false">
      <c r="A1104" s="4" t="str">
        <f aca="false">B1104&amp;"|"&amp;C1104</f>
        <v>tdbR00000095 Phe-GAA|5</v>
      </c>
      <c r="B1104" s="4" t="s">
        <v>52</v>
      </c>
      <c r="C1104" s="4" t="s">
        <v>417</v>
      </c>
      <c r="D1104" s="4" t="n">
        <v>5</v>
      </c>
      <c r="E1104" s="17" t="s">
        <v>246</v>
      </c>
      <c r="F1104" s="18" t="s">
        <v>412</v>
      </c>
    </row>
    <row r="1105" customFormat="false" ht="15" hidden="false" customHeight="false" outlineLevel="0" collapsed="false">
      <c r="A1105" s="4" t="str">
        <f aca="false">B1105&amp;"|"&amp;C1105</f>
        <v>tdbR00000095 Phe-GAA|6</v>
      </c>
      <c r="B1105" s="4" t="s">
        <v>52</v>
      </c>
      <c r="C1105" s="4" t="s">
        <v>418</v>
      </c>
      <c r="D1105" s="4" t="n">
        <v>6</v>
      </c>
      <c r="E1105" s="17" t="s">
        <v>246</v>
      </c>
      <c r="F1105" s="18" t="s">
        <v>412</v>
      </c>
    </row>
    <row r="1106" customFormat="false" ht="15" hidden="false" customHeight="false" outlineLevel="0" collapsed="false">
      <c r="A1106" s="4" t="str">
        <f aca="false">B1106&amp;"|"&amp;C1106</f>
        <v>tdbR00000095 Phe-GAA|7</v>
      </c>
      <c r="B1106" s="4" t="s">
        <v>52</v>
      </c>
      <c r="C1106" s="4" t="s">
        <v>419</v>
      </c>
      <c r="D1106" s="4" t="n">
        <v>7</v>
      </c>
      <c r="E1106" s="17" t="s">
        <v>246</v>
      </c>
      <c r="F1106" s="18" t="s">
        <v>412</v>
      </c>
    </row>
    <row r="1107" customFormat="false" ht="15" hidden="false" customHeight="false" outlineLevel="0" collapsed="false">
      <c r="A1107" s="4" t="str">
        <f aca="false">B1107&amp;"|"&amp;C1107</f>
        <v>tdbR00000095 Phe-GAA|8</v>
      </c>
      <c r="B1107" s="4" t="s">
        <v>52</v>
      </c>
      <c r="C1107" s="4" t="s">
        <v>420</v>
      </c>
      <c r="D1107" s="4" t="n">
        <v>8</v>
      </c>
      <c r="E1107" s="3" t="s">
        <v>259</v>
      </c>
      <c r="F1107" s="4" t="s">
        <v>421</v>
      </c>
    </row>
    <row r="1108" customFormat="false" ht="15" hidden="false" customHeight="false" outlineLevel="0" collapsed="false">
      <c r="A1108" s="4" t="str">
        <f aca="false">B1108&amp;"|"&amp;C1108</f>
        <v>tdbR00000095 Phe-GAA|9</v>
      </c>
      <c r="B1108" s="4" t="s">
        <v>52</v>
      </c>
      <c r="C1108" s="4" t="s">
        <v>422</v>
      </c>
      <c r="D1108" s="4" t="n">
        <v>9</v>
      </c>
      <c r="E1108" s="3" t="s">
        <v>246</v>
      </c>
      <c r="F1108" s="4" t="s">
        <v>423</v>
      </c>
    </row>
    <row r="1109" customFormat="false" ht="15" hidden="false" customHeight="false" outlineLevel="0" collapsed="false">
      <c r="A1109" s="4" t="str">
        <f aca="false">B1109&amp;"|"&amp;C1109</f>
        <v>tdbR00000095 Phe-GAA|10</v>
      </c>
      <c r="B1109" s="4" t="s">
        <v>52</v>
      </c>
      <c r="C1109" s="4" t="s">
        <v>424</v>
      </c>
      <c r="D1109" s="4" t="n">
        <v>10</v>
      </c>
      <c r="E1109" s="8" t="s">
        <v>197</v>
      </c>
      <c r="F1109" s="7" t="s">
        <v>425</v>
      </c>
    </row>
    <row r="1110" customFormat="false" ht="15" hidden="false" customHeight="false" outlineLevel="0" collapsed="false">
      <c r="A1110" s="4" t="str">
        <f aca="false">B1110&amp;"|"&amp;C1110</f>
        <v>tdbR00000095 Phe-GAA|11</v>
      </c>
      <c r="B1110" s="4" t="s">
        <v>52</v>
      </c>
      <c r="C1110" s="4" t="s">
        <v>426</v>
      </c>
      <c r="D1110" s="4" t="n">
        <v>11</v>
      </c>
      <c r="E1110" s="8" t="s">
        <v>414</v>
      </c>
      <c r="F1110" s="7" t="s">
        <v>425</v>
      </c>
    </row>
    <row r="1111" customFormat="false" ht="15" hidden="false" customHeight="false" outlineLevel="0" collapsed="false">
      <c r="A1111" s="4" t="str">
        <f aca="false">B1111&amp;"|"&amp;C1111</f>
        <v>tdbR00000095 Phe-GAA|12</v>
      </c>
      <c r="B1111" s="4" t="s">
        <v>52</v>
      </c>
      <c r="C1111" s="4" t="s">
        <v>427</v>
      </c>
      <c r="D1111" s="4" t="n">
        <v>12</v>
      </c>
      <c r="E1111" s="8" t="s">
        <v>259</v>
      </c>
      <c r="F1111" s="7" t="s">
        <v>425</v>
      </c>
    </row>
    <row r="1112" customFormat="false" ht="15" hidden="false" customHeight="false" outlineLevel="0" collapsed="false">
      <c r="A1112" s="4" t="str">
        <f aca="false">B1112&amp;"|"&amp;C1112</f>
        <v>tdbR00000095 Phe-GAA|13</v>
      </c>
      <c r="B1112" s="4" t="s">
        <v>52</v>
      </c>
      <c r="C1112" s="4" t="s">
        <v>428</v>
      </c>
      <c r="D1112" s="4" t="n">
        <v>13</v>
      </c>
      <c r="E1112" s="8" t="s">
        <v>414</v>
      </c>
      <c r="F1112" s="7" t="s">
        <v>425</v>
      </c>
    </row>
    <row r="1113" customFormat="false" ht="15" hidden="false" customHeight="false" outlineLevel="0" collapsed="false">
      <c r="A1113" s="4" t="str">
        <f aca="false">B1113&amp;"|"&amp;C1113</f>
        <v>tdbR00000095 Phe-GAA|14</v>
      </c>
      <c r="B1113" s="4" t="s">
        <v>52</v>
      </c>
      <c r="C1113" s="4" t="s">
        <v>429</v>
      </c>
      <c r="D1113" s="4" t="n">
        <v>14</v>
      </c>
      <c r="E1113" s="19" t="s">
        <v>246</v>
      </c>
      <c r="F1113" s="20" t="s">
        <v>430</v>
      </c>
    </row>
    <row r="1114" customFormat="false" ht="15" hidden="false" customHeight="false" outlineLevel="0" collapsed="false">
      <c r="A1114" s="4" t="str">
        <f aca="false">B1114&amp;"|"&amp;C1114</f>
        <v>tdbR00000095 Phe-GAA|15</v>
      </c>
      <c r="B1114" s="4" t="s">
        <v>52</v>
      </c>
      <c r="C1114" s="4" t="s">
        <v>431</v>
      </c>
      <c r="D1114" s="4" t="n">
        <v>15</v>
      </c>
      <c r="E1114" s="19" t="s">
        <v>197</v>
      </c>
      <c r="F1114" s="20" t="s">
        <v>430</v>
      </c>
    </row>
    <row r="1115" customFormat="false" ht="15" hidden="false" customHeight="false" outlineLevel="0" collapsed="false">
      <c r="A1115" s="4" t="str">
        <f aca="false">B1115&amp;"|"&amp;C1115</f>
        <v>tdbR00000095 Phe-GAA|16</v>
      </c>
      <c r="B1115" s="4" t="s">
        <v>52</v>
      </c>
      <c r="C1115" s="4" t="s">
        <v>432</v>
      </c>
      <c r="D1115" s="4" t="n">
        <v>16</v>
      </c>
      <c r="E1115" s="19" t="s">
        <v>259</v>
      </c>
      <c r="F1115" s="20" t="s">
        <v>430</v>
      </c>
    </row>
    <row r="1116" customFormat="false" ht="15" hidden="false" customHeight="false" outlineLevel="0" collapsed="false">
      <c r="A1116" s="4" t="str">
        <f aca="false">B1116&amp;"|"&amp;C1116</f>
        <v>tdbR00000095 Phe-GAA|17</v>
      </c>
      <c r="B1116" s="4" t="s">
        <v>52</v>
      </c>
      <c r="C1116" s="4" t="s">
        <v>433</v>
      </c>
      <c r="D1116" s="4" t="n">
        <v>17</v>
      </c>
      <c r="E1116" s="19" t="s">
        <v>259</v>
      </c>
      <c r="F1116" s="20" t="s">
        <v>430</v>
      </c>
    </row>
    <row r="1117" customFormat="false" ht="15" hidden="false" customHeight="false" outlineLevel="0" collapsed="false">
      <c r="A1117" s="4" t="str">
        <f aca="false">B1117&amp;"|"&amp;C1117</f>
        <v>tdbR00000095 Phe-GAA|18</v>
      </c>
      <c r="B1117" s="4" t="s">
        <v>52</v>
      </c>
      <c r="C1117" s="4" t="s">
        <v>434</v>
      </c>
      <c r="D1117" s="4" t="n">
        <v>18</v>
      </c>
      <c r="E1117" s="19" t="s">
        <v>197</v>
      </c>
      <c r="F1117" s="20" t="s">
        <v>430</v>
      </c>
    </row>
    <row r="1118" customFormat="false" ht="15" hidden="false" customHeight="false" outlineLevel="0" collapsed="false">
      <c r="A1118" s="4" t="str">
        <f aca="false">B1118&amp;"|"&amp;C1118</f>
        <v>tdbR00000095 Phe-GAA|19</v>
      </c>
      <c r="B1118" s="4" t="s">
        <v>52</v>
      </c>
      <c r="C1118" s="4" t="s">
        <v>435</v>
      </c>
      <c r="D1118" s="4" t="n">
        <v>19</v>
      </c>
      <c r="E1118" s="19" t="s">
        <v>197</v>
      </c>
      <c r="F1118" s="20" t="s">
        <v>430</v>
      </c>
    </row>
    <row r="1119" customFormat="false" ht="15" hidden="false" customHeight="false" outlineLevel="0" collapsed="false">
      <c r="A1119" s="4" t="str">
        <f aca="false">B1119&amp;"|"&amp;C1119</f>
        <v>tdbR00000095 Phe-GAA|20</v>
      </c>
      <c r="B1119" s="4" t="s">
        <v>52</v>
      </c>
      <c r="C1119" s="4" t="s">
        <v>436</v>
      </c>
      <c r="D1119" s="4" t="n">
        <v>20</v>
      </c>
      <c r="E1119" s="19" t="s">
        <v>197</v>
      </c>
      <c r="F1119" s="20" t="s">
        <v>430</v>
      </c>
    </row>
    <row r="1120" customFormat="false" ht="15" hidden="false" customHeight="false" outlineLevel="0" collapsed="false">
      <c r="A1120" s="4" t="str">
        <f aca="false">B1120&amp;"|"&amp;C1120</f>
        <v>tdbR00000095 Phe-GAA|21</v>
      </c>
      <c r="B1120" s="4" t="s">
        <v>52</v>
      </c>
      <c r="C1120" s="4" t="s">
        <v>438</v>
      </c>
      <c r="D1120" s="4" t="n">
        <v>21</v>
      </c>
      <c r="E1120" s="19" t="s">
        <v>246</v>
      </c>
      <c r="F1120" s="20" t="s">
        <v>430</v>
      </c>
    </row>
    <row r="1121" customFormat="false" ht="15" hidden="false" customHeight="false" outlineLevel="0" collapsed="false">
      <c r="A1121" s="4" t="str">
        <f aca="false">B1121&amp;"|"&amp;C1121</f>
        <v>tdbR00000095 Phe-GAA|22</v>
      </c>
      <c r="B1121" s="4" t="s">
        <v>52</v>
      </c>
      <c r="C1121" s="4" t="s">
        <v>439</v>
      </c>
      <c r="D1121" s="4" t="n">
        <v>22</v>
      </c>
      <c r="E1121" s="8" t="s">
        <v>197</v>
      </c>
      <c r="F1121" s="7" t="s">
        <v>425</v>
      </c>
    </row>
    <row r="1122" customFormat="false" ht="15" hidden="false" customHeight="false" outlineLevel="0" collapsed="false">
      <c r="A1122" s="4" t="str">
        <f aca="false">B1122&amp;"|"&amp;C1122</f>
        <v>tdbR00000095 Phe-GAA|23</v>
      </c>
      <c r="B1122" s="4" t="s">
        <v>52</v>
      </c>
      <c r="C1122" s="4" t="s">
        <v>440</v>
      </c>
      <c r="D1122" s="4" t="n">
        <v>23</v>
      </c>
      <c r="E1122" s="8" t="s">
        <v>246</v>
      </c>
      <c r="F1122" s="7" t="s">
        <v>425</v>
      </c>
    </row>
    <row r="1123" customFormat="false" ht="15" hidden="false" customHeight="false" outlineLevel="0" collapsed="false">
      <c r="A1123" s="4" t="str">
        <f aca="false">B1123&amp;"|"&amp;C1123</f>
        <v>tdbR00000095 Phe-GAA|24</v>
      </c>
      <c r="B1123" s="4" t="s">
        <v>52</v>
      </c>
      <c r="C1123" s="4" t="s">
        <v>441</v>
      </c>
      <c r="D1123" s="4" t="n">
        <v>24</v>
      </c>
      <c r="E1123" s="8" t="s">
        <v>197</v>
      </c>
      <c r="F1123" s="7" t="s">
        <v>425</v>
      </c>
    </row>
    <row r="1124" customFormat="false" ht="15" hidden="false" customHeight="false" outlineLevel="0" collapsed="false">
      <c r="A1124" s="4" t="str">
        <f aca="false">B1124&amp;"|"&amp;C1124</f>
        <v>tdbR00000095 Phe-GAA|25</v>
      </c>
      <c r="B1124" s="4" t="s">
        <v>52</v>
      </c>
      <c r="C1124" s="4" t="s">
        <v>442</v>
      </c>
      <c r="D1124" s="4" t="n">
        <v>25</v>
      </c>
      <c r="E1124" s="8" t="s">
        <v>414</v>
      </c>
      <c r="F1124" s="7" t="s">
        <v>425</v>
      </c>
    </row>
    <row r="1125" customFormat="false" ht="15" hidden="false" customHeight="false" outlineLevel="0" collapsed="false">
      <c r="A1125" s="4" t="str">
        <f aca="false">B1125&amp;"|"&amp;C1125</f>
        <v>tdbR00000095 Phe-GAA|26</v>
      </c>
      <c r="B1125" s="4" t="s">
        <v>52</v>
      </c>
      <c r="C1125" s="4" t="s">
        <v>443</v>
      </c>
      <c r="D1125" s="4" t="n">
        <v>26</v>
      </c>
      <c r="E1125" s="3" t="s">
        <v>197</v>
      </c>
      <c r="F1125" s="4" t="s">
        <v>444</v>
      </c>
    </row>
    <row r="1126" customFormat="false" ht="15" hidden="false" customHeight="false" outlineLevel="0" collapsed="false">
      <c r="A1126" s="4" t="str">
        <f aca="false">B1126&amp;"|"&amp;C1126</f>
        <v>tdbR00000095 Phe-GAA|27</v>
      </c>
      <c r="B1126" s="4" t="s">
        <v>52</v>
      </c>
      <c r="C1126" s="4" t="s">
        <v>445</v>
      </c>
      <c r="D1126" s="4" t="n">
        <v>27</v>
      </c>
      <c r="E1126" s="21" t="s">
        <v>259</v>
      </c>
      <c r="F1126" s="22" t="s">
        <v>446</v>
      </c>
    </row>
    <row r="1127" customFormat="false" ht="15" hidden="false" customHeight="false" outlineLevel="0" collapsed="false">
      <c r="A1127" s="4" t="str">
        <f aca="false">B1127&amp;"|"&amp;C1127</f>
        <v>tdbR00000095 Phe-GAA|28</v>
      </c>
      <c r="B1127" s="4" t="s">
        <v>52</v>
      </c>
      <c r="C1127" s="4" t="s">
        <v>447</v>
      </c>
      <c r="D1127" s="4" t="n">
        <v>28</v>
      </c>
      <c r="E1127" s="21" t="s">
        <v>259</v>
      </c>
      <c r="F1127" s="22" t="s">
        <v>446</v>
      </c>
    </row>
    <row r="1128" customFormat="false" ht="15" hidden="false" customHeight="false" outlineLevel="0" collapsed="false">
      <c r="A1128" s="4" t="str">
        <f aca="false">B1128&amp;"|"&amp;C1128</f>
        <v>tdbR00000095 Phe-GAA|29</v>
      </c>
      <c r="B1128" s="4" t="s">
        <v>52</v>
      </c>
      <c r="C1128" s="4" t="s">
        <v>448</v>
      </c>
      <c r="D1128" s="4" t="n">
        <v>29</v>
      </c>
      <c r="E1128" s="21" t="s">
        <v>246</v>
      </c>
      <c r="F1128" s="22" t="s">
        <v>446</v>
      </c>
    </row>
    <row r="1129" customFormat="false" ht="15" hidden="false" customHeight="false" outlineLevel="0" collapsed="false">
      <c r="A1129" s="4" t="str">
        <f aca="false">B1129&amp;"|"&amp;C1129</f>
        <v>tdbR00000095 Phe-GAA|30</v>
      </c>
      <c r="B1129" s="4" t="s">
        <v>52</v>
      </c>
      <c r="C1129" s="4" t="s">
        <v>449</v>
      </c>
      <c r="D1129" s="4" t="n">
        <v>30</v>
      </c>
      <c r="E1129" s="21" t="s">
        <v>197</v>
      </c>
      <c r="F1129" s="22" t="s">
        <v>446</v>
      </c>
    </row>
    <row r="1130" customFormat="false" ht="15" hidden="false" customHeight="false" outlineLevel="0" collapsed="false">
      <c r="A1130" s="4" t="str">
        <f aca="false">B1130&amp;"|"&amp;C1130</f>
        <v>tdbR00000095 Phe-GAA|31</v>
      </c>
      <c r="B1130" s="4" t="s">
        <v>52</v>
      </c>
      <c r="C1130" s="4" t="s">
        <v>450</v>
      </c>
      <c r="D1130" s="4" t="n">
        <v>31</v>
      </c>
      <c r="E1130" s="21" t="s">
        <v>246</v>
      </c>
      <c r="F1130" s="22" t="s">
        <v>446</v>
      </c>
    </row>
    <row r="1131" customFormat="false" ht="15" hidden="false" customHeight="false" outlineLevel="0" collapsed="false">
      <c r="A1131" s="4" t="str">
        <f aca="false">B1131&amp;"|"&amp;C1131</f>
        <v>tdbR00000095 Phe-GAA|32</v>
      </c>
      <c r="B1131" s="4" t="s">
        <v>52</v>
      </c>
      <c r="C1131" s="4" t="s">
        <v>451</v>
      </c>
      <c r="D1131" s="4" t="n">
        <v>32</v>
      </c>
      <c r="E1131" s="19" t="s">
        <v>414</v>
      </c>
      <c r="F1131" s="20" t="s">
        <v>452</v>
      </c>
    </row>
    <row r="1132" customFormat="false" ht="15" hidden="false" customHeight="false" outlineLevel="0" collapsed="false">
      <c r="A1132" s="4" t="str">
        <f aca="false">B1132&amp;"|"&amp;C1132</f>
        <v>tdbR00000095 Phe-GAA|33</v>
      </c>
      <c r="B1132" s="4" t="s">
        <v>52</v>
      </c>
      <c r="C1132" s="4" t="s">
        <v>453</v>
      </c>
      <c r="D1132" s="4" t="n">
        <v>33</v>
      </c>
      <c r="E1132" s="19" t="s">
        <v>259</v>
      </c>
      <c r="F1132" s="20" t="s">
        <v>452</v>
      </c>
    </row>
    <row r="1133" customFormat="false" ht="15" hidden="false" customHeight="false" outlineLevel="0" collapsed="false">
      <c r="A1133" s="4" t="str">
        <f aca="false">B1133&amp;"|"&amp;C1133</f>
        <v>tdbR00000095 Phe-GAA|34</v>
      </c>
      <c r="B1133" s="4" t="s">
        <v>52</v>
      </c>
      <c r="C1133" s="4" t="s">
        <v>454</v>
      </c>
      <c r="D1133" s="4" t="n">
        <v>34</v>
      </c>
      <c r="E1133" s="19" t="s">
        <v>197</v>
      </c>
      <c r="F1133" s="20" t="s">
        <v>452</v>
      </c>
    </row>
    <row r="1134" customFormat="false" ht="15" hidden="false" customHeight="false" outlineLevel="0" collapsed="false">
      <c r="A1134" s="4" t="str">
        <f aca="false">B1134&amp;"|"&amp;C1134</f>
        <v>tdbR00000095 Phe-GAA|35</v>
      </c>
      <c r="B1134" s="4" t="s">
        <v>52</v>
      </c>
      <c r="C1134" s="4" t="s">
        <v>455</v>
      </c>
      <c r="D1134" s="4" t="n">
        <v>35</v>
      </c>
      <c r="E1134" s="19" t="s">
        <v>246</v>
      </c>
      <c r="F1134" s="20" t="s">
        <v>452</v>
      </c>
    </row>
    <row r="1135" customFormat="false" ht="15" hidden="false" customHeight="false" outlineLevel="0" collapsed="false">
      <c r="A1135" s="4" t="str">
        <f aca="false">B1135&amp;"|"&amp;C1135</f>
        <v>tdbR00000095 Phe-GAA|36</v>
      </c>
      <c r="B1135" s="4" t="s">
        <v>52</v>
      </c>
      <c r="C1135" s="4" t="s">
        <v>456</v>
      </c>
      <c r="D1135" s="4" t="n">
        <v>36</v>
      </c>
      <c r="E1135" s="19" t="s">
        <v>246</v>
      </c>
      <c r="F1135" s="20" t="s">
        <v>452</v>
      </c>
    </row>
    <row r="1136" customFormat="false" ht="15" hidden="false" customHeight="false" outlineLevel="0" collapsed="false">
      <c r="A1136" s="4" t="str">
        <f aca="false">B1136&amp;"|"&amp;C1136</f>
        <v>tdbR00000095 Phe-GAA|37</v>
      </c>
      <c r="B1136" s="4" t="s">
        <v>52</v>
      </c>
      <c r="C1136" s="4" t="s">
        <v>457</v>
      </c>
      <c r="D1136" s="4" t="n">
        <v>37</v>
      </c>
      <c r="E1136" s="19" t="s">
        <v>197</v>
      </c>
      <c r="F1136" s="20" t="s">
        <v>452</v>
      </c>
    </row>
    <row r="1137" customFormat="false" ht="15" hidden="false" customHeight="false" outlineLevel="0" collapsed="false">
      <c r="A1137" s="4" t="str">
        <f aca="false">B1137&amp;"|"&amp;C1137</f>
        <v>tdbR00000095 Phe-GAA|38</v>
      </c>
      <c r="B1137" s="4" t="s">
        <v>52</v>
      </c>
      <c r="C1137" s="4" t="s">
        <v>458</v>
      </c>
      <c r="D1137" s="4" t="n">
        <v>38</v>
      </c>
      <c r="E1137" s="19" t="s">
        <v>246</v>
      </c>
      <c r="F1137" s="20" t="s">
        <v>452</v>
      </c>
    </row>
    <row r="1138" customFormat="false" ht="15" hidden="false" customHeight="false" outlineLevel="0" collapsed="false">
      <c r="A1138" s="4" t="str">
        <f aca="false">B1138&amp;"|"&amp;C1138</f>
        <v>tdbR00000095 Phe-GAA|39</v>
      </c>
      <c r="B1138" s="4" t="s">
        <v>52</v>
      </c>
      <c r="C1138" s="4" t="s">
        <v>459</v>
      </c>
      <c r="D1138" s="4" t="n">
        <v>39</v>
      </c>
      <c r="E1138" s="21" t="s">
        <v>259</v>
      </c>
      <c r="F1138" s="22" t="s">
        <v>446</v>
      </c>
    </row>
    <row r="1139" customFormat="false" ht="15" hidden="false" customHeight="false" outlineLevel="0" collapsed="false">
      <c r="A1139" s="4" t="str">
        <f aca="false">B1139&amp;"|"&amp;C1139</f>
        <v>tdbR00000095 Phe-GAA|40</v>
      </c>
      <c r="B1139" s="4" t="s">
        <v>52</v>
      </c>
      <c r="C1139" s="4" t="s">
        <v>460</v>
      </c>
      <c r="D1139" s="4" t="n">
        <v>40</v>
      </c>
      <c r="E1139" s="21" t="s">
        <v>414</v>
      </c>
      <c r="F1139" s="22" t="s">
        <v>446</v>
      </c>
    </row>
    <row r="1140" customFormat="false" ht="15" hidden="false" customHeight="false" outlineLevel="0" collapsed="false">
      <c r="A1140" s="4" t="str">
        <f aca="false">B1140&amp;"|"&amp;C1140</f>
        <v>tdbR00000095 Phe-GAA|41</v>
      </c>
      <c r="B1140" s="4" t="s">
        <v>52</v>
      </c>
      <c r="C1140" s="4" t="s">
        <v>461</v>
      </c>
      <c r="D1140" s="4" t="n">
        <v>41</v>
      </c>
      <c r="E1140" s="21" t="s">
        <v>259</v>
      </c>
      <c r="F1140" s="22" t="s">
        <v>446</v>
      </c>
    </row>
    <row r="1141" customFormat="false" ht="15" hidden="false" customHeight="false" outlineLevel="0" collapsed="false">
      <c r="A1141" s="4" t="str">
        <f aca="false">B1141&amp;"|"&amp;C1141</f>
        <v>tdbR00000095 Phe-GAA|42</v>
      </c>
      <c r="B1141" s="4" t="s">
        <v>52</v>
      </c>
      <c r="C1141" s="4" t="s">
        <v>462</v>
      </c>
      <c r="D1141" s="4" t="n">
        <v>42</v>
      </c>
      <c r="E1141" s="21" t="s">
        <v>246</v>
      </c>
      <c r="F1141" s="22" t="s">
        <v>446</v>
      </c>
    </row>
    <row r="1142" customFormat="false" ht="15" hidden="false" customHeight="false" outlineLevel="0" collapsed="false">
      <c r="A1142" s="4" t="str">
        <f aca="false">B1142&amp;"|"&amp;C1142</f>
        <v>tdbR00000095 Phe-GAA|43</v>
      </c>
      <c r="B1142" s="4" t="s">
        <v>52</v>
      </c>
      <c r="C1142" s="4" t="s">
        <v>463</v>
      </c>
      <c r="D1142" s="4" t="n">
        <v>43</v>
      </c>
      <c r="E1142" s="21" t="s">
        <v>246</v>
      </c>
      <c r="F1142" s="22" t="s">
        <v>446</v>
      </c>
    </row>
    <row r="1143" customFormat="false" ht="15" hidden="false" customHeight="false" outlineLevel="0" collapsed="false">
      <c r="A1143" s="4" t="str">
        <f aca="false">B1143&amp;"|"&amp;C1143</f>
        <v>tdbR00000095 Phe-GAA|44</v>
      </c>
      <c r="B1143" s="4" t="s">
        <v>52</v>
      </c>
      <c r="C1143" s="4" t="s">
        <v>464</v>
      </c>
      <c r="D1143" s="4" t="n">
        <v>44</v>
      </c>
      <c r="E1143" s="19" t="s">
        <v>246</v>
      </c>
      <c r="F1143" s="20" t="s">
        <v>465</v>
      </c>
    </row>
    <row r="1144" customFormat="false" ht="15" hidden="false" customHeight="false" outlineLevel="0" collapsed="false">
      <c r="A1144" s="4" t="str">
        <f aca="false">B1144&amp;"|"&amp;C1144</f>
        <v>tdbR00000095 Phe-GAA|45</v>
      </c>
      <c r="B1144" s="4" t="s">
        <v>52</v>
      </c>
      <c r="C1144" s="4" t="s">
        <v>466</v>
      </c>
      <c r="D1144" s="4" t="n">
        <v>45</v>
      </c>
      <c r="E1144" s="19" t="s">
        <v>197</v>
      </c>
      <c r="F1144" s="20" t="s">
        <v>465</v>
      </c>
    </row>
    <row r="1145" customFormat="false" ht="15" hidden="false" customHeight="false" outlineLevel="0" collapsed="false">
      <c r="A1145" s="4" t="str">
        <f aca="false">B1145&amp;"|"&amp;C1145</f>
        <v>tdbR00000095 Phe-GAA|46</v>
      </c>
      <c r="B1145" s="4" t="s">
        <v>52</v>
      </c>
      <c r="C1145" s="4" t="s">
        <v>467</v>
      </c>
      <c r="D1145" s="4" t="n">
        <v>46</v>
      </c>
      <c r="E1145" s="19" t="s">
        <v>197</v>
      </c>
      <c r="F1145" s="20" t="s">
        <v>465</v>
      </c>
    </row>
    <row r="1146" customFormat="false" ht="15" hidden="false" customHeight="false" outlineLevel="0" collapsed="false">
      <c r="A1146" s="4" t="str">
        <f aca="false">B1146&amp;"|"&amp;C1146</f>
        <v>tdbR00000095 Phe-GAA|47</v>
      </c>
      <c r="B1146" s="4" t="s">
        <v>52</v>
      </c>
      <c r="C1146" s="4" t="s">
        <v>468</v>
      </c>
      <c r="D1146" s="4" t="n">
        <v>47</v>
      </c>
      <c r="E1146" s="19" t="s">
        <v>259</v>
      </c>
      <c r="F1146" s="20" t="s">
        <v>465</v>
      </c>
    </row>
    <row r="1147" customFormat="false" ht="15" hidden="false" customHeight="false" outlineLevel="0" collapsed="false">
      <c r="A1147" s="4" t="str">
        <f aca="false">B1147&amp;"|"&amp;C1147</f>
        <v>tdbR00000095 Phe-GAA|48</v>
      </c>
      <c r="B1147" s="4" t="s">
        <v>52</v>
      </c>
      <c r="C1147" s="4" t="s">
        <v>469</v>
      </c>
      <c r="D1147" s="4" t="n">
        <v>48</v>
      </c>
      <c r="E1147" s="19" t="s">
        <v>414</v>
      </c>
      <c r="F1147" s="20" t="s">
        <v>465</v>
      </c>
    </row>
    <row r="1148" customFormat="false" ht="15" hidden="false" customHeight="false" outlineLevel="0" collapsed="false">
      <c r="A1148" s="4" t="str">
        <f aca="false">B1148&amp;"|"&amp;C1148</f>
        <v>tdbR00000095 Phe-GAA|49</v>
      </c>
      <c r="B1148" s="4" t="s">
        <v>52</v>
      </c>
      <c r="C1148" s="4" t="s">
        <v>470</v>
      </c>
      <c r="D1148" s="4" t="n">
        <v>49</v>
      </c>
      <c r="E1148" s="23" t="s">
        <v>414</v>
      </c>
      <c r="F1148" s="10" t="s">
        <v>471</v>
      </c>
    </row>
    <row r="1149" customFormat="false" ht="15" hidden="false" customHeight="false" outlineLevel="0" collapsed="false">
      <c r="A1149" s="4" t="str">
        <f aca="false">B1149&amp;"|"&amp;C1149</f>
        <v>tdbR00000095 Phe-GAA|50</v>
      </c>
      <c r="B1149" s="4" t="s">
        <v>52</v>
      </c>
      <c r="C1149" s="4" t="s">
        <v>472</v>
      </c>
      <c r="D1149" s="4" t="n">
        <v>50</v>
      </c>
      <c r="E1149" s="23" t="s">
        <v>414</v>
      </c>
      <c r="F1149" s="10" t="s">
        <v>471</v>
      </c>
    </row>
    <row r="1150" customFormat="false" ht="15" hidden="false" customHeight="false" outlineLevel="0" collapsed="false">
      <c r="A1150" s="4" t="str">
        <f aca="false">B1150&amp;"|"&amp;C1150</f>
        <v>tdbR00000095 Phe-GAA|51</v>
      </c>
      <c r="B1150" s="4" t="s">
        <v>52</v>
      </c>
      <c r="C1150" s="4" t="s">
        <v>473</v>
      </c>
      <c r="D1150" s="4" t="n">
        <v>51</v>
      </c>
      <c r="E1150" s="23" t="s">
        <v>414</v>
      </c>
      <c r="F1150" s="10" t="s">
        <v>471</v>
      </c>
    </row>
    <row r="1151" customFormat="false" ht="15" hidden="false" customHeight="false" outlineLevel="0" collapsed="false">
      <c r="A1151" s="4" t="str">
        <f aca="false">B1151&amp;"|"&amp;C1151</f>
        <v>tdbR00000095 Phe-GAA|52</v>
      </c>
      <c r="B1151" s="4" t="s">
        <v>52</v>
      </c>
      <c r="C1151" s="4" t="s">
        <v>474</v>
      </c>
      <c r="D1151" s="4" t="n">
        <v>52</v>
      </c>
      <c r="E1151" s="23" t="s">
        <v>197</v>
      </c>
      <c r="F1151" s="10" t="s">
        <v>471</v>
      </c>
    </row>
    <row r="1152" customFormat="false" ht="15" hidden="false" customHeight="false" outlineLevel="0" collapsed="false">
      <c r="A1152" s="4" t="str">
        <f aca="false">B1152&amp;"|"&amp;C1152</f>
        <v>tdbR00000095 Phe-GAA|53</v>
      </c>
      <c r="B1152" s="4" t="s">
        <v>52</v>
      </c>
      <c r="C1152" s="4" t="s">
        <v>475</v>
      </c>
      <c r="D1152" s="4" t="n">
        <v>53</v>
      </c>
      <c r="E1152" s="23" t="s">
        <v>197</v>
      </c>
      <c r="F1152" s="10" t="s">
        <v>471</v>
      </c>
    </row>
    <row r="1153" customFormat="false" ht="15" hidden="false" customHeight="false" outlineLevel="0" collapsed="false">
      <c r="A1153" s="4" t="str">
        <f aca="false">B1153&amp;"|"&amp;C1153</f>
        <v>tdbR00000095 Phe-GAA|54</v>
      </c>
      <c r="B1153" s="4" t="s">
        <v>52</v>
      </c>
      <c r="C1153" s="4" t="s">
        <v>476</v>
      </c>
      <c r="D1153" s="4" t="n">
        <v>54</v>
      </c>
      <c r="E1153" s="19" t="s">
        <v>259</v>
      </c>
      <c r="F1153" s="20" t="s">
        <v>477</v>
      </c>
    </row>
    <row r="1154" customFormat="false" ht="15" hidden="false" customHeight="false" outlineLevel="0" collapsed="false">
      <c r="A1154" s="4" t="str">
        <f aca="false">B1154&amp;"|"&amp;C1154</f>
        <v>tdbR00000095 Phe-GAA|55</v>
      </c>
      <c r="B1154" s="4" t="s">
        <v>52</v>
      </c>
      <c r="C1154" s="4" t="s">
        <v>478</v>
      </c>
      <c r="D1154" s="4" t="n">
        <v>55</v>
      </c>
      <c r="E1154" s="19" t="s">
        <v>259</v>
      </c>
      <c r="F1154" s="20" t="s">
        <v>477</v>
      </c>
    </row>
    <row r="1155" customFormat="false" ht="15" hidden="false" customHeight="false" outlineLevel="0" collapsed="false">
      <c r="A1155" s="4" t="str">
        <f aca="false">B1155&amp;"|"&amp;C1155</f>
        <v>tdbR00000095 Phe-GAA|56</v>
      </c>
      <c r="B1155" s="4" t="s">
        <v>52</v>
      </c>
      <c r="C1155" s="4" t="s">
        <v>479</v>
      </c>
      <c r="D1155" s="4" t="n">
        <v>56</v>
      </c>
      <c r="E1155" s="19" t="s">
        <v>414</v>
      </c>
      <c r="F1155" s="20" t="s">
        <v>477</v>
      </c>
    </row>
    <row r="1156" customFormat="false" ht="15" hidden="false" customHeight="false" outlineLevel="0" collapsed="false">
      <c r="A1156" s="4" t="str">
        <f aca="false">B1156&amp;"|"&amp;C1156</f>
        <v>tdbR00000095 Phe-GAA|57</v>
      </c>
      <c r="B1156" s="4" t="s">
        <v>52</v>
      </c>
      <c r="C1156" s="4" t="s">
        <v>480</v>
      </c>
      <c r="D1156" s="4" t="n">
        <v>57</v>
      </c>
      <c r="E1156" s="19" t="s">
        <v>246</v>
      </c>
      <c r="F1156" s="20" t="s">
        <v>477</v>
      </c>
    </row>
    <row r="1157" customFormat="false" ht="15" hidden="false" customHeight="false" outlineLevel="0" collapsed="false">
      <c r="A1157" s="4" t="str">
        <f aca="false">B1157&amp;"|"&amp;C1157</f>
        <v>tdbR00000095 Phe-GAA|58</v>
      </c>
      <c r="B1157" s="4" t="s">
        <v>52</v>
      </c>
      <c r="C1157" s="4" t="s">
        <v>481</v>
      </c>
      <c r="D1157" s="4" t="n">
        <v>58</v>
      </c>
      <c r="E1157" s="19" t="s">
        <v>246</v>
      </c>
      <c r="F1157" s="20" t="s">
        <v>477</v>
      </c>
    </row>
    <row r="1158" customFormat="false" ht="15" hidden="false" customHeight="false" outlineLevel="0" collapsed="false">
      <c r="A1158" s="4" t="str">
        <f aca="false">B1158&amp;"|"&amp;C1158</f>
        <v>tdbR00000095 Phe-GAA|59</v>
      </c>
      <c r="B1158" s="4" t="s">
        <v>52</v>
      </c>
      <c r="C1158" s="4" t="s">
        <v>482</v>
      </c>
      <c r="D1158" s="4" t="n">
        <v>59</v>
      </c>
      <c r="E1158" s="19" t="s">
        <v>259</v>
      </c>
      <c r="F1158" s="20" t="s">
        <v>477</v>
      </c>
    </row>
    <row r="1159" customFormat="false" ht="15" hidden="false" customHeight="false" outlineLevel="0" collapsed="false">
      <c r="A1159" s="4" t="str">
        <f aca="false">B1159&amp;"|"&amp;C1159</f>
        <v>tdbR00000095 Phe-GAA|60</v>
      </c>
      <c r="B1159" s="4" t="s">
        <v>52</v>
      </c>
      <c r="C1159" s="4" t="s">
        <v>483</v>
      </c>
      <c r="D1159" s="4" t="n">
        <v>60</v>
      </c>
      <c r="E1159" s="19" t="s">
        <v>414</v>
      </c>
      <c r="F1159" s="20" t="s">
        <v>477</v>
      </c>
    </row>
    <row r="1160" customFormat="false" ht="15" hidden="false" customHeight="false" outlineLevel="0" collapsed="false">
      <c r="A1160" s="4" t="str">
        <f aca="false">B1160&amp;"|"&amp;C1160</f>
        <v>tdbR00000095 Phe-GAA|61</v>
      </c>
      <c r="B1160" s="4" t="s">
        <v>52</v>
      </c>
      <c r="C1160" s="4" t="s">
        <v>484</v>
      </c>
      <c r="D1160" s="4" t="n">
        <v>61</v>
      </c>
      <c r="E1160" s="23" t="s">
        <v>414</v>
      </c>
      <c r="F1160" s="10" t="s">
        <v>471</v>
      </c>
    </row>
    <row r="1161" customFormat="false" ht="15" hidden="false" customHeight="false" outlineLevel="0" collapsed="false">
      <c r="A1161" s="4" t="str">
        <f aca="false">B1161&amp;"|"&amp;C1161</f>
        <v>tdbR00000095 Phe-GAA|62</v>
      </c>
      <c r="B1161" s="4" t="s">
        <v>52</v>
      </c>
      <c r="C1161" s="4" t="s">
        <v>485</v>
      </c>
      <c r="D1161" s="4" t="n">
        <v>62</v>
      </c>
      <c r="E1161" s="23" t="s">
        <v>414</v>
      </c>
      <c r="F1161" s="10" t="s">
        <v>471</v>
      </c>
    </row>
    <row r="1162" customFormat="false" ht="15" hidden="false" customHeight="false" outlineLevel="0" collapsed="false">
      <c r="A1162" s="4" t="str">
        <f aca="false">B1162&amp;"|"&amp;C1162</f>
        <v>tdbR00000095 Phe-GAA|63</v>
      </c>
      <c r="B1162" s="4" t="s">
        <v>52</v>
      </c>
      <c r="C1162" s="4" t="s">
        <v>486</v>
      </c>
      <c r="D1162" s="4" t="n">
        <v>63</v>
      </c>
      <c r="E1162" s="23" t="s">
        <v>197</v>
      </c>
      <c r="F1162" s="10" t="s">
        <v>471</v>
      </c>
    </row>
    <row r="1163" customFormat="false" ht="15" hidden="false" customHeight="false" outlineLevel="0" collapsed="false">
      <c r="A1163" s="4" t="str">
        <f aca="false">B1163&amp;"|"&amp;C1163</f>
        <v>tdbR00000095 Phe-GAA|64</v>
      </c>
      <c r="B1163" s="4" t="s">
        <v>52</v>
      </c>
      <c r="C1163" s="4" t="s">
        <v>487</v>
      </c>
      <c r="D1163" s="4" t="n">
        <v>64</v>
      </c>
      <c r="E1163" s="23" t="s">
        <v>197</v>
      </c>
      <c r="F1163" s="10" t="s">
        <v>471</v>
      </c>
    </row>
    <row r="1164" customFormat="false" ht="15" hidden="false" customHeight="false" outlineLevel="0" collapsed="false">
      <c r="A1164" s="4" t="str">
        <f aca="false">B1164&amp;"|"&amp;C1164</f>
        <v>tdbR00000095 Phe-GAA|65</v>
      </c>
      <c r="B1164" s="4" t="s">
        <v>52</v>
      </c>
      <c r="C1164" s="4" t="s">
        <v>488</v>
      </c>
      <c r="D1164" s="4" t="n">
        <v>65</v>
      </c>
      <c r="E1164" s="23" t="s">
        <v>197</v>
      </c>
      <c r="F1164" s="10" t="s">
        <v>471</v>
      </c>
    </row>
    <row r="1165" customFormat="false" ht="15" hidden="false" customHeight="false" outlineLevel="0" collapsed="false">
      <c r="A1165" s="4" t="str">
        <f aca="false">B1165&amp;"|"&amp;C1165</f>
        <v>tdbR00000095 Phe-GAA|66</v>
      </c>
      <c r="B1165" s="4" t="s">
        <v>52</v>
      </c>
      <c r="C1165" s="4" t="s">
        <v>489</v>
      </c>
      <c r="D1165" s="4" t="n">
        <v>66</v>
      </c>
      <c r="E1165" s="17" t="s">
        <v>259</v>
      </c>
      <c r="F1165" s="18" t="s">
        <v>412</v>
      </c>
    </row>
    <row r="1166" customFormat="false" ht="15" hidden="false" customHeight="false" outlineLevel="0" collapsed="false">
      <c r="A1166" s="4" t="str">
        <f aca="false">B1166&amp;"|"&amp;C1166</f>
        <v>tdbR00000095 Phe-GAA|67</v>
      </c>
      <c r="B1166" s="4" t="s">
        <v>52</v>
      </c>
      <c r="C1166" s="4" t="s">
        <v>490</v>
      </c>
      <c r="D1166" s="4" t="n">
        <v>67</v>
      </c>
      <c r="E1166" s="17" t="s">
        <v>259</v>
      </c>
      <c r="F1166" s="18" t="s">
        <v>412</v>
      </c>
    </row>
    <row r="1167" customFormat="false" ht="15" hidden="false" customHeight="false" outlineLevel="0" collapsed="false">
      <c r="A1167" s="4" t="str">
        <f aca="false">B1167&amp;"|"&amp;C1167</f>
        <v>tdbR00000095 Phe-GAA|68</v>
      </c>
      <c r="B1167" s="4" t="s">
        <v>52</v>
      </c>
      <c r="C1167" s="4" t="s">
        <v>491</v>
      </c>
      <c r="D1167" s="4" t="n">
        <v>68</v>
      </c>
      <c r="E1167" s="17" t="s">
        <v>259</v>
      </c>
      <c r="F1167" s="18" t="s">
        <v>412</v>
      </c>
    </row>
    <row r="1168" customFormat="false" ht="15" hidden="false" customHeight="false" outlineLevel="0" collapsed="false">
      <c r="A1168" s="4" t="str">
        <f aca="false">B1168&amp;"|"&amp;C1168</f>
        <v>tdbR00000095 Phe-GAA|69</v>
      </c>
      <c r="B1168" s="4" t="s">
        <v>52</v>
      </c>
      <c r="C1168" s="4" t="s">
        <v>492</v>
      </c>
      <c r="D1168" s="4" t="n">
        <v>69</v>
      </c>
      <c r="E1168" s="17" t="s">
        <v>414</v>
      </c>
      <c r="F1168" s="18" t="s">
        <v>412</v>
      </c>
    </row>
    <row r="1169" customFormat="false" ht="15" hidden="false" customHeight="false" outlineLevel="0" collapsed="false">
      <c r="A1169" s="4" t="str">
        <f aca="false">B1169&amp;"|"&amp;C1169</f>
        <v>tdbR00000095 Phe-GAA|70</v>
      </c>
      <c r="B1169" s="4" t="s">
        <v>52</v>
      </c>
      <c r="C1169" s="4" t="s">
        <v>493</v>
      </c>
      <c r="D1169" s="4" t="n">
        <v>70</v>
      </c>
      <c r="E1169" s="17" t="s">
        <v>197</v>
      </c>
      <c r="F1169" s="18" t="s">
        <v>412</v>
      </c>
    </row>
    <row r="1170" customFormat="false" ht="15" hidden="false" customHeight="false" outlineLevel="0" collapsed="false">
      <c r="A1170" s="4" t="str">
        <f aca="false">B1170&amp;"|"&amp;C1170</f>
        <v>tdbR00000095 Phe-GAA|71</v>
      </c>
      <c r="B1170" s="4" t="s">
        <v>52</v>
      </c>
      <c r="C1170" s="4" t="s">
        <v>494</v>
      </c>
      <c r="D1170" s="4" t="n">
        <v>71</v>
      </c>
      <c r="E1170" s="17" t="s">
        <v>197</v>
      </c>
      <c r="F1170" s="18" t="s">
        <v>412</v>
      </c>
    </row>
    <row r="1171" customFormat="false" ht="15" hidden="false" customHeight="false" outlineLevel="0" collapsed="false">
      <c r="A1171" s="4" t="str">
        <f aca="false">B1171&amp;"|"&amp;C1171</f>
        <v>tdbR00000095 Phe-GAA|72</v>
      </c>
      <c r="B1171" s="4" t="s">
        <v>52</v>
      </c>
      <c r="C1171" s="4" t="s">
        <v>495</v>
      </c>
      <c r="D1171" s="4" t="n">
        <v>72</v>
      </c>
      <c r="E1171" s="17" t="s">
        <v>414</v>
      </c>
      <c r="F1171" s="18" t="s">
        <v>412</v>
      </c>
    </row>
    <row r="1172" customFormat="false" ht="15" hidden="false" customHeight="false" outlineLevel="0" collapsed="false">
      <c r="A1172" s="4" t="str">
        <f aca="false">B1172&amp;"|"&amp;C1172</f>
        <v>tdbR00000564 Tyr-GUA|1</v>
      </c>
      <c r="B1172" s="4" t="s">
        <v>53</v>
      </c>
      <c r="C1172" s="4" t="s">
        <v>411</v>
      </c>
      <c r="D1172" s="4" t="n">
        <v>1</v>
      </c>
      <c r="E1172" s="17" t="s">
        <v>414</v>
      </c>
      <c r="F1172" s="18" t="s">
        <v>412</v>
      </c>
    </row>
    <row r="1173" customFormat="false" ht="15" hidden="false" customHeight="false" outlineLevel="0" collapsed="false">
      <c r="A1173" s="4" t="str">
        <f aca="false">B1173&amp;"|"&amp;C1173</f>
        <v>tdbR00000564 Tyr-GUA|2</v>
      </c>
      <c r="B1173" s="4" t="s">
        <v>53</v>
      </c>
      <c r="C1173" s="4" t="s">
        <v>413</v>
      </c>
      <c r="D1173" s="4" t="n">
        <v>2</v>
      </c>
      <c r="E1173" s="17" t="s">
        <v>414</v>
      </c>
      <c r="F1173" s="18" t="s">
        <v>412</v>
      </c>
    </row>
    <row r="1174" customFormat="false" ht="15" hidden="false" customHeight="false" outlineLevel="0" collapsed="false">
      <c r="A1174" s="4" t="str">
        <f aca="false">B1174&amp;"|"&amp;C1174</f>
        <v>tdbR00000564 Tyr-GUA|3</v>
      </c>
      <c r="B1174" s="4" t="s">
        <v>53</v>
      </c>
      <c r="C1174" s="4" t="s">
        <v>415</v>
      </c>
      <c r="D1174" s="4" t="n">
        <v>3</v>
      </c>
      <c r="E1174" s="17" t="s">
        <v>259</v>
      </c>
      <c r="F1174" s="18" t="s">
        <v>412</v>
      </c>
    </row>
    <row r="1175" customFormat="false" ht="15" hidden="false" customHeight="false" outlineLevel="0" collapsed="false">
      <c r="A1175" s="4" t="str">
        <f aca="false">B1175&amp;"|"&amp;C1175</f>
        <v>tdbR00000564 Tyr-GUA|4</v>
      </c>
      <c r="B1175" s="4" t="s">
        <v>53</v>
      </c>
      <c r="C1175" s="4" t="s">
        <v>416</v>
      </c>
      <c r="D1175" s="4" t="n">
        <v>4</v>
      </c>
      <c r="E1175" s="17" t="s">
        <v>259</v>
      </c>
      <c r="F1175" s="18" t="s">
        <v>412</v>
      </c>
    </row>
    <row r="1176" customFormat="false" ht="15" hidden="false" customHeight="false" outlineLevel="0" collapsed="false">
      <c r="A1176" s="4" t="str">
        <f aca="false">B1176&amp;"|"&amp;C1176</f>
        <v>tdbR00000564 Tyr-GUA|5</v>
      </c>
      <c r="B1176" s="4" t="s">
        <v>53</v>
      </c>
      <c r="C1176" s="4" t="s">
        <v>417</v>
      </c>
      <c r="D1176" s="4" t="n">
        <v>5</v>
      </c>
      <c r="E1176" s="17" t="s">
        <v>414</v>
      </c>
      <c r="F1176" s="18" t="s">
        <v>412</v>
      </c>
    </row>
    <row r="1177" customFormat="false" ht="15" hidden="false" customHeight="false" outlineLevel="0" collapsed="false">
      <c r="A1177" s="4" t="str">
        <f aca="false">B1177&amp;"|"&amp;C1177</f>
        <v>tdbR00000564 Tyr-GUA|6</v>
      </c>
      <c r="B1177" s="4" t="s">
        <v>53</v>
      </c>
      <c r="C1177" s="4" t="s">
        <v>418</v>
      </c>
      <c r="D1177" s="4" t="n">
        <v>6</v>
      </c>
      <c r="E1177" s="17" t="s">
        <v>197</v>
      </c>
      <c r="F1177" s="18" t="s">
        <v>412</v>
      </c>
    </row>
    <row r="1178" customFormat="false" ht="15" hidden="false" customHeight="false" outlineLevel="0" collapsed="false">
      <c r="A1178" s="4" t="str">
        <f aca="false">B1178&amp;"|"&amp;C1178</f>
        <v>tdbR00000564 Tyr-GUA|7</v>
      </c>
      <c r="B1178" s="4" t="s">
        <v>53</v>
      </c>
      <c r="C1178" s="4" t="s">
        <v>419</v>
      </c>
      <c r="D1178" s="4" t="n">
        <v>7</v>
      </c>
      <c r="E1178" s="17" t="s">
        <v>246</v>
      </c>
      <c r="F1178" s="18" t="s">
        <v>412</v>
      </c>
    </row>
    <row r="1179" customFormat="false" ht="15" hidden="false" customHeight="false" outlineLevel="0" collapsed="false">
      <c r="A1179" s="4" t="str">
        <f aca="false">B1179&amp;"|"&amp;C1179</f>
        <v>tdbR00000564 Tyr-GUA|8</v>
      </c>
      <c r="B1179" s="4" t="s">
        <v>53</v>
      </c>
      <c r="C1179" s="4" t="s">
        <v>420</v>
      </c>
      <c r="D1179" s="4" t="n">
        <v>8</v>
      </c>
      <c r="E1179" s="3" t="s">
        <v>259</v>
      </c>
      <c r="F1179" s="4" t="s">
        <v>421</v>
      </c>
    </row>
    <row r="1180" customFormat="false" ht="15" hidden="false" customHeight="false" outlineLevel="0" collapsed="false">
      <c r="A1180" s="4" t="str">
        <f aca="false">B1180&amp;"|"&amp;C1180</f>
        <v>tdbR00000564 Tyr-GUA|9</v>
      </c>
      <c r="B1180" s="4" t="s">
        <v>53</v>
      </c>
      <c r="C1180" s="4" t="s">
        <v>422</v>
      </c>
      <c r="D1180" s="4" t="n">
        <v>9</v>
      </c>
      <c r="E1180" s="3" t="s">
        <v>246</v>
      </c>
      <c r="F1180" s="4" t="s">
        <v>423</v>
      </c>
    </row>
    <row r="1181" customFormat="false" ht="15" hidden="false" customHeight="false" outlineLevel="0" collapsed="false">
      <c r="A1181" s="4" t="str">
        <f aca="false">B1181&amp;"|"&amp;C1181</f>
        <v>tdbR00000564 Tyr-GUA|10</v>
      </c>
      <c r="B1181" s="4" t="s">
        <v>53</v>
      </c>
      <c r="C1181" s="4" t="s">
        <v>424</v>
      </c>
      <c r="D1181" s="4" t="n">
        <v>10</v>
      </c>
      <c r="E1181" s="8" t="s">
        <v>197</v>
      </c>
      <c r="F1181" s="7" t="s">
        <v>425</v>
      </c>
    </row>
    <row r="1182" customFormat="false" ht="15" hidden="false" customHeight="false" outlineLevel="0" collapsed="false">
      <c r="A1182" s="4" t="str">
        <f aca="false">B1182&amp;"|"&amp;C1182</f>
        <v>tdbR00000564 Tyr-GUA|11</v>
      </c>
      <c r="B1182" s="4" t="s">
        <v>53</v>
      </c>
      <c r="C1182" s="4" t="s">
        <v>426</v>
      </c>
      <c r="D1182" s="4" t="n">
        <v>11</v>
      </c>
      <c r="E1182" s="8" t="s">
        <v>414</v>
      </c>
      <c r="F1182" s="7" t="s">
        <v>425</v>
      </c>
    </row>
    <row r="1183" customFormat="false" ht="15" hidden="false" customHeight="false" outlineLevel="0" collapsed="false">
      <c r="A1183" s="4" t="str">
        <f aca="false">B1183&amp;"|"&amp;C1183</f>
        <v>tdbR00000564 Tyr-GUA|12</v>
      </c>
      <c r="B1183" s="4" t="s">
        <v>53</v>
      </c>
      <c r="C1183" s="4" t="s">
        <v>427</v>
      </c>
      <c r="D1183" s="4" t="n">
        <v>12</v>
      </c>
      <c r="E1183" s="8" t="s">
        <v>259</v>
      </c>
      <c r="F1183" s="7" t="s">
        <v>425</v>
      </c>
    </row>
    <row r="1184" customFormat="false" ht="15" hidden="false" customHeight="false" outlineLevel="0" collapsed="false">
      <c r="A1184" s="4" t="str">
        <f aca="false">B1184&amp;"|"&amp;C1184</f>
        <v>tdbR00000564 Tyr-GUA|13</v>
      </c>
      <c r="B1184" s="4" t="s">
        <v>53</v>
      </c>
      <c r="C1184" s="4" t="s">
        <v>428</v>
      </c>
      <c r="D1184" s="4" t="n">
        <v>13</v>
      </c>
      <c r="E1184" s="8" t="s">
        <v>414</v>
      </c>
      <c r="F1184" s="7" t="s">
        <v>425</v>
      </c>
    </row>
    <row r="1185" customFormat="false" ht="15" hidden="false" customHeight="false" outlineLevel="0" collapsed="false">
      <c r="A1185" s="4" t="str">
        <f aca="false">B1185&amp;"|"&amp;C1185</f>
        <v>tdbR00000564 Tyr-GUA|14</v>
      </c>
      <c r="B1185" s="4" t="s">
        <v>53</v>
      </c>
      <c r="C1185" s="4" t="s">
        <v>429</v>
      </c>
      <c r="D1185" s="4" t="n">
        <v>14</v>
      </c>
      <c r="E1185" s="19" t="s">
        <v>246</v>
      </c>
      <c r="F1185" s="20" t="s">
        <v>430</v>
      </c>
    </row>
    <row r="1186" customFormat="false" ht="15" hidden="false" customHeight="false" outlineLevel="0" collapsed="false">
      <c r="A1186" s="4" t="str">
        <f aca="false">B1186&amp;"|"&amp;C1186</f>
        <v>tdbR00000564 Tyr-GUA|15</v>
      </c>
      <c r="B1186" s="4" t="s">
        <v>53</v>
      </c>
      <c r="C1186" s="4" t="s">
        <v>431</v>
      </c>
      <c r="D1186" s="4" t="n">
        <v>15</v>
      </c>
      <c r="E1186" s="19" t="s">
        <v>197</v>
      </c>
      <c r="F1186" s="20" t="s">
        <v>430</v>
      </c>
    </row>
    <row r="1187" customFormat="false" ht="15" hidden="false" customHeight="false" outlineLevel="0" collapsed="false">
      <c r="A1187" s="4" t="str">
        <f aca="false">B1187&amp;"|"&amp;C1187</f>
        <v>tdbR00000564 Tyr-GUA|16</v>
      </c>
      <c r="B1187" s="4" t="s">
        <v>53</v>
      </c>
      <c r="C1187" s="4" t="s">
        <v>432</v>
      </c>
      <c r="D1187" s="4" t="n">
        <v>16</v>
      </c>
      <c r="E1187" s="19" t="s">
        <v>259</v>
      </c>
      <c r="F1187" s="20" t="s">
        <v>430</v>
      </c>
    </row>
    <row r="1188" customFormat="false" ht="15" hidden="false" customHeight="false" outlineLevel="0" collapsed="false">
      <c r="A1188" s="4" t="str">
        <f aca="false">B1188&amp;"|"&amp;C1188</f>
        <v>tdbR00000564 Tyr-GUA|17</v>
      </c>
      <c r="B1188" s="4" t="s">
        <v>53</v>
      </c>
      <c r="C1188" s="4" t="s">
        <v>433</v>
      </c>
      <c r="D1188" s="4" t="n">
        <v>17</v>
      </c>
      <c r="E1188" s="19" t="s">
        <v>259</v>
      </c>
      <c r="F1188" s="20" t="s">
        <v>430</v>
      </c>
    </row>
    <row r="1189" customFormat="false" ht="15" hidden="false" customHeight="false" outlineLevel="0" collapsed="false">
      <c r="A1189" s="4" t="str">
        <f aca="false">B1189&amp;"|"&amp;C1189</f>
        <v>tdbR00000564 Tyr-GUA|18</v>
      </c>
      <c r="B1189" s="4" t="s">
        <v>53</v>
      </c>
      <c r="C1189" s="4" t="s">
        <v>434</v>
      </c>
      <c r="D1189" s="4" t="n">
        <v>18</v>
      </c>
      <c r="E1189" s="19" t="s">
        <v>197</v>
      </c>
      <c r="F1189" s="20" t="s">
        <v>430</v>
      </c>
    </row>
    <row r="1190" customFormat="false" ht="15" hidden="false" customHeight="false" outlineLevel="0" collapsed="false">
      <c r="A1190" s="4" t="str">
        <f aca="false">B1190&amp;"|"&amp;C1190</f>
        <v>tdbR00000564 Tyr-GUA|19</v>
      </c>
      <c r="B1190" s="4" t="s">
        <v>53</v>
      </c>
      <c r="C1190" s="4" t="s">
        <v>435</v>
      </c>
      <c r="D1190" s="4" t="n">
        <v>19</v>
      </c>
      <c r="E1190" s="19" t="s">
        <v>197</v>
      </c>
      <c r="F1190" s="20" t="s">
        <v>430</v>
      </c>
    </row>
    <row r="1191" customFormat="false" ht="15" hidden="false" customHeight="false" outlineLevel="0" collapsed="false">
      <c r="A1191" s="4" t="str">
        <f aca="false">B1191&amp;"|"&amp;C1191</f>
        <v>tdbR00000564 Tyr-GUA|20</v>
      </c>
      <c r="B1191" s="4" t="s">
        <v>53</v>
      </c>
      <c r="C1191" s="4" t="s">
        <v>436</v>
      </c>
      <c r="D1191" s="4" t="n">
        <v>20</v>
      </c>
      <c r="E1191" s="19" t="s">
        <v>259</v>
      </c>
      <c r="F1191" s="20" t="s">
        <v>430</v>
      </c>
    </row>
    <row r="1192" customFormat="false" ht="15" hidden="false" customHeight="false" outlineLevel="0" collapsed="false">
      <c r="A1192" s="4" t="str">
        <f aca="false">B1192&amp;"|"&amp;C1192</f>
        <v>tdbR00000564 Tyr-GUA|21</v>
      </c>
      <c r="B1192" s="4" t="s">
        <v>53</v>
      </c>
      <c r="C1192" s="4" t="s">
        <v>438</v>
      </c>
      <c r="D1192" s="4" t="n">
        <v>21</v>
      </c>
      <c r="E1192" s="19" t="s">
        <v>246</v>
      </c>
      <c r="F1192" s="20" t="s">
        <v>430</v>
      </c>
    </row>
    <row r="1193" customFormat="false" ht="15" hidden="false" customHeight="false" outlineLevel="0" collapsed="false">
      <c r="A1193" s="4" t="str">
        <f aca="false">B1193&amp;"|"&amp;C1193</f>
        <v>tdbR00000564 Tyr-GUA|22</v>
      </c>
      <c r="B1193" s="4" t="s">
        <v>53</v>
      </c>
      <c r="C1193" s="4" t="s">
        <v>439</v>
      </c>
      <c r="D1193" s="4" t="n">
        <v>22</v>
      </c>
      <c r="E1193" s="8" t="s">
        <v>197</v>
      </c>
      <c r="F1193" s="7" t="s">
        <v>425</v>
      </c>
    </row>
    <row r="1194" customFormat="false" ht="15" hidden="false" customHeight="false" outlineLevel="0" collapsed="false">
      <c r="A1194" s="4" t="str">
        <f aca="false">B1194&amp;"|"&amp;C1194</f>
        <v>tdbR00000564 Tyr-GUA|23</v>
      </c>
      <c r="B1194" s="4" t="s">
        <v>53</v>
      </c>
      <c r="C1194" s="4" t="s">
        <v>440</v>
      </c>
      <c r="D1194" s="4" t="n">
        <v>23</v>
      </c>
      <c r="E1194" s="8" t="s">
        <v>246</v>
      </c>
      <c r="F1194" s="7" t="s">
        <v>425</v>
      </c>
    </row>
    <row r="1195" customFormat="false" ht="15" hidden="false" customHeight="false" outlineLevel="0" collapsed="false">
      <c r="A1195" s="4" t="str">
        <f aca="false">B1195&amp;"|"&amp;C1195</f>
        <v>tdbR00000564 Tyr-GUA|24</v>
      </c>
      <c r="B1195" s="4" t="s">
        <v>53</v>
      </c>
      <c r="C1195" s="4" t="s">
        <v>441</v>
      </c>
      <c r="D1195" s="4" t="n">
        <v>24</v>
      </c>
      <c r="E1195" s="8" t="s">
        <v>197</v>
      </c>
      <c r="F1195" s="7" t="s">
        <v>425</v>
      </c>
    </row>
    <row r="1196" customFormat="false" ht="15" hidden="false" customHeight="false" outlineLevel="0" collapsed="false">
      <c r="A1196" s="4" t="str">
        <f aca="false">B1196&amp;"|"&amp;C1196</f>
        <v>tdbR00000564 Tyr-GUA|25</v>
      </c>
      <c r="B1196" s="4" t="s">
        <v>53</v>
      </c>
      <c r="C1196" s="4" t="s">
        <v>442</v>
      </c>
      <c r="D1196" s="4" t="n">
        <v>25</v>
      </c>
      <c r="E1196" s="8" t="s">
        <v>414</v>
      </c>
      <c r="F1196" s="7" t="s">
        <v>425</v>
      </c>
    </row>
    <row r="1197" customFormat="false" ht="15" hidden="false" customHeight="false" outlineLevel="0" collapsed="false">
      <c r="A1197" s="4" t="str">
        <f aca="false">B1197&amp;"|"&amp;C1197</f>
        <v>tdbR00000564 Tyr-GUA|26</v>
      </c>
      <c r="B1197" s="4" t="s">
        <v>53</v>
      </c>
      <c r="C1197" s="4" t="s">
        <v>443</v>
      </c>
      <c r="D1197" s="4" t="n">
        <v>26</v>
      </c>
      <c r="E1197" s="3" t="s">
        <v>197</v>
      </c>
      <c r="F1197" s="4" t="s">
        <v>444</v>
      </c>
    </row>
    <row r="1198" customFormat="false" ht="15" hidden="false" customHeight="false" outlineLevel="0" collapsed="false">
      <c r="A1198" s="4" t="str">
        <f aca="false">B1198&amp;"|"&amp;C1198</f>
        <v>tdbR00000564 Tyr-GUA|27</v>
      </c>
      <c r="B1198" s="4" t="s">
        <v>53</v>
      </c>
      <c r="C1198" s="4" t="s">
        <v>445</v>
      </c>
      <c r="D1198" s="4" t="n">
        <v>27</v>
      </c>
      <c r="E1198" s="21" t="s">
        <v>197</v>
      </c>
      <c r="F1198" s="22" t="s">
        <v>446</v>
      </c>
    </row>
    <row r="1199" customFormat="false" ht="15" hidden="false" customHeight="false" outlineLevel="0" collapsed="false">
      <c r="A1199" s="4" t="str">
        <f aca="false">B1199&amp;"|"&amp;C1199</f>
        <v>tdbR00000564 Tyr-GUA|28</v>
      </c>
      <c r="B1199" s="4" t="s">
        <v>53</v>
      </c>
      <c r="C1199" s="4" t="s">
        <v>447</v>
      </c>
      <c r="D1199" s="4" t="n">
        <v>28</v>
      </c>
      <c r="E1199" s="21" t="s">
        <v>259</v>
      </c>
      <c r="F1199" s="22" t="s">
        <v>446</v>
      </c>
    </row>
    <row r="1200" customFormat="false" ht="15" hidden="false" customHeight="false" outlineLevel="0" collapsed="false">
      <c r="A1200" s="4" t="str">
        <f aca="false">B1200&amp;"|"&amp;C1200</f>
        <v>tdbR00000564 Tyr-GUA|29</v>
      </c>
      <c r="B1200" s="4" t="s">
        <v>53</v>
      </c>
      <c r="C1200" s="4" t="s">
        <v>448</v>
      </c>
      <c r="D1200" s="4" t="n">
        <v>29</v>
      </c>
      <c r="E1200" s="21" t="s">
        <v>197</v>
      </c>
      <c r="F1200" s="22" t="s">
        <v>446</v>
      </c>
    </row>
    <row r="1201" customFormat="false" ht="15" hidden="false" customHeight="false" outlineLevel="0" collapsed="false">
      <c r="A1201" s="4" t="str">
        <f aca="false">B1201&amp;"|"&amp;C1201</f>
        <v>tdbR00000564 Tyr-GUA|30</v>
      </c>
      <c r="B1201" s="4" t="s">
        <v>53</v>
      </c>
      <c r="C1201" s="4" t="s">
        <v>449</v>
      </c>
      <c r="D1201" s="4" t="n">
        <v>30</v>
      </c>
      <c r="E1201" s="21" t="s">
        <v>197</v>
      </c>
      <c r="F1201" s="22" t="s">
        <v>446</v>
      </c>
    </row>
    <row r="1202" customFormat="false" ht="15" hidden="false" customHeight="false" outlineLevel="0" collapsed="false">
      <c r="A1202" s="4" t="str">
        <f aca="false">B1202&amp;"|"&amp;C1202</f>
        <v>tdbR00000564 Tyr-GUA|31</v>
      </c>
      <c r="B1202" s="4" t="s">
        <v>53</v>
      </c>
      <c r="C1202" s="4" t="s">
        <v>450</v>
      </c>
      <c r="D1202" s="4" t="n">
        <v>31</v>
      </c>
      <c r="E1202" s="21" t="s">
        <v>246</v>
      </c>
      <c r="F1202" s="22" t="s">
        <v>446</v>
      </c>
    </row>
    <row r="1203" customFormat="false" ht="15" hidden="false" customHeight="false" outlineLevel="0" collapsed="false">
      <c r="A1203" s="4" t="str">
        <f aca="false">B1203&amp;"|"&amp;C1203</f>
        <v>tdbR00000564 Tyr-GUA|32</v>
      </c>
      <c r="B1203" s="4" t="s">
        <v>53</v>
      </c>
      <c r="C1203" s="4" t="s">
        <v>451</v>
      </c>
      <c r="D1203" s="4" t="n">
        <v>32</v>
      </c>
      <c r="E1203" s="19" t="s">
        <v>414</v>
      </c>
      <c r="F1203" s="20" t="s">
        <v>452</v>
      </c>
    </row>
    <row r="1204" customFormat="false" ht="15" hidden="false" customHeight="false" outlineLevel="0" collapsed="false">
      <c r="A1204" s="4" t="str">
        <f aca="false">B1204&amp;"|"&amp;C1204</f>
        <v>tdbR00000564 Tyr-GUA|33</v>
      </c>
      <c r="B1204" s="4" t="s">
        <v>53</v>
      </c>
      <c r="C1204" s="4" t="s">
        <v>453</v>
      </c>
      <c r="D1204" s="4" t="n">
        <v>33</v>
      </c>
      <c r="E1204" s="19" t="s">
        <v>259</v>
      </c>
      <c r="F1204" s="20" t="s">
        <v>452</v>
      </c>
    </row>
    <row r="1205" customFormat="false" ht="15" hidden="false" customHeight="false" outlineLevel="0" collapsed="false">
      <c r="A1205" s="4" t="str">
        <f aca="false">B1205&amp;"|"&amp;C1205</f>
        <v>tdbR00000564 Tyr-GUA|34</v>
      </c>
      <c r="B1205" s="4" t="s">
        <v>53</v>
      </c>
      <c r="C1205" s="4" t="s">
        <v>454</v>
      </c>
      <c r="D1205" s="4" t="n">
        <v>34</v>
      </c>
      <c r="E1205" s="19" t="s">
        <v>197</v>
      </c>
      <c r="F1205" s="20" t="s">
        <v>452</v>
      </c>
    </row>
    <row r="1206" customFormat="false" ht="15" hidden="false" customHeight="false" outlineLevel="0" collapsed="false">
      <c r="A1206" s="4" t="str">
        <f aca="false">B1206&amp;"|"&amp;C1206</f>
        <v>tdbR00000564 Tyr-GUA|35</v>
      </c>
      <c r="B1206" s="4" t="s">
        <v>53</v>
      </c>
      <c r="C1206" s="4" t="s">
        <v>455</v>
      </c>
      <c r="D1206" s="4" t="n">
        <v>35</v>
      </c>
      <c r="E1206" s="19" t="s">
        <v>259</v>
      </c>
      <c r="F1206" s="20" t="s">
        <v>452</v>
      </c>
    </row>
    <row r="1207" customFormat="false" ht="15" hidden="false" customHeight="false" outlineLevel="0" collapsed="false">
      <c r="A1207" s="4" t="str">
        <f aca="false">B1207&amp;"|"&amp;C1207</f>
        <v>tdbR00000564 Tyr-GUA|36</v>
      </c>
      <c r="B1207" s="4" t="s">
        <v>53</v>
      </c>
      <c r="C1207" s="4" t="s">
        <v>456</v>
      </c>
      <c r="D1207" s="4" t="n">
        <v>36</v>
      </c>
      <c r="E1207" s="19" t="s">
        <v>246</v>
      </c>
      <c r="F1207" s="20" t="s">
        <v>452</v>
      </c>
    </row>
    <row r="1208" customFormat="false" ht="15" hidden="false" customHeight="false" outlineLevel="0" collapsed="false">
      <c r="A1208" s="4" t="str">
        <f aca="false">B1208&amp;"|"&amp;C1208</f>
        <v>tdbR00000564 Tyr-GUA|37</v>
      </c>
      <c r="B1208" s="4" t="s">
        <v>53</v>
      </c>
      <c r="C1208" s="4" t="s">
        <v>457</v>
      </c>
      <c r="D1208" s="4" t="n">
        <v>37</v>
      </c>
      <c r="E1208" s="19" t="s">
        <v>197</v>
      </c>
      <c r="F1208" s="20" t="s">
        <v>452</v>
      </c>
    </row>
    <row r="1209" customFormat="false" ht="15" hidden="false" customHeight="false" outlineLevel="0" collapsed="false">
      <c r="A1209" s="4" t="str">
        <f aca="false">B1209&amp;"|"&amp;C1209</f>
        <v>tdbR00000564 Tyr-GUA|38</v>
      </c>
      <c r="B1209" s="4" t="s">
        <v>53</v>
      </c>
      <c r="C1209" s="4" t="s">
        <v>458</v>
      </c>
      <c r="D1209" s="4" t="n">
        <v>38</v>
      </c>
      <c r="E1209" s="19" t="s">
        <v>246</v>
      </c>
      <c r="F1209" s="20" t="s">
        <v>452</v>
      </c>
    </row>
    <row r="1210" customFormat="false" ht="15" hidden="false" customHeight="false" outlineLevel="0" collapsed="false">
      <c r="A1210" s="4" t="str">
        <f aca="false">B1210&amp;"|"&amp;C1210</f>
        <v>tdbR00000564 Tyr-GUA|39</v>
      </c>
      <c r="B1210" s="4" t="s">
        <v>53</v>
      </c>
      <c r="C1210" s="4" t="s">
        <v>459</v>
      </c>
      <c r="D1210" s="4" t="n">
        <v>39</v>
      </c>
      <c r="E1210" s="21" t="s">
        <v>259</v>
      </c>
      <c r="F1210" s="22" t="s">
        <v>446</v>
      </c>
    </row>
    <row r="1211" customFormat="false" ht="15" hidden="false" customHeight="false" outlineLevel="0" collapsed="false">
      <c r="A1211" s="4" t="str">
        <f aca="false">B1211&amp;"|"&amp;C1211</f>
        <v>tdbR00000564 Tyr-GUA|40</v>
      </c>
      <c r="B1211" s="4" t="s">
        <v>53</v>
      </c>
      <c r="C1211" s="4" t="s">
        <v>460</v>
      </c>
      <c r="D1211" s="4" t="n">
        <v>40</v>
      </c>
      <c r="E1211" s="21" t="s">
        <v>414</v>
      </c>
      <c r="F1211" s="22" t="s">
        <v>446</v>
      </c>
    </row>
    <row r="1212" customFormat="false" ht="15" hidden="false" customHeight="false" outlineLevel="0" collapsed="false">
      <c r="A1212" s="4" t="str">
        <f aca="false">B1212&amp;"|"&amp;C1212</f>
        <v>tdbR00000564 Tyr-GUA|41</v>
      </c>
      <c r="B1212" s="4" t="s">
        <v>53</v>
      </c>
      <c r="C1212" s="4" t="s">
        <v>461</v>
      </c>
      <c r="D1212" s="4" t="n">
        <v>41</v>
      </c>
      <c r="E1212" s="21" t="s">
        <v>414</v>
      </c>
      <c r="F1212" s="22" t="s">
        <v>446</v>
      </c>
    </row>
    <row r="1213" customFormat="false" ht="15" hidden="false" customHeight="false" outlineLevel="0" collapsed="false">
      <c r="A1213" s="4" t="str">
        <f aca="false">B1213&amp;"|"&amp;C1213</f>
        <v>tdbR00000564 Tyr-GUA|42</v>
      </c>
      <c r="B1213" s="4" t="s">
        <v>53</v>
      </c>
      <c r="C1213" s="4" t="s">
        <v>462</v>
      </c>
      <c r="D1213" s="4" t="n">
        <v>42</v>
      </c>
      <c r="E1213" s="21" t="s">
        <v>246</v>
      </c>
      <c r="F1213" s="22" t="s">
        <v>446</v>
      </c>
    </row>
    <row r="1214" customFormat="false" ht="15" hidden="false" customHeight="false" outlineLevel="0" collapsed="false">
      <c r="A1214" s="4" t="str">
        <f aca="false">B1214&amp;"|"&amp;C1214</f>
        <v>tdbR00000564 Tyr-GUA|43</v>
      </c>
      <c r="B1214" s="4" t="s">
        <v>53</v>
      </c>
      <c r="C1214" s="4" t="s">
        <v>463</v>
      </c>
      <c r="D1214" s="4" t="n">
        <v>43</v>
      </c>
      <c r="E1214" s="21" t="s">
        <v>259</v>
      </c>
      <c r="F1214" s="22" t="s">
        <v>446</v>
      </c>
    </row>
    <row r="1215" customFormat="false" ht="15" hidden="false" customHeight="false" outlineLevel="0" collapsed="false">
      <c r="A1215" s="4" t="str">
        <f aca="false">B1215&amp;"|"&amp;C1215</f>
        <v>tdbR00000564 Tyr-GUA|44</v>
      </c>
      <c r="B1215" s="4" t="s">
        <v>53</v>
      </c>
      <c r="C1215" s="4" t="s">
        <v>464</v>
      </c>
      <c r="D1215" s="4" t="n">
        <v>44</v>
      </c>
      <c r="E1215" s="19" t="s">
        <v>246</v>
      </c>
      <c r="F1215" s="20" t="s">
        <v>465</v>
      </c>
    </row>
    <row r="1216" customFormat="false" ht="15" hidden="false" customHeight="false" outlineLevel="0" collapsed="false">
      <c r="A1216" s="4" t="str">
        <f aca="false">B1216&amp;"|"&amp;C1216</f>
        <v>tdbR00000564 Tyr-GUA|45</v>
      </c>
      <c r="B1216" s="4" t="s">
        <v>53</v>
      </c>
      <c r="C1216" s="4" t="s">
        <v>466</v>
      </c>
      <c r="D1216" s="4" t="n">
        <v>45</v>
      </c>
      <c r="E1216" s="19" t="s">
        <v>197</v>
      </c>
      <c r="F1216" s="20" t="s">
        <v>465</v>
      </c>
    </row>
    <row r="1217" customFormat="false" ht="15" hidden="false" customHeight="false" outlineLevel="0" collapsed="false">
      <c r="A1217" s="4" t="str">
        <f aca="false">B1217&amp;"|"&amp;C1217</f>
        <v>tdbR00000564 Tyr-GUA|46</v>
      </c>
      <c r="B1217" s="4" t="s">
        <v>53</v>
      </c>
      <c r="C1217" s="4" t="s">
        <v>467</v>
      </c>
      <c r="D1217" s="4" t="n">
        <v>46</v>
      </c>
      <c r="E1217" s="19" t="s">
        <v>197</v>
      </c>
      <c r="F1217" s="20" t="s">
        <v>465</v>
      </c>
    </row>
    <row r="1218" customFormat="false" ht="15" hidden="false" customHeight="false" outlineLevel="0" collapsed="false">
      <c r="A1218" s="4" t="str">
        <f aca="false">B1218&amp;"|"&amp;C1218</f>
        <v>tdbR00000564 Tyr-GUA|47</v>
      </c>
      <c r="B1218" s="4" t="s">
        <v>53</v>
      </c>
      <c r="C1218" s="4" t="s">
        <v>468</v>
      </c>
      <c r="D1218" s="4" t="n">
        <v>47</v>
      </c>
      <c r="E1218" s="19" t="s">
        <v>259</v>
      </c>
      <c r="F1218" s="20" t="s">
        <v>465</v>
      </c>
    </row>
    <row r="1219" customFormat="false" ht="15" hidden="false" customHeight="false" outlineLevel="0" collapsed="false">
      <c r="A1219" s="4" t="str">
        <f aca="false">B1219&amp;"|"&amp;C1219</f>
        <v>tdbR00000564 Tyr-GUA|48</v>
      </c>
      <c r="B1219" s="4" t="s">
        <v>53</v>
      </c>
      <c r="C1219" s="4" t="s">
        <v>469</v>
      </c>
      <c r="D1219" s="4" t="n">
        <v>48</v>
      </c>
      <c r="E1219" s="19" t="s">
        <v>414</v>
      </c>
      <c r="F1219" s="20" t="s">
        <v>465</v>
      </c>
    </row>
    <row r="1220" customFormat="false" ht="15" hidden="false" customHeight="false" outlineLevel="0" collapsed="false">
      <c r="A1220" s="4" t="str">
        <f aca="false">B1220&amp;"|"&amp;C1220</f>
        <v>tdbR00000564 Tyr-GUA|49</v>
      </c>
      <c r="B1220" s="4" t="s">
        <v>53</v>
      </c>
      <c r="C1220" s="4" t="s">
        <v>470</v>
      </c>
      <c r="D1220" s="4" t="n">
        <v>49</v>
      </c>
      <c r="E1220" s="23" t="s">
        <v>197</v>
      </c>
      <c r="F1220" s="10" t="s">
        <v>471</v>
      </c>
    </row>
    <row r="1221" customFormat="false" ht="15" hidden="false" customHeight="false" outlineLevel="0" collapsed="false">
      <c r="A1221" s="4" t="str">
        <f aca="false">B1221&amp;"|"&amp;C1221</f>
        <v>tdbR00000564 Tyr-GUA|50</v>
      </c>
      <c r="B1221" s="4" t="s">
        <v>53</v>
      </c>
      <c r="C1221" s="4" t="s">
        <v>472</v>
      </c>
      <c r="D1221" s="4" t="n">
        <v>50</v>
      </c>
      <c r="E1221" s="23" t="s">
        <v>414</v>
      </c>
      <c r="F1221" s="10" t="s">
        <v>471</v>
      </c>
    </row>
    <row r="1222" customFormat="false" ht="15" hidden="false" customHeight="false" outlineLevel="0" collapsed="false">
      <c r="A1222" s="4" t="str">
        <f aca="false">B1222&amp;"|"&amp;C1222</f>
        <v>tdbR00000564 Tyr-GUA|51</v>
      </c>
      <c r="B1222" s="4" t="s">
        <v>53</v>
      </c>
      <c r="C1222" s="4" t="s">
        <v>473</v>
      </c>
      <c r="D1222" s="4" t="n">
        <v>51</v>
      </c>
      <c r="E1222" s="23" t="s">
        <v>259</v>
      </c>
      <c r="F1222" s="10" t="s">
        <v>471</v>
      </c>
    </row>
    <row r="1223" customFormat="false" ht="15" hidden="false" customHeight="false" outlineLevel="0" collapsed="false">
      <c r="A1223" s="4" t="str">
        <f aca="false">B1223&amp;"|"&amp;C1223</f>
        <v>tdbR00000564 Tyr-GUA|52</v>
      </c>
      <c r="B1223" s="4" t="s">
        <v>53</v>
      </c>
      <c r="C1223" s="4" t="s">
        <v>474</v>
      </c>
      <c r="D1223" s="4" t="n">
        <v>52</v>
      </c>
      <c r="E1223" s="23" t="s">
        <v>197</v>
      </c>
      <c r="F1223" s="10" t="s">
        <v>471</v>
      </c>
    </row>
    <row r="1224" customFormat="false" ht="15" hidden="false" customHeight="false" outlineLevel="0" collapsed="false">
      <c r="A1224" s="4" t="str">
        <f aca="false">B1224&amp;"|"&amp;C1224</f>
        <v>tdbR00000564 Tyr-GUA|53</v>
      </c>
      <c r="B1224" s="4" t="s">
        <v>53</v>
      </c>
      <c r="C1224" s="4" t="s">
        <v>475</v>
      </c>
      <c r="D1224" s="4" t="n">
        <v>53</v>
      </c>
      <c r="E1224" s="23" t="s">
        <v>197</v>
      </c>
      <c r="F1224" s="10" t="s">
        <v>471</v>
      </c>
    </row>
    <row r="1225" customFormat="false" ht="15" hidden="false" customHeight="false" outlineLevel="0" collapsed="false">
      <c r="A1225" s="4" t="str">
        <f aca="false">B1225&amp;"|"&amp;C1225</f>
        <v>tdbR00000564 Tyr-GUA|54</v>
      </c>
      <c r="B1225" s="4" t="s">
        <v>53</v>
      </c>
      <c r="C1225" s="4" t="s">
        <v>476</v>
      </c>
      <c r="D1225" s="4" t="n">
        <v>54</v>
      </c>
      <c r="E1225" s="19" t="s">
        <v>259</v>
      </c>
      <c r="F1225" s="20" t="s">
        <v>477</v>
      </c>
    </row>
    <row r="1226" customFormat="false" ht="15" hidden="false" customHeight="false" outlineLevel="0" collapsed="false">
      <c r="A1226" s="4" t="str">
        <f aca="false">B1226&amp;"|"&amp;C1226</f>
        <v>tdbR00000564 Tyr-GUA|55</v>
      </c>
      <c r="B1226" s="4" t="s">
        <v>53</v>
      </c>
      <c r="C1226" s="4" t="s">
        <v>478</v>
      </c>
      <c r="D1226" s="4" t="n">
        <v>55</v>
      </c>
      <c r="E1226" s="19" t="s">
        <v>259</v>
      </c>
      <c r="F1226" s="20" t="s">
        <v>477</v>
      </c>
    </row>
    <row r="1227" customFormat="false" ht="15" hidden="false" customHeight="false" outlineLevel="0" collapsed="false">
      <c r="A1227" s="4" t="str">
        <f aca="false">B1227&amp;"|"&amp;C1227</f>
        <v>tdbR00000564 Tyr-GUA|56</v>
      </c>
      <c r="B1227" s="4" t="s">
        <v>53</v>
      </c>
      <c r="C1227" s="4" t="s">
        <v>479</v>
      </c>
      <c r="D1227" s="4" t="n">
        <v>56</v>
      </c>
      <c r="E1227" s="19" t="s">
        <v>414</v>
      </c>
      <c r="F1227" s="20" t="s">
        <v>477</v>
      </c>
    </row>
    <row r="1228" customFormat="false" ht="15" hidden="false" customHeight="false" outlineLevel="0" collapsed="false">
      <c r="A1228" s="4" t="str">
        <f aca="false">B1228&amp;"|"&amp;C1228</f>
        <v>tdbR00000564 Tyr-GUA|57</v>
      </c>
      <c r="B1228" s="4" t="s">
        <v>53</v>
      </c>
      <c r="C1228" s="4" t="s">
        <v>480</v>
      </c>
      <c r="D1228" s="4" t="n">
        <v>57</v>
      </c>
      <c r="E1228" s="19" t="s">
        <v>246</v>
      </c>
      <c r="F1228" s="20" t="s">
        <v>477</v>
      </c>
    </row>
    <row r="1229" customFormat="false" ht="15" hidden="false" customHeight="false" outlineLevel="0" collapsed="false">
      <c r="A1229" s="4" t="str">
        <f aca="false">B1229&amp;"|"&amp;C1229</f>
        <v>tdbR00000564 Tyr-GUA|58</v>
      </c>
      <c r="B1229" s="4" t="s">
        <v>53</v>
      </c>
      <c r="C1229" s="4" t="s">
        <v>481</v>
      </c>
      <c r="D1229" s="4" t="n">
        <v>58</v>
      </c>
      <c r="E1229" s="19" t="s">
        <v>246</v>
      </c>
      <c r="F1229" s="20" t="s">
        <v>477</v>
      </c>
    </row>
    <row r="1230" customFormat="false" ht="15" hidden="false" customHeight="false" outlineLevel="0" collapsed="false">
      <c r="A1230" s="4" t="str">
        <f aca="false">B1230&amp;"|"&amp;C1230</f>
        <v>tdbR00000564 Tyr-GUA|59</v>
      </c>
      <c r="B1230" s="4" t="s">
        <v>53</v>
      </c>
      <c r="C1230" s="4" t="s">
        <v>482</v>
      </c>
      <c r="D1230" s="4" t="n">
        <v>59</v>
      </c>
      <c r="E1230" s="19" t="s">
        <v>246</v>
      </c>
      <c r="F1230" s="20" t="s">
        <v>477</v>
      </c>
    </row>
    <row r="1231" customFormat="false" ht="15" hidden="false" customHeight="false" outlineLevel="0" collapsed="false">
      <c r="A1231" s="4" t="str">
        <f aca="false">B1231&amp;"|"&amp;C1231</f>
        <v>tdbR00000564 Tyr-GUA|60</v>
      </c>
      <c r="B1231" s="4" t="s">
        <v>53</v>
      </c>
      <c r="C1231" s="4" t="s">
        <v>483</v>
      </c>
      <c r="D1231" s="4" t="n">
        <v>60</v>
      </c>
      <c r="E1231" s="19" t="s">
        <v>259</v>
      </c>
      <c r="F1231" s="20" t="s">
        <v>477</v>
      </c>
    </row>
    <row r="1232" customFormat="false" ht="15" hidden="false" customHeight="false" outlineLevel="0" collapsed="false">
      <c r="A1232" s="4" t="str">
        <f aca="false">B1232&amp;"|"&amp;C1232</f>
        <v>tdbR00000564 Tyr-GUA|61</v>
      </c>
      <c r="B1232" s="4" t="s">
        <v>53</v>
      </c>
      <c r="C1232" s="4" t="s">
        <v>484</v>
      </c>
      <c r="D1232" s="4" t="n">
        <v>61</v>
      </c>
      <c r="E1232" s="23" t="s">
        <v>414</v>
      </c>
      <c r="F1232" s="10" t="s">
        <v>471</v>
      </c>
    </row>
    <row r="1233" customFormat="false" ht="15" hidden="false" customHeight="false" outlineLevel="0" collapsed="false">
      <c r="A1233" s="4" t="str">
        <f aca="false">B1233&amp;"|"&amp;C1233</f>
        <v>tdbR00000564 Tyr-GUA|62</v>
      </c>
      <c r="B1233" s="4" t="s">
        <v>53</v>
      </c>
      <c r="C1233" s="4" t="s">
        <v>485</v>
      </c>
      <c r="D1233" s="4" t="n">
        <v>62</v>
      </c>
      <c r="E1233" s="23" t="s">
        <v>414</v>
      </c>
      <c r="F1233" s="10" t="s">
        <v>471</v>
      </c>
    </row>
    <row r="1234" customFormat="false" ht="15" hidden="false" customHeight="false" outlineLevel="0" collapsed="false">
      <c r="A1234" s="4" t="str">
        <f aca="false">B1234&amp;"|"&amp;C1234</f>
        <v>tdbR00000564 Tyr-GUA|63</v>
      </c>
      <c r="B1234" s="4" t="s">
        <v>53</v>
      </c>
      <c r="C1234" s="4" t="s">
        <v>486</v>
      </c>
      <c r="D1234" s="4" t="n">
        <v>63</v>
      </c>
      <c r="E1234" s="23" t="s">
        <v>197</v>
      </c>
      <c r="F1234" s="10" t="s">
        <v>471</v>
      </c>
    </row>
    <row r="1235" customFormat="false" ht="15" hidden="false" customHeight="false" outlineLevel="0" collapsed="false">
      <c r="A1235" s="4" t="str">
        <f aca="false">B1235&amp;"|"&amp;C1235</f>
        <v>tdbR00000564 Tyr-GUA|64</v>
      </c>
      <c r="B1235" s="4" t="s">
        <v>53</v>
      </c>
      <c r="C1235" s="4" t="s">
        <v>487</v>
      </c>
      <c r="D1235" s="4" t="n">
        <v>64</v>
      </c>
      <c r="E1235" s="23" t="s">
        <v>197</v>
      </c>
      <c r="F1235" s="10" t="s">
        <v>471</v>
      </c>
    </row>
    <row r="1236" customFormat="false" ht="15" hidden="false" customHeight="false" outlineLevel="0" collapsed="false">
      <c r="A1236" s="4" t="str">
        <f aca="false">B1236&amp;"|"&amp;C1236</f>
        <v>tdbR00000564 Tyr-GUA|65</v>
      </c>
      <c r="B1236" s="4" t="s">
        <v>53</v>
      </c>
      <c r="C1236" s="4" t="s">
        <v>488</v>
      </c>
      <c r="D1236" s="4" t="n">
        <v>65</v>
      </c>
      <c r="E1236" s="23" t="s">
        <v>414</v>
      </c>
      <c r="F1236" s="10" t="s">
        <v>471</v>
      </c>
    </row>
    <row r="1237" customFormat="false" ht="15" hidden="false" customHeight="false" outlineLevel="0" collapsed="false">
      <c r="A1237" s="4" t="str">
        <f aca="false">B1237&amp;"|"&amp;C1237</f>
        <v>tdbR00000564 Tyr-GUA|66</v>
      </c>
      <c r="B1237" s="4" t="s">
        <v>53</v>
      </c>
      <c r="C1237" s="4" t="s">
        <v>489</v>
      </c>
      <c r="D1237" s="4" t="n">
        <v>66</v>
      </c>
      <c r="E1237" s="17" t="s">
        <v>259</v>
      </c>
      <c r="F1237" s="18" t="s">
        <v>412</v>
      </c>
    </row>
    <row r="1238" customFormat="false" ht="15" hidden="false" customHeight="false" outlineLevel="0" collapsed="false">
      <c r="A1238" s="4" t="str">
        <f aca="false">B1238&amp;"|"&amp;C1238</f>
        <v>tdbR00000564 Tyr-GUA|67</v>
      </c>
      <c r="B1238" s="4" t="s">
        <v>53</v>
      </c>
      <c r="C1238" s="4" t="s">
        <v>490</v>
      </c>
      <c r="D1238" s="4" t="n">
        <v>67</v>
      </c>
      <c r="E1238" s="17" t="s">
        <v>414</v>
      </c>
      <c r="F1238" s="18" t="s">
        <v>412</v>
      </c>
    </row>
    <row r="1239" customFormat="false" ht="15" hidden="false" customHeight="false" outlineLevel="0" collapsed="false">
      <c r="A1239" s="4" t="str">
        <f aca="false">B1239&amp;"|"&amp;C1239</f>
        <v>tdbR00000564 Tyr-GUA|68</v>
      </c>
      <c r="B1239" s="4" t="s">
        <v>53</v>
      </c>
      <c r="C1239" s="4" t="s">
        <v>491</v>
      </c>
      <c r="D1239" s="4" t="n">
        <v>68</v>
      </c>
      <c r="E1239" s="17" t="s">
        <v>197</v>
      </c>
      <c r="F1239" s="18" t="s">
        <v>412</v>
      </c>
    </row>
    <row r="1240" customFormat="false" ht="15" hidden="false" customHeight="false" outlineLevel="0" collapsed="false">
      <c r="A1240" s="4" t="str">
        <f aca="false">B1240&amp;"|"&amp;C1240</f>
        <v>tdbR00000564 Tyr-GUA|69</v>
      </c>
      <c r="B1240" s="4" t="s">
        <v>53</v>
      </c>
      <c r="C1240" s="4" t="s">
        <v>492</v>
      </c>
      <c r="D1240" s="4" t="n">
        <v>69</v>
      </c>
      <c r="E1240" s="17" t="s">
        <v>246</v>
      </c>
      <c r="F1240" s="18" t="s">
        <v>412</v>
      </c>
    </row>
    <row r="1241" customFormat="false" ht="15" hidden="false" customHeight="false" outlineLevel="0" collapsed="false">
      <c r="A1241" s="4" t="str">
        <f aca="false">B1241&amp;"|"&amp;C1241</f>
        <v>tdbR00000564 Tyr-GUA|70</v>
      </c>
      <c r="B1241" s="4" t="s">
        <v>53</v>
      </c>
      <c r="C1241" s="4" t="s">
        <v>493</v>
      </c>
      <c r="D1241" s="4" t="n">
        <v>70</v>
      </c>
      <c r="E1241" s="17" t="s">
        <v>246</v>
      </c>
      <c r="F1241" s="18" t="s">
        <v>412</v>
      </c>
    </row>
    <row r="1242" customFormat="false" ht="15" hidden="false" customHeight="false" outlineLevel="0" collapsed="false">
      <c r="A1242" s="4" t="str">
        <f aca="false">B1242&amp;"|"&amp;C1242</f>
        <v>tdbR00000564 Tyr-GUA|71</v>
      </c>
      <c r="B1242" s="4" t="s">
        <v>53</v>
      </c>
      <c r="C1242" s="4" t="s">
        <v>494</v>
      </c>
      <c r="D1242" s="4" t="n">
        <v>71</v>
      </c>
      <c r="E1242" s="17" t="s">
        <v>197</v>
      </c>
      <c r="F1242" s="18" t="s">
        <v>412</v>
      </c>
    </row>
    <row r="1243" customFormat="false" ht="15" hidden="false" customHeight="false" outlineLevel="0" collapsed="false">
      <c r="A1243" s="4" t="str">
        <f aca="false">B1243&amp;"|"&amp;C1243</f>
        <v>tdbR00000564 Tyr-GUA|72</v>
      </c>
      <c r="B1243" s="4" t="s">
        <v>53</v>
      </c>
      <c r="C1243" s="4" t="s">
        <v>495</v>
      </c>
      <c r="D1243" s="4" t="n">
        <v>72</v>
      </c>
      <c r="E1243" s="17" t="s">
        <v>197</v>
      </c>
      <c r="F1243" s="18" t="s">
        <v>412</v>
      </c>
    </row>
    <row r="1244" customFormat="false" ht="15" hidden="false" customHeight="false" outlineLevel="0" collapsed="false">
      <c r="A1244" s="4" t="str">
        <f aca="false">B1244&amp;"|"&amp;C1244</f>
        <v>tdbR00000473 Val-CAC|1</v>
      </c>
      <c r="B1244" s="4" t="s">
        <v>54</v>
      </c>
      <c r="C1244" s="4" t="s">
        <v>411</v>
      </c>
      <c r="D1244" s="4" t="n">
        <v>1</v>
      </c>
      <c r="E1244" s="17" t="s">
        <v>197</v>
      </c>
      <c r="F1244" s="18" t="s">
        <v>412</v>
      </c>
    </row>
    <row r="1245" customFormat="false" ht="15" hidden="false" customHeight="false" outlineLevel="0" collapsed="false">
      <c r="A1245" s="4" t="str">
        <f aca="false">B1245&amp;"|"&amp;C1245</f>
        <v>tdbR00000473 Val-CAC|2</v>
      </c>
      <c r="B1245" s="4" t="s">
        <v>54</v>
      </c>
      <c r="C1245" s="4" t="s">
        <v>413</v>
      </c>
      <c r="D1245" s="4" t="n">
        <v>2</v>
      </c>
      <c r="E1245" s="17" t="s">
        <v>259</v>
      </c>
      <c r="F1245" s="18" t="s">
        <v>412</v>
      </c>
    </row>
    <row r="1246" customFormat="false" ht="15" hidden="false" customHeight="false" outlineLevel="0" collapsed="false">
      <c r="A1246" s="4" t="str">
        <f aca="false">B1246&amp;"|"&amp;C1246</f>
        <v>tdbR00000473 Val-CAC|3</v>
      </c>
      <c r="B1246" s="4" t="s">
        <v>54</v>
      </c>
      <c r="C1246" s="4" t="s">
        <v>415</v>
      </c>
      <c r="D1246" s="4" t="n">
        <v>3</v>
      </c>
      <c r="E1246" s="17" t="s">
        <v>259</v>
      </c>
      <c r="F1246" s="18" t="s">
        <v>412</v>
      </c>
    </row>
    <row r="1247" customFormat="false" ht="15" hidden="false" customHeight="false" outlineLevel="0" collapsed="false">
      <c r="A1247" s="4" t="str">
        <f aca="false">B1247&amp;"|"&amp;C1247</f>
        <v>tdbR00000473 Val-CAC|4</v>
      </c>
      <c r="B1247" s="4" t="s">
        <v>54</v>
      </c>
      <c r="C1247" s="4" t="s">
        <v>416</v>
      </c>
      <c r="D1247" s="4" t="n">
        <v>4</v>
      </c>
      <c r="E1247" s="17" t="s">
        <v>259</v>
      </c>
      <c r="F1247" s="18" t="s">
        <v>412</v>
      </c>
    </row>
    <row r="1248" customFormat="false" ht="15" hidden="false" customHeight="false" outlineLevel="0" collapsed="false">
      <c r="A1248" s="4" t="str">
        <f aca="false">B1248&amp;"|"&amp;C1248</f>
        <v>tdbR00000473 Val-CAC|5</v>
      </c>
      <c r="B1248" s="4" t="s">
        <v>54</v>
      </c>
      <c r="C1248" s="4" t="s">
        <v>417</v>
      </c>
      <c r="D1248" s="4" t="n">
        <v>5</v>
      </c>
      <c r="E1248" s="17" t="s">
        <v>414</v>
      </c>
      <c r="F1248" s="18" t="s">
        <v>412</v>
      </c>
    </row>
    <row r="1249" customFormat="false" ht="15" hidden="false" customHeight="false" outlineLevel="0" collapsed="false">
      <c r="A1249" s="4" t="str">
        <f aca="false">B1249&amp;"|"&amp;C1249</f>
        <v>tdbR00000473 Val-CAC|6</v>
      </c>
      <c r="B1249" s="4" t="s">
        <v>54</v>
      </c>
      <c r="C1249" s="4" t="s">
        <v>418</v>
      </c>
      <c r="D1249" s="4" t="n">
        <v>6</v>
      </c>
      <c r="E1249" s="17" t="s">
        <v>414</v>
      </c>
      <c r="F1249" s="18" t="s">
        <v>412</v>
      </c>
    </row>
    <row r="1250" customFormat="false" ht="15" hidden="false" customHeight="false" outlineLevel="0" collapsed="false">
      <c r="A1250" s="4" t="str">
        <f aca="false">B1250&amp;"|"&amp;C1250</f>
        <v>tdbR00000473 Val-CAC|7</v>
      </c>
      <c r="B1250" s="4" t="s">
        <v>54</v>
      </c>
      <c r="C1250" s="4" t="s">
        <v>419</v>
      </c>
      <c r="D1250" s="4" t="n">
        <v>7</v>
      </c>
      <c r="E1250" s="17" t="s">
        <v>197</v>
      </c>
      <c r="F1250" s="18" t="s">
        <v>412</v>
      </c>
    </row>
    <row r="1251" customFormat="false" ht="15" hidden="false" customHeight="false" outlineLevel="0" collapsed="false">
      <c r="A1251" s="4" t="str">
        <f aca="false">B1251&amp;"|"&amp;C1251</f>
        <v>tdbR00000473 Val-CAC|8</v>
      </c>
      <c r="B1251" s="4" t="s">
        <v>54</v>
      </c>
      <c r="C1251" s="4" t="s">
        <v>420</v>
      </c>
      <c r="D1251" s="4" t="n">
        <v>8</v>
      </c>
      <c r="E1251" s="3" t="s">
        <v>259</v>
      </c>
      <c r="F1251" s="4" t="s">
        <v>421</v>
      </c>
    </row>
    <row r="1252" customFormat="false" ht="15" hidden="false" customHeight="false" outlineLevel="0" collapsed="false">
      <c r="A1252" s="4" t="str">
        <f aca="false">B1252&amp;"|"&amp;C1252</f>
        <v>tdbR00000473 Val-CAC|9</v>
      </c>
      <c r="B1252" s="4" t="s">
        <v>54</v>
      </c>
      <c r="C1252" s="4" t="s">
        <v>422</v>
      </c>
      <c r="D1252" s="4" t="n">
        <v>9</v>
      </c>
      <c r="E1252" s="3" t="s">
        <v>246</v>
      </c>
      <c r="F1252" s="4" t="s">
        <v>423</v>
      </c>
    </row>
    <row r="1253" customFormat="false" ht="15" hidden="false" customHeight="false" outlineLevel="0" collapsed="false">
      <c r="A1253" s="4" t="str">
        <f aca="false">B1253&amp;"|"&amp;C1253</f>
        <v>tdbR00000473 Val-CAC|10</v>
      </c>
      <c r="B1253" s="4" t="s">
        <v>54</v>
      </c>
      <c r="C1253" s="4" t="s">
        <v>424</v>
      </c>
      <c r="D1253" s="4" t="n">
        <v>10</v>
      </c>
      <c r="E1253" s="8" t="s">
        <v>197</v>
      </c>
      <c r="F1253" s="7" t="s">
        <v>425</v>
      </c>
    </row>
    <row r="1254" customFormat="false" ht="15" hidden="false" customHeight="false" outlineLevel="0" collapsed="false">
      <c r="A1254" s="4" t="str">
        <f aca="false">B1254&amp;"|"&amp;C1254</f>
        <v>tdbR00000473 Val-CAC|11</v>
      </c>
      <c r="B1254" s="4" t="s">
        <v>54</v>
      </c>
      <c r="C1254" s="4" t="s">
        <v>426</v>
      </c>
      <c r="D1254" s="4" t="n">
        <v>11</v>
      </c>
      <c r="E1254" s="8" t="s">
        <v>259</v>
      </c>
      <c r="F1254" s="7" t="s">
        <v>425</v>
      </c>
    </row>
    <row r="1255" customFormat="false" ht="15" hidden="false" customHeight="false" outlineLevel="0" collapsed="false">
      <c r="A1255" s="4" t="str">
        <f aca="false">B1255&amp;"|"&amp;C1255</f>
        <v>tdbR00000473 Val-CAC|12</v>
      </c>
      <c r="B1255" s="4" t="s">
        <v>54</v>
      </c>
      <c r="C1255" s="4" t="s">
        <v>427</v>
      </c>
      <c r="D1255" s="4" t="n">
        <v>12</v>
      </c>
      <c r="E1255" s="8" t="s">
        <v>197</v>
      </c>
      <c r="F1255" s="7" t="s">
        <v>425</v>
      </c>
    </row>
    <row r="1256" customFormat="false" ht="15" hidden="false" customHeight="false" outlineLevel="0" collapsed="false">
      <c r="A1256" s="4" t="str">
        <f aca="false">B1256&amp;"|"&amp;C1256</f>
        <v>tdbR00000473 Val-CAC|13</v>
      </c>
      <c r="B1256" s="4" t="s">
        <v>54</v>
      </c>
      <c r="C1256" s="4" t="s">
        <v>428</v>
      </c>
      <c r="D1256" s="4" t="n">
        <v>13</v>
      </c>
      <c r="E1256" s="8" t="s">
        <v>259</v>
      </c>
      <c r="F1256" s="7" t="s">
        <v>425</v>
      </c>
    </row>
    <row r="1257" customFormat="false" ht="15" hidden="false" customHeight="false" outlineLevel="0" collapsed="false">
      <c r="A1257" s="4" t="str">
        <f aca="false">B1257&amp;"|"&amp;C1257</f>
        <v>tdbR00000473 Val-CAC|14</v>
      </c>
      <c r="B1257" s="4" t="s">
        <v>54</v>
      </c>
      <c r="C1257" s="4" t="s">
        <v>429</v>
      </c>
      <c r="D1257" s="4" t="n">
        <v>14</v>
      </c>
      <c r="E1257" s="19" t="s">
        <v>246</v>
      </c>
      <c r="F1257" s="20" t="s">
        <v>430</v>
      </c>
    </row>
    <row r="1258" customFormat="false" ht="15" hidden="false" customHeight="false" outlineLevel="0" collapsed="false">
      <c r="A1258" s="4" t="str">
        <f aca="false">B1258&amp;"|"&amp;C1258</f>
        <v>tdbR00000473 Val-CAC|15</v>
      </c>
      <c r="B1258" s="4" t="s">
        <v>54</v>
      </c>
      <c r="C1258" s="4" t="s">
        <v>431</v>
      </c>
      <c r="D1258" s="4" t="n">
        <v>15</v>
      </c>
      <c r="E1258" s="19" t="s">
        <v>197</v>
      </c>
      <c r="F1258" s="20" t="s">
        <v>430</v>
      </c>
    </row>
    <row r="1259" customFormat="false" ht="15" hidden="false" customHeight="false" outlineLevel="0" collapsed="false">
      <c r="A1259" s="4" t="str">
        <f aca="false">B1259&amp;"|"&amp;C1259</f>
        <v>tdbR00000473 Val-CAC|16</v>
      </c>
      <c r="B1259" s="4" t="s">
        <v>54</v>
      </c>
      <c r="C1259" s="4" t="s">
        <v>432</v>
      </c>
      <c r="D1259" s="4" t="n">
        <v>16</v>
      </c>
      <c r="E1259" s="19" t="s">
        <v>414</v>
      </c>
      <c r="F1259" s="20" t="s">
        <v>430</v>
      </c>
    </row>
    <row r="1260" customFormat="false" ht="15" hidden="false" customHeight="false" outlineLevel="0" collapsed="false">
      <c r="A1260" s="4" t="str">
        <f aca="false">B1260&amp;"|"&amp;C1260</f>
        <v>tdbR00000473 Val-CAC|18</v>
      </c>
      <c r="B1260" s="4" t="s">
        <v>54</v>
      </c>
      <c r="C1260" s="4" t="s">
        <v>434</v>
      </c>
      <c r="D1260" s="4" t="n">
        <v>17</v>
      </c>
      <c r="E1260" s="19" t="s">
        <v>197</v>
      </c>
      <c r="F1260" s="20" t="s">
        <v>430</v>
      </c>
    </row>
    <row r="1261" customFormat="false" ht="15" hidden="false" customHeight="false" outlineLevel="0" collapsed="false">
      <c r="A1261" s="4" t="str">
        <f aca="false">B1261&amp;"|"&amp;C1261</f>
        <v>tdbR00000473 Val-CAC|19</v>
      </c>
      <c r="B1261" s="4" t="s">
        <v>54</v>
      </c>
      <c r="C1261" s="4" t="s">
        <v>435</v>
      </c>
      <c r="D1261" s="4" t="n">
        <v>18</v>
      </c>
      <c r="E1261" s="19" t="s">
        <v>197</v>
      </c>
      <c r="F1261" s="20" t="s">
        <v>430</v>
      </c>
    </row>
    <row r="1262" customFormat="false" ht="15" hidden="false" customHeight="false" outlineLevel="0" collapsed="false">
      <c r="A1262" s="4" t="str">
        <f aca="false">B1262&amp;"|"&amp;C1262</f>
        <v>tdbR00000473 Val-CAC|20</v>
      </c>
      <c r="B1262" s="4" t="s">
        <v>54</v>
      </c>
      <c r="C1262" s="4" t="s">
        <v>436</v>
      </c>
      <c r="D1262" s="4" t="n">
        <v>19</v>
      </c>
      <c r="E1262" s="19" t="s">
        <v>259</v>
      </c>
      <c r="F1262" s="20" t="s">
        <v>430</v>
      </c>
    </row>
    <row r="1263" customFormat="false" ht="15" hidden="false" customHeight="false" outlineLevel="0" collapsed="false">
      <c r="A1263" s="4" t="str">
        <f aca="false">B1263&amp;"|"&amp;C1263</f>
        <v>tdbR00000473 Val-CAC|20a</v>
      </c>
      <c r="B1263" s="4" t="s">
        <v>54</v>
      </c>
      <c r="C1263" s="4" t="s">
        <v>437</v>
      </c>
      <c r="D1263" s="4" t="n">
        <v>20</v>
      </c>
      <c r="E1263" s="19" t="s">
        <v>259</v>
      </c>
      <c r="F1263" s="20" t="s">
        <v>430</v>
      </c>
    </row>
    <row r="1264" customFormat="false" ht="15" hidden="false" customHeight="false" outlineLevel="0" collapsed="false">
      <c r="A1264" s="4" t="str">
        <f aca="false">B1264&amp;"|"&amp;C1264</f>
        <v>tdbR00000473 Val-CAC|21</v>
      </c>
      <c r="B1264" s="4" t="s">
        <v>54</v>
      </c>
      <c r="C1264" s="4" t="s">
        <v>438</v>
      </c>
      <c r="D1264" s="4" t="n">
        <v>21</v>
      </c>
      <c r="E1264" s="19" t="s">
        <v>246</v>
      </c>
      <c r="F1264" s="20" t="s">
        <v>430</v>
      </c>
    </row>
    <row r="1265" customFormat="false" ht="15" hidden="false" customHeight="false" outlineLevel="0" collapsed="false">
      <c r="A1265" s="4" t="str">
        <f aca="false">B1265&amp;"|"&amp;C1265</f>
        <v>tdbR00000473 Val-CAC|22</v>
      </c>
      <c r="B1265" s="4" t="s">
        <v>54</v>
      </c>
      <c r="C1265" s="4" t="s">
        <v>439</v>
      </c>
      <c r="D1265" s="4" t="n">
        <v>22</v>
      </c>
      <c r="E1265" s="8" t="s">
        <v>259</v>
      </c>
      <c r="F1265" s="7" t="s">
        <v>425</v>
      </c>
    </row>
    <row r="1266" customFormat="false" ht="15" hidden="false" customHeight="false" outlineLevel="0" collapsed="false">
      <c r="A1266" s="4" t="str">
        <f aca="false">B1266&amp;"|"&amp;C1266</f>
        <v>tdbR00000473 Val-CAC|23</v>
      </c>
      <c r="B1266" s="4" t="s">
        <v>54</v>
      </c>
      <c r="C1266" s="4" t="s">
        <v>440</v>
      </c>
      <c r="D1266" s="4" t="n">
        <v>23</v>
      </c>
      <c r="E1266" s="8" t="s">
        <v>414</v>
      </c>
      <c r="F1266" s="7" t="s">
        <v>425</v>
      </c>
    </row>
    <row r="1267" customFormat="false" ht="15" hidden="false" customHeight="false" outlineLevel="0" collapsed="false">
      <c r="A1267" s="4" t="str">
        <f aca="false">B1267&amp;"|"&amp;C1267</f>
        <v>tdbR00000473 Val-CAC|24</v>
      </c>
      <c r="B1267" s="4" t="s">
        <v>54</v>
      </c>
      <c r="C1267" s="4" t="s">
        <v>441</v>
      </c>
      <c r="D1267" s="4" t="n">
        <v>24</v>
      </c>
      <c r="E1267" s="8" t="s">
        <v>246</v>
      </c>
      <c r="F1267" s="7" t="s">
        <v>425</v>
      </c>
    </row>
    <row r="1268" customFormat="false" ht="15" hidden="false" customHeight="false" outlineLevel="0" collapsed="false">
      <c r="A1268" s="4" t="str">
        <f aca="false">B1268&amp;"|"&amp;C1268</f>
        <v>tdbR00000473 Val-CAC|25</v>
      </c>
      <c r="B1268" s="4" t="s">
        <v>54</v>
      </c>
      <c r="C1268" s="4" t="s">
        <v>442</v>
      </c>
      <c r="D1268" s="4" t="n">
        <v>25</v>
      </c>
      <c r="E1268" s="8" t="s">
        <v>414</v>
      </c>
      <c r="F1268" s="7" t="s">
        <v>425</v>
      </c>
    </row>
    <row r="1269" customFormat="false" ht="15" hidden="false" customHeight="false" outlineLevel="0" collapsed="false">
      <c r="A1269" s="4" t="str">
        <f aca="false">B1269&amp;"|"&amp;C1269</f>
        <v>tdbR00000473 Val-CAC|26</v>
      </c>
      <c r="B1269" s="4" t="s">
        <v>54</v>
      </c>
      <c r="C1269" s="4" t="s">
        <v>443</v>
      </c>
      <c r="D1269" s="4" t="n">
        <v>26</v>
      </c>
      <c r="E1269" s="3" t="s">
        <v>197</v>
      </c>
      <c r="F1269" s="4" t="s">
        <v>444</v>
      </c>
    </row>
    <row r="1270" customFormat="false" ht="15" hidden="false" customHeight="false" outlineLevel="0" collapsed="false">
      <c r="A1270" s="4" t="str">
        <f aca="false">B1270&amp;"|"&amp;C1270</f>
        <v>tdbR00000473 Val-CAC|27</v>
      </c>
      <c r="B1270" s="4" t="s">
        <v>54</v>
      </c>
      <c r="C1270" s="4" t="s">
        <v>445</v>
      </c>
      <c r="D1270" s="4" t="n">
        <v>27</v>
      </c>
      <c r="E1270" s="21" t="s">
        <v>259</v>
      </c>
      <c r="F1270" s="22" t="s">
        <v>446</v>
      </c>
    </row>
    <row r="1271" customFormat="false" ht="15" hidden="false" customHeight="false" outlineLevel="0" collapsed="false">
      <c r="A1271" s="4" t="str">
        <f aca="false">B1271&amp;"|"&amp;C1271</f>
        <v>tdbR00000473 Val-CAC|28</v>
      </c>
      <c r="B1271" s="4" t="s">
        <v>54</v>
      </c>
      <c r="C1271" s="4" t="s">
        <v>447</v>
      </c>
      <c r="D1271" s="4" t="n">
        <v>28</v>
      </c>
      <c r="E1271" s="21" t="s">
        <v>197</v>
      </c>
      <c r="F1271" s="22" t="s">
        <v>446</v>
      </c>
    </row>
    <row r="1272" customFormat="false" ht="15" hidden="false" customHeight="false" outlineLevel="0" collapsed="false">
      <c r="A1272" s="4" t="str">
        <f aca="false">B1272&amp;"|"&amp;C1272</f>
        <v>tdbR00000473 Val-CAC|29</v>
      </c>
      <c r="B1272" s="4" t="s">
        <v>54</v>
      </c>
      <c r="C1272" s="4" t="s">
        <v>448</v>
      </c>
      <c r="D1272" s="4" t="n">
        <v>29</v>
      </c>
      <c r="E1272" s="21" t="s">
        <v>259</v>
      </c>
      <c r="F1272" s="22" t="s">
        <v>446</v>
      </c>
    </row>
    <row r="1273" customFormat="false" ht="15" hidden="false" customHeight="false" outlineLevel="0" collapsed="false">
      <c r="A1273" s="4" t="str">
        <f aca="false">B1273&amp;"|"&amp;C1273</f>
        <v>tdbR00000473 Val-CAC|30</v>
      </c>
      <c r="B1273" s="4" t="s">
        <v>54</v>
      </c>
      <c r="C1273" s="4" t="s">
        <v>449</v>
      </c>
      <c r="D1273" s="4" t="n">
        <v>30</v>
      </c>
      <c r="E1273" s="21" t="s">
        <v>197</v>
      </c>
      <c r="F1273" s="22" t="s">
        <v>446</v>
      </c>
    </row>
    <row r="1274" customFormat="false" ht="15" hidden="false" customHeight="false" outlineLevel="0" collapsed="false">
      <c r="A1274" s="4" t="str">
        <f aca="false">B1274&amp;"|"&amp;C1274</f>
        <v>tdbR00000473 Val-CAC|31</v>
      </c>
      <c r="B1274" s="4" t="s">
        <v>54</v>
      </c>
      <c r="C1274" s="4" t="s">
        <v>450</v>
      </c>
      <c r="D1274" s="4" t="n">
        <v>31</v>
      </c>
      <c r="E1274" s="21" t="s">
        <v>414</v>
      </c>
      <c r="F1274" s="22" t="s">
        <v>446</v>
      </c>
    </row>
    <row r="1275" customFormat="false" ht="15" hidden="false" customHeight="false" outlineLevel="0" collapsed="false">
      <c r="A1275" s="4" t="str">
        <f aca="false">B1275&amp;"|"&amp;C1275</f>
        <v>tdbR00000473 Val-CAC|32</v>
      </c>
      <c r="B1275" s="4" t="s">
        <v>54</v>
      </c>
      <c r="C1275" s="4" t="s">
        <v>451</v>
      </c>
      <c r="D1275" s="4" t="n">
        <v>32</v>
      </c>
      <c r="E1275" s="19" t="s">
        <v>259</v>
      </c>
      <c r="F1275" s="20" t="s">
        <v>452</v>
      </c>
    </row>
    <row r="1276" customFormat="false" ht="15" hidden="false" customHeight="false" outlineLevel="0" collapsed="false">
      <c r="A1276" s="4" t="str">
        <f aca="false">B1276&amp;"|"&amp;C1276</f>
        <v>tdbR00000473 Val-CAC|33</v>
      </c>
      <c r="B1276" s="4" t="s">
        <v>54</v>
      </c>
      <c r="C1276" s="4" t="s">
        <v>453</v>
      </c>
      <c r="D1276" s="4" t="n">
        <v>33</v>
      </c>
      <c r="E1276" s="19" t="s">
        <v>259</v>
      </c>
      <c r="F1276" s="20" t="s">
        <v>452</v>
      </c>
    </row>
    <row r="1277" customFormat="false" ht="15" hidden="false" customHeight="false" outlineLevel="0" collapsed="false">
      <c r="A1277" s="4" t="str">
        <f aca="false">B1277&amp;"|"&amp;C1277</f>
        <v>tdbR00000473 Val-CAC|34</v>
      </c>
      <c r="B1277" s="4" t="s">
        <v>54</v>
      </c>
      <c r="C1277" s="4" t="s">
        <v>454</v>
      </c>
      <c r="D1277" s="4" t="n">
        <v>34</v>
      </c>
      <c r="E1277" s="19" t="s">
        <v>414</v>
      </c>
      <c r="F1277" s="20" t="s">
        <v>452</v>
      </c>
    </row>
    <row r="1278" customFormat="false" ht="15" hidden="false" customHeight="false" outlineLevel="0" collapsed="false">
      <c r="A1278" s="4" t="str">
        <f aca="false">B1278&amp;"|"&amp;C1278</f>
        <v>tdbR00000473 Val-CAC|35</v>
      </c>
      <c r="B1278" s="4" t="s">
        <v>54</v>
      </c>
      <c r="C1278" s="4" t="s">
        <v>455</v>
      </c>
      <c r="D1278" s="4" t="n">
        <v>35</v>
      </c>
      <c r="E1278" s="19" t="s">
        <v>246</v>
      </c>
      <c r="F1278" s="20" t="s">
        <v>452</v>
      </c>
    </row>
    <row r="1279" customFormat="false" ht="15" hidden="false" customHeight="false" outlineLevel="0" collapsed="false">
      <c r="A1279" s="4" t="str">
        <f aca="false">B1279&amp;"|"&amp;C1279</f>
        <v>tdbR00000473 Val-CAC|36</v>
      </c>
      <c r="B1279" s="4" t="s">
        <v>54</v>
      </c>
      <c r="C1279" s="4" t="s">
        <v>456</v>
      </c>
      <c r="D1279" s="4" t="n">
        <v>36</v>
      </c>
      <c r="E1279" s="19" t="s">
        <v>414</v>
      </c>
      <c r="F1279" s="20" t="s">
        <v>452</v>
      </c>
    </row>
    <row r="1280" customFormat="false" ht="15" hidden="false" customHeight="false" outlineLevel="0" collapsed="false">
      <c r="A1280" s="4" t="str">
        <f aca="false">B1280&amp;"|"&amp;C1280</f>
        <v>tdbR00000473 Val-CAC|37</v>
      </c>
      <c r="B1280" s="4" t="s">
        <v>54</v>
      </c>
      <c r="C1280" s="4" t="s">
        <v>457</v>
      </c>
      <c r="D1280" s="4" t="n">
        <v>37</v>
      </c>
      <c r="E1280" s="19" t="s">
        <v>246</v>
      </c>
      <c r="F1280" s="20" t="s">
        <v>452</v>
      </c>
    </row>
    <row r="1281" customFormat="false" ht="15" hidden="false" customHeight="false" outlineLevel="0" collapsed="false">
      <c r="A1281" s="4" t="str">
        <f aca="false">B1281&amp;"|"&amp;C1281</f>
        <v>tdbR00000473 Val-CAC|38</v>
      </c>
      <c r="B1281" s="4" t="s">
        <v>54</v>
      </c>
      <c r="C1281" s="4" t="s">
        <v>458</v>
      </c>
      <c r="D1281" s="4" t="n">
        <v>38</v>
      </c>
      <c r="E1281" s="19" t="s">
        <v>414</v>
      </c>
      <c r="F1281" s="20" t="s">
        <v>452</v>
      </c>
    </row>
    <row r="1282" customFormat="false" ht="15" hidden="false" customHeight="false" outlineLevel="0" collapsed="false">
      <c r="A1282" s="4" t="str">
        <f aca="false">B1282&amp;"|"&amp;C1282</f>
        <v>tdbR00000473 Val-CAC|39</v>
      </c>
      <c r="B1282" s="4" t="s">
        <v>54</v>
      </c>
      <c r="C1282" s="4" t="s">
        <v>459</v>
      </c>
      <c r="D1282" s="4" t="n">
        <v>39</v>
      </c>
      <c r="E1282" s="21" t="s">
        <v>197</v>
      </c>
      <c r="F1282" s="22" t="s">
        <v>446</v>
      </c>
    </row>
    <row r="1283" customFormat="false" ht="15" hidden="false" customHeight="false" outlineLevel="0" collapsed="false">
      <c r="A1283" s="4" t="str">
        <f aca="false">B1283&amp;"|"&amp;C1283</f>
        <v>tdbR00000473 Val-CAC|40</v>
      </c>
      <c r="B1283" s="4" t="s">
        <v>54</v>
      </c>
      <c r="C1283" s="4" t="s">
        <v>460</v>
      </c>
      <c r="D1283" s="4" t="n">
        <v>40</v>
      </c>
      <c r="E1283" s="21" t="s">
        <v>414</v>
      </c>
      <c r="F1283" s="22" t="s">
        <v>446</v>
      </c>
    </row>
    <row r="1284" customFormat="false" ht="15" hidden="false" customHeight="false" outlineLevel="0" collapsed="false">
      <c r="A1284" s="4" t="str">
        <f aca="false">B1284&amp;"|"&amp;C1284</f>
        <v>tdbR00000473 Val-CAC|41</v>
      </c>
      <c r="B1284" s="4" t="s">
        <v>54</v>
      </c>
      <c r="C1284" s="4" t="s">
        <v>461</v>
      </c>
      <c r="D1284" s="4" t="n">
        <v>41</v>
      </c>
      <c r="E1284" s="21" t="s">
        <v>246</v>
      </c>
      <c r="F1284" s="22" t="s">
        <v>446</v>
      </c>
    </row>
    <row r="1285" customFormat="false" ht="15" hidden="false" customHeight="false" outlineLevel="0" collapsed="false">
      <c r="A1285" s="4" t="str">
        <f aca="false">B1285&amp;"|"&amp;C1285</f>
        <v>tdbR00000473 Val-CAC|42</v>
      </c>
      <c r="B1285" s="4" t="s">
        <v>54</v>
      </c>
      <c r="C1285" s="4" t="s">
        <v>462</v>
      </c>
      <c r="D1285" s="4" t="n">
        <v>42</v>
      </c>
      <c r="E1285" s="21" t="s">
        <v>414</v>
      </c>
      <c r="F1285" s="22" t="s">
        <v>446</v>
      </c>
    </row>
    <row r="1286" customFormat="false" ht="15" hidden="false" customHeight="false" outlineLevel="0" collapsed="false">
      <c r="A1286" s="4" t="str">
        <f aca="false">B1286&amp;"|"&amp;C1286</f>
        <v>tdbR00000473 Val-CAC|43</v>
      </c>
      <c r="B1286" s="4" t="s">
        <v>54</v>
      </c>
      <c r="C1286" s="4" t="s">
        <v>463</v>
      </c>
      <c r="D1286" s="4" t="n">
        <v>43</v>
      </c>
      <c r="E1286" s="21" t="s">
        <v>246</v>
      </c>
      <c r="F1286" s="22" t="s">
        <v>446</v>
      </c>
    </row>
    <row r="1287" customFormat="false" ht="15" hidden="false" customHeight="false" outlineLevel="0" collapsed="false">
      <c r="A1287" s="4" t="str">
        <f aca="false">B1287&amp;"|"&amp;C1287</f>
        <v>tdbR00000473 Val-CAC|44</v>
      </c>
      <c r="B1287" s="4" t="s">
        <v>54</v>
      </c>
      <c r="C1287" s="4" t="s">
        <v>464</v>
      </c>
      <c r="D1287" s="4" t="n">
        <v>44</v>
      </c>
      <c r="E1287" s="19" t="s">
        <v>246</v>
      </c>
      <c r="F1287" s="20" t="s">
        <v>465</v>
      </c>
    </row>
    <row r="1288" customFormat="false" ht="15" hidden="false" customHeight="false" outlineLevel="0" collapsed="false">
      <c r="A1288" s="4" t="str">
        <f aca="false">B1288&amp;"|"&amp;C1288</f>
        <v>tdbR00000473 Val-CAC|45</v>
      </c>
      <c r="B1288" s="4" t="s">
        <v>54</v>
      </c>
      <c r="C1288" s="4" t="s">
        <v>466</v>
      </c>
      <c r="D1288" s="4" t="n">
        <v>45</v>
      </c>
      <c r="E1288" s="19" t="s">
        <v>197</v>
      </c>
      <c r="F1288" s="20" t="s">
        <v>465</v>
      </c>
    </row>
    <row r="1289" customFormat="false" ht="15" hidden="false" customHeight="false" outlineLevel="0" collapsed="false">
      <c r="A1289" s="4" t="str">
        <f aca="false">B1289&amp;"|"&amp;C1289</f>
        <v>tdbR00000473 Val-CAC|46</v>
      </c>
      <c r="B1289" s="4" t="s">
        <v>54</v>
      </c>
      <c r="C1289" s="4" t="s">
        <v>467</v>
      </c>
      <c r="D1289" s="4" t="n">
        <v>46</v>
      </c>
      <c r="E1289" s="19" t="s">
        <v>197</v>
      </c>
      <c r="F1289" s="20" t="s">
        <v>465</v>
      </c>
    </row>
    <row r="1290" customFormat="false" ht="15" hidden="false" customHeight="false" outlineLevel="0" collapsed="false">
      <c r="A1290" s="4" t="str">
        <f aca="false">B1290&amp;"|"&amp;C1290</f>
        <v>tdbR00000473 Val-CAC|47</v>
      </c>
      <c r="B1290" s="4" t="s">
        <v>54</v>
      </c>
      <c r="C1290" s="4" t="s">
        <v>468</v>
      </c>
      <c r="D1290" s="4" t="n">
        <v>47</v>
      </c>
      <c r="E1290" s="19" t="s">
        <v>259</v>
      </c>
      <c r="F1290" s="20" t="s">
        <v>465</v>
      </c>
    </row>
    <row r="1291" customFormat="false" ht="15" hidden="false" customHeight="false" outlineLevel="0" collapsed="false">
      <c r="A1291" s="4" t="str">
        <f aca="false">B1291&amp;"|"&amp;C1291</f>
        <v>tdbR00000473 Val-CAC|48</v>
      </c>
      <c r="B1291" s="4" t="s">
        <v>54</v>
      </c>
      <c r="C1291" s="4" t="s">
        <v>469</v>
      </c>
      <c r="D1291" s="4" t="n">
        <v>48</v>
      </c>
      <c r="E1291" s="19" t="s">
        <v>414</v>
      </c>
      <c r="F1291" s="20" t="s">
        <v>465</v>
      </c>
    </row>
    <row r="1292" customFormat="false" ht="15" hidden="false" customHeight="false" outlineLevel="0" collapsed="false">
      <c r="A1292" s="4" t="str">
        <f aca="false">B1292&amp;"|"&amp;C1292</f>
        <v>tdbR00000473 Val-CAC|49</v>
      </c>
      <c r="B1292" s="4" t="s">
        <v>54</v>
      </c>
      <c r="C1292" s="4" t="s">
        <v>470</v>
      </c>
      <c r="D1292" s="4" t="n">
        <v>49</v>
      </c>
      <c r="E1292" s="23" t="s">
        <v>414</v>
      </c>
      <c r="F1292" s="10" t="s">
        <v>471</v>
      </c>
    </row>
    <row r="1293" customFormat="false" ht="15" hidden="false" customHeight="false" outlineLevel="0" collapsed="false">
      <c r="A1293" s="4" t="str">
        <f aca="false">B1293&amp;"|"&amp;C1293</f>
        <v>tdbR00000473 Val-CAC|50</v>
      </c>
      <c r="B1293" s="4" t="s">
        <v>54</v>
      </c>
      <c r="C1293" s="4" t="s">
        <v>472</v>
      </c>
      <c r="D1293" s="4" t="n">
        <v>50</v>
      </c>
      <c r="E1293" s="23" t="s">
        <v>414</v>
      </c>
      <c r="F1293" s="10" t="s">
        <v>471</v>
      </c>
    </row>
    <row r="1294" customFormat="false" ht="15" hidden="false" customHeight="false" outlineLevel="0" collapsed="false">
      <c r="A1294" s="4" t="str">
        <f aca="false">B1294&amp;"|"&amp;C1294</f>
        <v>tdbR00000473 Val-CAC|51</v>
      </c>
      <c r="B1294" s="4" t="s">
        <v>54</v>
      </c>
      <c r="C1294" s="4" t="s">
        <v>473</v>
      </c>
      <c r="D1294" s="4" t="n">
        <v>51</v>
      </c>
      <c r="E1294" s="23" t="s">
        <v>414</v>
      </c>
      <c r="F1294" s="10" t="s">
        <v>471</v>
      </c>
    </row>
    <row r="1295" customFormat="false" ht="15" hidden="false" customHeight="false" outlineLevel="0" collapsed="false">
      <c r="A1295" s="4" t="str">
        <f aca="false">B1295&amp;"|"&amp;C1295</f>
        <v>tdbR00000473 Val-CAC|52</v>
      </c>
      <c r="B1295" s="4" t="s">
        <v>54</v>
      </c>
      <c r="C1295" s="4" t="s">
        <v>474</v>
      </c>
      <c r="D1295" s="4" t="n">
        <v>52</v>
      </c>
      <c r="E1295" s="23" t="s">
        <v>197</v>
      </c>
      <c r="F1295" s="10" t="s">
        <v>471</v>
      </c>
    </row>
    <row r="1296" customFormat="false" ht="15" hidden="false" customHeight="false" outlineLevel="0" collapsed="false">
      <c r="A1296" s="4" t="str">
        <f aca="false">B1296&amp;"|"&amp;C1296</f>
        <v>tdbR00000473 Val-CAC|53</v>
      </c>
      <c r="B1296" s="4" t="s">
        <v>54</v>
      </c>
      <c r="C1296" s="4" t="s">
        <v>475</v>
      </c>
      <c r="D1296" s="4" t="n">
        <v>53</v>
      </c>
      <c r="E1296" s="23" t="s">
        <v>197</v>
      </c>
      <c r="F1296" s="10" t="s">
        <v>471</v>
      </c>
    </row>
    <row r="1297" customFormat="false" ht="15" hidden="false" customHeight="false" outlineLevel="0" collapsed="false">
      <c r="A1297" s="4" t="str">
        <f aca="false">B1297&amp;"|"&amp;C1297</f>
        <v>tdbR00000473 Val-CAC|54</v>
      </c>
      <c r="B1297" s="4" t="s">
        <v>54</v>
      </c>
      <c r="C1297" s="4" t="s">
        <v>476</v>
      </c>
      <c r="D1297" s="4" t="n">
        <v>54</v>
      </c>
      <c r="E1297" s="19" t="s">
        <v>259</v>
      </c>
      <c r="F1297" s="20" t="s">
        <v>477</v>
      </c>
    </row>
    <row r="1298" customFormat="false" ht="15" hidden="false" customHeight="false" outlineLevel="0" collapsed="false">
      <c r="A1298" s="4" t="str">
        <f aca="false">B1298&amp;"|"&amp;C1298</f>
        <v>tdbR00000473 Val-CAC|55</v>
      </c>
      <c r="B1298" s="4" t="s">
        <v>54</v>
      </c>
      <c r="C1298" s="4" t="s">
        <v>478</v>
      </c>
      <c r="D1298" s="4" t="n">
        <v>55</v>
      </c>
      <c r="E1298" s="19" t="s">
        <v>259</v>
      </c>
      <c r="F1298" s="20" t="s">
        <v>477</v>
      </c>
    </row>
    <row r="1299" customFormat="false" ht="15" hidden="false" customHeight="false" outlineLevel="0" collapsed="false">
      <c r="A1299" s="4" t="str">
        <f aca="false">B1299&amp;"|"&amp;C1299</f>
        <v>tdbR00000473 Val-CAC|56</v>
      </c>
      <c r="B1299" s="4" t="s">
        <v>54</v>
      </c>
      <c r="C1299" s="4" t="s">
        <v>479</v>
      </c>
      <c r="D1299" s="4" t="n">
        <v>56</v>
      </c>
      <c r="E1299" s="19" t="s">
        <v>414</v>
      </c>
      <c r="F1299" s="20" t="s">
        <v>477</v>
      </c>
    </row>
    <row r="1300" customFormat="false" ht="15" hidden="false" customHeight="false" outlineLevel="0" collapsed="false">
      <c r="A1300" s="4" t="str">
        <f aca="false">B1300&amp;"|"&amp;C1300</f>
        <v>tdbR00000473 Val-CAC|57</v>
      </c>
      <c r="B1300" s="4" t="s">
        <v>54</v>
      </c>
      <c r="C1300" s="4" t="s">
        <v>480</v>
      </c>
      <c r="D1300" s="4" t="n">
        <v>57</v>
      </c>
      <c r="E1300" s="19" t="s">
        <v>197</v>
      </c>
      <c r="F1300" s="20" t="s">
        <v>477</v>
      </c>
    </row>
    <row r="1301" customFormat="false" ht="15" hidden="false" customHeight="false" outlineLevel="0" collapsed="false">
      <c r="A1301" s="4" t="str">
        <f aca="false">B1301&amp;"|"&amp;C1301</f>
        <v>tdbR00000473 Val-CAC|58</v>
      </c>
      <c r="B1301" s="4" t="s">
        <v>54</v>
      </c>
      <c r="C1301" s="4" t="s">
        <v>481</v>
      </c>
      <c r="D1301" s="4" t="n">
        <v>58</v>
      </c>
      <c r="E1301" s="19" t="s">
        <v>246</v>
      </c>
      <c r="F1301" s="20" t="s">
        <v>477</v>
      </c>
    </row>
    <row r="1302" customFormat="false" ht="15" hidden="false" customHeight="false" outlineLevel="0" collapsed="false">
      <c r="A1302" s="4" t="str">
        <f aca="false">B1302&amp;"|"&amp;C1302</f>
        <v>tdbR00000473 Val-CAC|59</v>
      </c>
      <c r="B1302" s="4" t="s">
        <v>54</v>
      </c>
      <c r="C1302" s="4" t="s">
        <v>482</v>
      </c>
      <c r="D1302" s="4" t="n">
        <v>59</v>
      </c>
      <c r="E1302" s="19" t="s">
        <v>246</v>
      </c>
      <c r="F1302" s="20" t="s">
        <v>477</v>
      </c>
    </row>
    <row r="1303" customFormat="false" ht="15" hidden="false" customHeight="false" outlineLevel="0" collapsed="false">
      <c r="A1303" s="4" t="str">
        <f aca="false">B1303&amp;"|"&amp;C1303</f>
        <v>tdbR00000473 Val-CAC|60</v>
      </c>
      <c r="B1303" s="4" t="s">
        <v>54</v>
      </c>
      <c r="C1303" s="4" t="s">
        <v>483</v>
      </c>
      <c r="D1303" s="4" t="n">
        <v>60</v>
      </c>
      <c r="E1303" s="19" t="s">
        <v>414</v>
      </c>
      <c r="F1303" s="20" t="s">
        <v>477</v>
      </c>
    </row>
    <row r="1304" customFormat="false" ht="15" hidden="false" customHeight="false" outlineLevel="0" collapsed="false">
      <c r="A1304" s="4" t="str">
        <f aca="false">B1304&amp;"|"&amp;C1304</f>
        <v>tdbR00000473 Val-CAC|61</v>
      </c>
      <c r="B1304" s="4" t="s">
        <v>54</v>
      </c>
      <c r="C1304" s="4" t="s">
        <v>484</v>
      </c>
      <c r="D1304" s="4" t="n">
        <v>61</v>
      </c>
      <c r="E1304" s="23" t="s">
        <v>414</v>
      </c>
      <c r="F1304" s="10" t="s">
        <v>471</v>
      </c>
    </row>
    <row r="1305" customFormat="false" ht="15" hidden="false" customHeight="false" outlineLevel="0" collapsed="false">
      <c r="A1305" s="4" t="str">
        <f aca="false">B1305&amp;"|"&amp;C1305</f>
        <v>tdbR00000473 Val-CAC|62</v>
      </c>
      <c r="B1305" s="4" t="s">
        <v>54</v>
      </c>
      <c r="C1305" s="4" t="s">
        <v>485</v>
      </c>
      <c r="D1305" s="4" t="n">
        <v>62</v>
      </c>
      <c r="E1305" s="23" t="s">
        <v>414</v>
      </c>
      <c r="F1305" s="10" t="s">
        <v>471</v>
      </c>
    </row>
    <row r="1306" customFormat="false" ht="15" hidden="false" customHeight="false" outlineLevel="0" collapsed="false">
      <c r="A1306" s="4" t="str">
        <f aca="false">B1306&amp;"|"&amp;C1306</f>
        <v>tdbR00000473 Val-CAC|63</v>
      </c>
      <c r="B1306" s="4" t="s">
        <v>54</v>
      </c>
      <c r="C1306" s="4" t="s">
        <v>486</v>
      </c>
      <c r="D1306" s="4" t="n">
        <v>63</v>
      </c>
      <c r="E1306" s="23" t="s">
        <v>197</v>
      </c>
      <c r="F1306" s="10" t="s">
        <v>471</v>
      </c>
    </row>
    <row r="1307" customFormat="false" ht="15" hidden="false" customHeight="false" outlineLevel="0" collapsed="false">
      <c r="A1307" s="4" t="str">
        <f aca="false">B1307&amp;"|"&amp;C1307</f>
        <v>tdbR00000473 Val-CAC|64</v>
      </c>
      <c r="B1307" s="4" t="s">
        <v>54</v>
      </c>
      <c r="C1307" s="4" t="s">
        <v>487</v>
      </c>
      <c r="D1307" s="4" t="n">
        <v>64</v>
      </c>
      <c r="E1307" s="23" t="s">
        <v>197</v>
      </c>
      <c r="F1307" s="10" t="s">
        <v>471</v>
      </c>
    </row>
    <row r="1308" customFormat="false" ht="15" hidden="false" customHeight="false" outlineLevel="0" collapsed="false">
      <c r="A1308" s="4" t="str">
        <f aca="false">B1308&amp;"|"&amp;C1308</f>
        <v>tdbR00000473 Val-CAC|65</v>
      </c>
      <c r="B1308" s="4" t="s">
        <v>54</v>
      </c>
      <c r="C1308" s="4" t="s">
        <v>488</v>
      </c>
      <c r="D1308" s="4" t="n">
        <v>65</v>
      </c>
      <c r="E1308" s="23" t="s">
        <v>197</v>
      </c>
      <c r="F1308" s="10" t="s">
        <v>471</v>
      </c>
    </row>
    <row r="1309" customFormat="false" ht="15" hidden="false" customHeight="false" outlineLevel="0" collapsed="false">
      <c r="A1309" s="4" t="str">
        <f aca="false">B1309&amp;"|"&amp;C1309</f>
        <v>tdbR00000473 Val-CAC|66</v>
      </c>
      <c r="B1309" s="4" t="s">
        <v>54</v>
      </c>
      <c r="C1309" s="4" t="s">
        <v>489</v>
      </c>
      <c r="D1309" s="4" t="n">
        <v>66</v>
      </c>
      <c r="E1309" s="17" t="s">
        <v>414</v>
      </c>
      <c r="F1309" s="18" t="s">
        <v>412</v>
      </c>
    </row>
    <row r="1310" customFormat="false" ht="15" hidden="false" customHeight="false" outlineLevel="0" collapsed="false">
      <c r="A1310" s="4" t="str">
        <f aca="false">B1310&amp;"|"&amp;C1310</f>
        <v>tdbR00000473 Val-CAC|67</v>
      </c>
      <c r="B1310" s="4" t="s">
        <v>54</v>
      </c>
      <c r="C1310" s="4" t="s">
        <v>490</v>
      </c>
      <c r="D1310" s="4" t="n">
        <v>67</v>
      </c>
      <c r="E1310" s="17" t="s">
        <v>197</v>
      </c>
      <c r="F1310" s="18" t="s">
        <v>412</v>
      </c>
    </row>
    <row r="1311" customFormat="false" ht="15" hidden="false" customHeight="false" outlineLevel="0" collapsed="false">
      <c r="A1311" s="4" t="str">
        <f aca="false">B1311&amp;"|"&amp;C1311</f>
        <v>tdbR00000473 Val-CAC|68</v>
      </c>
      <c r="B1311" s="4" t="s">
        <v>54</v>
      </c>
      <c r="C1311" s="4" t="s">
        <v>491</v>
      </c>
      <c r="D1311" s="4" t="n">
        <v>68</v>
      </c>
      <c r="E1311" s="17" t="s">
        <v>197</v>
      </c>
      <c r="F1311" s="18" t="s">
        <v>412</v>
      </c>
    </row>
    <row r="1312" customFormat="false" ht="15" hidden="false" customHeight="false" outlineLevel="0" collapsed="false">
      <c r="A1312" s="4" t="str">
        <f aca="false">B1312&amp;"|"&amp;C1312</f>
        <v>tdbR00000473 Val-CAC|69</v>
      </c>
      <c r="B1312" s="4" t="s">
        <v>54</v>
      </c>
      <c r="C1312" s="4" t="s">
        <v>492</v>
      </c>
      <c r="D1312" s="4" t="n">
        <v>69</v>
      </c>
      <c r="E1312" s="17" t="s">
        <v>197</v>
      </c>
      <c r="F1312" s="18" t="s">
        <v>412</v>
      </c>
    </row>
    <row r="1313" customFormat="false" ht="15" hidden="false" customHeight="false" outlineLevel="0" collapsed="false">
      <c r="A1313" s="4" t="str">
        <f aca="false">B1313&amp;"|"&amp;C1313</f>
        <v>tdbR00000473 Val-CAC|70</v>
      </c>
      <c r="B1313" s="4" t="s">
        <v>54</v>
      </c>
      <c r="C1313" s="4" t="s">
        <v>493</v>
      </c>
      <c r="D1313" s="4" t="n">
        <v>70</v>
      </c>
      <c r="E1313" s="17" t="s">
        <v>246</v>
      </c>
      <c r="F1313" s="18" t="s">
        <v>412</v>
      </c>
    </row>
    <row r="1314" customFormat="false" ht="15" hidden="false" customHeight="false" outlineLevel="0" collapsed="false">
      <c r="A1314" s="4" t="str">
        <f aca="false">B1314&amp;"|"&amp;C1314</f>
        <v>tdbR00000473 Val-CAC|71</v>
      </c>
      <c r="B1314" s="4" t="s">
        <v>54</v>
      </c>
      <c r="C1314" s="4" t="s">
        <v>494</v>
      </c>
      <c r="D1314" s="4" t="n">
        <v>71</v>
      </c>
      <c r="E1314" s="17" t="s">
        <v>246</v>
      </c>
      <c r="F1314" s="18" t="s">
        <v>412</v>
      </c>
    </row>
    <row r="1315" customFormat="false" ht="15" hidden="false" customHeight="false" outlineLevel="0" collapsed="false">
      <c r="A1315" s="4" t="str">
        <f aca="false">B1315&amp;"|"&amp;C1315</f>
        <v>tdbR00000473 Val-CAC|72</v>
      </c>
      <c r="B1315" s="4" t="s">
        <v>54</v>
      </c>
      <c r="C1315" s="4" t="s">
        <v>495</v>
      </c>
      <c r="D1315" s="4" t="n">
        <v>72</v>
      </c>
      <c r="E1315" s="17" t="s">
        <v>414</v>
      </c>
      <c r="F1315" s="18" t="s">
        <v>412</v>
      </c>
    </row>
    <row r="1316" customFormat="false" ht="15" hidden="false" customHeight="false" outlineLevel="0" collapsed="false">
      <c r="A1316" s="4" t="str">
        <f aca="false">B1316&amp;"|"&amp;C1316</f>
        <v>tdbR00000472 Val-AAC|1</v>
      </c>
      <c r="B1316" s="4" t="s">
        <v>55</v>
      </c>
      <c r="C1316" s="4" t="s">
        <v>411</v>
      </c>
      <c r="D1316" s="4" t="n">
        <v>1</v>
      </c>
      <c r="E1316" s="17" t="s">
        <v>197</v>
      </c>
      <c r="F1316" s="18" t="s">
        <v>412</v>
      </c>
    </row>
    <row r="1317" customFormat="false" ht="15" hidden="false" customHeight="false" outlineLevel="0" collapsed="false">
      <c r="A1317" s="4" t="str">
        <f aca="false">B1317&amp;"|"&amp;C1317</f>
        <v>tdbR00000472 Val-AAC|2</v>
      </c>
      <c r="B1317" s="4" t="s">
        <v>55</v>
      </c>
      <c r="C1317" s="4" t="s">
        <v>413</v>
      </c>
      <c r="D1317" s="4" t="n">
        <v>2</v>
      </c>
      <c r="E1317" s="17" t="s">
        <v>259</v>
      </c>
      <c r="F1317" s="18" t="s">
        <v>412</v>
      </c>
    </row>
    <row r="1318" customFormat="false" ht="15" hidden="false" customHeight="false" outlineLevel="0" collapsed="false">
      <c r="A1318" s="4" t="str">
        <f aca="false">B1318&amp;"|"&amp;C1318</f>
        <v>tdbR00000472 Val-AAC|3</v>
      </c>
      <c r="B1318" s="4" t="s">
        <v>55</v>
      </c>
      <c r="C1318" s="4" t="s">
        <v>415</v>
      </c>
      <c r="D1318" s="4" t="n">
        <v>3</v>
      </c>
      <c r="E1318" s="17" t="s">
        <v>259</v>
      </c>
      <c r="F1318" s="18" t="s">
        <v>412</v>
      </c>
    </row>
    <row r="1319" customFormat="false" ht="15" hidden="false" customHeight="false" outlineLevel="0" collapsed="false">
      <c r="A1319" s="4" t="str">
        <f aca="false">B1319&amp;"|"&amp;C1319</f>
        <v>tdbR00000472 Val-AAC|4</v>
      </c>
      <c r="B1319" s="4" t="s">
        <v>55</v>
      </c>
      <c r="C1319" s="4" t="s">
        <v>416</v>
      </c>
      <c r="D1319" s="4" t="n">
        <v>4</v>
      </c>
      <c r="E1319" s="17" t="s">
        <v>259</v>
      </c>
      <c r="F1319" s="18" t="s">
        <v>412</v>
      </c>
    </row>
    <row r="1320" customFormat="false" ht="15" hidden="false" customHeight="false" outlineLevel="0" collapsed="false">
      <c r="A1320" s="4" t="str">
        <f aca="false">B1320&amp;"|"&amp;C1320</f>
        <v>tdbR00000472 Val-AAC|5</v>
      </c>
      <c r="B1320" s="4" t="s">
        <v>55</v>
      </c>
      <c r="C1320" s="4" t="s">
        <v>417</v>
      </c>
      <c r="D1320" s="4" t="n">
        <v>5</v>
      </c>
      <c r="E1320" s="17" t="s">
        <v>414</v>
      </c>
      <c r="F1320" s="18" t="s">
        <v>412</v>
      </c>
    </row>
    <row r="1321" customFormat="false" ht="15" hidden="false" customHeight="false" outlineLevel="0" collapsed="false">
      <c r="A1321" s="4" t="str">
        <f aca="false">B1321&amp;"|"&amp;C1321</f>
        <v>tdbR00000472 Val-AAC|6</v>
      </c>
      <c r="B1321" s="4" t="s">
        <v>55</v>
      </c>
      <c r="C1321" s="4" t="s">
        <v>418</v>
      </c>
      <c r="D1321" s="4" t="n">
        <v>6</v>
      </c>
      <c r="E1321" s="17" t="s">
        <v>414</v>
      </c>
      <c r="F1321" s="18" t="s">
        <v>412</v>
      </c>
    </row>
    <row r="1322" customFormat="false" ht="15" hidden="false" customHeight="false" outlineLevel="0" collapsed="false">
      <c r="A1322" s="4" t="str">
        <f aca="false">B1322&amp;"|"&amp;C1322</f>
        <v>tdbR00000472 Val-AAC|7</v>
      </c>
      <c r="B1322" s="4" t="s">
        <v>55</v>
      </c>
      <c r="C1322" s="4" t="s">
        <v>419</v>
      </c>
      <c r="D1322" s="4" t="n">
        <v>7</v>
      </c>
      <c r="E1322" s="17" t="s">
        <v>197</v>
      </c>
      <c r="F1322" s="18" t="s">
        <v>412</v>
      </c>
    </row>
    <row r="1323" customFormat="false" ht="15" hidden="false" customHeight="false" outlineLevel="0" collapsed="false">
      <c r="A1323" s="4" t="str">
        <f aca="false">B1323&amp;"|"&amp;C1323</f>
        <v>tdbR00000472 Val-AAC|8</v>
      </c>
      <c r="B1323" s="4" t="s">
        <v>55</v>
      </c>
      <c r="C1323" s="4" t="s">
        <v>420</v>
      </c>
      <c r="D1323" s="4" t="n">
        <v>8</v>
      </c>
      <c r="E1323" s="3" t="s">
        <v>259</v>
      </c>
      <c r="F1323" s="4" t="s">
        <v>421</v>
      </c>
    </row>
    <row r="1324" customFormat="false" ht="15" hidden="false" customHeight="false" outlineLevel="0" collapsed="false">
      <c r="A1324" s="4" t="str">
        <f aca="false">B1324&amp;"|"&amp;C1324</f>
        <v>tdbR00000472 Val-AAC|9</v>
      </c>
      <c r="B1324" s="4" t="s">
        <v>55</v>
      </c>
      <c r="C1324" s="4" t="s">
        <v>422</v>
      </c>
      <c r="D1324" s="4" t="n">
        <v>9</v>
      </c>
      <c r="E1324" s="3" t="s">
        <v>197</v>
      </c>
      <c r="F1324" s="4" t="s">
        <v>423</v>
      </c>
    </row>
    <row r="1325" customFormat="false" ht="15" hidden="false" customHeight="false" outlineLevel="0" collapsed="false">
      <c r="A1325" s="4" t="str">
        <f aca="false">B1325&amp;"|"&amp;C1325</f>
        <v>tdbR00000472 Val-AAC|10</v>
      </c>
      <c r="B1325" s="4" t="s">
        <v>55</v>
      </c>
      <c r="C1325" s="4" t="s">
        <v>424</v>
      </c>
      <c r="D1325" s="4" t="n">
        <v>10</v>
      </c>
      <c r="E1325" s="8" t="s">
        <v>197</v>
      </c>
      <c r="F1325" s="7" t="s">
        <v>425</v>
      </c>
    </row>
    <row r="1326" customFormat="false" ht="15" hidden="false" customHeight="false" outlineLevel="0" collapsed="false">
      <c r="A1326" s="4" t="str">
        <f aca="false">B1326&amp;"|"&amp;C1326</f>
        <v>tdbR00000472 Val-AAC|11</v>
      </c>
      <c r="B1326" s="4" t="s">
        <v>55</v>
      </c>
      <c r="C1326" s="4" t="s">
        <v>426</v>
      </c>
      <c r="D1326" s="4" t="n">
        <v>11</v>
      </c>
      <c r="E1326" s="8" t="s">
        <v>259</v>
      </c>
      <c r="F1326" s="7" t="s">
        <v>425</v>
      </c>
    </row>
    <row r="1327" customFormat="false" ht="15" hidden="false" customHeight="false" outlineLevel="0" collapsed="false">
      <c r="A1327" s="4" t="str">
        <f aca="false">B1327&amp;"|"&amp;C1327</f>
        <v>tdbR00000472 Val-AAC|12</v>
      </c>
      <c r="B1327" s="4" t="s">
        <v>55</v>
      </c>
      <c r="C1327" s="4" t="s">
        <v>427</v>
      </c>
      <c r="D1327" s="4" t="n">
        <v>12</v>
      </c>
      <c r="E1327" s="8" t="s">
        <v>197</v>
      </c>
      <c r="F1327" s="7" t="s">
        <v>425</v>
      </c>
    </row>
    <row r="1328" customFormat="false" ht="15" hidden="false" customHeight="false" outlineLevel="0" collapsed="false">
      <c r="A1328" s="4" t="str">
        <f aca="false">B1328&amp;"|"&amp;C1328</f>
        <v>tdbR00000472 Val-AAC|13</v>
      </c>
      <c r="B1328" s="4" t="s">
        <v>55</v>
      </c>
      <c r="C1328" s="4" t="s">
        <v>428</v>
      </c>
      <c r="D1328" s="4" t="n">
        <v>13</v>
      </c>
      <c r="E1328" s="8" t="s">
        <v>259</v>
      </c>
      <c r="F1328" s="7" t="s">
        <v>425</v>
      </c>
    </row>
    <row r="1329" customFormat="false" ht="15" hidden="false" customHeight="false" outlineLevel="0" collapsed="false">
      <c r="A1329" s="4" t="str">
        <f aca="false">B1329&amp;"|"&amp;C1329</f>
        <v>tdbR00000472 Val-AAC|14</v>
      </c>
      <c r="B1329" s="4" t="s">
        <v>55</v>
      </c>
      <c r="C1329" s="4" t="s">
        <v>429</v>
      </c>
      <c r="D1329" s="4" t="n">
        <v>14</v>
      </c>
      <c r="E1329" s="19" t="s">
        <v>246</v>
      </c>
      <c r="F1329" s="20" t="s">
        <v>430</v>
      </c>
    </row>
    <row r="1330" customFormat="false" ht="15" hidden="false" customHeight="false" outlineLevel="0" collapsed="false">
      <c r="A1330" s="4" t="str">
        <f aca="false">B1330&amp;"|"&amp;C1330</f>
        <v>tdbR00000472 Val-AAC|15</v>
      </c>
      <c r="B1330" s="4" t="s">
        <v>55</v>
      </c>
      <c r="C1330" s="4" t="s">
        <v>431</v>
      </c>
      <c r="D1330" s="4" t="n">
        <v>15</v>
      </c>
      <c r="E1330" s="19" t="s">
        <v>197</v>
      </c>
      <c r="F1330" s="20" t="s">
        <v>430</v>
      </c>
    </row>
    <row r="1331" customFormat="false" ht="15" hidden="false" customHeight="false" outlineLevel="0" collapsed="false">
      <c r="A1331" s="4" t="str">
        <f aca="false">B1331&amp;"|"&amp;C1331</f>
        <v>tdbR00000472 Val-AAC|16</v>
      </c>
      <c r="B1331" s="4" t="s">
        <v>55</v>
      </c>
      <c r="C1331" s="4" t="s">
        <v>432</v>
      </c>
      <c r="D1331" s="4" t="n">
        <v>16</v>
      </c>
      <c r="E1331" s="19" t="s">
        <v>414</v>
      </c>
      <c r="F1331" s="20" t="s">
        <v>430</v>
      </c>
    </row>
    <row r="1332" customFormat="false" ht="15" hidden="false" customHeight="false" outlineLevel="0" collapsed="false">
      <c r="A1332" s="4" t="str">
        <f aca="false">B1332&amp;"|"&amp;C1332</f>
        <v>tdbR00000472 Val-AAC|18</v>
      </c>
      <c r="B1332" s="4" t="s">
        <v>55</v>
      </c>
      <c r="C1332" s="4" t="s">
        <v>434</v>
      </c>
      <c r="D1332" s="4" t="n">
        <v>17</v>
      </c>
      <c r="E1332" s="19" t="s">
        <v>197</v>
      </c>
      <c r="F1332" s="20" t="s">
        <v>430</v>
      </c>
    </row>
    <row r="1333" customFormat="false" ht="15" hidden="false" customHeight="false" outlineLevel="0" collapsed="false">
      <c r="A1333" s="4" t="str">
        <f aca="false">B1333&amp;"|"&amp;C1333</f>
        <v>tdbR00000472 Val-AAC|19</v>
      </c>
      <c r="B1333" s="4" t="s">
        <v>55</v>
      </c>
      <c r="C1333" s="4" t="s">
        <v>435</v>
      </c>
      <c r="D1333" s="4" t="n">
        <v>18</v>
      </c>
      <c r="E1333" s="19" t="s">
        <v>197</v>
      </c>
      <c r="F1333" s="20" t="s">
        <v>430</v>
      </c>
    </row>
    <row r="1334" customFormat="false" ht="15" hidden="false" customHeight="false" outlineLevel="0" collapsed="false">
      <c r="A1334" s="4" t="str">
        <f aca="false">B1334&amp;"|"&amp;C1334</f>
        <v>tdbR00000472 Val-AAC|20</v>
      </c>
      <c r="B1334" s="4" t="s">
        <v>55</v>
      </c>
      <c r="C1334" s="4" t="s">
        <v>436</v>
      </c>
      <c r="D1334" s="4" t="n">
        <v>19</v>
      </c>
      <c r="E1334" s="19" t="s">
        <v>259</v>
      </c>
      <c r="F1334" s="20" t="s">
        <v>430</v>
      </c>
    </row>
    <row r="1335" customFormat="false" ht="15" hidden="false" customHeight="false" outlineLevel="0" collapsed="false">
      <c r="A1335" s="4" t="str">
        <f aca="false">B1335&amp;"|"&amp;C1335</f>
        <v>tdbR00000472 Val-AAC|20a</v>
      </c>
      <c r="B1335" s="4" t="s">
        <v>55</v>
      </c>
      <c r="C1335" s="4" t="s">
        <v>437</v>
      </c>
      <c r="D1335" s="4" t="n">
        <v>20</v>
      </c>
      <c r="E1335" s="19" t="s">
        <v>259</v>
      </c>
      <c r="F1335" s="20" t="s">
        <v>430</v>
      </c>
    </row>
    <row r="1336" customFormat="false" ht="15" hidden="false" customHeight="false" outlineLevel="0" collapsed="false">
      <c r="A1336" s="4" t="str">
        <f aca="false">B1336&amp;"|"&amp;C1336</f>
        <v>tdbR00000472 Val-AAC|21</v>
      </c>
      <c r="B1336" s="4" t="s">
        <v>55</v>
      </c>
      <c r="C1336" s="4" t="s">
        <v>438</v>
      </c>
      <c r="D1336" s="4" t="n">
        <v>21</v>
      </c>
      <c r="E1336" s="19" t="s">
        <v>246</v>
      </c>
      <c r="F1336" s="20" t="s">
        <v>430</v>
      </c>
    </row>
    <row r="1337" customFormat="false" ht="15" hidden="false" customHeight="false" outlineLevel="0" collapsed="false">
      <c r="A1337" s="4" t="str">
        <f aca="false">B1337&amp;"|"&amp;C1337</f>
        <v>tdbR00000472 Val-AAC|22</v>
      </c>
      <c r="B1337" s="4" t="s">
        <v>55</v>
      </c>
      <c r="C1337" s="4" t="s">
        <v>439</v>
      </c>
      <c r="D1337" s="4" t="n">
        <v>22</v>
      </c>
      <c r="E1337" s="8" t="s">
        <v>259</v>
      </c>
      <c r="F1337" s="7" t="s">
        <v>425</v>
      </c>
    </row>
    <row r="1338" customFormat="false" ht="15" hidden="false" customHeight="false" outlineLevel="0" collapsed="false">
      <c r="A1338" s="4" t="str">
        <f aca="false">B1338&amp;"|"&amp;C1338</f>
        <v>tdbR00000472 Val-AAC|23</v>
      </c>
      <c r="B1338" s="4" t="s">
        <v>55</v>
      </c>
      <c r="C1338" s="4" t="s">
        <v>440</v>
      </c>
      <c r="D1338" s="4" t="n">
        <v>23</v>
      </c>
      <c r="E1338" s="8" t="s">
        <v>414</v>
      </c>
      <c r="F1338" s="7" t="s">
        <v>425</v>
      </c>
    </row>
    <row r="1339" customFormat="false" ht="15" hidden="false" customHeight="false" outlineLevel="0" collapsed="false">
      <c r="A1339" s="4" t="str">
        <f aca="false">B1339&amp;"|"&amp;C1339</f>
        <v>tdbR00000472 Val-AAC|24</v>
      </c>
      <c r="B1339" s="4" t="s">
        <v>55</v>
      </c>
      <c r="C1339" s="4" t="s">
        <v>441</v>
      </c>
      <c r="D1339" s="4" t="n">
        <v>24</v>
      </c>
      <c r="E1339" s="8" t="s">
        <v>246</v>
      </c>
      <c r="F1339" s="7" t="s">
        <v>425</v>
      </c>
    </row>
    <row r="1340" customFormat="false" ht="15" hidden="false" customHeight="false" outlineLevel="0" collapsed="false">
      <c r="A1340" s="4" t="str">
        <f aca="false">B1340&amp;"|"&amp;C1340</f>
        <v>tdbR00000472 Val-AAC|25</v>
      </c>
      <c r="B1340" s="4" t="s">
        <v>55</v>
      </c>
      <c r="C1340" s="4" t="s">
        <v>442</v>
      </c>
      <c r="D1340" s="4" t="n">
        <v>25</v>
      </c>
      <c r="E1340" s="8" t="s">
        <v>414</v>
      </c>
      <c r="F1340" s="7" t="s">
        <v>425</v>
      </c>
    </row>
    <row r="1341" customFormat="false" ht="15" hidden="false" customHeight="false" outlineLevel="0" collapsed="false">
      <c r="A1341" s="4" t="str">
        <f aca="false">B1341&amp;"|"&amp;C1341</f>
        <v>tdbR00000472 Val-AAC|26</v>
      </c>
      <c r="B1341" s="4" t="s">
        <v>55</v>
      </c>
      <c r="C1341" s="4" t="s">
        <v>443</v>
      </c>
      <c r="D1341" s="4" t="n">
        <v>26</v>
      </c>
      <c r="E1341" s="3" t="s">
        <v>246</v>
      </c>
      <c r="F1341" s="4" t="s">
        <v>444</v>
      </c>
    </row>
    <row r="1342" customFormat="false" ht="15" hidden="false" customHeight="false" outlineLevel="0" collapsed="false">
      <c r="A1342" s="4" t="str">
        <f aca="false">B1342&amp;"|"&amp;C1342</f>
        <v>tdbR00000472 Val-AAC|27</v>
      </c>
      <c r="B1342" s="4" t="s">
        <v>55</v>
      </c>
      <c r="C1342" s="4" t="s">
        <v>445</v>
      </c>
      <c r="D1342" s="4" t="n">
        <v>27</v>
      </c>
      <c r="E1342" s="21" t="s">
        <v>259</v>
      </c>
      <c r="F1342" s="22" t="s">
        <v>446</v>
      </c>
    </row>
    <row r="1343" customFormat="false" ht="15" hidden="false" customHeight="false" outlineLevel="0" collapsed="false">
      <c r="A1343" s="4" t="str">
        <f aca="false">B1343&amp;"|"&amp;C1343</f>
        <v>tdbR00000472 Val-AAC|28</v>
      </c>
      <c r="B1343" s="4" t="s">
        <v>55</v>
      </c>
      <c r="C1343" s="4" t="s">
        <v>447</v>
      </c>
      <c r="D1343" s="4" t="n">
        <v>28</v>
      </c>
      <c r="E1343" s="21" t="s">
        <v>414</v>
      </c>
      <c r="F1343" s="22" t="s">
        <v>446</v>
      </c>
    </row>
    <row r="1344" customFormat="false" ht="15" hidden="false" customHeight="false" outlineLevel="0" collapsed="false">
      <c r="A1344" s="4" t="str">
        <f aca="false">B1344&amp;"|"&amp;C1344</f>
        <v>tdbR00000472 Val-AAC|29</v>
      </c>
      <c r="B1344" s="4" t="s">
        <v>55</v>
      </c>
      <c r="C1344" s="4" t="s">
        <v>448</v>
      </c>
      <c r="D1344" s="4" t="n">
        <v>29</v>
      </c>
      <c r="E1344" s="21" t="s">
        <v>259</v>
      </c>
      <c r="F1344" s="22" t="s">
        <v>446</v>
      </c>
    </row>
    <row r="1345" customFormat="false" ht="15" hidden="false" customHeight="false" outlineLevel="0" collapsed="false">
      <c r="A1345" s="4" t="str">
        <f aca="false">B1345&amp;"|"&amp;C1345</f>
        <v>tdbR00000472 Val-AAC|30</v>
      </c>
      <c r="B1345" s="4" t="s">
        <v>55</v>
      </c>
      <c r="C1345" s="4" t="s">
        <v>449</v>
      </c>
      <c r="D1345" s="4" t="n">
        <v>30</v>
      </c>
      <c r="E1345" s="21" t="s">
        <v>197</v>
      </c>
      <c r="F1345" s="22" t="s">
        <v>446</v>
      </c>
    </row>
    <row r="1346" customFormat="false" ht="15" hidden="false" customHeight="false" outlineLevel="0" collapsed="false">
      <c r="A1346" s="4" t="str">
        <f aca="false">B1346&amp;"|"&amp;C1346</f>
        <v>tdbR00000472 Val-AAC|31</v>
      </c>
      <c r="B1346" s="4" t="s">
        <v>55</v>
      </c>
      <c r="C1346" s="4" t="s">
        <v>450</v>
      </c>
      <c r="D1346" s="4" t="n">
        <v>31</v>
      </c>
      <c r="E1346" s="21" t="s">
        <v>414</v>
      </c>
      <c r="F1346" s="22" t="s">
        <v>446</v>
      </c>
    </row>
    <row r="1347" customFormat="false" ht="15" hidden="false" customHeight="false" outlineLevel="0" collapsed="false">
      <c r="A1347" s="4" t="str">
        <f aca="false">B1347&amp;"|"&amp;C1347</f>
        <v>tdbR00000472 Val-AAC|32</v>
      </c>
      <c r="B1347" s="4" t="s">
        <v>55</v>
      </c>
      <c r="C1347" s="4" t="s">
        <v>451</v>
      </c>
      <c r="D1347" s="4" t="n">
        <v>32</v>
      </c>
      <c r="E1347" s="19" t="s">
        <v>414</v>
      </c>
      <c r="F1347" s="20" t="s">
        <v>452</v>
      </c>
    </row>
    <row r="1348" customFormat="false" ht="15" hidden="false" customHeight="false" outlineLevel="0" collapsed="false">
      <c r="A1348" s="4" t="str">
        <f aca="false">B1348&amp;"|"&amp;C1348</f>
        <v>tdbR00000472 Val-AAC|33</v>
      </c>
      <c r="B1348" s="4" t="s">
        <v>55</v>
      </c>
      <c r="C1348" s="4" t="s">
        <v>453</v>
      </c>
      <c r="D1348" s="4" t="n">
        <v>33</v>
      </c>
      <c r="E1348" s="19" t="s">
        <v>259</v>
      </c>
      <c r="F1348" s="20" t="s">
        <v>452</v>
      </c>
    </row>
    <row r="1349" customFormat="false" ht="15" hidden="false" customHeight="false" outlineLevel="0" collapsed="false">
      <c r="A1349" s="4" t="str">
        <f aca="false">B1349&amp;"|"&amp;C1349</f>
        <v>tdbR00000472 Val-AAC|34</v>
      </c>
      <c r="B1349" s="4" t="s">
        <v>55</v>
      </c>
      <c r="C1349" s="4" t="s">
        <v>454</v>
      </c>
      <c r="D1349" s="4" t="n">
        <v>34</v>
      </c>
      <c r="E1349" s="19" t="s">
        <v>246</v>
      </c>
      <c r="F1349" s="20" t="s">
        <v>452</v>
      </c>
    </row>
    <row r="1350" customFormat="false" ht="15" hidden="false" customHeight="false" outlineLevel="0" collapsed="false">
      <c r="A1350" s="4" t="str">
        <f aca="false">B1350&amp;"|"&amp;C1350</f>
        <v>tdbR00000472 Val-AAC|35</v>
      </c>
      <c r="B1350" s="4" t="s">
        <v>55</v>
      </c>
      <c r="C1350" s="4" t="s">
        <v>455</v>
      </c>
      <c r="D1350" s="4" t="n">
        <v>35</v>
      </c>
      <c r="E1350" s="19" t="s">
        <v>246</v>
      </c>
      <c r="F1350" s="20" t="s">
        <v>452</v>
      </c>
    </row>
    <row r="1351" customFormat="false" ht="15" hidden="false" customHeight="false" outlineLevel="0" collapsed="false">
      <c r="A1351" s="4" t="str">
        <f aca="false">B1351&amp;"|"&amp;C1351</f>
        <v>tdbR00000472 Val-AAC|36</v>
      </c>
      <c r="B1351" s="4" t="s">
        <v>55</v>
      </c>
      <c r="C1351" s="4" t="s">
        <v>456</v>
      </c>
      <c r="D1351" s="4" t="n">
        <v>36</v>
      </c>
      <c r="E1351" s="19" t="s">
        <v>414</v>
      </c>
      <c r="F1351" s="20" t="s">
        <v>452</v>
      </c>
    </row>
    <row r="1352" customFormat="false" ht="15" hidden="false" customHeight="false" outlineLevel="0" collapsed="false">
      <c r="A1352" s="4" t="str">
        <f aca="false">B1352&amp;"|"&amp;C1352</f>
        <v>tdbR00000472 Val-AAC|37</v>
      </c>
      <c r="B1352" s="4" t="s">
        <v>55</v>
      </c>
      <c r="C1352" s="4" t="s">
        <v>457</v>
      </c>
      <c r="D1352" s="4" t="n">
        <v>37</v>
      </c>
      <c r="E1352" s="19" t="s">
        <v>246</v>
      </c>
      <c r="F1352" s="20" t="s">
        <v>452</v>
      </c>
    </row>
    <row r="1353" customFormat="false" ht="15" hidden="false" customHeight="false" outlineLevel="0" collapsed="false">
      <c r="A1353" s="4" t="str">
        <f aca="false">B1353&amp;"|"&amp;C1353</f>
        <v>tdbR00000472 Val-AAC|38</v>
      </c>
      <c r="B1353" s="4" t="s">
        <v>55</v>
      </c>
      <c r="C1353" s="4" t="s">
        <v>458</v>
      </c>
      <c r="D1353" s="4" t="n">
        <v>38</v>
      </c>
      <c r="E1353" s="19" t="s">
        <v>414</v>
      </c>
      <c r="F1353" s="20" t="s">
        <v>452</v>
      </c>
    </row>
    <row r="1354" customFormat="false" ht="15" hidden="false" customHeight="false" outlineLevel="0" collapsed="false">
      <c r="A1354" s="4" t="str">
        <f aca="false">B1354&amp;"|"&amp;C1354</f>
        <v>tdbR00000472 Val-AAC|39</v>
      </c>
      <c r="B1354" s="4" t="s">
        <v>55</v>
      </c>
      <c r="C1354" s="4" t="s">
        <v>459</v>
      </c>
      <c r="D1354" s="4" t="n">
        <v>39</v>
      </c>
      <c r="E1354" s="21" t="s">
        <v>197</v>
      </c>
      <c r="F1354" s="22" t="s">
        <v>446</v>
      </c>
    </row>
    <row r="1355" customFormat="false" ht="15" hidden="false" customHeight="false" outlineLevel="0" collapsed="false">
      <c r="A1355" s="4" t="str">
        <f aca="false">B1355&amp;"|"&amp;C1355</f>
        <v>tdbR00000472 Val-AAC|40</v>
      </c>
      <c r="B1355" s="4" t="s">
        <v>55</v>
      </c>
      <c r="C1355" s="4" t="s">
        <v>460</v>
      </c>
      <c r="D1355" s="4" t="n">
        <v>40</v>
      </c>
      <c r="E1355" s="21" t="s">
        <v>414</v>
      </c>
      <c r="F1355" s="22" t="s">
        <v>446</v>
      </c>
    </row>
    <row r="1356" customFormat="false" ht="15" hidden="false" customHeight="false" outlineLevel="0" collapsed="false">
      <c r="A1356" s="4" t="str">
        <f aca="false">B1356&amp;"|"&amp;C1356</f>
        <v>tdbR00000472 Val-AAC|41</v>
      </c>
      <c r="B1356" s="4" t="s">
        <v>55</v>
      </c>
      <c r="C1356" s="4" t="s">
        <v>461</v>
      </c>
      <c r="D1356" s="4" t="n">
        <v>41</v>
      </c>
      <c r="E1356" s="21" t="s">
        <v>246</v>
      </c>
      <c r="F1356" s="22" t="s">
        <v>446</v>
      </c>
    </row>
    <row r="1357" customFormat="false" ht="15" hidden="false" customHeight="false" outlineLevel="0" collapsed="false">
      <c r="A1357" s="4" t="str">
        <f aca="false">B1357&amp;"|"&amp;C1357</f>
        <v>tdbR00000472 Val-AAC|42</v>
      </c>
      <c r="B1357" s="4" t="s">
        <v>55</v>
      </c>
      <c r="C1357" s="4" t="s">
        <v>462</v>
      </c>
      <c r="D1357" s="4" t="n">
        <v>42</v>
      </c>
      <c r="E1357" s="21" t="s">
        <v>197</v>
      </c>
      <c r="F1357" s="22" t="s">
        <v>446</v>
      </c>
    </row>
    <row r="1358" customFormat="false" ht="15" hidden="false" customHeight="false" outlineLevel="0" collapsed="false">
      <c r="A1358" s="4" t="str">
        <f aca="false">B1358&amp;"|"&amp;C1358</f>
        <v>tdbR00000472 Val-AAC|43</v>
      </c>
      <c r="B1358" s="4" t="s">
        <v>55</v>
      </c>
      <c r="C1358" s="4" t="s">
        <v>463</v>
      </c>
      <c r="D1358" s="4" t="n">
        <v>43</v>
      </c>
      <c r="E1358" s="21" t="s">
        <v>246</v>
      </c>
      <c r="F1358" s="22" t="s">
        <v>446</v>
      </c>
    </row>
    <row r="1359" customFormat="false" ht="15" hidden="false" customHeight="false" outlineLevel="0" collapsed="false">
      <c r="A1359" s="4" t="str">
        <f aca="false">B1359&amp;"|"&amp;C1359</f>
        <v>tdbR00000472 Val-AAC|44</v>
      </c>
      <c r="B1359" s="4" t="s">
        <v>55</v>
      </c>
      <c r="C1359" s="4" t="s">
        <v>464</v>
      </c>
      <c r="D1359" s="4" t="n">
        <v>44</v>
      </c>
      <c r="E1359" s="19" t="s">
        <v>246</v>
      </c>
      <c r="F1359" s="20" t="s">
        <v>465</v>
      </c>
    </row>
    <row r="1360" customFormat="false" ht="15" hidden="false" customHeight="false" outlineLevel="0" collapsed="false">
      <c r="A1360" s="4" t="str">
        <f aca="false">B1360&amp;"|"&amp;C1360</f>
        <v>tdbR00000472 Val-AAC|45</v>
      </c>
      <c r="B1360" s="4" t="s">
        <v>55</v>
      </c>
      <c r="C1360" s="4" t="s">
        <v>466</v>
      </c>
      <c r="D1360" s="4" t="n">
        <v>45</v>
      </c>
      <c r="E1360" s="19" t="s">
        <v>197</v>
      </c>
      <c r="F1360" s="20" t="s">
        <v>465</v>
      </c>
    </row>
    <row r="1361" customFormat="false" ht="15" hidden="false" customHeight="false" outlineLevel="0" collapsed="false">
      <c r="A1361" s="4" t="str">
        <f aca="false">B1361&amp;"|"&amp;C1361</f>
        <v>tdbR00000472 Val-AAC|46</v>
      </c>
      <c r="B1361" s="4" t="s">
        <v>55</v>
      </c>
      <c r="C1361" s="4" t="s">
        <v>467</v>
      </c>
      <c r="D1361" s="4" t="n">
        <v>46</v>
      </c>
      <c r="E1361" s="19" t="s">
        <v>197</v>
      </c>
      <c r="F1361" s="20" t="s">
        <v>465</v>
      </c>
    </row>
    <row r="1362" customFormat="false" ht="15" hidden="false" customHeight="false" outlineLevel="0" collapsed="false">
      <c r="A1362" s="4" t="str">
        <f aca="false">B1362&amp;"|"&amp;C1362</f>
        <v>tdbR00000472 Val-AAC|47</v>
      </c>
      <c r="B1362" s="4" t="s">
        <v>55</v>
      </c>
      <c r="C1362" s="4" t="s">
        <v>468</v>
      </c>
      <c r="D1362" s="4" t="n">
        <v>47</v>
      </c>
      <c r="E1362" s="19" t="s">
        <v>414</v>
      </c>
      <c r="F1362" s="20" t="s">
        <v>465</v>
      </c>
    </row>
    <row r="1363" customFormat="false" ht="15" hidden="false" customHeight="false" outlineLevel="0" collapsed="false">
      <c r="A1363" s="4" t="str">
        <f aca="false">B1363&amp;"|"&amp;C1363</f>
        <v>tdbR00000472 Val-AAC|48</v>
      </c>
      <c r="B1363" s="4" t="s">
        <v>55</v>
      </c>
      <c r="C1363" s="4" t="s">
        <v>469</v>
      </c>
      <c r="D1363" s="4" t="n">
        <v>48</v>
      </c>
      <c r="E1363" s="19" t="s">
        <v>414</v>
      </c>
      <c r="F1363" s="20" t="s">
        <v>465</v>
      </c>
    </row>
    <row r="1364" customFormat="false" ht="15" hidden="false" customHeight="false" outlineLevel="0" collapsed="false">
      <c r="A1364" s="4" t="str">
        <f aca="false">B1364&amp;"|"&amp;C1364</f>
        <v>tdbR00000472 Val-AAC|49</v>
      </c>
      <c r="B1364" s="4" t="s">
        <v>55</v>
      </c>
      <c r="C1364" s="4" t="s">
        <v>470</v>
      </c>
      <c r="D1364" s="4" t="n">
        <v>49</v>
      </c>
      <c r="E1364" s="23" t="s">
        <v>414</v>
      </c>
      <c r="F1364" s="10" t="s">
        <v>471</v>
      </c>
    </row>
    <row r="1365" customFormat="false" ht="15" hidden="false" customHeight="false" outlineLevel="0" collapsed="false">
      <c r="A1365" s="4" t="str">
        <f aca="false">B1365&amp;"|"&amp;C1365</f>
        <v>tdbR00000472 Val-AAC|50</v>
      </c>
      <c r="B1365" s="4" t="s">
        <v>55</v>
      </c>
      <c r="C1365" s="4" t="s">
        <v>472</v>
      </c>
      <c r="D1365" s="4" t="n">
        <v>50</v>
      </c>
      <c r="E1365" s="23" t="s">
        <v>414</v>
      </c>
      <c r="F1365" s="10" t="s">
        <v>471</v>
      </c>
    </row>
    <row r="1366" customFormat="false" ht="15" hidden="false" customHeight="false" outlineLevel="0" collapsed="false">
      <c r="A1366" s="4" t="str">
        <f aca="false">B1366&amp;"|"&amp;C1366</f>
        <v>tdbR00000472 Val-AAC|51</v>
      </c>
      <c r="B1366" s="4" t="s">
        <v>55</v>
      </c>
      <c r="C1366" s="4" t="s">
        <v>473</v>
      </c>
      <c r="D1366" s="4" t="n">
        <v>51</v>
      </c>
      <c r="E1366" s="23" t="s">
        <v>414</v>
      </c>
      <c r="F1366" s="10" t="s">
        <v>471</v>
      </c>
    </row>
    <row r="1367" customFormat="false" ht="15" hidden="false" customHeight="false" outlineLevel="0" collapsed="false">
      <c r="A1367" s="4" t="str">
        <f aca="false">B1367&amp;"|"&amp;C1367</f>
        <v>tdbR00000472 Val-AAC|52</v>
      </c>
      <c r="B1367" s="4" t="s">
        <v>55</v>
      </c>
      <c r="C1367" s="4" t="s">
        <v>474</v>
      </c>
      <c r="D1367" s="4" t="n">
        <v>52</v>
      </c>
      <c r="E1367" s="23" t="s">
        <v>197</v>
      </c>
      <c r="F1367" s="10" t="s">
        <v>471</v>
      </c>
    </row>
    <row r="1368" customFormat="false" ht="15" hidden="false" customHeight="false" outlineLevel="0" collapsed="false">
      <c r="A1368" s="4" t="str">
        <f aca="false">B1368&amp;"|"&amp;C1368</f>
        <v>tdbR00000472 Val-AAC|53</v>
      </c>
      <c r="B1368" s="4" t="s">
        <v>55</v>
      </c>
      <c r="C1368" s="4" t="s">
        <v>475</v>
      </c>
      <c r="D1368" s="4" t="n">
        <v>53</v>
      </c>
      <c r="E1368" s="23" t="s">
        <v>197</v>
      </c>
      <c r="F1368" s="10" t="s">
        <v>471</v>
      </c>
    </row>
    <row r="1369" customFormat="false" ht="15" hidden="false" customHeight="false" outlineLevel="0" collapsed="false">
      <c r="A1369" s="4" t="str">
        <f aca="false">B1369&amp;"|"&amp;C1369</f>
        <v>tdbR00000472 Val-AAC|54</v>
      </c>
      <c r="B1369" s="4" t="s">
        <v>55</v>
      </c>
      <c r="C1369" s="4" t="s">
        <v>476</v>
      </c>
      <c r="D1369" s="4" t="n">
        <v>54</v>
      </c>
      <c r="E1369" s="19" t="s">
        <v>259</v>
      </c>
      <c r="F1369" s="20" t="s">
        <v>477</v>
      </c>
    </row>
    <row r="1370" customFormat="false" ht="15" hidden="false" customHeight="false" outlineLevel="0" collapsed="false">
      <c r="A1370" s="4" t="str">
        <f aca="false">B1370&amp;"|"&amp;C1370</f>
        <v>tdbR00000472 Val-AAC|55</v>
      </c>
      <c r="B1370" s="4" t="s">
        <v>55</v>
      </c>
      <c r="C1370" s="4" t="s">
        <v>478</v>
      </c>
      <c r="D1370" s="4" t="n">
        <v>55</v>
      </c>
      <c r="E1370" s="19" t="s">
        <v>259</v>
      </c>
      <c r="F1370" s="20" t="s">
        <v>477</v>
      </c>
    </row>
    <row r="1371" customFormat="false" ht="15" hidden="false" customHeight="false" outlineLevel="0" collapsed="false">
      <c r="A1371" s="4" t="str">
        <f aca="false">B1371&amp;"|"&amp;C1371</f>
        <v>tdbR00000472 Val-AAC|56</v>
      </c>
      <c r="B1371" s="4" t="s">
        <v>55</v>
      </c>
      <c r="C1371" s="4" t="s">
        <v>479</v>
      </c>
      <c r="D1371" s="4" t="n">
        <v>56</v>
      </c>
      <c r="E1371" s="19" t="s">
        <v>414</v>
      </c>
      <c r="F1371" s="20" t="s">
        <v>477</v>
      </c>
    </row>
    <row r="1372" customFormat="false" ht="15" hidden="false" customHeight="false" outlineLevel="0" collapsed="false">
      <c r="A1372" s="4" t="str">
        <f aca="false">B1372&amp;"|"&amp;C1372</f>
        <v>tdbR00000472 Val-AAC|57</v>
      </c>
      <c r="B1372" s="4" t="s">
        <v>55</v>
      </c>
      <c r="C1372" s="4" t="s">
        <v>480</v>
      </c>
      <c r="D1372" s="4" t="n">
        <v>57</v>
      </c>
      <c r="E1372" s="19" t="s">
        <v>197</v>
      </c>
      <c r="F1372" s="20" t="s">
        <v>477</v>
      </c>
    </row>
    <row r="1373" customFormat="false" ht="15" hidden="false" customHeight="false" outlineLevel="0" collapsed="false">
      <c r="A1373" s="4" t="str">
        <f aca="false">B1373&amp;"|"&amp;C1373</f>
        <v>tdbR00000472 Val-AAC|58</v>
      </c>
      <c r="B1373" s="4" t="s">
        <v>55</v>
      </c>
      <c r="C1373" s="4" t="s">
        <v>481</v>
      </c>
      <c r="D1373" s="4" t="n">
        <v>58</v>
      </c>
      <c r="E1373" s="19" t="s">
        <v>246</v>
      </c>
      <c r="F1373" s="20" t="s">
        <v>477</v>
      </c>
    </row>
    <row r="1374" customFormat="false" ht="15" hidden="false" customHeight="false" outlineLevel="0" collapsed="false">
      <c r="A1374" s="4" t="str">
        <f aca="false">B1374&amp;"|"&amp;C1374</f>
        <v>tdbR00000472 Val-AAC|59</v>
      </c>
      <c r="B1374" s="4" t="s">
        <v>55</v>
      </c>
      <c r="C1374" s="4" t="s">
        <v>482</v>
      </c>
      <c r="D1374" s="4" t="n">
        <v>59</v>
      </c>
      <c r="E1374" s="19" t="s">
        <v>259</v>
      </c>
      <c r="F1374" s="20" t="s">
        <v>477</v>
      </c>
    </row>
    <row r="1375" customFormat="false" ht="15" hidden="false" customHeight="false" outlineLevel="0" collapsed="false">
      <c r="A1375" s="4" t="str">
        <f aca="false">B1375&amp;"|"&amp;C1375</f>
        <v>tdbR00000472 Val-AAC|60</v>
      </c>
      <c r="B1375" s="4" t="s">
        <v>55</v>
      </c>
      <c r="C1375" s="4" t="s">
        <v>483</v>
      </c>
      <c r="D1375" s="4" t="n">
        <v>60</v>
      </c>
      <c r="E1375" s="19" t="s">
        <v>414</v>
      </c>
      <c r="F1375" s="20" t="s">
        <v>477</v>
      </c>
    </row>
    <row r="1376" customFormat="false" ht="15" hidden="false" customHeight="false" outlineLevel="0" collapsed="false">
      <c r="A1376" s="4" t="str">
        <f aca="false">B1376&amp;"|"&amp;C1376</f>
        <v>tdbR00000472 Val-AAC|61</v>
      </c>
      <c r="B1376" s="4" t="s">
        <v>55</v>
      </c>
      <c r="C1376" s="4" t="s">
        <v>484</v>
      </c>
      <c r="D1376" s="4" t="n">
        <v>61</v>
      </c>
      <c r="E1376" s="23" t="s">
        <v>414</v>
      </c>
      <c r="F1376" s="10" t="s">
        <v>471</v>
      </c>
    </row>
    <row r="1377" customFormat="false" ht="15" hidden="false" customHeight="false" outlineLevel="0" collapsed="false">
      <c r="A1377" s="4" t="str">
        <f aca="false">B1377&amp;"|"&amp;C1377</f>
        <v>tdbR00000472 Val-AAC|62</v>
      </c>
      <c r="B1377" s="4" t="s">
        <v>55</v>
      </c>
      <c r="C1377" s="4" t="s">
        <v>485</v>
      </c>
      <c r="D1377" s="4" t="n">
        <v>62</v>
      </c>
      <c r="E1377" s="23" t="s">
        <v>414</v>
      </c>
      <c r="F1377" s="10" t="s">
        <v>471</v>
      </c>
    </row>
    <row r="1378" customFormat="false" ht="15" hidden="false" customHeight="false" outlineLevel="0" collapsed="false">
      <c r="A1378" s="4" t="str">
        <f aca="false">B1378&amp;"|"&amp;C1378</f>
        <v>tdbR00000472 Val-AAC|63</v>
      </c>
      <c r="B1378" s="4" t="s">
        <v>55</v>
      </c>
      <c r="C1378" s="4" t="s">
        <v>486</v>
      </c>
      <c r="D1378" s="4" t="n">
        <v>63</v>
      </c>
      <c r="E1378" s="23" t="s">
        <v>197</v>
      </c>
      <c r="F1378" s="10" t="s">
        <v>471</v>
      </c>
    </row>
    <row r="1379" customFormat="false" ht="15" hidden="false" customHeight="false" outlineLevel="0" collapsed="false">
      <c r="A1379" s="4" t="str">
        <f aca="false">B1379&amp;"|"&amp;C1379</f>
        <v>tdbR00000472 Val-AAC|64</v>
      </c>
      <c r="B1379" s="4" t="s">
        <v>55</v>
      </c>
      <c r="C1379" s="4" t="s">
        <v>487</v>
      </c>
      <c r="D1379" s="4" t="n">
        <v>64</v>
      </c>
      <c r="E1379" s="23" t="s">
        <v>197</v>
      </c>
      <c r="F1379" s="10" t="s">
        <v>471</v>
      </c>
    </row>
    <row r="1380" customFormat="false" ht="15" hidden="false" customHeight="false" outlineLevel="0" collapsed="false">
      <c r="A1380" s="4" t="str">
        <f aca="false">B1380&amp;"|"&amp;C1380</f>
        <v>tdbR00000472 Val-AAC|65</v>
      </c>
      <c r="B1380" s="4" t="s">
        <v>55</v>
      </c>
      <c r="C1380" s="4" t="s">
        <v>488</v>
      </c>
      <c r="D1380" s="4" t="n">
        <v>65</v>
      </c>
      <c r="E1380" s="23" t="s">
        <v>197</v>
      </c>
      <c r="F1380" s="10" t="s">
        <v>471</v>
      </c>
    </row>
    <row r="1381" customFormat="false" ht="15" hidden="false" customHeight="false" outlineLevel="0" collapsed="false">
      <c r="A1381" s="4" t="str">
        <f aca="false">B1381&amp;"|"&amp;C1381</f>
        <v>tdbR00000472 Val-AAC|66</v>
      </c>
      <c r="B1381" s="4" t="s">
        <v>55</v>
      </c>
      <c r="C1381" s="4" t="s">
        <v>489</v>
      </c>
      <c r="D1381" s="4" t="n">
        <v>66</v>
      </c>
      <c r="E1381" s="17" t="s">
        <v>414</v>
      </c>
      <c r="F1381" s="18" t="s">
        <v>412</v>
      </c>
    </row>
    <row r="1382" customFormat="false" ht="15" hidden="false" customHeight="false" outlineLevel="0" collapsed="false">
      <c r="A1382" s="4" t="str">
        <f aca="false">B1382&amp;"|"&amp;C1382</f>
        <v>tdbR00000472 Val-AAC|67</v>
      </c>
      <c r="B1382" s="4" t="s">
        <v>55</v>
      </c>
      <c r="C1382" s="4" t="s">
        <v>490</v>
      </c>
      <c r="D1382" s="4" t="n">
        <v>67</v>
      </c>
      <c r="E1382" s="17" t="s">
        <v>197</v>
      </c>
      <c r="F1382" s="18" t="s">
        <v>412</v>
      </c>
    </row>
    <row r="1383" customFormat="false" ht="15" hidden="false" customHeight="false" outlineLevel="0" collapsed="false">
      <c r="A1383" s="4" t="str">
        <f aca="false">B1383&amp;"|"&amp;C1383</f>
        <v>tdbR00000472 Val-AAC|68</v>
      </c>
      <c r="B1383" s="4" t="s">
        <v>55</v>
      </c>
      <c r="C1383" s="4" t="s">
        <v>491</v>
      </c>
      <c r="D1383" s="4" t="n">
        <v>68</v>
      </c>
      <c r="E1383" s="17" t="s">
        <v>197</v>
      </c>
      <c r="F1383" s="18" t="s">
        <v>412</v>
      </c>
    </row>
    <row r="1384" customFormat="false" ht="15" hidden="false" customHeight="false" outlineLevel="0" collapsed="false">
      <c r="A1384" s="4" t="str">
        <f aca="false">B1384&amp;"|"&amp;C1384</f>
        <v>tdbR00000472 Val-AAC|69</v>
      </c>
      <c r="B1384" s="4" t="s">
        <v>55</v>
      </c>
      <c r="C1384" s="4" t="s">
        <v>492</v>
      </c>
      <c r="D1384" s="4" t="n">
        <v>69</v>
      </c>
      <c r="E1384" s="17" t="s">
        <v>246</v>
      </c>
      <c r="F1384" s="18" t="s">
        <v>412</v>
      </c>
    </row>
    <row r="1385" customFormat="false" ht="15" hidden="false" customHeight="false" outlineLevel="0" collapsed="false">
      <c r="A1385" s="4" t="str">
        <f aca="false">B1385&amp;"|"&amp;C1385</f>
        <v>tdbR00000472 Val-AAC|70</v>
      </c>
      <c r="B1385" s="4" t="s">
        <v>55</v>
      </c>
      <c r="C1385" s="4" t="s">
        <v>493</v>
      </c>
      <c r="D1385" s="4" t="n">
        <v>70</v>
      </c>
      <c r="E1385" s="17" t="s">
        <v>246</v>
      </c>
      <c r="F1385" s="18" t="s">
        <v>412</v>
      </c>
    </row>
    <row r="1386" customFormat="false" ht="15" hidden="false" customHeight="false" outlineLevel="0" collapsed="false">
      <c r="A1386" s="4" t="str">
        <f aca="false">B1386&amp;"|"&amp;C1386</f>
        <v>tdbR00000472 Val-AAC|71</v>
      </c>
      <c r="B1386" s="4" t="s">
        <v>55</v>
      </c>
      <c r="C1386" s="4" t="s">
        <v>494</v>
      </c>
      <c r="D1386" s="4" t="n">
        <v>71</v>
      </c>
      <c r="E1386" s="17" t="s">
        <v>246</v>
      </c>
      <c r="F1386" s="18" t="s">
        <v>412</v>
      </c>
    </row>
    <row r="1387" customFormat="false" ht="15" hidden="false" customHeight="false" outlineLevel="0" collapsed="false">
      <c r="A1387" s="4" t="str">
        <f aca="false">B1387&amp;"|"&amp;C1387</f>
        <v>tdbR00000472 Val-AAC|72</v>
      </c>
      <c r="B1387" s="4" t="s">
        <v>55</v>
      </c>
      <c r="C1387" s="4" t="s">
        <v>495</v>
      </c>
      <c r="D1387" s="4" t="n">
        <v>72</v>
      </c>
      <c r="E1387" s="17" t="s">
        <v>414</v>
      </c>
      <c r="F1387" s="18" t="s">
        <v>412</v>
      </c>
    </row>
    <row r="1388" customFormat="false" ht="15" hidden="false" customHeight="false" outlineLevel="0" collapsed="false">
      <c r="A1388" s="4" t="str">
        <f aca="false">B1388&amp;"|"&amp;C1388</f>
        <v>tdbR00000474 Val-UAC|1</v>
      </c>
      <c r="B1388" s="4" t="s">
        <v>56</v>
      </c>
      <c r="C1388" s="4" t="s">
        <v>411</v>
      </c>
      <c r="D1388" s="4" t="n">
        <v>1</v>
      </c>
      <c r="E1388" s="17" t="s">
        <v>197</v>
      </c>
      <c r="F1388" s="18" t="s">
        <v>412</v>
      </c>
    </row>
    <row r="1389" customFormat="false" ht="15" hidden="false" customHeight="false" outlineLevel="0" collapsed="false">
      <c r="A1389" s="4" t="str">
        <f aca="false">B1389&amp;"|"&amp;C1389</f>
        <v>tdbR00000474 Val-UAC|2</v>
      </c>
      <c r="B1389" s="4" t="s">
        <v>56</v>
      </c>
      <c r="C1389" s="4" t="s">
        <v>413</v>
      </c>
      <c r="D1389" s="4" t="n">
        <v>2</v>
      </c>
      <c r="E1389" s="17" t="s">
        <v>197</v>
      </c>
      <c r="F1389" s="18" t="s">
        <v>412</v>
      </c>
    </row>
    <row r="1390" customFormat="false" ht="15" hidden="false" customHeight="false" outlineLevel="0" collapsed="false">
      <c r="A1390" s="4" t="str">
        <f aca="false">B1390&amp;"|"&amp;C1390</f>
        <v>tdbR00000474 Val-UAC|3</v>
      </c>
      <c r="B1390" s="4" t="s">
        <v>56</v>
      </c>
      <c r="C1390" s="4" t="s">
        <v>415</v>
      </c>
      <c r="D1390" s="4" t="n">
        <v>3</v>
      </c>
      <c r="E1390" s="17" t="s">
        <v>259</v>
      </c>
      <c r="F1390" s="18" t="s">
        <v>412</v>
      </c>
    </row>
    <row r="1391" customFormat="false" ht="15" hidden="false" customHeight="false" outlineLevel="0" collapsed="false">
      <c r="A1391" s="4" t="str">
        <f aca="false">B1391&amp;"|"&amp;C1391</f>
        <v>tdbR00000474 Val-UAC|4</v>
      </c>
      <c r="B1391" s="4" t="s">
        <v>56</v>
      </c>
      <c r="C1391" s="4" t="s">
        <v>416</v>
      </c>
      <c r="D1391" s="4" t="n">
        <v>4</v>
      </c>
      <c r="E1391" s="17" t="s">
        <v>259</v>
      </c>
      <c r="F1391" s="18" t="s">
        <v>412</v>
      </c>
    </row>
    <row r="1392" customFormat="false" ht="15" hidden="false" customHeight="false" outlineLevel="0" collapsed="false">
      <c r="A1392" s="4" t="str">
        <f aca="false">B1392&amp;"|"&amp;C1392</f>
        <v>tdbR00000474 Val-UAC|5</v>
      </c>
      <c r="B1392" s="4" t="s">
        <v>56</v>
      </c>
      <c r="C1392" s="4" t="s">
        <v>417</v>
      </c>
      <c r="D1392" s="4" t="n">
        <v>5</v>
      </c>
      <c r="E1392" s="17" t="s">
        <v>414</v>
      </c>
      <c r="F1392" s="18" t="s">
        <v>412</v>
      </c>
    </row>
    <row r="1393" customFormat="false" ht="15" hidden="false" customHeight="false" outlineLevel="0" collapsed="false">
      <c r="A1393" s="4" t="str">
        <f aca="false">B1393&amp;"|"&amp;C1393</f>
        <v>tdbR00000474 Val-UAC|6</v>
      </c>
      <c r="B1393" s="4" t="s">
        <v>56</v>
      </c>
      <c r="C1393" s="4" t="s">
        <v>418</v>
      </c>
      <c r="D1393" s="4" t="n">
        <v>6</v>
      </c>
      <c r="E1393" s="17" t="s">
        <v>414</v>
      </c>
      <c r="F1393" s="18" t="s">
        <v>412</v>
      </c>
    </row>
    <row r="1394" customFormat="false" ht="15" hidden="false" customHeight="false" outlineLevel="0" collapsed="false">
      <c r="A1394" s="4" t="str">
        <f aca="false">B1394&amp;"|"&amp;C1394</f>
        <v>tdbR00000474 Val-UAC|7</v>
      </c>
      <c r="B1394" s="4" t="s">
        <v>56</v>
      </c>
      <c r="C1394" s="4" t="s">
        <v>419</v>
      </c>
      <c r="D1394" s="4" t="n">
        <v>7</v>
      </c>
      <c r="E1394" s="17" t="s">
        <v>246</v>
      </c>
      <c r="F1394" s="18" t="s">
        <v>412</v>
      </c>
    </row>
    <row r="1395" customFormat="false" ht="15" hidden="false" customHeight="false" outlineLevel="0" collapsed="false">
      <c r="A1395" s="4" t="str">
        <f aca="false">B1395&amp;"|"&amp;C1395</f>
        <v>tdbR00000474 Val-UAC|8</v>
      </c>
      <c r="B1395" s="4" t="s">
        <v>56</v>
      </c>
      <c r="C1395" s="4" t="s">
        <v>420</v>
      </c>
      <c r="D1395" s="4" t="n">
        <v>8</v>
      </c>
      <c r="E1395" s="3" t="s">
        <v>259</v>
      </c>
      <c r="F1395" s="4" t="s">
        <v>421</v>
      </c>
    </row>
    <row r="1396" customFormat="false" ht="15" hidden="false" customHeight="false" outlineLevel="0" collapsed="false">
      <c r="A1396" s="4" t="str">
        <f aca="false">B1396&amp;"|"&amp;C1396</f>
        <v>tdbR00000474 Val-UAC|9</v>
      </c>
      <c r="B1396" s="4" t="s">
        <v>56</v>
      </c>
      <c r="C1396" s="4" t="s">
        <v>422</v>
      </c>
      <c r="D1396" s="4" t="n">
        <v>9</v>
      </c>
      <c r="E1396" s="3" t="s">
        <v>246</v>
      </c>
      <c r="F1396" s="4" t="s">
        <v>423</v>
      </c>
    </row>
    <row r="1397" customFormat="false" ht="15" hidden="false" customHeight="false" outlineLevel="0" collapsed="false">
      <c r="A1397" s="4" t="str">
        <f aca="false">B1397&amp;"|"&amp;C1397</f>
        <v>tdbR00000474 Val-UAC|10</v>
      </c>
      <c r="B1397" s="4" t="s">
        <v>56</v>
      </c>
      <c r="C1397" s="4" t="s">
        <v>424</v>
      </c>
      <c r="D1397" s="4" t="n">
        <v>10</v>
      </c>
      <c r="E1397" s="8" t="s">
        <v>197</v>
      </c>
      <c r="F1397" s="7" t="s">
        <v>425</v>
      </c>
    </row>
    <row r="1398" customFormat="false" ht="15" hidden="false" customHeight="false" outlineLevel="0" collapsed="false">
      <c r="A1398" s="4" t="str">
        <f aca="false">B1398&amp;"|"&amp;C1398</f>
        <v>tdbR00000474 Val-UAC|11</v>
      </c>
      <c r="B1398" s="4" t="s">
        <v>56</v>
      </c>
      <c r="C1398" s="4" t="s">
        <v>426</v>
      </c>
      <c r="D1398" s="4" t="n">
        <v>11</v>
      </c>
      <c r="E1398" s="8" t="s">
        <v>259</v>
      </c>
      <c r="F1398" s="7" t="s">
        <v>425</v>
      </c>
    </row>
    <row r="1399" customFormat="false" ht="15" hidden="false" customHeight="false" outlineLevel="0" collapsed="false">
      <c r="A1399" s="4" t="str">
        <f aca="false">B1399&amp;"|"&amp;C1399</f>
        <v>tdbR00000474 Val-UAC|12</v>
      </c>
      <c r="B1399" s="4" t="s">
        <v>56</v>
      </c>
      <c r="C1399" s="4" t="s">
        <v>427</v>
      </c>
      <c r="D1399" s="4" t="n">
        <v>12</v>
      </c>
      <c r="E1399" s="8" t="s">
        <v>197</v>
      </c>
      <c r="F1399" s="7" t="s">
        <v>425</v>
      </c>
    </row>
    <row r="1400" customFormat="false" ht="15" hidden="false" customHeight="false" outlineLevel="0" collapsed="false">
      <c r="A1400" s="4" t="str">
        <f aca="false">B1400&amp;"|"&amp;C1400</f>
        <v>tdbR00000474 Val-UAC|13</v>
      </c>
      <c r="B1400" s="4" t="s">
        <v>56</v>
      </c>
      <c r="C1400" s="4" t="s">
        <v>428</v>
      </c>
      <c r="D1400" s="4" t="n">
        <v>13</v>
      </c>
      <c r="E1400" s="8" t="s">
        <v>259</v>
      </c>
      <c r="F1400" s="7" t="s">
        <v>425</v>
      </c>
    </row>
    <row r="1401" customFormat="false" ht="15" hidden="false" customHeight="false" outlineLevel="0" collapsed="false">
      <c r="A1401" s="4" t="str">
        <f aca="false">B1401&amp;"|"&amp;C1401</f>
        <v>tdbR00000474 Val-UAC|14</v>
      </c>
      <c r="B1401" s="4" t="s">
        <v>56</v>
      </c>
      <c r="C1401" s="4" t="s">
        <v>429</v>
      </c>
      <c r="D1401" s="4" t="n">
        <v>14</v>
      </c>
      <c r="E1401" s="19" t="s">
        <v>246</v>
      </c>
      <c r="F1401" s="20" t="s">
        <v>430</v>
      </c>
    </row>
    <row r="1402" customFormat="false" ht="15" hidden="false" customHeight="false" outlineLevel="0" collapsed="false">
      <c r="A1402" s="4" t="str">
        <f aca="false">B1402&amp;"|"&amp;C1402</f>
        <v>tdbR00000474 Val-UAC|15</v>
      </c>
      <c r="B1402" s="4" t="s">
        <v>56</v>
      </c>
      <c r="C1402" s="4" t="s">
        <v>431</v>
      </c>
      <c r="D1402" s="4" t="n">
        <v>15</v>
      </c>
      <c r="E1402" s="19" t="s">
        <v>197</v>
      </c>
      <c r="F1402" s="20" t="s">
        <v>430</v>
      </c>
    </row>
    <row r="1403" customFormat="false" ht="15" hidden="false" customHeight="false" outlineLevel="0" collapsed="false">
      <c r="A1403" s="4" t="str">
        <f aca="false">B1403&amp;"|"&amp;C1403</f>
        <v>tdbR00000474 Val-UAC|16</v>
      </c>
      <c r="B1403" s="4" t="s">
        <v>56</v>
      </c>
      <c r="C1403" s="4" t="s">
        <v>432</v>
      </c>
      <c r="D1403" s="4" t="n">
        <v>16</v>
      </c>
      <c r="E1403" s="19" t="s">
        <v>414</v>
      </c>
      <c r="F1403" s="20" t="s">
        <v>430</v>
      </c>
    </row>
    <row r="1404" customFormat="false" ht="15" hidden="false" customHeight="false" outlineLevel="0" collapsed="false">
      <c r="A1404" s="4" t="str">
        <f aca="false">B1404&amp;"|"&amp;C1404</f>
        <v>tdbR00000474 Val-UAC|18</v>
      </c>
      <c r="B1404" s="4" t="s">
        <v>56</v>
      </c>
      <c r="C1404" s="4" t="s">
        <v>434</v>
      </c>
      <c r="D1404" s="4" t="n">
        <v>17</v>
      </c>
      <c r="E1404" s="19" t="s">
        <v>197</v>
      </c>
      <c r="F1404" s="20" t="s">
        <v>430</v>
      </c>
    </row>
    <row r="1405" customFormat="false" ht="15" hidden="false" customHeight="false" outlineLevel="0" collapsed="false">
      <c r="A1405" s="4" t="str">
        <f aca="false">B1405&amp;"|"&amp;C1405</f>
        <v>tdbR00000474 Val-UAC|19</v>
      </c>
      <c r="B1405" s="4" t="s">
        <v>56</v>
      </c>
      <c r="C1405" s="4" t="s">
        <v>435</v>
      </c>
      <c r="D1405" s="4" t="n">
        <v>18</v>
      </c>
      <c r="E1405" s="19" t="s">
        <v>197</v>
      </c>
      <c r="F1405" s="20" t="s">
        <v>430</v>
      </c>
    </row>
    <row r="1406" customFormat="false" ht="15" hidden="false" customHeight="false" outlineLevel="0" collapsed="false">
      <c r="A1406" s="4" t="str">
        <f aca="false">B1406&amp;"|"&amp;C1406</f>
        <v>tdbR00000474 Val-UAC|20</v>
      </c>
      <c r="B1406" s="4" t="s">
        <v>56</v>
      </c>
      <c r="C1406" s="4" t="s">
        <v>436</v>
      </c>
      <c r="D1406" s="4" t="n">
        <v>19</v>
      </c>
      <c r="E1406" s="19" t="s">
        <v>259</v>
      </c>
      <c r="F1406" s="20" t="s">
        <v>430</v>
      </c>
    </row>
    <row r="1407" customFormat="false" ht="15" hidden="false" customHeight="false" outlineLevel="0" collapsed="false">
      <c r="A1407" s="4" t="str">
        <f aca="false">B1407&amp;"|"&amp;C1407</f>
        <v>tdbR00000474 Val-UAC|20a</v>
      </c>
      <c r="B1407" s="4" t="s">
        <v>56</v>
      </c>
      <c r="C1407" s="4" t="s">
        <v>437</v>
      </c>
      <c r="D1407" s="4" t="n">
        <v>20</v>
      </c>
      <c r="E1407" s="19" t="s">
        <v>259</v>
      </c>
      <c r="F1407" s="20" t="s">
        <v>430</v>
      </c>
    </row>
    <row r="1408" customFormat="false" ht="15" hidden="false" customHeight="false" outlineLevel="0" collapsed="false">
      <c r="A1408" s="4" t="str">
        <f aca="false">B1408&amp;"|"&amp;C1408</f>
        <v>tdbR00000474 Val-UAC|21</v>
      </c>
      <c r="B1408" s="4" t="s">
        <v>56</v>
      </c>
      <c r="C1408" s="4" t="s">
        <v>438</v>
      </c>
      <c r="D1408" s="4" t="n">
        <v>21</v>
      </c>
      <c r="E1408" s="19" t="s">
        <v>246</v>
      </c>
      <c r="F1408" s="20" t="s">
        <v>430</v>
      </c>
    </row>
    <row r="1409" customFormat="false" ht="15" hidden="false" customHeight="false" outlineLevel="0" collapsed="false">
      <c r="A1409" s="4" t="str">
        <f aca="false">B1409&amp;"|"&amp;C1409</f>
        <v>tdbR00000474 Val-UAC|22</v>
      </c>
      <c r="B1409" s="4" t="s">
        <v>56</v>
      </c>
      <c r="C1409" s="4" t="s">
        <v>439</v>
      </c>
      <c r="D1409" s="4" t="n">
        <v>22</v>
      </c>
      <c r="E1409" s="8" t="s">
        <v>259</v>
      </c>
      <c r="F1409" s="7" t="s">
        <v>425</v>
      </c>
    </row>
    <row r="1410" customFormat="false" ht="15" hidden="false" customHeight="false" outlineLevel="0" collapsed="false">
      <c r="A1410" s="4" t="str">
        <f aca="false">B1410&amp;"|"&amp;C1410</f>
        <v>tdbR00000474 Val-UAC|23</v>
      </c>
      <c r="B1410" s="4" t="s">
        <v>56</v>
      </c>
      <c r="C1410" s="4" t="s">
        <v>440</v>
      </c>
      <c r="D1410" s="4" t="n">
        <v>23</v>
      </c>
      <c r="E1410" s="8" t="s">
        <v>414</v>
      </c>
      <c r="F1410" s="7" t="s">
        <v>425</v>
      </c>
    </row>
    <row r="1411" customFormat="false" ht="15" hidden="false" customHeight="false" outlineLevel="0" collapsed="false">
      <c r="A1411" s="4" t="str">
        <f aca="false">B1411&amp;"|"&amp;C1411</f>
        <v>tdbR00000474 Val-UAC|24</v>
      </c>
      <c r="B1411" s="4" t="s">
        <v>56</v>
      </c>
      <c r="C1411" s="4" t="s">
        <v>441</v>
      </c>
      <c r="D1411" s="4" t="n">
        <v>24</v>
      </c>
      <c r="E1411" s="8" t="s">
        <v>246</v>
      </c>
      <c r="F1411" s="7" t="s">
        <v>425</v>
      </c>
    </row>
    <row r="1412" customFormat="false" ht="15" hidden="false" customHeight="false" outlineLevel="0" collapsed="false">
      <c r="A1412" s="4" t="str">
        <f aca="false">B1412&amp;"|"&amp;C1412</f>
        <v>tdbR00000474 Val-UAC|25</v>
      </c>
      <c r="B1412" s="4" t="s">
        <v>56</v>
      </c>
      <c r="C1412" s="4" t="s">
        <v>442</v>
      </c>
      <c r="D1412" s="4" t="n">
        <v>25</v>
      </c>
      <c r="E1412" s="8" t="s">
        <v>414</v>
      </c>
      <c r="F1412" s="7" t="s">
        <v>425</v>
      </c>
    </row>
    <row r="1413" customFormat="false" ht="15" hidden="false" customHeight="false" outlineLevel="0" collapsed="false">
      <c r="A1413" s="4" t="str">
        <f aca="false">B1413&amp;"|"&amp;C1413</f>
        <v>tdbR00000474 Val-UAC|26</v>
      </c>
      <c r="B1413" s="4" t="s">
        <v>56</v>
      </c>
      <c r="C1413" s="4" t="s">
        <v>443</v>
      </c>
      <c r="D1413" s="4" t="n">
        <v>26</v>
      </c>
      <c r="E1413" s="3" t="s">
        <v>197</v>
      </c>
      <c r="F1413" s="4" t="s">
        <v>444</v>
      </c>
    </row>
    <row r="1414" customFormat="false" ht="15" hidden="false" customHeight="false" outlineLevel="0" collapsed="false">
      <c r="A1414" s="4" t="str">
        <f aca="false">B1414&amp;"|"&amp;C1414</f>
        <v>tdbR00000474 Val-UAC|27</v>
      </c>
      <c r="B1414" s="4" t="s">
        <v>56</v>
      </c>
      <c r="C1414" s="4" t="s">
        <v>445</v>
      </c>
      <c r="D1414" s="4" t="n">
        <v>27</v>
      </c>
      <c r="E1414" s="21" t="s">
        <v>259</v>
      </c>
      <c r="F1414" s="22" t="s">
        <v>446</v>
      </c>
    </row>
    <row r="1415" customFormat="false" ht="15" hidden="false" customHeight="false" outlineLevel="0" collapsed="false">
      <c r="A1415" s="4" t="str">
        <f aca="false">B1415&amp;"|"&amp;C1415</f>
        <v>tdbR00000474 Val-UAC|28</v>
      </c>
      <c r="B1415" s="4" t="s">
        <v>56</v>
      </c>
      <c r="C1415" s="4" t="s">
        <v>447</v>
      </c>
      <c r="D1415" s="4" t="n">
        <v>28</v>
      </c>
      <c r="E1415" s="21" t="s">
        <v>414</v>
      </c>
      <c r="F1415" s="22" t="s">
        <v>446</v>
      </c>
    </row>
    <row r="1416" customFormat="false" ht="15" hidden="false" customHeight="false" outlineLevel="0" collapsed="false">
      <c r="A1416" s="4" t="str">
        <f aca="false">B1416&amp;"|"&amp;C1416</f>
        <v>tdbR00000474 Val-UAC|29</v>
      </c>
      <c r="B1416" s="4" t="s">
        <v>56</v>
      </c>
      <c r="C1416" s="4" t="s">
        <v>448</v>
      </c>
      <c r="D1416" s="4" t="n">
        <v>29</v>
      </c>
      <c r="E1416" s="21" t="s">
        <v>259</v>
      </c>
      <c r="F1416" s="22" t="s">
        <v>446</v>
      </c>
    </row>
    <row r="1417" customFormat="false" ht="15" hidden="false" customHeight="false" outlineLevel="0" collapsed="false">
      <c r="A1417" s="4" t="str">
        <f aca="false">B1417&amp;"|"&amp;C1417</f>
        <v>tdbR00000474 Val-UAC|30</v>
      </c>
      <c r="B1417" s="4" t="s">
        <v>56</v>
      </c>
      <c r="C1417" s="4" t="s">
        <v>449</v>
      </c>
      <c r="D1417" s="4" t="n">
        <v>30</v>
      </c>
      <c r="E1417" s="21" t="s">
        <v>197</v>
      </c>
      <c r="F1417" s="22" t="s">
        <v>446</v>
      </c>
    </row>
    <row r="1418" customFormat="false" ht="15" hidden="false" customHeight="false" outlineLevel="0" collapsed="false">
      <c r="A1418" s="4" t="str">
        <f aca="false">B1418&amp;"|"&amp;C1418</f>
        <v>tdbR00000474 Val-UAC|31</v>
      </c>
      <c r="B1418" s="4" t="s">
        <v>56</v>
      </c>
      <c r="C1418" s="4" t="s">
        <v>450</v>
      </c>
      <c r="D1418" s="4" t="n">
        <v>31</v>
      </c>
      <c r="E1418" s="21" t="s">
        <v>414</v>
      </c>
      <c r="F1418" s="22" t="s">
        <v>446</v>
      </c>
    </row>
    <row r="1419" customFormat="false" ht="15" hidden="false" customHeight="false" outlineLevel="0" collapsed="false">
      <c r="A1419" s="4" t="str">
        <f aca="false">B1419&amp;"|"&amp;C1419</f>
        <v>tdbR00000474 Val-UAC|32</v>
      </c>
      <c r="B1419" s="4" t="s">
        <v>56</v>
      </c>
      <c r="C1419" s="4" t="s">
        <v>451</v>
      </c>
      <c r="D1419" s="4" t="n">
        <v>32</v>
      </c>
      <c r="E1419" s="19" t="s">
        <v>259</v>
      </c>
      <c r="F1419" s="20" t="s">
        <v>452</v>
      </c>
    </row>
    <row r="1420" customFormat="false" ht="15" hidden="false" customHeight="false" outlineLevel="0" collapsed="false">
      <c r="A1420" s="4" t="str">
        <f aca="false">B1420&amp;"|"&amp;C1420</f>
        <v>tdbR00000474 Val-UAC|33</v>
      </c>
      <c r="B1420" s="4" t="s">
        <v>56</v>
      </c>
      <c r="C1420" s="4" t="s">
        <v>453</v>
      </c>
      <c r="D1420" s="4" t="n">
        <v>33</v>
      </c>
      <c r="E1420" s="19" t="s">
        <v>259</v>
      </c>
      <c r="F1420" s="20" t="s">
        <v>452</v>
      </c>
    </row>
    <row r="1421" customFormat="false" ht="15" hidden="false" customHeight="false" outlineLevel="0" collapsed="false">
      <c r="A1421" s="4" t="str">
        <f aca="false">B1421&amp;"|"&amp;C1421</f>
        <v>tdbR00000474 Val-UAC|34</v>
      </c>
      <c r="B1421" s="4" t="s">
        <v>56</v>
      </c>
      <c r="C1421" s="4" t="s">
        <v>454</v>
      </c>
      <c r="D1421" s="4" t="n">
        <v>34</v>
      </c>
      <c r="E1421" s="19" t="s">
        <v>259</v>
      </c>
      <c r="F1421" s="20" t="s">
        <v>452</v>
      </c>
    </row>
    <row r="1422" customFormat="false" ht="15" hidden="false" customHeight="false" outlineLevel="0" collapsed="false">
      <c r="A1422" s="4" t="str">
        <f aca="false">B1422&amp;"|"&amp;C1422</f>
        <v>tdbR00000474 Val-UAC|35</v>
      </c>
      <c r="B1422" s="4" t="s">
        <v>56</v>
      </c>
      <c r="C1422" s="4" t="s">
        <v>455</v>
      </c>
      <c r="D1422" s="4" t="n">
        <v>35</v>
      </c>
      <c r="E1422" s="19" t="s">
        <v>246</v>
      </c>
      <c r="F1422" s="20" t="s">
        <v>452</v>
      </c>
    </row>
    <row r="1423" customFormat="false" ht="15" hidden="false" customHeight="false" outlineLevel="0" collapsed="false">
      <c r="A1423" s="4" t="str">
        <f aca="false">B1423&amp;"|"&amp;C1423</f>
        <v>tdbR00000474 Val-UAC|36</v>
      </c>
      <c r="B1423" s="4" t="s">
        <v>56</v>
      </c>
      <c r="C1423" s="4" t="s">
        <v>456</v>
      </c>
      <c r="D1423" s="4" t="n">
        <v>36</v>
      </c>
      <c r="E1423" s="19" t="s">
        <v>414</v>
      </c>
      <c r="F1423" s="20" t="s">
        <v>452</v>
      </c>
    </row>
    <row r="1424" customFormat="false" ht="15" hidden="false" customHeight="false" outlineLevel="0" collapsed="false">
      <c r="A1424" s="4" t="str">
        <f aca="false">B1424&amp;"|"&amp;C1424</f>
        <v>tdbR00000474 Val-UAC|37</v>
      </c>
      <c r="B1424" s="4" t="s">
        <v>56</v>
      </c>
      <c r="C1424" s="4" t="s">
        <v>457</v>
      </c>
      <c r="D1424" s="4" t="n">
        <v>37</v>
      </c>
      <c r="E1424" s="19" t="s">
        <v>246</v>
      </c>
      <c r="F1424" s="20" t="s">
        <v>452</v>
      </c>
    </row>
    <row r="1425" customFormat="false" ht="15" hidden="false" customHeight="false" outlineLevel="0" collapsed="false">
      <c r="A1425" s="4" t="str">
        <f aca="false">B1425&amp;"|"&amp;C1425</f>
        <v>tdbR00000474 Val-UAC|38</v>
      </c>
      <c r="B1425" s="4" t="s">
        <v>56</v>
      </c>
      <c r="C1425" s="4" t="s">
        <v>458</v>
      </c>
      <c r="D1425" s="4" t="n">
        <v>38</v>
      </c>
      <c r="E1425" s="19" t="s">
        <v>414</v>
      </c>
      <c r="F1425" s="20" t="s">
        <v>452</v>
      </c>
    </row>
    <row r="1426" customFormat="false" ht="15" hidden="false" customHeight="false" outlineLevel="0" collapsed="false">
      <c r="A1426" s="4" t="str">
        <f aca="false">B1426&amp;"|"&amp;C1426</f>
        <v>tdbR00000474 Val-UAC|39</v>
      </c>
      <c r="B1426" s="4" t="s">
        <v>56</v>
      </c>
      <c r="C1426" s="4" t="s">
        <v>459</v>
      </c>
      <c r="D1426" s="4" t="n">
        <v>39</v>
      </c>
      <c r="E1426" s="21" t="s">
        <v>197</v>
      </c>
      <c r="F1426" s="22" t="s">
        <v>446</v>
      </c>
    </row>
    <row r="1427" customFormat="false" ht="15" hidden="false" customHeight="false" outlineLevel="0" collapsed="false">
      <c r="A1427" s="4" t="str">
        <f aca="false">B1427&amp;"|"&amp;C1427</f>
        <v>tdbR00000474 Val-UAC|40</v>
      </c>
      <c r="B1427" s="4" t="s">
        <v>56</v>
      </c>
      <c r="C1427" s="4" t="s">
        <v>460</v>
      </c>
      <c r="D1427" s="4" t="n">
        <v>40</v>
      </c>
      <c r="E1427" s="21" t="s">
        <v>414</v>
      </c>
      <c r="F1427" s="22" t="s">
        <v>446</v>
      </c>
    </row>
    <row r="1428" customFormat="false" ht="15" hidden="false" customHeight="false" outlineLevel="0" collapsed="false">
      <c r="A1428" s="4" t="str">
        <f aca="false">B1428&amp;"|"&amp;C1428</f>
        <v>tdbR00000474 Val-UAC|41</v>
      </c>
      <c r="B1428" s="4" t="s">
        <v>56</v>
      </c>
      <c r="C1428" s="4" t="s">
        <v>461</v>
      </c>
      <c r="D1428" s="4" t="n">
        <v>41</v>
      </c>
      <c r="E1428" s="21" t="s">
        <v>246</v>
      </c>
      <c r="F1428" s="22" t="s">
        <v>446</v>
      </c>
    </row>
    <row r="1429" customFormat="false" ht="15" hidden="false" customHeight="false" outlineLevel="0" collapsed="false">
      <c r="A1429" s="4" t="str">
        <f aca="false">B1429&amp;"|"&amp;C1429</f>
        <v>tdbR00000474 Val-UAC|42</v>
      </c>
      <c r="B1429" s="4" t="s">
        <v>56</v>
      </c>
      <c r="C1429" s="4" t="s">
        <v>462</v>
      </c>
      <c r="D1429" s="4" t="n">
        <v>42</v>
      </c>
      <c r="E1429" s="21" t="s">
        <v>197</v>
      </c>
      <c r="F1429" s="22" t="s">
        <v>446</v>
      </c>
    </row>
    <row r="1430" customFormat="false" ht="15" hidden="false" customHeight="false" outlineLevel="0" collapsed="false">
      <c r="A1430" s="4" t="str">
        <f aca="false">B1430&amp;"|"&amp;C1430</f>
        <v>tdbR00000474 Val-UAC|43</v>
      </c>
      <c r="B1430" s="4" t="s">
        <v>56</v>
      </c>
      <c r="C1430" s="4" t="s">
        <v>463</v>
      </c>
      <c r="D1430" s="4" t="n">
        <v>43</v>
      </c>
      <c r="E1430" s="21" t="s">
        <v>246</v>
      </c>
      <c r="F1430" s="22" t="s">
        <v>446</v>
      </c>
    </row>
    <row r="1431" customFormat="false" ht="15" hidden="false" customHeight="false" outlineLevel="0" collapsed="false">
      <c r="A1431" s="4" t="str">
        <f aca="false">B1431&amp;"|"&amp;C1431</f>
        <v>tdbR00000474 Val-UAC|44</v>
      </c>
      <c r="B1431" s="4" t="s">
        <v>56</v>
      </c>
      <c r="C1431" s="4" t="s">
        <v>464</v>
      </c>
      <c r="D1431" s="4" t="n">
        <v>44</v>
      </c>
      <c r="E1431" s="19" t="s">
        <v>246</v>
      </c>
      <c r="F1431" s="20" t="s">
        <v>465</v>
      </c>
    </row>
    <row r="1432" customFormat="false" ht="15" hidden="false" customHeight="false" outlineLevel="0" collapsed="false">
      <c r="A1432" s="4" t="str">
        <f aca="false">B1432&amp;"|"&amp;C1432</f>
        <v>tdbR00000474 Val-UAC|45</v>
      </c>
      <c r="B1432" s="4" t="s">
        <v>56</v>
      </c>
      <c r="C1432" s="4" t="s">
        <v>466</v>
      </c>
      <c r="D1432" s="4" t="n">
        <v>45</v>
      </c>
      <c r="E1432" s="19" t="s">
        <v>197</v>
      </c>
      <c r="F1432" s="20" t="s">
        <v>465</v>
      </c>
    </row>
    <row r="1433" customFormat="false" ht="15" hidden="false" customHeight="false" outlineLevel="0" collapsed="false">
      <c r="A1433" s="4" t="str">
        <f aca="false">B1433&amp;"|"&amp;C1433</f>
        <v>tdbR00000474 Val-UAC|46</v>
      </c>
      <c r="B1433" s="4" t="s">
        <v>56</v>
      </c>
      <c r="C1433" s="4" t="s">
        <v>467</v>
      </c>
      <c r="D1433" s="4" t="n">
        <v>46</v>
      </c>
      <c r="E1433" s="19" t="s">
        <v>197</v>
      </c>
      <c r="F1433" s="20" t="s">
        <v>465</v>
      </c>
    </row>
    <row r="1434" customFormat="false" ht="15" hidden="false" customHeight="false" outlineLevel="0" collapsed="false">
      <c r="A1434" s="4" t="str">
        <f aca="false">B1434&amp;"|"&amp;C1434</f>
        <v>tdbR00000474 Val-UAC|47</v>
      </c>
      <c r="B1434" s="4" t="s">
        <v>56</v>
      </c>
      <c r="C1434" s="4" t="s">
        <v>468</v>
      </c>
      <c r="D1434" s="4" t="n">
        <v>47</v>
      </c>
      <c r="E1434" s="19" t="s">
        <v>259</v>
      </c>
      <c r="F1434" s="20" t="s">
        <v>465</v>
      </c>
    </row>
    <row r="1435" customFormat="false" ht="15" hidden="false" customHeight="false" outlineLevel="0" collapsed="false">
      <c r="A1435" s="4" t="str">
        <f aca="false">B1435&amp;"|"&amp;C1435</f>
        <v>tdbR00000474 Val-UAC|48</v>
      </c>
      <c r="B1435" s="4" t="s">
        <v>56</v>
      </c>
      <c r="C1435" s="4" t="s">
        <v>469</v>
      </c>
      <c r="D1435" s="4" t="n">
        <v>48</v>
      </c>
      <c r="E1435" s="19" t="s">
        <v>414</v>
      </c>
      <c r="F1435" s="20" t="s">
        <v>465</v>
      </c>
    </row>
    <row r="1436" customFormat="false" ht="15" hidden="false" customHeight="false" outlineLevel="0" collapsed="false">
      <c r="A1436" s="4" t="str">
        <f aca="false">B1436&amp;"|"&amp;C1436</f>
        <v>tdbR00000474 Val-UAC|49</v>
      </c>
      <c r="B1436" s="4" t="s">
        <v>56</v>
      </c>
      <c r="C1436" s="4" t="s">
        <v>470</v>
      </c>
      <c r="D1436" s="4" t="n">
        <v>49</v>
      </c>
      <c r="E1436" s="23" t="s">
        <v>259</v>
      </c>
      <c r="F1436" s="10" t="s">
        <v>471</v>
      </c>
    </row>
    <row r="1437" customFormat="false" ht="15" hidden="false" customHeight="false" outlineLevel="0" collapsed="false">
      <c r="A1437" s="4" t="str">
        <f aca="false">B1437&amp;"|"&amp;C1437</f>
        <v>tdbR00000474 Val-UAC|50</v>
      </c>
      <c r="B1437" s="4" t="s">
        <v>56</v>
      </c>
      <c r="C1437" s="4" t="s">
        <v>472</v>
      </c>
      <c r="D1437" s="4" t="n">
        <v>50</v>
      </c>
      <c r="E1437" s="23" t="s">
        <v>414</v>
      </c>
      <c r="F1437" s="10" t="s">
        <v>471</v>
      </c>
    </row>
    <row r="1438" customFormat="false" ht="15" hidden="false" customHeight="false" outlineLevel="0" collapsed="false">
      <c r="A1438" s="4" t="str">
        <f aca="false">B1438&amp;"|"&amp;C1438</f>
        <v>tdbR00000474 Val-UAC|51</v>
      </c>
      <c r="B1438" s="4" t="s">
        <v>56</v>
      </c>
      <c r="C1438" s="4" t="s">
        <v>473</v>
      </c>
      <c r="D1438" s="4" t="n">
        <v>51</v>
      </c>
      <c r="E1438" s="23" t="s">
        <v>414</v>
      </c>
      <c r="F1438" s="10" t="s">
        <v>471</v>
      </c>
    </row>
    <row r="1439" customFormat="false" ht="15" hidden="false" customHeight="false" outlineLevel="0" collapsed="false">
      <c r="A1439" s="4" t="str">
        <f aca="false">B1439&amp;"|"&amp;C1439</f>
        <v>tdbR00000474 Val-UAC|52</v>
      </c>
      <c r="B1439" s="4" t="s">
        <v>56</v>
      </c>
      <c r="C1439" s="4" t="s">
        <v>474</v>
      </c>
      <c r="D1439" s="4" t="n">
        <v>52</v>
      </c>
      <c r="E1439" s="23" t="s">
        <v>197</v>
      </c>
      <c r="F1439" s="10" t="s">
        <v>471</v>
      </c>
    </row>
    <row r="1440" customFormat="false" ht="15" hidden="false" customHeight="false" outlineLevel="0" collapsed="false">
      <c r="A1440" s="4" t="str">
        <f aca="false">B1440&amp;"|"&amp;C1440</f>
        <v>tdbR00000474 Val-UAC|53</v>
      </c>
      <c r="B1440" s="4" t="s">
        <v>56</v>
      </c>
      <c r="C1440" s="4" t="s">
        <v>475</v>
      </c>
      <c r="D1440" s="4" t="n">
        <v>53</v>
      </c>
      <c r="E1440" s="23" t="s">
        <v>197</v>
      </c>
      <c r="F1440" s="10" t="s">
        <v>471</v>
      </c>
    </row>
    <row r="1441" customFormat="false" ht="15" hidden="false" customHeight="false" outlineLevel="0" collapsed="false">
      <c r="A1441" s="4" t="str">
        <f aca="false">B1441&amp;"|"&amp;C1441</f>
        <v>tdbR00000474 Val-UAC|54</v>
      </c>
      <c r="B1441" s="4" t="s">
        <v>56</v>
      </c>
      <c r="C1441" s="4" t="s">
        <v>476</v>
      </c>
      <c r="D1441" s="4" t="n">
        <v>54</v>
      </c>
      <c r="E1441" s="19" t="s">
        <v>259</v>
      </c>
      <c r="F1441" s="20" t="s">
        <v>477</v>
      </c>
    </row>
    <row r="1442" customFormat="false" ht="15" hidden="false" customHeight="false" outlineLevel="0" collapsed="false">
      <c r="A1442" s="4" t="str">
        <f aca="false">B1442&amp;"|"&amp;C1442</f>
        <v>tdbR00000474 Val-UAC|55</v>
      </c>
      <c r="B1442" s="4" t="s">
        <v>56</v>
      </c>
      <c r="C1442" s="4" t="s">
        <v>478</v>
      </c>
      <c r="D1442" s="4" t="n">
        <v>55</v>
      </c>
      <c r="E1442" s="19" t="s">
        <v>259</v>
      </c>
      <c r="F1442" s="20" t="s">
        <v>477</v>
      </c>
    </row>
    <row r="1443" customFormat="false" ht="15" hidden="false" customHeight="false" outlineLevel="0" collapsed="false">
      <c r="A1443" s="4" t="str">
        <f aca="false">B1443&amp;"|"&amp;C1443</f>
        <v>tdbR00000474 Val-UAC|56</v>
      </c>
      <c r="B1443" s="4" t="s">
        <v>56</v>
      </c>
      <c r="C1443" s="4" t="s">
        <v>479</v>
      </c>
      <c r="D1443" s="4" t="n">
        <v>56</v>
      </c>
      <c r="E1443" s="19" t="s">
        <v>414</v>
      </c>
      <c r="F1443" s="20" t="s">
        <v>477</v>
      </c>
    </row>
    <row r="1444" customFormat="false" ht="15" hidden="false" customHeight="false" outlineLevel="0" collapsed="false">
      <c r="A1444" s="4" t="str">
        <f aca="false">B1444&amp;"|"&amp;C1444</f>
        <v>tdbR00000474 Val-UAC|57</v>
      </c>
      <c r="B1444" s="4" t="s">
        <v>56</v>
      </c>
      <c r="C1444" s="4" t="s">
        <v>480</v>
      </c>
      <c r="D1444" s="4" t="n">
        <v>57</v>
      </c>
      <c r="E1444" s="19" t="s">
        <v>197</v>
      </c>
      <c r="F1444" s="20" t="s">
        <v>477</v>
      </c>
    </row>
    <row r="1445" customFormat="false" ht="15" hidden="false" customHeight="false" outlineLevel="0" collapsed="false">
      <c r="A1445" s="4" t="str">
        <f aca="false">B1445&amp;"|"&amp;C1445</f>
        <v>tdbR00000474 Val-UAC|58</v>
      </c>
      <c r="B1445" s="4" t="s">
        <v>56</v>
      </c>
      <c r="C1445" s="4" t="s">
        <v>481</v>
      </c>
      <c r="D1445" s="4" t="n">
        <v>58</v>
      </c>
      <c r="E1445" s="19" t="s">
        <v>246</v>
      </c>
      <c r="F1445" s="20" t="s">
        <v>477</v>
      </c>
    </row>
    <row r="1446" customFormat="false" ht="15" hidden="false" customHeight="false" outlineLevel="0" collapsed="false">
      <c r="A1446" s="4" t="str">
        <f aca="false">B1446&amp;"|"&amp;C1446</f>
        <v>tdbR00000474 Val-UAC|59</v>
      </c>
      <c r="B1446" s="4" t="s">
        <v>56</v>
      </c>
      <c r="C1446" s="4" t="s">
        <v>482</v>
      </c>
      <c r="D1446" s="4" t="n">
        <v>59</v>
      </c>
      <c r="E1446" s="19" t="s">
        <v>259</v>
      </c>
      <c r="F1446" s="20" t="s">
        <v>477</v>
      </c>
    </row>
    <row r="1447" customFormat="false" ht="15" hidden="false" customHeight="false" outlineLevel="0" collapsed="false">
      <c r="A1447" s="4" t="str">
        <f aca="false">B1447&amp;"|"&amp;C1447</f>
        <v>tdbR00000474 Val-UAC|60</v>
      </c>
      <c r="B1447" s="4" t="s">
        <v>56</v>
      </c>
      <c r="C1447" s="4" t="s">
        <v>483</v>
      </c>
      <c r="D1447" s="4" t="n">
        <v>60</v>
      </c>
      <c r="E1447" s="19" t="s">
        <v>414</v>
      </c>
      <c r="F1447" s="20" t="s">
        <v>477</v>
      </c>
    </row>
    <row r="1448" customFormat="false" ht="15" hidden="false" customHeight="false" outlineLevel="0" collapsed="false">
      <c r="A1448" s="4" t="str">
        <f aca="false">B1448&amp;"|"&amp;C1448</f>
        <v>tdbR00000474 Val-UAC|61</v>
      </c>
      <c r="B1448" s="4" t="s">
        <v>56</v>
      </c>
      <c r="C1448" s="4" t="s">
        <v>484</v>
      </c>
      <c r="D1448" s="4" t="n">
        <v>61</v>
      </c>
      <c r="E1448" s="23" t="s">
        <v>414</v>
      </c>
      <c r="F1448" s="10" t="s">
        <v>471</v>
      </c>
    </row>
    <row r="1449" customFormat="false" ht="15" hidden="false" customHeight="false" outlineLevel="0" collapsed="false">
      <c r="A1449" s="4" t="str">
        <f aca="false">B1449&amp;"|"&amp;C1449</f>
        <v>tdbR00000474 Val-UAC|62</v>
      </c>
      <c r="B1449" s="4" t="s">
        <v>56</v>
      </c>
      <c r="C1449" s="4" t="s">
        <v>485</v>
      </c>
      <c r="D1449" s="4" t="n">
        <v>62</v>
      </c>
      <c r="E1449" s="23" t="s">
        <v>414</v>
      </c>
      <c r="F1449" s="10" t="s">
        <v>471</v>
      </c>
    </row>
    <row r="1450" customFormat="false" ht="15" hidden="false" customHeight="false" outlineLevel="0" collapsed="false">
      <c r="A1450" s="4" t="str">
        <f aca="false">B1450&amp;"|"&amp;C1450</f>
        <v>tdbR00000474 Val-UAC|63</v>
      </c>
      <c r="B1450" s="4" t="s">
        <v>56</v>
      </c>
      <c r="C1450" s="4" t="s">
        <v>486</v>
      </c>
      <c r="D1450" s="4" t="n">
        <v>63</v>
      </c>
      <c r="E1450" s="23" t="s">
        <v>197</v>
      </c>
      <c r="F1450" s="10" t="s">
        <v>471</v>
      </c>
    </row>
    <row r="1451" customFormat="false" ht="15" hidden="false" customHeight="false" outlineLevel="0" collapsed="false">
      <c r="A1451" s="4" t="str">
        <f aca="false">B1451&amp;"|"&amp;C1451</f>
        <v>tdbR00000474 Val-UAC|64</v>
      </c>
      <c r="B1451" s="4" t="s">
        <v>56</v>
      </c>
      <c r="C1451" s="4" t="s">
        <v>487</v>
      </c>
      <c r="D1451" s="4" t="n">
        <v>64</v>
      </c>
      <c r="E1451" s="23" t="s">
        <v>197</v>
      </c>
      <c r="F1451" s="10" t="s">
        <v>471</v>
      </c>
    </row>
    <row r="1452" customFormat="false" ht="15" hidden="false" customHeight="false" outlineLevel="0" collapsed="false">
      <c r="A1452" s="4" t="str">
        <f aca="false">B1452&amp;"|"&amp;C1452</f>
        <v>tdbR00000474 Val-UAC|65</v>
      </c>
      <c r="B1452" s="4" t="s">
        <v>56</v>
      </c>
      <c r="C1452" s="4" t="s">
        <v>488</v>
      </c>
      <c r="D1452" s="4" t="n">
        <v>65</v>
      </c>
      <c r="E1452" s="23" t="s">
        <v>246</v>
      </c>
      <c r="F1452" s="10" t="s">
        <v>471</v>
      </c>
    </row>
    <row r="1453" customFormat="false" ht="15" hidden="false" customHeight="false" outlineLevel="0" collapsed="false">
      <c r="A1453" s="4" t="str">
        <f aca="false">B1453&amp;"|"&amp;C1453</f>
        <v>tdbR00000474 Val-UAC|66</v>
      </c>
      <c r="B1453" s="4" t="s">
        <v>56</v>
      </c>
      <c r="C1453" s="4" t="s">
        <v>489</v>
      </c>
      <c r="D1453" s="4" t="n">
        <v>66</v>
      </c>
      <c r="E1453" s="17" t="s">
        <v>259</v>
      </c>
      <c r="F1453" s="18" t="s">
        <v>412</v>
      </c>
    </row>
    <row r="1454" customFormat="false" ht="15" hidden="false" customHeight="false" outlineLevel="0" collapsed="false">
      <c r="A1454" s="4" t="str">
        <f aca="false">B1454&amp;"|"&amp;C1454</f>
        <v>tdbR00000474 Val-UAC|67</v>
      </c>
      <c r="B1454" s="4" t="s">
        <v>56</v>
      </c>
      <c r="C1454" s="4" t="s">
        <v>490</v>
      </c>
      <c r="D1454" s="4" t="n">
        <v>67</v>
      </c>
      <c r="E1454" s="17" t="s">
        <v>197</v>
      </c>
      <c r="F1454" s="18" t="s">
        <v>412</v>
      </c>
    </row>
    <row r="1455" customFormat="false" ht="15" hidden="false" customHeight="false" outlineLevel="0" collapsed="false">
      <c r="A1455" s="4" t="str">
        <f aca="false">B1455&amp;"|"&amp;C1455</f>
        <v>tdbR00000474 Val-UAC|68</v>
      </c>
      <c r="B1455" s="4" t="s">
        <v>56</v>
      </c>
      <c r="C1455" s="4" t="s">
        <v>491</v>
      </c>
      <c r="D1455" s="4" t="n">
        <v>68</v>
      </c>
      <c r="E1455" s="17" t="s">
        <v>197</v>
      </c>
      <c r="F1455" s="18" t="s">
        <v>412</v>
      </c>
    </row>
    <row r="1456" customFormat="false" ht="15" hidden="false" customHeight="false" outlineLevel="0" collapsed="false">
      <c r="A1456" s="4" t="str">
        <f aca="false">B1456&amp;"|"&amp;C1456</f>
        <v>tdbR00000474 Val-UAC|69</v>
      </c>
      <c r="B1456" s="4" t="s">
        <v>56</v>
      </c>
      <c r="C1456" s="4" t="s">
        <v>492</v>
      </c>
      <c r="D1456" s="4" t="n">
        <v>69</v>
      </c>
      <c r="E1456" s="17" t="s">
        <v>246</v>
      </c>
      <c r="F1456" s="18" t="s">
        <v>412</v>
      </c>
    </row>
    <row r="1457" customFormat="false" ht="15" hidden="false" customHeight="false" outlineLevel="0" collapsed="false">
      <c r="A1457" s="4" t="str">
        <f aca="false">B1457&amp;"|"&amp;C1457</f>
        <v>tdbR00000474 Val-UAC|70</v>
      </c>
      <c r="B1457" s="4" t="s">
        <v>56</v>
      </c>
      <c r="C1457" s="4" t="s">
        <v>493</v>
      </c>
      <c r="D1457" s="4" t="n">
        <v>70</v>
      </c>
      <c r="E1457" s="17" t="s">
        <v>246</v>
      </c>
      <c r="F1457" s="18" t="s">
        <v>412</v>
      </c>
    </row>
    <row r="1458" customFormat="false" ht="15" hidden="false" customHeight="false" outlineLevel="0" collapsed="false">
      <c r="A1458" s="4" t="str">
        <f aca="false">B1458&amp;"|"&amp;C1458</f>
        <v>tdbR00000474 Val-UAC|71</v>
      </c>
      <c r="B1458" s="4" t="s">
        <v>56</v>
      </c>
      <c r="C1458" s="4" t="s">
        <v>494</v>
      </c>
      <c r="D1458" s="4" t="n">
        <v>71</v>
      </c>
      <c r="E1458" s="17" t="s">
        <v>414</v>
      </c>
      <c r="F1458" s="18" t="s">
        <v>412</v>
      </c>
    </row>
    <row r="1459" customFormat="false" ht="15" hidden="false" customHeight="false" outlineLevel="0" collapsed="false">
      <c r="A1459" s="4" t="str">
        <f aca="false">B1459&amp;"|"&amp;C1459</f>
        <v>tdbR00000474 Val-UAC|72</v>
      </c>
      <c r="B1459" s="4" t="s">
        <v>56</v>
      </c>
      <c r="C1459" s="4" t="s">
        <v>495</v>
      </c>
      <c r="D1459" s="4" t="n">
        <v>72</v>
      </c>
      <c r="E1459" s="17" t="s">
        <v>414</v>
      </c>
      <c r="F1459" s="18" t="s">
        <v>412</v>
      </c>
    </row>
    <row r="1460" customFormat="false" ht="15" hidden="false" customHeight="false" outlineLevel="0" collapsed="false">
      <c r="A1460" s="4" t="str">
        <f aca="false">B1460&amp;"|"&amp;C1460</f>
        <v>tdbR00000014 Ala-AGC|1</v>
      </c>
      <c r="B1460" s="4" t="s">
        <v>57</v>
      </c>
      <c r="C1460" s="4" t="s">
        <v>411</v>
      </c>
      <c r="D1460" s="4" t="n">
        <v>1</v>
      </c>
      <c r="E1460" s="17" t="s">
        <v>197</v>
      </c>
      <c r="F1460" s="18" t="s">
        <v>412</v>
      </c>
    </row>
    <row r="1461" customFormat="false" ht="15" hidden="false" customHeight="false" outlineLevel="0" collapsed="false">
      <c r="A1461" s="4" t="str">
        <f aca="false">B1461&amp;"|"&amp;C1461</f>
        <v>tdbR00000014 Ala-AGC|2</v>
      </c>
      <c r="B1461" s="4" t="s">
        <v>57</v>
      </c>
      <c r="C1461" s="4" t="s">
        <v>413</v>
      </c>
      <c r="D1461" s="4" t="n">
        <v>2</v>
      </c>
      <c r="E1461" s="17" t="s">
        <v>197</v>
      </c>
      <c r="F1461" s="18" t="s">
        <v>412</v>
      </c>
    </row>
    <row r="1462" customFormat="false" ht="15" hidden="false" customHeight="false" outlineLevel="0" collapsed="false">
      <c r="A1462" s="4" t="str">
        <f aca="false">B1462&amp;"|"&amp;C1462</f>
        <v>tdbR00000014 Ala-AGC|3</v>
      </c>
      <c r="B1462" s="4" t="s">
        <v>57</v>
      </c>
      <c r="C1462" s="4" t="s">
        <v>415</v>
      </c>
      <c r="D1462" s="4" t="n">
        <v>3</v>
      </c>
      <c r="E1462" s="17" t="s">
        <v>197</v>
      </c>
      <c r="F1462" s="18" t="s">
        <v>412</v>
      </c>
    </row>
    <row r="1463" customFormat="false" ht="15" hidden="false" customHeight="false" outlineLevel="0" collapsed="false">
      <c r="A1463" s="4" t="str">
        <f aca="false">B1463&amp;"|"&amp;C1463</f>
        <v>tdbR00000014 Ala-AGC|4</v>
      </c>
      <c r="B1463" s="4" t="s">
        <v>57</v>
      </c>
      <c r="C1463" s="4" t="s">
        <v>416</v>
      </c>
      <c r="D1463" s="4" t="n">
        <v>4</v>
      </c>
      <c r="E1463" s="17" t="s">
        <v>197</v>
      </c>
      <c r="F1463" s="18" t="s">
        <v>412</v>
      </c>
    </row>
    <row r="1464" customFormat="false" ht="15" hidden="false" customHeight="false" outlineLevel="0" collapsed="false">
      <c r="A1464" s="4" t="str">
        <f aca="false">B1464&amp;"|"&amp;C1464</f>
        <v>tdbR00000014 Ala-AGC|5</v>
      </c>
      <c r="B1464" s="4" t="s">
        <v>57</v>
      </c>
      <c r="C1464" s="4" t="s">
        <v>417</v>
      </c>
      <c r="D1464" s="4" t="n">
        <v>5</v>
      </c>
      <c r="E1464" s="17" t="s">
        <v>197</v>
      </c>
      <c r="F1464" s="18" t="s">
        <v>412</v>
      </c>
    </row>
    <row r="1465" customFormat="false" ht="15" hidden="false" customHeight="false" outlineLevel="0" collapsed="false">
      <c r="A1465" s="4" t="str">
        <f aca="false">B1465&amp;"|"&amp;C1465</f>
        <v>tdbR00000014 Ala-AGC|6</v>
      </c>
      <c r="B1465" s="4" t="s">
        <v>57</v>
      </c>
      <c r="C1465" s="4" t="s">
        <v>418</v>
      </c>
      <c r="D1465" s="4" t="n">
        <v>6</v>
      </c>
      <c r="E1465" s="17" t="s">
        <v>414</v>
      </c>
      <c r="F1465" s="18" t="s">
        <v>412</v>
      </c>
    </row>
    <row r="1466" customFormat="false" ht="15" hidden="false" customHeight="false" outlineLevel="0" collapsed="false">
      <c r="A1466" s="4" t="str">
        <f aca="false">B1466&amp;"|"&amp;C1466</f>
        <v>tdbR00000014 Ala-AGC|7</v>
      </c>
      <c r="B1466" s="4" t="s">
        <v>57</v>
      </c>
      <c r="C1466" s="4" t="s">
        <v>419</v>
      </c>
      <c r="D1466" s="4" t="n">
        <v>7</v>
      </c>
      <c r="E1466" s="17" t="s">
        <v>197</v>
      </c>
      <c r="F1466" s="18" t="s">
        <v>412</v>
      </c>
    </row>
    <row r="1467" customFormat="false" ht="15" hidden="false" customHeight="false" outlineLevel="0" collapsed="false">
      <c r="A1467" s="4" t="str">
        <f aca="false">B1467&amp;"|"&amp;C1467</f>
        <v>tdbR00000014 Ala-AGC|8</v>
      </c>
      <c r="B1467" s="4" t="s">
        <v>57</v>
      </c>
      <c r="C1467" s="4" t="s">
        <v>420</v>
      </c>
      <c r="D1467" s="4" t="n">
        <v>8</v>
      </c>
      <c r="E1467" s="3" t="s">
        <v>259</v>
      </c>
      <c r="F1467" s="4" t="s">
        <v>421</v>
      </c>
    </row>
    <row r="1468" customFormat="false" ht="15" hidden="false" customHeight="false" outlineLevel="0" collapsed="false">
      <c r="A1468" s="4" t="str">
        <f aca="false">B1468&amp;"|"&amp;C1468</f>
        <v>tdbR00000014 Ala-AGC|9</v>
      </c>
      <c r="B1468" s="4" t="s">
        <v>57</v>
      </c>
      <c r="C1468" s="4" t="s">
        <v>422</v>
      </c>
      <c r="D1468" s="4" t="n">
        <v>9</v>
      </c>
      <c r="E1468" s="3" t="s">
        <v>246</v>
      </c>
      <c r="F1468" s="4" t="s">
        <v>423</v>
      </c>
    </row>
    <row r="1469" customFormat="false" ht="15" hidden="false" customHeight="false" outlineLevel="0" collapsed="false">
      <c r="A1469" s="4" t="str">
        <f aca="false">B1469&amp;"|"&amp;C1469</f>
        <v>tdbR00000014 Ala-AGC|10</v>
      </c>
      <c r="B1469" s="4" t="s">
        <v>57</v>
      </c>
      <c r="C1469" s="4" t="s">
        <v>424</v>
      </c>
      <c r="D1469" s="4" t="n">
        <v>10</v>
      </c>
      <c r="E1469" s="8" t="s">
        <v>197</v>
      </c>
      <c r="F1469" s="7" t="s">
        <v>425</v>
      </c>
    </row>
    <row r="1470" customFormat="false" ht="15" hidden="false" customHeight="false" outlineLevel="0" collapsed="false">
      <c r="A1470" s="4" t="str">
        <f aca="false">B1470&amp;"|"&amp;C1470</f>
        <v>tdbR00000014 Ala-AGC|11</v>
      </c>
      <c r="B1470" s="4" t="s">
        <v>57</v>
      </c>
      <c r="C1470" s="4" t="s">
        <v>426</v>
      </c>
      <c r="D1470" s="4" t="n">
        <v>11</v>
      </c>
      <c r="E1470" s="8" t="s">
        <v>414</v>
      </c>
      <c r="F1470" s="7" t="s">
        <v>425</v>
      </c>
    </row>
    <row r="1471" customFormat="false" ht="15" hidden="false" customHeight="false" outlineLevel="0" collapsed="false">
      <c r="A1471" s="4" t="str">
        <f aca="false">B1471&amp;"|"&amp;C1471</f>
        <v>tdbR00000014 Ala-AGC|12</v>
      </c>
      <c r="B1471" s="4" t="s">
        <v>57</v>
      </c>
      <c r="C1471" s="4" t="s">
        <v>427</v>
      </c>
      <c r="D1471" s="4" t="n">
        <v>12</v>
      </c>
      <c r="E1471" s="8" t="s">
        <v>259</v>
      </c>
      <c r="F1471" s="7" t="s">
        <v>425</v>
      </c>
    </row>
    <row r="1472" customFormat="false" ht="15" hidden="false" customHeight="false" outlineLevel="0" collapsed="false">
      <c r="A1472" s="4" t="str">
        <f aca="false">B1472&amp;"|"&amp;C1472</f>
        <v>tdbR00000014 Ala-AGC|13</v>
      </c>
      <c r="B1472" s="4" t="s">
        <v>57</v>
      </c>
      <c r="C1472" s="4" t="s">
        <v>428</v>
      </c>
      <c r="D1472" s="4" t="n">
        <v>13</v>
      </c>
      <c r="E1472" s="8" t="s">
        <v>414</v>
      </c>
      <c r="F1472" s="7" t="s">
        <v>425</v>
      </c>
    </row>
    <row r="1473" customFormat="false" ht="15" hidden="false" customHeight="false" outlineLevel="0" collapsed="false">
      <c r="A1473" s="4" t="str">
        <f aca="false">B1473&amp;"|"&amp;C1473</f>
        <v>tdbR00000014 Ala-AGC|14</v>
      </c>
      <c r="B1473" s="4" t="s">
        <v>57</v>
      </c>
      <c r="C1473" s="4" t="s">
        <v>429</v>
      </c>
      <c r="D1473" s="4" t="n">
        <v>14</v>
      </c>
      <c r="E1473" s="19" t="s">
        <v>246</v>
      </c>
      <c r="F1473" s="20" t="s">
        <v>430</v>
      </c>
    </row>
    <row r="1474" customFormat="false" ht="15" hidden="false" customHeight="false" outlineLevel="0" collapsed="false">
      <c r="A1474" s="4" t="str">
        <f aca="false">B1474&amp;"|"&amp;C1474</f>
        <v>tdbR00000014 Ala-AGC|15</v>
      </c>
      <c r="B1474" s="4" t="s">
        <v>57</v>
      </c>
      <c r="C1474" s="4" t="s">
        <v>431</v>
      </c>
      <c r="D1474" s="4" t="n">
        <v>15</v>
      </c>
      <c r="E1474" s="19" t="s">
        <v>197</v>
      </c>
      <c r="F1474" s="20" t="s">
        <v>430</v>
      </c>
    </row>
    <row r="1475" customFormat="false" ht="15" hidden="false" customHeight="false" outlineLevel="0" collapsed="false">
      <c r="A1475" s="4" t="str">
        <f aca="false">B1475&amp;"|"&amp;C1475</f>
        <v>tdbR00000014 Ala-AGC|16</v>
      </c>
      <c r="B1475" s="4" t="s">
        <v>57</v>
      </c>
      <c r="C1475" s="4" t="s">
        <v>432</v>
      </c>
      <c r="D1475" s="4" t="n">
        <v>16</v>
      </c>
      <c r="E1475" s="19" t="s">
        <v>246</v>
      </c>
      <c r="F1475" s="20" t="s">
        <v>430</v>
      </c>
    </row>
    <row r="1476" customFormat="false" ht="15" hidden="false" customHeight="false" outlineLevel="0" collapsed="false">
      <c r="A1476" s="4" t="str">
        <f aca="false">B1476&amp;"|"&amp;C1476</f>
        <v>tdbR00000014 Ala-AGC|17</v>
      </c>
      <c r="B1476" s="4" t="s">
        <v>57</v>
      </c>
      <c r="C1476" s="4" t="s">
        <v>433</v>
      </c>
      <c r="D1476" s="4" t="n">
        <v>17</v>
      </c>
      <c r="E1476" s="19" t="s">
        <v>259</v>
      </c>
      <c r="F1476" s="20" t="s">
        <v>430</v>
      </c>
    </row>
    <row r="1477" customFormat="false" ht="15" hidden="false" customHeight="false" outlineLevel="0" collapsed="false">
      <c r="A1477" s="4" t="str">
        <f aca="false">B1477&amp;"|"&amp;C1477</f>
        <v>tdbR00000014 Ala-AGC|18</v>
      </c>
      <c r="B1477" s="4" t="s">
        <v>57</v>
      </c>
      <c r="C1477" s="4" t="s">
        <v>434</v>
      </c>
      <c r="D1477" s="4" t="n">
        <v>18</v>
      </c>
      <c r="E1477" s="19" t="s">
        <v>197</v>
      </c>
      <c r="F1477" s="20" t="s">
        <v>430</v>
      </c>
    </row>
    <row r="1478" customFormat="false" ht="15" hidden="false" customHeight="false" outlineLevel="0" collapsed="false">
      <c r="A1478" s="4" t="str">
        <f aca="false">B1478&amp;"|"&amp;C1478</f>
        <v>tdbR00000014 Ala-AGC|19</v>
      </c>
      <c r="B1478" s="4" t="s">
        <v>57</v>
      </c>
      <c r="C1478" s="4" t="s">
        <v>435</v>
      </c>
      <c r="D1478" s="4" t="n">
        <v>19</v>
      </c>
      <c r="E1478" s="19" t="s">
        <v>197</v>
      </c>
      <c r="F1478" s="20" t="s">
        <v>430</v>
      </c>
    </row>
    <row r="1479" customFormat="false" ht="15" hidden="false" customHeight="false" outlineLevel="0" collapsed="false">
      <c r="A1479" s="4" t="str">
        <f aca="false">B1479&amp;"|"&amp;C1479</f>
        <v>tdbR00000014 Ala-AGC|20</v>
      </c>
      <c r="B1479" s="4" t="s">
        <v>57</v>
      </c>
      <c r="C1479" s="4" t="s">
        <v>436</v>
      </c>
      <c r="D1479" s="4" t="n">
        <v>20</v>
      </c>
      <c r="E1479" s="19" t="s">
        <v>259</v>
      </c>
      <c r="F1479" s="20" t="s">
        <v>430</v>
      </c>
    </row>
    <row r="1480" customFormat="false" ht="15" hidden="false" customHeight="false" outlineLevel="0" collapsed="false">
      <c r="A1480" s="4" t="str">
        <f aca="false">B1480&amp;"|"&amp;C1480</f>
        <v>tdbR00000014 Ala-AGC|21</v>
      </c>
      <c r="B1480" s="4" t="s">
        <v>57</v>
      </c>
      <c r="C1480" s="4" t="s">
        <v>438</v>
      </c>
      <c r="D1480" s="4" t="n">
        <v>21</v>
      </c>
      <c r="E1480" s="19" t="s">
        <v>246</v>
      </c>
      <c r="F1480" s="20" t="s">
        <v>430</v>
      </c>
    </row>
    <row r="1481" customFormat="false" ht="15" hidden="false" customHeight="false" outlineLevel="0" collapsed="false">
      <c r="A1481" s="4" t="str">
        <f aca="false">B1481&amp;"|"&amp;C1481</f>
        <v>tdbR00000014 Ala-AGC|22</v>
      </c>
      <c r="B1481" s="4" t="s">
        <v>57</v>
      </c>
      <c r="C1481" s="4" t="s">
        <v>439</v>
      </c>
      <c r="D1481" s="4" t="n">
        <v>22</v>
      </c>
      <c r="E1481" s="8" t="s">
        <v>197</v>
      </c>
      <c r="F1481" s="7" t="s">
        <v>425</v>
      </c>
    </row>
    <row r="1482" customFormat="false" ht="15" hidden="false" customHeight="false" outlineLevel="0" collapsed="false">
      <c r="A1482" s="4" t="str">
        <f aca="false">B1482&amp;"|"&amp;C1482</f>
        <v>tdbR00000014 Ala-AGC|23</v>
      </c>
      <c r="B1482" s="4" t="s">
        <v>57</v>
      </c>
      <c r="C1482" s="4" t="s">
        <v>440</v>
      </c>
      <c r="D1482" s="4" t="n">
        <v>23</v>
      </c>
      <c r="E1482" s="8" t="s">
        <v>246</v>
      </c>
      <c r="F1482" s="7" t="s">
        <v>425</v>
      </c>
    </row>
    <row r="1483" customFormat="false" ht="15" hidden="false" customHeight="false" outlineLevel="0" collapsed="false">
      <c r="A1483" s="4" t="str">
        <f aca="false">B1483&amp;"|"&amp;C1483</f>
        <v>tdbR00000014 Ala-AGC|24</v>
      </c>
      <c r="B1483" s="4" t="s">
        <v>57</v>
      </c>
      <c r="C1483" s="4" t="s">
        <v>441</v>
      </c>
      <c r="D1483" s="4" t="n">
        <v>24</v>
      </c>
      <c r="E1483" s="8" t="s">
        <v>197</v>
      </c>
      <c r="F1483" s="7" t="s">
        <v>425</v>
      </c>
    </row>
    <row r="1484" customFormat="false" ht="15" hidden="false" customHeight="false" outlineLevel="0" collapsed="false">
      <c r="A1484" s="4" t="str">
        <f aca="false">B1484&amp;"|"&amp;C1484</f>
        <v>tdbR00000014 Ala-AGC|25</v>
      </c>
      <c r="B1484" s="4" t="s">
        <v>57</v>
      </c>
      <c r="C1484" s="4" t="s">
        <v>442</v>
      </c>
      <c r="D1484" s="4" t="n">
        <v>25</v>
      </c>
      <c r="E1484" s="8" t="s">
        <v>414</v>
      </c>
      <c r="F1484" s="7" t="s">
        <v>425</v>
      </c>
    </row>
    <row r="1485" customFormat="false" ht="15" hidden="false" customHeight="false" outlineLevel="0" collapsed="false">
      <c r="A1485" s="4" t="str">
        <f aca="false">B1485&amp;"|"&amp;C1485</f>
        <v>tdbR00000014 Ala-AGC|26</v>
      </c>
      <c r="B1485" s="4" t="s">
        <v>57</v>
      </c>
      <c r="C1485" s="4" t="s">
        <v>443</v>
      </c>
      <c r="D1485" s="4" t="n">
        <v>26</v>
      </c>
      <c r="E1485" s="3" t="s">
        <v>197</v>
      </c>
      <c r="F1485" s="4" t="s">
        <v>444</v>
      </c>
    </row>
    <row r="1486" customFormat="false" ht="15" hidden="false" customHeight="false" outlineLevel="0" collapsed="false">
      <c r="A1486" s="4" t="str">
        <f aca="false">B1486&amp;"|"&amp;C1486</f>
        <v>tdbR00000014 Ala-AGC|27</v>
      </c>
      <c r="B1486" s="4" t="s">
        <v>57</v>
      </c>
      <c r="C1486" s="4" t="s">
        <v>445</v>
      </c>
      <c r="D1486" s="4" t="n">
        <v>27</v>
      </c>
      <c r="E1486" s="21" t="s">
        <v>414</v>
      </c>
      <c r="F1486" s="22" t="s">
        <v>446</v>
      </c>
    </row>
    <row r="1487" customFormat="false" ht="15" hidden="false" customHeight="false" outlineLevel="0" collapsed="false">
      <c r="A1487" s="4" t="str">
        <f aca="false">B1487&amp;"|"&amp;C1487</f>
        <v>tdbR00000014 Ala-AGC|28</v>
      </c>
      <c r="B1487" s="4" t="s">
        <v>57</v>
      </c>
      <c r="C1487" s="4" t="s">
        <v>447</v>
      </c>
      <c r="D1487" s="4" t="n">
        <v>28</v>
      </c>
      <c r="E1487" s="21" t="s">
        <v>259</v>
      </c>
      <c r="F1487" s="22" t="s">
        <v>446</v>
      </c>
    </row>
    <row r="1488" customFormat="false" ht="15" hidden="false" customHeight="false" outlineLevel="0" collapsed="false">
      <c r="A1488" s="4" t="str">
        <f aca="false">B1488&amp;"|"&amp;C1488</f>
        <v>tdbR00000014 Ala-AGC|29</v>
      </c>
      <c r="B1488" s="4" t="s">
        <v>57</v>
      </c>
      <c r="C1488" s="4" t="s">
        <v>448</v>
      </c>
      <c r="D1488" s="4" t="n">
        <v>29</v>
      </c>
      <c r="E1488" s="21" t="s">
        <v>414</v>
      </c>
      <c r="F1488" s="22" t="s">
        <v>446</v>
      </c>
    </row>
    <row r="1489" customFormat="false" ht="15" hidden="false" customHeight="false" outlineLevel="0" collapsed="false">
      <c r="A1489" s="4" t="str">
        <f aca="false">B1489&amp;"|"&amp;C1489</f>
        <v>tdbR00000014 Ala-AGC|30</v>
      </c>
      <c r="B1489" s="4" t="s">
        <v>57</v>
      </c>
      <c r="C1489" s="4" t="s">
        <v>449</v>
      </c>
      <c r="D1489" s="4" t="n">
        <v>30</v>
      </c>
      <c r="E1489" s="21" t="s">
        <v>197</v>
      </c>
      <c r="F1489" s="22" t="s">
        <v>446</v>
      </c>
    </row>
    <row r="1490" customFormat="false" ht="15" hidden="false" customHeight="false" outlineLevel="0" collapsed="false">
      <c r="A1490" s="4" t="str">
        <f aca="false">B1490&amp;"|"&amp;C1490</f>
        <v>tdbR00000014 Ala-AGC|31</v>
      </c>
      <c r="B1490" s="4" t="s">
        <v>57</v>
      </c>
      <c r="C1490" s="4" t="s">
        <v>450</v>
      </c>
      <c r="D1490" s="4" t="n">
        <v>31</v>
      </c>
      <c r="E1490" s="21" t="s">
        <v>414</v>
      </c>
      <c r="F1490" s="22" t="s">
        <v>446</v>
      </c>
    </row>
    <row r="1491" customFormat="false" ht="15" hidden="false" customHeight="false" outlineLevel="0" collapsed="false">
      <c r="A1491" s="4" t="str">
        <f aca="false">B1491&amp;"|"&amp;C1491</f>
        <v>tdbR00000014 Ala-AGC|32</v>
      </c>
      <c r="B1491" s="4" t="s">
        <v>57</v>
      </c>
      <c r="C1491" s="4" t="s">
        <v>451</v>
      </c>
      <c r="D1491" s="4" t="n">
        <v>32</v>
      </c>
      <c r="E1491" s="19" t="s">
        <v>259</v>
      </c>
      <c r="F1491" s="20" t="s">
        <v>452</v>
      </c>
    </row>
    <row r="1492" customFormat="false" ht="15" hidden="false" customHeight="false" outlineLevel="0" collapsed="false">
      <c r="A1492" s="4" t="str">
        <f aca="false">B1492&amp;"|"&amp;C1492</f>
        <v>tdbR00000014 Ala-AGC|33</v>
      </c>
      <c r="B1492" s="4" t="s">
        <v>57</v>
      </c>
      <c r="C1492" s="4" t="s">
        <v>453</v>
      </c>
      <c r="D1492" s="4" t="n">
        <v>33</v>
      </c>
      <c r="E1492" s="19" t="s">
        <v>259</v>
      </c>
      <c r="F1492" s="20" t="s">
        <v>452</v>
      </c>
    </row>
    <row r="1493" customFormat="false" ht="15" hidden="false" customHeight="false" outlineLevel="0" collapsed="false">
      <c r="A1493" s="4" t="str">
        <f aca="false">B1493&amp;"|"&amp;C1493</f>
        <v>tdbR00000014 Ala-AGC|34</v>
      </c>
      <c r="B1493" s="4" t="s">
        <v>57</v>
      </c>
      <c r="C1493" s="4" t="s">
        <v>454</v>
      </c>
      <c r="D1493" s="4" t="n">
        <v>34</v>
      </c>
      <c r="E1493" s="19" t="s">
        <v>246</v>
      </c>
      <c r="F1493" s="20" t="s">
        <v>452</v>
      </c>
    </row>
    <row r="1494" customFormat="false" ht="15" hidden="false" customHeight="false" outlineLevel="0" collapsed="false">
      <c r="A1494" s="4" t="str">
        <f aca="false">B1494&amp;"|"&amp;C1494</f>
        <v>tdbR00000014 Ala-AGC|35</v>
      </c>
      <c r="B1494" s="4" t="s">
        <v>57</v>
      </c>
      <c r="C1494" s="4" t="s">
        <v>455</v>
      </c>
      <c r="D1494" s="4" t="n">
        <v>35</v>
      </c>
      <c r="E1494" s="19" t="s">
        <v>197</v>
      </c>
      <c r="F1494" s="20" t="s">
        <v>452</v>
      </c>
    </row>
    <row r="1495" customFormat="false" ht="15" hidden="false" customHeight="false" outlineLevel="0" collapsed="false">
      <c r="A1495" s="4" t="str">
        <f aca="false">B1495&amp;"|"&amp;C1495</f>
        <v>tdbR00000014 Ala-AGC|36</v>
      </c>
      <c r="B1495" s="4" t="s">
        <v>57</v>
      </c>
      <c r="C1495" s="4" t="s">
        <v>456</v>
      </c>
      <c r="D1495" s="4" t="n">
        <v>36</v>
      </c>
      <c r="E1495" s="19" t="s">
        <v>414</v>
      </c>
      <c r="F1495" s="20" t="s">
        <v>452</v>
      </c>
    </row>
    <row r="1496" customFormat="false" ht="15" hidden="false" customHeight="false" outlineLevel="0" collapsed="false">
      <c r="A1496" s="4" t="str">
        <f aca="false">B1496&amp;"|"&amp;C1496</f>
        <v>tdbR00000014 Ala-AGC|37</v>
      </c>
      <c r="B1496" s="4" t="s">
        <v>57</v>
      </c>
      <c r="C1496" s="4" t="s">
        <v>457</v>
      </c>
      <c r="D1496" s="4" t="n">
        <v>37</v>
      </c>
      <c r="E1496" s="19" t="s">
        <v>246</v>
      </c>
      <c r="F1496" s="20" t="s">
        <v>452</v>
      </c>
    </row>
    <row r="1497" customFormat="false" ht="15" hidden="false" customHeight="false" outlineLevel="0" collapsed="false">
      <c r="A1497" s="4" t="str">
        <f aca="false">B1497&amp;"|"&amp;C1497</f>
        <v>tdbR00000014 Ala-AGC|38</v>
      </c>
      <c r="B1497" s="4" t="s">
        <v>57</v>
      </c>
      <c r="C1497" s="4" t="s">
        <v>458</v>
      </c>
      <c r="D1497" s="4" t="n">
        <v>38</v>
      </c>
      <c r="E1497" s="19" t="s">
        <v>259</v>
      </c>
      <c r="F1497" s="20" t="s">
        <v>452</v>
      </c>
    </row>
    <row r="1498" customFormat="false" ht="15" hidden="false" customHeight="false" outlineLevel="0" collapsed="false">
      <c r="A1498" s="4" t="str">
        <f aca="false">B1498&amp;"|"&amp;C1498</f>
        <v>tdbR00000014 Ala-AGC|39</v>
      </c>
      <c r="B1498" s="4" t="s">
        <v>57</v>
      </c>
      <c r="C1498" s="4" t="s">
        <v>459</v>
      </c>
      <c r="D1498" s="4" t="n">
        <v>39</v>
      </c>
      <c r="E1498" s="21" t="s">
        <v>197</v>
      </c>
      <c r="F1498" s="22" t="s">
        <v>446</v>
      </c>
    </row>
    <row r="1499" customFormat="false" ht="15" hidden="false" customHeight="false" outlineLevel="0" collapsed="false">
      <c r="A1499" s="4" t="str">
        <f aca="false">B1499&amp;"|"&amp;C1499</f>
        <v>tdbR00000014 Ala-AGC|40</v>
      </c>
      <c r="B1499" s="4" t="s">
        <v>57</v>
      </c>
      <c r="C1499" s="4" t="s">
        <v>460</v>
      </c>
      <c r="D1499" s="4" t="n">
        <v>40</v>
      </c>
      <c r="E1499" s="21" t="s">
        <v>259</v>
      </c>
      <c r="F1499" s="22" t="s">
        <v>446</v>
      </c>
    </row>
    <row r="1500" customFormat="false" ht="15" hidden="false" customHeight="false" outlineLevel="0" collapsed="false">
      <c r="A1500" s="4" t="str">
        <f aca="false">B1500&amp;"|"&amp;C1500</f>
        <v>tdbR00000014 Ala-AGC|41</v>
      </c>
      <c r="B1500" s="4" t="s">
        <v>57</v>
      </c>
      <c r="C1500" s="4" t="s">
        <v>461</v>
      </c>
      <c r="D1500" s="4" t="n">
        <v>41</v>
      </c>
      <c r="E1500" s="21" t="s">
        <v>197</v>
      </c>
      <c r="F1500" s="22" t="s">
        <v>446</v>
      </c>
    </row>
    <row r="1501" customFormat="false" ht="15" hidden="false" customHeight="false" outlineLevel="0" collapsed="false">
      <c r="A1501" s="4" t="str">
        <f aca="false">B1501&amp;"|"&amp;C1501</f>
        <v>tdbR00000014 Ala-AGC|42</v>
      </c>
      <c r="B1501" s="4" t="s">
        <v>57</v>
      </c>
      <c r="C1501" s="4" t="s">
        <v>462</v>
      </c>
      <c r="D1501" s="4" t="n">
        <v>42</v>
      </c>
      <c r="E1501" s="21" t="s">
        <v>246</v>
      </c>
      <c r="F1501" s="22" t="s">
        <v>446</v>
      </c>
    </row>
    <row r="1502" customFormat="false" ht="15" hidden="false" customHeight="false" outlineLevel="0" collapsed="false">
      <c r="A1502" s="4" t="str">
        <f aca="false">B1502&amp;"|"&amp;C1502</f>
        <v>tdbR00000014 Ala-AGC|43</v>
      </c>
      <c r="B1502" s="4" t="s">
        <v>57</v>
      </c>
      <c r="C1502" s="4" t="s">
        <v>463</v>
      </c>
      <c r="D1502" s="4" t="n">
        <v>43</v>
      </c>
      <c r="E1502" s="21" t="s">
        <v>197</v>
      </c>
      <c r="F1502" s="22" t="s">
        <v>446</v>
      </c>
    </row>
    <row r="1503" customFormat="false" ht="15" hidden="false" customHeight="false" outlineLevel="0" collapsed="false">
      <c r="A1503" s="4" t="str">
        <f aca="false">B1503&amp;"|"&amp;C1503</f>
        <v>tdbR00000014 Ala-AGC|44</v>
      </c>
      <c r="B1503" s="4" t="s">
        <v>57</v>
      </c>
      <c r="C1503" s="4" t="s">
        <v>464</v>
      </c>
      <c r="D1503" s="4" t="n">
        <v>44</v>
      </c>
      <c r="E1503" s="19" t="s">
        <v>246</v>
      </c>
      <c r="F1503" s="20" t="s">
        <v>465</v>
      </c>
    </row>
    <row r="1504" customFormat="false" ht="15" hidden="false" customHeight="false" outlineLevel="0" collapsed="false">
      <c r="A1504" s="4" t="str">
        <f aca="false">B1504&amp;"|"&amp;C1504</f>
        <v>tdbR00000014 Ala-AGC|45</v>
      </c>
      <c r="B1504" s="4" t="s">
        <v>57</v>
      </c>
      <c r="C1504" s="4" t="s">
        <v>466</v>
      </c>
      <c r="D1504" s="4" t="n">
        <v>45</v>
      </c>
      <c r="E1504" s="19" t="s">
        <v>197</v>
      </c>
      <c r="F1504" s="20" t="s">
        <v>465</v>
      </c>
    </row>
    <row r="1505" customFormat="false" ht="15" hidden="false" customHeight="false" outlineLevel="0" collapsed="false">
      <c r="A1505" s="4" t="str">
        <f aca="false">B1505&amp;"|"&amp;C1505</f>
        <v>tdbR00000014 Ala-AGC|46</v>
      </c>
      <c r="B1505" s="4" t="s">
        <v>57</v>
      </c>
      <c r="C1505" s="4" t="s">
        <v>467</v>
      </c>
      <c r="D1505" s="4" t="n">
        <v>46</v>
      </c>
      <c r="E1505" s="19" t="s">
        <v>197</v>
      </c>
      <c r="F1505" s="20" t="s">
        <v>465</v>
      </c>
    </row>
    <row r="1506" customFormat="false" ht="15" hidden="false" customHeight="false" outlineLevel="0" collapsed="false">
      <c r="A1506" s="4" t="str">
        <f aca="false">B1506&amp;"|"&amp;C1506</f>
        <v>tdbR00000014 Ala-AGC|47</v>
      </c>
      <c r="B1506" s="4" t="s">
        <v>57</v>
      </c>
      <c r="C1506" s="4" t="s">
        <v>468</v>
      </c>
      <c r="D1506" s="4" t="n">
        <v>47</v>
      </c>
      <c r="E1506" s="19" t="s">
        <v>259</v>
      </c>
      <c r="F1506" s="20" t="s">
        <v>465</v>
      </c>
    </row>
    <row r="1507" customFormat="false" ht="15" hidden="false" customHeight="false" outlineLevel="0" collapsed="false">
      <c r="A1507" s="4" t="str">
        <f aca="false">B1507&amp;"|"&amp;C1507</f>
        <v>tdbR00000014 Ala-AGC|48</v>
      </c>
      <c r="B1507" s="4" t="s">
        <v>57</v>
      </c>
      <c r="C1507" s="4" t="s">
        <v>469</v>
      </c>
      <c r="D1507" s="4" t="n">
        <v>48</v>
      </c>
      <c r="E1507" s="19" t="s">
        <v>246</v>
      </c>
      <c r="F1507" s="20" t="s">
        <v>465</v>
      </c>
    </row>
    <row r="1508" customFormat="false" ht="15" hidden="false" customHeight="false" outlineLevel="0" collapsed="false">
      <c r="A1508" s="4" t="str">
        <f aca="false">B1508&amp;"|"&amp;C1508</f>
        <v>tdbR00000014 Ala-AGC|49</v>
      </c>
      <c r="B1508" s="4" t="s">
        <v>57</v>
      </c>
      <c r="C1508" s="4" t="s">
        <v>470</v>
      </c>
      <c r="D1508" s="4" t="n">
        <v>49</v>
      </c>
      <c r="E1508" s="23" t="s">
        <v>414</v>
      </c>
      <c r="F1508" s="10" t="s">
        <v>471</v>
      </c>
    </row>
    <row r="1509" customFormat="false" ht="15" hidden="false" customHeight="false" outlineLevel="0" collapsed="false">
      <c r="A1509" s="4" t="str">
        <f aca="false">B1509&amp;"|"&amp;C1509</f>
        <v>tdbR00000014 Ala-AGC|50</v>
      </c>
      <c r="B1509" s="4" t="s">
        <v>57</v>
      </c>
      <c r="C1509" s="4" t="s">
        <v>472</v>
      </c>
      <c r="D1509" s="4" t="n">
        <v>50</v>
      </c>
      <c r="E1509" s="23" t="s">
        <v>414</v>
      </c>
      <c r="F1509" s="10" t="s">
        <v>471</v>
      </c>
    </row>
    <row r="1510" customFormat="false" ht="15" hidden="false" customHeight="false" outlineLevel="0" collapsed="false">
      <c r="A1510" s="4" t="str">
        <f aca="false">B1510&amp;"|"&amp;C1510</f>
        <v>tdbR00000014 Ala-AGC|51</v>
      </c>
      <c r="B1510" s="4" t="s">
        <v>57</v>
      </c>
      <c r="C1510" s="4" t="s">
        <v>473</v>
      </c>
      <c r="D1510" s="4" t="n">
        <v>51</v>
      </c>
      <c r="E1510" s="23" t="s">
        <v>197</v>
      </c>
      <c r="F1510" s="10" t="s">
        <v>471</v>
      </c>
    </row>
    <row r="1511" customFormat="false" ht="15" hidden="false" customHeight="false" outlineLevel="0" collapsed="false">
      <c r="A1511" s="4" t="str">
        <f aca="false">B1511&amp;"|"&amp;C1511</f>
        <v>tdbR00000014 Ala-AGC|52</v>
      </c>
      <c r="B1511" s="4" t="s">
        <v>57</v>
      </c>
      <c r="C1511" s="4" t="s">
        <v>474</v>
      </c>
      <c r="D1511" s="4" t="n">
        <v>52</v>
      </c>
      <c r="E1511" s="23" t="s">
        <v>197</v>
      </c>
      <c r="F1511" s="10" t="s">
        <v>471</v>
      </c>
    </row>
    <row r="1512" customFormat="false" ht="15" hidden="false" customHeight="false" outlineLevel="0" collapsed="false">
      <c r="A1512" s="4" t="str">
        <f aca="false">B1512&amp;"|"&amp;C1512</f>
        <v>tdbR00000014 Ala-AGC|53</v>
      </c>
      <c r="B1512" s="4" t="s">
        <v>57</v>
      </c>
      <c r="C1512" s="4" t="s">
        <v>475</v>
      </c>
      <c r="D1512" s="4" t="n">
        <v>53</v>
      </c>
      <c r="E1512" s="23" t="s">
        <v>197</v>
      </c>
      <c r="F1512" s="10" t="s">
        <v>471</v>
      </c>
    </row>
    <row r="1513" customFormat="false" ht="15" hidden="false" customHeight="false" outlineLevel="0" collapsed="false">
      <c r="A1513" s="4" t="str">
        <f aca="false">B1513&amp;"|"&amp;C1513</f>
        <v>tdbR00000014 Ala-AGC|54</v>
      </c>
      <c r="B1513" s="4" t="s">
        <v>57</v>
      </c>
      <c r="C1513" s="4" t="s">
        <v>476</v>
      </c>
      <c r="D1513" s="4" t="n">
        <v>54</v>
      </c>
      <c r="E1513" s="19" t="s">
        <v>246</v>
      </c>
      <c r="F1513" s="20" t="s">
        <v>477</v>
      </c>
    </row>
    <row r="1514" customFormat="false" ht="15" hidden="false" customHeight="false" outlineLevel="0" collapsed="false">
      <c r="A1514" s="4" t="str">
        <f aca="false">B1514&amp;"|"&amp;C1514</f>
        <v>tdbR00000014 Ala-AGC|55</v>
      </c>
      <c r="B1514" s="4" t="s">
        <v>57</v>
      </c>
      <c r="C1514" s="4" t="s">
        <v>478</v>
      </c>
      <c r="D1514" s="4" t="n">
        <v>55</v>
      </c>
      <c r="E1514" s="19" t="s">
        <v>259</v>
      </c>
      <c r="F1514" s="20" t="s">
        <v>477</v>
      </c>
    </row>
    <row r="1515" customFormat="false" ht="15" hidden="false" customHeight="false" outlineLevel="0" collapsed="false">
      <c r="A1515" s="4" t="str">
        <f aca="false">B1515&amp;"|"&amp;C1515</f>
        <v>tdbR00000014 Ala-AGC|56</v>
      </c>
      <c r="B1515" s="4" t="s">
        <v>57</v>
      </c>
      <c r="C1515" s="4" t="s">
        <v>479</v>
      </c>
      <c r="D1515" s="4" t="n">
        <v>56</v>
      </c>
      <c r="E1515" s="19" t="s">
        <v>414</v>
      </c>
      <c r="F1515" s="20" t="s">
        <v>477</v>
      </c>
    </row>
    <row r="1516" customFormat="false" ht="15" hidden="false" customHeight="false" outlineLevel="0" collapsed="false">
      <c r="A1516" s="4" t="str">
        <f aca="false">B1516&amp;"|"&amp;C1516</f>
        <v>tdbR00000014 Ala-AGC|57</v>
      </c>
      <c r="B1516" s="4" t="s">
        <v>57</v>
      </c>
      <c r="C1516" s="4" t="s">
        <v>480</v>
      </c>
      <c r="D1516" s="4" t="n">
        <v>57</v>
      </c>
      <c r="E1516" s="19" t="s">
        <v>197</v>
      </c>
      <c r="F1516" s="20" t="s">
        <v>477</v>
      </c>
    </row>
    <row r="1517" customFormat="false" ht="15" hidden="false" customHeight="false" outlineLevel="0" collapsed="false">
      <c r="A1517" s="4" t="str">
        <f aca="false">B1517&amp;"|"&amp;C1517</f>
        <v>tdbR00000014 Ala-AGC|58</v>
      </c>
      <c r="B1517" s="4" t="s">
        <v>57</v>
      </c>
      <c r="C1517" s="4" t="s">
        <v>481</v>
      </c>
      <c r="D1517" s="4" t="n">
        <v>58</v>
      </c>
      <c r="E1517" s="19" t="s">
        <v>246</v>
      </c>
      <c r="F1517" s="20" t="s">
        <v>477</v>
      </c>
    </row>
    <row r="1518" customFormat="false" ht="15" hidden="false" customHeight="false" outlineLevel="0" collapsed="false">
      <c r="A1518" s="4" t="str">
        <f aca="false">B1518&amp;"|"&amp;C1518</f>
        <v>tdbR00000014 Ala-AGC|59</v>
      </c>
      <c r="B1518" s="4" t="s">
        <v>57</v>
      </c>
      <c r="C1518" s="4" t="s">
        <v>482</v>
      </c>
      <c r="D1518" s="4" t="n">
        <v>59</v>
      </c>
      <c r="E1518" s="19" t="s">
        <v>259</v>
      </c>
      <c r="F1518" s="20" t="s">
        <v>477</v>
      </c>
    </row>
    <row r="1519" customFormat="false" ht="15" hidden="false" customHeight="false" outlineLevel="0" collapsed="false">
      <c r="A1519" s="4" t="str">
        <f aca="false">B1519&amp;"|"&amp;C1519</f>
        <v>tdbR00000014 Ala-AGC|60</v>
      </c>
      <c r="B1519" s="4" t="s">
        <v>57</v>
      </c>
      <c r="C1519" s="4" t="s">
        <v>483</v>
      </c>
      <c r="D1519" s="4" t="n">
        <v>60</v>
      </c>
      <c r="E1519" s="19" t="s">
        <v>246</v>
      </c>
      <c r="F1519" s="20" t="s">
        <v>477</v>
      </c>
    </row>
    <row r="1520" customFormat="false" ht="15" hidden="false" customHeight="false" outlineLevel="0" collapsed="false">
      <c r="A1520" s="4" t="str">
        <f aca="false">B1520&amp;"|"&amp;C1520</f>
        <v>tdbR00000014 Ala-AGC|61</v>
      </c>
      <c r="B1520" s="4" t="s">
        <v>57</v>
      </c>
      <c r="C1520" s="4" t="s">
        <v>484</v>
      </c>
      <c r="D1520" s="4" t="n">
        <v>61</v>
      </c>
      <c r="E1520" s="23" t="s">
        <v>414</v>
      </c>
      <c r="F1520" s="10" t="s">
        <v>471</v>
      </c>
    </row>
    <row r="1521" customFormat="false" ht="15" hidden="false" customHeight="false" outlineLevel="0" collapsed="false">
      <c r="A1521" s="4" t="str">
        <f aca="false">B1521&amp;"|"&amp;C1521</f>
        <v>tdbR00000014 Ala-AGC|62</v>
      </c>
      <c r="B1521" s="4" t="s">
        <v>57</v>
      </c>
      <c r="C1521" s="4" t="s">
        <v>485</v>
      </c>
      <c r="D1521" s="4" t="n">
        <v>62</v>
      </c>
      <c r="E1521" s="23" t="s">
        <v>414</v>
      </c>
      <c r="F1521" s="10" t="s">
        <v>471</v>
      </c>
    </row>
    <row r="1522" customFormat="false" ht="15" hidden="false" customHeight="false" outlineLevel="0" collapsed="false">
      <c r="A1522" s="4" t="str">
        <f aca="false">B1522&amp;"|"&amp;C1522</f>
        <v>tdbR00000014 Ala-AGC|63</v>
      </c>
      <c r="B1522" s="4" t="s">
        <v>57</v>
      </c>
      <c r="C1522" s="4" t="s">
        <v>486</v>
      </c>
      <c r="D1522" s="4" t="n">
        <v>63</v>
      </c>
      <c r="E1522" s="23" t="s">
        <v>414</v>
      </c>
      <c r="F1522" s="10" t="s">
        <v>471</v>
      </c>
    </row>
    <row r="1523" customFormat="false" ht="15" hidden="false" customHeight="false" outlineLevel="0" collapsed="false">
      <c r="A1523" s="4" t="str">
        <f aca="false">B1523&amp;"|"&amp;C1523</f>
        <v>tdbR00000014 Ala-AGC|64</v>
      </c>
      <c r="B1523" s="4" t="s">
        <v>57</v>
      </c>
      <c r="C1523" s="4" t="s">
        <v>487</v>
      </c>
      <c r="D1523" s="4" t="n">
        <v>64</v>
      </c>
      <c r="E1523" s="23" t="s">
        <v>197</v>
      </c>
      <c r="F1523" s="10" t="s">
        <v>471</v>
      </c>
    </row>
    <row r="1524" customFormat="false" ht="15" hidden="false" customHeight="false" outlineLevel="0" collapsed="false">
      <c r="A1524" s="4" t="str">
        <f aca="false">B1524&amp;"|"&amp;C1524</f>
        <v>tdbR00000014 Ala-AGC|65</v>
      </c>
      <c r="B1524" s="4" t="s">
        <v>57</v>
      </c>
      <c r="C1524" s="4" t="s">
        <v>488</v>
      </c>
      <c r="D1524" s="4" t="n">
        <v>65</v>
      </c>
      <c r="E1524" s="23" t="s">
        <v>197</v>
      </c>
      <c r="F1524" s="10" t="s">
        <v>471</v>
      </c>
    </row>
    <row r="1525" customFormat="false" ht="15" hidden="false" customHeight="false" outlineLevel="0" collapsed="false">
      <c r="A1525" s="4" t="str">
        <f aca="false">B1525&amp;"|"&amp;C1525</f>
        <v>tdbR00000014 Ala-AGC|66</v>
      </c>
      <c r="B1525" s="4" t="s">
        <v>57</v>
      </c>
      <c r="C1525" s="4" t="s">
        <v>489</v>
      </c>
      <c r="D1525" s="4" t="n">
        <v>66</v>
      </c>
      <c r="E1525" s="17" t="s">
        <v>414</v>
      </c>
      <c r="F1525" s="18" t="s">
        <v>412</v>
      </c>
    </row>
    <row r="1526" customFormat="false" ht="15" hidden="false" customHeight="false" outlineLevel="0" collapsed="false">
      <c r="A1526" s="4" t="str">
        <f aca="false">B1526&amp;"|"&amp;C1526</f>
        <v>tdbR00000014 Ala-AGC|67</v>
      </c>
      <c r="B1526" s="4" t="s">
        <v>57</v>
      </c>
      <c r="C1526" s="4" t="s">
        <v>490</v>
      </c>
      <c r="D1526" s="4" t="n">
        <v>67</v>
      </c>
      <c r="E1526" s="17" t="s">
        <v>197</v>
      </c>
      <c r="F1526" s="18" t="s">
        <v>412</v>
      </c>
    </row>
    <row r="1527" customFormat="false" ht="15" hidden="false" customHeight="false" outlineLevel="0" collapsed="false">
      <c r="A1527" s="4" t="str">
        <f aca="false">B1527&amp;"|"&amp;C1527</f>
        <v>tdbR00000014 Ala-AGC|68</v>
      </c>
      <c r="B1527" s="4" t="s">
        <v>57</v>
      </c>
      <c r="C1527" s="4" t="s">
        <v>491</v>
      </c>
      <c r="D1527" s="4" t="n">
        <v>68</v>
      </c>
      <c r="E1527" s="17" t="s">
        <v>414</v>
      </c>
      <c r="F1527" s="18" t="s">
        <v>412</v>
      </c>
    </row>
    <row r="1528" customFormat="false" ht="15" hidden="false" customHeight="false" outlineLevel="0" collapsed="false">
      <c r="A1528" s="4" t="str">
        <f aca="false">B1528&amp;"|"&amp;C1528</f>
        <v>tdbR00000014 Ala-AGC|69</v>
      </c>
      <c r="B1528" s="4" t="s">
        <v>57</v>
      </c>
      <c r="C1528" s="4" t="s">
        <v>492</v>
      </c>
      <c r="D1528" s="4" t="n">
        <v>69</v>
      </c>
      <c r="E1528" s="17" t="s">
        <v>414</v>
      </c>
      <c r="F1528" s="18" t="s">
        <v>412</v>
      </c>
    </row>
    <row r="1529" customFormat="false" ht="15" hidden="false" customHeight="false" outlineLevel="0" collapsed="false">
      <c r="A1529" s="4" t="str">
        <f aca="false">B1529&amp;"|"&amp;C1529</f>
        <v>tdbR00000014 Ala-AGC|70</v>
      </c>
      <c r="B1529" s="4" t="s">
        <v>57</v>
      </c>
      <c r="C1529" s="4" t="s">
        <v>493</v>
      </c>
      <c r="D1529" s="4" t="n">
        <v>70</v>
      </c>
      <c r="E1529" s="17" t="s">
        <v>259</v>
      </c>
      <c r="F1529" s="18" t="s">
        <v>412</v>
      </c>
    </row>
    <row r="1530" customFormat="false" ht="15" hidden="false" customHeight="false" outlineLevel="0" collapsed="false">
      <c r="A1530" s="4" t="str">
        <f aca="false">B1530&amp;"|"&amp;C1530</f>
        <v>tdbR00000014 Ala-AGC|71</v>
      </c>
      <c r="B1530" s="4" t="s">
        <v>57</v>
      </c>
      <c r="C1530" s="4" t="s">
        <v>494</v>
      </c>
      <c r="D1530" s="4" t="n">
        <v>71</v>
      </c>
      <c r="E1530" s="17" t="s">
        <v>414</v>
      </c>
      <c r="F1530" s="18" t="s">
        <v>412</v>
      </c>
    </row>
    <row r="1531" customFormat="false" ht="15" hidden="false" customHeight="false" outlineLevel="0" collapsed="false">
      <c r="A1531" s="4" t="str">
        <f aca="false">B1531&amp;"|"&amp;C1531</f>
        <v>tdbR00000014 Ala-AGC|72</v>
      </c>
      <c r="B1531" s="4" t="s">
        <v>57</v>
      </c>
      <c r="C1531" s="4" t="s">
        <v>495</v>
      </c>
      <c r="D1531" s="4" t="n">
        <v>72</v>
      </c>
      <c r="E1531" s="17" t="s">
        <v>414</v>
      </c>
      <c r="F1531" s="18" t="s">
        <v>412</v>
      </c>
    </row>
    <row r="1532" customFormat="false" ht="15" hidden="false" customHeight="false" outlineLevel="0" collapsed="false">
      <c r="A1532" s="4" t="str">
        <f aca="false">B1532&amp;"|"&amp;C1532</f>
        <v>tdbR00000015 Ala-AGC|1</v>
      </c>
      <c r="B1532" s="4" t="s">
        <v>58</v>
      </c>
      <c r="C1532" s="4" t="s">
        <v>411</v>
      </c>
      <c r="D1532" s="4" t="n">
        <v>1</v>
      </c>
      <c r="E1532" s="17" t="s">
        <v>197</v>
      </c>
      <c r="F1532" s="18" t="s">
        <v>412</v>
      </c>
    </row>
    <row r="1533" customFormat="false" ht="15" hidden="false" customHeight="false" outlineLevel="0" collapsed="false">
      <c r="A1533" s="4" t="str">
        <f aca="false">B1533&amp;"|"&amp;C1533</f>
        <v>tdbR00000015 Ala-AGC|2</v>
      </c>
      <c r="B1533" s="4" t="s">
        <v>58</v>
      </c>
      <c r="C1533" s="4" t="s">
        <v>413</v>
      </c>
      <c r="D1533" s="4" t="n">
        <v>2</v>
      </c>
      <c r="E1533" s="17" t="s">
        <v>197</v>
      </c>
      <c r="F1533" s="18" t="s">
        <v>412</v>
      </c>
    </row>
    <row r="1534" customFormat="false" ht="15" hidden="false" customHeight="false" outlineLevel="0" collapsed="false">
      <c r="A1534" s="4" t="str">
        <f aca="false">B1534&amp;"|"&amp;C1534</f>
        <v>tdbR00000015 Ala-AGC|3</v>
      </c>
      <c r="B1534" s="4" t="s">
        <v>58</v>
      </c>
      <c r="C1534" s="4" t="s">
        <v>415</v>
      </c>
      <c r="D1534" s="4" t="n">
        <v>3</v>
      </c>
      <c r="E1534" s="17" t="s">
        <v>197</v>
      </c>
      <c r="F1534" s="18" t="s">
        <v>412</v>
      </c>
    </row>
    <row r="1535" customFormat="false" ht="15" hidden="false" customHeight="false" outlineLevel="0" collapsed="false">
      <c r="A1535" s="4" t="str">
        <f aca="false">B1535&amp;"|"&amp;C1535</f>
        <v>tdbR00000015 Ala-AGC|4</v>
      </c>
      <c r="B1535" s="4" t="s">
        <v>58</v>
      </c>
      <c r="C1535" s="4" t="s">
        <v>416</v>
      </c>
      <c r="D1535" s="4" t="n">
        <v>4</v>
      </c>
      <c r="E1535" s="17" t="s">
        <v>197</v>
      </c>
      <c r="F1535" s="18" t="s">
        <v>412</v>
      </c>
    </row>
    <row r="1536" customFormat="false" ht="15" hidden="false" customHeight="false" outlineLevel="0" collapsed="false">
      <c r="A1536" s="4" t="str">
        <f aca="false">B1536&amp;"|"&amp;C1536</f>
        <v>tdbR00000015 Ala-AGC|5</v>
      </c>
      <c r="B1536" s="4" t="s">
        <v>58</v>
      </c>
      <c r="C1536" s="4" t="s">
        <v>417</v>
      </c>
      <c r="D1536" s="4" t="n">
        <v>5</v>
      </c>
      <c r="E1536" s="17" t="s">
        <v>197</v>
      </c>
      <c r="F1536" s="18" t="s">
        <v>412</v>
      </c>
    </row>
    <row r="1537" customFormat="false" ht="15" hidden="false" customHeight="false" outlineLevel="0" collapsed="false">
      <c r="A1537" s="4" t="str">
        <f aca="false">B1537&amp;"|"&amp;C1537</f>
        <v>tdbR00000015 Ala-AGC|6</v>
      </c>
      <c r="B1537" s="4" t="s">
        <v>58</v>
      </c>
      <c r="C1537" s="4" t="s">
        <v>418</v>
      </c>
      <c r="D1537" s="4" t="n">
        <v>6</v>
      </c>
      <c r="E1537" s="17" t="s">
        <v>414</v>
      </c>
      <c r="F1537" s="18" t="s">
        <v>412</v>
      </c>
    </row>
    <row r="1538" customFormat="false" ht="15" hidden="false" customHeight="false" outlineLevel="0" collapsed="false">
      <c r="A1538" s="4" t="str">
        <f aca="false">B1538&amp;"|"&amp;C1538</f>
        <v>tdbR00000015 Ala-AGC|7</v>
      </c>
      <c r="B1538" s="4" t="s">
        <v>58</v>
      </c>
      <c r="C1538" s="4" t="s">
        <v>419</v>
      </c>
      <c r="D1538" s="4" t="n">
        <v>7</v>
      </c>
      <c r="E1538" s="17" t="s">
        <v>197</v>
      </c>
      <c r="F1538" s="18" t="s">
        <v>412</v>
      </c>
    </row>
    <row r="1539" customFormat="false" ht="15" hidden="false" customHeight="false" outlineLevel="0" collapsed="false">
      <c r="A1539" s="4" t="str">
        <f aca="false">B1539&amp;"|"&amp;C1539</f>
        <v>tdbR00000015 Ala-AGC|8</v>
      </c>
      <c r="B1539" s="4" t="s">
        <v>58</v>
      </c>
      <c r="C1539" s="4" t="s">
        <v>420</v>
      </c>
      <c r="D1539" s="4" t="n">
        <v>8</v>
      </c>
      <c r="E1539" s="3" t="s">
        <v>259</v>
      </c>
      <c r="F1539" s="4" t="s">
        <v>421</v>
      </c>
    </row>
    <row r="1540" customFormat="false" ht="15" hidden="false" customHeight="false" outlineLevel="0" collapsed="false">
      <c r="A1540" s="4" t="str">
        <f aca="false">B1540&amp;"|"&amp;C1540</f>
        <v>tdbR00000015 Ala-AGC|9</v>
      </c>
      <c r="B1540" s="4" t="s">
        <v>58</v>
      </c>
      <c r="C1540" s="4" t="s">
        <v>422</v>
      </c>
      <c r="D1540" s="4" t="n">
        <v>9</v>
      </c>
      <c r="E1540" s="3" t="s">
        <v>246</v>
      </c>
      <c r="F1540" s="4" t="s">
        <v>423</v>
      </c>
    </row>
    <row r="1541" customFormat="false" ht="15" hidden="false" customHeight="false" outlineLevel="0" collapsed="false">
      <c r="A1541" s="4" t="str">
        <f aca="false">B1541&amp;"|"&amp;C1541</f>
        <v>tdbR00000015 Ala-AGC|10</v>
      </c>
      <c r="B1541" s="4" t="s">
        <v>58</v>
      </c>
      <c r="C1541" s="4" t="s">
        <v>424</v>
      </c>
      <c r="D1541" s="4" t="n">
        <v>10</v>
      </c>
      <c r="E1541" s="8" t="s">
        <v>197</v>
      </c>
      <c r="F1541" s="7" t="s">
        <v>425</v>
      </c>
    </row>
    <row r="1542" customFormat="false" ht="15" hidden="false" customHeight="false" outlineLevel="0" collapsed="false">
      <c r="A1542" s="4" t="str">
        <f aca="false">B1542&amp;"|"&amp;C1542</f>
        <v>tdbR00000015 Ala-AGC|11</v>
      </c>
      <c r="B1542" s="4" t="s">
        <v>58</v>
      </c>
      <c r="C1542" s="4" t="s">
        <v>426</v>
      </c>
      <c r="D1542" s="4" t="n">
        <v>11</v>
      </c>
      <c r="E1542" s="8" t="s">
        <v>414</v>
      </c>
      <c r="F1542" s="7" t="s">
        <v>425</v>
      </c>
    </row>
    <row r="1543" customFormat="false" ht="15" hidden="false" customHeight="false" outlineLevel="0" collapsed="false">
      <c r="A1543" s="4" t="str">
        <f aca="false">B1543&amp;"|"&amp;C1543</f>
        <v>tdbR00000015 Ala-AGC|12</v>
      </c>
      <c r="B1543" s="4" t="s">
        <v>58</v>
      </c>
      <c r="C1543" s="4" t="s">
        <v>427</v>
      </c>
      <c r="D1543" s="4" t="n">
        <v>12</v>
      </c>
      <c r="E1543" s="8" t="s">
        <v>259</v>
      </c>
      <c r="F1543" s="7" t="s">
        <v>425</v>
      </c>
    </row>
    <row r="1544" customFormat="false" ht="15" hidden="false" customHeight="false" outlineLevel="0" collapsed="false">
      <c r="A1544" s="4" t="str">
        <f aca="false">B1544&amp;"|"&amp;C1544</f>
        <v>tdbR00000015 Ala-AGC|13</v>
      </c>
      <c r="B1544" s="4" t="s">
        <v>58</v>
      </c>
      <c r="C1544" s="4" t="s">
        <v>428</v>
      </c>
      <c r="D1544" s="4" t="n">
        <v>13</v>
      </c>
      <c r="E1544" s="8" t="s">
        <v>414</v>
      </c>
      <c r="F1544" s="7" t="s">
        <v>425</v>
      </c>
    </row>
    <row r="1545" customFormat="false" ht="15" hidden="false" customHeight="false" outlineLevel="0" collapsed="false">
      <c r="A1545" s="4" t="str">
        <f aca="false">B1545&amp;"|"&amp;C1545</f>
        <v>tdbR00000015 Ala-AGC|14</v>
      </c>
      <c r="B1545" s="4" t="s">
        <v>58</v>
      </c>
      <c r="C1545" s="4" t="s">
        <v>429</v>
      </c>
      <c r="D1545" s="4" t="n">
        <v>14</v>
      </c>
      <c r="E1545" s="19" t="s">
        <v>246</v>
      </c>
      <c r="F1545" s="20" t="s">
        <v>430</v>
      </c>
    </row>
    <row r="1546" customFormat="false" ht="15" hidden="false" customHeight="false" outlineLevel="0" collapsed="false">
      <c r="A1546" s="4" t="str">
        <f aca="false">B1546&amp;"|"&amp;C1546</f>
        <v>tdbR00000015 Ala-AGC|15</v>
      </c>
      <c r="B1546" s="4" t="s">
        <v>58</v>
      </c>
      <c r="C1546" s="4" t="s">
        <v>431</v>
      </c>
      <c r="D1546" s="4" t="n">
        <v>15</v>
      </c>
      <c r="E1546" s="19" t="s">
        <v>197</v>
      </c>
      <c r="F1546" s="20" t="s">
        <v>430</v>
      </c>
    </row>
    <row r="1547" customFormat="false" ht="15" hidden="false" customHeight="false" outlineLevel="0" collapsed="false">
      <c r="A1547" s="4" t="str">
        <f aca="false">B1547&amp;"|"&amp;C1547</f>
        <v>tdbR00000015 Ala-AGC|16</v>
      </c>
      <c r="B1547" s="4" t="s">
        <v>58</v>
      </c>
      <c r="C1547" s="4" t="s">
        <v>432</v>
      </c>
      <c r="D1547" s="4" t="n">
        <v>16</v>
      </c>
      <c r="E1547" s="19" t="s">
        <v>246</v>
      </c>
      <c r="F1547" s="20" t="s">
        <v>430</v>
      </c>
    </row>
    <row r="1548" customFormat="false" ht="15" hidden="false" customHeight="false" outlineLevel="0" collapsed="false">
      <c r="A1548" s="4" t="str">
        <f aca="false">B1548&amp;"|"&amp;C1548</f>
        <v>tdbR00000015 Ala-AGC|17</v>
      </c>
      <c r="B1548" s="4" t="s">
        <v>58</v>
      </c>
      <c r="C1548" s="4" t="s">
        <v>433</v>
      </c>
      <c r="D1548" s="4" t="n">
        <v>17</v>
      </c>
      <c r="E1548" s="19" t="s">
        <v>259</v>
      </c>
      <c r="F1548" s="20" t="s">
        <v>430</v>
      </c>
    </row>
    <row r="1549" customFormat="false" ht="15" hidden="false" customHeight="false" outlineLevel="0" collapsed="false">
      <c r="A1549" s="4" t="str">
        <f aca="false">B1549&amp;"|"&amp;C1549</f>
        <v>tdbR00000015 Ala-AGC|18</v>
      </c>
      <c r="B1549" s="4" t="s">
        <v>58</v>
      </c>
      <c r="C1549" s="4" t="s">
        <v>434</v>
      </c>
      <c r="D1549" s="4" t="n">
        <v>18</v>
      </c>
      <c r="E1549" s="19" t="s">
        <v>197</v>
      </c>
      <c r="F1549" s="20" t="s">
        <v>430</v>
      </c>
    </row>
    <row r="1550" customFormat="false" ht="15" hidden="false" customHeight="false" outlineLevel="0" collapsed="false">
      <c r="A1550" s="4" t="str">
        <f aca="false">B1550&amp;"|"&amp;C1550</f>
        <v>tdbR00000015 Ala-AGC|19</v>
      </c>
      <c r="B1550" s="4" t="s">
        <v>58</v>
      </c>
      <c r="C1550" s="4" t="s">
        <v>435</v>
      </c>
      <c r="D1550" s="4" t="n">
        <v>19</v>
      </c>
      <c r="E1550" s="19" t="s">
        <v>197</v>
      </c>
      <c r="F1550" s="20" t="s">
        <v>430</v>
      </c>
    </row>
    <row r="1551" customFormat="false" ht="15" hidden="false" customHeight="false" outlineLevel="0" collapsed="false">
      <c r="A1551" s="4" t="str">
        <f aca="false">B1551&amp;"|"&amp;C1551</f>
        <v>tdbR00000015 Ala-AGC|20</v>
      </c>
      <c r="B1551" s="4" t="s">
        <v>58</v>
      </c>
      <c r="C1551" s="4" t="s">
        <v>436</v>
      </c>
      <c r="D1551" s="4" t="n">
        <v>20</v>
      </c>
      <c r="E1551" s="19" t="s">
        <v>259</v>
      </c>
      <c r="F1551" s="20" t="s">
        <v>430</v>
      </c>
    </row>
    <row r="1552" customFormat="false" ht="15" hidden="false" customHeight="false" outlineLevel="0" collapsed="false">
      <c r="A1552" s="4" t="str">
        <f aca="false">B1552&amp;"|"&amp;C1552</f>
        <v>tdbR00000015 Ala-AGC|21</v>
      </c>
      <c r="B1552" s="4" t="s">
        <v>58</v>
      </c>
      <c r="C1552" s="4" t="s">
        <v>438</v>
      </c>
      <c r="D1552" s="4" t="n">
        <v>21</v>
      </c>
      <c r="E1552" s="19" t="s">
        <v>246</v>
      </c>
      <c r="F1552" s="20" t="s">
        <v>430</v>
      </c>
    </row>
    <row r="1553" customFormat="false" ht="15" hidden="false" customHeight="false" outlineLevel="0" collapsed="false">
      <c r="A1553" s="4" t="str">
        <f aca="false">B1553&amp;"|"&amp;C1553</f>
        <v>tdbR00000015 Ala-AGC|22</v>
      </c>
      <c r="B1553" s="4" t="s">
        <v>58</v>
      </c>
      <c r="C1553" s="4" t="s">
        <v>439</v>
      </c>
      <c r="D1553" s="4" t="n">
        <v>22</v>
      </c>
      <c r="E1553" s="8" t="s">
        <v>197</v>
      </c>
      <c r="F1553" s="7" t="s">
        <v>425</v>
      </c>
    </row>
    <row r="1554" customFormat="false" ht="15" hidden="false" customHeight="false" outlineLevel="0" collapsed="false">
      <c r="A1554" s="4" t="str">
        <f aca="false">B1554&amp;"|"&amp;C1554</f>
        <v>tdbR00000015 Ala-AGC|23</v>
      </c>
      <c r="B1554" s="4" t="s">
        <v>58</v>
      </c>
      <c r="C1554" s="4" t="s">
        <v>440</v>
      </c>
      <c r="D1554" s="4" t="n">
        <v>23</v>
      </c>
      <c r="E1554" s="8" t="s">
        <v>246</v>
      </c>
      <c r="F1554" s="7" t="s">
        <v>425</v>
      </c>
    </row>
    <row r="1555" customFormat="false" ht="15" hidden="false" customHeight="false" outlineLevel="0" collapsed="false">
      <c r="A1555" s="4" t="str">
        <f aca="false">B1555&amp;"|"&amp;C1555</f>
        <v>tdbR00000015 Ala-AGC|24</v>
      </c>
      <c r="B1555" s="4" t="s">
        <v>58</v>
      </c>
      <c r="C1555" s="4" t="s">
        <v>441</v>
      </c>
      <c r="D1555" s="4" t="n">
        <v>24</v>
      </c>
      <c r="E1555" s="8" t="s">
        <v>197</v>
      </c>
      <c r="F1555" s="7" t="s">
        <v>425</v>
      </c>
    </row>
    <row r="1556" customFormat="false" ht="15" hidden="false" customHeight="false" outlineLevel="0" collapsed="false">
      <c r="A1556" s="4" t="str">
        <f aca="false">B1556&amp;"|"&amp;C1556</f>
        <v>tdbR00000015 Ala-AGC|25</v>
      </c>
      <c r="B1556" s="4" t="s">
        <v>58</v>
      </c>
      <c r="C1556" s="4" t="s">
        <v>442</v>
      </c>
      <c r="D1556" s="4" t="n">
        <v>25</v>
      </c>
      <c r="E1556" s="8" t="s">
        <v>414</v>
      </c>
      <c r="F1556" s="7" t="s">
        <v>425</v>
      </c>
    </row>
    <row r="1557" customFormat="false" ht="15" hidden="false" customHeight="false" outlineLevel="0" collapsed="false">
      <c r="A1557" s="4" t="str">
        <f aca="false">B1557&amp;"|"&amp;C1557</f>
        <v>tdbR00000015 Ala-AGC|26</v>
      </c>
      <c r="B1557" s="4" t="s">
        <v>58</v>
      </c>
      <c r="C1557" s="4" t="s">
        <v>443</v>
      </c>
      <c r="D1557" s="4" t="n">
        <v>26</v>
      </c>
      <c r="E1557" s="3" t="s">
        <v>197</v>
      </c>
      <c r="F1557" s="4" t="s">
        <v>444</v>
      </c>
    </row>
    <row r="1558" customFormat="false" ht="15" hidden="false" customHeight="false" outlineLevel="0" collapsed="false">
      <c r="A1558" s="4" t="str">
        <f aca="false">B1558&amp;"|"&amp;C1558</f>
        <v>tdbR00000015 Ala-AGC|27</v>
      </c>
      <c r="B1558" s="4" t="s">
        <v>58</v>
      </c>
      <c r="C1558" s="4" t="s">
        <v>445</v>
      </c>
      <c r="D1558" s="4" t="n">
        <v>27</v>
      </c>
      <c r="E1558" s="21" t="s">
        <v>414</v>
      </c>
      <c r="F1558" s="22" t="s">
        <v>446</v>
      </c>
    </row>
    <row r="1559" customFormat="false" ht="15" hidden="false" customHeight="false" outlineLevel="0" collapsed="false">
      <c r="A1559" s="4" t="str">
        <f aca="false">B1559&amp;"|"&amp;C1559</f>
        <v>tdbR00000015 Ala-AGC|28</v>
      </c>
      <c r="B1559" s="4" t="s">
        <v>58</v>
      </c>
      <c r="C1559" s="4" t="s">
        <v>447</v>
      </c>
      <c r="D1559" s="4" t="n">
        <v>28</v>
      </c>
      <c r="E1559" s="21" t="s">
        <v>259</v>
      </c>
      <c r="F1559" s="22" t="s">
        <v>446</v>
      </c>
    </row>
    <row r="1560" customFormat="false" ht="15" hidden="false" customHeight="false" outlineLevel="0" collapsed="false">
      <c r="A1560" s="4" t="str">
        <f aca="false">B1560&amp;"|"&amp;C1560</f>
        <v>tdbR00000015 Ala-AGC|29</v>
      </c>
      <c r="B1560" s="4" t="s">
        <v>58</v>
      </c>
      <c r="C1560" s="4" t="s">
        <v>448</v>
      </c>
      <c r="D1560" s="4" t="n">
        <v>29</v>
      </c>
      <c r="E1560" s="21" t="s">
        <v>414</v>
      </c>
      <c r="F1560" s="22" t="s">
        <v>446</v>
      </c>
    </row>
    <row r="1561" customFormat="false" ht="15" hidden="false" customHeight="false" outlineLevel="0" collapsed="false">
      <c r="A1561" s="4" t="str">
        <f aca="false">B1561&amp;"|"&amp;C1561</f>
        <v>tdbR00000015 Ala-AGC|30</v>
      </c>
      <c r="B1561" s="4" t="s">
        <v>58</v>
      </c>
      <c r="C1561" s="4" t="s">
        <v>449</v>
      </c>
      <c r="D1561" s="4" t="n">
        <v>30</v>
      </c>
      <c r="E1561" s="21" t="s">
        <v>197</v>
      </c>
      <c r="F1561" s="22" t="s">
        <v>446</v>
      </c>
    </row>
    <row r="1562" customFormat="false" ht="15" hidden="false" customHeight="false" outlineLevel="0" collapsed="false">
      <c r="A1562" s="4" t="str">
        <f aca="false">B1562&amp;"|"&amp;C1562</f>
        <v>tdbR00000015 Ala-AGC|31</v>
      </c>
      <c r="B1562" s="4" t="s">
        <v>58</v>
      </c>
      <c r="C1562" s="4" t="s">
        <v>450</v>
      </c>
      <c r="D1562" s="4" t="n">
        <v>31</v>
      </c>
      <c r="E1562" s="21" t="s">
        <v>414</v>
      </c>
      <c r="F1562" s="22" t="s">
        <v>446</v>
      </c>
    </row>
    <row r="1563" customFormat="false" ht="15" hidden="false" customHeight="false" outlineLevel="0" collapsed="false">
      <c r="A1563" s="4" t="str">
        <f aca="false">B1563&amp;"|"&amp;C1563</f>
        <v>tdbR00000015 Ala-AGC|32</v>
      </c>
      <c r="B1563" s="4" t="s">
        <v>58</v>
      </c>
      <c r="C1563" s="4" t="s">
        <v>451</v>
      </c>
      <c r="D1563" s="4" t="n">
        <v>32</v>
      </c>
      <c r="E1563" s="19" t="s">
        <v>259</v>
      </c>
      <c r="F1563" s="20" t="s">
        <v>452</v>
      </c>
    </row>
    <row r="1564" customFormat="false" ht="15" hidden="false" customHeight="false" outlineLevel="0" collapsed="false">
      <c r="A1564" s="4" t="str">
        <f aca="false">B1564&amp;"|"&amp;C1564</f>
        <v>tdbR00000015 Ala-AGC|33</v>
      </c>
      <c r="B1564" s="4" t="s">
        <v>58</v>
      </c>
      <c r="C1564" s="4" t="s">
        <v>453</v>
      </c>
      <c r="D1564" s="4" t="n">
        <v>33</v>
      </c>
      <c r="E1564" s="19" t="s">
        <v>259</v>
      </c>
      <c r="F1564" s="20" t="s">
        <v>452</v>
      </c>
    </row>
    <row r="1565" customFormat="false" ht="15" hidden="false" customHeight="false" outlineLevel="0" collapsed="false">
      <c r="A1565" s="4" t="str">
        <f aca="false">B1565&amp;"|"&amp;C1565</f>
        <v>tdbR00000015 Ala-AGC|34</v>
      </c>
      <c r="B1565" s="4" t="s">
        <v>58</v>
      </c>
      <c r="C1565" s="4" t="s">
        <v>454</v>
      </c>
      <c r="D1565" s="4" t="n">
        <v>34</v>
      </c>
      <c r="E1565" s="19" t="s">
        <v>246</v>
      </c>
      <c r="F1565" s="20" t="s">
        <v>452</v>
      </c>
    </row>
    <row r="1566" customFormat="false" ht="15" hidden="false" customHeight="false" outlineLevel="0" collapsed="false">
      <c r="A1566" s="4" t="str">
        <f aca="false">B1566&amp;"|"&amp;C1566</f>
        <v>tdbR00000015 Ala-AGC|35</v>
      </c>
      <c r="B1566" s="4" t="s">
        <v>58</v>
      </c>
      <c r="C1566" s="4" t="s">
        <v>455</v>
      </c>
      <c r="D1566" s="4" t="n">
        <v>35</v>
      </c>
      <c r="E1566" s="19" t="s">
        <v>197</v>
      </c>
      <c r="F1566" s="20" t="s">
        <v>452</v>
      </c>
    </row>
    <row r="1567" customFormat="false" ht="15" hidden="false" customHeight="false" outlineLevel="0" collapsed="false">
      <c r="A1567" s="4" t="str">
        <f aca="false">B1567&amp;"|"&amp;C1567</f>
        <v>tdbR00000015 Ala-AGC|36</v>
      </c>
      <c r="B1567" s="4" t="s">
        <v>58</v>
      </c>
      <c r="C1567" s="4" t="s">
        <v>456</v>
      </c>
      <c r="D1567" s="4" t="n">
        <v>36</v>
      </c>
      <c r="E1567" s="19" t="s">
        <v>414</v>
      </c>
      <c r="F1567" s="20" t="s">
        <v>452</v>
      </c>
    </row>
    <row r="1568" customFormat="false" ht="15" hidden="false" customHeight="false" outlineLevel="0" collapsed="false">
      <c r="A1568" s="4" t="str">
        <f aca="false">B1568&amp;"|"&amp;C1568</f>
        <v>tdbR00000015 Ala-AGC|37</v>
      </c>
      <c r="B1568" s="4" t="s">
        <v>58</v>
      </c>
      <c r="C1568" s="4" t="s">
        <v>457</v>
      </c>
      <c r="D1568" s="4" t="n">
        <v>37</v>
      </c>
      <c r="E1568" s="19" t="s">
        <v>246</v>
      </c>
      <c r="F1568" s="20" t="s">
        <v>452</v>
      </c>
    </row>
    <row r="1569" customFormat="false" ht="15" hidden="false" customHeight="false" outlineLevel="0" collapsed="false">
      <c r="A1569" s="4" t="str">
        <f aca="false">B1569&amp;"|"&amp;C1569</f>
        <v>tdbR00000015 Ala-AGC|38</v>
      </c>
      <c r="B1569" s="4" t="s">
        <v>58</v>
      </c>
      <c r="C1569" s="4" t="s">
        <v>458</v>
      </c>
      <c r="D1569" s="4" t="n">
        <v>38</v>
      </c>
      <c r="E1569" s="19" t="s">
        <v>259</v>
      </c>
      <c r="F1569" s="20" t="s">
        <v>452</v>
      </c>
    </row>
    <row r="1570" customFormat="false" ht="15" hidden="false" customHeight="false" outlineLevel="0" collapsed="false">
      <c r="A1570" s="4" t="str">
        <f aca="false">B1570&amp;"|"&amp;C1570</f>
        <v>tdbR00000015 Ala-AGC|39</v>
      </c>
      <c r="B1570" s="4" t="s">
        <v>58</v>
      </c>
      <c r="C1570" s="4" t="s">
        <v>459</v>
      </c>
      <c r="D1570" s="4" t="n">
        <v>39</v>
      </c>
      <c r="E1570" s="21" t="s">
        <v>197</v>
      </c>
      <c r="F1570" s="22" t="s">
        <v>446</v>
      </c>
    </row>
    <row r="1571" customFormat="false" ht="15" hidden="false" customHeight="false" outlineLevel="0" collapsed="false">
      <c r="A1571" s="4" t="str">
        <f aca="false">B1571&amp;"|"&amp;C1571</f>
        <v>tdbR00000015 Ala-AGC|40</v>
      </c>
      <c r="B1571" s="4" t="s">
        <v>58</v>
      </c>
      <c r="C1571" s="4" t="s">
        <v>460</v>
      </c>
      <c r="D1571" s="4" t="n">
        <v>40</v>
      </c>
      <c r="E1571" s="21" t="s">
        <v>414</v>
      </c>
      <c r="F1571" s="22" t="s">
        <v>446</v>
      </c>
    </row>
    <row r="1572" customFormat="false" ht="15" hidden="false" customHeight="false" outlineLevel="0" collapsed="false">
      <c r="A1572" s="4" t="str">
        <f aca="false">B1572&amp;"|"&amp;C1572</f>
        <v>tdbR00000015 Ala-AGC|41</v>
      </c>
      <c r="B1572" s="4" t="s">
        <v>58</v>
      </c>
      <c r="C1572" s="4" t="s">
        <v>461</v>
      </c>
      <c r="D1572" s="4" t="n">
        <v>41</v>
      </c>
      <c r="E1572" s="21" t="s">
        <v>197</v>
      </c>
      <c r="F1572" s="22" t="s">
        <v>446</v>
      </c>
    </row>
    <row r="1573" customFormat="false" ht="15" hidden="false" customHeight="false" outlineLevel="0" collapsed="false">
      <c r="A1573" s="4" t="str">
        <f aca="false">B1573&amp;"|"&amp;C1573</f>
        <v>tdbR00000015 Ala-AGC|42</v>
      </c>
      <c r="B1573" s="4" t="s">
        <v>58</v>
      </c>
      <c r="C1573" s="4" t="s">
        <v>462</v>
      </c>
      <c r="D1573" s="4" t="n">
        <v>42</v>
      </c>
      <c r="E1573" s="21" t="s">
        <v>246</v>
      </c>
      <c r="F1573" s="22" t="s">
        <v>446</v>
      </c>
    </row>
    <row r="1574" customFormat="false" ht="15" hidden="false" customHeight="false" outlineLevel="0" collapsed="false">
      <c r="A1574" s="4" t="str">
        <f aca="false">B1574&amp;"|"&amp;C1574</f>
        <v>tdbR00000015 Ala-AGC|43</v>
      </c>
      <c r="B1574" s="4" t="s">
        <v>58</v>
      </c>
      <c r="C1574" s="4" t="s">
        <v>463</v>
      </c>
      <c r="D1574" s="4" t="n">
        <v>43</v>
      </c>
      <c r="E1574" s="21" t="s">
        <v>197</v>
      </c>
      <c r="F1574" s="22" t="s">
        <v>446</v>
      </c>
    </row>
    <row r="1575" customFormat="false" ht="15" hidden="false" customHeight="false" outlineLevel="0" collapsed="false">
      <c r="A1575" s="4" t="str">
        <f aca="false">B1575&amp;"|"&amp;C1575</f>
        <v>tdbR00000015 Ala-AGC|44</v>
      </c>
      <c r="B1575" s="4" t="s">
        <v>58</v>
      </c>
      <c r="C1575" s="4" t="s">
        <v>464</v>
      </c>
      <c r="D1575" s="4" t="n">
        <v>44</v>
      </c>
      <c r="E1575" s="19" t="s">
        <v>246</v>
      </c>
      <c r="F1575" s="20" t="s">
        <v>465</v>
      </c>
    </row>
    <row r="1576" customFormat="false" ht="15" hidden="false" customHeight="false" outlineLevel="0" collapsed="false">
      <c r="A1576" s="4" t="str">
        <f aca="false">B1576&amp;"|"&amp;C1576</f>
        <v>tdbR00000015 Ala-AGC|45</v>
      </c>
      <c r="B1576" s="4" t="s">
        <v>58</v>
      </c>
      <c r="C1576" s="4" t="s">
        <v>466</v>
      </c>
      <c r="D1576" s="4" t="n">
        <v>45</v>
      </c>
      <c r="E1576" s="19" t="s">
        <v>197</v>
      </c>
      <c r="F1576" s="20" t="s">
        <v>465</v>
      </c>
    </row>
    <row r="1577" customFormat="false" ht="15" hidden="false" customHeight="false" outlineLevel="0" collapsed="false">
      <c r="A1577" s="4" t="str">
        <f aca="false">B1577&amp;"|"&amp;C1577</f>
        <v>tdbR00000015 Ala-AGC|46</v>
      </c>
      <c r="B1577" s="4" t="s">
        <v>58</v>
      </c>
      <c r="C1577" s="4" t="s">
        <v>467</v>
      </c>
      <c r="D1577" s="4" t="n">
        <v>46</v>
      </c>
      <c r="E1577" s="19" t="s">
        <v>197</v>
      </c>
      <c r="F1577" s="20" t="s">
        <v>465</v>
      </c>
    </row>
    <row r="1578" customFormat="false" ht="15" hidden="false" customHeight="false" outlineLevel="0" collapsed="false">
      <c r="A1578" s="4" t="str">
        <f aca="false">B1578&amp;"|"&amp;C1578</f>
        <v>tdbR00000015 Ala-AGC|47</v>
      </c>
      <c r="B1578" s="4" t="s">
        <v>58</v>
      </c>
      <c r="C1578" s="4" t="s">
        <v>468</v>
      </c>
      <c r="D1578" s="4" t="n">
        <v>47</v>
      </c>
      <c r="E1578" s="19" t="s">
        <v>259</v>
      </c>
      <c r="F1578" s="20" t="s">
        <v>465</v>
      </c>
    </row>
    <row r="1579" customFormat="false" ht="15" hidden="false" customHeight="false" outlineLevel="0" collapsed="false">
      <c r="A1579" s="4" t="str">
        <f aca="false">B1579&amp;"|"&amp;C1579</f>
        <v>tdbR00000015 Ala-AGC|48</v>
      </c>
      <c r="B1579" s="4" t="s">
        <v>58</v>
      </c>
      <c r="C1579" s="4" t="s">
        <v>469</v>
      </c>
      <c r="D1579" s="4" t="n">
        <v>48</v>
      </c>
      <c r="E1579" s="19" t="s">
        <v>246</v>
      </c>
      <c r="F1579" s="20" t="s">
        <v>465</v>
      </c>
    </row>
    <row r="1580" customFormat="false" ht="15" hidden="false" customHeight="false" outlineLevel="0" collapsed="false">
      <c r="A1580" s="4" t="str">
        <f aca="false">B1580&amp;"|"&amp;C1580</f>
        <v>tdbR00000015 Ala-AGC|49</v>
      </c>
      <c r="B1580" s="4" t="s">
        <v>58</v>
      </c>
      <c r="C1580" s="4" t="s">
        <v>470</v>
      </c>
      <c r="D1580" s="4" t="n">
        <v>49</v>
      </c>
      <c r="E1580" s="23" t="s">
        <v>414</v>
      </c>
      <c r="F1580" s="10" t="s">
        <v>471</v>
      </c>
    </row>
    <row r="1581" customFormat="false" ht="15" hidden="false" customHeight="false" outlineLevel="0" collapsed="false">
      <c r="A1581" s="4" t="str">
        <f aca="false">B1581&amp;"|"&amp;C1581</f>
        <v>tdbR00000015 Ala-AGC|50</v>
      </c>
      <c r="B1581" s="4" t="s">
        <v>58</v>
      </c>
      <c r="C1581" s="4" t="s">
        <v>472</v>
      </c>
      <c r="D1581" s="4" t="n">
        <v>50</v>
      </c>
      <c r="E1581" s="23" t="s">
        <v>414</v>
      </c>
      <c r="F1581" s="10" t="s">
        <v>471</v>
      </c>
    </row>
    <row r="1582" customFormat="false" ht="15" hidden="false" customHeight="false" outlineLevel="0" collapsed="false">
      <c r="A1582" s="4" t="str">
        <f aca="false">B1582&amp;"|"&amp;C1582</f>
        <v>tdbR00000015 Ala-AGC|51</v>
      </c>
      <c r="B1582" s="4" t="s">
        <v>58</v>
      </c>
      <c r="C1582" s="4" t="s">
        <v>473</v>
      </c>
      <c r="D1582" s="4" t="n">
        <v>51</v>
      </c>
      <c r="E1582" s="23" t="s">
        <v>197</v>
      </c>
      <c r="F1582" s="10" t="s">
        <v>471</v>
      </c>
    </row>
    <row r="1583" customFormat="false" ht="15" hidden="false" customHeight="false" outlineLevel="0" collapsed="false">
      <c r="A1583" s="4" t="str">
        <f aca="false">B1583&amp;"|"&amp;C1583</f>
        <v>tdbR00000015 Ala-AGC|52</v>
      </c>
      <c r="B1583" s="4" t="s">
        <v>58</v>
      </c>
      <c r="C1583" s="4" t="s">
        <v>474</v>
      </c>
      <c r="D1583" s="4" t="n">
        <v>52</v>
      </c>
      <c r="E1583" s="23" t="s">
        <v>197</v>
      </c>
      <c r="F1583" s="10" t="s">
        <v>471</v>
      </c>
    </row>
    <row r="1584" customFormat="false" ht="15" hidden="false" customHeight="false" outlineLevel="0" collapsed="false">
      <c r="A1584" s="4" t="str">
        <f aca="false">B1584&amp;"|"&amp;C1584</f>
        <v>tdbR00000015 Ala-AGC|53</v>
      </c>
      <c r="B1584" s="4" t="s">
        <v>58</v>
      </c>
      <c r="C1584" s="4" t="s">
        <v>475</v>
      </c>
      <c r="D1584" s="4" t="n">
        <v>53</v>
      </c>
      <c r="E1584" s="23" t="s">
        <v>197</v>
      </c>
      <c r="F1584" s="10" t="s">
        <v>471</v>
      </c>
    </row>
    <row r="1585" customFormat="false" ht="15" hidden="false" customHeight="false" outlineLevel="0" collapsed="false">
      <c r="A1585" s="4" t="str">
        <f aca="false">B1585&amp;"|"&amp;C1585</f>
        <v>tdbR00000015 Ala-AGC|54</v>
      </c>
      <c r="B1585" s="4" t="s">
        <v>58</v>
      </c>
      <c r="C1585" s="4" t="s">
        <v>476</v>
      </c>
      <c r="D1585" s="4" t="n">
        <v>54</v>
      </c>
      <c r="E1585" s="19" t="s">
        <v>246</v>
      </c>
      <c r="F1585" s="20" t="s">
        <v>477</v>
      </c>
    </row>
    <row r="1586" customFormat="false" ht="15" hidden="false" customHeight="false" outlineLevel="0" collapsed="false">
      <c r="A1586" s="4" t="str">
        <f aca="false">B1586&amp;"|"&amp;C1586</f>
        <v>tdbR00000015 Ala-AGC|55</v>
      </c>
      <c r="B1586" s="4" t="s">
        <v>58</v>
      </c>
      <c r="C1586" s="4" t="s">
        <v>478</v>
      </c>
      <c r="D1586" s="4" t="n">
        <v>55</v>
      </c>
      <c r="E1586" s="19" t="s">
        <v>259</v>
      </c>
      <c r="F1586" s="20" t="s">
        <v>477</v>
      </c>
    </row>
    <row r="1587" customFormat="false" ht="15" hidden="false" customHeight="false" outlineLevel="0" collapsed="false">
      <c r="A1587" s="4" t="str">
        <f aca="false">B1587&amp;"|"&amp;C1587</f>
        <v>tdbR00000015 Ala-AGC|56</v>
      </c>
      <c r="B1587" s="4" t="s">
        <v>58</v>
      </c>
      <c r="C1587" s="4" t="s">
        <v>479</v>
      </c>
      <c r="D1587" s="4" t="n">
        <v>56</v>
      </c>
      <c r="E1587" s="19" t="s">
        <v>414</v>
      </c>
      <c r="F1587" s="20" t="s">
        <v>477</v>
      </c>
    </row>
    <row r="1588" customFormat="false" ht="15" hidden="false" customHeight="false" outlineLevel="0" collapsed="false">
      <c r="A1588" s="4" t="str">
        <f aca="false">B1588&amp;"|"&amp;C1588</f>
        <v>tdbR00000015 Ala-AGC|57</v>
      </c>
      <c r="B1588" s="4" t="s">
        <v>58</v>
      </c>
      <c r="C1588" s="4" t="s">
        <v>480</v>
      </c>
      <c r="D1588" s="4" t="n">
        <v>57</v>
      </c>
      <c r="E1588" s="19" t="s">
        <v>197</v>
      </c>
      <c r="F1588" s="20" t="s">
        <v>477</v>
      </c>
    </row>
    <row r="1589" customFormat="false" ht="15" hidden="false" customHeight="false" outlineLevel="0" collapsed="false">
      <c r="A1589" s="4" t="str">
        <f aca="false">B1589&amp;"|"&amp;C1589</f>
        <v>tdbR00000015 Ala-AGC|58</v>
      </c>
      <c r="B1589" s="4" t="s">
        <v>58</v>
      </c>
      <c r="C1589" s="4" t="s">
        <v>481</v>
      </c>
      <c r="D1589" s="4" t="n">
        <v>58</v>
      </c>
      <c r="E1589" s="19" t="s">
        <v>246</v>
      </c>
      <c r="F1589" s="20" t="s">
        <v>477</v>
      </c>
    </row>
    <row r="1590" customFormat="false" ht="15" hidden="false" customHeight="false" outlineLevel="0" collapsed="false">
      <c r="A1590" s="4" t="str">
        <f aca="false">B1590&amp;"|"&amp;C1590</f>
        <v>tdbR00000015 Ala-AGC|59</v>
      </c>
      <c r="B1590" s="4" t="s">
        <v>58</v>
      </c>
      <c r="C1590" s="4" t="s">
        <v>482</v>
      </c>
      <c r="D1590" s="4" t="n">
        <v>59</v>
      </c>
      <c r="E1590" s="19" t="s">
        <v>259</v>
      </c>
      <c r="F1590" s="20" t="s">
        <v>477</v>
      </c>
    </row>
    <row r="1591" customFormat="false" ht="15" hidden="false" customHeight="false" outlineLevel="0" collapsed="false">
      <c r="A1591" s="4" t="str">
        <f aca="false">B1591&amp;"|"&amp;C1591</f>
        <v>tdbR00000015 Ala-AGC|60</v>
      </c>
      <c r="B1591" s="4" t="s">
        <v>58</v>
      </c>
      <c r="C1591" s="4" t="s">
        <v>483</v>
      </c>
      <c r="D1591" s="4" t="n">
        <v>60</v>
      </c>
      <c r="E1591" s="19" t="s">
        <v>246</v>
      </c>
      <c r="F1591" s="20" t="s">
        <v>477</v>
      </c>
    </row>
    <row r="1592" customFormat="false" ht="15" hidden="false" customHeight="false" outlineLevel="0" collapsed="false">
      <c r="A1592" s="4" t="str">
        <f aca="false">B1592&amp;"|"&amp;C1592</f>
        <v>tdbR00000015 Ala-AGC|61</v>
      </c>
      <c r="B1592" s="4" t="s">
        <v>58</v>
      </c>
      <c r="C1592" s="4" t="s">
        <v>484</v>
      </c>
      <c r="D1592" s="4" t="n">
        <v>61</v>
      </c>
      <c r="E1592" s="23" t="s">
        <v>414</v>
      </c>
      <c r="F1592" s="10" t="s">
        <v>471</v>
      </c>
    </row>
    <row r="1593" customFormat="false" ht="15" hidden="false" customHeight="false" outlineLevel="0" collapsed="false">
      <c r="A1593" s="4" t="str">
        <f aca="false">B1593&amp;"|"&amp;C1593</f>
        <v>tdbR00000015 Ala-AGC|62</v>
      </c>
      <c r="B1593" s="4" t="s">
        <v>58</v>
      </c>
      <c r="C1593" s="4" t="s">
        <v>485</v>
      </c>
      <c r="D1593" s="4" t="n">
        <v>62</v>
      </c>
      <c r="E1593" s="23" t="s">
        <v>414</v>
      </c>
      <c r="F1593" s="10" t="s">
        <v>471</v>
      </c>
    </row>
    <row r="1594" customFormat="false" ht="15" hidden="false" customHeight="false" outlineLevel="0" collapsed="false">
      <c r="A1594" s="4" t="str">
        <f aca="false">B1594&amp;"|"&amp;C1594</f>
        <v>tdbR00000015 Ala-AGC|63</v>
      </c>
      <c r="B1594" s="4" t="s">
        <v>58</v>
      </c>
      <c r="C1594" s="4" t="s">
        <v>486</v>
      </c>
      <c r="D1594" s="4" t="n">
        <v>63</v>
      </c>
      <c r="E1594" s="23" t="s">
        <v>414</v>
      </c>
      <c r="F1594" s="10" t="s">
        <v>471</v>
      </c>
    </row>
    <row r="1595" customFormat="false" ht="15" hidden="false" customHeight="false" outlineLevel="0" collapsed="false">
      <c r="A1595" s="4" t="str">
        <f aca="false">B1595&amp;"|"&amp;C1595</f>
        <v>tdbR00000015 Ala-AGC|64</v>
      </c>
      <c r="B1595" s="4" t="s">
        <v>58</v>
      </c>
      <c r="C1595" s="4" t="s">
        <v>487</v>
      </c>
      <c r="D1595" s="4" t="n">
        <v>64</v>
      </c>
      <c r="E1595" s="23" t="s">
        <v>197</v>
      </c>
      <c r="F1595" s="10" t="s">
        <v>471</v>
      </c>
    </row>
    <row r="1596" customFormat="false" ht="15" hidden="false" customHeight="false" outlineLevel="0" collapsed="false">
      <c r="A1596" s="4" t="str">
        <f aca="false">B1596&amp;"|"&amp;C1596</f>
        <v>tdbR00000015 Ala-AGC|65</v>
      </c>
      <c r="B1596" s="4" t="s">
        <v>58</v>
      </c>
      <c r="C1596" s="4" t="s">
        <v>488</v>
      </c>
      <c r="D1596" s="4" t="n">
        <v>65</v>
      </c>
      <c r="E1596" s="23" t="s">
        <v>197</v>
      </c>
      <c r="F1596" s="10" t="s">
        <v>471</v>
      </c>
    </row>
    <row r="1597" customFormat="false" ht="15" hidden="false" customHeight="false" outlineLevel="0" collapsed="false">
      <c r="A1597" s="4" t="str">
        <f aca="false">B1597&amp;"|"&amp;C1597</f>
        <v>tdbR00000015 Ala-AGC|66</v>
      </c>
      <c r="B1597" s="4" t="s">
        <v>58</v>
      </c>
      <c r="C1597" s="4" t="s">
        <v>489</v>
      </c>
      <c r="D1597" s="4" t="n">
        <v>66</v>
      </c>
      <c r="E1597" s="17" t="s">
        <v>414</v>
      </c>
      <c r="F1597" s="18" t="s">
        <v>412</v>
      </c>
    </row>
    <row r="1598" customFormat="false" ht="15" hidden="false" customHeight="false" outlineLevel="0" collapsed="false">
      <c r="A1598" s="4" t="str">
        <f aca="false">B1598&amp;"|"&amp;C1598</f>
        <v>tdbR00000015 Ala-AGC|67</v>
      </c>
      <c r="B1598" s="4" t="s">
        <v>58</v>
      </c>
      <c r="C1598" s="4" t="s">
        <v>490</v>
      </c>
      <c r="D1598" s="4" t="n">
        <v>67</v>
      </c>
      <c r="E1598" s="17" t="s">
        <v>197</v>
      </c>
      <c r="F1598" s="18" t="s">
        <v>412</v>
      </c>
    </row>
    <row r="1599" customFormat="false" ht="15" hidden="false" customHeight="false" outlineLevel="0" collapsed="false">
      <c r="A1599" s="4" t="str">
        <f aca="false">B1599&amp;"|"&amp;C1599</f>
        <v>tdbR00000015 Ala-AGC|68</v>
      </c>
      <c r="B1599" s="4" t="s">
        <v>58</v>
      </c>
      <c r="C1599" s="4" t="s">
        <v>491</v>
      </c>
      <c r="D1599" s="4" t="n">
        <v>68</v>
      </c>
      <c r="E1599" s="17" t="s">
        <v>414</v>
      </c>
      <c r="F1599" s="18" t="s">
        <v>412</v>
      </c>
    </row>
    <row r="1600" customFormat="false" ht="15" hidden="false" customHeight="false" outlineLevel="0" collapsed="false">
      <c r="A1600" s="4" t="str">
        <f aca="false">B1600&amp;"|"&amp;C1600</f>
        <v>tdbR00000015 Ala-AGC|69</v>
      </c>
      <c r="B1600" s="4" t="s">
        <v>58</v>
      </c>
      <c r="C1600" s="4" t="s">
        <v>492</v>
      </c>
      <c r="D1600" s="4" t="n">
        <v>69</v>
      </c>
      <c r="E1600" s="17" t="s">
        <v>414</v>
      </c>
      <c r="F1600" s="18" t="s">
        <v>412</v>
      </c>
    </row>
    <row r="1601" customFormat="false" ht="15" hidden="false" customHeight="false" outlineLevel="0" collapsed="false">
      <c r="A1601" s="4" t="str">
        <f aca="false">B1601&amp;"|"&amp;C1601</f>
        <v>tdbR00000015 Ala-AGC|70</v>
      </c>
      <c r="B1601" s="4" t="s">
        <v>58</v>
      </c>
      <c r="C1601" s="4" t="s">
        <v>493</v>
      </c>
      <c r="D1601" s="4" t="n">
        <v>70</v>
      </c>
      <c r="E1601" s="17" t="s">
        <v>259</v>
      </c>
      <c r="F1601" s="18" t="s">
        <v>412</v>
      </c>
    </row>
    <row r="1602" customFormat="false" ht="15" hidden="false" customHeight="false" outlineLevel="0" collapsed="false">
      <c r="A1602" s="4" t="str">
        <f aca="false">B1602&amp;"|"&amp;C1602</f>
        <v>tdbR00000015 Ala-AGC|71</v>
      </c>
      <c r="B1602" s="4" t="s">
        <v>58</v>
      </c>
      <c r="C1602" s="4" t="s">
        <v>494</v>
      </c>
      <c r="D1602" s="4" t="n">
        <v>71</v>
      </c>
      <c r="E1602" s="17" t="s">
        <v>414</v>
      </c>
      <c r="F1602" s="18" t="s">
        <v>412</v>
      </c>
    </row>
    <row r="1603" customFormat="false" ht="15" hidden="false" customHeight="false" outlineLevel="0" collapsed="false">
      <c r="A1603" s="4" t="str">
        <f aca="false">B1603&amp;"|"&amp;C1603</f>
        <v>tdbR00000015 Ala-AGC|72</v>
      </c>
      <c r="B1603" s="4" t="s">
        <v>58</v>
      </c>
      <c r="C1603" s="4" t="s">
        <v>495</v>
      </c>
      <c r="D1603" s="4" t="n">
        <v>72</v>
      </c>
      <c r="E1603" s="17" t="s">
        <v>414</v>
      </c>
      <c r="F1603" s="18" t="s">
        <v>412</v>
      </c>
    </row>
    <row r="1604" customFormat="false" ht="15" hidden="false" customHeight="false" outlineLevel="0" collapsed="false">
      <c r="A1604" s="4" t="str">
        <f aca="false">B1604&amp;"|"&amp;C1604</f>
        <v>tdbR00000173 Ile-AAU|1</v>
      </c>
      <c r="B1604" s="4" t="s">
        <v>59</v>
      </c>
      <c r="C1604" s="4" t="s">
        <v>411</v>
      </c>
      <c r="D1604" s="4" t="n">
        <v>1</v>
      </c>
      <c r="E1604" s="17" t="s">
        <v>197</v>
      </c>
      <c r="F1604" s="18" t="s">
        <v>412</v>
      </c>
    </row>
    <row r="1605" customFormat="false" ht="15" hidden="false" customHeight="false" outlineLevel="0" collapsed="false">
      <c r="A1605" s="4" t="str">
        <f aca="false">B1605&amp;"|"&amp;C1605</f>
        <v>tdbR00000173 Ile-AAU|2</v>
      </c>
      <c r="B1605" s="4" t="s">
        <v>59</v>
      </c>
      <c r="C1605" s="4" t="s">
        <v>413</v>
      </c>
      <c r="D1605" s="4" t="n">
        <v>2</v>
      </c>
      <c r="E1605" s="17" t="s">
        <v>197</v>
      </c>
      <c r="F1605" s="18" t="s">
        <v>412</v>
      </c>
    </row>
    <row r="1606" customFormat="false" ht="15" hidden="false" customHeight="false" outlineLevel="0" collapsed="false">
      <c r="A1606" s="4" t="str">
        <f aca="false">B1606&amp;"|"&amp;C1606</f>
        <v>tdbR00000173 Ile-AAU|3</v>
      </c>
      <c r="B1606" s="4" t="s">
        <v>59</v>
      </c>
      <c r="C1606" s="4" t="s">
        <v>415</v>
      </c>
      <c r="D1606" s="4" t="n">
        <v>3</v>
      </c>
      <c r="E1606" s="17" t="s">
        <v>414</v>
      </c>
      <c r="F1606" s="18" t="s">
        <v>412</v>
      </c>
    </row>
    <row r="1607" customFormat="false" ht="15" hidden="false" customHeight="false" outlineLevel="0" collapsed="false">
      <c r="A1607" s="4" t="str">
        <f aca="false">B1607&amp;"|"&amp;C1607</f>
        <v>tdbR00000173 Ile-AAU|4</v>
      </c>
      <c r="B1607" s="4" t="s">
        <v>59</v>
      </c>
      <c r="C1607" s="4" t="s">
        <v>416</v>
      </c>
      <c r="D1607" s="4" t="n">
        <v>4</v>
      </c>
      <c r="E1607" s="17" t="s">
        <v>414</v>
      </c>
      <c r="F1607" s="18" t="s">
        <v>412</v>
      </c>
    </row>
    <row r="1608" customFormat="false" ht="15" hidden="false" customHeight="false" outlineLevel="0" collapsed="false">
      <c r="A1608" s="4" t="str">
        <f aca="false">B1608&amp;"|"&amp;C1608</f>
        <v>tdbR00000173 Ile-AAU|5</v>
      </c>
      <c r="B1608" s="4" t="s">
        <v>59</v>
      </c>
      <c r="C1608" s="4" t="s">
        <v>417</v>
      </c>
      <c r="D1608" s="4" t="n">
        <v>5</v>
      </c>
      <c r="E1608" s="17" t="s">
        <v>414</v>
      </c>
      <c r="F1608" s="18" t="s">
        <v>412</v>
      </c>
    </row>
    <row r="1609" customFormat="false" ht="15" hidden="false" customHeight="false" outlineLevel="0" collapsed="false">
      <c r="A1609" s="4" t="str">
        <f aca="false">B1609&amp;"|"&amp;C1609</f>
        <v>tdbR00000173 Ile-AAU|6</v>
      </c>
      <c r="B1609" s="4" t="s">
        <v>59</v>
      </c>
      <c r="C1609" s="4" t="s">
        <v>418</v>
      </c>
      <c r="D1609" s="4" t="n">
        <v>6</v>
      </c>
      <c r="E1609" s="17" t="s">
        <v>246</v>
      </c>
      <c r="F1609" s="18" t="s">
        <v>412</v>
      </c>
    </row>
    <row r="1610" customFormat="false" ht="15" hidden="false" customHeight="false" outlineLevel="0" collapsed="false">
      <c r="A1610" s="4" t="str">
        <f aca="false">B1610&amp;"|"&amp;C1610</f>
        <v>tdbR00000173 Ile-AAU|7</v>
      </c>
      <c r="B1610" s="4" t="s">
        <v>59</v>
      </c>
      <c r="C1610" s="4" t="s">
        <v>419</v>
      </c>
      <c r="D1610" s="4" t="n">
        <v>7</v>
      </c>
      <c r="E1610" s="17" t="s">
        <v>259</v>
      </c>
      <c r="F1610" s="18" t="s">
        <v>412</v>
      </c>
    </row>
    <row r="1611" customFormat="false" ht="15" hidden="false" customHeight="false" outlineLevel="0" collapsed="false">
      <c r="A1611" s="4" t="str">
        <f aca="false">B1611&amp;"|"&amp;C1611</f>
        <v>tdbR00000173 Ile-AAU|8</v>
      </c>
      <c r="B1611" s="4" t="s">
        <v>59</v>
      </c>
      <c r="C1611" s="4" t="s">
        <v>420</v>
      </c>
      <c r="D1611" s="4" t="n">
        <v>8</v>
      </c>
      <c r="E1611" s="3" t="s">
        <v>259</v>
      </c>
      <c r="F1611" s="4" t="s">
        <v>421</v>
      </c>
    </row>
    <row r="1612" customFormat="false" ht="15" hidden="false" customHeight="false" outlineLevel="0" collapsed="false">
      <c r="A1612" s="4" t="str">
        <f aca="false">B1612&amp;"|"&amp;C1612</f>
        <v>tdbR00000173 Ile-AAU|9</v>
      </c>
      <c r="B1612" s="4" t="s">
        <v>59</v>
      </c>
      <c r="C1612" s="4" t="s">
        <v>422</v>
      </c>
      <c r="D1612" s="4" t="n">
        <v>9</v>
      </c>
      <c r="E1612" s="3" t="s">
        <v>246</v>
      </c>
      <c r="F1612" s="4" t="s">
        <v>423</v>
      </c>
    </row>
    <row r="1613" customFormat="false" ht="15" hidden="false" customHeight="false" outlineLevel="0" collapsed="false">
      <c r="A1613" s="4" t="str">
        <f aca="false">B1613&amp;"|"&amp;C1613</f>
        <v>tdbR00000173 Ile-AAU|10</v>
      </c>
      <c r="B1613" s="4" t="s">
        <v>59</v>
      </c>
      <c r="C1613" s="4" t="s">
        <v>424</v>
      </c>
      <c r="D1613" s="4" t="n">
        <v>10</v>
      </c>
      <c r="E1613" s="8" t="s">
        <v>197</v>
      </c>
      <c r="F1613" s="7" t="s">
        <v>425</v>
      </c>
    </row>
    <row r="1614" customFormat="false" ht="15" hidden="false" customHeight="false" outlineLevel="0" collapsed="false">
      <c r="A1614" s="4" t="str">
        <f aca="false">B1614&amp;"|"&amp;C1614</f>
        <v>tdbR00000173 Ile-AAU|11</v>
      </c>
      <c r="B1614" s="4" t="s">
        <v>59</v>
      </c>
      <c r="C1614" s="4" t="s">
        <v>426</v>
      </c>
      <c r="D1614" s="4" t="n">
        <v>11</v>
      </c>
      <c r="E1614" s="8" t="s">
        <v>414</v>
      </c>
      <c r="F1614" s="7" t="s">
        <v>425</v>
      </c>
    </row>
    <row r="1615" customFormat="false" ht="15" hidden="false" customHeight="false" outlineLevel="0" collapsed="false">
      <c r="A1615" s="4" t="str">
        <f aca="false">B1615&amp;"|"&amp;C1615</f>
        <v>tdbR00000173 Ile-AAU|12</v>
      </c>
      <c r="B1615" s="4" t="s">
        <v>59</v>
      </c>
      <c r="C1615" s="4" t="s">
        <v>427</v>
      </c>
      <c r="D1615" s="4" t="n">
        <v>12</v>
      </c>
      <c r="E1615" s="8" t="s">
        <v>259</v>
      </c>
      <c r="F1615" s="7" t="s">
        <v>425</v>
      </c>
    </row>
    <row r="1616" customFormat="false" ht="15" hidden="false" customHeight="false" outlineLevel="0" collapsed="false">
      <c r="A1616" s="4" t="str">
        <f aca="false">B1616&amp;"|"&amp;C1616</f>
        <v>tdbR00000173 Ile-AAU|13</v>
      </c>
      <c r="B1616" s="4" t="s">
        <v>59</v>
      </c>
      <c r="C1616" s="4" t="s">
        <v>428</v>
      </c>
      <c r="D1616" s="4" t="n">
        <v>13</v>
      </c>
      <c r="E1616" s="8" t="s">
        <v>414</v>
      </c>
      <c r="F1616" s="7" t="s">
        <v>425</v>
      </c>
    </row>
    <row r="1617" customFormat="false" ht="15" hidden="false" customHeight="false" outlineLevel="0" collapsed="false">
      <c r="A1617" s="4" t="str">
        <f aca="false">B1617&amp;"|"&amp;C1617</f>
        <v>tdbR00000173 Ile-AAU|14</v>
      </c>
      <c r="B1617" s="4" t="s">
        <v>59</v>
      </c>
      <c r="C1617" s="4" t="s">
        <v>429</v>
      </c>
      <c r="D1617" s="4" t="n">
        <v>14</v>
      </c>
      <c r="E1617" s="19" t="s">
        <v>246</v>
      </c>
      <c r="F1617" s="20" t="s">
        <v>430</v>
      </c>
    </row>
    <row r="1618" customFormat="false" ht="15" hidden="false" customHeight="false" outlineLevel="0" collapsed="false">
      <c r="A1618" s="4" t="str">
        <f aca="false">B1618&amp;"|"&amp;C1618</f>
        <v>tdbR00000173 Ile-AAU|15</v>
      </c>
      <c r="B1618" s="4" t="s">
        <v>59</v>
      </c>
      <c r="C1618" s="4" t="s">
        <v>431</v>
      </c>
      <c r="D1618" s="4" t="n">
        <v>15</v>
      </c>
      <c r="E1618" s="19" t="s">
        <v>197</v>
      </c>
      <c r="F1618" s="20" t="s">
        <v>430</v>
      </c>
    </row>
    <row r="1619" customFormat="false" ht="15" hidden="false" customHeight="false" outlineLevel="0" collapsed="false">
      <c r="A1619" s="4" t="str">
        <f aca="false">B1619&amp;"|"&amp;C1619</f>
        <v>tdbR00000173 Ile-AAU|16</v>
      </c>
      <c r="B1619" s="4" t="s">
        <v>59</v>
      </c>
      <c r="C1619" s="4" t="s">
        <v>432</v>
      </c>
      <c r="D1619" s="4" t="n">
        <v>16</v>
      </c>
      <c r="E1619" s="19" t="s">
        <v>259</v>
      </c>
      <c r="F1619" s="20" t="s">
        <v>430</v>
      </c>
    </row>
    <row r="1620" customFormat="false" ht="15" hidden="false" customHeight="false" outlineLevel="0" collapsed="false">
      <c r="A1620" s="4" t="str">
        <f aca="false">B1620&amp;"|"&amp;C1620</f>
        <v>tdbR00000173 Ile-AAU|17</v>
      </c>
      <c r="B1620" s="4" t="s">
        <v>59</v>
      </c>
      <c r="C1620" s="4" t="s">
        <v>433</v>
      </c>
      <c r="D1620" s="4" t="n">
        <v>17</v>
      </c>
      <c r="E1620" s="19" t="s">
        <v>259</v>
      </c>
      <c r="F1620" s="20" t="s">
        <v>430</v>
      </c>
    </row>
    <row r="1621" customFormat="false" ht="15" hidden="false" customHeight="false" outlineLevel="0" collapsed="false">
      <c r="A1621" s="4" t="str">
        <f aca="false">B1621&amp;"|"&amp;C1621</f>
        <v>tdbR00000173 Ile-AAU|18</v>
      </c>
      <c r="B1621" s="4" t="s">
        <v>59</v>
      </c>
      <c r="C1621" s="4" t="s">
        <v>434</v>
      </c>
      <c r="D1621" s="4" t="n">
        <v>18</v>
      </c>
      <c r="E1621" s="19" t="s">
        <v>197</v>
      </c>
      <c r="F1621" s="20" t="s">
        <v>430</v>
      </c>
    </row>
    <row r="1622" customFormat="false" ht="15" hidden="false" customHeight="false" outlineLevel="0" collapsed="false">
      <c r="A1622" s="4" t="str">
        <f aca="false">B1622&amp;"|"&amp;C1622</f>
        <v>tdbR00000173 Ile-AAU|19</v>
      </c>
      <c r="B1622" s="4" t="s">
        <v>59</v>
      </c>
      <c r="C1622" s="4" t="s">
        <v>435</v>
      </c>
      <c r="D1622" s="4" t="n">
        <v>19</v>
      </c>
      <c r="E1622" s="19" t="s">
        <v>197</v>
      </c>
      <c r="F1622" s="20" t="s">
        <v>430</v>
      </c>
    </row>
    <row r="1623" customFormat="false" ht="15" hidden="false" customHeight="false" outlineLevel="0" collapsed="false">
      <c r="A1623" s="4" t="str">
        <f aca="false">B1623&amp;"|"&amp;C1623</f>
        <v>tdbR00000173 Ile-AAU|20</v>
      </c>
      <c r="B1623" s="4" t="s">
        <v>59</v>
      </c>
      <c r="C1623" s="4" t="s">
        <v>436</v>
      </c>
      <c r="D1623" s="4" t="n">
        <v>20</v>
      </c>
      <c r="E1623" s="19" t="s">
        <v>259</v>
      </c>
      <c r="F1623" s="20" t="s">
        <v>430</v>
      </c>
    </row>
    <row r="1624" customFormat="false" ht="15" hidden="false" customHeight="false" outlineLevel="0" collapsed="false">
      <c r="A1624" s="4" t="str">
        <f aca="false">B1624&amp;"|"&amp;C1624</f>
        <v>tdbR00000173 Ile-AAU|20a</v>
      </c>
      <c r="B1624" s="4" t="s">
        <v>59</v>
      </c>
      <c r="C1624" s="4" t="s">
        <v>437</v>
      </c>
      <c r="D1624" s="4" t="n">
        <v>21</v>
      </c>
      <c r="E1624" s="19" t="s">
        <v>259</v>
      </c>
      <c r="F1624" s="20" t="s">
        <v>430</v>
      </c>
    </row>
    <row r="1625" customFormat="false" ht="15" hidden="false" customHeight="false" outlineLevel="0" collapsed="false">
      <c r="A1625" s="4" t="str">
        <f aca="false">B1625&amp;"|"&amp;C1625</f>
        <v>tdbR00000173 Ile-AAU|21</v>
      </c>
      <c r="B1625" s="4" t="s">
        <v>59</v>
      </c>
      <c r="C1625" s="4" t="s">
        <v>438</v>
      </c>
      <c r="D1625" s="4" t="n">
        <v>22</v>
      </c>
      <c r="E1625" s="19" t="s">
        <v>246</v>
      </c>
      <c r="F1625" s="20" t="s">
        <v>430</v>
      </c>
    </row>
    <row r="1626" customFormat="false" ht="15" hidden="false" customHeight="false" outlineLevel="0" collapsed="false">
      <c r="A1626" s="4" t="str">
        <f aca="false">B1626&amp;"|"&amp;C1626</f>
        <v>tdbR00000173 Ile-AAU|22</v>
      </c>
      <c r="B1626" s="4" t="s">
        <v>59</v>
      </c>
      <c r="C1626" s="4" t="s">
        <v>439</v>
      </c>
      <c r="D1626" s="4" t="n">
        <v>23</v>
      </c>
      <c r="E1626" s="8" t="s">
        <v>197</v>
      </c>
      <c r="F1626" s="7" t="s">
        <v>425</v>
      </c>
    </row>
    <row r="1627" customFormat="false" ht="15" hidden="false" customHeight="false" outlineLevel="0" collapsed="false">
      <c r="A1627" s="4" t="str">
        <f aca="false">B1627&amp;"|"&amp;C1627</f>
        <v>tdbR00000173 Ile-AAU|23</v>
      </c>
      <c r="B1627" s="4" t="s">
        <v>59</v>
      </c>
      <c r="C1627" s="4" t="s">
        <v>440</v>
      </c>
      <c r="D1627" s="4" t="n">
        <v>24</v>
      </c>
      <c r="E1627" s="8" t="s">
        <v>246</v>
      </c>
      <c r="F1627" s="7" t="s">
        <v>425</v>
      </c>
    </row>
    <row r="1628" customFormat="false" ht="15" hidden="false" customHeight="false" outlineLevel="0" collapsed="false">
      <c r="A1628" s="4" t="str">
        <f aca="false">B1628&amp;"|"&amp;C1628</f>
        <v>tdbR00000173 Ile-AAU|24</v>
      </c>
      <c r="B1628" s="4" t="s">
        <v>59</v>
      </c>
      <c r="C1628" s="4" t="s">
        <v>441</v>
      </c>
      <c r="D1628" s="4" t="n">
        <v>25</v>
      </c>
      <c r="E1628" s="8" t="s">
        <v>197</v>
      </c>
      <c r="F1628" s="7" t="s">
        <v>425</v>
      </c>
    </row>
    <row r="1629" customFormat="false" ht="15" hidden="false" customHeight="false" outlineLevel="0" collapsed="false">
      <c r="A1629" s="4" t="str">
        <f aca="false">B1629&amp;"|"&amp;C1629</f>
        <v>tdbR00000173 Ile-AAU|25</v>
      </c>
      <c r="B1629" s="4" t="s">
        <v>59</v>
      </c>
      <c r="C1629" s="4" t="s">
        <v>442</v>
      </c>
      <c r="D1629" s="4" t="n">
        <v>26</v>
      </c>
      <c r="E1629" s="8" t="s">
        <v>414</v>
      </c>
      <c r="F1629" s="7" t="s">
        <v>425</v>
      </c>
    </row>
    <row r="1630" customFormat="false" ht="15" hidden="false" customHeight="false" outlineLevel="0" collapsed="false">
      <c r="A1630" s="4" t="str">
        <f aca="false">B1630&amp;"|"&amp;C1630</f>
        <v>tdbR00000173 Ile-AAU|26</v>
      </c>
      <c r="B1630" s="4" t="s">
        <v>59</v>
      </c>
      <c r="C1630" s="4" t="s">
        <v>443</v>
      </c>
      <c r="D1630" s="4" t="n">
        <v>27</v>
      </c>
      <c r="E1630" s="3" t="s">
        <v>197</v>
      </c>
      <c r="F1630" s="4" t="s">
        <v>444</v>
      </c>
    </row>
    <row r="1631" customFormat="false" ht="15" hidden="false" customHeight="false" outlineLevel="0" collapsed="false">
      <c r="A1631" s="4" t="str">
        <f aca="false">B1631&amp;"|"&amp;C1631</f>
        <v>tdbR00000173 Ile-AAU|27</v>
      </c>
      <c r="B1631" s="4" t="s">
        <v>59</v>
      </c>
      <c r="C1631" s="4" t="s">
        <v>445</v>
      </c>
      <c r="D1631" s="4" t="n">
        <v>28</v>
      </c>
      <c r="E1631" s="21" t="s">
        <v>259</v>
      </c>
      <c r="F1631" s="22" t="s">
        <v>446</v>
      </c>
    </row>
    <row r="1632" customFormat="false" ht="15" hidden="false" customHeight="false" outlineLevel="0" collapsed="false">
      <c r="A1632" s="4" t="str">
        <f aca="false">B1632&amp;"|"&amp;C1632</f>
        <v>tdbR00000173 Ile-AAU|28</v>
      </c>
      <c r="B1632" s="4" t="s">
        <v>59</v>
      </c>
      <c r="C1632" s="4" t="s">
        <v>447</v>
      </c>
      <c r="D1632" s="4" t="n">
        <v>29</v>
      </c>
      <c r="E1632" s="21" t="s">
        <v>414</v>
      </c>
      <c r="F1632" s="22" t="s">
        <v>446</v>
      </c>
    </row>
    <row r="1633" customFormat="false" ht="15" hidden="false" customHeight="false" outlineLevel="0" collapsed="false">
      <c r="A1633" s="4" t="str">
        <f aca="false">B1633&amp;"|"&amp;C1633</f>
        <v>tdbR00000173 Ile-AAU|29</v>
      </c>
      <c r="B1633" s="4" t="s">
        <v>59</v>
      </c>
      <c r="C1633" s="4" t="s">
        <v>448</v>
      </c>
      <c r="D1633" s="4" t="n">
        <v>30</v>
      </c>
      <c r="E1633" s="21" t="s">
        <v>197</v>
      </c>
      <c r="F1633" s="22" t="s">
        <v>446</v>
      </c>
    </row>
    <row r="1634" customFormat="false" ht="15" hidden="false" customHeight="false" outlineLevel="0" collapsed="false">
      <c r="A1634" s="4" t="str">
        <f aca="false">B1634&amp;"|"&amp;C1634</f>
        <v>tdbR00000173 Ile-AAU|30</v>
      </c>
      <c r="B1634" s="4" t="s">
        <v>59</v>
      </c>
      <c r="C1634" s="4" t="s">
        <v>449</v>
      </c>
      <c r="D1634" s="4" t="n">
        <v>31</v>
      </c>
      <c r="E1634" s="21" t="s">
        <v>259</v>
      </c>
      <c r="F1634" s="22" t="s">
        <v>446</v>
      </c>
    </row>
    <row r="1635" customFormat="false" ht="15" hidden="false" customHeight="false" outlineLevel="0" collapsed="false">
      <c r="A1635" s="4" t="str">
        <f aca="false">B1635&amp;"|"&amp;C1635</f>
        <v>tdbR00000173 Ile-AAU|31</v>
      </c>
      <c r="B1635" s="4" t="s">
        <v>59</v>
      </c>
      <c r="C1635" s="4" t="s">
        <v>450</v>
      </c>
      <c r="D1635" s="4" t="n">
        <v>32</v>
      </c>
      <c r="E1635" s="21" t="s">
        <v>197</v>
      </c>
      <c r="F1635" s="22" t="s">
        <v>446</v>
      </c>
    </row>
    <row r="1636" customFormat="false" ht="15" hidden="false" customHeight="false" outlineLevel="0" collapsed="false">
      <c r="A1636" s="4" t="str">
        <f aca="false">B1636&amp;"|"&amp;C1636</f>
        <v>tdbR00000173 Ile-AAU|32</v>
      </c>
      <c r="B1636" s="4" t="s">
        <v>59</v>
      </c>
      <c r="C1636" s="4" t="s">
        <v>451</v>
      </c>
      <c r="D1636" s="4" t="n">
        <v>33</v>
      </c>
      <c r="E1636" s="19" t="s">
        <v>414</v>
      </c>
      <c r="F1636" s="20" t="s">
        <v>452</v>
      </c>
    </row>
    <row r="1637" customFormat="false" ht="15" hidden="false" customHeight="false" outlineLevel="0" collapsed="false">
      <c r="A1637" s="4" t="str">
        <f aca="false">B1637&amp;"|"&amp;C1637</f>
        <v>tdbR00000173 Ile-AAU|33</v>
      </c>
      <c r="B1637" s="4" t="s">
        <v>59</v>
      </c>
      <c r="C1637" s="4" t="s">
        <v>453</v>
      </c>
      <c r="D1637" s="4" t="n">
        <v>34</v>
      </c>
      <c r="E1637" s="19" t="s">
        <v>259</v>
      </c>
      <c r="F1637" s="20" t="s">
        <v>452</v>
      </c>
    </row>
    <row r="1638" customFormat="false" ht="15" hidden="false" customHeight="false" outlineLevel="0" collapsed="false">
      <c r="A1638" s="4" t="str">
        <f aca="false">B1638&amp;"|"&amp;C1638</f>
        <v>tdbR00000173 Ile-AAU|34</v>
      </c>
      <c r="B1638" s="4" t="s">
        <v>59</v>
      </c>
      <c r="C1638" s="4" t="s">
        <v>454</v>
      </c>
      <c r="D1638" s="4" t="n">
        <v>35</v>
      </c>
      <c r="E1638" s="19" t="s">
        <v>246</v>
      </c>
      <c r="F1638" s="20" t="s">
        <v>452</v>
      </c>
    </row>
    <row r="1639" customFormat="false" ht="15" hidden="false" customHeight="false" outlineLevel="0" collapsed="false">
      <c r="A1639" s="4" t="str">
        <f aca="false">B1639&amp;"|"&amp;C1639</f>
        <v>tdbR00000173 Ile-AAU|35</v>
      </c>
      <c r="B1639" s="4" t="s">
        <v>59</v>
      </c>
      <c r="C1639" s="4" t="s">
        <v>455</v>
      </c>
      <c r="D1639" s="4" t="n">
        <v>36</v>
      </c>
      <c r="E1639" s="19" t="s">
        <v>246</v>
      </c>
      <c r="F1639" s="20" t="s">
        <v>452</v>
      </c>
    </row>
    <row r="1640" customFormat="false" ht="15" hidden="false" customHeight="false" outlineLevel="0" collapsed="false">
      <c r="A1640" s="4" t="str">
        <f aca="false">B1640&amp;"|"&amp;C1640</f>
        <v>tdbR00000173 Ile-AAU|36</v>
      </c>
      <c r="B1640" s="4" t="s">
        <v>59</v>
      </c>
      <c r="C1640" s="4" t="s">
        <v>456</v>
      </c>
      <c r="D1640" s="4" t="n">
        <v>37</v>
      </c>
      <c r="E1640" s="19" t="s">
        <v>259</v>
      </c>
      <c r="F1640" s="20" t="s">
        <v>452</v>
      </c>
    </row>
    <row r="1641" customFormat="false" ht="15" hidden="false" customHeight="false" outlineLevel="0" collapsed="false">
      <c r="A1641" s="4" t="str">
        <f aca="false">B1641&amp;"|"&amp;C1641</f>
        <v>tdbR00000173 Ile-AAU|37</v>
      </c>
      <c r="B1641" s="4" t="s">
        <v>59</v>
      </c>
      <c r="C1641" s="4" t="s">
        <v>457</v>
      </c>
      <c r="D1641" s="4" t="n">
        <v>38</v>
      </c>
      <c r="E1641" s="19" t="s">
        <v>246</v>
      </c>
      <c r="F1641" s="20" t="s">
        <v>452</v>
      </c>
    </row>
    <row r="1642" customFormat="false" ht="15" hidden="false" customHeight="false" outlineLevel="0" collapsed="false">
      <c r="A1642" s="4" t="str">
        <f aca="false">B1642&amp;"|"&amp;C1642</f>
        <v>tdbR00000173 Ile-AAU|38</v>
      </c>
      <c r="B1642" s="4" t="s">
        <v>59</v>
      </c>
      <c r="C1642" s="4" t="s">
        <v>458</v>
      </c>
      <c r="D1642" s="4" t="n">
        <v>39</v>
      </c>
      <c r="E1642" s="19" t="s">
        <v>246</v>
      </c>
      <c r="F1642" s="20" t="s">
        <v>452</v>
      </c>
    </row>
    <row r="1643" customFormat="false" ht="15" hidden="false" customHeight="false" outlineLevel="0" collapsed="false">
      <c r="A1643" s="4" t="str">
        <f aca="false">B1643&amp;"|"&amp;C1643</f>
        <v>tdbR00000173 Ile-AAU|39</v>
      </c>
      <c r="B1643" s="4" t="s">
        <v>59</v>
      </c>
      <c r="C1643" s="4" t="s">
        <v>459</v>
      </c>
      <c r="D1643" s="4" t="n">
        <v>40</v>
      </c>
      <c r="E1643" s="21" t="s">
        <v>414</v>
      </c>
      <c r="F1643" s="22" t="s">
        <v>446</v>
      </c>
    </row>
    <row r="1644" customFormat="false" ht="15" hidden="false" customHeight="false" outlineLevel="0" collapsed="false">
      <c r="A1644" s="4" t="str">
        <f aca="false">B1644&amp;"|"&amp;C1644</f>
        <v>tdbR00000173 Ile-AAU|40</v>
      </c>
      <c r="B1644" s="4" t="s">
        <v>59</v>
      </c>
      <c r="C1644" s="4" t="s">
        <v>460</v>
      </c>
      <c r="D1644" s="4" t="n">
        <v>41</v>
      </c>
      <c r="E1644" s="21" t="s">
        <v>197</v>
      </c>
      <c r="F1644" s="22" t="s">
        <v>446</v>
      </c>
    </row>
    <row r="1645" customFormat="false" ht="15" hidden="false" customHeight="false" outlineLevel="0" collapsed="false">
      <c r="A1645" s="4" t="str">
        <f aca="false">B1645&amp;"|"&amp;C1645</f>
        <v>tdbR00000173 Ile-AAU|41</v>
      </c>
      <c r="B1645" s="4" t="s">
        <v>59</v>
      </c>
      <c r="C1645" s="4" t="s">
        <v>461</v>
      </c>
      <c r="D1645" s="4" t="n">
        <v>42</v>
      </c>
      <c r="E1645" s="21" t="s">
        <v>414</v>
      </c>
      <c r="F1645" s="22" t="s">
        <v>446</v>
      </c>
    </row>
    <row r="1646" customFormat="false" ht="15" hidden="false" customHeight="false" outlineLevel="0" collapsed="false">
      <c r="A1646" s="4" t="str">
        <f aca="false">B1646&amp;"|"&amp;C1646</f>
        <v>tdbR00000173 Ile-AAU|42</v>
      </c>
      <c r="B1646" s="4" t="s">
        <v>59</v>
      </c>
      <c r="C1646" s="4" t="s">
        <v>462</v>
      </c>
      <c r="D1646" s="4" t="n">
        <v>43</v>
      </c>
      <c r="E1646" s="21" t="s">
        <v>197</v>
      </c>
      <c r="F1646" s="22" t="s">
        <v>446</v>
      </c>
    </row>
    <row r="1647" customFormat="false" ht="15" hidden="false" customHeight="false" outlineLevel="0" collapsed="false">
      <c r="A1647" s="4" t="str">
        <f aca="false">B1647&amp;"|"&amp;C1647</f>
        <v>tdbR00000173 Ile-AAU|43</v>
      </c>
      <c r="B1647" s="4" t="s">
        <v>59</v>
      </c>
      <c r="C1647" s="4" t="s">
        <v>463</v>
      </c>
      <c r="D1647" s="4" t="n">
        <v>44</v>
      </c>
      <c r="E1647" s="21" t="s">
        <v>246</v>
      </c>
      <c r="F1647" s="22" t="s">
        <v>446</v>
      </c>
    </row>
    <row r="1648" customFormat="false" ht="15" hidden="false" customHeight="false" outlineLevel="0" collapsed="false">
      <c r="A1648" s="4" t="str">
        <f aca="false">B1648&amp;"|"&amp;C1648</f>
        <v>tdbR00000173 Ile-AAU|44</v>
      </c>
      <c r="B1648" s="4" t="s">
        <v>59</v>
      </c>
      <c r="C1648" s="4" t="s">
        <v>464</v>
      </c>
      <c r="D1648" s="4" t="n">
        <v>45</v>
      </c>
      <c r="E1648" s="19" t="s">
        <v>246</v>
      </c>
      <c r="F1648" s="20" t="s">
        <v>465</v>
      </c>
    </row>
    <row r="1649" customFormat="false" ht="15" hidden="false" customHeight="false" outlineLevel="0" collapsed="false">
      <c r="A1649" s="4" t="str">
        <f aca="false">B1649&amp;"|"&amp;C1649</f>
        <v>tdbR00000173 Ile-AAU|45</v>
      </c>
      <c r="B1649" s="4" t="s">
        <v>59</v>
      </c>
      <c r="C1649" s="4" t="s">
        <v>466</v>
      </c>
      <c r="D1649" s="4" t="n">
        <v>46</v>
      </c>
      <c r="E1649" s="19" t="s">
        <v>197</v>
      </c>
      <c r="F1649" s="20" t="s">
        <v>465</v>
      </c>
    </row>
    <row r="1650" customFormat="false" ht="15" hidden="false" customHeight="false" outlineLevel="0" collapsed="false">
      <c r="A1650" s="4" t="str">
        <f aca="false">B1650&amp;"|"&amp;C1650</f>
        <v>tdbR00000173 Ile-AAU|46</v>
      </c>
      <c r="B1650" s="4" t="s">
        <v>59</v>
      </c>
      <c r="C1650" s="4" t="s">
        <v>467</v>
      </c>
      <c r="D1650" s="4" t="n">
        <v>47</v>
      </c>
      <c r="E1650" s="19" t="s">
        <v>197</v>
      </c>
      <c r="F1650" s="20" t="s">
        <v>465</v>
      </c>
    </row>
    <row r="1651" customFormat="false" ht="15" hidden="false" customHeight="false" outlineLevel="0" collapsed="false">
      <c r="A1651" s="4" t="str">
        <f aca="false">B1651&amp;"|"&amp;C1651</f>
        <v>tdbR00000173 Ile-AAU|47</v>
      </c>
      <c r="B1651" s="4" t="s">
        <v>59</v>
      </c>
      <c r="C1651" s="4" t="s">
        <v>468</v>
      </c>
      <c r="D1651" s="4" t="n">
        <v>48</v>
      </c>
      <c r="E1651" s="19" t="s">
        <v>259</v>
      </c>
      <c r="F1651" s="20" t="s">
        <v>465</v>
      </c>
    </row>
    <row r="1652" customFormat="false" ht="15" hidden="false" customHeight="false" outlineLevel="0" collapsed="false">
      <c r="A1652" s="4" t="str">
        <f aca="false">B1652&amp;"|"&amp;C1652</f>
        <v>tdbR00000173 Ile-AAU|48</v>
      </c>
      <c r="B1652" s="4" t="s">
        <v>59</v>
      </c>
      <c r="C1652" s="4" t="s">
        <v>469</v>
      </c>
      <c r="D1652" s="4" t="n">
        <v>49</v>
      </c>
      <c r="E1652" s="19" t="s">
        <v>414</v>
      </c>
      <c r="F1652" s="20" t="s">
        <v>465</v>
      </c>
    </row>
    <row r="1653" customFormat="false" ht="15" hidden="false" customHeight="false" outlineLevel="0" collapsed="false">
      <c r="A1653" s="4" t="str">
        <f aca="false">B1653&amp;"|"&amp;C1653</f>
        <v>tdbR00000173 Ile-AAU|49</v>
      </c>
      <c r="B1653" s="4" t="s">
        <v>59</v>
      </c>
      <c r="C1653" s="4" t="s">
        <v>470</v>
      </c>
      <c r="D1653" s="4" t="n">
        <v>50</v>
      </c>
      <c r="E1653" s="23" t="s">
        <v>197</v>
      </c>
      <c r="F1653" s="10" t="s">
        <v>471</v>
      </c>
    </row>
    <row r="1654" customFormat="false" ht="15" hidden="false" customHeight="false" outlineLevel="0" collapsed="false">
      <c r="A1654" s="4" t="str">
        <f aca="false">B1654&amp;"|"&amp;C1654</f>
        <v>tdbR00000173 Ile-AAU|50</v>
      </c>
      <c r="B1654" s="4" t="s">
        <v>59</v>
      </c>
      <c r="C1654" s="4" t="s">
        <v>472</v>
      </c>
      <c r="D1654" s="4" t="n">
        <v>51</v>
      </c>
      <c r="E1654" s="23" t="s">
        <v>414</v>
      </c>
      <c r="F1654" s="10" t="s">
        <v>471</v>
      </c>
    </row>
    <row r="1655" customFormat="false" ht="15" hidden="false" customHeight="false" outlineLevel="0" collapsed="false">
      <c r="A1655" s="4" t="str">
        <f aca="false">B1655&amp;"|"&amp;C1655</f>
        <v>tdbR00000173 Ile-AAU|51</v>
      </c>
      <c r="B1655" s="4" t="s">
        <v>59</v>
      </c>
      <c r="C1655" s="4" t="s">
        <v>473</v>
      </c>
      <c r="D1655" s="4" t="n">
        <v>52</v>
      </c>
      <c r="E1655" s="23" t="s">
        <v>197</v>
      </c>
      <c r="F1655" s="10" t="s">
        <v>471</v>
      </c>
    </row>
    <row r="1656" customFormat="false" ht="15" hidden="false" customHeight="false" outlineLevel="0" collapsed="false">
      <c r="A1656" s="4" t="str">
        <f aca="false">B1656&amp;"|"&amp;C1656</f>
        <v>tdbR00000173 Ile-AAU|52</v>
      </c>
      <c r="B1656" s="4" t="s">
        <v>59</v>
      </c>
      <c r="C1656" s="4" t="s">
        <v>474</v>
      </c>
      <c r="D1656" s="4" t="n">
        <v>53</v>
      </c>
      <c r="E1656" s="23" t="s">
        <v>197</v>
      </c>
      <c r="F1656" s="10" t="s">
        <v>471</v>
      </c>
    </row>
    <row r="1657" customFormat="false" ht="15" hidden="false" customHeight="false" outlineLevel="0" collapsed="false">
      <c r="A1657" s="4" t="str">
        <f aca="false">B1657&amp;"|"&amp;C1657</f>
        <v>tdbR00000173 Ile-AAU|53</v>
      </c>
      <c r="B1657" s="4" t="s">
        <v>59</v>
      </c>
      <c r="C1657" s="4" t="s">
        <v>475</v>
      </c>
      <c r="D1657" s="4" t="n">
        <v>54</v>
      </c>
      <c r="E1657" s="23" t="s">
        <v>197</v>
      </c>
      <c r="F1657" s="10" t="s">
        <v>471</v>
      </c>
    </row>
    <row r="1658" customFormat="false" ht="15" hidden="false" customHeight="false" outlineLevel="0" collapsed="false">
      <c r="A1658" s="4" t="str">
        <f aca="false">B1658&amp;"|"&amp;C1658</f>
        <v>tdbR00000173 Ile-AAU|54</v>
      </c>
      <c r="B1658" s="4" t="s">
        <v>59</v>
      </c>
      <c r="C1658" s="4" t="s">
        <v>476</v>
      </c>
      <c r="D1658" s="4" t="n">
        <v>55</v>
      </c>
      <c r="E1658" s="19" t="s">
        <v>259</v>
      </c>
      <c r="F1658" s="20" t="s">
        <v>477</v>
      </c>
    </row>
    <row r="1659" customFormat="false" ht="15" hidden="false" customHeight="false" outlineLevel="0" collapsed="false">
      <c r="A1659" s="4" t="str">
        <f aca="false">B1659&amp;"|"&amp;C1659</f>
        <v>tdbR00000173 Ile-AAU|55</v>
      </c>
      <c r="B1659" s="4" t="s">
        <v>59</v>
      </c>
      <c r="C1659" s="4" t="s">
        <v>478</v>
      </c>
      <c r="D1659" s="4" t="n">
        <v>56</v>
      </c>
      <c r="E1659" s="19" t="s">
        <v>259</v>
      </c>
      <c r="F1659" s="20" t="s">
        <v>477</v>
      </c>
    </row>
    <row r="1660" customFormat="false" ht="15" hidden="false" customHeight="false" outlineLevel="0" collapsed="false">
      <c r="A1660" s="4" t="str">
        <f aca="false">B1660&amp;"|"&amp;C1660</f>
        <v>tdbR00000173 Ile-AAU|56</v>
      </c>
      <c r="B1660" s="4" t="s">
        <v>59</v>
      </c>
      <c r="C1660" s="4" t="s">
        <v>479</v>
      </c>
      <c r="D1660" s="4" t="n">
        <v>57</v>
      </c>
      <c r="E1660" s="19" t="s">
        <v>414</v>
      </c>
      <c r="F1660" s="20" t="s">
        <v>477</v>
      </c>
    </row>
    <row r="1661" customFormat="false" ht="15" hidden="false" customHeight="false" outlineLevel="0" collapsed="false">
      <c r="A1661" s="4" t="str">
        <f aca="false">B1661&amp;"|"&amp;C1661</f>
        <v>tdbR00000173 Ile-AAU|57</v>
      </c>
      <c r="B1661" s="4" t="s">
        <v>59</v>
      </c>
      <c r="C1661" s="4" t="s">
        <v>480</v>
      </c>
      <c r="D1661" s="4" t="n">
        <v>58</v>
      </c>
      <c r="E1661" s="19" t="s">
        <v>197</v>
      </c>
      <c r="F1661" s="20" t="s">
        <v>477</v>
      </c>
    </row>
    <row r="1662" customFormat="false" ht="15" hidden="false" customHeight="false" outlineLevel="0" collapsed="false">
      <c r="A1662" s="4" t="str">
        <f aca="false">B1662&amp;"|"&amp;C1662</f>
        <v>tdbR00000173 Ile-AAU|58</v>
      </c>
      <c r="B1662" s="4" t="s">
        <v>59</v>
      </c>
      <c r="C1662" s="4" t="s">
        <v>481</v>
      </c>
      <c r="D1662" s="4" t="n">
        <v>59</v>
      </c>
      <c r="E1662" s="19" t="s">
        <v>246</v>
      </c>
      <c r="F1662" s="20" t="s">
        <v>477</v>
      </c>
    </row>
    <row r="1663" customFormat="false" ht="15" hidden="false" customHeight="false" outlineLevel="0" collapsed="false">
      <c r="A1663" s="4" t="str">
        <f aca="false">B1663&amp;"|"&amp;C1663</f>
        <v>tdbR00000173 Ile-AAU|59</v>
      </c>
      <c r="B1663" s="4" t="s">
        <v>59</v>
      </c>
      <c r="C1663" s="4" t="s">
        <v>482</v>
      </c>
      <c r="D1663" s="4" t="n">
        <v>60</v>
      </c>
      <c r="E1663" s="19" t="s">
        <v>259</v>
      </c>
      <c r="F1663" s="20" t="s">
        <v>477</v>
      </c>
    </row>
    <row r="1664" customFormat="false" ht="15" hidden="false" customHeight="false" outlineLevel="0" collapsed="false">
      <c r="A1664" s="4" t="str">
        <f aca="false">B1664&amp;"|"&amp;C1664</f>
        <v>tdbR00000173 Ile-AAU|60</v>
      </c>
      <c r="B1664" s="4" t="s">
        <v>59</v>
      </c>
      <c r="C1664" s="4" t="s">
        <v>483</v>
      </c>
      <c r="D1664" s="4" t="n">
        <v>61</v>
      </c>
      <c r="E1664" s="19" t="s">
        <v>414</v>
      </c>
      <c r="F1664" s="20" t="s">
        <v>477</v>
      </c>
    </row>
    <row r="1665" customFormat="false" ht="15" hidden="false" customHeight="false" outlineLevel="0" collapsed="false">
      <c r="A1665" s="4" t="str">
        <f aca="false">B1665&amp;"|"&amp;C1665</f>
        <v>tdbR00000173 Ile-AAU|61</v>
      </c>
      <c r="B1665" s="4" t="s">
        <v>59</v>
      </c>
      <c r="C1665" s="4" t="s">
        <v>484</v>
      </c>
      <c r="D1665" s="4" t="n">
        <v>62</v>
      </c>
      <c r="E1665" s="23" t="s">
        <v>414</v>
      </c>
      <c r="F1665" s="10" t="s">
        <v>471</v>
      </c>
    </row>
    <row r="1666" customFormat="false" ht="15" hidden="false" customHeight="false" outlineLevel="0" collapsed="false">
      <c r="A1666" s="4" t="str">
        <f aca="false">B1666&amp;"|"&amp;C1666</f>
        <v>tdbR00000173 Ile-AAU|62</v>
      </c>
      <c r="B1666" s="4" t="s">
        <v>59</v>
      </c>
      <c r="C1666" s="4" t="s">
        <v>485</v>
      </c>
      <c r="D1666" s="4" t="n">
        <v>63</v>
      </c>
      <c r="E1666" s="23" t="s">
        <v>414</v>
      </c>
      <c r="F1666" s="10" t="s">
        <v>471</v>
      </c>
    </row>
    <row r="1667" customFormat="false" ht="15" hidden="false" customHeight="false" outlineLevel="0" collapsed="false">
      <c r="A1667" s="4" t="str">
        <f aca="false">B1667&amp;"|"&amp;C1667</f>
        <v>tdbR00000173 Ile-AAU|63</v>
      </c>
      <c r="B1667" s="4" t="s">
        <v>59</v>
      </c>
      <c r="C1667" s="4" t="s">
        <v>486</v>
      </c>
      <c r="D1667" s="4" t="n">
        <v>64</v>
      </c>
      <c r="E1667" s="23" t="s">
        <v>414</v>
      </c>
      <c r="F1667" s="10" t="s">
        <v>471</v>
      </c>
    </row>
    <row r="1668" customFormat="false" ht="15" hidden="false" customHeight="false" outlineLevel="0" collapsed="false">
      <c r="A1668" s="4" t="str">
        <f aca="false">B1668&amp;"|"&amp;C1668</f>
        <v>tdbR00000173 Ile-AAU|64</v>
      </c>
      <c r="B1668" s="4" t="s">
        <v>59</v>
      </c>
      <c r="C1668" s="4" t="s">
        <v>487</v>
      </c>
      <c r="D1668" s="4" t="n">
        <v>65</v>
      </c>
      <c r="E1668" s="23" t="s">
        <v>259</v>
      </c>
      <c r="F1668" s="10" t="s">
        <v>471</v>
      </c>
    </row>
    <row r="1669" customFormat="false" ht="15" hidden="false" customHeight="false" outlineLevel="0" collapsed="false">
      <c r="A1669" s="4" t="str">
        <f aca="false">B1669&amp;"|"&amp;C1669</f>
        <v>tdbR00000173 Ile-AAU|65</v>
      </c>
      <c r="B1669" s="4" t="s">
        <v>59</v>
      </c>
      <c r="C1669" s="4" t="s">
        <v>488</v>
      </c>
      <c r="D1669" s="4" t="n">
        <v>66</v>
      </c>
      <c r="E1669" s="23" t="s">
        <v>414</v>
      </c>
      <c r="F1669" s="10" t="s">
        <v>471</v>
      </c>
    </row>
    <row r="1670" customFormat="false" ht="15" hidden="false" customHeight="false" outlineLevel="0" collapsed="false">
      <c r="A1670" s="4" t="str">
        <f aca="false">B1670&amp;"|"&amp;C1670</f>
        <v>tdbR00000173 Ile-AAU|66</v>
      </c>
      <c r="B1670" s="4" t="s">
        <v>59</v>
      </c>
      <c r="C1670" s="4" t="s">
        <v>489</v>
      </c>
      <c r="D1670" s="4" t="n">
        <v>67</v>
      </c>
      <c r="E1670" s="17" t="s">
        <v>246</v>
      </c>
      <c r="F1670" s="18" t="s">
        <v>412</v>
      </c>
    </row>
    <row r="1671" customFormat="false" ht="15" hidden="false" customHeight="false" outlineLevel="0" collapsed="false">
      <c r="A1671" s="4" t="str">
        <f aca="false">B1671&amp;"|"&amp;C1671</f>
        <v>tdbR00000173 Ile-AAU|67</v>
      </c>
      <c r="B1671" s="4" t="s">
        <v>59</v>
      </c>
      <c r="C1671" s="4" t="s">
        <v>490</v>
      </c>
      <c r="D1671" s="4" t="n">
        <v>68</v>
      </c>
      <c r="E1671" s="17" t="s">
        <v>259</v>
      </c>
      <c r="F1671" s="18" t="s">
        <v>412</v>
      </c>
    </row>
    <row r="1672" customFormat="false" ht="15" hidden="false" customHeight="false" outlineLevel="0" collapsed="false">
      <c r="A1672" s="4" t="str">
        <f aca="false">B1672&amp;"|"&amp;C1672</f>
        <v>tdbR00000173 Ile-AAU|68</v>
      </c>
      <c r="B1672" s="4" t="s">
        <v>59</v>
      </c>
      <c r="C1672" s="4" t="s">
        <v>491</v>
      </c>
      <c r="D1672" s="4" t="n">
        <v>69</v>
      </c>
      <c r="E1672" s="17" t="s">
        <v>197</v>
      </c>
      <c r="F1672" s="18" t="s">
        <v>412</v>
      </c>
    </row>
    <row r="1673" customFormat="false" ht="15" hidden="false" customHeight="false" outlineLevel="0" collapsed="false">
      <c r="A1673" s="4" t="str">
        <f aca="false">B1673&amp;"|"&amp;C1673</f>
        <v>tdbR00000173 Ile-AAU|69</v>
      </c>
      <c r="B1673" s="4" t="s">
        <v>59</v>
      </c>
      <c r="C1673" s="4" t="s">
        <v>492</v>
      </c>
      <c r="D1673" s="4" t="n">
        <v>70</v>
      </c>
      <c r="E1673" s="17" t="s">
        <v>197</v>
      </c>
      <c r="F1673" s="18" t="s">
        <v>412</v>
      </c>
    </row>
    <row r="1674" customFormat="false" ht="15" hidden="false" customHeight="false" outlineLevel="0" collapsed="false">
      <c r="A1674" s="4" t="str">
        <f aca="false">B1674&amp;"|"&amp;C1674</f>
        <v>tdbR00000173 Ile-AAU|70</v>
      </c>
      <c r="B1674" s="4" t="s">
        <v>59</v>
      </c>
      <c r="C1674" s="4" t="s">
        <v>493</v>
      </c>
      <c r="D1674" s="4" t="n">
        <v>71</v>
      </c>
      <c r="E1674" s="17" t="s">
        <v>197</v>
      </c>
      <c r="F1674" s="18" t="s">
        <v>412</v>
      </c>
    </row>
    <row r="1675" customFormat="false" ht="15" hidden="false" customHeight="false" outlineLevel="0" collapsed="false">
      <c r="A1675" s="4" t="str">
        <f aca="false">B1675&amp;"|"&amp;C1675</f>
        <v>tdbR00000173 Ile-AAU|71</v>
      </c>
      <c r="B1675" s="4" t="s">
        <v>59</v>
      </c>
      <c r="C1675" s="4" t="s">
        <v>494</v>
      </c>
      <c r="D1675" s="4" t="n">
        <v>72</v>
      </c>
      <c r="E1675" s="17" t="s">
        <v>414</v>
      </c>
      <c r="F1675" s="18" t="s">
        <v>412</v>
      </c>
    </row>
    <row r="1676" customFormat="false" ht="15" hidden="false" customHeight="false" outlineLevel="0" collapsed="false">
      <c r="A1676" s="4" t="str">
        <f aca="false">B1676&amp;"|"&amp;C1676</f>
        <v>tdbR00000173 Ile-AAU|72</v>
      </c>
      <c r="B1676" s="4" t="s">
        <v>59</v>
      </c>
      <c r="C1676" s="4" t="s">
        <v>495</v>
      </c>
      <c r="D1676" s="4" t="n">
        <v>73</v>
      </c>
      <c r="E1676" s="17" t="s">
        <v>414</v>
      </c>
      <c r="F1676" s="18" t="s">
        <v>412</v>
      </c>
    </row>
    <row r="1677" customFormat="false" ht="15" hidden="false" customHeight="false" outlineLevel="0" collapsed="false">
      <c r="A1677" s="4" t="str">
        <f aca="false">B1677&amp;"|"&amp;C1677</f>
        <v>tdbR00000093 Phe-GAA|1</v>
      </c>
      <c r="B1677" s="4" t="s">
        <v>60</v>
      </c>
      <c r="C1677" s="4" t="s">
        <v>411</v>
      </c>
      <c r="D1677" s="4" t="n">
        <v>1</v>
      </c>
      <c r="E1677" s="17" t="s">
        <v>197</v>
      </c>
      <c r="F1677" s="18" t="s">
        <v>412</v>
      </c>
    </row>
    <row r="1678" customFormat="false" ht="15" hidden="false" customHeight="false" outlineLevel="0" collapsed="false">
      <c r="A1678" s="4" t="str">
        <f aca="false">B1678&amp;"|"&amp;C1678</f>
        <v>tdbR00000093 Phe-GAA|2</v>
      </c>
      <c r="B1678" s="4" t="s">
        <v>60</v>
      </c>
      <c r="C1678" s="4" t="s">
        <v>413</v>
      </c>
      <c r="D1678" s="4" t="n">
        <v>2</v>
      </c>
      <c r="E1678" s="17" t="s">
        <v>414</v>
      </c>
      <c r="F1678" s="18" t="s">
        <v>412</v>
      </c>
    </row>
    <row r="1679" customFormat="false" ht="15" hidden="false" customHeight="false" outlineLevel="0" collapsed="false">
      <c r="A1679" s="4" t="str">
        <f aca="false">B1679&amp;"|"&amp;C1679</f>
        <v>tdbR00000093 Phe-GAA|3</v>
      </c>
      <c r="B1679" s="4" t="s">
        <v>60</v>
      </c>
      <c r="C1679" s="4" t="s">
        <v>415</v>
      </c>
      <c r="D1679" s="4" t="n">
        <v>3</v>
      </c>
      <c r="E1679" s="17" t="s">
        <v>414</v>
      </c>
      <c r="F1679" s="18" t="s">
        <v>412</v>
      </c>
    </row>
    <row r="1680" customFormat="false" ht="15" hidden="false" customHeight="false" outlineLevel="0" collapsed="false">
      <c r="A1680" s="4" t="str">
        <f aca="false">B1680&amp;"|"&amp;C1680</f>
        <v>tdbR00000093 Phe-GAA|4</v>
      </c>
      <c r="B1680" s="4" t="s">
        <v>60</v>
      </c>
      <c r="C1680" s="4" t="s">
        <v>416</v>
      </c>
      <c r="D1680" s="4" t="n">
        <v>4</v>
      </c>
      <c r="E1680" s="17" t="s">
        <v>197</v>
      </c>
      <c r="F1680" s="18" t="s">
        <v>412</v>
      </c>
    </row>
    <row r="1681" customFormat="false" ht="15" hidden="false" customHeight="false" outlineLevel="0" collapsed="false">
      <c r="A1681" s="4" t="str">
        <f aca="false">B1681&amp;"|"&amp;C1681</f>
        <v>tdbR00000093 Phe-GAA|5</v>
      </c>
      <c r="B1681" s="4" t="s">
        <v>60</v>
      </c>
      <c r="C1681" s="4" t="s">
        <v>417</v>
      </c>
      <c r="D1681" s="4" t="n">
        <v>5</v>
      </c>
      <c r="E1681" s="17" t="s">
        <v>246</v>
      </c>
      <c r="F1681" s="18" t="s">
        <v>412</v>
      </c>
    </row>
    <row r="1682" customFormat="false" ht="15" hidden="false" customHeight="false" outlineLevel="0" collapsed="false">
      <c r="A1682" s="4" t="str">
        <f aca="false">B1682&amp;"|"&amp;C1682</f>
        <v>tdbR00000093 Phe-GAA|6</v>
      </c>
      <c r="B1682" s="4" t="s">
        <v>60</v>
      </c>
      <c r="C1682" s="4" t="s">
        <v>418</v>
      </c>
      <c r="D1682" s="4" t="n">
        <v>6</v>
      </c>
      <c r="E1682" s="17" t="s">
        <v>246</v>
      </c>
      <c r="F1682" s="18" t="s">
        <v>412</v>
      </c>
    </row>
    <row r="1683" customFormat="false" ht="15" hidden="false" customHeight="false" outlineLevel="0" collapsed="false">
      <c r="A1683" s="4" t="str">
        <f aca="false">B1683&amp;"|"&amp;C1683</f>
        <v>tdbR00000093 Phe-GAA|7</v>
      </c>
      <c r="B1683" s="4" t="s">
        <v>60</v>
      </c>
      <c r="C1683" s="4" t="s">
        <v>419</v>
      </c>
      <c r="D1683" s="4" t="n">
        <v>7</v>
      </c>
      <c r="E1683" s="17" t="s">
        <v>246</v>
      </c>
      <c r="F1683" s="18" t="s">
        <v>412</v>
      </c>
    </row>
    <row r="1684" customFormat="false" ht="15" hidden="false" customHeight="false" outlineLevel="0" collapsed="false">
      <c r="A1684" s="4" t="str">
        <f aca="false">B1684&amp;"|"&amp;C1684</f>
        <v>tdbR00000093 Phe-GAA|8</v>
      </c>
      <c r="B1684" s="4" t="s">
        <v>60</v>
      </c>
      <c r="C1684" s="4" t="s">
        <v>420</v>
      </c>
      <c r="D1684" s="4" t="n">
        <v>8</v>
      </c>
      <c r="E1684" s="3" t="s">
        <v>259</v>
      </c>
      <c r="F1684" s="4" t="s">
        <v>421</v>
      </c>
    </row>
    <row r="1685" customFormat="false" ht="15" hidden="false" customHeight="false" outlineLevel="0" collapsed="false">
      <c r="A1685" s="4" t="str">
        <f aca="false">B1685&amp;"|"&amp;C1685</f>
        <v>tdbR00000093 Phe-GAA|9</v>
      </c>
      <c r="B1685" s="4" t="s">
        <v>60</v>
      </c>
      <c r="C1685" s="4" t="s">
        <v>422</v>
      </c>
      <c r="D1685" s="4" t="n">
        <v>9</v>
      </c>
      <c r="E1685" s="3" t="s">
        <v>246</v>
      </c>
      <c r="F1685" s="4" t="s">
        <v>423</v>
      </c>
    </row>
    <row r="1686" customFormat="false" ht="15" hidden="false" customHeight="false" outlineLevel="0" collapsed="false">
      <c r="A1686" s="4" t="str">
        <f aca="false">B1686&amp;"|"&amp;C1686</f>
        <v>tdbR00000093 Phe-GAA|10</v>
      </c>
      <c r="B1686" s="4" t="s">
        <v>60</v>
      </c>
      <c r="C1686" s="4" t="s">
        <v>424</v>
      </c>
      <c r="D1686" s="4" t="n">
        <v>10</v>
      </c>
      <c r="E1686" s="8" t="s">
        <v>197</v>
      </c>
      <c r="F1686" s="7" t="s">
        <v>425</v>
      </c>
    </row>
    <row r="1687" customFormat="false" ht="15" hidden="false" customHeight="false" outlineLevel="0" collapsed="false">
      <c r="A1687" s="4" t="str">
        <f aca="false">B1687&amp;"|"&amp;C1687</f>
        <v>tdbR00000093 Phe-GAA|11</v>
      </c>
      <c r="B1687" s="4" t="s">
        <v>60</v>
      </c>
      <c r="C1687" s="4" t="s">
        <v>426</v>
      </c>
      <c r="D1687" s="4" t="n">
        <v>11</v>
      </c>
      <c r="E1687" s="8" t="s">
        <v>414</v>
      </c>
      <c r="F1687" s="7" t="s">
        <v>425</v>
      </c>
    </row>
    <row r="1688" customFormat="false" ht="15" hidden="false" customHeight="false" outlineLevel="0" collapsed="false">
      <c r="A1688" s="4" t="str">
        <f aca="false">B1688&amp;"|"&amp;C1688</f>
        <v>tdbR00000093 Phe-GAA|12</v>
      </c>
      <c r="B1688" s="4" t="s">
        <v>60</v>
      </c>
      <c r="C1688" s="4" t="s">
        <v>427</v>
      </c>
      <c r="D1688" s="4" t="n">
        <v>12</v>
      </c>
      <c r="E1688" s="8" t="s">
        <v>259</v>
      </c>
      <c r="F1688" s="7" t="s">
        <v>425</v>
      </c>
    </row>
    <row r="1689" customFormat="false" ht="15" hidden="false" customHeight="false" outlineLevel="0" collapsed="false">
      <c r="A1689" s="4" t="str">
        <f aca="false">B1689&amp;"|"&amp;C1689</f>
        <v>tdbR00000093 Phe-GAA|13</v>
      </c>
      <c r="B1689" s="4" t="s">
        <v>60</v>
      </c>
      <c r="C1689" s="4" t="s">
        <v>428</v>
      </c>
      <c r="D1689" s="4" t="n">
        <v>13</v>
      </c>
      <c r="E1689" s="8" t="s">
        <v>414</v>
      </c>
      <c r="F1689" s="7" t="s">
        <v>425</v>
      </c>
    </row>
    <row r="1690" customFormat="false" ht="15" hidden="false" customHeight="false" outlineLevel="0" collapsed="false">
      <c r="A1690" s="4" t="str">
        <f aca="false">B1690&amp;"|"&amp;C1690</f>
        <v>tdbR00000093 Phe-GAA|14</v>
      </c>
      <c r="B1690" s="4" t="s">
        <v>60</v>
      </c>
      <c r="C1690" s="4" t="s">
        <v>429</v>
      </c>
      <c r="D1690" s="4" t="n">
        <v>14</v>
      </c>
      <c r="E1690" s="19" t="s">
        <v>246</v>
      </c>
      <c r="F1690" s="20" t="s">
        <v>430</v>
      </c>
    </row>
    <row r="1691" customFormat="false" ht="15" hidden="false" customHeight="false" outlineLevel="0" collapsed="false">
      <c r="A1691" s="4" t="str">
        <f aca="false">B1691&amp;"|"&amp;C1691</f>
        <v>tdbR00000093 Phe-GAA|15</v>
      </c>
      <c r="B1691" s="4" t="s">
        <v>60</v>
      </c>
      <c r="C1691" s="4" t="s">
        <v>431</v>
      </c>
      <c r="D1691" s="4" t="n">
        <v>15</v>
      </c>
      <c r="E1691" s="19" t="s">
        <v>197</v>
      </c>
      <c r="F1691" s="20" t="s">
        <v>430</v>
      </c>
    </row>
    <row r="1692" customFormat="false" ht="15" hidden="false" customHeight="false" outlineLevel="0" collapsed="false">
      <c r="A1692" s="4" t="str">
        <f aca="false">B1692&amp;"|"&amp;C1692</f>
        <v>tdbR00000093 Phe-GAA|16</v>
      </c>
      <c r="B1692" s="4" t="s">
        <v>60</v>
      </c>
      <c r="C1692" s="4" t="s">
        <v>432</v>
      </c>
      <c r="D1692" s="4" t="n">
        <v>16</v>
      </c>
      <c r="E1692" s="19" t="s">
        <v>259</v>
      </c>
      <c r="F1692" s="20" t="s">
        <v>430</v>
      </c>
    </row>
    <row r="1693" customFormat="false" ht="15" hidden="false" customHeight="false" outlineLevel="0" collapsed="false">
      <c r="A1693" s="4" t="str">
        <f aca="false">B1693&amp;"|"&amp;C1693</f>
        <v>tdbR00000093 Phe-GAA|17</v>
      </c>
      <c r="B1693" s="4" t="s">
        <v>60</v>
      </c>
      <c r="C1693" s="4" t="s">
        <v>433</v>
      </c>
      <c r="D1693" s="4" t="n">
        <v>17</v>
      </c>
      <c r="E1693" s="19" t="s">
        <v>259</v>
      </c>
      <c r="F1693" s="20" t="s">
        <v>430</v>
      </c>
    </row>
    <row r="1694" customFormat="false" ht="15" hidden="false" customHeight="false" outlineLevel="0" collapsed="false">
      <c r="A1694" s="4" t="str">
        <f aca="false">B1694&amp;"|"&amp;C1694</f>
        <v>tdbR00000093 Phe-GAA|18</v>
      </c>
      <c r="B1694" s="4" t="s">
        <v>60</v>
      </c>
      <c r="C1694" s="4" t="s">
        <v>434</v>
      </c>
      <c r="D1694" s="4" t="n">
        <v>18</v>
      </c>
      <c r="E1694" s="19" t="s">
        <v>197</v>
      </c>
      <c r="F1694" s="20" t="s">
        <v>430</v>
      </c>
    </row>
    <row r="1695" customFormat="false" ht="15" hidden="false" customHeight="false" outlineLevel="0" collapsed="false">
      <c r="A1695" s="4" t="str">
        <f aca="false">B1695&amp;"|"&amp;C1695</f>
        <v>tdbR00000093 Phe-GAA|19</v>
      </c>
      <c r="B1695" s="4" t="s">
        <v>60</v>
      </c>
      <c r="C1695" s="4" t="s">
        <v>435</v>
      </c>
      <c r="D1695" s="4" t="n">
        <v>19</v>
      </c>
      <c r="E1695" s="19" t="s">
        <v>197</v>
      </c>
      <c r="F1695" s="20" t="s">
        <v>430</v>
      </c>
    </row>
    <row r="1696" customFormat="false" ht="15" hidden="false" customHeight="false" outlineLevel="0" collapsed="false">
      <c r="A1696" s="4" t="str">
        <f aca="false">B1696&amp;"|"&amp;C1696</f>
        <v>tdbR00000093 Phe-GAA|20</v>
      </c>
      <c r="B1696" s="4" t="s">
        <v>60</v>
      </c>
      <c r="C1696" s="4" t="s">
        <v>436</v>
      </c>
      <c r="D1696" s="4" t="n">
        <v>20</v>
      </c>
      <c r="E1696" s="19" t="s">
        <v>197</v>
      </c>
      <c r="F1696" s="20" t="s">
        <v>430</v>
      </c>
    </row>
    <row r="1697" customFormat="false" ht="15" hidden="false" customHeight="false" outlineLevel="0" collapsed="false">
      <c r="A1697" s="4" t="str">
        <f aca="false">B1697&amp;"|"&amp;C1697</f>
        <v>tdbR00000093 Phe-GAA|21</v>
      </c>
      <c r="B1697" s="4" t="s">
        <v>60</v>
      </c>
      <c r="C1697" s="4" t="s">
        <v>438</v>
      </c>
      <c r="D1697" s="4" t="n">
        <v>21</v>
      </c>
      <c r="E1697" s="19" t="s">
        <v>246</v>
      </c>
      <c r="F1697" s="20" t="s">
        <v>430</v>
      </c>
    </row>
    <row r="1698" customFormat="false" ht="15" hidden="false" customHeight="false" outlineLevel="0" collapsed="false">
      <c r="A1698" s="4" t="str">
        <f aca="false">B1698&amp;"|"&amp;C1698</f>
        <v>tdbR00000093 Phe-GAA|22</v>
      </c>
      <c r="B1698" s="4" t="s">
        <v>60</v>
      </c>
      <c r="C1698" s="4" t="s">
        <v>439</v>
      </c>
      <c r="D1698" s="4" t="n">
        <v>22</v>
      </c>
      <c r="E1698" s="8" t="s">
        <v>197</v>
      </c>
      <c r="F1698" s="7" t="s">
        <v>425</v>
      </c>
    </row>
    <row r="1699" customFormat="false" ht="15" hidden="false" customHeight="false" outlineLevel="0" collapsed="false">
      <c r="A1699" s="4" t="str">
        <f aca="false">B1699&amp;"|"&amp;C1699</f>
        <v>tdbR00000093 Phe-GAA|23</v>
      </c>
      <c r="B1699" s="4" t="s">
        <v>60</v>
      </c>
      <c r="C1699" s="4" t="s">
        <v>440</v>
      </c>
      <c r="D1699" s="4" t="n">
        <v>23</v>
      </c>
      <c r="E1699" s="8" t="s">
        <v>246</v>
      </c>
      <c r="F1699" s="7" t="s">
        <v>425</v>
      </c>
    </row>
    <row r="1700" customFormat="false" ht="15" hidden="false" customHeight="false" outlineLevel="0" collapsed="false">
      <c r="A1700" s="4" t="str">
        <f aca="false">B1700&amp;"|"&amp;C1700</f>
        <v>tdbR00000093 Phe-GAA|24</v>
      </c>
      <c r="B1700" s="4" t="s">
        <v>60</v>
      </c>
      <c r="C1700" s="4" t="s">
        <v>441</v>
      </c>
      <c r="D1700" s="4" t="n">
        <v>24</v>
      </c>
      <c r="E1700" s="8" t="s">
        <v>197</v>
      </c>
      <c r="F1700" s="7" t="s">
        <v>425</v>
      </c>
    </row>
    <row r="1701" customFormat="false" ht="15" hidden="false" customHeight="false" outlineLevel="0" collapsed="false">
      <c r="A1701" s="4" t="str">
        <f aca="false">B1701&amp;"|"&amp;C1701</f>
        <v>tdbR00000093 Phe-GAA|25</v>
      </c>
      <c r="B1701" s="4" t="s">
        <v>60</v>
      </c>
      <c r="C1701" s="4" t="s">
        <v>442</v>
      </c>
      <c r="D1701" s="4" t="n">
        <v>25</v>
      </c>
      <c r="E1701" s="8" t="s">
        <v>414</v>
      </c>
      <c r="F1701" s="7" t="s">
        <v>425</v>
      </c>
    </row>
    <row r="1702" customFormat="false" ht="15" hidden="false" customHeight="false" outlineLevel="0" collapsed="false">
      <c r="A1702" s="4" t="str">
        <f aca="false">B1702&amp;"|"&amp;C1702</f>
        <v>tdbR00000093 Phe-GAA|26</v>
      </c>
      <c r="B1702" s="4" t="s">
        <v>60</v>
      </c>
      <c r="C1702" s="4" t="s">
        <v>443</v>
      </c>
      <c r="D1702" s="4" t="n">
        <v>26</v>
      </c>
      <c r="E1702" s="3" t="s">
        <v>197</v>
      </c>
      <c r="F1702" s="4" t="s">
        <v>444</v>
      </c>
    </row>
    <row r="1703" customFormat="false" ht="15" hidden="false" customHeight="false" outlineLevel="0" collapsed="false">
      <c r="A1703" s="4" t="str">
        <f aca="false">B1703&amp;"|"&amp;C1703</f>
        <v>tdbR00000093 Phe-GAA|27</v>
      </c>
      <c r="B1703" s="4" t="s">
        <v>60</v>
      </c>
      <c r="C1703" s="4" t="s">
        <v>445</v>
      </c>
      <c r="D1703" s="4" t="n">
        <v>27</v>
      </c>
      <c r="E1703" s="21" t="s">
        <v>259</v>
      </c>
      <c r="F1703" s="22" t="s">
        <v>446</v>
      </c>
    </row>
    <row r="1704" customFormat="false" ht="15" hidden="false" customHeight="false" outlineLevel="0" collapsed="false">
      <c r="A1704" s="4" t="str">
        <f aca="false">B1704&amp;"|"&amp;C1704</f>
        <v>tdbR00000093 Phe-GAA|28</v>
      </c>
      <c r="B1704" s="4" t="s">
        <v>60</v>
      </c>
      <c r="C1704" s="4" t="s">
        <v>447</v>
      </c>
      <c r="D1704" s="4" t="n">
        <v>28</v>
      </c>
      <c r="E1704" s="21" t="s">
        <v>259</v>
      </c>
      <c r="F1704" s="22" t="s">
        <v>446</v>
      </c>
    </row>
    <row r="1705" customFormat="false" ht="15" hidden="false" customHeight="false" outlineLevel="0" collapsed="false">
      <c r="A1705" s="4" t="str">
        <f aca="false">B1705&amp;"|"&amp;C1705</f>
        <v>tdbR00000093 Phe-GAA|29</v>
      </c>
      <c r="B1705" s="4" t="s">
        <v>60</v>
      </c>
      <c r="C1705" s="4" t="s">
        <v>448</v>
      </c>
      <c r="D1705" s="4" t="n">
        <v>29</v>
      </c>
      <c r="E1705" s="21" t="s">
        <v>246</v>
      </c>
      <c r="F1705" s="22" t="s">
        <v>446</v>
      </c>
    </row>
    <row r="1706" customFormat="false" ht="15" hidden="false" customHeight="false" outlineLevel="0" collapsed="false">
      <c r="A1706" s="4" t="str">
        <f aca="false">B1706&amp;"|"&amp;C1706</f>
        <v>tdbR00000093 Phe-GAA|30</v>
      </c>
      <c r="B1706" s="4" t="s">
        <v>60</v>
      </c>
      <c r="C1706" s="4" t="s">
        <v>449</v>
      </c>
      <c r="D1706" s="4" t="n">
        <v>30</v>
      </c>
      <c r="E1706" s="21" t="s">
        <v>197</v>
      </c>
      <c r="F1706" s="22" t="s">
        <v>446</v>
      </c>
    </row>
    <row r="1707" customFormat="false" ht="15" hidden="false" customHeight="false" outlineLevel="0" collapsed="false">
      <c r="A1707" s="4" t="str">
        <f aca="false">B1707&amp;"|"&amp;C1707</f>
        <v>tdbR00000093 Phe-GAA|31</v>
      </c>
      <c r="B1707" s="4" t="s">
        <v>60</v>
      </c>
      <c r="C1707" s="4" t="s">
        <v>450</v>
      </c>
      <c r="D1707" s="4" t="n">
        <v>31</v>
      </c>
      <c r="E1707" s="21" t="s">
        <v>246</v>
      </c>
      <c r="F1707" s="22" t="s">
        <v>446</v>
      </c>
    </row>
    <row r="1708" customFormat="false" ht="15" hidden="false" customHeight="false" outlineLevel="0" collapsed="false">
      <c r="A1708" s="4" t="str">
        <f aca="false">B1708&amp;"|"&amp;C1708</f>
        <v>tdbR00000093 Phe-GAA|32</v>
      </c>
      <c r="B1708" s="4" t="s">
        <v>60</v>
      </c>
      <c r="C1708" s="4" t="s">
        <v>451</v>
      </c>
      <c r="D1708" s="4" t="n">
        <v>32</v>
      </c>
      <c r="E1708" s="19" t="s">
        <v>414</v>
      </c>
      <c r="F1708" s="20" t="s">
        <v>452</v>
      </c>
    </row>
    <row r="1709" customFormat="false" ht="15" hidden="false" customHeight="false" outlineLevel="0" collapsed="false">
      <c r="A1709" s="4" t="str">
        <f aca="false">B1709&amp;"|"&amp;C1709</f>
        <v>tdbR00000093 Phe-GAA|33</v>
      </c>
      <c r="B1709" s="4" t="s">
        <v>60</v>
      </c>
      <c r="C1709" s="4" t="s">
        <v>453</v>
      </c>
      <c r="D1709" s="4" t="n">
        <v>33</v>
      </c>
      <c r="E1709" s="19" t="s">
        <v>259</v>
      </c>
      <c r="F1709" s="20" t="s">
        <v>452</v>
      </c>
    </row>
    <row r="1710" customFormat="false" ht="15" hidden="false" customHeight="false" outlineLevel="0" collapsed="false">
      <c r="A1710" s="4" t="str">
        <f aca="false">B1710&amp;"|"&amp;C1710</f>
        <v>tdbR00000093 Phe-GAA|34</v>
      </c>
      <c r="B1710" s="4" t="s">
        <v>60</v>
      </c>
      <c r="C1710" s="4" t="s">
        <v>454</v>
      </c>
      <c r="D1710" s="4" t="n">
        <v>34</v>
      </c>
      <c r="E1710" s="19" t="s">
        <v>197</v>
      </c>
      <c r="F1710" s="20" t="s">
        <v>452</v>
      </c>
    </row>
    <row r="1711" customFormat="false" ht="15" hidden="false" customHeight="false" outlineLevel="0" collapsed="false">
      <c r="A1711" s="4" t="str">
        <f aca="false">B1711&amp;"|"&amp;C1711</f>
        <v>tdbR00000093 Phe-GAA|35</v>
      </c>
      <c r="B1711" s="4" t="s">
        <v>60</v>
      </c>
      <c r="C1711" s="4" t="s">
        <v>455</v>
      </c>
      <c r="D1711" s="4" t="n">
        <v>35</v>
      </c>
      <c r="E1711" s="19" t="s">
        <v>246</v>
      </c>
      <c r="F1711" s="20" t="s">
        <v>452</v>
      </c>
    </row>
    <row r="1712" customFormat="false" ht="15" hidden="false" customHeight="false" outlineLevel="0" collapsed="false">
      <c r="A1712" s="4" t="str">
        <f aca="false">B1712&amp;"|"&amp;C1712</f>
        <v>tdbR00000093 Phe-GAA|36</v>
      </c>
      <c r="B1712" s="4" t="s">
        <v>60</v>
      </c>
      <c r="C1712" s="4" t="s">
        <v>456</v>
      </c>
      <c r="D1712" s="4" t="n">
        <v>36</v>
      </c>
      <c r="E1712" s="19" t="s">
        <v>246</v>
      </c>
      <c r="F1712" s="20" t="s">
        <v>452</v>
      </c>
    </row>
    <row r="1713" customFormat="false" ht="15" hidden="false" customHeight="false" outlineLevel="0" collapsed="false">
      <c r="A1713" s="4" t="str">
        <f aca="false">B1713&amp;"|"&amp;C1713</f>
        <v>tdbR00000093 Phe-GAA|37</v>
      </c>
      <c r="B1713" s="4" t="s">
        <v>60</v>
      </c>
      <c r="C1713" s="4" t="s">
        <v>457</v>
      </c>
      <c r="D1713" s="4" t="n">
        <v>37</v>
      </c>
      <c r="E1713" s="19" t="s">
        <v>197</v>
      </c>
      <c r="F1713" s="20" t="s">
        <v>452</v>
      </c>
    </row>
    <row r="1714" customFormat="false" ht="15" hidden="false" customHeight="false" outlineLevel="0" collapsed="false">
      <c r="A1714" s="4" t="str">
        <f aca="false">B1714&amp;"|"&amp;C1714</f>
        <v>tdbR00000093 Phe-GAA|38</v>
      </c>
      <c r="B1714" s="4" t="s">
        <v>60</v>
      </c>
      <c r="C1714" s="4" t="s">
        <v>458</v>
      </c>
      <c r="D1714" s="4" t="n">
        <v>38</v>
      </c>
      <c r="E1714" s="19" t="s">
        <v>246</v>
      </c>
      <c r="F1714" s="20" t="s">
        <v>452</v>
      </c>
    </row>
    <row r="1715" customFormat="false" ht="15" hidden="false" customHeight="false" outlineLevel="0" collapsed="false">
      <c r="A1715" s="4" t="str">
        <f aca="false">B1715&amp;"|"&amp;C1715</f>
        <v>tdbR00000093 Phe-GAA|39</v>
      </c>
      <c r="B1715" s="4" t="s">
        <v>60</v>
      </c>
      <c r="C1715" s="4" t="s">
        <v>459</v>
      </c>
      <c r="D1715" s="4" t="n">
        <v>39</v>
      </c>
      <c r="E1715" s="21" t="s">
        <v>259</v>
      </c>
      <c r="F1715" s="22" t="s">
        <v>446</v>
      </c>
    </row>
    <row r="1716" customFormat="false" ht="15" hidden="false" customHeight="false" outlineLevel="0" collapsed="false">
      <c r="A1716" s="4" t="str">
        <f aca="false">B1716&amp;"|"&amp;C1716</f>
        <v>tdbR00000093 Phe-GAA|40</v>
      </c>
      <c r="B1716" s="4" t="s">
        <v>60</v>
      </c>
      <c r="C1716" s="4" t="s">
        <v>460</v>
      </c>
      <c r="D1716" s="4" t="n">
        <v>40</v>
      </c>
      <c r="E1716" s="21" t="s">
        <v>414</v>
      </c>
      <c r="F1716" s="22" t="s">
        <v>446</v>
      </c>
    </row>
    <row r="1717" customFormat="false" ht="15" hidden="false" customHeight="false" outlineLevel="0" collapsed="false">
      <c r="A1717" s="4" t="str">
        <f aca="false">B1717&amp;"|"&amp;C1717</f>
        <v>tdbR00000093 Phe-GAA|41</v>
      </c>
      <c r="B1717" s="4" t="s">
        <v>60</v>
      </c>
      <c r="C1717" s="4" t="s">
        <v>461</v>
      </c>
      <c r="D1717" s="4" t="n">
        <v>41</v>
      </c>
      <c r="E1717" s="21" t="s">
        <v>259</v>
      </c>
      <c r="F1717" s="22" t="s">
        <v>446</v>
      </c>
    </row>
    <row r="1718" customFormat="false" ht="15" hidden="false" customHeight="false" outlineLevel="0" collapsed="false">
      <c r="A1718" s="4" t="str">
        <f aca="false">B1718&amp;"|"&amp;C1718</f>
        <v>tdbR00000093 Phe-GAA|42</v>
      </c>
      <c r="B1718" s="4" t="s">
        <v>60</v>
      </c>
      <c r="C1718" s="4" t="s">
        <v>462</v>
      </c>
      <c r="D1718" s="4" t="n">
        <v>42</v>
      </c>
      <c r="E1718" s="21" t="s">
        <v>246</v>
      </c>
      <c r="F1718" s="22" t="s">
        <v>446</v>
      </c>
    </row>
    <row r="1719" customFormat="false" ht="15" hidden="false" customHeight="false" outlineLevel="0" collapsed="false">
      <c r="A1719" s="4" t="str">
        <f aca="false">B1719&amp;"|"&amp;C1719</f>
        <v>tdbR00000093 Phe-GAA|43</v>
      </c>
      <c r="B1719" s="4" t="s">
        <v>60</v>
      </c>
      <c r="C1719" s="4" t="s">
        <v>463</v>
      </c>
      <c r="D1719" s="4" t="n">
        <v>43</v>
      </c>
      <c r="E1719" s="21" t="s">
        <v>246</v>
      </c>
      <c r="F1719" s="22" t="s">
        <v>446</v>
      </c>
    </row>
    <row r="1720" customFormat="false" ht="15" hidden="false" customHeight="false" outlineLevel="0" collapsed="false">
      <c r="A1720" s="4" t="str">
        <f aca="false">B1720&amp;"|"&amp;C1720</f>
        <v>tdbR00000093 Phe-GAA|44</v>
      </c>
      <c r="B1720" s="4" t="s">
        <v>60</v>
      </c>
      <c r="C1720" s="4" t="s">
        <v>464</v>
      </c>
      <c r="D1720" s="4" t="n">
        <v>44</v>
      </c>
      <c r="E1720" s="19" t="s">
        <v>246</v>
      </c>
      <c r="F1720" s="20" t="s">
        <v>465</v>
      </c>
    </row>
    <row r="1721" customFormat="false" ht="15" hidden="false" customHeight="false" outlineLevel="0" collapsed="false">
      <c r="A1721" s="4" t="str">
        <f aca="false">B1721&amp;"|"&amp;C1721</f>
        <v>tdbR00000093 Phe-GAA|45</v>
      </c>
      <c r="B1721" s="4" t="s">
        <v>60</v>
      </c>
      <c r="C1721" s="4" t="s">
        <v>466</v>
      </c>
      <c r="D1721" s="4" t="n">
        <v>45</v>
      </c>
      <c r="E1721" s="19" t="s">
        <v>197</v>
      </c>
      <c r="F1721" s="20" t="s">
        <v>465</v>
      </c>
    </row>
    <row r="1722" customFormat="false" ht="15" hidden="false" customHeight="false" outlineLevel="0" collapsed="false">
      <c r="A1722" s="4" t="str">
        <f aca="false">B1722&amp;"|"&amp;C1722</f>
        <v>tdbR00000093 Phe-GAA|46</v>
      </c>
      <c r="B1722" s="4" t="s">
        <v>60</v>
      </c>
      <c r="C1722" s="4" t="s">
        <v>467</v>
      </c>
      <c r="D1722" s="4" t="n">
        <v>46</v>
      </c>
      <c r="E1722" s="19" t="s">
        <v>197</v>
      </c>
      <c r="F1722" s="20" t="s">
        <v>465</v>
      </c>
    </row>
    <row r="1723" customFormat="false" ht="15" hidden="false" customHeight="false" outlineLevel="0" collapsed="false">
      <c r="A1723" s="4" t="str">
        <f aca="false">B1723&amp;"|"&amp;C1723</f>
        <v>tdbR00000093 Phe-GAA|47</v>
      </c>
      <c r="B1723" s="4" t="s">
        <v>60</v>
      </c>
      <c r="C1723" s="4" t="s">
        <v>468</v>
      </c>
      <c r="D1723" s="4" t="n">
        <v>47</v>
      </c>
      <c r="E1723" s="19" t="s">
        <v>259</v>
      </c>
      <c r="F1723" s="20" t="s">
        <v>465</v>
      </c>
    </row>
    <row r="1724" customFormat="false" ht="15" hidden="false" customHeight="false" outlineLevel="0" collapsed="false">
      <c r="A1724" s="4" t="str">
        <f aca="false">B1724&amp;"|"&amp;C1724</f>
        <v>tdbR00000093 Phe-GAA|48</v>
      </c>
      <c r="B1724" s="4" t="s">
        <v>60</v>
      </c>
      <c r="C1724" s="4" t="s">
        <v>469</v>
      </c>
      <c r="D1724" s="4" t="n">
        <v>48</v>
      </c>
      <c r="E1724" s="19" t="s">
        <v>414</v>
      </c>
      <c r="F1724" s="20" t="s">
        <v>465</v>
      </c>
    </row>
    <row r="1725" customFormat="false" ht="15" hidden="false" customHeight="false" outlineLevel="0" collapsed="false">
      <c r="A1725" s="4" t="str">
        <f aca="false">B1725&amp;"|"&amp;C1725</f>
        <v>tdbR00000093 Phe-GAA|49</v>
      </c>
      <c r="B1725" s="4" t="s">
        <v>60</v>
      </c>
      <c r="C1725" s="4" t="s">
        <v>470</v>
      </c>
      <c r="D1725" s="4" t="n">
        <v>49</v>
      </c>
      <c r="E1725" s="23" t="s">
        <v>414</v>
      </c>
      <c r="F1725" s="10" t="s">
        <v>471</v>
      </c>
    </row>
    <row r="1726" customFormat="false" ht="15" hidden="false" customHeight="false" outlineLevel="0" collapsed="false">
      <c r="A1726" s="4" t="str">
        <f aca="false">B1726&amp;"|"&amp;C1726</f>
        <v>tdbR00000093 Phe-GAA|50</v>
      </c>
      <c r="B1726" s="4" t="s">
        <v>60</v>
      </c>
      <c r="C1726" s="4" t="s">
        <v>472</v>
      </c>
      <c r="D1726" s="4" t="n">
        <v>50</v>
      </c>
      <c r="E1726" s="23" t="s">
        <v>414</v>
      </c>
      <c r="F1726" s="10" t="s">
        <v>471</v>
      </c>
    </row>
    <row r="1727" customFormat="false" ht="15" hidden="false" customHeight="false" outlineLevel="0" collapsed="false">
      <c r="A1727" s="4" t="str">
        <f aca="false">B1727&amp;"|"&amp;C1727</f>
        <v>tdbR00000093 Phe-GAA|51</v>
      </c>
      <c r="B1727" s="4" t="s">
        <v>60</v>
      </c>
      <c r="C1727" s="4" t="s">
        <v>473</v>
      </c>
      <c r="D1727" s="4" t="n">
        <v>51</v>
      </c>
      <c r="E1727" s="23" t="s">
        <v>259</v>
      </c>
      <c r="F1727" s="10" t="s">
        <v>471</v>
      </c>
    </row>
    <row r="1728" customFormat="false" ht="15" hidden="false" customHeight="false" outlineLevel="0" collapsed="false">
      <c r="A1728" s="4" t="str">
        <f aca="false">B1728&amp;"|"&amp;C1728</f>
        <v>tdbR00000093 Phe-GAA|52</v>
      </c>
      <c r="B1728" s="4" t="s">
        <v>60</v>
      </c>
      <c r="C1728" s="4" t="s">
        <v>474</v>
      </c>
      <c r="D1728" s="4" t="n">
        <v>52</v>
      </c>
      <c r="E1728" s="23" t="s">
        <v>197</v>
      </c>
      <c r="F1728" s="10" t="s">
        <v>471</v>
      </c>
    </row>
    <row r="1729" customFormat="false" ht="15" hidden="false" customHeight="false" outlineLevel="0" collapsed="false">
      <c r="A1729" s="4" t="str">
        <f aca="false">B1729&amp;"|"&amp;C1729</f>
        <v>tdbR00000093 Phe-GAA|53</v>
      </c>
      <c r="B1729" s="4" t="s">
        <v>60</v>
      </c>
      <c r="C1729" s="4" t="s">
        <v>475</v>
      </c>
      <c r="D1729" s="4" t="n">
        <v>53</v>
      </c>
      <c r="E1729" s="23" t="s">
        <v>197</v>
      </c>
      <c r="F1729" s="10" t="s">
        <v>471</v>
      </c>
    </row>
    <row r="1730" customFormat="false" ht="15" hidden="false" customHeight="false" outlineLevel="0" collapsed="false">
      <c r="A1730" s="4" t="str">
        <f aca="false">B1730&amp;"|"&amp;C1730</f>
        <v>tdbR00000093 Phe-GAA|54</v>
      </c>
      <c r="B1730" s="4" t="s">
        <v>60</v>
      </c>
      <c r="C1730" s="4" t="s">
        <v>476</v>
      </c>
      <c r="D1730" s="4" t="n">
        <v>54</v>
      </c>
      <c r="E1730" s="19" t="s">
        <v>259</v>
      </c>
      <c r="F1730" s="20" t="s">
        <v>477</v>
      </c>
    </row>
    <row r="1731" customFormat="false" ht="15" hidden="false" customHeight="false" outlineLevel="0" collapsed="false">
      <c r="A1731" s="4" t="str">
        <f aca="false">B1731&amp;"|"&amp;C1731</f>
        <v>tdbR00000093 Phe-GAA|55</v>
      </c>
      <c r="B1731" s="4" t="s">
        <v>60</v>
      </c>
      <c r="C1731" s="4" t="s">
        <v>478</v>
      </c>
      <c r="D1731" s="4" t="n">
        <v>55</v>
      </c>
      <c r="E1731" s="19" t="s">
        <v>259</v>
      </c>
      <c r="F1731" s="20" t="s">
        <v>477</v>
      </c>
    </row>
    <row r="1732" customFormat="false" ht="15" hidden="false" customHeight="false" outlineLevel="0" collapsed="false">
      <c r="A1732" s="4" t="str">
        <f aca="false">B1732&amp;"|"&amp;C1732</f>
        <v>tdbR00000093 Phe-GAA|56</v>
      </c>
      <c r="B1732" s="4" t="s">
        <v>60</v>
      </c>
      <c r="C1732" s="4" t="s">
        <v>479</v>
      </c>
      <c r="D1732" s="4" t="n">
        <v>56</v>
      </c>
      <c r="E1732" s="19" t="s">
        <v>414</v>
      </c>
      <c r="F1732" s="20" t="s">
        <v>477</v>
      </c>
    </row>
    <row r="1733" customFormat="false" ht="15" hidden="false" customHeight="false" outlineLevel="0" collapsed="false">
      <c r="A1733" s="4" t="str">
        <f aca="false">B1733&amp;"|"&amp;C1733</f>
        <v>tdbR00000093 Phe-GAA|57</v>
      </c>
      <c r="B1733" s="4" t="s">
        <v>60</v>
      </c>
      <c r="C1733" s="4" t="s">
        <v>480</v>
      </c>
      <c r="D1733" s="4" t="n">
        <v>57</v>
      </c>
      <c r="E1733" s="19" t="s">
        <v>246</v>
      </c>
      <c r="F1733" s="20" t="s">
        <v>477</v>
      </c>
    </row>
    <row r="1734" customFormat="false" ht="15" hidden="false" customHeight="false" outlineLevel="0" collapsed="false">
      <c r="A1734" s="4" t="str">
        <f aca="false">B1734&amp;"|"&amp;C1734</f>
        <v>tdbR00000093 Phe-GAA|58</v>
      </c>
      <c r="B1734" s="4" t="s">
        <v>60</v>
      </c>
      <c r="C1734" s="4" t="s">
        <v>481</v>
      </c>
      <c r="D1734" s="4" t="n">
        <v>58</v>
      </c>
      <c r="E1734" s="19" t="s">
        <v>246</v>
      </c>
      <c r="F1734" s="20" t="s">
        <v>477</v>
      </c>
    </row>
    <row r="1735" customFormat="false" ht="15" hidden="false" customHeight="false" outlineLevel="0" collapsed="false">
      <c r="A1735" s="4" t="str">
        <f aca="false">B1735&amp;"|"&amp;C1735</f>
        <v>tdbR00000093 Phe-GAA|59</v>
      </c>
      <c r="B1735" s="4" t="s">
        <v>60</v>
      </c>
      <c r="C1735" s="4" t="s">
        <v>482</v>
      </c>
      <c r="D1735" s="4" t="n">
        <v>59</v>
      </c>
      <c r="E1735" s="19" t="s">
        <v>259</v>
      </c>
      <c r="F1735" s="20" t="s">
        <v>477</v>
      </c>
    </row>
    <row r="1736" customFormat="false" ht="15" hidden="false" customHeight="false" outlineLevel="0" collapsed="false">
      <c r="A1736" s="4" t="str">
        <f aca="false">B1736&amp;"|"&amp;C1736</f>
        <v>tdbR00000093 Phe-GAA|60</v>
      </c>
      <c r="B1736" s="4" t="s">
        <v>60</v>
      </c>
      <c r="C1736" s="4" t="s">
        <v>483</v>
      </c>
      <c r="D1736" s="4" t="n">
        <v>60</v>
      </c>
      <c r="E1736" s="19" t="s">
        <v>414</v>
      </c>
      <c r="F1736" s="20" t="s">
        <v>477</v>
      </c>
    </row>
    <row r="1737" customFormat="false" ht="15" hidden="false" customHeight="false" outlineLevel="0" collapsed="false">
      <c r="A1737" s="4" t="str">
        <f aca="false">B1737&amp;"|"&amp;C1737</f>
        <v>tdbR00000093 Phe-GAA|61</v>
      </c>
      <c r="B1737" s="4" t="s">
        <v>60</v>
      </c>
      <c r="C1737" s="4" t="s">
        <v>484</v>
      </c>
      <c r="D1737" s="4" t="n">
        <v>61</v>
      </c>
      <c r="E1737" s="23" t="s">
        <v>414</v>
      </c>
      <c r="F1737" s="10" t="s">
        <v>471</v>
      </c>
    </row>
    <row r="1738" customFormat="false" ht="15" hidden="false" customHeight="false" outlineLevel="0" collapsed="false">
      <c r="A1738" s="4" t="str">
        <f aca="false">B1738&amp;"|"&amp;C1738</f>
        <v>tdbR00000093 Phe-GAA|62</v>
      </c>
      <c r="B1738" s="4" t="s">
        <v>60</v>
      </c>
      <c r="C1738" s="4" t="s">
        <v>485</v>
      </c>
      <c r="D1738" s="4" t="n">
        <v>62</v>
      </c>
      <c r="E1738" s="23" t="s">
        <v>414</v>
      </c>
      <c r="F1738" s="10" t="s">
        <v>471</v>
      </c>
    </row>
    <row r="1739" customFormat="false" ht="15" hidden="false" customHeight="false" outlineLevel="0" collapsed="false">
      <c r="A1739" s="4" t="str">
        <f aca="false">B1739&amp;"|"&amp;C1739</f>
        <v>tdbR00000093 Phe-GAA|63</v>
      </c>
      <c r="B1739" s="4" t="s">
        <v>60</v>
      </c>
      <c r="C1739" s="4" t="s">
        <v>486</v>
      </c>
      <c r="D1739" s="4" t="n">
        <v>63</v>
      </c>
      <c r="E1739" s="23" t="s">
        <v>197</v>
      </c>
      <c r="F1739" s="10" t="s">
        <v>471</v>
      </c>
    </row>
    <row r="1740" customFormat="false" ht="15" hidden="false" customHeight="false" outlineLevel="0" collapsed="false">
      <c r="A1740" s="4" t="str">
        <f aca="false">B1740&amp;"|"&amp;C1740</f>
        <v>tdbR00000093 Phe-GAA|64</v>
      </c>
      <c r="B1740" s="4" t="s">
        <v>60</v>
      </c>
      <c r="C1740" s="4" t="s">
        <v>487</v>
      </c>
      <c r="D1740" s="4" t="n">
        <v>64</v>
      </c>
      <c r="E1740" s="23" t="s">
        <v>197</v>
      </c>
      <c r="F1740" s="10" t="s">
        <v>471</v>
      </c>
    </row>
    <row r="1741" customFormat="false" ht="15" hidden="false" customHeight="false" outlineLevel="0" collapsed="false">
      <c r="A1741" s="4" t="str">
        <f aca="false">B1741&amp;"|"&amp;C1741</f>
        <v>tdbR00000093 Phe-GAA|65</v>
      </c>
      <c r="B1741" s="4" t="s">
        <v>60</v>
      </c>
      <c r="C1741" s="4" t="s">
        <v>488</v>
      </c>
      <c r="D1741" s="4" t="n">
        <v>65</v>
      </c>
      <c r="E1741" s="23" t="s">
        <v>197</v>
      </c>
      <c r="F1741" s="10" t="s">
        <v>471</v>
      </c>
    </row>
    <row r="1742" customFormat="false" ht="15" hidden="false" customHeight="false" outlineLevel="0" collapsed="false">
      <c r="A1742" s="4" t="str">
        <f aca="false">B1742&amp;"|"&amp;C1742</f>
        <v>tdbR00000093 Phe-GAA|66</v>
      </c>
      <c r="B1742" s="4" t="s">
        <v>60</v>
      </c>
      <c r="C1742" s="4" t="s">
        <v>489</v>
      </c>
      <c r="D1742" s="4" t="n">
        <v>66</v>
      </c>
      <c r="E1742" s="17" t="s">
        <v>259</v>
      </c>
      <c r="F1742" s="18" t="s">
        <v>412</v>
      </c>
    </row>
    <row r="1743" customFormat="false" ht="15" hidden="false" customHeight="false" outlineLevel="0" collapsed="false">
      <c r="A1743" s="4" t="str">
        <f aca="false">B1743&amp;"|"&amp;C1743</f>
        <v>tdbR00000093 Phe-GAA|67</v>
      </c>
      <c r="B1743" s="4" t="s">
        <v>60</v>
      </c>
      <c r="C1743" s="4" t="s">
        <v>490</v>
      </c>
      <c r="D1743" s="4" t="n">
        <v>67</v>
      </c>
      <c r="E1743" s="17" t="s">
        <v>259</v>
      </c>
      <c r="F1743" s="18" t="s">
        <v>412</v>
      </c>
    </row>
    <row r="1744" customFormat="false" ht="15" hidden="false" customHeight="false" outlineLevel="0" collapsed="false">
      <c r="A1744" s="4" t="str">
        <f aca="false">B1744&amp;"|"&amp;C1744</f>
        <v>tdbR00000093 Phe-GAA|68</v>
      </c>
      <c r="B1744" s="4" t="s">
        <v>60</v>
      </c>
      <c r="C1744" s="4" t="s">
        <v>491</v>
      </c>
      <c r="D1744" s="4" t="n">
        <v>68</v>
      </c>
      <c r="E1744" s="17" t="s">
        <v>259</v>
      </c>
      <c r="F1744" s="18" t="s">
        <v>412</v>
      </c>
    </row>
    <row r="1745" customFormat="false" ht="15" hidden="false" customHeight="false" outlineLevel="0" collapsed="false">
      <c r="A1745" s="4" t="str">
        <f aca="false">B1745&amp;"|"&amp;C1745</f>
        <v>tdbR00000093 Phe-GAA|69</v>
      </c>
      <c r="B1745" s="4" t="s">
        <v>60</v>
      </c>
      <c r="C1745" s="4" t="s">
        <v>492</v>
      </c>
      <c r="D1745" s="4" t="n">
        <v>69</v>
      </c>
      <c r="E1745" s="17" t="s">
        <v>414</v>
      </c>
      <c r="F1745" s="18" t="s">
        <v>412</v>
      </c>
    </row>
    <row r="1746" customFormat="false" ht="15" hidden="false" customHeight="false" outlineLevel="0" collapsed="false">
      <c r="A1746" s="4" t="str">
        <f aca="false">B1746&amp;"|"&amp;C1746</f>
        <v>tdbR00000093 Phe-GAA|70</v>
      </c>
      <c r="B1746" s="4" t="s">
        <v>60</v>
      </c>
      <c r="C1746" s="4" t="s">
        <v>493</v>
      </c>
      <c r="D1746" s="4" t="n">
        <v>70</v>
      </c>
      <c r="E1746" s="17" t="s">
        <v>197</v>
      </c>
      <c r="F1746" s="18" t="s">
        <v>412</v>
      </c>
    </row>
    <row r="1747" customFormat="false" ht="15" hidden="false" customHeight="false" outlineLevel="0" collapsed="false">
      <c r="A1747" s="4" t="str">
        <f aca="false">B1747&amp;"|"&amp;C1747</f>
        <v>tdbR00000093 Phe-GAA|71</v>
      </c>
      <c r="B1747" s="4" t="s">
        <v>60</v>
      </c>
      <c r="C1747" s="4" t="s">
        <v>494</v>
      </c>
      <c r="D1747" s="4" t="n">
        <v>71</v>
      </c>
      <c r="E1747" s="17" t="s">
        <v>197</v>
      </c>
      <c r="F1747" s="18" t="s">
        <v>412</v>
      </c>
    </row>
    <row r="1748" customFormat="false" ht="15" hidden="false" customHeight="false" outlineLevel="0" collapsed="false">
      <c r="A1748" s="4" t="str">
        <f aca="false">B1748&amp;"|"&amp;C1748</f>
        <v>tdbR00000093 Phe-GAA|72</v>
      </c>
      <c r="B1748" s="4" t="s">
        <v>60</v>
      </c>
      <c r="C1748" s="4" t="s">
        <v>495</v>
      </c>
      <c r="D1748" s="4" t="n">
        <v>72</v>
      </c>
      <c r="E1748" s="17" t="s">
        <v>414</v>
      </c>
      <c r="F1748" s="18" t="s">
        <v>412</v>
      </c>
    </row>
    <row r="1749" customFormat="false" ht="15" hidden="false" customHeight="false" outlineLevel="0" collapsed="false">
      <c r="A1749" s="4" t="str">
        <f aca="false">B1749&amp;"|"&amp;C1749</f>
        <v>tdbR00000094 Phe-GAA|1</v>
      </c>
      <c r="B1749" s="4" t="s">
        <v>61</v>
      </c>
      <c r="C1749" s="4" t="s">
        <v>411</v>
      </c>
      <c r="D1749" s="4" t="n">
        <v>1</v>
      </c>
      <c r="E1749" s="17" t="s">
        <v>197</v>
      </c>
      <c r="F1749" s="18" t="s">
        <v>412</v>
      </c>
    </row>
    <row r="1750" customFormat="false" ht="15" hidden="false" customHeight="false" outlineLevel="0" collapsed="false">
      <c r="A1750" s="4" t="str">
        <f aca="false">B1750&amp;"|"&amp;C1750</f>
        <v>tdbR00000094 Phe-GAA|2</v>
      </c>
      <c r="B1750" s="4" t="s">
        <v>61</v>
      </c>
      <c r="C1750" s="4" t="s">
        <v>413</v>
      </c>
      <c r="D1750" s="4" t="n">
        <v>2</v>
      </c>
      <c r="E1750" s="17" t="s">
        <v>414</v>
      </c>
      <c r="F1750" s="18" t="s">
        <v>412</v>
      </c>
    </row>
    <row r="1751" customFormat="false" ht="15" hidden="false" customHeight="false" outlineLevel="0" collapsed="false">
      <c r="A1751" s="4" t="str">
        <f aca="false">B1751&amp;"|"&amp;C1751</f>
        <v>tdbR00000094 Phe-GAA|3</v>
      </c>
      <c r="B1751" s="4" t="s">
        <v>61</v>
      </c>
      <c r="C1751" s="4" t="s">
        <v>415</v>
      </c>
      <c r="D1751" s="4" t="n">
        <v>3</v>
      </c>
      <c r="E1751" s="17" t="s">
        <v>414</v>
      </c>
      <c r="F1751" s="18" t="s">
        <v>412</v>
      </c>
    </row>
    <row r="1752" customFormat="false" ht="15" hidden="false" customHeight="false" outlineLevel="0" collapsed="false">
      <c r="A1752" s="4" t="str">
        <f aca="false">B1752&amp;"|"&amp;C1752</f>
        <v>tdbR00000094 Phe-GAA|4</v>
      </c>
      <c r="B1752" s="4" t="s">
        <v>61</v>
      </c>
      <c r="C1752" s="4" t="s">
        <v>416</v>
      </c>
      <c r="D1752" s="4" t="n">
        <v>4</v>
      </c>
      <c r="E1752" s="17" t="s">
        <v>197</v>
      </c>
      <c r="F1752" s="18" t="s">
        <v>412</v>
      </c>
    </row>
    <row r="1753" customFormat="false" ht="15" hidden="false" customHeight="false" outlineLevel="0" collapsed="false">
      <c r="A1753" s="4" t="str">
        <f aca="false">B1753&amp;"|"&amp;C1753</f>
        <v>tdbR00000094 Phe-GAA|5</v>
      </c>
      <c r="B1753" s="4" t="s">
        <v>61</v>
      </c>
      <c r="C1753" s="4" t="s">
        <v>417</v>
      </c>
      <c r="D1753" s="4" t="n">
        <v>5</v>
      </c>
      <c r="E1753" s="17" t="s">
        <v>246</v>
      </c>
      <c r="F1753" s="18" t="s">
        <v>412</v>
      </c>
    </row>
    <row r="1754" customFormat="false" ht="15" hidden="false" customHeight="false" outlineLevel="0" collapsed="false">
      <c r="A1754" s="4" t="str">
        <f aca="false">B1754&amp;"|"&amp;C1754</f>
        <v>tdbR00000094 Phe-GAA|6</v>
      </c>
      <c r="B1754" s="4" t="s">
        <v>61</v>
      </c>
      <c r="C1754" s="4" t="s">
        <v>418</v>
      </c>
      <c r="D1754" s="4" t="n">
        <v>6</v>
      </c>
      <c r="E1754" s="17" t="s">
        <v>246</v>
      </c>
      <c r="F1754" s="18" t="s">
        <v>412</v>
      </c>
    </row>
    <row r="1755" customFormat="false" ht="15" hidden="false" customHeight="false" outlineLevel="0" collapsed="false">
      <c r="A1755" s="4" t="str">
        <f aca="false">B1755&amp;"|"&amp;C1755</f>
        <v>tdbR00000094 Phe-GAA|7</v>
      </c>
      <c r="B1755" s="4" t="s">
        <v>61</v>
      </c>
      <c r="C1755" s="4" t="s">
        <v>419</v>
      </c>
      <c r="D1755" s="4" t="n">
        <v>7</v>
      </c>
      <c r="E1755" s="17" t="s">
        <v>246</v>
      </c>
      <c r="F1755" s="18" t="s">
        <v>412</v>
      </c>
    </row>
    <row r="1756" customFormat="false" ht="15" hidden="false" customHeight="false" outlineLevel="0" collapsed="false">
      <c r="A1756" s="4" t="str">
        <f aca="false">B1756&amp;"|"&amp;C1756</f>
        <v>tdbR00000094 Phe-GAA|8</v>
      </c>
      <c r="B1756" s="4" t="s">
        <v>61</v>
      </c>
      <c r="C1756" s="4" t="s">
        <v>420</v>
      </c>
      <c r="D1756" s="4" t="n">
        <v>8</v>
      </c>
      <c r="E1756" s="3" t="s">
        <v>259</v>
      </c>
      <c r="F1756" s="4" t="s">
        <v>421</v>
      </c>
    </row>
    <row r="1757" customFormat="false" ht="15" hidden="false" customHeight="false" outlineLevel="0" collapsed="false">
      <c r="A1757" s="4" t="str">
        <f aca="false">B1757&amp;"|"&amp;C1757</f>
        <v>tdbR00000094 Phe-GAA|9</v>
      </c>
      <c r="B1757" s="4" t="s">
        <v>61</v>
      </c>
      <c r="C1757" s="4" t="s">
        <v>422</v>
      </c>
      <c r="D1757" s="4" t="n">
        <v>9</v>
      </c>
      <c r="E1757" s="3" t="s">
        <v>246</v>
      </c>
      <c r="F1757" s="4" t="s">
        <v>423</v>
      </c>
    </row>
    <row r="1758" customFormat="false" ht="15" hidden="false" customHeight="false" outlineLevel="0" collapsed="false">
      <c r="A1758" s="4" t="str">
        <f aca="false">B1758&amp;"|"&amp;C1758</f>
        <v>tdbR00000094 Phe-GAA|10</v>
      </c>
      <c r="B1758" s="4" t="s">
        <v>61</v>
      </c>
      <c r="C1758" s="4" t="s">
        <v>424</v>
      </c>
      <c r="D1758" s="4" t="n">
        <v>10</v>
      </c>
      <c r="E1758" s="8" t="s">
        <v>197</v>
      </c>
      <c r="F1758" s="7" t="s">
        <v>425</v>
      </c>
    </row>
    <row r="1759" customFormat="false" ht="15" hidden="false" customHeight="false" outlineLevel="0" collapsed="false">
      <c r="A1759" s="4" t="str">
        <f aca="false">B1759&amp;"|"&amp;C1759</f>
        <v>tdbR00000094 Phe-GAA|11</v>
      </c>
      <c r="B1759" s="4" t="s">
        <v>61</v>
      </c>
      <c r="C1759" s="4" t="s">
        <v>426</v>
      </c>
      <c r="D1759" s="4" t="n">
        <v>11</v>
      </c>
      <c r="E1759" s="8" t="s">
        <v>414</v>
      </c>
      <c r="F1759" s="7" t="s">
        <v>425</v>
      </c>
    </row>
    <row r="1760" customFormat="false" ht="15" hidden="false" customHeight="false" outlineLevel="0" collapsed="false">
      <c r="A1760" s="4" t="str">
        <f aca="false">B1760&amp;"|"&amp;C1760</f>
        <v>tdbR00000094 Phe-GAA|12</v>
      </c>
      <c r="B1760" s="4" t="s">
        <v>61</v>
      </c>
      <c r="C1760" s="4" t="s">
        <v>427</v>
      </c>
      <c r="D1760" s="4" t="n">
        <v>12</v>
      </c>
      <c r="E1760" s="8" t="s">
        <v>259</v>
      </c>
      <c r="F1760" s="7" t="s">
        <v>425</v>
      </c>
    </row>
    <row r="1761" customFormat="false" ht="15" hidden="false" customHeight="false" outlineLevel="0" collapsed="false">
      <c r="A1761" s="4" t="str">
        <f aca="false">B1761&amp;"|"&amp;C1761</f>
        <v>tdbR00000094 Phe-GAA|13</v>
      </c>
      <c r="B1761" s="4" t="s">
        <v>61</v>
      </c>
      <c r="C1761" s="4" t="s">
        <v>428</v>
      </c>
      <c r="D1761" s="4" t="n">
        <v>13</v>
      </c>
      <c r="E1761" s="8" t="s">
        <v>414</v>
      </c>
      <c r="F1761" s="7" t="s">
        <v>425</v>
      </c>
    </row>
    <row r="1762" customFormat="false" ht="15" hidden="false" customHeight="false" outlineLevel="0" collapsed="false">
      <c r="A1762" s="4" t="str">
        <f aca="false">B1762&amp;"|"&amp;C1762</f>
        <v>tdbR00000094 Phe-GAA|14</v>
      </c>
      <c r="B1762" s="4" t="s">
        <v>61</v>
      </c>
      <c r="C1762" s="4" t="s">
        <v>429</v>
      </c>
      <c r="D1762" s="4" t="n">
        <v>14</v>
      </c>
      <c r="E1762" s="19" t="s">
        <v>246</v>
      </c>
      <c r="F1762" s="20" t="s">
        <v>430</v>
      </c>
    </row>
    <row r="1763" customFormat="false" ht="15" hidden="false" customHeight="false" outlineLevel="0" collapsed="false">
      <c r="A1763" s="4" t="str">
        <f aca="false">B1763&amp;"|"&amp;C1763</f>
        <v>tdbR00000094 Phe-GAA|15</v>
      </c>
      <c r="B1763" s="4" t="s">
        <v>61</v>
      </c>
      <c r="C1763" s="4" t="s">
        <v>431</v>
      </c>
      <c r="D1763" s="4" t="n">
        <v>15</v>
      </c>
      <c r="E1763" s="19" t="s">
        <v>197</v>
      </c>
      <c r="F1763" s="20" t="s">
        <v>430</v>
      </c>
    </row>
    <row r="1764" customFormat="false" ht="15" hidden="false" customHeight="false" outlineLevel="0" collapsed="false">
      <c r="A1764" s="4" t="str">
        <f aca="false">B1764&amp;"|"&amp;C1764</f>
        <v>tdbR00000094 Phe-GAA|16</v>
      </c>
      <c r="B1764" s="4" t="s">
        <v>61</v>
      </c>
      <c r="C1764" s="4" t="s">
        <v>432</v>
      </c>
      <c r="D1764" s="4" t="n">
        <v>16</v>
      </c>
      <c r="E1764" s="19" t="s">
        <v>259</v>
      </c>
      <c r="F1764" s="20" t="s">
        <v>430</v>
      </c>
    </row>
    <row r="1765" customFormat="false" ht="15" hidden="false" customHeight="false" outlineLevel="0" collapsed="false">
      <c r="A1765" s="4" t="str">
        <f aca="false">B1765&amp;"|"&amp;C1765</f>
        <v>tdbR00000094 Phe-GAA|17</v>
      </c>
      <c r="B1765" s="4" t="s">
        <v>61</v>
      </c>
      <c r="C1765" s="4" t="s">
        <v>433</v>
      </c>
      <c r="D1765" s="4" t="n">
        <v>17</v>
      </c>
      <c r="E1765" s="19" t="s">
        <v>259</v>
      </c>
      <c r="F1765" s="20" t="s">
        <v>430</v>
      </c>
    </row>
    <row r="1766" customFormat="false" ht="15" hidden="false" customHeight="false" outlineLevel="0" collapsed="false">
      <c r="A1766" s="4" t="str">
        <f aca="false">B1766&amp;"|"&amp;C1766</f>
        <v>tdbR00000094 Phe-GAA|18</v>
      </c>
      <c r="B1766" s="4" t="s">
        <v>61</v>
      </c>
      <c r="C1766" s="4" t="s">
        <v>434</v>
      </c>
      <c r="D1766" s="4" t="n">
        <v>18</v>
      </c>
      <c r="E1766" s="19" t="s">
        <v>197</v>
      </c>
      <c r="F1766" s="20" t="s">
        <v>430</v>
      </c>
    </row>
    <row r="1767" customFormat="false" ht="15" hidden="false" customHeight="false" outlineLevel="0" collapsed="false">
      <c r="A1767" s="4" t="str">
        <f aca="false">B1767&amp;"|"&amp;C1767</f>
        <v>tdbR00000094 Phe-GAA|19</v>
      </c>
      <c r="B1767" s="4" t="s">
        <v>61</v>
      </c>
      <c r="C1767" s="4" t="s">
        <v>435</v>
      </c>
      <c r="D1767" s="4" t="n">
        <v>19</v>
      </c>
      <c r="E1767" s="19" t="s">
        <v>197</v>
      </c>
      <c r="F1767" s="20" t="s">
        <v>430</v>
      </c>
    </row>
    <row r="1768" customFormat="false" ht="15" hidden="false" customHeight="false" outlineLevel="0" collapsed="false">
      <c r="A1768" s="4" t="str">
        <f aca="false">B1768&amp;"|"&amp;C1768</f>
        <v>tdbR00000094 Phe-GAA|20</v>
      </c>
      <c r="B1768" s="4" t="s">
        <v>61</v>
      </c>
      <c r="C1768" s="4" t="s">
        <v>436</v>
      </c>
      <c r="D1768" s="4" t="n">
        <v>20</v>
      </c>
      <c r="E1768" s="19" t="s">
        <v>197</v>
      </c>
      <c r="F1768" s="20" t="s">
        <v>430</v>
      </c>
    </row>
    <row r="1769" customFormat="false" ht="15" hidden="false" customHeight="false" outlineLevel="0" collapsed="false">
      <c r="A1769" s="4" t="str">
        <f aca="false">B1769&amp;"|"&amp;C1769</f>
        <v>tdbR00000094 Phe-GAA|21</v>
      </c>
      <c r="B1769" s="4" t="s">
        <v>61</v>
      </c>
      <c r="C1769" s="4" t="s">
        <v>438</v>
      </c>
      <c r="D1769" s="4" t="n">
        <v>21</v>
      </c>
      <c r="E1769" s="19" t="s">
        <v>246</v>
      </c>
      <c r="F1769" s="20" t="s">
        <v>430</v>
      </c>
    </row>
    <row r="1770" customFormat="false" ht="15" hidden="false" customHeight="false" outlineLevel="0" collapsed="false">
      <c r="A1770" s="4" t="str">
        <f aca="false">B1770&amp;"|"&amp;C1770</f>
        <v>tdbR00000094 Phe-GAA|22</v>
      </c>
      <c r="B1770" s="4" t="s">
        <v>61</v>
      </c>
      <c r="C1770" s="4" t="s">
        <v>439</v>
      </c>
      <c r="D1770" s="4" t="n">
        <v>22</v>
      </c>
      <c r="E1770" s="8" t="s">
        <v>197</v>
      </c>
      <c r="F1770" s="7" t="s">
        <v>425</v>
      </c>
    </row>
    <row r="1771" customFormat="false" ht="15" hidden="false" customHeight="false" outlineLevel="0" collapsed="false">
      <c r="A1771" s="4" t="str">
        <f aca="false">B1771&amp;"|"&amp;C1771</f>
        <v>tdbR00000094 Phe-GAA|23</v>
      </c>
      <c r="B1771" s="4" t="s">
        <v>61</v>
      </c>
      <c r="C1771" s="4" t="s">
        <v>440</v>
      </c>
      <c r="D1771" s="4" t="n">
        <v>23</v>
      </c>
      <c r="E1771" s="8" t="s">
        <v>246</v>
      </c>
      <c r="F1771" s="7" t="s">
        <v>425</v>
      </c>
    </row>
    <row r="1772" customFormat="false" ht="15" hidden="false" customHeight="false" outlineLevel="0" collapsed="false">
      <c r="A1772" s="4" t="str">
        <f aca="false">B1772&amp;"|"&amp;C1772</f>
        <v>tdbR00000094 Phe-GAA|24</v>
      </c>
      <c r="B1772" s="4" t="s">
        <v>61</v>
      </c>
      <c r="C1772" s="4" t="s">
        <v>441</v>
      </c>
      <c r="D1772" s="4" t="n">
        <v>24</v>
      </c>
      <c r="E1772" s="8" t="s">
        <v>197</v>
      </c>
      <c r="F1772" s="7" t="s">
        <v>425</v>
      </c>
    </row>
    <row r="1773" customFormat="false" ht="15" hidden="false" customHeight="false" outlineLevel="0" collapsed="false">
      <c r="A1773" s="4" t="str">
        <f aca="false">B1773&amp;"|"&amp;C1773</f>
        <v>tdbR00000094 Phe-GAA|25</v>
      </c>
      <c r="B1773" s="4" t="s">
        <v>61</v>
      </c>
      <c r="C1773" s="4" t="s">
        <v>442</v>
      </c>
      <c r="D1773" s="4" t="n">
        <v>25</v>
      </c>
      <c r="E1773" s="8" t="s">
        <v>414</v>
      </c>
      <c r="F1773" s="7" t="s">
        <v>425</v>
      </c>
    </row>
    <row r="1774" customFormat="false" ht="15" hidden="false" customHeight="false" outlineLevel="0" collapsed="false">
      <c r="A1774" s="4" t="str">
        <f aca="false">B1774&amp;"|"&amp;C1774</f>
        <v>tdbR00000094 Phe-GAA|26</v>
      </c>
      <c r="B1774" s="4" t="s">
        <v>61</v>
      </c>
      <c r="C1774" s="4" t="s">
        <v>443</v>
      </c>
      <c r="D1774" s="4" t="n">
        <v>26</v>
      </c>
      <c r="E1774" s="3" t="s">
        <v>197</v>
      </c>
      <c r="F1774" s="4" t="s">
        <v>444</v>
      </c>
    </row>
    <row r="1775" customFormat="false" ht="15" hidden="false" customHeight="false" outlineLevel="0" collapsed="false">
      <c r="A1775" s="4" t="str">
        <f aca="false">B1775&amp;"|"&amp;C1775</f>
        <v>tdbR00000094 Phe-GAA|27</v>
      </c>
      <c r="B1775" s="4" t="s">
        <v>61</v>
      </c>
      <c r="C1775" s="4" t="s">
        <v>445</v>
      </c>
      <c r="D1775" s="4" t="n">
        <v>27</v>
      </c>
      <c r="E1775" s="21" t="s">
        <v>259</v>
      </c>
      <c r="F1775" s="22" t="s">
        <v>446</v>
      </c>
    </row>
    <row r="1776" customFormat="false" ht="15" hidden="false" customHeight="false" outlineLevel="0" collapsed="false">
      <c r="A1776" s="4" t="str">
        <f aca="false">B1776&amp;"|"&amp;C1776</f>
        <v>tdbR00000094 Phe-GAA|28</v>
      </c>
      <c r="B1776" s="4" t="s">
        <v>61</v>
      </c>
      <c r="C1776" s="4" t="s">
        <v>447</v>
      </c>
      <c r="D1776" s="4" t="n">
        <v>28</v>
      </c>
      <c r="E1776" s="21" t="s">
        <v>259</v>
      </c>
      <c r="F1776" s="22" t="s">
        <v>446</v>
      </c>
    </row>
    <row r="1777" customFormat="false" ht="15" hidden="false" customHeight="false" outlineLevel="0" collapsed="false">
      <c r="A1777" s="4" t="str">
        <f aca="false">B1777&amp;"|"&amp;C1777</f>
        <v>tdbR00000094 Phe-GAA|29</v>
      </c>
      <c r="B1777" s="4" t="s">
        <v>61</v>
      </c>
      <c r="C1777" s="4" t="s">
        <v>448</v>
      </c>
      <c r="D1777" s="4" t="n">
        <v>29</v>
      </c>
      <c r="E1777" s="21" t="s">
        <v>246</v>
      </c>
      <c r="F1777" s="22" t="s">
        <v>446</v>
      </c>
    </row>
    <row r="1778" customFormat="false" ht="15" hidden="false" customHeight="false" outlineLevel="0" collapsed="false">
      <c r="A1778" s="4" t="str">
        <f aca="false">B1778&amp;"|"&amp;C1778</f>
        <v>tdbR00000094 Phe-GAA|30</v>
      </c>
      <c r="B1778" s="4" t="s">
        <v>61</v>
      </c>
      <c r="C1778" s="4" t="s">
        <v>449</v>
      </c>
      <c r="D1778" s="4" t="n">
        <v>30</v>
      </c>
      <c r="E1778" s="21" t="s">
        <v>197</v>
      </c>
      <c r="F1778" s="22" t="s">
        <v>446</v>
      </c>
    </row>
    <row r="1779" customFormat="false" ht="15" hidden="false" customHeight="false" outlineLevel="0" collapsed="false">
      <c r="A1779" s="4" t="str">
        <f aca="false">B1779&amp;"|"&amp;C1779</f>
        <v>tdbR00000094 Phe-GAA|31</v>
      </c>
      <c r="B1779" s="4" t="s">
        <v>61</v>
      </c>
      <c r="C1779" s="4" t="s">
        <v>450</v>
      </c>
      <c r="D1779" s="4" t="n">
        <v>31</v>
      </c>
      <c r="E1779" s="21" t="s">
        <v>246</v>
      </c>
      <c r="F1779" s="22" t="s">
        <v>446</v>
      </c>
    </row>
    <row r="1780" customFormat="false" ht="15" hidden="false" customHeight="false" outlineLevel="0" collapsed="false">
      <c r="A1780" s="4" t="str">
        <f aca="false">B1780&amp;"|"&amp;C1780</f>
        <v>tdbR00000094 Phe-GAA|32</v>
      </c>
      <c r="B1780" s="4" t="s">
        <v>61</v>
      </c>
      <c r="C1780" s="4" t="s">
        <v>451</v>
      </c>
      <c r="D1780" s="4" t="n">
        <v>32</v>
      </c>
      <c r="E1780" s="19" t="s">
        <v>414</v>
      </c>
      <c r="F1780" s="20" t="s">
        <v>452</v>
      </c>
    </row>
    <row r="1781" customFormat="false" ht="15" hidden="false" customHeight="false" outlineLevel="0" collapsed="false">
      <c r="A1781" s="4" t="str">
        <f aca="false">B1781&amp;"|"&amp;C1781</f>
        <v>tdbR00000094 Phe-GAA|33</v>
      </c>
      <c r="B1781" s="4" t="s">
        <v>61</v>
      </c>
      <c r="C1781" s="4" t="s">
        <v>453</v>
      </c>
      <c r="D1781" s="4" t="n">
        <v>33</v>
      </c>
      <c r="E1781" s="19" t="s">
        <v>259</v>
      </c>
      <c r="F1781" s="20" t="s">
        <v>452</v>
      </c>
    </row>
    <row r="1782" customFormat="false" ht="15" hidden="false" customHeight="false" outlineLevel="0" collapsed="false">
      <c r="A1782" s="4" t="str">
        <f aca="false">B1782&amp;"|"&amp;C1782</f>
        <v>tdbR00000094 Phe-GAA|34</v>
      </c>
      <c r="B1782" s="4" t="s">
        <v>61</v>
      </c>
      <c r="C1782" s="4" t="s">
        <v>454</v>
      </c>
      <c r="D1782" s="4" t="n">
        <v>34</v>
      </c>
      <c r="E1782" s="19" t="s">
        <v>197</v>
      </c>
      <c r="F1782" s="20" t="s">
        <v>452</v>
      </c>
    </row>
    <row r="1783" customFormat="false" ht="15" hidden="false" customHeight="false" outlineLevel="0" collapsed="false">
      <c r="A1783" s="4" t="str">
        <f aca="false">B1783&amp;"|"&amp;C1783</f>
        <v>tdbR00000094 Phe-GAA|35</v>
      </c>
      <c r="B1783" s="4" t="s">
        <v>61</v>
      </c>
      <c r="C1783" s="4" t="s">
        <v>455</v>
      </c>
      <c r="D1783" s="4" t="n">
        <v>35</v>
      </c>
      <c r="E1783" s="19" t="s">
        <v>246</v>
      </c>
      <c r="F1783" s="20" t="s">
        <v>452</v>
      </c>
    </row>
    <row r="1784" customFormat="false" ht="15" hidden="false" customHeight="false" outlineLevel="0" collapsed="false">
      <c r="A1784" s="4" t="str">
        <f aca="false">B1784&amp;"|"&amp;C1784</f>
        <v>tdbR00000094 Phe-GAA|36</v>
      </c>
      <c r="B1784" s="4" t="s">
        <v>61</v>
      </c>
      <c r="C1784" s="4" t="s">
        <v>456</v>
      </c>
      <c r="D1784" s="4" t="n">
        <v>36</v>
      </c>
      <c r="E1784" s="19" t="s">
        <v>246</v>
      </c>
      <c r="F1784" s="20" t="s">
        <v>452</v>
      </c>
    </row>
    <row r="1785" customFormat="false" ht="15" hidden="false" customHeight="false" outlineLevel="0" collapsed="false">
      <c r="A1785" s="4" t="str">
        <f aca="false">B1785&amp;"|"&amp;C1785</f>
        <v>tdbR00000094 Phe-GAA|37</v>
      </c>
      <c r="B1785" s="4" t="s">
        <v>61</v>
      </c>
      <c r="C1785" s="4" t="s">
        <v>457</v>
      </c>
      <c r="D1785" s="4" t="n">
        <v>37</v>
      </c>
      <c r="E1785" s="19" t="s">
        <v>197</v>
      </c>
      <c r="F1785" s="20" t="s">
        <v>452</v>
      </c>
    </row>
    <row r="1786" customFormat="false" ht="15" hidden="false" customHeight="false" outlineLevel="0" collapsed="false">
      <c r="A1786" s="4" t="str">
        <f aca="false">B1786&amp;"|"&amp;C1786</f>
        <v>tdbR00000094 Phe-GAA|38</v>
      </c>
      <c r="B1786" s="4" t="s">
        <v>61</v>
      </c>
      <c r="C1786" s="4" t="s">
        <v>458</v>
      </c>
      <c r="D1786" s="4" t="n">
        <v>38</v>
      </c>
      <c r="E1786" s="19" t="s">
        <v>246</v>
      </c>
      <c r="F1786" s="20" t="s">
        <v>452</v>
      </c>
    </row>
    <row r="1787" customFormat="false" ht="15" hidden="false" customHeight="false" outlineLevel="0" collapsed="false">
      <c r="A1787" s="4" t="str">
        <f aca="false">B1787&amp;"|"&amp;C1787</f>
        <v>tdbR00000094 Phe-GAA|39</v>
      </c>
      <c r="B1787" s="4" t="s">
        <v>61</v>
      </c>
      <c r="C1787" s="4" t="s">
        <v>459</v>
      </c>
      <c r="D1787" s="4" t="n">
        <v>39</v>
      </c>
      <c r="E1787" s="21" t="s">
        <v>259</v>
      </c>
      <c r="F1787" s="22" t="s">
        <v>446</v>
      </c>
    </row>
    <row r="1788" customFormat="false" ht="15" hidden="false" customHeight="false" outlineLevel="0" collapsed="false">
      <c r="A1788" s="4" t="str">
        <f aca="false">B1788&amp;"|"&amp;C1788</f>
        <v>tdbR00000094 Phe-GAA|40</v>
      </c>
      <c r="B1788" s="4" t="s">
        <v>61</v>
      </c>
      <c r="C1788" s="4" t="s">
        <v>460</v>
      </c>
      <c r="D1788" s="4" t="n">
        <v>40</v>
      </c>
      <c r="E1788" s="21" t="s">
        <v>414</v>
      </c>
      <c r="F1788" s="22" t="s">
        <v>446</v>
      </c>
    </row>
    <row r="1789" customFormat="false" ht="15" hidden="false" customHeight="false" outlineLevel="0" collapsed="false">
      <c r="A1789" s="4" t="str">
        <f aca="false">B1789&amp;"|"&amp;C1789</f>
        <v>tdbR00000094 Phe-GAA|41</v>
      </c>
      <c r="B1789" s="4" t="s">
        <v>61</v>
      </c>
      <c r="C1789" s="4" t="s">
        <v>461</v>
      </c>
      <c r="D1789" s="4" t="n">
        <v>41</v>
      </c>
      <c r="E1789" s="21" t="s">
        <v>259</v>
      </c>
      <c r="F1789" s="22" t="s">
        <v>446</v>
      </c>
    </row>
    <row r="1790" customFormat="false" ht="15" hidden="false" customHeight="false" outlineLevel="0" collapsed="false">
      <c r="A1790" s="4" t="str">
        <f aca="false">B1790&amp;"|"&amp;C1790</f>
        <v>tdbR00000094 Phe-GAA|42</v>
      </c>
      <c r="B1790" s="4" t="s">
        <v>61</v>
      </c>
      <c r="C1790" s="4" t="s">
        <v>462</v>
      </c>
      <c r="D1790" s="4" t="n">
        <v>42</v>
      </c>
      <c r="E1790" s="21" t="s">
        <v>246</v>
      </c>
      <c r="F1790" s="22" t="s">
        <v>446</v>
      </c>
    </row>
    <row r="1791" customFormat="false" ht="15" hidden="false" customHeight="false" outlineLevel="0" collapsed="false">
      <c r="A1791" s="4" t="str">
        <f aca="false">B1791&amp;"|"&amp;C1791</f>
        <v>tdbR00000094 Phe-GAA|43</v>
      </c>
      <c r="B1791" s="4" t="s">
        <v>61</v>
      </c>
      <c r="C1791" s="4" t="s">
        <v>463</v>
      </c>
      <c r="D1791" s="4" t="n">
        <v>43</v>
      </c>
      <c r="E1791" s="21" t="s">
        <v>246</v>
      </c>
      <c r="F1791" s="22" t="s">
        <v>446</v>
      </c>
    </row>
    <row r="1792" customFormat="false" ht="15" hidden="false" customHeight="false" outlineLevel="0" collapsed="false">
      <c r="A1792" s="4" t="str">
        <f aca="false">B1792&amp;"|"&amp;C1792</f>
        <v>tdbR00000094 Phe-GAA|44</v>
      </c>
      <c r="B1792" s="4" t="s">
        <v>61</v>
      </c>
      <c r="C1792" s="4" t="s">
        <v>464</v>
      </c>
      <c r="D1792" s="4" t="n">
        <v>44</v>
      </c>
      <c r="E1792" s="19" t="s">
        <v>246</v>
      </c>
      <c r="F1792" s="20" t="s">
        <v>465</v>
      </c>
    </row>
    <row r="1793" customFormat="false" ht="15" hidden="false" customHeight="false" outlineLevel="0" collapsed="false">
      <c r="A1793" s="4" t="str">
        <f aca="false">B1793&amp;"|"&amp;C1793</f>
        <v>tdbR00000094 Phe-GAA|45</v>
      </c>
      <c r="B1793" s="4" t="s">
        <v>61</v>
      </c>
      <c r="C1793" s="4" t="s">
        <v>466</v>
      </c>
      <c r="D1793" s="4" t="n">
        <v>45</v>
      </c>
      <c r="E1793" s="19" t="s">
        <v>197</v>
      </c>
      <c r="F1793" s="20" t="s">
        <v>465</v>
      </c>
    </row>
    <row r="1794" customFormat="false" ht="15" hidden="false" customHeight="false" outlineLevel="0" collapsed="false">
      <c r="A1794" s="4" t="str">
        <f aca="false">B1794&amp;"|"&amp;C1794</f>
        <v>tdbR00000094 Phe-GAA|46</v>
      </c>
      <c r="B1794" s="4" t="s">
        <v>61</v>
      </c>
      <c r="C1794" s="4" t="s">
        <v>467</v>
      </c>
      <c r="D1794" s="4" t="n">
        <v>46</v>
      </c>
      <c r="E1794" s="19" t="s">
        <v>197</v>
      </c>
      <c r="F1794" s="20" t="s">
        <v>465</v>
      </c>
    </row>
    <row r="1795" customFormat="false" ht="15" hidden="false" customHeight="false" outlineLevel="0" collapsed="false">
      <c r="A1795" s="4" t="str">
        <f aca="false">B1795&amp;"|"&amp;C1795</f>
        <v>tdbR00000094 Phe-GAA|47</v>
      </c>
      <c r="B1795" s="4" t="s">
        <v>61</v>
      </c>
      <c r="C1795" s="4" t="s">
        <v>468</v>
      </c>
      <c r="D1795" s="4" t="n">
        <v>47</v>
      </c>
      <c r="E1795" s="19" t="s">
        <v>259</v>
      </c>
      <c r="F1795" s="20" t="s">
        <v>465</v>
      </c>
    </row>
    <row r="1796" customFormat="false" ht="15" hidden="false" customHeight="false" outlineLevel="0" collapsed="false">
      <c r="A1796" s="4" t="str">
        <f aca="false">B1796&amp;"|"&amp;C1796</f>
        <v>tdbR00000094 Phe-GAA|48</v>
      </c>
      <c r="B1796" s="4" t="s">
        <v>61</v>
      </c>
      <c r="C1796" s="4" t="s">
        <v>469</v>
      </c>
      <c r="D1796" s="4" t="n">
        <v>48</v>
      </c>
      <c r="E1796" s="19" t="s">
        <v>414</v>
      </c>
      <c r="F1796" s="20" t="s">
        <v>465</v>
      </c>
    </row>
    <row r="1797" customFormat="false" ht="15" hidden="false" customHeight="false" outlineLevel="0" collapsed="false">
      <c r="A1797" s="4" t="str">
        <f aca="false">B1797&amp;"|"&amp;C1797</f>
        <v>tdbR00000094 Phe-GAA|49</v>
      </c>
      <c r="B1797" s="4" t="s">
        <v>61</v>
      </c>
      <c r="C1797" s="4" t="s">
        <v>470</v>
      </c>
      <c r="D1797" s="4" t="n">
        <v>49</v>
      </c>
      <c r="E1797" s="23" t="s">
        <v>414</v>
      </c>
      <c r="F1797" s="10" t="s">
        <v>471</v>
      </c>
    </row>
    <row r="1798" customFormat="false" ht="15" hidden="false" customHeight="false" outlineLevel="0" collapsed="false">
      <c r="A1798" s="4" t="str">
        <f aca="false">B1798&amp;"|"&amp;C1798</f>
        <v>tdbR00000094 Phe-GAA|50</v>
      </c>
      <c r="B1798" s="4" t="s">
        <v>61</v>
      </c>
      <c r="C1798" s="4" t="s">
        <v>472</v>
      </c>
      <c r="D1798" s="4" t="n">
        <v>50</v>
      </c>
      <c r="E1798" s="23" t="s">
        <v>414</v>
      </c>
      <c r="F1798" s="10" t="s">
        <v>471</v>
      </c>
    </row>
    <row r="1799" customFormat="false" ht="15" hidden="false" customHeight="false" outlineLevel="0" collapsed="false">
      <c r="A1799" s="4" t="str">
        <f aca="false">B1799&amp;"|"&amp;C1799</f>
        <v>tdbR00000094 Phe-GAA|51</v>
      </c>
      <c r="B1799" s="4" t="s">
        <v>61</v>
      </c>
      <c r="C1799" s="4" t="s">
        <v>473</v>
      </c>
      <c r="D1799" s="4" t="n">
        <v>51</v>
      </c>
      <c r="E1799" s="23" t="s">
        <v>259</v>
      </c>
      <c r="F1799" s="10" t="s">
        <v>471</v>
      </c>
    </row>
    <row r="1800" customFormat="false" ht="15" hidden="false" customHeight="false" outlineLevel="0" collapsed="false">
      <c r="A1800" s="4" t="str">
        <f aca="false">B1800&amp;"|"&amp;C1800</f>
        <v>tdbR00000094 Phe-GAA|52</v>
      </c>
      <c r="B1800" s="4" t="s">
        <v>61</v>
      </c>
      <c r="C1800" s="4" t="s">
        <v>474</v>
      </c>
      <c r="D1800" s="4" t="n">
        <v>52</v>
      </c>
      <c r="E1800" s="23" t="s">
        <v>197</v>
      </c>
      <c r="F1800" s="10" t="s">
        <v>471</v>
      </c>
    </row>
    <row r="1801" customFormat="false" ht="15" hidden="false" customHeight="false" outlineLevel="0" collapsed="false">
      <c r="A1801" s="4" t="str">
        <f aca="false">B1801&amp;"|"&amp;C1801</f>
        <v>tdbR00000094 Phe-GAA|53</v>
      </c>
      <c r="B1801" s="4" t="s">
        <v>61</v>
      </c>
      <c r="C1801" s="4" t="s">
        <v>475</v>
      </c>
      <c r="D1801" s="4" t="n">
        <v>53</v>
      </c>
      <c r="E1801" s="23" t="s">
        <v>197</v>
      </c>
      <c r="F1801" s="10" t="s">
        <v>471</v>
      </c>
    </row>
    <row r="1802" customFormat="false" ht="15" hidden="false" customHeight="false" outlineLevel="0" collapsed="false">
      <c r="A1802" s="4" t="str">
        <f aca="false">B1802&amp;"|"&amp;C1802</f>
        <v>tdbR00000094 Phe-GAA|54</v>
      </c>
      <c r="B1802" s="4" t="s">
        <v>61</v>
      </c>
      <c r="C1802" s="4" t="s">
        <v>476</v>
      </c>
      <c r="D1802" s="4" t="n">
        <v>54</v>
      </c>
      <c r="E1802" s="19" t="s">
        <v>259</v>
      </c>
      <c r="F1802" s="20" t="s">
        <v>477</v>
      </c>
    </row>
    <row r="1803" customFormat="false" ht="15" hidden="false" customHeight="false" outlineLevel="0" collapsed="false">
      <c r="A1803" s="4" t="str">
        <f aca="false">B1803&amp;"|"&amp;C1803</f>
        <v>tdbR00000094 Phe-GAA|55</v>
      </c>
      <c r="B1803" s="4" t="s">
        <v>61</v>
      </c>
      <c r="C1803" s="4" t="s">
        <v>478</v>
      </c>
      <c r="D1803" s="4" t="n">
        <v>55</v>
      </c>
      <c r="E1803" s="19" t="s">
        <v>259</v>
      </c>
      <c r="F1803" s="20" t="s">
        <v>477</v>
      </c>
    </row>
    <row r="1804" customFormat="false" ht="15" hidden="false" customHeight="false" outlineLevel="0" collapsed="false">
      <c r="A1804" s="4" t="str">
        <f aca="false">B1804&amp;"|"&amp;C1804</f>
        <v>tdbR00000094 Phe-GAA|56</v>
      </c>
      <c r="B1804" s="4" t="s">
        <v>61</v>
      </c>
      <c r="C1804" s="4" t="s">
        <v>479</v>
      </c>
      <c r="D1804" s="4" t="n">
        <v>56</v>
      </c>
      <c r="E1804" s="19" t="s">
        <v>414</v>
      </c>
      <c r="F1804" s="20" t="s">
        <v>477</v>
      </c>
    </row>
    <row r="1805" customFormat="false" ht="15" hidden="false" customHeight="false" outlineLevel="0" collapsed="false">
      <c r="A1805" s="4" t="str">
        <f aca="false">B1805&amp;"|"&amp;C1805</f>
        <v>tdbR00000094 Phe-GAA|57</v>
      </c>
      <c r="B1805" s="4" t="s">
        <v>61</v>
      </c>
      <c r="C1805" s="4" t="s">
        <v>480</v>
      </c>
      <c r="D1805" s="4" t="n">
        <v>57</v>
      </c>
      <c r="E1805" s="19" t="s">
        <v>197</v>
      </c>
      <c r="F1805" s="20" t="s">
        <v>477</v>
      </c>
    </row>
    <row r="1806" customFormat="false" ht="15" hidden="false" customHeight="false" outlineLevel="0" collapsed="false">
      <c r="A1806" s="4" t="str">
        <f aca="false">B1806&amp;"|"&amp;C1806</f>
        <v>tdbR00000094 Phe-GAA|58</v>
      </c>
      <c r="B1806" s="4" t="s">
        <v>61</v>
      </c>
      <c r="C1806" s="4" t="s">
        <v>481</v>
      </c>
      <c r="D1806" s="4" t="n">
        <v>58</v>
      </c>
      <c r="E1806" s="19" t="s">
        <v>246</v>
      </c>
      <c r="F1806" s="20" t="s">
        <v>477</v>
      </c>
    </row>
    <row r="1807" customFormat="false" ht="15" hidden="false" customHeight="false" outlineLevel="0" collapsed="false">
      <c r="A1807" s="4" t="str">
        <f aca="false">B1807&amp;"|"&amp;C1807</f>
        <v>tdbR00000094 Phe-GAA|59</v>
      </c>
      <c r="B1807" s="4" t="s">
        <v>61</v>
      </c>
      <c r="C1807" s="4" t="s">
        <v>482</v>
      </c>
      <c r="D1807" s="4" t="n">
        <v>59</v>
      </c>
      <c r="E1807" s="19" t="s">
        <v>259</v>
      </c>
      <c r="F1807" s="20" t="s">
        <v>477</v>
      </c>
    </row>
    <row r="1808" customFormat="false" ht="15" hidden="false" customHeight="false" outlineLevel="0" collapsed="false">
      <c r="A1808" s="4" t="str">
        <f aca="false">B1808&amp;"|"&amp;C1808</f>
        <v>tdbR00000094 Phe-GAA|60</v>
      </c>
      <c r="B1808" s="4" t="s">
        <v>61</v>
      </c>
      <c r="C1808" s="4" t="s">
        <v>483</v>
      </c>
      <c r="D1808" s="4" t="n">
        <v>60</v>
      </c>
      <c r="E1808" s="19" t="s">
        <v>414</v>
      </c>
      <c r="F1808" s="20" t="s">
        <v>477</v>
      </c>
    </row>
    <row r="1809" customFormat="false" ht="15" hidden="false" customHeight="false" outlineLevel="0" collapsed="false">
      <c r="A1809" s="4" t="str">
        <f aca="false">B1809&amp;"|"&amp;C1809</f>
        <v>tdbR00000094 Phe-GAA|61</v>
      </c>
      <c r="B1809" s="4" t="s">
        <v>61</v>
      </c>
      <c r="C1809" s="4" t="s">
        <v>484</v>
      </c>
      <c r="D1809" s="4" t="n">
        <v>61</v>
      </c>
      <c r="E1809" s="23" t="s">
        <v>414</v>
      </c>
      <c r="F1809" s="10" t="s">
        <v>471</v>
      </c>
    </row>
    <row r="1810" customFormat="false" ht="15" hidden="false" customHeight="false" outlineLevel="0" collapsed="false">
      <c r="A1810" s="4" t="str">
        <f aca="false">B1810&amp;"|"&amp;C1810</f>
        <v>tdbR00000094 Phe-GAA|62</v>
      </c>
      <c r="B1810" s="4" t="s">
        <v>61</v>
      </c>
      <c r="C1810" s="4" t="s">
        <v>485</v>
      </c>
      <c r="D1810" s="4" t="n">
        <v>62</v>
      </c>
      <c r="E1810" s="23" t="s">
        <v>414</v>
      </c>
      <c r="F1810" s="10" t="s">
        <v>471</v>
      </c>
    </row>
    <row r="1811" customFormat="false" ht="15" hidden="false" customHeight="false" outlineLevel="0" collapsed="false">
      <c r="A1811" s="4" t="str">
        <f aca="false">B1811&amp;"|"&amp;C1811</f>
        <v>tdbR00000094 Phe-GAA|63</v>
      </c>
      <c r="B1811" s="4" t="s">
        <v>61</v>
      </c>
      <c r="C1811" s="4" t="s">
        <v>486</v>
      </c>
      <c r="D1811" s="4" t="n">
        <v>63</v>
      </c>
      <c r="E1811" s="23" t="s">
        <v>197</v>
      </c>
      <c r="F1811" s="10" t="s">
        <v>471</v>
      </c>
    </row>
    <row r="1812" customFormat="false" ht="15" hidden="false" customHeight="false" outlineLevel="0" collapsed="false">
      <c r="A1812" s="4" t="str">
        <f aca="false">B1812&amp;"|"&amp;C1812</f>
        <v>tdbR00000094 Phe-GAA|64</v>
      </c>
      <c r="B1812" s="4" t="s">
        <v>61</v>
      </c>
      <c r="C1812" s="4" t="s">
        <v>487</v>
      </c>
      <c r="D1812" s="4" t="n">
        <v>64</v>
      </c>
      <c r="E1812" s="23" t="s">
        <v>197</v>
      </c>
      <c r="F1812" s="10" t="s">
        <v>471</v>
      </c>
    </row>
    <row r="1813" customFormat="false" ht="15" hidden="false" customHeight="false" outlineLevel="0" collapsed="false">
      <c r="A1813" s="4" t="str">
        <f aca="false">B1813&amp;"|"&amp;C1813</f>
        <v>tdbR00000094 Phe-GAA|65</v>
      </c>
      <c r="B1813" s="4" t="s">
        <v>61</v>
      </c>
      <c r="C1813" s="4" t="s">
        <v>488</v>
      </c>
      <c r="D1813" s="4" t="n">
        <v>65</v>
      </c>
      <c r="E1813" s="23" t="s">
        <v>197</v>
      </c>
      <c r="F1813" s="10" t="s">
        <v>471</v>
      </c>
    </row>
    <row r="1814" customFormat="false" ht="15" hidden="false" customHeight="false" outlineLevel="0" collapsed="false">
      <c r="A1814" s="4" t="str">
        <f aca="false">B1814&amp;"|"&amp;C1814</f>
        <v>tdbR00000094 Phe-GAA|66</v>
      </c>
      <c r="B1814" s="4" t="s">
        <v>61</v>
      </c>
      <c r="C1814" s="4" t="s">
        <v>489</v>
      </c>
      <c r="D1814" s="4" t="n">
        <v>66</v>
      </c>
      <c r="E1814" s="17" t="s">
        <v>259</v>
      </c>
      <c r="F1814" s="18" t="s">
        <v>412</v>
      </c>
    </row>
    <row r="1815" customFormat="false" ht="15" hidden="false" customHeight="false" outlineLevel="0" collapsed="false">
      <c r="A1815" s="4" t="str">
        <f aca="false">B1815&amp;"|"&amp;C1815</f>
        <v>tdbR00000094 Phe-GAA|67</v>
      </c>
      <c r="B1815" s="4" t="s">
        <v>61</v>
      </c>
      <c r="C1815" s="4" t="s">
        <v>490</v>
      </c>
      <c r="D1815" s="4" t="n">
        <v>67</v>
      </c>
      <c r="E1815" s="17" t="s">
        <v>259</v>
      </c>
      <c r="F1815" s="18" t="s">
        <v>412</v>
      </c>
    </row>
    <row r="1816" customFormat="false" ht="15" hidden="false" customHeight="false" outlineLevel="0" collapsed="false">
      <c r="A1816" s="4" t="str">
        <f aca="false">B1816&amp;"|"&amp;C1816</f>
        <v>tdbR00000094 Phe-GAA|68</v>
      </c>
      <c r="B1816" s="4" t="s">
        <v>61</v>
      </c>
      <c r="C1816" s="4" t="s">
        <v>491</v>
      </c>
      <c r="D1816" s="4" t="n">
        <v>68</v>
      </c>
      <c r="E1816" s="17" t="s">
        <v>259</v>
      </c>
      <c r="F1816" s="18" t="s">
        <v>412</v>
      </c>
    </row>
    <row r="1817" customFormat="false" ht="15" hidden="false" customHeight="false" outlineLevel="0" collapsed="false">
      <c r="A1817" s="4" t="str">
        <f aca="false">B1817&amp;"|"&amp;C1817</f>
        <v>tdbR00000094 Phe-GAA|69</v>
      </c>
      <c r="B1817" s="4" t="s">
        <v>61</v>
      </c>
      <c r="C1817" s="4" t="s">
        <v>492</v>
      </c>
      <c r="D1817" s="4" t="n">
        <v>69</v>
      </c>
      <c r="E1817" s="17" t="s">
        <v>414</v>
      </c>
      <c r="F1817" s="18" t="s">
        <v>412</v>
      </c>
    </row>
    <row r="1818" customFormat="false" ht="15" hidden="false" customHeight="false" outlineLevel="0" collapsed="false">
      <c r="A1818" s="4" t="str">
        <f aca="false">B1818&amp;"|"&amp;C1818</f>
        <v>tdbR00000094 Phe-GAA|70</v>
      </c>
      <c r="B1818" s="4" t="s">
        <v>61</v>
      </c>
      <c r="C1818" s="4" t="s">
        <v>493</v>
      </c>
      <c r="D1818" s="4" t="n">
        <v>70</v>
      </c>
      <c r="E1818" s="17" t="s">
        <v>197</v>
      </c>
      <c r="F1818" s="18" t="s">
        <v>412</v>
      </c>
    </row>
    <row r="1819" customFormat="false" ht="15" hidden="false" customHeight="false" outlineLevel="0" collapsed="false">
      <c r="A1819" s="4" t="str">
        <f aca="false">B1819&amp;"|"&amp;C1819</f>
        <v>tdbR00000094 Phe-GAA|71</v>
      </c>
      <c r="B1819" s="4" t="s">
        <v>61</v>
      </c>
      <c r="C1819" s="4" t="s">
        <v>494</v>
      </c>
      <c r="D1819" s="4" t="n">
        <v>71</v>
      </c>
      <c r="E1819" s="17" t="s">
        <v>197</v>
      </c>
      <c r="F1819" s="18" t="s">
        <v>412</v>
      </c>
    </row>
    <row r="1820" customFormat="false" ht="15" hidden="false" customHeight="false" outlineLevel="0" collapsed="false">
      <c r="A1820" s="4" t="str">
        <f aca="false">B1820&amp;"|"&amp;C1820</f>
        <v>tdbR00000094 Phe-GAA|72</v>
      </c>
      <c r="B1820" s="4" t="s">
        <v>61</v>
      </c>
      <c r="C1820" s="4" t="s">
        <v>495</v>
      </c>
      <c r="D1820" s="4" t="n">
        <v>72</v>
      </c>
      <c r="E1820" s="17" t="s">
        <v>414</v>
      </c>
      <c r="F1820" s="18" t="s">
        <v>412</v>
      </c>
    </row>
    <row r="1821" customFormat="false" ht="15" hidden="false" customHeight="false" outlineLevel="0" collapsed="false">
      <c r="A1821" s="4" t="str">
        <f aca="false">B1821&amp;"|"&amp;C1821</f>
        <v>tdbR00000576 Asp-GUC|1</v>
      </c>
      <c r="B1821" s="4" t="s">
        <v>62</v>
      </c>
      <c r="C1821" s="4" t="s">
        <v>411</v>
      </c>
      <c r="D1821" s="4" t="n">
        <v>1</v>
      </c>
      <c r="E1821" s="17" t="s">
        <v>259</v>
      </c>
      <c r="F1821" s="18" t="s">
        <v>412</v>
      </c>
    </row>
    <row r="1822" customFormat="false" ht="15" hidden="false" customHeight="false" outlineLevel="0" collapsed="false">
      <c r="A1822" s="4" t="str">
        <f aca="false">B1822&amp;"|"&amp;C1822</f>
        <v>tdbR00000576 Asp-GUC|2</v>
      </c>
      <c r="B1822" s="4" t="s">
        <v>62</v>
      </c>
      <c r="C1822" s="4" t="s">
        <v>413</v>
      </c>
      <c r="D1822" s="4" t="n">
        <v>2</v>
      </c>
      <c r="E1822" s="17" t="s">
        <v>259</v>
      </c>
      <c r="F1822" s="18" t="s">
        <v>412</v>
      </c>
    </row>
    <row r="1823" customFormat="false" ht="15" hidden="false" customHeight="false" outlineLevel="0" collapsed="false">
      <c r="A1823" s="4" t="str">
        <f aca="false">B1823&amp;"|"&amp;C1823</f>
        <v>tdbR00000576 Asp-GUC|3</v>
      </c>
      <c r="B1823" s="4" t="s">
        <v>62</v>
      </c>
      <c r="C1823" s="4" t="s">
        <v>415</v>
      </c>
      <c r="D1823" s="4" t="n">
        <v>3</v>
      </c>
      <c r="E1823" s="17" t="s">
        <v>414</v>
      </c>
      <c r="F1823" s="18" t="s">
        <v>412</v>
      </c>
    </row>
    <row r="1824" customFormat="false" ht="15" hidden="false" customHeight="false" outlineLevel="0" collapsed="false">
      <c r="A1824" s="4" t="str">
        <f aca="false">B1824&amp;"|"&amp;C1824</f>
        <v>tdbR00000576 Asp-GUC|4</v>
      </c>
      <c r="B1824" s="4" t="s">
        <v>62</v>
      </c>
      <c r="C1824" s="4" t="s">
        <v>416</v>
      </c>
      <c r="D1824" s="4" t="n">
        <v>4</v>
      </c>
      <c r="E1824" s="17" t="s">
        <v>259</v>
      </c>
      <c r="F1824" s="18" t="s">
        <v>412</v>
      </c>
    </row>
    <row r="1825" customFormat="false" ht="15" hidden="false" customHeight="false" outlineLevel="0" collapsed="false">
      <c r="A1825" s="4" t="str">
        <f aca="false">B1825&amp;"|"&amp;C1825</f>
        <v>tdbR00000576 Asp-GUC|5</v>
      </c>
      <c r="B1825" s="4" t="s">
        <v>62</v>
      </c>
      <c r="C1825" s="4" t="s">
        <v>417</v>
      </c>
      <c r="D1825" s="4" t="n">
        <v>5</v>
      </c>
      <c r="E1825" s="17" t="s">
        <v>414</v>
      </c>
      <c r="F1825" s="18" t="s">
        <v>412</v>
      </c>
    </row>
    <row r="1826" customFormat="false" ht="15" hidden="false" customHeight="false" outlineLevel="0" collapsed="false">
      <c r="A1826" s="4" t="str">
        <f aca="false">B1826&amp;"|"&amp;C1826</f>
        <v>tdbR00000576 Asp-GUC|6</v>
      </c>
      <c r="B1826" s="4" t="s">
        <v>62</v>
      </c>
      <c r="C1826" s="4" t="s">
        <v>418</v>
      </c>
      <c r="D1826" s="4" t="n">
        <v>6</v>
      </c>
      <c r="E1826" s="17" t="s">
        <v>197</v>
      </c>
      <c r="F1826" s="18" t="s">
        <v>412</v>
      </c>
    </row>
    <row r="1827" customFormat="false" ht="15" hidden="false" customHeight="false" outlineLevel="0" collapsed="false">
      <c r="A1827" s="4" t="str">
        <f aca="false">B1827&amp;"|"&amp;C1827</f>
        <v>tdbR00000576 Asp-GUC|7</v>
      </c>
      <c r="B1827" s="4" t="s">
        <v>62</v>
      </c>
      <c r="C1827" s="4" t="s">
        <v>419</v>
      </c>
      <c r="D1827" s="4" t="n">
        <v>7</v>
      </c>
      <c r="E1827" s="17" t="s">
        <v>197</v>
      </c>
      <c r="F1827" s="18" t="s">
        <v>412</v>
      </c>
    </row>
    <row r="1828" customFormat="false" ht="15" hidden="false" customHeight="false" outlineLevel="0" collapsed="false">
      <c r="A1828" s="4" t="str">
        <f aca="false">B1828&amp;"|"&amp;C1828</f>
        <v>tdbR00000576 Asp-GUC|8</v>
      </c>
      <c r="B1828" s="4" t="s">
        <v>62</v>
      </c>
      <c r="C1828" s="4" t="s">
        <v>420</v>
      </c>
      <c r="D1828" s="4" t="n">
        <v>8</v>
      </c>
      <c r="E1828" s="3" t="s">
        <v>259</v>
      </c>
      <c r="F1828" s="4" t="s">
        <v>421</v>
      </c>
    </row>
    <row r="1829" customFormat="false" ht="15" hidden="false" customHeight="false" outlineLevel="0" collapsed="false">
      <c r="A1829" s="4" t="str">
        <f aca="false">B1829&amp;"|"&amp;C1829</f>
        <v>tdbR00000576 Asp-GUC|9</v>
      </c>
      <c r="B1829" s="4" t="s">
        <v>62</v>
      </c>
      <c r="C1829" s="4" t="s">
        <v>422</v>
      </c>
      <c r="D1829" s="4" t="n">
        <v>9</v>
      </c>
      <c r="E1829" s="3" t="s">
        <v>246</v>
      </c>
      <c r="F1829" s="4" t="s">
        <v>423</v>
      </c>
    </row>
    <row r="1830" customFormat="false" ht="15" hidden="false" customHeight="false" outlineLevel="0" collapsed="false">
      <c r="A1830" s="4" t="str">
        <f aca="false">B1830&amp;"|"&amp;C1830</f>
        <v>tdbR00000576 Asp-GUC|10</v>
      </c>
      <c r="B1830" s="4" t="s">
        <v>62</v>
      </c>
      <c r="C1830" s="4" t="s">
        <v>424</v>
      </c>
      <c r="D1830" s="4" t="n">
        <v>10</v>
      </c>
      <c r="E1830" s="8" t="s">
        <v>197</v>
      </c>
      <c r="F1830" s="7" t="s">
        <v>425</v>
      </c>
    </row>
    <row r="1831" customFormat="false" ht="15" hidden="false" customHeight="false" outlineLevel="0" collapsed="false">
      <c r="A1831" s="4" t="str">
        <f aca="false">B1831&amp;"|"&amp;C1831</f>
        <v>tdbR00000576 Asp-GUC|11</v>
      </c>
      <c r="B1831" s="4" t="s">
        <v>62</v>
      </c>
      <c r="C1831" s="4" t="s">
        <v>426</v>
      </c>
      <c r="D1831" s="4" t="n">
        <v>11</v>
      </c>
      <c r="E1831" s="8" t="s">
        <v>259</v>
      </c>
      <c r="F1831" s="7" t="s">
        <v>425</v>
      </c>
    </row>
    <row r="1832" customFormat="false" ht="15" hidden="false" customHeight="false" outlineLevel="0" collapsed="false">
      <c r="A1832" s="4" t="str">
        <f aca="false">B1832&amp;"|"&amp;C1832</f>
        <v>tdbR00000576 Asp-GUC|12</v>
      </c>
      <c r="B1832" s="4" t="s">
        <v>62</v>
      </c>
      <c r="C1832" s="4" t="s">
        <v>427</v>
      </c>
      <c r="D1832" s="4" t="n">
        <v>12</v>
      </c>
      <c r="E1832" s="8" t="s">
        <v>246</v>
      </c>
      <c r="F1832" s="7" t="s">
        <v>425</v>
      </c>
    </row>
    <row r="1833" customFormat="false" ht="15" hidden="false" customHeight="false" outlineLevel="0" collapsed="false">
      <c r="A1833" s="4" t="str">
        <f aca="false">B1833&amp;"|"&amp;C1833</f>
        <v>tdbR00000576 Asp-GUC|13</v>
      </c>
      <c r="B1833" s="4" t="s">
        <v>62</v>
      </c>
      <c r="C1833" s="4" t="s">
        <v>428</v>
      </c>
      <c r="D1833" s="4" t="n">
        <v>13</v>
      </c>
      <c r="E1833" s="8" t="s">
        <v>259</v>
      </c>
      <c r="F1833" s="7" t="s">
        <v>425</v>
      </c>
    </row>
    <row r="1834" customFormat="false" ht="15" hidden="false" customHeight="false" outlineLevel="0" collapsed="false">
      <c r="A1834" s="4" t="str">
        <f aca="false">B1834&amp;"|"&amp;C1834</f>
        <v>tdbR00000576 Asp-GUC|14</v>
      </c>
      <c r="B1834" s="4" t="s">
        <v>62</v>
      </c>
      <c r="C1834" s="4" t="s">
        <v>429</v>
      </c>
      <c r="D1834" s="4" t="n">
        <v>14</v>
      </c>
      <c r="E1834" s="19" t="s">
        <v>246</v>
      </c>
      <c r="F1834" s="20" t="s">
        <v>430</v>
      </c>
    </row>
    <row r="1835" customFormat="false" ht="15" hidden="false" customHeight="false" outlineLevel="0" collapsed="false">
      <c r="A1835" s="4" t="str">
        <f aca="false">B1835&amp;"|"&amp;C1835</f>
        <v>tdbR00000576 Asp-GUC|15</v>
      </c>
      <c r="B1835" s="4" t="s">
        <v>62</v>
      </c>
      <c r="C1835" s="4" t="s">
        <v>431</v>
      </c>
      <c r="D1835" s="4" t="n">
        <v>15</v>
      </c>
      <c r="E1835" s="19" t="s">
        <v>197</v>
      </c>
      <c r="F1835" s="20" t="s">
        <v>430</v>
      </c>
    </row>
    <row r="1836" customFormat="false" ht="15" hidden="false" customHeight="false" outlineLevel="0" collapsed="false">
      <c r="A1836" s="4" t="str">
        <f aca="false">B1836&amp;"|"&amp;C1836</f>
        <v>tdbR00000576 Asp-GUC|16</v>
      </c>
      <c r="B1836" s="4" t="s">
        <v>62</v>
      </c>
      <c r="C1836" s="4" t="s">
        <v>432</v>
      </c>
      <c r="D1836" s="4" t="n">
        <v>16</v>
      </c>
      <c r="E1836" s="19" t="s">
        <v>259</v>
      </c>
      <c r="F1836" s="20" t="s">
        <v>430</v>
      </c>
    </row>
    <row r="1837" customFormat="false" ht="15" hidden="false" customHeight="false" outlineLevel="0" collapsed="false">
      <c r="A1837" s="4" t="str">
        <f aca="false">B1837&amp;"|"&amp;C1837</f>
        <v>tdbR00000576 Asp-GUC|18</v>
      </c>
      <c r="B1837" s="4" t="s">
        <v>62</v>
      </c>
      <c r="C1837" s="4" t="s">
        <v>434</v>
      </c>
      <c r="D1837" s="4" t="n">
        <v>17</v>
      </c>
      <c r="E1837" s="19" t="s">
        <v>197</v>
      </c>
      <c r="F1837" s="20" t="s">
        <v>430</v>
      </c>
    </row>
    <row r="1838" customFormat="false" ht="15" hidden="false" customHeight="false" outlineLevel="0" collapsed="false">
      <c r="A1838" s="4" t="str">
        <f aca="false">B1838&amp;"|"&amp;C1838</f>
        <v>tdbR00000576 Asp-GUC|19</v>
      </c>
      <c r="B1838" s="4" t="s">
        <v>62</v>
      </c>
      <c r="C1838" s="4" t="s">
        <v>435</v>
      </c>
      <c r="D1838" s="4" t="n">
        <v>18</v>
      </c>
      <c r="E1838" s="19" t="s">
        <v>197</v>
      </c>
      <c r="F1838" s="20" t="s">
        <v>430</v>
      </c>
    </row>
    <row r="1839" customFormat="false" ht="15" hidden="false" customHeight="false" outlineLevel="0" collapsed="false">
      <c r="A1839" s="4" t="str">
        <f aca="false">B1839&amp;"|"&amp;C1839</f>
        <v>tdbR00000576 Asp-GUC|20</v>
      </c>
      <c r="B1839" s="4" t="s">
        <v>62</v>
      </c>
      <c r="C1839" s="4" t="s">
        <v>436</v>
      </c>
      <c r="D1839" s="4" t="n">
        <v>19</v>
      </c>
      <c r="E1839" s="19" t="s">
        <v>259</v>
      </c>
      <c r="F1839" s="20" t="s">
        <v>430</v>
      </c>
    </row>
    <row r="1840" customFormat="false" ht="15" hidden="false" customHeight="false" outlineLevel="0" collapsed="false">
      <c r="A1840" s="4" t="str">
        <f aca="false">B1840&amp;"|"&amp;C1840</f>
        <v>tdbR00000576 Asp-GUC|20a</v>
      </c>
      <c r="B1840" s="4" t="s">
        <v>62</v>
      </c>
      <c r="C1840" s="4" t="s">
        <v>437</v>
      </c>
      <c r="D1840" s="4" t="n">
        <v>20</v>
      </c>
      <c r="E1840" s="19" t="s">
        <v>259</v>
      </c>
      <c r="F1840" s="20" t="s">
        <v>430</v>
      </c>
    </row>
    <row r="1841" customFormat="false" ht="15" hidden="false" customHeight="false" outlineLevel="0" collapsed="false">
      <c r="A1841" s="4" t="str">
        <f aca="false">B1841&amp;"|"&amp;C1841</f>
        <v>tdbR00000576 Asp-GUC|21</v>
      </c>
      <c r="B1841" s="4" t="s">
        <v>62</v>
      </c>
      <c r="C1841" s="4" t="s">
        <v>438</v>
      </c>
      <c r="D1841" s="4" t="n">
        <v>21</v>
      </c>
      <c r="E1841" s="19" t="s">
        <v>246</v>
      </c>
      <c r="F1841" s="20" t="s">
        <v>430</v>
      </c>
    </row>
    <row r="1842" customFormat="false" ht="15" hidden="false" customHeight="false" outlineLevel="0" collapsed="false">
      <c r="A1842" s="4" t="str">
        <f aca="false">B1842&amp;"|"&amp;C1842</f>
        <v>tdbR00000576 Asp-GUC|22</v>
      </c>
      <c r="B1842" s="4" t="s">
        <v>62</v>
      </c>
      <c r="C1842" s="4" t="s">
        <v>439</v>
      </c>
      <c r="D1842" s="4" t="n">
        <v>22</v>
      </c>
      <c r="E1842" s="8" t="s">
        <v>197</v>
      </c>
      <c r="F1842" s="7" t="s">
        <v>425</v>
      </c>
    </row>
    <row r="1843" customFormat="false" ht="15" hidden="false" customHeight="false" outlineLevel="0" collapsed="false">
      <c r="A1843" s="4" t="str">
        <f aca="false">B1843&amp;"|"&amp;C1843</f>
        <v>tdbR00000576 Asp-GUC|23</v>
      </c>
      <c r="B1843" s="4" t="s">
        <v>62</v>
      </c>
      <c r="C1843" s="4" t="s">
        <v>440</v>
      </c>
      <c r="D1843" s="4" t="n">
        <v>23</v>
      </c>
      <c r="E1843" s="8" t="s">
        <v>259</v>
      </c>
      <c r="F1843" s="7" t="s">
        <v>425</v>
      </c>
    </row>
    <row r="1844" customFormat="false" ht="15" hidden="false" customHeight="false" outlineLevel="0" collapsed="false">
      <c r="A1844" s="4" t="str">
        <f aca="false">B1844&amp;"|"&amp;C1844</f>
        <v>tdbR00000576 Asp-GUC|24</v>
      </c>
      <c r="B1844" s="4" t="s">
        <v>62</v>
      </c>
      <c r="C1844" s="4" t="s">
        <v>441</v>
      </c>
      <c r="D1844" s="4" t="n">
        <v>24</v>
      </c>
      <c r="E1844" s="8" t="s">
        <v>246</v>
      </c>
      <c r="F1844" s="7" t="s">
        <v>425</v>
      </c>
    </row>
    <row r="1845" customFormat="false" ht="15" hidden="false" customHeight="false" outlineLevel="0" collapsed="false">
      <c r="A1845" s="4" t="str">
        <f aca="false">B1845&amp;"|"&amp;C1845</f>
        <v>tdbR00000576 Asp-GUC|25</v>
      </c>
      <c r="B1845" s="4" t="s">
        <v>62</v>
      </c>
      <c r="C1845" s="4" t="s">
        <v>442</v>
      </c>
      <c r="D1845" s="4" t="n">
        <v>25</v>
      </c>
      <c r="E1845" s="8" t="s">
        <v>259</v>
      </c>
      <c r="F1845" s="7" t="s">
        <v>425</v>
      </c>
    </row>
    <row r="1846" customFormat="false" ht="15" hidden="false" customHeight="false" outlineLevel="0" collapsed="false">
      <c r="A1846" s="4" t="str">
        <f aca="false">B1846&amp;"|"&amp;C1846</f>
        <v>tdbR00000576 Asp-GUC|26</v>
      </c>
      <c r="B1846" s="4" t="s">
        <v>62</v>
      </c>
      <c r="C1846" s="4" t="s">
        <v>443</v>
      </c>
      <c r="D1846" s="4" t="n">
        <v>26</v>
      </c>
      <c r="E1846" s="3" t="s">
        <v>246</v>
      </c>
      <c r="F1846" s="4" t="s">
        <v>444</v>
      </c>
    </row>
    <row r="1847" customFormat="false" ht="15" hidden="false" customHeight="false" outlineLevel="0" collapsed="false">
      <c r="A1847" s="4" t="str">
        <f aca="false">B1847&amp;"|"&amp;C1847</f>
        <v>tdbR00000576 Asp-GUC|27</v>
      </c>
      <c r="B1847" s="4" t="s">
        <v>62</v>
      </c>
      <c r="C1847" s="4" t="s">
        <v>445</v>
      </c>
      <c r="D1847" s="4" t="n">
        <v>27</v>
      </c>
      <c r="E1847" s="21" t="s">
        <v>414</v>
      </c>
      <c r="F1847" s="22" t="s">
        <v>446</v>
      </c>
    </row>
    <row r="1848" customFormat="false" ht="15" hidden="false" customHeight="false" outlineLevel="0" collapsed="false">
      <c r="A1848" s="4" t="str">
        <f aca="false">B1848&amp;"|"&amp;C1848</f>
        <v>tdbR00000576 Asp-GUC|28</v>
      </c>
      <c r="B1848" s="4" t="s">
        <v>62</v>
      </c>
      <c r="C1848" s="4" t="s">
        <v>447</v>
      </c>
      <c r="D1848" s="4" t="n">
        <v>28</v>
      </c>
      <c r="E1848" s="21" t="s">
        <v>414</v>
      </c>
      <c r="F1848" s="22" t="s">
        <v>446</v>
      </c>
    </row>
    <row r="1849" customFormat="false" ht="15" hidden="false" customHeight="false" outlineLevel="0" collapsed="false">
      <c r="A1849" s="4" t="str">
        <f aca="false">B1849&amp;"|"&amp;C1849</f>
        <v>tdbR00000576 Asp-GUC|29</v>
      </c>
      <c r="B1849" s="4" t="s">
        <v>62</v>
      </c>
      <c r="C1849" s="4" t="s">
        <v>448</v>
      </c>
      <c r="D1849" s="4" t="n">
        <v>29</v>
      </c>
      <c r="E1849" s="21" t="s">
        <v>414</v>
      </c>
      <c r="F1849" s="22" t="s">
        <v>446</v>
      </c>
    </row>
    <row r="1850" customFormat="false" ht="15" hidden="false" customHeight="false" outlineLevel="0" collapsed="false">
      <c r="A1850" s="4" t="str">
        <f aca="false">B1850&amp;"|"&amp;C1850</f>
        <v>tdbR00000576 Asp-GUC|30</v>
      </c>
      <c r="B1850" s="4" t="s">
        <v>62</v>
      </c>
      <c r="C1850" s="4" t="s">
        <v>449</v>
      </c>
      <c r="D1850" s="4" t="n">
        <v>30</v>
      </c>
      <c r="E1850" s="21" t="s">
        <v>197</v>
      </c>
      <c r="F1850" s="22" t="s">
        <v>446</v>
      </c>
    </row>
    <row r="1851" customFormat="false" ht="15" hidden="false" customHeight="false" outlineLevel="0" collapsed="false">
      <c r="A1851" s="4" t="str">
        <f aca="false">B1851&amp;"|"&amp;C1851</f>
        <v>tdbR00000576 Asp-GUC|31</v>
      </c>
      <c r="B1851" s="4" t="s">
        <v>62</v>
      </c>
      <c r="C1851" s="4" t="s">
        <v>450</v>
      </c>
      <c r="D1851" s="4" t="n">
        <v>31</v>
      </c>
      <c r="E1851" s="21" t="s">
        <v>414</v>
      </c>
      <c r="F1851" s="22" t="s">
        <v>446</v>
      </c>
    </row>
    <row r="1852" customFormat="false" ht="15" hidden="false" customHeight="false" outlineLevel="0" collapsed="false">
      <c r="A1852" s="4" t="str">
        <f aca="false">B1852&amp;"|"&amp;C1852</f>
        <v>tdbR00000576 Asp-GUC|32</v>
      </c>
      <c r="B1852" s="4" t="s">
        <v>62</v>
      </c>
      <c r="C1852" s="4" t="s">
        <v>451</v>
      </c>
      <c r="D1852" s="4" t="n">
        <v>32</v>
      </c>
      <c r="E1852" s="19" t="s">
        <v>414</v>
      </c>
      <c r="F1852" s="20" t="s">
        <v>452</v>
      </c>
    </row>
    <row r="1853" customFormat="false" ht="15" hidden="false" customHeight="false" outlineLevel="0" collapsed="false">
      <c r="A1853" s="4" t="str">
        <f aca="false">B1853&amp;"|"&amp;C1853</f>
        <v>tdbR00000576 Asp-GUC|33</v>
      </c>
      <c r="B1853" s="4" t="s">
        <v>62</v>
      </c>
      <c r="C1853" s="4" t="s">
        <v>453</v>
      </c>
      <c r="D1853" s="4" t="n">
        <v>33</v>
      </c>
      <c r="E1853" s="19" t="s">
        <v>259</v>
      </c>
      <c r="F1853" s="20" t="s">
        <v>452</v>
      </c>
    </row>
    <row r="1854" customFormat="false" ht="15" hidden="false" customHeight="false" outlineLevel="0" collapsed="false">
      <c r="A1854" s="4" t="str">
        <f aca="false">B1854&amp;"|"&amp;C1854</f>
        <v>tdbR00000576 Asp-GUC|34</v>
      </c>
      <c r="B1854" s="4" t="s">
        <v>62</v>
      </c>
      <c r="C1854" s="4" t="s">
        <v>454</v>
      </c>
      <c r="D1854" s="4" t="n">
        <v>34</v>
      </c>
      <c r="E1854" s="19" t="s">
        <v>197</v>
      </c>
      <c r="F1854" s="20" t="s">
        <v>452</v>
      </c>
    </row>
    <row r="1855" customFormat="false" ht="15" hidden="false" customHeight="false" outlineLevel="0" collapsed="false">
      <c r="A1855" s="4" t="str">
        <f aca="false">B1855&amp;"|"&amp;C1855</f>
        <v>tdbR00000576 Asp-GUC|35</v>
      </c>
      <c r="B1855" s="4" t="s">
        <v>62</v>
      </c>
      <c r="C1855" s="4" t="s">
        <v>455</v>
      </c>
      <c r="D1855" s="4" t="n">
        <v>35</v>
      </c>
      <c r="E1855" s="19" t="s">
        <v>259</v>
      </c>
      <c r="F1855" s="20" t="s">
        <v>452</v>
      </c>
    </row>
    <row r="1856" customFormat="false" ht="15" hidden="false" customHeight="false" outlineLevel="0" collapsed="false">
      <c r="A1856" s="4" t="str">
        <f aca="false">B1856&amp;"|"&amp;C1856</f>
        <v>tdbR00000576 Asp-GUC|36</v>
      </c>
      <c r="B1856" s="4" t="s">
        <v>62</v>
      </c>
      <c r="C1856" s="4" t="s">
        <v>456</v>
      </c>
      <c r="D1856" s="4" t="n">
        <v>36</v>
      </c>
      <c r="E1856" s="19" t="s">
        <v>414</v>
      </c>
      <c r="F1856" s="20" t="s">
        <v>452</v>
      </c>
    </row>
    <row r="1857" customFormat="false" ht="15" hidden="false" customHeight="false" outlineLevel="0" collapsed="false">
      <c r="A1857" s="4" t="str">
        <f aca="false">B1857&amp;"|"&amp;C1857</f>
        <v>tdbR00000576 Asp-GUC|37</v>
      </c>
      <c r="B1857" s="4" t="s">
        <v>62</v>
      </c>
      <c r="C1857" s="4" t="s">
        <v>457</v>
      </c>
      <c r="D1857" s="4" t="n">
        <v>37</v>
      </c>
      <c r="E1857" s="19" t="s">
        <v>246</v>
      </c>
      <c r="F1857" s="20" t="s">
        <v>452</v>
      </c>
    </row>
    <row r="1858" customFormat="false" ht="15" hidden="false" customHeight="false" outlineLevel="0" collapsed="false">
      <c r="A1858" s="4" t="str">
        <f aca="false">B1858&amp;"|"&amp;C1858</f>
        <v>tdbR00000576 Asp-GUC|38</v>
      </c>
      <c r="B1858" s="4" t="s">
        <v>62</v>
      </c>
      <c r="C1858" s="4" t="s">
        <v>458</v>
      </c>
      <c r="D1858" s="4" t="n">
        <v>38</v>
      </c>
      <c r="E1858" s="19" t="s">
        <v>414</v>
      </c>
      <c r="F1858" s="20" t="s">
        <v>452</v>
      </c>
    </row>
    <row r="1859" customFormat="false" ht="15" hidden="false" customHeight="false" outlineLevel="0" collapsed="false">
      <c r="A1859" s="4" t="str">
        <f aca="false">B1859&amp;"|"&amp;C1859</f>
        <v>tdbR00000576 Asp-GUC|39</v>
      </c>
      <c r="B1859" s="4" t="s">
        <v>62</v>
      </c>
      <c r="C1859" s="4" t="s">
        <v>459</v>
      </c>
      <c r="D1859" s="4" t="n">
        <v>39</v>
      </c>
      <c r="E1859" s="21" t="s">
        <v>197</v>
      </c>
      <c r="F1859" s="22" t="s">
        <v>446</v>
      </c>
    </row>
    <row r="1860" customFormat="false" ht="15" hidden="false" customHeight="false" outlineLevel="0" collapsed="false">
      <c r="A1860" s="4" t="str">
        <f aca="false">B1860&amp;"|"&amp;C1860</f>
        <v>tdbR00000576 Asp-GUC|40</v>
      </c>
      <c r="B1860" s="4" t="s">
        <v>62</v>
      </c>
      <c r="C1860" s="4" t="s">
        <v>460</v>
      </c>
      <c r="D1860" s="4" t="n">
        <v>40</v>
      </c>
      <c r="E1860" s="21" t="s">
        <v>414</v>
      </c>
      <c r="F1860" s="22" t="s">
        <v>446</v>
      </c>
    </row>
    <row r="1861" customFormat="false" ht="15" hidden="false" customHeight="false" outlineLevel="0" collapsed="false">
      <c r="A1861" s="4" t="str">
        <f aca="false">B1861&amp;"|"&amp;C1861</f>
        <v>tdbR00000576 Asp-GUC|41</v>
      </c>
      <c r="B1861" s="4" t="s">
        <v>62</v>
      </c>
      <c r="C1861" s="4" t="s">
        <v>461</v>
      </c>
      <c r="D1861" s="4" t="n">
        <v>41</v>
      </c>
      <c r="E1861" s="21" t="s">
        <v>197</v>
      </c>
      <c r="F1861" s="22" t="s">
        <v>446</v>
      </c>
    </row>
    <row r="1862" customFormat="false" ht="15" hidden="false" customHeight="false" outlineLevel="0" collapsed="false">
      <c r="A1862" s="4" t="str">
        <f aca="false">B1862&amp;"|"&amp;C1862</f>
        <v>tdbR00000576 Asp-GUC|42</v>
      </c>
      <c r="B1862" s="4" t="s">
        <v>62</v>
      </c>
      <c r="C1862" s="4" t="s">
        <v>462</v>
      </c>
      <c r="D1862" s="4" t="n">
        <v>42</v>
      </c>
      <c r="E1862" s="21" t="s">
        <v>197</v>
      </c>
      <c r="F1862" s="22" t="s">
        <v>446</v>
      </c>
    </row>
    <row r="1863" customFormat="false" ht="15" hidden="false" customHeight="false" outlineLevel="0" collapsed="false">
      <c r="A1863" s="4" t="str">
        <f aca="false">B1863&amp;"|"&amp;C1863</f>
        <v>tdbR00000576 Asp-GUC|43</v>
      </c>
      <c r="B1863" s="4" t="s">
        <v>62</v>
      </c>
      <c r="C1863" s="4" t="s">
        <v>463</v>
      </c>
      <c r="D1863" s="4" t="n">
        <v>43</v>
      </c>
      <c r="E1863" s="21" t="s">
        <v>197</v>
      </c>
      <c r="F1863" s="22" t="s">
        <v>446</v>
      </c>
    </row>
    <row r="1864" customFormat="false" ht="15" hidden="false" customHeight="false" outlineLevel="0" collapsed="false">
      <c r="A1864" s="4" t="str">
        <f aca="false">B1864&amp;"|"&amp;C1864</f>
        <v>tdbR00000576 Asp-GUC|44</v>
      </c>
      <c r="B1864" s="4" t="s">
        <v>62</v>
      </c>
      <c r="C1864" s="4" t="s">
        <v>464</v>
      </c>
      <c r="D1864" s="4" t="n">
        <v>44</v>
      </c>
      <c r="E1864" s="19" t="s">
        <v>259</v>
      </c>
      <c r="F1864" s="20" t="s">
        <v>465</v>
      </c>
    </row>
    <row r="1865" customFormat="false" ht="15" hidden="false" customHeight="false" outlineLevel="0" collapsed="false">
      <c r="A1865" s="4" t="str">
        <f aca="false">B1865&amp;"|"&amp;C1865</f>
        <v>tdbR00000576 Asp-GUC|45</v>
      </c>
      <c r="B1865" s="4" t="s">
        <v>62</v>
      </c>
      <c r="C1865" s="4" t="s">
        <v>466</v>
      </c>
      <c r="D1865" s="4" t="n">
        <v>45</v>
      </c>
      <c r="E1865" s="19" t="s">
        <v>197</v>
      </c>
      <c r="F1865" s="20" t="s">
        <v>465</v>
      </c>
    </row>
    <row r="1866" customFormat="false" ht="15" hidden="false" customHeight="false" outlineLevel="0" collapsed="false">
      <c r="A1866" s="4" t="str">
        <f aca="false">B1866&amp;"|"&amp;C1866</f>
        <v>tdbR00000576 Asp-GUC|46</v>
      </c>
      <c r="B1866" s="4" t="s">
        <v>62</v>
      </c>
      <c r="C1866" s="4" t="s">
        <v>467</v>
      </c>
      <c r="D1866" s="4" t="n">
        <v>46</v>
      </c>
      <c r="E1866" s="19" t="s">
        <v>246</v>
      </c>
      <c r="F1866" s="20" t="s">
        <v>465</v>
      </c>
    </row>
    <row r="1867" customFormat="false" ht="15" hidden="false" customHeight="false" outlineLevel="0" collapsed="false">
      <c r="A1867" s="4" t="str">
        <f aca="false">B1867&amp;"|"&amp;C1867</f>
        <v>tdbR00000576 Asp-GUC|48</v>
      </c>
      <c r="B1867" s="4" t="s">
        <v>62</v>
      </c>
      <c r="C1867" s="4" t="s">
        <v>469</v>
      </c>
      <c r="D1867" s="4" t="n">
        <v>47</v>
      </c>
      <c r="E1867" s="19" t="s">
        <v>414</v>
      </c>
      <c r="F1867" s="20" t="s">
        <v>465</v>
      </c>
    </row>
    <row r="1868" customFormat="false" ht="15" hidden="false" customHeight="false" outlineLevel="0" collapsed="false">
      <c r="A1868" s="4" t="str">
        <f aca="false">B1868&amp;"|"&amp;C1868</f>
        <v>tdbR00000576 Asp-GUC|49</v>
      </c>
      <c r="B1868" s="4" t="s">
        <v>62</v>
      </c>
      <c r="C1868" s="4" t="s">
        <v>470</v>
      </c>
      <c r="D1868" s="4" t="n">
        <v>48</v>
      </c>
      <c r="E1868" s="23" t="s">
        <v>414</v>
      </c>
      <c r="F1868" s="10" t="s">
        <v>471</v>
      </c>
    </row>
    <row r="1869" customFormat="false" ht="15" hidden="false" customHeight="false" outlineLevel="0" collapsed="false">
      <c r="A1869" s="4" t="str">
        <f aca="false">B1869&amp;"|"&amp;C1869</f>
        <v>tdbR00000576 Asp-GUC|50</v>
      </c>
      <c r="B1869" s="4" t="s">
        <v>62</v>
      </c>
      <c r="C1869" s="4" t="s">
        <v>472</v>
      </c>
      <c r="D1869" s="4" t="n">
        <v>49</v>
      </c>
      <c r="E1869" s="23" t="s">
        <v>414</v>
      </c>
      <c r="F1869" s="10" t="s">
        <v>471</v>
      </c>
    </row>
    <row r="1870" customFormat="false" ht="15" hidden="false" customHeight="false" outlineLevel="0" collapsed="false">
      <c r="A1870" s="4" t="str">
        <f aca="false">B1870&amp;"|"&amp;C1870</f>
        <v>tdbR00000576 Asp-GUC|51</v>
      </c>
      <c r="B1870" s="4" t="s">
        <v>62</v>
      </c>
      <c r="C1870" s="4" t="s">
        <v>473</v>
      </c>
      <c r="D1870" s="4" t="n">
        <v>50</v>
      </c>
      <c r="E1870" s="23" t="s">
        <v>197</v>
      </c>
      <c r="F1870" s="10" t="s">
        <v>471</v>
      </c>
    </row>
    <row r="1871" customFormat="false" ht="15" hidden="false" customHeight="false" outlineLevel="0" collapsed="false">
      <c r="A1871" s="4" t="str">
        <f aca="false">B1871&amp;"|"&amp;C1871</f>
        <v>tdbR00000576 Asp-GUC|52</v>
      </c>
      <c r="B1871" s="4" t="s">
        <v>62</v>
      </c>
      <c r="C1871" s="4" t="s">
        <v>474</v>
      </c>
      <c r="D1871" s="4" t="n">
        <v>51</v>
      </c>
      <c r="E1871" s="23" t="s">
        <v>197</v>
      </c>
      <c r="F1871" s="10" t="s">
        <v>471</v>
      </c>
    </row>
    <row r="1872" customFormat="false" ht="15" hidden="false" customHeight="false" outlineLevel="0" collapsed="false">
      <c r="A1872" s="4" t="str">
        <f aca="false">B1872&amp;"|"&amp;C1872</f>
        <v>tdbR00000576 Asp-GUC|53</v>
      </c>
      <c r="B1872" s="4" t="s">
        <v>62</v>
      </c>
      <c r="C1872" s="4" t="s">
        <v>475</v>
      </c>
      <c r="D1872" s="4" t="n">
        <v>52</v>
      </c>
      <c r="E1872" s="23" t="s">
        <v>197</v>
      </c>
      <c r="F1872" s="10" t="s">
        <v>471</v>
      </c>
    </row>
    <row r="1873" customFormat="false" ht="15" hidden="false" customHeight="false" outlineLevel="0" collapsed="false">
      <c r="A1873" s="4" t="str">
        <f aca="false">B1873&amp;"|"&amp;C1873</f>
        <v>tdbR00000576 Asp-GUC|54</v>
      </c>
      <c r="B1873" s="4" t="s">
        <v>62</v>
      </c>
      <c r="C1873" s="4" t="s">
        <v>476</v>
      </c>
      <c r="D1873" s="4" t="n">
        <v>53</v>
      </c>
      <c r="E1873" s="19" t="s">
        <v>259</v>
      </c>
      <c r="F1873" s="20" t="s">
        <v>477</v>
      </c>
    </row>
    <row r="1874" customFormat="false" ht="15" hidden="false" customHeight="false" outlineLevel="0" collapsed="false">
      <c r="A1874" s="4" t="str">
        <f aca="false">B1874&amp;"|"&amp;C1874</f>
        <v>tdbR00000576 Asp-GUC|55</v>
      </c>
      <c r="B1874" s="4" t="s">
        <v>62</v>
      </c>
      <c r="C1874" s="4" t="s">
        <v>478</v>
      </c>
      <c r="D1874" s="4" t="n">
        <v>54</v>
      </c>
      <c r="E1874" s="19" t="s">
        <v>259</v>
      </c>
      <c r="F1874" s="20" t="s">
        <v>477</v>
      </c>
    </row>
    <row r="1875" customFormat="false" ht="15" hidden="false" customHeight="false" outlineLevel="0" collapsed="false">
      <c r="A1875" s="4" t="str">
        <f aca="false">B1875&amp;"|"&amp;C1875</f>
        <v>tdbR00000576 Asp-GUC|56</v>
      </c>
      <c r="B1875" s="4" t="s">
        <v>62</v>
      </c>
      <c r="C1875" s="4" t="s">
        <v>479</v>
      </c>
      <c r="D1875" s="4" t="n">
        <v>55</v>
      </c>
      <c r="E1875" s="19" t="s">
        <v>414</v>
      </c>
      <c r="F1875" s="20" t="s">
        <v>477</v>
      </c>
    </row>
    <row r="1876" customFormat="false" ht="15" hidden="false" customHeight="false" outlineLevel="0" collapsed="false">
      <c r="A1876" s="4" t="str">
        <f aca="false">B1876&amp;"|"&amp;C1876</f>
        <v>tdbR00000576 Asp-GUC|57</v>
      </c>
      <c r="B1876" s="4" t="s">
        <v>62</v>
      </c>
      <c r="C1876" s="4" t="s">
        <v>480</v>
      </c>
      <c r="D1876" s="4" t="n">
        <v>56</v>
      </c>
      <c r="E1876" s="19" t="s">
        <v>246</v>
      </c>
      <c r="F1876" s="20" t="s">
        <v>477</v>
      </c>
    </row>
    <row r="1877" customFormat="false" ht="15" hidden="false" customHeight="false" outlineLevel="0" collapsed="false">
      <c r="A1877" s="4" t="str">
        <f aca="false">B1877&amp;"|"&amp;C1877</f>
        <v>tdbR00000576 Asp-GUC|58</v>
      </c>
      <c r="B1877" s="4" t="s">
        <v>62</v>
      </c>
      <c r="C1877" s="4" t="s">
        <v>481</v>
      </c>
      <c r="D1877" s="4" t="n">
        <v>57</v>
      </c>
      <c r="E1877" s="19" t="s">
        <v>259</v>
      </c>
      <c r="F1877" s="20" t="s">
        <v>477</v>
      </c>
    </row>
    <row r="1878" customFormat="false" ht="15" hidden="false" customHeight="false" outlineLevel="0" collapsed="false">
      <c r="A1878" s="4" t="str">
        <f aca="false">B1878&amp;"|"&amp;C1878</f>
        <v>tdbR00000576 Asp-GUC|59</v>
      </c>
      <c r="B1878" s="4" t="s">
        <v>62</v>
      </c>
      <c r="C1878" s="4" t="s">
        <v>482</v>
      </c>
      <c r="D1878" s="4" t="n">
        <v>58</v>
      </c>
      <c r="E1878" s="19" t="s">
        <v>259</v>
      </c>
      <c r="F1878" s="20" t="s">
        <v>477</v>
      </c>
    </row>
    <row r="1879" customFormat="false" ht="15" hidden="false" customHeight="false" outlineLevel="0" collapsed="false">
      <c r="A1879" s="4" t="str">
        <f aca="false">B1879&amp;"|"&amp;C1879</f>
        <v>tdbR00000576 Asp-GUC|60</v>
      </c>
      <c r="B1879" s="4" t="s">
        <v>62</v>
      </c>
      <c r="C1879" s="4" t="s">
        <v>483</v>
      </c>
      <c r="D1879" s="4" t="n">
        <v>59</v>
      </c>
      <c r="E1879" s="19" t="s">
        <v>259</v>
      </c>
      <c r="F1879" s="20" t="s">
        <v>477</v>
      </c>
    </row>
    <row r="1880" customFormat="false" ht="15" hidden="false" customHeight="false" outlineLevel="0" collapsed="false">
      <c r="A1880" s="4" t="str">
        <f aca="false">B1880&amp;"|"&amp;C1880</f>
        <v>tdbR00000576 Asp-GUC|61</v>
      </c>
      <c r="B1880" s="4" t="s">
        <v>62</v>
      </c>
      <c r="C1880" s="4" t="s">
        <v>484</v>
      </c>
      <c r="D1880" s="4" t="n">
        <v>60</v>
      </c>
      <c r="E1880" s="23" t="s">
        <v>414</v>
      </c>
      <c r="F1880" s="10" t="s">
        <v>471</v>
      </c>
    </row>
    <row r="1881" customFormat="false" ht="15" hidden="false" customHeight="false" outlineLevel="0" collapsed="false">
      <c r="A1881" s="4" t="str">
        <f aca="false">B1881&amp;"|"&amp;C1881</f>
        <v>tdbR00000576 Asp-GUC|62</v>
      </c>
      <c r="B1881" s="4" t="s">
        <v>62</v>
      </c>
      <c r="C1881" s="4" t="s">
        <v>485</v>
      </c>
      <c r="D1881" s="4" t="n">
        <v>61</v>
      </c>
      <c r="E1881" s="23" t="s">
        <v>414</v>
      </c>
      <c r="F1881" s="10" t="s">
        <v>471</v>
      </c>
    </row>
    <row r="1882" customFormat="false" ht="15" hidden="false" customHeight="false" outlineLevel="0" collapsed="false">
      <c r="A1882" s="4" t="str">
        <f aca="false">B1882&amp;"|"&amp;C1882</f>
        <v>tdbR00000576 Asp-GUC|63</v>
      </c>
      <c r="B1882" s="4" t="s">
        <v>62</v>
      </c>
      <c r="C1882" s="4" t="s">
        <v>486</v>
      </c>
      <c r="D1882" s="4" t="n">
        <v>62</v>
      </c>
      <c r="E1882" s="23" t="s">
        <v>414</v>
      </c>
      <c r="F1882" s="10" t="s">
        <v>471</v>
      </c>
    </row>
    <row r="1883" customFormat="false" ht="15" hidden="false" customHeight="false" outlineLevel="0" collapsed="false">
      <c r="A1883" s="4" t="str">
        <f aca="false">B1883&amp;"|"&amp;C1883</f>
        <v>tdbR00000576 Asp-GUC|64</v>
      </c>
      <c r="B1883" s="4" t="s">
        <v>62</v>
      </c>
      <c r="C1883" s="4" t="s">
        <v>487</v>
      </c>
      <c r="D1883" s="4" t="n">
        <v>63</v>
      </c>
      <c r="E1883" s="23" t="s">
        <v>197</v>
      </c>
      <c r="F1883" s="10" t="s">
        <v>471</v>
      </c>
    </row>
    <row r="1884" customFormat="false" ht="15" hidden="false" customHeight="false" outlineLevel="0" collapsed="false">
      <c r="A1884" s="4" t="str">
        <f aca="false">B1884&amp;"|"&amp;C1884</f>
        <v>tdbR00000576 Asp-GUC|65</v>
      </c>
      <c r="B1884" s="4" t="s">
        <v>62</v>
      </c>
      <c r="C1884" s="4" t="s">
        <v>488</v>
      </c>
      <c r="D1884" s="4" t="n">
        <v>64</v>
      </c>
      <c r="E1884" s="23" t="s">
        <v>197</v>
      </c>
      <c r="F1884" s="10" t="s">
        <v>471</v>
      </c>
    </row>
    <row r="1885" customFormat="false" ht="15" hidden="false" customHeight="false" outlineLevel="0" collapsed="false">
      <c r="A1885" s="4" t="str">
        <f aca="false">B1885&amp;"|"&amp;C1885</f>
        <v>tdbR00000576 Asp-GUC|66</v>
      </c>
      <c r="B1885" s="4" t="s">
        <v>62</v>
      </c>
      <c r="C1885" s="4" t="s">
        <v>489</v>
      </c>
      <c r="D1885" s="4" t="n">
        <v>65</v>
      </c>
      <c r="E1885" s="17" t="s">
        <v>414</v>
      </c>
      <c r="F1885" s="18" t="s">
        <v>412</v>
      </c>
    </row>
    <row r="1886" customFormat="false" ht="15" hidden="false" customHeight="false" outlineLevel="0" collapsed="false">
      <c r="A1886" s="4" t="str">
        <f aca="false">B1886&amp;"|"&amp;C1886</f>
        <v>tdbR00000576 Asp-GUC|67</v>
      </c>
      <c r="B1886" s="4" t="s">
        <v>62</v>
      </c>
      <c r="C1886" s="4" t="s">
        <v>490</v>
      </c>
      <c r="D1886" s="4" t="n">
        <v>66</v>
      </c>
      <c r="E1886" s="17" t="s">
        <v>414</v>
      </c>
      <c r="F1886" s="18" t="s">
        <v>412</v>
      </c>
    </row>
    <row r="1887" customFormat="false" ht="15" hidden="false" customHeight="false" outlineLevel="0" collapsed="false">
      <c r="A1887" s="4" t="str">
        <f aca="false">B1887&amp;"|"&amp;C1887</f>
        <v>tdbR00000576 Asp-GUC|68</v>
      </c>
      <c r="B1887" s="4" t="s">
        <v>62</v>
      </c>
      <c r="C1887" s="4" t="s">
        <v>491</v>
      </c>
      <c r="D1887" s="4" t="n">
        <v>67</v>
      </c>
      <c r="E1887" s="17" t="s">
        <v>197</v>
      </c>
      <c r="F1887" s="18" t="s">
        <v>412</v>
      </c>
    </row>
    <row r="1888" customFormat="false" ht="15" hidden="false" customHeight="false" outlineLevel="0" collapsed="false">
      <c r="A1888" s="4" t="str">
        <f aca="false">B1888&amp;"|"&amp;C1888</f>
        <v>tdbR00000576 Asp-GUC|69</v>
      </c>
      <c r="B1888" s="4" t="s">
        <v>62</v>
      </c>
      <c r="C1888" s="4" t="s">
        <v>492</v>
      </c>
      <c r="D1888" s="4" t="n">
        <v>68</v>
      </c>
      <c r="E1888" s="17" t="s">
        <v>197</v>
      </c>
      <c r="F1888" s="18" t="s">
        <v>412</v>
      </c>
    </row>
    <row r="1889" customFormat="false" ht="15" hidden="false" customHeight="false" outlineLevel="0" collapsed="false">
      <c r="A1889" s="4" t="str">
        <f aca="false">B1889&amp;"|"&amp;C1889</f>
        <v>tdbR00000576 Asp-GUC|70</v>
      </c>
      <c r="B1889" s="4" t="s">
        <v>62</v>
      </c>
      <c r="C1889" s="4" t="s">
        <v>493</v>
      </c>
      <c r="D1889" s="4" t="n">
        <v>69</v>
      </c>
      <c r="E1889" s="17" t="s">
        <v>197</v>
      </c>
      <c r="F1889" s="18" t="s">
        <v>412</v>
      </c>
    </row>
    <row r="1890" customFormat="false" ht="15" hidden="false" customHeight="false" outlineLevel="0" collapsed="false">
      <c r="A1890" s="4" t="str">
        <f aca="false">B1890&amp;"|"&amp;C1890</f>
        <v>tdbR00000576 Asp-GUC|71</v>
      </c>
      <c r="B1890" s="4" t="s">
        <v>62</v>
      </c>
      <c r="C1890" s="4" t="s">
        <v>494</v>
      </c>
      <c r="D1890" s="4" t="n">
        <v>70</v>
      </c>
      <c r="E1890" s="17" t="s">
        <v>246</v>
      </c>
      <c r="F1890" s="18" t="s">
        <v>412</v>
      </c>
    </row>
    <row r="1891" customFormat="false" ht="15" hidden="false" customHeight="false" outlineLevel="0" collapsed="false">
      <c r="A1891" s="4" t="str">
        <f aca="false">B1891&amp;"|"&amp;C1891</f>
        <v>tdbR00000576 Asp-GUC|72</v>
      </c>
      <c r="B1891" s="4" t="s">
        <v>62</v>
      </c>
      <c r="C1891" s="4" t="s">
        <v>495</v>
      </c>
      <c r="D1891" s="4" t="n">
        <v>71</v>
      </c>
      <c r="E1891" s="17" t="s">
        <v>246</v>
      </c>
      <c r="F1891" s="18" t="s">
        <v>412</v>
      </c>
    </row>
    <row r="1892" customFormat="false" ht="15" hidden="false" customHeight="false" outlineLevel="0" collapsed="false">
      <c r="A1892" s="4" t="str">
        <f aca="false">B1892&amp;"|"&amp;C1892</f>
        <v>tdbR00000573 Gln-UUG|1</v>
      </c>
      <c r="B1892" s="4" t="s">
        <v>63</v>
      </c>
      <c r="C1892" s="4" t="s">
        <v>411</v>
      </c>
      <c r="D1892" s="4" t="n">
        <v>1</v>
      </c>
      <c r="E1892" s="17" t="s">
        <v>197</v>
      </c>
      <c r="F1892" s="18" t="s">
        <v>412</v>
      </c>
    </row>
    <row r="1893" customFormat="false" ht="15" hidden="false" customHeight="false" outlineLevel="0" collapsed="false">
      <c r="A1893" s="4" t="str">
        <f aca="false">B1893&amp;"|"&amp;C1893</f>
        <v>tdbR00000573 Gln-UUG|2</v>
      </c>
      <c r="B1893" s="4" t="s">
        <v>63</v>
      </c>
      <c r="C1893" s="4" t="s">
        <v>413</v>
      </c>
      <c r="D1893" s="4" t="n">
        <v>2</v>
      </c>
      <c r="E1893" s="17" t="s">
        <v>197</v>
      </c>
      <c r="F1893" s="18" t="s">
        <v>412</v>
      </c>
    </row>
    <row r="1894" customFormat="false" ht="15" hidden="false" customHeight="false" outlineLevel="0" collapsed="false">
      <c r="A1894" s="4" t="str">
        <f aca="false">B1894&amp;"|"&amp;C1894</f>
        <v>tdbR00000573 Gln-UUG|3</v>
      </c>
      <c r="B1894" s="4" t="s">
        <v>63</v>
      </c>
      <c r="C1894" s="4" t="s">
        <v>415</v>
      </c>
      <c r="D1894" s="4" t="n">
        <v>3</v>
      </c>
      <c r="E1894" s="17" t="s">
        <v>259</v>
      </c>
      <c r="F1894" s="18" t="s">
        <v>412</v>
      </c>
    </row>
    <row r="1895" customFormat="false" ht="15" hidden="false" customHeight="false" outlineLevel="0" collapsed="false">
      <c r="A1895" s="4" t="str">
        <f aca="false">B1895&amp;"|"&amp;C1895</f>
        <v>tdbR00000573 Gln-UUG|4</v>
      </c>
      <c r="B1895" s="4" t="s">
        <v>63</v>
      </c>
      <c r="C1895" s="4" t="s">
        <v>416</v>
      </c>
      <c r="D1895" s="4" t="n">
        <v>4</v>
      </c>
      <c r="E1895" s="17" t="s">
        <v>414</v>
      </c>
      <c r="F1895" s="18" t="s">
        <v>412</v>
      </c>
    </row>
    <row r="1896" customFormat="false" ht="15" hidden="false" customHeight="false" outlineLevel="0" collapsed="false">
      <c r="A1896" s="4" t="str">
        <f aca="false">B1896&amp;"|"&amp;C1896</f>
        <v>tdbR00000573 Gln-UUG|5</v>
      </c>
      <c r="B1896" s="4" t="s">
        <v>63</v>
      </c>
      <c r="C1896" s="4" t="s">
        <v>417</v>
      </c>
      <c r="D1896" s="4" t="n">
        <v>5</v>
      </c>
      <c r="E1896" s="17" t="s">
        <v>414</v>
      </c>
      <c r="F1896" s="18" t="s">
        <v>412</v>
      </c>
    </row>
    <row r="1897" customFormat="false" ht="15" hidden="false" customHeight="false" outlineLevel="0" collapsed="false">
      <c r="A1897" s="4" t="str">
        <f aca="false">B1897&amp;"|"&amp;C1897</f>
        <v>tdbR00000573 Gln-UUG|6</v>
      </c>
      <c r="B1897" s="4" t="s">
        <v>63</v>
      </c>
      <c r="C1897" s="4" t="s">
        <v>418</v>
      </c>
      <c r="D1897" s="4" t="n">
        <v>6</v>
      </c>
      <c r="E1897" s="17" t="s">
        <v>259</v>
      </c>
      <c r="F1897" s="18" t="s">
        <v>412</v>
      </c>
    </row>
    <row r="1898" customFormat="false" ht="15" hidden="false" customHeight="false" outlineLevel="0" collapsed="false">
      <c r="A1898" s="4" t="str">
        <f aca="false">B1898&amp;"|"&amp;C1898</f>
        <v>tdbR00000573 Gln-UUG|7</v>
      </c>
      <c r="B1898" s="4" t="s">
        <v>63</v>
      </c>
      <c r="C1898" s="4" t="s">
        <v>419</v>
      </c>
      <c r="D1898" s="4" t="n">
        <v>7</v>
      </c>
      <c r="E1898" s="17" t="s">
        <v>246</v>
      </c>
      <c r="F1898" s="18" t="s">
        <v>412</v>
      </c>
    </row>
    <row r="1899" customFormat="false" ht="15" hidden="false" customHeight="false" outlineLevel="0" collapsed="false">
      <c r="A1899" s="4" t="str">
        <f aca="false">B1899&amp;"|"&amp;C1899</f>
        <v>tdbR00000573 Gln-UUG|8</v>
      </c>
      <c r="B1899" s="4" t="s">
        <v>63</v>
      </c>
      <c r="C1899" s="4" t="s">
        <v>420</v>
      </c>
      <c r="D1899" s="4" t="n">
        <v>8</v>
      </c>
      <c r="E1899" s="3" t="s">
        <v>259</v>
      </c>
      <c r="F1899" s="4" t="s">
        <v>421</v>
      </c>
    </row>
    <row r="1900" customFormat="false" ht="15" hidden="false" customHeight="false" outlineLevel="0" collapsed="false">
      <c r="A1900" s="4" t="str">
        <f aca="false">B1900&amp;"|"&amp;C1900</f>
        <v>tdbR00000573 Gln-UUG|9</v>
      </c>
      <c r="B1900" s="4" t="s">
        <v>63</v>
      </c>
      <c r="C1900" s="4" t="s">
        <v>422</v>
      </c>
      <c r="D1900" s="4" t="n">
        <v>9</v>
      </c>
      <c r="E1900" s="3" t="s">
        <v>246</v>
      </c>
      <c r="F1900" s="4" t="s">
        <v>423</v>
      </c>
    </row>
    <row r="1901" customFormat="false" ht="15" hidden="false" customHeight="false" outlineLevel="0" collapsed="false">
      <c r="A1901" s="4" t="str">
        <f aca="false">B1901&amp;"|"&amp;C1901</f>
        <v>tdbR00000573 Gln-UUG|10</v>
      </c>
      <c r="B1901" s="4" t="s">
        <v>63</v>
      </c>
      <c r="C1901" s="4" t="s">
        <v>424</v>
      </c>
      <c r="D1901" s="4" t="n">
        <v>10</v>
      </c>
      <c r="E1901" s="8" t="s">
        <v>197</v>
      </c>
      <c r="F1901" s="7" t="s">
        <v>425</v>
      </c>
    </row>
    <row r="1902" customFormat="false" ht="15" hidden="false" customHeight="false" outlineLevel="0" collapsed="false">
      <c r="A1902" s="4" t="str">
        <f aca="false">B1902&amp;"|"&amp;C1902</f>
        <v>tdbR00000573 Gln-UUG|11</v>
      </c>
      <c r="B1902" s="4" t="s">
        <v>63</v>
      </c>
      <c r="C1902" s="4" t="s">
        <v>426</v>
      </c>
      <c r="D1902" s="4" t="n">
        <v>11</v>
      </c>
      <c r="E1902" s="8" t="s">
        <v>259</v>
      </c>
      <c r="F1902" s="7" t="s">
        <v>425</v>
      </c>
    </row>
    <row r="1903" customFormat="false" ht="15" hidden="false" customHeight="false" outlineLevel="0" collapsed="false">
      <c r="A1903" s="4" t="str">
        <f aca="false">B1903&amp;"|"&amp;C1903</f>
        <v>tdbR00000573 Gln-UUG|12</v>
      </c>
      <c r="B1903" s="4" t="s">
        <v>63</v>
      </c>
      <c r="C1903" s="4" t="s">
        <v>427</v>
      </c>
      <c r="D1903" s="4" t="n">
        <v>12</v>
      </c>
      <c r="E1903" s="8" t="s">
        <v>197</v>
      </c>
      <c r="F1903" s="7" t="s">
        <v>425</v>
      </c>
    </row>
    <row r="1904" customFormat="false" ht="15" hidden="false" customHeight="false" outlineLevel="0" collapsed="false">
      <c r="A1904" s="4" t="str">
        <f aca="false">B1904&amp;"|"&amp;C1904</f>
        <v>tdbR00000573 Gln-UUG|13</v>
      </c>
      <c r="B1904" s="4" t="s">
        <v>63</v>
      </c>
      <c r="C1904" s="4" t="s">
        <v>428</v>
      </c>
      <c r="D1904" s="4" t="n">
        <v>13</v>
      </c>
      <c r="E1904" s="8" t="s">
        <v>259</v>
      </c>
      <c r="F1904" s="7" t="s">
        <v>425</v>
      </c>
    </row>
    <row r="1905" customFormat="false" ht="15" hidden="false" customHeight="false" outlineLevel="0" collapsed="false">
      <c r="A1905" s="4" t="str">
        <f aca="false">B1905&amp;"|"&amp;C1905</f>
        <v>tdbR00000573 Gln-UUG|14</v>
      </c>
      <c r="B1905" s="4" t="s">
        <v>63</v>
      </c>
      <c r="C1905" s="4" t="s">
        <v>429</v>
      </c>
      <c r="D1905" s="4" t="n">
        <v>14</v>
      </c>
      <c r="E1905" s="19" t="s">
        <v>246</v>
      </c>
      <c r="F1905" s="20" t="s">
        <v>430</v>
      </c>
    </row>
    <row r="1906" customFormat="false" ht="15" hidden="false" customHeight="false" outlineLevel="0" collapsed="false">
      <c r="A1906" s="4" t="str">
        <f aca="false">B1906&amp;"|"&amp;C1906</f>
        <v>tdbR00000573 Gln-UUG|15</v>
      </c>
      <c r="B1906" s="4" t="s">
        <v>63</v>
      </c>
      <c r="C1906" s="4" t="s">
        <v>431</v>
      </c>
      <c r="D1906" s="4" t="n">
        <v>15</v>
      </c>
      <c r="E1906" s="19" t="s">
        <v>197</v>
      </c>
      <c r="F1906" s="20" t="s">
        <v>430</v>
      </c>
    </row>
    <row r="1907" customFormat="false" ht="15" hidden="false" customHeight="false" outlineLevel="0" collapsed="false">
      <c r="A1907" s="4" t="str">
        <f aca="false">B1907&amp;"|"&amp;C1907</f>
        <v>tdbR00000573 Gln-UUG|16</v>
      </c>
      <c r="B1907" s="4" t="s">
        <v>63</v>
      </c>
      <c r="C1907" s="4" t="s">
        <v>432</v>
      </c>
      <c r="D1907" s="4" t="n">
        <v>16</v>
      </c>
      <c r="E1907" s="19" t="s">
        <v>259</v>
      </c>
      <c r="F1907" s="20" t="s">
        <v>430</v>
      </c>
    </row>
    <row r="1908" customFormat="false" ht="15" hidden="false" customHeight="false" outlineLevel="0" collapsed="false">
      <c r="A1908" s="4" t="str">
        <f aca="false">B1908&amp;"|"&amp;C1908</f>
        <v>tdbR00000573 Gln-UUG|18</v>
      </c>
      <c r="B1908" s="4" t="s">
        <v>63</v>
      </c>
      <c r="C1908" s="4" t="s">
        <v>434</v>
      </c>
      <c r="D1908" s="4" t="n">
        <v>17</v>
      </c>
      <c r="E1908" s="19" t="s">
        <v>197</v>
      </c>
      <c r="F1908" s="20" t="s">
        <v>430</v>
      </c>
    </row>
    <row r="1909" customFormat="false" ht="15" hidden="false" customHeight="false" outlineLevel="0" collapsed="false">
      <c r="A1909" s="4" t="str">
        <f aca="false">B1909&amp;"|"&amp;C1909</f>
        <v>tdbR00000573 Gln-UUG|19</v>
      </c>
      <c r="B1909" s="4" t="s">
        <v>63</v>
      </c>
      <c r="C1909" s="4" t="s">
        <v>435</v>
      </c>
      <c r="D1909" s="4" t="n">
        <v>18</v>
      </c>
      <c r="E1909" s="19" t="s">
        <v>197</v>
      </c>
      <c r="F1909" s="20" t="s">
        <v>430</v>
      </c>
    </row>
    <row r="1910" customFormat="false" ht="15" hidden="false" customHeight="false" outlineLevel="0" collapsed="false">
      <c r="A1910" s="4" t="str">
        <f aca="false">B1910&amp;"|"&amp;C1910</f>
        <v>tdbR00000573 Gln-UUG|20</v>
      </c>
      <c r="B1910" s="4" t="s">
        <v>63</v>
      </c>
      <c r="C1910" s="4" t="s">
        <v>436</v>
      </c>
      <c r="D1910" s="4" t="n">
        <v>19</v>
      </c>
      <c r="E1910" s="19" t="s">
        <v>259</v>
      </c>
      <c r="F1910" s="20" t="s">
        <v>430</v>
      </c>
    </row>
    <row r="1911" customFormat="false" ht="15" hidden="false" customHeight="false" outlineLevel="0" collapsed="false">
      <c r="A1911" s="4" t="str">
        <f aca="false">B1911&amp;"|"&amp;C1911</f>
        <v>tdbR00000573 Gln-UUG|20a</v>
      </c>
      <c r="B1911" s="4" t="s">
        <v>63</v>
      </c>
      <c r="C1911" s="4" t="s">
        <v>437</v>
      </c>
      <c r="D1911" s="4" t="n">
        <v>20</v>
      </c>
      <c r="E1911" s="19" t="s">
        <v>259</v>
      </c>
      <c r="F1911" s="20" t="s">
        <v>430</v>
      </c>
    </row>
    <row r="1912" customFormat="false" ht="15" hidden="false" customHeight="false" outlineLevel="0" collapsed="false">
      <c r="A1912" s="4" t="str">
        <f aca="false">B1912&amp;"|"&amp;C1912</f>
        <v>tdbR00000573 Gln-UUG|21</v>
      </c>
      <c r="B1912" s="4" t="s">
        <v>63</v>
      </c>
      <c r="C1912" s="4" t="s">
        <v>438</v>
      </c>
      <c r="D1912" s="4" t="n">
        <v>21</v>
      </c>
      <c r="E1912" s="19" t="s">
        <v>246</v>
      </c>
      <c r="F1912" s="20" t="s">
        <v>430</v>
      </c>
    </row>
    <row r="1913" customFormat="false" ht="15" hidden="false" customHeight="false" outlineLevel="0" collapsed="false">
      <c r="A1913" s="4" t="str">
        <f aca="false">B1913&amp;"|"&amp;C1913</f>
        <v>tdbR00000573 Gln-UUG|22</v>
      </c>
      <c r="B1913" s="4" t="s">
        <v>63</v>
      </c>
      <c r="C1913" s="4" t="s">
        <v>439</v>
      </c>
      <c r="D1913" s="4" t="n">
        <v>22</v>
      </c>
      <c r="E1913" s="8" t="s">
        <v>259</v>
      </c>
      <c r="F1913" s="7" t="s">
        <v>425</v>
      </c>
    </row>
    <row r="1914" customFormat="false" ht="15" hidden="false" customHeight="false" outlineLevel="0" collapsed="false">
      <c r="A1914" s="4" t="str">
        <f aca="false">B1914&amp;"|"&amp;C1914</f>
        <v>tdbR00000573 Gln-UUG|23</v>
      </c>
      <c r="B1914" s="4" t="s">
        <v>63</v>
      </c>
      <c r="C1914" s="4" t="s">
        <v>440</v>
      </c>
      <c r="D1914" s="4" t="n">
        <v>23</v>
      </c>
      <c r="E1914" s="8" t="s">
        <v>414</v>
      </c>
      <c r="F1914" s="7" t="s">
        <v>425</v>
      </c>
    </row>
    <row r="1915" customFormat="false" ht="15" hidden="false" customHeight="false" outlineLevel="0" collapsed="false">
      <c r="A1915" s="4" t="str">
        <f aca="false">B1915&amp;"|"&amp;C1915</f>
        <v>tdbR00000573 Gln-UUG|24</v>
      </c>
      <c r="B1915" s="4" t="s">
        <v>63</v>
      </c>
      <c r="C1915" s="4" t="s">
        <v>441</v>
      </c>
      <c r="D1915" s="4" t="n">
        <v>24</v>
      </c>
      <c r="E1915" s="8" t="s">
        <v>246</v>
      </c>
      <c r="F1915" s="7" t="s">
        <v>425</v>
      </c>
    </row>
    <row r="1916" customFormat="false" ht="15" hidden="false" customHeight="false" outlineLevel="0" collapsed="false">
      <c r="A1916" s="4" t="str">
        <f aca="false">B1916&amp;"|"&amp;C1916</f>
        <v>tdbR00000573 Gln-UUG|25</v>
      </c>
      <c r="B1916" s="4" t="s">
        <v>63</v>
      </c>
      <c r="C1916" s="4" t="s">
        <v>442</v>
      </c>
      <c r="D1916" s="4" t="n">
        <v>25</v>
      </c>
      <c r="E1916" s="8" t="s">
        <v>414</v>
      </c>
      <c r="F1916" s="7" t="s">
        <v>425</v>
      </c>
    </row>
    <row r="1917" customFormat="false" ht="15" hidden="false" customHeight="false" outlineLevel="0" collapsed="false">
      <c r="A1917" s="4" t="str">
        <f aca="false">B1917&amp;"|"&amp;C1917</f>
        <v>tdbR00000573 Gln-UUG|26</v>
      </c>
      <c r="B1917" s="4" t="s">
        <v>63</v>
      </c>
      <c r="C1917" s="4" t="s">
        <v>443</v>
      </c>
      <c r="D1917" s="4" t="n">
        <v>26</v>
      </c>
      <c r="E1917" s="3" t="s">
        <v>259</v>
      </c>
      <c r="F1917" s="4" t="s">
        <v>444</v>
      </c>
    </row>
    <row r="1918" customFormat="false" ht="15" hidden="false" customHeight="false" outlineLevel="0" collapsed="false">
      <c r="A1918" s="4" t="str">
        <f aca="false">B1918&amp;"|"&amp;C1918</f>
        <v>tdbR00000573 Gln-UUG|27</v>
      </c>
      <c r="B1918" s="4" t="s">
        <v>63</v>
      </c>
      <c r="C1918" s="4" t="s">
        <v>445</v>
      </c>
      <c r="D1918" s="4" t="n">
        <v>27</v>
      </c>
      <c r="E1918" s="21" t="s">
        <v>259</v>
      </c>
      <c r="F1918" s="22" t="s">
        <v>446</v>
      </c>
    </row>
    <row r="1919" customFormat="false" ht="15" hidden="false" customHeight="false" outlineLevel="0" collapsed="false">
      <c r="A1919" s="4" t="str">
        <f aca="false">B1919&amp;"|"&amp;C1919</f>
        <v>tdbR00000573 Gln-UUG|28</v>
      </c>
      <c r="B1919" s="4" t="s">
        <v>63</v>
      </c>
      <c r="C1919" s="4" t="s">
        <v>447</v>
      </c>
      <c r="D1919" s="4" t="n">
        <v>28</v>
      </c>
      <c r="E1919" s="21" t="s">
        <v>414</v>
      </c>
      <c r="F1919" s="22" t="s">
        <v>446</v>
      </c>
    </row>
    <row r="1920" customFormat="false" ht="15" hidden="false" customHeight="false" outlineLevel="0" collapsed="false">
      <c r="A1920" s="4" t="str">
        <f aca="false">B1920&amp;"|"&amp;C1920</f>
        <v>tdbR00000573 Gln-UUG|29</v>
      </c>
      <c r="B1920" s="4" t="s">
        <v>63</v>
      </c>
      <c r="C1920" s="4" t="s">
        <v>448</v>
      </c>
      <c r="D1920" s="4" t="n">
        <v>29</v>
      </c>
      <c r="E1920" s="21" t="s">
        <v>197</v>
      </c>
      <c r="F1920" s="22" t="s">
        <v>446</v>
      </c>
    </row>
    <row r="1921" customFormat="false" ht="15" hidden="false" customHeight="false" outlineLevel="0" collapsed="false">
      <c r="A1921" s="4" t="str">
        <f aca="false">B1921&amp;"|"&amp;C1921</f>
        <v>tdbR00000573 Gln-UUG|30</v>
      </c>
      <c r="B1921" s="4" t="s">
        <v>63</v>
      </c>
      <c r="C1921" s="4" t="s">
        <v>449</v>
      </c>
      <c r="D1921" s="4" t="n">
        <v>30</v>
      </c>
      <c r="E1921" s="21" t="s">
        <v>197</v>
      </c>
      <c r="F1921" s="22" t="s">
        <v>446</v>
      </c>
    </row>
    <row r="1922" customFormat="false" ht="15" hidden="false" customHeight="false" outlineLevel="0" collapsed="false">
      <c r="A1922" s="4" t="str">
        <f aca="false">B1922&amp;"|"&amp;C1922</f>
        <v>tdbR00000573 Gln-UUG|31</v>
      </c>
      <c r="B1922" s="4" t="s">
        <v>63</v>
      </c>
      <c r="C1922" s="4" t="s">
        <v>450</v>
      </c>
      <c r="D1922" s="4" t="n">
        <v>31</v>
      </c>
      <c r="E1922" s="21" t="s">
        <v>246</v>
      </c>
      <c r="F1922" s="22" t="s">
        <v>446</v>
      </c>
    </row>
    <row r="1923" customFormat="false" ht="15" hidden="false" customHeight="false" outlineLevel="0" collapsed="false">
      <c r="A1923" s="4" t="str">
        <f aca="false">B1923&amp;"|"&amp;C1923</f>
        <v>tdbR00000573 Gln-UUG|32</v>
      </c>
      <c r="B1923" s="4" t="s">
        <v>63</v>
      </c>
      <c r="C1923" s="4" t="s">
        <v>451</v>
      </c>
      <c r="D1923" s="4" t="n">
        <v>32</v>
      </c>
      <c r="E1923" s="19" t="s">
        <v>414</v>
      </c>
      <c r="F1923" s="20" t="s">
        <v>452</v>
      </c>
    </row>
    <row r="1924" customFormat="false" ht="15" hidden="false" customHeight="false" outlineLevel="0" collapsed="false">
      <c r="A1924" s="4" t="str">
        <f aca="false">B1924&amp;"|"&amp;C1924</f>
        <v>tdbR00000573 Gln-UUG|33</v>
      </c>
      <c r="B1924" s="4" t="s">
        <v>63</v>
      </c>
      <c r="C1924" s="4" t="s">
        <v>453</v>
      </c>
      <c r="D1924" s="4" t="n">
        <v>33</v>
      </c>
      <c r="E1924" s="19" t="s">
        <v>259</v>
      </c>
      <c r="F1924" s="20" t="s">
        <v>452</v>
      </c>
    </row>
    <row r="1925" customFormat="false" ht="15" hidden="false" customHeight="false" outlineLevel="0" collapsed="false">
      <c r="A1925" s="4" t="str">
        <f aca="false">B1925&amp;"|"&amp;C1925</f>
        <v>tdbR00000573 Gln-UUG|34</v>
      </c>
      <c r="B1925" s="4" t="s">
        <v>63</v>
      </c>
      <c r="C1925" s="4" t="s">
        <v>454</v>
      </c>
      <c r="D1925" s="4" t="n">
        <v>34</v>
      </c>
      <c r="E1925" s="19" t="s">
        <v>259</v>
      </c>
      <c r="F1925" s="20" t="s">
        <v>452</v>
      </c>
    </row>
    <row r="1926" customFormat="false" ht="15" hidden="false" customHeight="false" outlineLevel="0" collapsed="false">
      <c r="A1926" s="4" t="str">
        <f aca="false">B1926&amp;"|"&amp;C1926</f>
        <v>tdbR00000573 Gln-UUG|35</v>
      </c>
      <c r="B1926" s="4" t="s">
        <v>63</v>
      </c>
      <c r="C1926" s="4" t="s">
        <v>455</v>
      </c>
      <c r="D1926" s="4" t="n">
        <v>35</v>
      </c>
      <c r="E1926" s="19" t="s">
        <v>259</v>
      </c>
      <c r="F1926" s="20" t="s">
        <v>452</v>
      </c>
    </row>
    <row r="1927" customFormat="false" ht="15" hidden="false" customHeight="false" outlineLevel="0" collapsed="false">
      <c r="A1927" s="4" t="str">
        <f aca="false">B1927&amp;"|"&amp;C1927</f>
        <v>tdbR00000573 Gln-UUG|36</v>
      </c>
      <c r="B1927" s="4" t="s">
        <v>63</v>
      </c>
      <c r="C1927" s="4" t="s">
        <v>456</v>
      </c>
      <c r="D1927" s="4" t="n">
        <v>36</v>
      </c>
      <c r="E1927" s="19" t="s">
        <v>197</v>
      </c>
      <c r="F1927" s="20" t="s">
        <v>452</v>
      </c>
    </row>
    <row r="1928" customFormat="false" ht="15" hidden="false" customHeight="false" outlineLevel="0" collapsed="false">
      <c r="A1928" s="4" t="str">
        <f aca="false">B1928&amp;"|"&amp;C1928</f>
        <v>tdbR00000573 Gln-UUG|37</v>
      </c>
      <c r="B1928" s="4" t="s">
        <v>63</v>
      </c>
      <c r="C1928" s="4" t="s">
        <v>457</v>
      </c>
      <c r="D1928" s="4" t="n">
        <v>37</v>
      </c>
      <c r="E1928" s="19" t="s">
        <v>246</v>
      </c>
      <c r="F1928" s="20" t="s">
        <v>452</v>
      </c>
    </row>
    <row r="1929" customFormat="false" ht="15" hidden="false" customHeight="false" outlineLevel="0" collapsed="false">
      <c r="A1929" s="4" t="str">
        <f aca="false">B1929&amp;"|"&amp;C1929</f>
        <v>tdbR00000573 Gln-UUG|38</v>
      </c>
      <c r="B1929" s="4" t="s">
        <v>63</v>
      </c>
      <c r="C1929" s="4" t="s">
        <v>458</v>
      </c>
      <c r="D1929" s="4" t="n">
        <v>38</v>
      </c>
      <c r="E1929" s="19" t="s">
        <v>246</v>
      </c>
      <c r="F1929" s="20" t="s">
        <v>452</v>
      </c>
    </row>
    <row r="1930" customFormat="false" ht="15" hidden="false" customHeight="false" outlineLevel="0" collapsed="false">
      <c r="A1930" s="4" t="str">
        <f aca="false">B1930&amp;"|"&amp;C1930</f>
        <v>tdbR00000573 Gln-UUG|39</v>
      </c>
      <c r="B1930" s="4" t="s">
        <v>63</v>
      </c>
      <c r="C1930" s="4" t="s">
        <v>459</v>
      </c>
      <c r="D1930" s="4" t="n">
        <v>39</v>
      </c>
      <c r="E1930" s="21" t="s">
        <v>259</v>
      </c>
      <c r="F1930" s="22" t="s">
        <v>446</v>
      </c>
    </row>
    <row r="1931" customFormat="false" ht="15" hidden="false" customHeight="false" outlineLevel="0" collapsed="false">
      <c r="A1931" s="4" t="str">
        <f aca="false">B1931&amp;"|"&amp;C1931</f>
        <v>tdbR00000573 Gln-UUG|40</v>
      </c>
      <c r="B1931" s="4" t="s">
        <v>63</v>
      </c>
      <c r="C1931" s="4" t="s">
        <v>460</v>
      </c>
      <c r="D1931" s="4" t="n">
        <v>40</v>
      </c>
      <c r="E1931" s="21" t="s">
        <v>414</v>
      </c>
      <c r="F1931" s="22" t="s">
        <v>446</v>
      </c>
    </row>
    <row r="1932" customFormat="false" ht="15" hidden="false" customHeight="false" outlineLevel="0" collapsed="false">
      <c r="A1932" s="4" t="str">
        <f aca="false">B1932&amp;"|"&amp;C1932</f>
        <v>tdbR00000573 Gln-UUG|41</v>
      </c>
      <c r="B1932" s="4" t="s">
        <v>63</v>
      </c>
      <c r="C1932" s="4" t="s">
        <v>461</v>
      </c>
      <c r="D1932" s="4" t="n">
        <v>41</v>
      </c>
      <c r="E1932" s="21" t="s">
        <v>414</v>
      </c>
      <c r="F1932" s="22" t="s">
        <v>446</v>
      </c>
    </row>
    <row r="1933" customFormat="false" ht="15" hidden="false" customHeight="false" outlineLevel="0" collapsed="false">
      <c r="A1933" s="4" t="str">
        <f aca="false">B1933&amp;"|"&amp;C1933</f>
        <v>tdbR00000573 Gln-UUG|42</v>
      </c>
      <c r="B1933" s="4" t="s">
        <v>63</v>
      </c>
      <c r="C1933" s="4" t="s">
        <v>462</v>
      </c>
      <c r="D1933" s="4" t="n">
        <v>42</v>
      </c>
      <c r="E1933" s="21" t="s">
        <v>197</v>
      </c>
      <c r="F1933" s="22" t="s">
        <v>446</v>
      </c>
    </row>
    <row r="1934" customFormat="false" ht="15" hidden="false" customHeight="false" outlineLevel="0" collapsed="false">
      <c r="A1934" s="4" t="str">
        <f aca="false">B1934&amp;"|"&amp;C1934</f>
        <v>tdbR00000573 Gln-UUG|43</v>
      </c>
      <c r="B1934" s="4" t="s">
        <v>63</v>
      </c>
      <c r="C1934" s="4" t="s">
        <v>463</v>
      </c>
      <c r="D1934" s="4" t="n">
        <v>43</v>
      </c>
      <c r="E1934" s="21" t="s">
        <v>246</v>
      </c>
      <c r="F1934" s="22" t="s">
        <v>446</v>
      </c>
    </row>
    <row r="1935" customFormat="false" ht="15" hidden="false" customHeight="false" outlineLevel="0" collapsed="false">
      <c r="A1935" s="4" t="str">
        <f aca="false">B1935&amp;"|"&amp;C1935</f>
        <v>tdbR00000573 Gln-UUG|44</v>
      </c>
      <c r="B1935" s="4" t="s">
        <v>63</v>
      </c>
      <c r="C1935" s="4" t="s">
        <v>464</v>
      </c>
      <c r="D1935" s="4" t="n">
        <v>44</v>
      </c>
      <c r="E1935" s="19" t="s">
        <v>246</v>
      </c>
      <c r="F1935" s="20" t="s">
        <v>465</v>
      </c>
    </row>
    <row r="1936" customFormat="false" ht="15" hidden="false" customHeight="false" outlineLevel="0" collapsed="false">
      <c r="A1936" s="4" t="str">
        <f aca="false">B1936&amp;"|"&amp;C1936</f>
        <v>tdbR00000573 Gln-UUG|45</v>
      </c>
      <c r="B1936" s="4" t="s">
        <v>63</v>
      </c>
      <c r="C1936" s="4" t="s">
        <v>466</v>
      </c>
      <c r="D1936" s="4" t="n">
        <v>45</v>
      </c>
      <c r="E1936" s="19" t="s">
        <v>246</v>
      </c>
      <c r="F1936" s="20" t="s">
        <v>465</v>
      </c>
    </row>
    <row r="1937" customFormat="false" ht="15" hidden="false" customHeight="false" outlineLevel="0" collapsed="false">
      <c r="A1937" s="4" t="str">
        <f aca="false">B1937&amp;"|"&amp;C1937</f>
        <v>tdbR00000573 Gln-UUG|46</v>
      </c>
      <c r="B1937" s="4" t="s">
        <v>63</v>
      </c>
      <c r="C1937" s="4" t="s">
        <v>467</v>
      </c>
      <c r="D1937" s="4" t="n">
        <v>46</v>
      </c>
      <c r="E1937" s="19" t="s">
        <v>246</v>
      </c>
      <c r="F1937" s="20" t="s">
        <v>465</v>
      </c>
    </row>
    <row r="1938" customFormat="false" ht="15" hidden="false" customHeight="false" outlineLevel="0" collapsed="false">
      <c r="A1938" s="4" t="str">
        <f aca="false">B1938&amp;"|"&amp;C1938</f>
        <v>tdbR00000573 Gln-UUG|48</v>
      </c>
      <c r="B1938" s="4" t="s">
        <v>63</v>
      </c>
      <c r="C1938" s="4" t="s">
        <v>469</v>
      </c>
      <c r="D1938" s="4" t="n">
        <v>47</v>
      </c>
      <c r="E1938" s="19" t="s">
        <v>414</v>
      </c>
      <c r="F1938" s="20" t="s">
        <v>465</v>
      </c>
    </row>
    <row r="1939" customFormat="false" ht="15" hidden="false" customHeight="false" outlineLevel="0" collapsed="false">
      <c r="A1939" s="4" t="str">
        <f aca="false">B1939&amp;"|"&amp;C1939</f>
        <v>tdbR00000573 Gln-UUG|49</v>
      </c>
      <c r="B1939" s="4" t="s">
        <v>63</v>
      </c>
      <c r="C1939" s="4" t="s">
        <v>470</v>
      </c>
      <c r="D1939" s="4" t="n">
        <v>48</v>
      </c>
      <c r="E1939" s="23" t="s">
        <v>414</v>
      </c>
      <c r="F1939" s="10" t="s">
        <v>471</v>
      </c>
    </row>
    <row r="1940" customFormat="false" ht="15" hidden="false" customHeight="false" outlineLevel="0" collapsed="false">
      <c r="A1940" s="4" t="str">
        <f aca="false">B1940&amp;"|"&amp;C1940</f>
        <v>tdbR00000573 Gln-UUG|50</v>
      </c>
      <c r="B1940" s="4" t="s">
        <v>63</v>
      </c>
      <c r="C1940" s="4" t="s">
        <v>472</v>
      </c>
      <c r="D1940" s="4" t="n">
        <v>49</v>
      </c>
      <c r="E1940" s="23" t="s">
        <v>414</v>
      </c>
      <c r="F1940" s="10" t="s">
        <v>471</v>
      </c>
    </row>
    <row r="1941" customFormat="false" ht="15" hidden="false" customHeight="false" outlineLevel="0" collapsed="false">
      <c r="A1941" s="4" t="str">
        <f aca="false">B1941&amp;"|"&amp;C1941</f>
        <v>tdbR00000573 Gln-UUG|51</v>
      </c>
      <c r="B1941" s="4" t="s">
        <v>63</v>
      </c>
      <c r="C1941" s="4" t="s">
        <v>473</v>
      </c>
      <c r="D1941" s="4" t="n">
        <v>50</v>
      </c>
      <c r="E1941" s="23" t="s">
        <v>246</v>
      </c>
      <c r="F1941" s="10" t="s">
        <v>471</v>
      </c>
    </row>
    <row r="1942" customFormat="false" ht="15" hidden="false" customHeight="false" outlineLevel="0" collapsed="false">
      <c r="A1942" s="4" t="str">
        <f aca="false">B1942&amp;"|"&amp;C1942</f>
        <v>tdbR00000573 Gln-UUG|52</v>
      </c>
      <c r="B1942" s="4" t="s">
        <v>63</v>
      </c>
      <c r="C1942" s="4" t="s">
        <v>474</v>
      </c>
      <c r="D1942" s="4" t="n">
        <v>51</v>
      </c>
      <c r="E1942" s="23" t="s">
        <v>197</v>
      </c>
      <c r="F1942" s="10" t="s">
        <v>471</v>
      </c>
    </row>
    <row r="1943" customFormat="false" ht="15" hidden="false" customHeight="false" outlineLevel="0" collapsed="false">
      <c r="A1943" s="4" t="str">
        <f aca="false">B1943&amp;"|"&amp;C1943</f>
        <v>tdbR00000573 Gln-UUG|53</v>
      </c>
      <c r="B1943" s="4" t="s">
        <v>63</v>
      </c>
      <c r="C1943" s="4" t="s">
        <v>475</v>
      </c>
      <c r="D1943" s="4" t="n">
        <v>52</v>
      </c>
      <c r="E1943" s="23" t="s">
        <v>197</v>
      </c>
      <c r="F1943" s="10" t="s">
        <v>471</v>
      </c>
    </row>
    <row r="1944" customFormat="false" ht="15" hidden="false" customHeight="false" outlineLevel="0" collapsed="false">
      <c r="A1944" s="4" t="str">
        <f aca="false">B1944&amp;"|"&amp;C1944</f>
        <v>tdbR00000573 Gln-UUG|54</v>
      </c>
      <c r="B1944" s="4" t="s">
        <v>63</v>
      </c>
      <c r="C1944" s="4" t="s">
        <v>476</v>
      </c>
      <c r="D1944" s="4" t="n">
        <v>53</v>
      </c>
      <c r="E1944" s="19" t="s">
        <v>259</v>
      </c>
      <c r="F1944" s="20" t="s">
        <v>477</v>
      </c>
    </row>
    <row r="1945" customFormat="false" ht="15" hidden="false" customHeight="false" outlineLevel="0" collapsed="false">
      <c r="A1945" s="4" t="str">
        <f aca="false">B1945&amp;"|"&amp;C1945</f>
        <v>tdbR00000573 Gln-UUG|55</v>
      </c>
      <c r="B1945" s="4" t="s">
        <v>63</v>
      </c>
      <c r="C1945" s="4" t="s">
        <v>478</v>
      </c>
      <c r="D1945" s="4" t="n">
        <v>54</v>
      </c>
      <c r="E1945" s="19" t="s">
        <v>259</v>
      </c>
      <c r="F1945" s="20" t="s">
        <v>477</v>
      </c>
    </row>
    <row r="1946" customFormat="false" ht="15" hidden="false" customHeight="false" outlineLevel="0" collapsed="false">
      <c r="A1946" s="4" t="str">
        <f aca="false">B1946&amp;"|"&amp;C1946</f>
        <v>tdbR00000573 Gln-UUG|56</v>
      </c>
      <c r="B1946" s="4" t="s">
        <v>63</v>
      </c>
      <c r="C1946" s="4" t="s">
        <v>479</v>
      </c>
      <c r="D1946" s="4" t="n">
        <v>55</v>
      </c>
      <c r="E1946" s="19" t="s">
        <v>414</v>
      </c>
      <c r="F1946" s="20" t="s">
        <v>477</v>
      </c>
    </row>
    <row r="1947" customFormat="false" ht="15" hidden="false" customHeight="false" outlineLevel="0" collapsed="false">
      <c r="A1947" s="4" t="str">
        <f aca="false">B1947&amp;"|"&amp;C1947</f>
        <v>tdbR00000573 Gln-UUG|57</v>
      </c>
      <c r="B1947" s="4" t="s">
        <v>63</v>
      </c>
      <c r="C1947" s="4" t="s">
        <v>480</v>
      </c>
      <c r="D1947" s="4" t="n">
        <v>56</v>
      </c>
      <c r="E1947" s="19" t="s">
        <v>197</v>
      </c>
      <c r="F1947" s="20" t="s">
        <v>477</v>
      </c>
    </row>
    <row r="1948" customFormat="false" ht="15" hidden="false" customHeight="false" outlineLevel="0" collapsed="false">
      <c r="A1948" s="4" t="str">
        <f aca="false">B1948&amp;"|"&amp;C1948</f>
        <v>tdbR00000573 Gln-UUG|58</v>
      </c>
      <c r="B1948" s="4" t="s">
        <v>63</v>
      </c>
      <c r="C1948" s="4" t="s">
        <v>481</v>
      </c>
      <c r="D1948" s="4" t="n">
        <v>57</v>
      </c>
      <c r="E1948" s="19" t="s">
        <v>246</v>
      </c>
      <c r="F1948" s="20" t="s">
        <v>477</v>
      </c>
    </row>
    <row r="1949" customFormat="false" ht="15" hidden="false" customHeight="false" outlineLevel="0" collapsed="false">
      <c r="A1949" s="4" t="str">
        <f aca="false">B1949&amp;"|"&amp;C1949</f>
        <v>tdbR00000573 Gln-UUG|59</v>
      </c>
      <c r="B1949" s="4" t="s">
        <v>63</v>
      </c>
      <c r="C1949" s="4" t="s">
        <v>482</v>
      </c>
      <c r="D1949" s="4" t="n">
        <v>58</v>
      </c>
      <c r="E1949" s="19" t="s">
        <v>246</v>
      </c>
      <c r="F1949" s="20" t="s">
        <v>477</v>
      </c>
    </row>
    <row r="1950" customFormat="false" ht="15" hidden="false" customHeight="false" outlineLevel="0" collapsed="false">
      <c r="A1950" s="4" t="str">
        <f aca="false">B1950&amp;"|"&amp;C1950</f>
        <v>tdbR00000573 Gln-UUG|60</v>
      </c>
      <c r="B1950" s="4" t="s">
        <v>63</v>
      </c>
      <c r="C1950" s="4" t="s">
        <v>483</v>
      </c>
      <c r="D1950" s="4" t="n">
        <v>59</v>
      </c>
      <c r="E1950" s="19" t="s">
        <v>259</v>
      </c>
      <c r="F1950" s="20" t="s">
        <v>477</v>
      </c>
    </row>
    <row r="1951" customFormat="false" ht="15" hidden="false" customHeight="false" outlineLevel="0" collapsed="false">
      <c r="A1951" s="4" t="str">
        <f aca="false">B1951&amp;"|"&amp;C1951</f>
        <v>tdbR00000573 Gln-UUG|61</v>
      </c>
      <c r="B1951" s="4" t="s">
        <v>63</v>
      </c>
      <c r="C1951" s="4" t="s">
        <v>484</v>
      </c>
      <c r="D1951" s="4" t="n">
        <v>60</v>
      </c>
      <c r="E1951" s="23" t="s">
        <v>414</v>
      </c>
      <c r="F1951" s="10" t="s">
        <v>471</v>
      </c>
    </row>
    <row r="1952" customFormat="false" ht="15" hidden="false" customHeight="false" outlineLevel="0" collapsed="false">
      <c r="A1952" s="4" t="str">
        <f aca="false">B1952&amp;"|"&amp;C1952</f>
        <v>tdbR00000573 Gln-UUG|62</v>
      </c>
      <c r="B1952" s="4" t="s">
        <v>63</v>
      </c>
      <c r="C1952" s="4" t="s">
        <v>485</v>
      </c>
      <c r="D1952" s="4" t="n">
        <v>61</v>
      </c>
      <c r="E1952" s="23" t="s">
        <v>414</v>
      </c>
      <c r="F1952" s="10" t="s">
        <v>471</v>
      </c>
    </row>
    <row r="1953" customFormat="false" ht="15" hidden="false" customHeight="false" outlineLevel="0" collapsed="false">
      <c r="A1953" s="4" t="str">
        <f aca="false">B1953&amp;"|"&amp;C1953</f>
        <v>tdbR00000573 Gln-UUG|63</v>
      </c>
      <c r="B1953" s="4" t="s">
        <v>63</v>
      </c>
      <c r="C1953" s="4" t="s">
        <v>486</v>
      </c>
      <c r="D1953" s="4" t="n">
        <v>62</v>
      </c>
      <c r="E1953" s="23" t="s">
        <v>259</v>
      </c>
      <c r="F1953" s="10" t="s">
        <v>471</v>
      </c>
    </row>
    <row r="1954" customFormat="false" ht="15" hidden="false" customHeight="false" outlineLevel="0" collapsed="false">
      <c r="A1954" s="4" t="str">
        <f aca="false">B1954&amp;"|"&amp;C1954</f>
        <v>tdbR00000573 Gln-UUG|64</v>
      </c>
      <c r="B1954" s="4" t="s">
        <v>63</v>
      </c>
      <c r="C1954" s="4" t="s">
        <v>487</v>
      </c>
      <c r="D1954" s="4" t="n">
        <v>63</v>
      </c>
      <c r="E1954" s="23" t="s">
        <v>197</v>
      </c>
      <c r="F1954" s="10" t="s">
        <v>471</v>
      </c>
    </row>
    <row r="1955" customFormat="false" ht="15" hidden="false" customHeight="false" outlineLevel="0" collapsed="false">
      <c r="A1955" s="4" t="str">
        <f aca="false">B1955&amp;"|"&amp;C1955</f>
        <v>tdbR00000573 Gln-UUG|65</v>
      </c>
      <c r="B1955" s="4" t="s">
        <v>63</v>
      </c>
      <c r="C1955" s="4" t="s">
        <v>488</v>
      </c>
      <c r="D1955" s="4" t="n">
        <v>64</v>
      </c>
      <c r="E1955" s="23" t="s">
        <v>197</v>
      </c>
      <c r="F1955" s="10" t="s">
        <v>471</v>
      </c>
    </row>
    <row r="1956" customFormat="false" ht="15" hidden="false" customHeight="false" outlineLevel="0" collapsed="false">
      <c r="A1956" s="4" t="str">
        <f aca="false">B1956&amp;"|"&amp;C1956</f>
        <v>tdbR00000573 Gln-UUG|66</v>
      </c>
      <c r="B1956" s="4" t="s">
        <v>63</v>
      </c>
      <c r="C1956" s="4" t="s">
        <v>489</v>
      </c>
      <c r="D1956" s="4" t="n">
        <v>65</v>
      </c>
      <c r="E1956" s="17" t="s">
        <v>259</v>
      </c>
      <c r="F1956" s="18" t="s">
        <v>412</v>
      </c>
    </row>
    <row r="1957" customFormat="false" ht="15" hidden="false" customHeight="false" outlineLevel="0" collapsed="false">
      <c r="A1957" s="4" t="str">
        <f aca="false">B1957&amp;"|"&amp;C1957</f>
        <v>tdbR00000573 Gln-UUG|67</v>
      </c>
      <c r="B1957" s="4" t="s">
        <v>63</v>
      </c>
      <c r="C1957" s="4" t="s">
        <v>490</v>
      </c>
      <c r="D1957" s="4" t="n">
        <v>66</v>
      </c>
      <c r="E1957" s="17" t="s">
        <v>246</v>
      </c>
      <c r="F1957" s="18" t="s">
        <v>412</v>
      </c>
    </row>
    <row r="1958" customFormat="false" ht="15" hidden="false" customHeight="false" outlineLevel="0" collapsed="false">
      <c r="A1958" s="4" t="str">
        <f aca="false">B1958&amp;"|"&amp;C1958</f>
        <v>tdbR00000573 Gln-UUG|68</v>
      </c>
      <c r="B1958" s="4" t="s">
        <v>63</v>
      </c>
      <c r="C1958" s="4" t="s">
        <v>491</v>
      </c>
      <c r="D1958" s="4" t="n">
        <v>67</v>
      </c>
      <c r="E1958" s="17" t="s">
        <v>197</v>
      </c>
      <c r="F1958" s="18" t="s">
        <v>412</v>
      </c>
    </row>
    <row r="1959" customFormat="false" ht="15" hidden="false" customHeight="false" outlineLevel="0" collapsed="false">
      <c r="A1959" s="4" t="str">
        <f aca="false">B1959&amp;"|"&amp;C1959</f>
        <v>tdbR00000573 Gln-UUG|69</v>
      </c>
      <c r="B1959" s="4" t="s">
        <v>63</v>
      </c>
      <c r="C1959" s="4" t="s">
        <v>492</v>
      </c>
      <c r="D1959" s="4" t="n">
        <v>68</v>
      </c>
      <c r="E1959" s="17" t="s">
        <v>197</v>
      </c>
      <c r="F1959" s="18" t="s">
        <v>412</v>
      </c>
    </row>
    <row r="1960" customFormat="false" ht="15" hidden="false" customHeight="false" outlineLevel="0" collapsed="false">
      <c r="A1960" s="4" t="str">
        <f aca="false">B1960&amp;"|"&amp;C1960</f>
        <v>tdbR00000573 Gln-UUG|70</v>
      </c>
      <c r="B1960" s="4" t="s">
        <v>63</v>
      </c>
      <c r="C1960" s="4" t="s">
        <v>493</v>
      </c>
      <c r="D1960" s="4" t="n">
        <v>69</v>
      </c>
      <c r="E1960" s="17" t="s">
        <v>246</v>
      </c>
      <c r="F1960" s="18" t="s">
        <v>412</v>
      </c>
    </row>
    <row r="1961" customFormat="false" ht="15" hidden="false" customHeight="false" outlineLevel="0" collapsed="false">
      <c r="A1961" s="4" t="str">
        <f aca="false">B1961&amp;"|"&amp;C1961</f>
        <v>tdbR00000573 Gln-UUG|71</v>
      </c>
      <c r="B1961" s="4" t="s">
        <v>63</v>
      </c>
      <c r="C1961" s="4" t="s">
        <v>494</v>
      </c>
      <c r="D1961" s="4" t="n">
        <v>70</v>
      </c>
      <c r="E1961" s="17" t="s">
        <v>414</v>
      </c>
      <c r="F1961" s="18" t="s">
        <v>412</v>
      </c>
    </row>
    <row r="1962" customFormat="false" ht="15" hidden="false" customHeight="false" outlineLevel="0" collapsed="false">
      <c r="A1962" s="4" t="str">
        <f aca="false">B1962&amp;"|"&amp;C1962</f>
        <v>tdbR00000573 Gln-UUG|72</v>
      </c>
      <c r="B1962" s="4" t="s">
        <v>63</v>
      </c>
      <c r="C1962" s="4" t="s">
        <v>495</v>
      </c>
      <c r="D1962" s="4" t="n">
        <v>71</v>
      </c>
      <c r="E1962" s="17" t="s">
        <v>414</v>
      </c>
      <c r="F1962" s="18" t="s">
        <v>412</v>
      </c>
    </row>
    <row r="1963" customFormat="false" ht="15" hidden="false" customHeight="false" outlineLevel="0" collapsed="false">
      <c r="A1963" s="4" t="str">
        <f aca="false">B1963&amp;"|"&amp;C1963</f>
        <v>tdbR00000578 Glu-UUC|1</v>
      </c>
      <c r="B1963" s="4" t="s">
        <v>64</v>
      </c>
      <c r="C1963" s="4" t="s">
        <v>411</v>
      </c>
      <c r="D1963" s="4" t="n">
        <v>1</v>
      </c>
      <c r="E1963" s="17" t="s">
        <v>259</v>
      </c>
      <c r="F1963" s="18" t="s">
        <v>412</v>
      </c>
    </row>
    <row r="1964" customFormat="false" ht="15" hidden="false" customHeight="false" outlineLevel="0" collapsed="false">
      <c r="A1964" s="4" t="str">
        <f aca="false">B1964&amp;"|"&amp;C1964</f>
        <v>tdbR00000578 Glu-UUC|2</v>
      </c>
      <c r="B1964" s="4" t="s">
        <v>64</v>
      </c>
      <c r="C1964" s="4" t="s">
        <v>413</v>
      </c>
      <c r="D1964" s="4" t="n">
        <v>2</v>
      </c>
      <c r="E1964" s="17" t="s">
        <v>414</v>
      </c>
      <c r="F1964" s="18" t="s">
        <v>412</v>
      </c>
    </row>
    <row r="1965" customFormat="false" ht="15" hidden="false" customHeight="false" outlineLevel="0" collapsed="false">
      <c r="A1965" s="4" t="str">
        <f aca="false">B1965&amp;"|"&amp;C1965</f>
        <v>tdbR00000578 Glu-UUC|3</v>
      </c>
      <c r="B1965" s="4" t="s">
        <v>64</v>
      </c>
      <c r="C1965" s="4" t="s">
        <v>415</v>
      </c>
      <c r="D1965" s="4" t="n">
        <v>3</v>
      </c>
      <c r="E1965" s="17" t="s">
        <v>414</v>
      </c>
      <c r="F1965" s="18" t="s">
        <v>412</v>
      </c>
    </row>
    <row r="1966" customFormat="false" ht="15" hidden="false" customHeight="false" outlineLevel="0" collapsed="false">
      <c r="A1966" s="4" t="str">
        <f aca="false">B1966&amp;"|"&amp;C1966</f>
        <v>tdbR00000578 Glu-UUC|4</v>
      </c>
      <c r="B1966" s="4" t="s">
        <v>64</v>
      </c>
      <c r="C1966" s="4" t="s">
        <v>416</v>
      </c>
      <c r="D1966" s="4" t="n">
        <v>4</v>
      </c>
      <c r="E1966" s="17" t="s">
        <v>197</v>
      </c>
      <c r="F1966" s="18" t="s">
        <v>412</v>
      </c>
    </row>
    <row r="1967" customFormat="false" ht="15" hidden="false" customHeight="false" outlineLevel="0" collapsed="false">
      <c r="A1967" s="4" t="str">
        <f aca="false">B1967&amp;"|"&amp;C1967</f>
        <v>tdbR00000578 Glu-UUC|5</v>
      </c>
      <c r="B1967" s="4" t="s">
        <v>64</v>
      </c>
      <c r="C1967" s="4" t="s">
        <v>417</v>
      </c>
      <c r="D1967" s="4" t="n">
        <v>5</v>
      </c>
      <c r="E1967" s="17" t="s">
        <v>246</v>
      </c>
      <c r="F1967" s="18" t="s">
        <v>412</v>
      </c>
    </row>
    <row r="1968" customFormat="false" ht="15" hidden="false" customHeight="false" outlineLevel="0" collapsed="false">
      <c r="A1968" s="4" t="str">
        <f aca="false">B1968&amp;"|"&amp;C1968</f>
        <v>tdbR00000578 Glu-UUC|6</v>
      </c>
      <c r="B1968" s="4" t="s">
        <v>64</v>
      </c>
      <c r="C1968" s="4" t="s">
        <v>418</v>
      </c>
      <c r="D1968" s="4" t="n">
        <v>6</v>
      </c>
      <c r="E1968" s="17" t="s">
        <v>259</v>
      </c>
      <c r="F1968" s="18" t="s">
        <v>412</v>
      </c>
    </row>
    <row r="1969" customFormat="false" ht="15" hidden="false" customHeight="false" outlineLevel="0" collapsed="false">
      <c r="A1969" s="4" t="str">
        <f aca="false">B1969&amp;"|"&amp;C1969</f>
        <v>tdbR00000578 Glu-UUC|7</v>
      </c>
      <c r="B1969" s="4" t="s">
        <v>64</v>
      </c>
      <c r="C1969" s="4" t="s">
        <v>419</v>
      </c>
      <c r="D1969" s="4" t="n">
        <v>7</v>
      </c>
      <c r="E1969" s="17" t="s">
        <v>197</v>
      </c>
      <c r="F1969" s="18" t="s">
        <v>412</v>
      </c>
    </row>
    <row r="1970" customFormat="false" ht="15" hidden="false" customHeight="false" outlineLevel="0" collapsed="false">
      <c r="A1970" s="4" t="str">
        <f aca="false">B1970&amp;"|"&amp;C1970</f>
        <v>tdbR00000578 Glu-UUC|8</v>
      </c>
      <c r="B1970" s="4" t="s">
        <v>64</v>
      </c>
      <c r="C1970" s="4" t="s">
        <v>420</v>
      </c>
      <c r="D1970" s="4" t="n">
        <v>8</v>
      </c>
      <c r="E1970" s="3" t="s">
        <v>259</v>
      </c>
      <c r="F1970" s="4" t="s">
        <v>421</v>
      </c>
    </row>
    <row r="1971" customFormat="false" ht="15" hidden="false" customHeight="false" outlineLevel="0" collapsed="false">
      <c r="A1971" s="4" t="str">
        <f aca="false">B1971&amp;"|"&amp;C1971</f>
        <v>tdbR00000578 Glu-UUC|9</v>
      </c>
      <c r="B1971" s="4" t="s">
        <v>64</v>
      </c>
      <c r="C1971" s="4" t="s">
        <v>422</v>
      </c>
      <c r="D1971" s="4" t="n">
        <v>9</v>
      </c>
      <c r="E1971" s="3" t="s">
        <v>246</v>
      </c>
      <c r="F1971" s="4" t="s">
        <v>423</v>
      </c>
    </row>
    <row r="1972" customFormat="false" ht="15" hidden="false" customHeight="false" outlineLevel="0" collapsed="false">
      <c r="A1972" s="4" t="str">
        <f aca="false">B1972&amp;"|"&amp;C1972</f>
        <v>tdbR00000578 Glu-UUC|10</v>
      </c>
      <c r="B1972" s="4" t="s">
        <v>64</v>
      </c>
      <c r="C1972" s="4" t="s">
        <v>424</v>
      </c>
      <c r="D1972" s="4" t="n">
        <v>10</v>
      </c>
      <c r="E1972" s="8" t="s">
        <v>197</v>
      </c>
      <c r="F1972" s="7" t="s">
        <v>425</v>
      </c>
    </row>
    <row r="1973" customFormat="false" ht="15" hidden="false" customHeight="false" outlineLevel="0" collapsed="false">
      <c r="A1973" s="4" t="str">
        <f aca="false">B1973&amp;"|"&amp;C1973</f>
        <v>tdbR00000578 Glu-UUC|11</v>
      </c>
      <c r="B1973" s="4" t="s">
        <v>64</v>
      </c>
      <c r="C1973" s="4" t="s">
        <v>426</v>
      </c>
      <c r="D1973" s="4" t="n">
        <v>11</v>
      </c>
      <c r="E1973" s="8" t="s">
        <v>259</v>
      </c>
      <c r="F1973" s="7" t="s">
        <v>425</v>
      </c>
    </row>
    <row r="1974" customFormat="false" ht="15" hidden="false" customHeight="false" outlineLevel="0" collapsed="false">
      <c r="A1974" s="4" t="str">
        <f aca="false">B1974&amp;"|"&amp;C1974</f>
        <v>tdbR00000578 Glu-UUC|12</v>
      </c>
      <c r="B1974" s="4" t="s">
        <v>64</v>
      </c>
      <c r="C1974" s="4" t="s">
        <v>427</v>
      </c>
      <c r="D1974" s="4" t="n">
        <v>12</v>
      </c>
      <c r="E1974" s="8" t="s">
        <v>246</v>
      </c>
      <c r="F1974" s="7" t="s">
        <v>425</v>
      </c>
    </row>
    <row r="1975" customFormat="false" ht="15" hidden="false" customHeight="false" outlineLevel="0" collapsed="false">
      <c r="A1975" s="4" t="str">
        <f aca="false">B1975&amp;"|"&amp;C1975</f>
        <v>tdbR00000578 Glu-UUC|13</v>
      </c>
      <c r="B1975" s="4" t="s">
        <v>64</v>
      </c>
      <c r="C1975" s="4" t="s">
        <v>428</v>
      </c>
      <c r="D1975" s="4" t="n">
        <v>13</v>
      </c>
      <c r="E1975" s="8" t="s">
        <v>259</v>
      </c>
      <c r="F1975" s="7" t="s">
        <v>425</v>
      </c>
    </row>
    <row r="1976" customFormat="false" ht="15" hidden="false" customHeight="false" outlineLevel="0" collapsed="false">
      <c r="A1976" s="4" t="str">
        <f aca="false">B1976&amp;"|"&amp;C1976</f>
        <v>tdbR00000578 Glu-UUC|14</v>
      </c>
      <c r="B1976" s="4" t="s">
        <v>64</v>
      </c>
      <c r="C1976" s="4" t="s">
        <v>429</v>
      </c>
      <c r="D1976" s="4" t="n">
        <v>14</v>
      </c>
      <c r="E1976" s="19" t="s">
        <v>246</v>
      </c>
      <c r="F1976" s="20" t="s">
        <v>430</v>
      </c>
    </row>
    <row r="1977" customFormat="false" ht="15" hidden="false" customHeight="false" outlineLevel="0" collapsed="false">
      <c r="A1977" s="4" t="str">
        <f aca="false">B1977&amp;"|"&amp;C1977</f>
        <v>tdbR00000578 Glu-UUC|15</v>
      </c>
      <c r="B1977" s="4" t="s">
        <v>64</v>
      </c>
      <c r="C1977" s="4" t="s">
        <v>431</v>
      </c>
      <c r="D1977" s="4" t="n">
        <v>15</v>
      </c>
      <c r="E1977" s="19" t="s">
        <v>246</v>
      </c>
      <c r="F1977" s="20" t="s">
        <v>430</v>
      </c>
    </row>
    <row r="1978" customFormat="false" ht="15" hidden="false" customHeight="false" outlineLevel="0" collapsed="false">
      <c r="A1978" s="4" t="str">
        <f aca="false">B1978&amp;"|"&amp;C1978</f>
        <v>tdbR00000578 Glu-UUC|16</v>
      </c>
      <c r="B1978" s="4" t="s">
        <v>64</v>
      </c>
      <c r="C1978" s="4" t="s">
        <v>432</v>
      </c>
      <c r="D1978" s="4" t="n">
        <v>16</v>
      </c>
      <c r="E1978" s="19" t="s">
        <v>414</v>
      </c>
      <c r="F1978" s="20" t="s">
        <v>430</v>
      </c>
    </row>
    <row r="1979" customFormat="false" ht="15" hidden="false" customHeight="false" outlineLevel="0" collapsed="false">
      <c r="A1979" s="4" t="str">
        <f aca="false">B1979&amp;"|"&amp;C1979</f>
        <v>tdbR00000578 Glu-UUC|18</v>
      </c>
      <c r="B1979" s="4" t="s">
        <v>64</v>
      </c>
      <c r="C1979" s="4" t="s">
        <v>434</v>
      </c>
      <c r="D1979" s="4" t="n">
        <v>17</v>
      </c>
      <c r="E1979" s="19" t="s">
        <v>197</v>
      </c>
      <c r="F1979" s="20" t="s">
        <v>430</v>
      </c>
    </row>
    <row r="1980" customFormat="false" ht="15" hidden="false" customHeight="false" outlineLevel="0" collapsed="false">
      <c r="A1980" s="4" t="str">
        <f aca="false">B1980&amp;"|"&amp;C1980</f>
        <v>tdbR00000578 Glu-UUC|19</v>
      </c>
      <c r="B1980" s="4" t="s">
        <v>64</v>
      </c>
      <c r="C1980" s="4" t="s">
        <v>435</v>
      </c>
      <c r="D1980" s="4" t="n">
        <v>18</v>
      </c>
      <c r="E1980" s="19" t="s">
        <v>197</v>
      </c>
      <c r="F1980" s="20" t="s">
        <v>430</v>
      </c>
    </row>
    <row r="1981" customFormat="false" ht="15" hidden="false" customHeight="false" outlineLevel="0" collapsed="false">
      <c r="A1981" s="4" t="str">
        <f aca="false">B1981&amp;"|"&amp;C1981</f>
        <v>tdbR00000578 Glu-UUC|20</v>
      </c>
      <c r="B1981" s="4" t="s">
        <v>64</v>
      </c>
      <c r="C1981" s="4" t="s">
        <v>436</v>
      </c>
      <c r="D1981" s="4" t="n">
        <v>19</v>
      </c>
      <c r="E1981" s="19" t="s">
        <v>259</v>
      </c>
      <c r="F1981" s="20" t="s">
        <v>430</v>
      </c>
    </row>
    <row r="1982" customFormat="false" ht="15" hidden="false" customHeight="false" outlineLevel="0" collapsed="false">
      <c r="A1982" s="4" t="str">
        <f aca="false">B1982&amp;"|"&amp;C1982</f>
        <v>tdbR00000578 Glu-UUC|20a</v>
      </c>
      <c r="B1982" s="4" t="s">
        <v>64</v>
      </c>
      <c r="C1982" s="4" t="s">
        <v>437</v>
      </c>
      <c r="D1982" s="4" t="n">
        <v>20</v>
      </c>
      <c r="E1982" s="19" t="s">
        <v>259</v>
      </c>
      <c r="F1982" s="20" t="s">
        <v>430</v>
      </c>
    </row>
    <row r="1983" customFormat="false" ht="15" hidden="false" customHeight="false" outlineLevel="0" collapsed="false">
      <c r="A1983" s="4" t="str">
        <f aca="false">B1983&amp;"|"&amp;C1983</f>
        <v>tdbR00000578 Glu-UUC|21</v>
      </c>
      <c r="B1983" s="4" t="s">
        <v>64</v>
      </c>
      <c r="C1983" s="4" t="s">
        <v>438</v>
      </c>
      <c r="D1983" s="4" t="n">
        <v>21</v>
      </c>
      <c r="E1983" s="19" t="s">
        <v>246</v>
      </c>
      <c r="F1983" s="20" t="s">
        <v>430</v>
      </c>
    </row>
    <row r="1984" customFormat="false" ht="15" hidden="false" customHeight="false" outlineLevel="0" collapsed="false">
      <c r="A1984" s="4" t="str">
        <f aca="false">B1984&amp;"|"&amp;C1984</f>
        <v>tdbR00000578 Glu-UUC|22</v>
      </c>
      <c r="B1984" s="4" t="s">
        <v>64</v>
      </c>
      <c r="C1984" s="4" t="s">
        <v>439</v>
      </c>
      <c r="D1984" s="4" t="n">
        <v>22</v>
      </c>
      <c r="E1984" s="8" t="s">
        <v>197</v>
      </c>
      <c r="F1984" s="7" t="s">
        <v>425</v>
      </c>
    </row>
    <row r="1985" customFormat="false" ht="15" hidden="false" customHeight="false" outlineLevel="0" collapsed="false">
      <c r="A1985" s="4" t="str">
        <f aca="false">B1985&amp;"|"&amp;C1985</f>
        <v>tdbR00000578 Glu-UUC|23</v>
      </c>
      <c r="B1985" s="4" t="s">
        <v>64</v>
      </c>
      <c r="C1985" s="4" t="s">
        <v>440</v>
      </c>
      <c r="D1985" s="4" t="n">
        <v>23</v>
      </c>
      <c r="E1985" s="8" t="s">
        <v>246</v>
      </c>
      <c r="F1985" s="7" t="s">
        <v>425</v>
      </c>
    </row>
    <row r="1986" customFormat="false" ht="15" hidden="false" customHeight="false" outlineLevel="0" collapsed="false">
      <c r="A1986" s="4" t="str">
        <f aca="false">B1986&amp;"|"&amp;C1986</f>
        <v>tdbR00000578 Glu-UUC|24</v>
      </c>
      <c r="B1986" s="4" t="s">
        <v>64</v>
      </c>
      <c r="C1986" s="4" t="s">
        <v>441</v>
      </c>
      <c r="D1986" s="4" t="n">
        <v>24</v>
      </c>
      <c r="E1986" s="8" t="s">
        <v>246</v>
      </c>
      <c r="F1986" s="7" t="s">
        <v>425</v>
      </c>
    </row>
    <row r="1987" customFormat="false" ht="15" hidden="false" customHeight="false" outlineLevel="0" collapsed="false">
      <c r="A1987" s="4" t="str">
        <f aca="false">B1987&amp;"|"&amp;C1987</f>
        <v>tdbR00000578 Glu-UUC|25</v>
      </c>
      <c r="B1987" s="4" t="s">
        <v>64</v>
      </c>
      <c r="C1987" s="4" t="s">
        <v>442</v>
      </c>
      <c r="D1987" s="4" t="n">
        <v>25</v>
      </c>
      <c r="E1987" s="8" t="s">
        <v>414</v>
      </c>
      <c r="F1987" s="7" t="s">
        <v>425</v>
      </c>
    </row>
    <row r="1988" customFormat="false" ht="15" hidden="false" customHeight="false" outlineLevel="0" collapsed="false">
      <c r="A1988" s="4" t="str">
        <f aca="false">B1988&amp;"|"&amp;C1988</f>
        <v>tdbR00000578 Glu-UUC|26</v>
      </c>
      <c r="B1988" s="4" t="s">
        <v>64</v>
      </c>
      <c r="C1988" s="4" t="s">
        <v>443</v>
      </c>
      <c r="D1988" s="4" t="n">
        <v>26</v>
      </c>
      <c r="E1988" s="3" t="s">
        <v>246</v>
      </c>
      <c r="F1988" s="4" t="s">
        <v>444</v>
      </c>
    </row>
    <row r="1989" customFormat="false" ht="15" hidden="false" customHeight="false" outlineLevel="0" collapsed="false">
      <c r="A1989" s="4" t="str">
        <f aca="false">B1989&amp;"|"&amp;C1989</f>
        <v>tdbR00000578 Glu-UUC|27</v>
      </c>
      <c r="B1989" s="4" t="s">
        <v>64</v>
      </c>
      <c r="C1989" s="4" t="s">
        <v>445</v>
      </c>
      <c r="D1989" s="4" t="n">
        <v>27</v>
      </c>
      <c r="E1989" s="21" t="s">
        <v>414</v>
      </c>
      <c r="F1989" s="22" t="s">
        <v>446</v>
      </c>
    </row>
    <row r="1990" customFormat="false" ht="15" hidden="false" customHeight="false" outlineLevel="0" collapsed="false">
      <c r="A1990" s="4" t="str">
        <f aca="false">B1990&amp;"|"&amp;C1990</f>
        <v>tdbR00000578 Glu-UUC|28</v>
      </c>
      <c r="B1990" s="4" t="s">
        <v>64</v>
      </c>
      <c r="C1990" s="4" t="s">
        <v>447</v>
      </c>
      <c r="D1990" s="4" t="n">
        <v>28</v>
      </c>
      <c r="E1990" s="21" t="s">
        <v>414</v>
      </c>
      <c r="F1990" s="22" t="s">
        <v>446</v>
      </c>
    </row>
    <row r="1991" customFormat="false" ht="15" hidden="false" customHeight="false" outlineLevel="0" collapsed="false">
      <c r="A1991" s="4" t="str">
        <f aca="false">B1991&amp;"|"&amp;C1991</f>
        <v>tdbR00000578 Glu-UUC|29</v>
      </c>
      <c r="B1991" s="4" t="s">
        <v>64</v>
      </c>
      <c r="C1991" s="4" t="s">
        <v>448</v>
      </c>
      <c r="D1991" s="4" t="n">
        <v>29</v>
      </c>
      <c r="E1991" s="21" t="s">
        <v>259</v>
      </c>
      <c r="F1991" s="22" t="s">
        <v>446</v>
      </c>
    </row>
    <row r="1992" customFormat="false" ht="15" hidden="false" customHeight="false" outlineLevel="0" collapsed="false">
      <c r="A1992" s="4" t="str">
        <f aca="false">B1992&amp;"|"&amp;C1992</f>
        <v>tdbR00000578 Glu-UUC|30</v>
      </c>
      <c r="B1992" s="4" t="s">
        <v>64</v>
      </c>
      <c r="C1992" s="4" t="s">
        <v>449</v>
      </c>
      <c r="D1992" s="4" t="n">
        <v>30</v>
      </c>
      <c r="E1992" s="21" t="s">
        <v>197</v>
      </c>
      <c r="F1992" s="22" t="s">
        <v>446</v>
      </c>
    </row>
    <row r="1993" customFormat="false" ht="15" hidden="false" customHeight="false" outlineLevel="0" collapsed="false">
      <c r="A1993" s="4" t="str">
        <f aca="false">B1993&amp;"|"&amp;C1993</f>
        <v>tdbR00000578 Glu-UUC|31</v>
      </c>
      <c r="B1993" s="4" t="s">
        <v>64</v>
      </c>
      <c r="C1993" s="4" t="s">
        <v>450</v>
      </c>
      <c r="D1993" s="4" t="n">
        <v>31</v>
      </c>
      <c r="E1993" s="21" t="s">
        <v>197</v>
      </c>
      <c r="F1993" s="22" t="s">
        <v>446</v>
      </c>
    </row>
    <row r="1994" customFormat="false" ht="15" hidden="false" customHeight="false" outlineLevel="0" collapsed="false">
      <c r="A1994" s="4" t="str">
        <f aca="false">B1994&amp;"|"&amp;C1994</f>
        <v>tdbR00000578 Glu-UUC|32</v>
      </c>
      <c r="B1994" s="4" t="s">
        <v>64</v>
      </c>
      <c r="C1994" s="4" t="s">
        <v>451</v>
      </c>
      <c r="D1994" s="4" t="n">
        <v>32</v>
      </c>
      <c r="E1994" s="19" t="s">
        <v>414</v>
      </c>
      <c r="F1994" s="20" t="s">
        <v>452</v>
      </c>
    </row>
    <row r="1995" customFormat="false" ht="15" hidden="false" customHeight="false" outlineLevel="0" collapsed="false">
      <c r="A1995" s="4" t="str">
        <f aca="false">B1995&amp;"|"&amp;C1995</f>
        <v>tdbR00000578 Glu-UUC|33</v>
      </c>
      <c r="B1995" s="4" t="s">
        <v>64</v>
      </c>
      <c r="C1995" s="4" t="s">
        <v>453</v>
      </c>
      <c r="D1995" s="4" t="n">
        <v>33</v>
      </c>
      <c r="E1995" s="19" t="s">
        <v>259</v>
      </c>
      <c r="F1995" s="20" t="s">
        <v>452</v>
      </c>
    </row>
    <row r="1996" customFormat="false" ht="15" hidden="false" customHeight="false" outlineLevel="0" collapsed="false">
      <c r="A1996" s="4" t="str">
        <f aca="false">B1996&amp;"|"&amp;C1996</f>
        <v>tdbR00000578 Glu-UUC|34</v>
      </c>
      <c r="B1996" s="4" t="s">
        <v>64</v>
      </c>
      <c r="C1996" s="4" t="s">
        <v>454</v>
      </c>
      <c r="D1996" s="4" t="n">
        <v>34</v>
      </c>
      <c r="E1996" s="19" t="s">
        <v>259</v>
      </c>
      <c r="F1996" s="20" t="s">
        <v>452</v>
      </c>
    </row>
    <row r="1997" customFormat="false" ht="15" hidden="false" customHeight="false" outlineLevel="0" collapsed="false">
      <c r="A1997" s="4" t="str">
        <f aca="false">B1997&amp;"|"&amp;C1997</f>
        <v>tdbR00000578 Glu-UUC|35</v>
      </c>
      <c r="B1997" s="4" t="s">
        <v>64</v>
      </c>
      <c r="C1997" s="4" t="s">
        <v>455</v>
      </c>
      <c r="D1997" s="4" t="n">
        <v>35</v>
      </c>
      <c r="E1997" s="19" t="s">
        <v>259</v>
      </c>
      <c r="F1997" s="20" t="s">
        <v>452</v>
      </c>
    </row>
    <row r="1998" customFormat="false" ht="15" hidden="false" customHeight="false" outlineLevel="0" collapsed="false">
      <c r="A1998" s="4" t="str">
        <f aca="false">B1998&amp;"|"&amp;C1998</f>
        <v>tdbR00000578 Glu-UUC|36</v>
      </c>
      <c r="B1998" s="4" t="s">
        <v>64</v>
      </c>
      <c r="C1998" s="4" t="s">
        <v>456</v>
      </c>
      <c r="D1998" s="4" t="n">
        <v>36</v>
      </c>
      <c r="E1998" s="19" t="s">
        <v>414</v>
      </c>
      <c r="F1998" s="20" t="s">
        <v>452</v>
      </c>
    </row>
    <row r="1999" customFormat="false" ht="15" hidden="false" customHeight="false" outlineLevel="0" collapsed="false">
      <c r="A1999" s="4" t="str">
        <f aca="false">B1999&amp;"|"&amp;C1999</f>
        <v>tdbR00000578 Glu-UUC|37</v>
      </c>
      <c r="B1999" s="4" t="s">
        <v>64</v>
      </c>
      <c r="C1999" s="4" t="s">
        <v>457</v>
      </c>
      <c r="D1999" s="4" t="n">
        <v>37</v>
      </c>
      <c r="E1999" s="19" t="s">
        <v>246</v>
      </c>
      <c r="F1999" s="20" t="s">
        <v>452</v>
      </c>
    </row>
    <row r="2000" customFormat="false" ht="15" hidden="false" customHeight="false" outlineLevel="0" collapsed="false">
      <c r="A2000" s="4" t="str">
        <f aca="false">B2000&amp;"|"&amp;C2000</f>
        <v>tdbR00000578 Glu-UUC|38</v>
      </c>
      <c r="B2000" s="4" t="s">
        <v>64</v>
      </c>
      <c r="C2000" s="4" t="s">
        <v>458</v>
      </c>
      <c r="D2000" s="4" t="n">
        <v>38</v>
      </c>
      <c r="E2000" s="19" t="s">
        <v>414</v>
      </c>
      <c r="F2000" s="20" t="s">
        <v>452</v>
      </c>
    </row>
    <row r="2001" customFormat="false" ht="15" hidden="false" customHeight="false" outlineLevel="0" collapsed="false">
      <c r="A2001" s="4" t="str">
        <f aca="false">B2001&amp;"|"&amp;C2001</f>
        <v>tdbR00000578 Glu-UUC|39</v>
      </c>
      <c r="B2001" s="4" t="s">
        <v>64</v>
      </c>
      <c r="C2001" s="4" t="s">
        <v>459</v>
      </c>
      <c r="D2001" s="4" t="n">
        <v>39</v>
      </c>
      <c r="E2001" s="21" t="s">
        <v>414</v>
      </c>
      <c r="F2001" s="22" t="s">
        <v>446</v>
      </c>
    </row>
    <row r="2002" customFormat="false" ht="15" hidden="false" customHeight="false" outlineLevel="0" collapsed="false">
      <c r="A2002" s="4" t="str">
        <f aca="false">B2002&amp;"|"&amp;C2002</f>
        <v>tdbR00000578 Glu-UUC|40</v>
      </c>
      <c r="B2002" s="4" t="s">
        <v>64</v>
      </c>
      <c r="C2002" s="4" t="s">
        <v>460</v>
      </c>
      <c r="D2002" s="4" t="n">
        <v>40</v>
      </c>
      <c r="E2002" s="21" t="s">
        <v>414</v>
      </c>
      <c r="F2002" s="22" t="s">
        <v>446</v>
      </c>
    </row>
    <row r="2003" customFormat="false" ht="15" hidden="false" customHeight="false" outlineLevel="0" collapsed="false">
      <c r="A2003" s="4" t="str">
        <f aca="false">B2003&amp;"|"&amp;C2003</f>
        <v>tdbR00000578 Glu-UUC|41</v>
      </c>
      <c r="B2003" s="4" t="s">
        <v>64</v>
      </c>
      <c r="C2003" s="4" t="s">
        <v>461</v>
      </c>
      <c r="D2003" s="4" t="n">
        <v>41</v>
      </c>
      <c r="E2003" s="21" t="s">
        <v>246</v>
      </c>
      <c r="F2003" s="22" t="s">
        <v>446</v>
      </c>
    </row>
    <row r="2004" customFormat="false" ht="15" hidden="false" customHeight="false" outlineLevel="0" collapsed="false">
      <c r="A2004" s="4" t="str">
        <f aca="false">B2004&amp;"|"&amp;C2004</f>
        <v>tdbR00000578 Glu-UUC|42</v>
      </c>
      <c r="B2004" s="4" t="s">
        <v>64</v>
      </c>
      <c r="C2004" s="4" t="s">
        <v>462</v>
      </c>
      <c r="D2004" s="4" t="n">
        <v>42</v>
      </c>
      <c r="E2004" s="21" t="s">
        <v>197</v>
      </c>
      <c r="F2004" s="22" t="s">
        <v>446</v>
      </c>
    </row>
    <row r="2005" customFormat="false" ht="15" hidden="false" customHeight="false" outlineLevel="0" collapsed="false">
      <c r="A2005" s="4" t="str">
        <f aca="false">B2005&amp;"|"&amp;C2005</f>
        <v>tdbR00000578 Glu-UUC|43</v>
      </c>
      <c r="B2005" s="4" t="s">
        <v>64</v>
      </c>
      <c r="C2005" s="4" t="s">
        <v>463</v>
      </c>
      <c r="D2005" s="4" t="n">
        <v>43</v>
      </c>
      <c r="E2005" s="21" t="s">
        <v>197</v>
      </c>
      <c r="F2005" s="22" t="s">
        <v>446</v>
      </c>
    </row>
    <row r="2006" customFormat="false" ht="15" hidden="false" customHeight="false" outlineLevel="0" collapsed="false">
      <c r="A2006" s="4" t="str">
        <f aca="false">B2006&amp;"|"&amp;C2006</f>
        <v>tdbR00000578 Glu-UUC|44</v>
      </c>
      <c r="B2006" s="4" t="s">
        <v>64</v>
      </c>
      <c r="C2006" s="4" t="s">
        <v>464</v>
      </c>
      <c r="D2006" s="4" t="n">
        <v>44</v>
      </c>
      <c r="E2006" s="19" t="s">
        <v>246</v>
      </c>
      <c r="F2006" s="20" t="s">
        <v>465</v>
      </c>
    </row>
    <row r="2007" customFormat="false" ht="15" hidden="false" customHeight="false" outlineLevel="0" collapsed="false">
      <c r="A2007" s="4" t="str">
        <f aca="false">B2007&amp;"|"&amp;C2007</f>
        <v>tdbR00000578 Glu-UUC|45</v>
      </c>
      <c r="B2007" s="4" t="s">
        <v>64</v>
      </c>
      <c r="C2007" s="4" t="s">
        <v>466</v>
      </c>
      <c r="D2007" s="4" t="n">
        <v>45</v>
      </c>
      <c r="E2007" s="19" t="s">
        <v>197</v>
      </c>
      <c r="F2007" s="20" t="s">
        <v>465</v>
      </c>
    </row>
    <row r="2008" customFormat="false" ht="15" hidden="false" customHeight="false" outlineLevel="0" collapsed="false">
      <c r="A2008" s="4" t="str">
        <f aca="false">B2008&amp;"|"&amp;C2008</f>
        <v>tdbR00000578 Glu-UUC|46</v>
      </c>
      <c r="B2008" s="4" t="s">
        <v>64</v>
      </c>
      <c r="C2008" s="4" t="s">
        <v>467</v>
      </c>
      <c r="D2008" s="4" t="n">
        <v>46</v>
      </c>
      <c r="E2008" s="19" t="s">
        <v>246</v>
      </c>
      <c r="F2008" s="20" t="s">
        <v>465</v>
      </c>
    </row>
    <row r="2009" customFormat="false" ht="15" hidden="false" customHeight="false" outlineLevel="0" collapsed="false">
      <c r="A2009" s="4" t="str">
        <f aca="false">B2009&amp;"|"&amp;C2009</f>
        <v>tdbR00000578 Glu-UUC|48</v>
      </c>
      <c r="B2009" s="4" t="s">
        <v>64</v>
      </c>
      <c r="C2009" s="4" t="s">
        <v>469</v>
      </c>
      <c r="D2009" s="4" t="n">
        <v>47</v>
      </c>
      <c r="E2009" s="19" t="s">
        <v>259</v>
      </c>
      <c r="F2009" s="20" t="s">
        <v>465</v>
      </c>
    </row>
    <row r="2010" customFormat="false" ht="15" hidden="false" customHeight="false" outlineLevel="0" collapsed="false">
      <c r="A2010" s="4" t="str">
        <f aca="false">B2010&amp;"|"&amp;C2010</f>
        <v>tdbR00000578 Glu-UUC|49</v>
      </c>
      <c r="B2010" s="4" t="s">
        <v>64</v>
      </c>
      <c r="C2010" s="4" t="s">
        <v>470</v>
      </c>
      <c r="D2010" s="4" t="n">
        <v>48</v>
      </c>
      <c r="E2010" s="23" t="s">
        <v>414</v>
      </c>
      <c r="F2010" s="10" t="s">
        <v>471</v>
      </c>
    </row>
    <row r="2011" customFormat="false" ht="15" hidden="false" customHeight="false" outlineLevel="0" collapsed="false">
      <c r="A2011" s="4" t="str">
        <f aca="false">B2011&amp;"|"&amp;C2011</f>
        <v>tdbR00000578 Glu-UUC|50</v>
      </c>
      <c r="B2011" s="4" t="s">
        <v>64</v>
      </c>
      <c r="C2011" s="4" t="s">
        <v>472</v>
      </c>
      <c r="D2011" s="4" t="n">
        <v>49</v>
      </c>
      <c r="E2011" s="23" t="s">
        <v>414</v>
      </c>
      <c r="F2011" s="10" t="s">
        <v>471</v>
      </c>
    </row>
    <row r="2012" customFormat="false" ht="15" hidden="false" customHeight="false" outlineLevel="0" collapsed="false">
      <c r="A2012" s="4" t="str">
        <f aca="false">B2012&amp;"|"&amp;C2012</f>
        <v>tdbR00000578 Glu-UUC|51</v>
      </c>
      <c r="B2012" s="4" t="s">
        <v>64</v>
      </c>
      <c r="C2012" s="4" t="s">
        <v>473</v>
      </c>
      <c r="D2012" s="4" t="n">
        <v>50</v>
      </c>
      <c r="E2012" s="23" t="s">
        <v>197</v>
      </c>
      <c r="F2012" s="10" t="s">
        <v>471</v>
      </c>
    </row>
    <row r="2013" customFormat="false" ht="15" hidden="false" customHeight="false" outlineLevel="0" collapsed="false">
      <c r="A2013" s="4" t="str">
        <f aca="false">B2013&amp;"|"&amp;C2013</f>
        <v>tdbR00000578 Glu-UUC|52</v>
      </c>
      <c r="B2013" s="4" t="s">
        <v>64</v>
      </c>
      <c r="C2013" s="4" t="s">
        <v>474</v>
      </c>
      <c r="D2013" s="4" t="n">
        <v>51</v>
      </c>
      <c r="E2013" s="23" t="s">
        <v>197</v>
      </c>
      <c r="F2013" s="10" t="s">
        <v>471</v>
      </c>
    </row>
    <row r="2014" customFormat="false" ht="15" hidden="false" customHeight="false" outlineLevel="0" collapsed="false">
      <c r="A2014" s="4" t="str">
        <f aca="false">B2014&amp;"|"&amp;C2014</f>
        <v>tdbR00000578 Glu-UUC|53</v>
      </c>
      <c r="B2014" s="4" t="s">
        <v>64</v>
      </c>
      <c r="C2014" s="4" t="s">
        <v>475</v>
      </c>
      <c r="D2014" s="4" t="n">
        <v>52</v>
      </c>
      <c r="E2014" s="23" t="s">
        <v>197</v>
      </c>
      <c r="F2014" s="10" t="s">
        <v>471</v>
      </c>
    </row>
    <row r="2015" customFormat="false" ht="15" hidden="false" customHeight="false" outlineLevel="0" collapsed="false">
      <c r="A2015" s="4" t="str">
        <f aca="false">B2015&amp;"|"&amp;C2015</f>
        <v>tdbR00000578 Glu-UUC|54</v>
      </c>
      <c r="B2015" s="4" t="s">
        <v>64</v>
      </c>
      <c r="C2015" s="4" t="s">
        <v>476</v>
      </c>
      <c r="D2015" s="4" t="n">
        <v>53</v>
      </c>
      <c r="E2015" s="19" t="s">
        <v>259</v>
      </c>
      <c r="F2015" s="20" t="s">
        <v>477</v>
      </c>
    </row>
    <row r="2016" customFormat="false" ht="15" hidden="false" customHeight="false" outlineLevel="0" collapsed="false">
      <c r="A2016" s="4" t="str">
        <f aca="false">B2016&amp;"|"&amp;C2016</f>
        <v>tdbR00000578 Glu-UUC|55</v>
      </c>
      <c r="B2016" s="4" t="s">
        <v>64</v>
      </c>
      <c r="C2016" s="4" t="s">
        <v>478</v>
      </c>
      <c r="D2016" s="4" t="n">
        <v>54</v>
      </c>
      <c r="E2016" s="19" t="s">
        <v>259</v>
      </c>
      <c r="F2016" s="20" t="s">
        <v>477</v>
      </c>
    </row>
    <row r="2017" customFormat="false" ht="15" hidden="false" customHeight="false" outlineLevel="0" collapsed="false">
      <c r="A2017" s="4" t="str">
        <f aca="false">B2017&amp;"|"&amp;C2017</f>
        <v>tdbR00000578 Glu-UUC|56</v>
      </c>
      <c r="B2017" s="4" t="s">
        <v>64</v>
      </c>
      <c r="C2017" s="4" t="s">
        <v>479</v>
      </c>
      <c r="D2017" s="4" t="n">
        <v>55</v>
      </c>
      <c r="E2017" s="19" t="s">
        <v>414</v>
      </c>
      <c r="F2017" s="20" t="s">
        <v>477</v>
      </c>
    </row>
    <row r="2018" customFormat="false" ht="15" hidden="false" customHeight="false" outlineLevel="0" collapsed="false">
      <c r="A2018" s="4" t="str">
        <f aca="false">B2018&amp;"|"&amp;C2018</f>
        <v>tdbR00000578 Glu-UUC|57</v>
      </c>
      <c r="B2018" s="4" t="s">
        <v>64</v>
      </c>
      <c r="C2018" s="4" t="s">
        <v>480</v>
      </c>
      <c r="D2018" s="4" t="n">
        <v>56</v>
      </c>
      <c r="E2018" s="19" t="s">
        <v>197</v>
      </c>
      <c r="F2018" s="20" t="s">
        <v>477</v>
      </c>
    </row>
    <row r="2019" customFormat="false" ht="15" hidden="false" customHeight="false" outlineLevel="0" collapsed="false">
      <c r="A2019" s="4" t="str">
        <f aca="false">B2019&amp;"|"&amp;C2019</f>
        <v>tdbR00000578 Glu-UUC|58</v>
      </c>
      <c r="B2019" s="4" t="s">
        <v>64</v>
      </c>
      <c r="C2019" s="4" t="s">
        <v>481</v>
      </c>
      <c r="D2019" s="4" t="n">
        <v>57</v>
      </c>
      <c r="E2019" s="19" t="s">
        <v>246</v>
      </c>
      <c r="F2019" s="20" t="s">
        <v>477</v>
      </c>
    </row>
    <row r="2020" customFormat="false" ht="15" hidden="false" customHeight="false" outlineLevel="0" collapsed="false">
      <c r="A2020" s="4" t="str">
        <f aca="false">B2020&amp;"|"&amp;C2020</f>
        <v>tdbR00000578 Glu-UUC|59</v>
      </c>
      <c r="B2020" s="4" t="s">
        <v>64</v>
      </c>
      <c r="C2020" s="4" t="s">
        <v>482</v>
      </c>
      <c r="D2020" s="4" t="n">
        <v>58</v>
      </c>
      <c r="E2020" s="19" t="s">
        <v>259</v>
      </c>
      <c r="F2020" s="20" t="s">
        <v>477</v>
      </c>
    </row>
    <row r="2021" customFormat="false" ht="15" hidden="false" customHeight="false" outlineLevel="0" collapsed="false">
      <c r="A2021" s="4" t="str">
        <f aca="false">B2021&amp;"|"&amp;C2021</f>
        <v>tdbR00000578 Glu-UUC|60</v>
      </c>
      <c r="B2021" s="4" t="s">
        <v>64</v>
      </c>
      <c r="C2021" s="4" t="s">
        <v>483</v>
      </c>
      <c r="D2021" s="4" t="n">
        <v>59</v>
      </c>
      <c r="E2021" s="19" t="s">
        <v>259</v>
      </c>
      <c r="F2021" s="20" t="s">
        <v>477</v>
      </c>
    </row>
    <row r="2022" customFormat="false" ht="15" hidden="false" customHeight="false" outlineLevel="0" collapsed="false">
      <c r="A2022" s="4" t="str">
        <f aca="false">B2022&amp;"|"&amp;C2022</f>
        <v>tdbR00000578 Glu-UUC|61</v>
      </c>
      <c r="B2022" s="4" t="s">
        <v>64</v>
      </c>
      <c r="C2022" s="4" t="s">
        <v>484</v>
      </c>
      <c r="D2022" s="4" t="n">
        <v>60</v>
      </c>
      <c r="E2022" s="23" t="s">
        <v>414</v>
      </c>
      <c r="F2022" s="10" t="s">
        <v>471</v>
      </c>
    </row>
    <row r="2023" customFormat="false" ht="15" hidden="false" customHeight="false" outlineLevel="0" collapsed="false">
      <c r="A2023" s="4" t="str">
        <f aca="false">B2023&amp;"|"&amp;C2023</f>
        <v>tdbR00000578 Glu-UUC|62</v>
      </c>
      <c r="B2023" s="4" t="s">
        <v>64</v>
      </c>
      <c r="C2023" s="4" t="s">
        <v>485</v>
      </c>
      <c r="D2023" s="4" t="n">
        <v>61</v>
      </c>
      <c r="E2023" s="23" t="s">
        <v>414</v>
      </c>
      <c r="F2023" s="10" t="s">
        <v>471</v>
      </c>
    </row>
    <row r="2024" customFormat="false" ht="15" hidden="false" customHeight="false" outlineLevel="0" collapsed="false">
      <c r="A2024" s="4" t="str">
        <f aca="false">B2024&amp;"|"&amp;C2024</f>
        <v>tdbR00000578 Glu-UUC|63</v>
      </c>
      <c r="B2024" s="4" t="s">
        <v>64</v>
      </c>
      <c r="C2024" s="4" t="s">
        <v>486</v>
      </c>
      <c r="D2024" s="4" t="n">
        <v>62</v>
      </c>
      <c r="E2024" s="23" t="s">
        <v>414</v>
      </c>
      <c r="F2024" s="10" t="s">
        <v>471</v>
      </c>
    </row>
    <row r="2025" customFormat="false" ht="15" hidden="false" customHeight="false" outlineLevel="0" collapsed="false">
      <c r="A2025" s="4" t="str">
        <f aca="false">B2025&amp;"|"&amp;C2025</f>
        <v>tdbR00000578 Glu-UUC|64</v>
      </c>
      <c r="B2025" s="4" t="s">
        <v>64</v>
      </c>
      <c r="C2025" s="4" t="s">
        <v>487</v>
      </c>
      <c r="D2025" s="4" t="n">
        <v>63</v>
      </c>
      <c r="E2025" s="23" t="s">
        <v>197</v>
      </c>
      <c r="F2025" s="10" t="s">
        <v>471</v>
      </c>
    </row>
    <row r="2026" customFormat="false" ht="15" hidden="false" customHeight="false" outlineLevel="0" collapsed="false">
      <c r="A2026" s="4" t="str">
        <f aca="false">B2026&amp;"|"&amp;C2026</f>
        <v>tdbR00000578 Glu-UUC|65</v>
      </c>
      <c r="B2026" s="4" t="s">
        <v>64</v>
      </c>
      <c r="C2026" s="4" t="s">
        <v>488</v>
      </c>
      <c r="D2026" s="4" t="n">
        <v>64</v>
      </c>
      <c r="E2026" s="23" t="s">
        <v>197</v>
      </c>
      <c r="F2026" s="10" t="s">
        <v>471</v>
      </c>
    </row>
    <row r="2027" customFormat="false" ht="15" hidden="false" customHeight="false" outlineLevel="0" collapsed="false">
      <c r="A2027" s="4" t="str">
        <f aca="false">B2027&amp;"|"&amp;C2027</f>
        <v>tdbR00000578 Glu-UUC|66</v>
      </c>
      <c r="B2027" s="4" t="s">
        <v>64</v>
      </c>
      <c r="C2027" s="4" t="s">
        <v>489</v>
      </c>
      <c r="D2027" s="4" t="n">
        <v>65</v>
      </c>
      <c r="E2027" s="17" t="s">
        <v>259</v>
      </c>
      <c r="F2027" s="18" t="s">
        <v>412</v>
      </c>
    </row>
    <row r="2028" customFormat="false" ht="15" hidden="false" customHeight="false" outlineLevel="0" collapsed="false">
      <c r="A2028" s="4" t="str">
        <f aca="false">B2028&amp;"|"&amp;C2028</f>
        <v>tdbR00000578 Glu-UUC|67</v>
      </c>
      <c r="B2028" s="4" t="s">
        <v>64</v>
      </c>
      <c r="C2028" s="4" t="s">
        <v>490</v>
      </c>
      <c r="D2028" s="4" t="n">
        <v>66</v>
      </c>
      <c r="E2028" s="17" t="s">
        <v>246</v>
      </c>
      <c r="F2028" s="18" t="s">
        <v>412</v>
      </c>
    </row>
    <row r="2029" customFormat="false" ht="15" hidden="false" customHeight="false" outlineLevel="0" collapsed="false">
      <c r="A2029" s="4" t="str">
        <f aca="false">B2029&amp;"|"&amp;C2029</f>
        <v>tdbR00000578 Glu-UUC|68</v>
      </c>
      <c r="B2029" s="4" t="s">
        <v>64</v>
      </c>
      <c r="C2029" s="4" t="s">
        <v>491</v>
      </c>
      <c r="D2029" s="4" t="n">
        <v>67</v>
      </c>
      <c r="E2029" s="17" t="s">
        <v>259</v>
      </c>
      <c r="F2029" s="18" t="s">
        <v>412</v>
      </c>
    </row>
    <row r="2030" customFormat="false" ht="15" hidden="false" customHeight="false" outlineLevel="0" collapsed="false">
      <c r="A2030" s="4" t="str">
        <f aca="false">B2030&amp;"|"&amp;C2030</f>
        <v>tdbR00000578 Glu-UUC|69</v>
      </c>
      <c r="B2030" s="4" t="s">
        <v>64</v>
      </c>
      <c r="C2030" s="4" t="s">
        <v>492</v>
      </c>
      <c r="D2030" s="4" t="n">
        <v>68</v>
      </c>
      <c r="E2030" s="17" t="s">
        <v>414</v>
      </c>
      <c r="F2030" s="18" t="s">
        <v>412</v>
      </c>
    </row>
    <row r="2031" customFormat="false" ht="15" hidden="false" customHeight="false" outlineLevel="0" collapsed="false">
      <c r="A2031" s="4" t="str">
        <f aca="false">B2031&amp;"|"&amp;C2031</f>
        <v>tdbR00000578 Glu-UUC|70</v>
      </c>
      <c r="B2031" s="4" t="s">
        <v>64</v>
      </c>
      <c r="C2031" s="4" t="s">
        <v>493</v>
      </c>
      <c r="D2031" s="4" t="n">
        <v>69</v>
      </c>
      <c r="E2031" s="17" t="s">
        <v>197</v>
      </c>
      <c r="F2031" s="18" t="s">
        <v>412</v>
      </c>
    </row>
    <row r="2032" customFormat="false" ht="15" hidden="false" customHeight="false" outlineLevel="0" collapsed="false">
      <c r="A2032" s="4" t="str">
        <f aca="false">B2032&amp;"|"&amp;C2032</f>
        <v>tdbR00000578 Glu-UUC|71</v>
      </c>
      <c r="B2032" s="4" t="s">
        <v>64</v>
      </c>
      <c r="C2032" s="4" t="s">
        <v>494</v>
      </c>
      <c r="D2032" s="4" t="n">
        <v>70</v>
      </c>
      <c r="E2032" s="17" t="s">
        <v>197</v>
      </c>
      <c r="F2032" s="18" t="s">
        <v>412</v>
      </c>
    </row>
    <row r="2033" customFormat="false" ht="15" hidden="false" customHeight="false" outlineLevel="0" collapsed="false">
      <c r="A2033" s="4" t="str">
        <f aca="false">B2033&amp;"|"&amp;C2033</f>
        <v>tdbR00000578 Glu-UUC|72</v>
      </c>
      <c r="B2033" s="4" t="s">
        <v>64</v>
      </c>
      <c r="C2033" s="4" t="s">
        <v>495</v>
      </c>
      <c r="D2033" s="4" t="n">
        <v>71</v>
      </c>
      <c r="E2033" s="17" t="s">
        <v>246</v>
      </c>
      <c r="F2033" s="18" t="s">
        <v>412</v>
      </c>
    </row>
    <row r="2034" customFormat="false" ht="15" hidden="false" customHeight="false" outlineLevel="0" collapsed="false">
      <c r="A2034" s="4" t="str">
        <f aca="false">B2034&amp;"|"&amp;C2034</f>
        <v>tdbR00000577 Glu-CUC|1</v>
      </c>
      <c r="B2034" s="4" t="s">
        <v>65</v>
      </c>
      <c r="C2034" s="4" t="s">
        <v>411</v>
      </c>
      <c r="D2034" s="4" t="n">
        <v>1</v>
      </c>
      <c r="E2034" s="17" t="s">
        <v>259</v>
      </c>
      <c r="F2034" s="18" t="s">
        <v>412</v>
      </c>
    </row>
    <row r="2035" customFormat="false" ht="15" hidden="false" customHeight="false" outlineLevel="0" collapsed="false">
      <c r="A2035" s="4" t="str">
        <f aca="false">B2035&amp;"|"&amp;C2035</f>
        <v>tdbR00000577 Glu-CUC|2</v>
      </c>
      <c r="B2035" s="4" t="s">
        <v>65</v>
      </c>
      <c r="C2035" s="4" t="s">
        <v>413</v>
      </c>
      <c r="D2035" s="4" t="n">
        <v>2</v>
      </c>
      <c r="E2035" s="17" t="s">
        <v>414</v>
      </c>
      <c r="F2035" s="18" t="s">
        <v>412</v>
      </c>
    </row>
    <row r="2036" customFormat="false" ht="15" hidden="false" customHeight="false" outlineLevel="0" collapsed="false">
      <c r="A2036" s="4" t="str">
        <f aca="false">B2036&amp;"|"&amp;C2036</f>
        <v>tdbR00000577 Glu-CUC|3</v>
      </c>
      <c r="B2036" s="4" t="s">
        <v>65</v>
      </c>
      <c r="C2036" s="4" t="s">
        <v>415</v>
      </c>
      <c r="D2036" s="4" t="n">
        <v>3</v>
      </c>
      <c r="E2036" s="17" t="s">
        <v>414</v>
      </c>
      <c r="F2036" s="18" t="s">
        <v>412</v>
      </c>
    </row>
    <row r="2037" customFormat="false" ht="15" hidden="false" customHeight="false" outlineLevel="0" collapsed="false">
      <c r="A2037" s="4" t="str">
        <f aca="false">B2037&amp;"|"&amp;C2037</f>
        <v>tdbR00000577 Glu-CUC|4</v>
      </c>
      <c r="B2037" s="4" t="s">
        <v>65</v>
      </c>
      <c r="C2037" s="4" t="s">
        <v>416</v>
      </c>
      <c r="D2037" s="4" t="n">
        <v>4</v>
      </c>
      <c r="E2037" s="17" t="s">
        <v>197</v>
      </c>
      <c r="F2037" s="18" t="s">
        <v>412</v>
      </c>
    </row>
    <row r="2038" customFormat="false" ht="15" hidden="false" customHeight="false" outlineLevel="0" collapsed="false">
      <c r="A2038" s="4" t="str">
        <f aca="false">B2038&amp;"|"&amp;C2038</f>
        <v>tdbR00000577 Glu-CUC|5</v>
      </c>
      <c r="B2038" s="4" t="s">
        <v>65</v>
      </c>
      <c r="C2038" s="4" t="s">
        <v>417</v>
      </c>
      <c r="D2038" s="4" t="n">
        <v>5</v>
      </c>
      <c r="E2038" s="17" t="s">
        <v>246</v>
      </c>
      <c r="F2038" s="18" t="s">
        <v>412</v>
      </c>
    </row>
    <row r="2039" customFormat="false" ht="15" hidden="false" customHeight="false" outlineLevel="0" collapsed="false">
      <c r="A2039" s="4" t="str">
        <f aca="false">B2039&amp;"|"&amp;C2039</f>
        <v>tdbR00000577 Glu-CUC|6</v>
      </c>
      <c r="B2039" s="4" t="s">
        <v>65</v>
      </c>
      <c r="C2039" s="4" t="s">
        <v>418</v>
      </c>
      <c r="D2039" s="4" t="n">
        <v>6</v>
      </c>
      <c r="E2039" s="17" t="s">
        <v>259</v>
      </c>
      <c r="F2039" s="18" t="s">
        <v>412</v>
      </c>
    </row>
    <row r="2040" customFormat="false" ht="15" hidden="false" customHeight="false" outlineLevel="0" collapsed="false">
      <c r="A2040" s="4" t="str">
        <f aca="false">B2040&amp;"|"&amp;C2040</f>
        <v>tdbR00000577 Glu-CUC|7</v>
      </c>
      <c r="B2040" s="4" t="s">
        <v>65</v>
      </c>
      <c r="C2040" s="4" t="s">
        <v>419</v>
      </c>
      <c r="D2040" s="4" t="n">
        <v>7</v>
      </c>
      <c r="E2040" s="17" t="s">
        <v>197</v>
      </c>
      <c r="F2040" s="18" t="s">
        <v>412</v>
      </c>
    </row>
    <row r="2041" customFormat="false" ht="15" hidden="false" customHeight="false" outlineLevel="0" collapsed="false">
      <c r="A2041" s="4" t="str">
        <f aca="false">B2041&amp;"|"&amp;C2041</f>
        <v>tdbR00000577 Glu-CUC|8</v>
      </c>
      <c r="B2041" s="4" t="s">
        <v>65</v>
      </c>
      <c r="C2041" s="4" t="s">
        <v>420</v>
      </c>
      <c r="D2041" s="4" t="n">
        <v>8</v>
      </c>
      <c r="E2041" s="3" t="s">
        <v>259</v>
      </c>
      <c r="F2041" s="4" t="s">
        <v>421</v>
      </c>
    </row>
    <row r="2042" customFormat="false" ht="15" hidden="false" customHeight="false" outlineLevel="0" collapsed="false">
      <c r="A2042" s="4" t="str">
        <f aca="false">B2042&amp;"|"&amp;C2042</f>
        <v>tdbR00000577 Glu-CUC|9</v>
      </c>
      <c r="B2042" s="4" t="s">
        <v>65</v>
      </c>
      <c r="C2042" s="4" t="s">
        <v>422</v>
      </c>
      <c r="D2042" s="4" t="n">
        <v>9</v>
      </c>
      <c r="E2042" s="3" t="s">
        <v>197</v>
      </c>
      <c r="F2042" s="4" t="s">
        <v>423</v>
      </c>
    </row>
    <row r="2043" customFormat="false" ht="15" hidden="false" customHeight="false" outlineLevel="0" collapsed="false">
      <c r="A2043" s="4" t="str">
        <f aca="false">B2043&amp;"|"&amp;C2043</f>
        <v>tdbR00000577 Glu-CUC|10</v>
      </c>
      <c r="B2043" s="4" t="s">
        <v>65</v>
      </c>
      <c r="C2043" s="4" t="s">
        <v>424</v>
      </c>
      <c r="D2043" s="4" t="n">
        <v>10</v>
      </c>
      <c r="E2043" s="8" t="s">
        <v>197</v>
      </c>
      <c r="F2043" s="7" t="s">
        <v>425</v>
      </c>
    </row>
    <row r="2044" customFormat="false" ht="15" hidden="false" customHeight="false" outlineLevel="0" collapsed="false">
      <c r="A2044" s="4" t="str">
        <f aca="false">B2044&amp;"|"&amp;C2044</f>
        <v>tdbR00000577 Glu-CUC|11</v>
      </c>
      <c r="B2044" s="4" t="s">
        <v>65</v>
      </c>
      <c r="C2044" s="4" t="s">
        <v>426</v>
      </c>
      <c r="D2044" s="4" t="n">
        <v>11</v>
      </c>
      <c r="E2044" s="8" t="s">
        <v>259</v>
      </c>
      <c r="F2044" s="7" t="s">
        <v>425</v>
      </c>
    </row>
    <row r="2045" customFormat="false" ht="15" hidden="false" customHeight="false" outlineLevel="0" collapsed="false">
      <c r="A2045" s="4" t="str">
        <f aca="false">B2045&amp;"|"&amp;C2045</f>
        <v>tdbR00000577 Glu-CUC|12</v>
      </c>
      <c r="B2045" s="4" t="s">
        <v>65</v>
      </c>
      <c r="C2045" s="4" t="s">
        <v>427</v>
      </c>
      <c r="D2045" s="4" t="n">
        <v>12</v>
      </c>
      <c r="E2045" s="8" t="s">
        <v>246</v>
      </c>
      <c r="F2045" s="7" t="s">
        <v>425</v>
      </c>
    </row>
    <row r="2046" customFormat="false" ht="15" hidden="false" customHeight="false" outlineLevel="0" collapsed="false">
      <c r="A2046" s="4" t="str">
        <f aca="false">B2046&amp;"|"&amp;C2046</f>
        <v>tdbR00000577 Glu-CUC|13</v>
      </c>
      <c r="B2046" s="4" t="s">
        <v>65</v>
      </c>
      <c r="C2046" s="4" t="s">
        <v>428</v>
      </c>
      <c r="D2046" s="4" t="n">
        <v>13</v>
      </c>
      <c r="E2046" s="8" t="s">
        <v>259</v>
      </c>
      <c r="F2046" s="7" t="s">
        <v>425</v>
      </c>
    </row>
    <row r="2047" customFormat="false" ht="15" hidden="false" customHeight="false" outlineLevel="0" collapsed="false">
      <c r="A2047" s="4" t="str">
        <f aca="false">B2047&amp;"|"&amp;C2047</f>
        <v>tdbR00000577 Glu-CUC|14</v>
      </c>
      <c r="B2047" s="4" t="s">
        <v>65</v>
      </c>
      <c r="C2047" s="4" t="s">
        <v>429</v>
      </c>
      <c r="D2047" s="4" t="n">
        <v>14</v>
      </c>
      <c r="E2047" s="19" t="s">
        <v>246</v>
      </c>
      <c r="F2047" s="20" t="s">
        <v>430</v>
      </c>
    </row>
    <row r="2048" customFormat="false" ht="15" hidden="false" customHeight="false" outlineLevel="0" collapsed="false">
      <c r="A2048" s="4" t="str">
        <f aca="false">B2048&amp;"|"&amp;C2048</f>
        <v>tdbR00000577 Glu-CUC|15</v>
      </c>
      <c r="B2048" s="4" t="s">
        <v>65</v>
      </c>
      <c r="C2048" s="4" t="s">
        <v>431</v>
      </c>
      <c r="D2048" s="4" t="n">
        <v>15</v>
      </c>
      <c r="E2048" s="19" t="s">
        <v>197</v>
      </c>
      <c r="F2048" s="20" t="s">
        <v>430</v>
      </c>
    </row>
    <row r="2049" customFormat="false" ht="15" hidden="false" customHeight="false" outlineLevel="0" collapsed="false">
      <c r="A2049" s="4" t="str">
        <f aca="false">B2049&amp;"|"&amp;C2049</f>
        <v>tdbR00000577 Glu-CUC|16</v>
      </c>
      <c r="B2049" s="4" t="s">
        <v>65</v>
      </c>
      <c r="C2049" s="4" t="s">
        <v>432</v>
      </c>
      <c r="D2049" s="4" t="n">
        <v>16</v>
      </c>
      <c r="E2049" s="19" t="s">
        <v>259</v>
      </c>
      <c r="F2049" s="20" t="s">
        <v>430</v>
      </c>
    </row>
    <row r="2050" customFormat="false" ht="15" hidden="false" customHeight="false" outlineLevel="0" collapsed="false">
      <c r="A2050" s="4" t="str">
        <f aca="false">B2050&amp;"|"&amp;C2050</f>
        <v>tdbR00000577 Glu-CUC|18</v>
      </c>
      <c r="B2050" s="4" t="s">
        <v>65</v>
      </c>
      <c r="C2050" s="4" t="s">
        <v>434</v>
      </c>
      <c r="D2050" s="4" t="n">
        <v>17</v>
      </c>
      <c r="E2050" s="19" t="s">
        <v>197</v>
      </c>
      <c r="F2050" s="20" t="s">
        <v>430</v>
      </c>
    </row>
    <row r="2051" customFormat="false" ht="15" hidden="false" customHeight="false" outlineLevel="0" collapsed="false">
      <c r="A2051" s="4" t="str">
        <f aca="false">B2051&amp;"|"&amp;C2051</f>
        <v>tdbR00000577 Glu-CUC|19</v>
      </c>
      <c r="B2051" s="4" t="s">
        <v>65</v>
      </c>
      <c r="C2051" s="4" t="s">
        <v>435</v>
      </c>
      <c r="D2051" s="4" t="n">
        <v>18</v>
      </c>
      <c r="E2051" s="19" t="s">
        <v>197</v>
      </c>
      <c r="F2051" s="20" t="s">
        <v>430</v>
      </c>
    </row>
    <row r="2052" customFormat="false" ht="15" hidden="false" customHeight="false" outlineLevel="0" collapsed="false">
      <c r="A2052" s="4" t="str">
        <f aca="false">B2052&amp;"|"&amp;C2052</f>
        <v>tdbR00000577 Glu-CUC|20</v>
      </c>
      <c r="B2052" s="4" t="s">
        <v>65</v>
      </c>
      <c r="C2052" s="4" t="s">
        <v>436</v>
      </c>
      <c r="D2052" s="4" t="n">
        <v>19</v>
      </c>
      <c r="E2052" s="19" t="s">
        <v>246</v>
      </c>
      <c r="F2052" s="20" t="s">
        <v>430</v>
      </c>
    </row>
    <row r="2053" customFormat="false" ht="15" hidden="false" customHeight="false" outlineLevel="0" collapsed="false">
      <c r="A2053" s="4" t="str">
        <f aca="false">B2053&amp;"|"&amp;C2053</f>
        <v>tdbR00000577 Glu-CUC|20a</v>
      </c>
      <c r="B2053" s="4" t="s">
        <v>65</v>
      </c>
      <c r="C2053" s="4" t="s">
        <v>437</v>
      </c>
      <c r="D2053" s="4" t="n">
        <v>20</v>
      </c>
      <c r="E2053" s="19" t="s">
        <v>259</v>
      </c>
      <c r="F2053" s="20" t="s">
        <v>430</v>
      </c>
    </row>
    <row r="2054" customFormat="false" ht="15" hidden="false" customHeight="false" outlineLevel="0" collapsed="false">
      <c r="A2054" s="4" t="str">
        <f aca="false">B2054&amp;"|"&amp;C2054</f>
        <v>tdbR00000577 Glu-CUC|21</v>
      </c>
      <c r="B2054" s="4" t="s">
        <v>65</v>
      </c>
      <c r="C2054" s="4" t="s">
        <v>438</v>
      </c>
      <c r="D2054" s="4" t="n">
        <v>21</v>
      </c>
      <c r="E2054" s="19" t="s">
        <v>246</v>
      </c>
      <c r="F2054" s="20" t="s">
        <v>430</v>
      </c>
    </row>
    <row r="2055" customFormat="false" ht="15" hidden="false" customHeight="false" outlineLevel="0" collapsed="false">
      <c r="A2055" s="4" t="str">
        <f aca="false">B2055&amp;"|"&amp;C2055</f>
        <v>tdbR00000577 Glu-CUC|22</v>
      </c>
      <c r="B2055" s="4" t="s">
        <v>65</v>
      </c>
      <c r="C2055" s="4" t="s">
        <v>439</v>
      </c>
      <c r="D2055" s="4" t="n">
        <v>22</v>
      </c>
      <c r="E2055" s="8" t="s">
        <v>197</v>
      </c>
      <c r="F2055" s="7" t="s">
        <v>425</v>
      </c>
    </row>
    <row r="2056" customFormat="false" ht="15" hidden="false" customHeight="false" outlineLevel="0" collapsed="false">
      <c r="A2056" s="4" t="str">
        <f aca="false">B2056&amp;"|"&amp;C2056</f>
        <v>tdbR00000577 Glu-CUC|23</v>
      </c>
      <c r="B2056" s="4" t="s">
        <v>65</v>
      </c>
      <c r="C2056" s="4" t="s">
        <v>440</v>
      </c>
      <c r="D2056" s="4" t="n">
        <v>23</v>
      </c>
      <c r="E2056" s="8" t="s">
        <v>246</v>
      </c>
      <c r="F2056" s="7" t="s">
        <v>425</v>
      </c>
    </row>
    <row r="2057" customFormat="false" ht="15" hidden="false" customHeight="false" outlineLevel="0" collapsed="false">
      <c r="A2057" s="4" t="str">
        <f aca="false">B2057&amp;"|"&amp;C2057</f>
        <v>tdbR00000577 Glu-CUC|24</v>
      </c>
      <c r="B2057" s="4" t="s">
        <v>65</v>
      </c>
      <c r="C2057" s="4" t="s">
        <v>441</v>
      </c>
      <c r="D2057" s="4" t="n">
        <v>24</v>
      </c>
      <c r="E2057" s="8" t="s">
        <v>246</v>
      </c>
      <c r="F2057" s="7" t="s">
        <v>425</v>
      </c>
    </row>
    <row r="2058" customFormat="false" ht="15" hidden="false" customHeight="false" outlineLevel="0" collapsed="false">
      <c r="A2058" s="4" t="str">
        <f aca="false">B2058&amp;"|"&amp;C2058</f>
        <v>tdbR00000577 Glu-CUC|25</v>
      </c>
      <c r="B2058" s="4" t="s">
        <v>65</v>
      </c>
      <c r="C2058" s="4" t="s">
        <v>442</v>
      </c>
      <c r="D2058" s="4" t="n">
        <v>25</v>
      </c>
      <c r="E2058" s="8" t="s">
        <v>414</v>
      </c>
      <c r="F2058" s="7" t="s">
        <v>425</v>
      </c>
    </row>
    <row r="2059" customFormat="false" ht="15" hidden="false" customHeight="false" outlineLevel="0" collapsed="false">
      <c r="A2059" s="4" t="str">
        <f aca="false">B2059&amp;"|"&amp;C2059</f>
        <v>tdbR00000577 Glu-CUC|26</v>
      </c>
      <c r="B2059" s="4" t="s">
        <v>65</v>
      </c>
      <c r="C2059" s="4" t="s">
        <v>443</v>
      </c>
      <c r="D2059" s="4" t="n">
        <v>26</v>
      </c>
      <c r="E2059" s="3" t="s">
        <v>246</v>
      </c>
      <c r="F2059" s="4" t="s">
        <v>444</v>
      </c>
    </row>
    <row r="2060" customFormat="false" ht="15" hidden="false" customHeight="false" outlineLevel="0" collapsed="false">
      <c r="A2060" s="4" t="str">
        <f aca="false">B2060&amp;"|"&amp;C2060</f>
        <v>tdbR00000577 Glu-CUC|27</v>
      </c>
      <c r="B2060" s="4" t="s">
        <v>65</v>
      </c>
      <c r="C2060" s="4" t="s">
        <v>445</v>
      </c>
      <c r="D2060" s="4" t="n">
        <v>27</v>
      </c>
      <c r="E2060" s="21" t="s">
        <v>246</v>
      </c>
      <c r="F2060" s="22" t="s">
        <v>446</v>
      </c>
    </row>
    <row r="2061" customFormat="false" ht="15" hidden="false" customHeight="false" outlineLevel="0" collapsed="false">
      <c r="A2061" s="4" t="str">
        <f aca="false">B2061&amp;"|"&amp;C2061</f>
        <v>tdbR00000577 Glu-CUC|28</v>
      </c>
      <c r="B2061" s="4" t="s">
        <v>65</v>
      </c>
      <c r="C2061" s="4" t="s">
        <v>447</v>
      </c>
      <c r="D2061" s="4" t="n">
        <v>28</v>
      </c>
      <c r="E2061" s="21" t="s">
        <v>197</v>
      </c>
      <c r="F2061" s="22" t="s">
        <v>446</v>
      </c>
    </row>
    <row r="2062" customFormat="false" ht="15" hidden="false" customHeight="false" outlineLevel="0" collapsed="false">
      <c r="A2062" s="4" t="str">
        <f aca="false">B2062&amp;"|"&amp;C2062</f>
        <v>tdbR00000577 Glu-CUC|29</v>
      </c>
      <c r="B2062" s="4" t="s">
        <v>65</v>
      </c>
      <c r="C2062" s="4" t="s">
        <v>448</v>
      </c>
      <c r="D2062" s="4" t="n">
        <v>29</v>
      </c>
      <c r="E2062" s="21" t="s">
        <v>414</v>
      </c>
      <c r="F2062" s="22" t="s">
        <v>446</v>
      </c>
    </row>
    <row r="2063" customFormat="false" ht="15" hidden="false" customHeight="false" outlineLevel="0" collapsed="false">
      <c r="A2063" s="4" t="str">
        <f aca="false">B2063&amp;"|"&amp;C2063</f>
        <v>tdbR00000577 Glu-CUC|30</v>
      </c>
      <c r="B2063" s="4" t="s">
        <v>65</v>
      </c>
      <c r="C2063" s="4" t="s">
        <v>449</v>
      </c>
      <c r="D2063" s="4" t="n">
        <v>30</v>
      </c>
      <c r="E2063" s="21" t="s">
        <v>197</v>
      </c>
      <c r="F2063" s="22" t="s">
        <v>446</v>
      </c>
    </row>
    <row r="2064" customFormat="false" ht="15" hidden="false" customHeight="false" outlineLevel="0" collapsed="false">
      <c r="A2064" s="4" t="str">
        <f aca="false">B2064&amp;"|"&amp;C2064</f>
        <v>tdbR00000577 Glu-CUC|31</v>
      </c>
      <c r="B2064" s="4" t="s">
        <v>65</v>
      </c>
      <c r="C2064" s="4" t="s">
        <v>450</v>
      </c>
      <c r="D2064" s="4" t="n">
        <v>31</v>
      </c>
      <c r="E2064" s="21" t="s">
        <v>197</v>
      </c>
      <c r="F2064" s="22" t="s">
        <v>446</v>
      </c>
    </row>
    <row r="2065" customFormat="false" ht="15" hidden="false" customHeight="false" outlineLevel="0" collapsed="false">
      <c r="A2065" s="4" t="str">
        <f aca="false">B2065&amp;"|"&amp;C2065</f>
        <v>tdbR00000577 Glu-CUC|32</v>
      </c>
      <c r="B2065" s="4" t="s">
        <v>65</v>
      </c>
      <c r="C2065" s="4" t="s">
        <v>451</v>
      </c>
      <c r="D2065" s="4" t="n">
        <v>32</v>
      </c>
      <c r="E2065" s="19" t="s">
        <v>414</v>
      </c>
      <c r="F2065" s="20" t="s">
        <v>452</v>
      </c>
    </row>
    <row r="2066" customFormat="false" ht="15" hidden="false" customHeight="false" outlineLevel="0" collapsed="false">
      <c r="A2066" s="4" t="str">
        <f aca="false">B2066&amp;"|"&amp;C2066</f>
        <v>tdbR00000577 Glu-CUC|33</v>
      </c>
      <c r="B2066" s="4" t="s">
        <v>65</v>
      </c>
      <c r="C2066" s="4" t="s">
        <v>453</v>
      </c>
      <c r="D2066" s="4" t="n">
        <v>33</v>
      </c>
      <c r="E2066" s="19" t="s">
        <v>259</v>
      </c>
      <c r="F2066" s="20" t="s">
        <v>452</v>
      </c>
    </row>
    <row r="2067" customFormat="false" ht="15" hidden="false" customHeight="false" outlineLevel="0" collapsed="false">
      <c r="A2067" s="4" t="str">
        <f aca="false">B2067&amp;"|"&amp;C2067</f>
        <v>tdbR00000577 Glu-CUC|34</v>
      </c>
      <c r="B2067" s="4" t="s">
        <v>65</v>
      </c>
      <c r="C2067" s="4" t="s">
        <v>454</v>
      </c>
      <c r="D2067" s="4" t="n">
        <v>34</v>
      </c>
      <c r="E2067" s="19" t="s">
        <v>414</v>
      </c>
      <c r="F2067" s="20" t="s">
        <v>452</v>
      </c>
    </row>
    <row r="2068" customFormat="false" ht="15" hidden="false" customHeight="false" outlineLevel="0" collapsed="false">
      <c r="A2068" s="4" t="str">
        <f aca="false">B2068&amp;"|"&amp;C2068</f>
        <v>tdbR00000577 Glu-CUC|35</v>
      </c>
      <c r="B2068" s="4" t="s">
        <v>65</v>
      </c>
      <c r="C2068" s="4" t="s">
        <v>455</v>
      </c>
      <c r="D2068" s="4" t="n">
        <v>35</v>
      </c>
      <c r="E2068" s="19" t="s">
        <v>259</v>
      </c>
      <c r="F2068" s="20" t="s">
        <v>452</v>
      </c>
    </row>
    <row r="2069" customFormat="false" ht="15" hidden="false" customHeight="false" outlineLevel="0" collapsed="false">
      <c r="A2069" s="4" t="str">
        <f aca="false">B2069&amp;"|"&amp;C2069</f>
        <v>tdbR00000577 Glu-CUC|36</v>
      </c>
      <c r="B2069" s="4" t="s">
        <v>65</v>
      </c>
      <c r="C2069" s="4" t="s">
        <v>456</v>
      </c>
      <c r="D2069" s="4" t="n">
        <v>36</v>
      </c>
      <c r="E2069" s="19" t="s">
        <v>414</v>
      </c>
      <c r="F2069" s="20" t="s">
        <v>452</v>
      </c>
    </row>
    <row r="2070" customFormat="false" ht="15" hidden="false" customHeight="false" outlineLevel="0" collapsed="false">
      <c r="A2070" s="4" t="str">
        <f aca="false">B2070&amp;"|"&amp;C2070</f>
        <v>tdbR00000577 Glu-CUC|37</v>
      </c>
      <c r="B2070" s="4" t="s">
        <v>65</v>
      </c>
      <c r="C2070" s="4" t="s">
        <v>457</v>
      </c>
      <c r="D2070" s="4" t="n">
        <v>37</v>
      </c>
      <c r="E2070" s="19" t="s">
        <v>246</v>
      </c>
      <c r="F2070" s="20" t="s">
        <v>452</v>
      </c>
    </row>
    <row r="2071" customFormat="false" ht="15" hidden="false" customHeight="false" outlineLevel="0" collapsed="false">
      <c r="A2071" s="4" t="str">
        <f aca="false">B2071&amp;"|"&amp;C2071</f>
        <v>tdbR00000577 Glu-CUC|38</v>
      </c>
      <c r="B2071" s="4" t="s">
        <v>65</v>
      </c>
      <c r="C2071" s="4" t="s">
        <v>458</v>
      </c>
      <c r="D2071" s="4" t="n">
        <v>38</v>
      </c>
      <c r="E2071" s="19" t="s">
        <v>414</v>
      </c>
      <c r="F2071" s="20" t="s">
        <v>452</v>
      </c>
    </row>
    <row r="2072" customFormat="false" ht="15" hidden="false" customHeight="false" outlineLevel="0" collapsed="false">
      <c r="A2072" s="4" t="str">
        <f aca="false">B2072&amp;"|"&amp;C2072</f>
        <v>tdbR00000577 Glu-CUC|39</v>
      </c>
      <c r="B2072" s="4" t="s">
        <v>65</v>
      </c>
      <c r="C2072" s="4" t="s">
        <v>459</v>
      </c>
      <c r="D2072" s="4" t="n">
        <v>39</v>
      </c>
      <c r="E2072" s="21" t="s">
        <v>414</v>
      </c>
      <c r="F2072" s="22" t="s">
        <v>446</v>
      </c>
    </row>
    <row r="2073" customFormat="false" ht="15" hidden="false" customHeight="false" outlineLevel="0" collapsed="false">
      <c r="A2073" s="4" t="str">
        <f aca="false">B2073&amp;"|"&amp;C2073</f>
        <v>tdbR00000577 Glu-CUC|40</v>
      </c>
      <c r="B2073" s="4" t="s">
        <v>65</v>
      </c>
      <c r="C2073" s="4" t="s">
        <v>460</v>
      </c>
      <c r="D2073" s="4" t="n">
        <v>40</v>
      </c>
      <c r="E2073" s="21" t="s">
        <v>414</v>
      </c>
      <c r="F2073" s="22" t="s">
        <v>446</v>
      </c>
    </row>
    <row r="2074" customFormat="false" ht="15" hidden="false" customHeight="false" outlineLevel="0" collapsed="false">
      <c r="A2074" s="4" t="str">
        <f aca="false">B2074&amp;"|"&amp;C2074</f>
        <v>tdbR00000577 Glu-CUC|41</v>
      </c>
      <c r="B2074" s="4" t="s">
        <v>65</v>
      </c>
      <c r="C2074" s="4" t="s">
        <v>461</v>
      </c>
      <c r="D2074" s="4" t="n">
        <v>41</v>
      </c>
      <c r="E2074" s="21" t="s">
        <v>197</v>
      </c>
      <c r="F2074" s="22" t="s">
        <v>446</v>
      </c>
    </row>
    <row r="2075" customFormat="false" ht="15" hidden="false" customHeight="false" outlineLevel="0" collapsed="false">
      <c r="A2075" s="4" t="str">
        <f aca="false">B2075&amp;"|"&amp;C2075</f>
        <v>tdbR00000577 Glu-CUC|42</v>
      </c>
      <c r="B2075" s="4" t="s">
        <v>65</v>
      </c>
      <c r="C2075" s="4" t="s">
        <v>462</v>
      </c>
      <c r="D2075" s="4" t="n">
        <v>42</v>
      </c>
      <c r="E2075" s="21" t="s">
        <v>414</v>
      </c>
      <c r="F2075" s="22" t="s">
        <v>446</v>
      </c>
    </row>
    <row r="2076" customFormat="false" ht="15" hidden="false" customHeight="false" outlineLevel="0" collapsed="false">
      <c r="A2076" s="4" t="str">
        <f aca="false">B2076&amp;"|"&amp;C2076</f>
        <v>tdbR00000577 Glu-CUC|43</v>
      </c>
      <c r="B2076" s="4" t="s">
        <v>65</v>
      </c>
      <c r="C2076" s="4" t="s">
        <v>463</v>
      </c>
      <c r="D2076" s="4" t="n">
        <v>43</v>
      </c>
      <c r="E2076" s="21" t="s">
        <v>259</v>
      </c>
      <c r="F2076" s="22" t="s">
        <v>446</v>
      </c>
    </row>
    <row r="2077" customFormat="false" ht="15" hidden="false" customHeight="false" outlineLevel="0" collapsed="false">
      <c r="A2077" s="4" t="str">
        <f aca="false">B2077&amp;"|"&amp;C2077</f>
        <v>tdbR00000577 Glu-CUC|44</v>
      </c>
      <c r="B2077" s="4" t="s">
        <v>65</v>
      </c>
      <c r="C2077" s="4" t="s">
        <v>464</v>
      </c>
      <c r="D2077" s="4" t="n">
        <v>44</v>
      </c>
      <c r="E2077" s="19" t="s">
        <v>246</v>
      </c>
      <c r="F2077" s="20" t="s">
        <v>465</v>
      </c>
    </row>
    <row r="2078" customFormat="false" ht="15" hidden="false" customHeight="false" outlineLevel="0" collapsed="false">
      <c r="A2078" s="4" t="str">
        <f aca="false">B2078&amp;"|"&amp;C2078</f>
        <v>tdbR00000577 Glu-CUC|45</v>
      </c>
      <c r="B2078" s="4" t="s">
        <v>65</v>
      </c>
      <c r="C2078" s="4" t="s">
        <v>466</v>
      </c>
      <c r="D2078" s="4" t="n">
        <v>45</v>
      </c>
      <c r="E2078" s="19" t="s">
        <v>197</v>
      </c>
      <c r="F2078" s="20" t="s">
        <v>465</v>
      </c>
    </row>
    <row r="2079" customFormat="false" ht="15" hidden="false" customHeight="false" outlineLevel="0" collapsed="false">
      <c r="A2079" s="4" t="str">
        <f aca="false">B2079&amp;"|"&amp;C2079</f>
        <v>tdbR00000577 Glu-CUC|46</v>
      </c>
      <c r="B2079" s="4" t="s">
        <v>65</v>
      </c>
      <c r="C2079" s="4" t="s">
        <v>467</v>
      </c>
      <c r="D2079" s="4" t="n">
        <v>46</v>
      </c>
      <c r="E2079" s="19" t="s">
        <v>246</v>
      </c>
      <c r="F2079" s="20" t="s">
        <v>465</v>
      </c>
    </row>
    <row r="2080" customFormat="false" ht="15" hidden="false" customHeight="false" outlineLevel="0" collapsed="false">
      <c r="A2080" s="4" t="str">
        <f aca="false">B2080&amp;"|"&amp;C2080</f>
        <v>tdbR00000577 Glu-CUC|48</v>
      </c>
      <c r="B2080" s="4" t="s">
        <v>65</v>
      </c>
      <c r="C2080" s="4" t="s">
        <v>469</v>
      </c>
      <c r="D2080" s="4" t="n">
        <v>47</v>
      </c>
      <c r="E2080" s="19" t="s">
        <v>414</v>
      </c>
      <c r="F2080" s="20" t="s">
        <v>465</v>
      </c>
    </row>
    <row r="2081" customFormat="false" ht="15" hidden="false" customHeight="false" outlineLevel="0" collapsed="false">
      <c r="A2081" s="4" t="str">
        <f aca="false">B2081&amp;"|"&amp;C2081</f>
        <v>tdbR00000577 Glu-CUC|49</v>
      </c>
      <c r="B2081" s="4" t="s">
        <v>65</v>
      </c>
      <c r="C2081" s="4" t="s">
        <v>470</v>
      </c>
      <c r="D2081" s="4" t="n">
        <v>48</v>
      </c>
      <c r="E2081" s="23" t="s">
        <v>414</v>
      </c>
      <c r="F2081" s="10" t="s">
        <v>471</v>
      </c>
    </row>
    <row r="2082" customFormat="false" ht="15" hidden="false" customHeight="false" outlineLevel="0" collapsed="false">
      <c r="A2082" s="4" t="str">
        <f aca="false">B2082&amp;"|"&amp;C2082</f>
        <v>tdbR00000577 Glu-CUC|50</v>
      </c>
      <c r="B2082" s="4" t="s">
        <v>65</v>
      </c>
      <c r="C2082" s="4" t="s">
        <v>472</v>
      </c>
      <c r="D2082" s="4" t="n">
        <v>49</v>
      </c>
      <c r="E2082" s="23" t="s">
        <v>414</v>
      </c>
      <c r="F2082" s="10" t="s">
        <v>471</v>
      </c>
    </row>
    <row r="2083" customFormat="false" ht="15" hidden="false" customHeight="false" outlineLevel="0" collapsed="false">
      <c r="A2083" s="4" t="str">
        <f aca="false">B2083&amp;"|"&amp;C2083</f>
        <v>tdbR00000577 Glu-CUC|51</v>
      </c>
      <c r="B2083" s="4" t="s">
        <v>65</v>
      </c>
      <c r="C2083" s="4" t="s">
        <v>473</v>
      </c>
      <c r="D2083" s="4" t="n">
        <v>50</v>
      </c>
      <c r="E2083" s="23" t="s">
        <v>197</v>
      </c>
      <c r="F2083" s="10" t="s">
        <v>471</v>
      </c>
    </row>
    <row r="2084" customFormat="false" ht="15" hidden="false" customHeight="false" outlineLevel="0" collapsed="false">
      <c r="A2084" s="4" t="str">
        <f aca="false">B2084&amp;"|"&amp;C2084</f>
        <v>tdbR00000577 Glu-CUC|52</v>
      </c>
      <c r="B2084" s="4" t="s">
        <v>65</v>
      </c>
      <c r="C2084" s="4" t="s">
        <v>474</v>
      </c>
      <c r="D2084" s="4" t="n">
        <v>51</v>
      </c>
      <c r="E2084" s="23" t="s">
        <v>197</v>
      </c>
      <c r="F2084" s="10" t="s">
        <v>471</v>
      </c>
    </row>
    <row r="2085" customFormat="false" ht="15" hidden="false" customHeight="false" outlineLevel="0" collapsed="false">
      <c r="A2085" s="4" t="str">
        <f aca="false">B2085&amp;"|"&amp;C2085</f>
        <v>tdbR00000577 Glu-CUC|53</v>
      </c>
      <c r="B2085" s="4" t="s">
        <v>65</v>
      </c>
      <c r="C2085" s="4" t="s">
        <v>475</v>
      </c>
      <c r="D2085" s="4" t="n">
        <v>52</v>
      </c>
      <c r="E2085" s="23" t="s">
        <v>197</v>
      </c>
      <c r="F2085" s="10" t="s">
        <v>471</v>
      </c>
    </row>
    <row r="2086" customFormat="false" ht="15" hidden="false" customHeight="false" outlineLevel="0" collapsed="false">
      <c r="A2086" s="4" t="str">
        <f aca="false">B2086&amp;"|"&amp;C2086</f>
        <v>tdbR00000577 Glu-CUC|54</v>
      </c>
      <c r="B2086" s="4" t="s">
        <v>65</v>
      </c>
      <c r="C2086" s="4" t="s">
        <v>476</v>
      </c>
      <c r="D2086" s="4" t="n">
        <v>53</v>
      </c>
      <c r="E2086" s="19" t="s">
        <v>259</v>
      </c>
      <c r="F2086" s="20" t="s">
        <v>477</v>
      </c>
    </row>
    <row r="2087" customFormat="false" ht="15" hidden="false" customHeight="false" outlineLevel="0" collapsed="false">
      <c r="A2087" s="4" t="str">
        <f aca="false">B2087&amp;"|"&amp;C2087</f>
        <v>tdbR00000577 Glu-CUC|55</v>
      </c>
      <c r="B2087" s="4" t="s">
        <v>65</v>
      </c>
      <c r="C2087" s="4" t="s">
        <v>478</v>
      </c>
      <c r="D2087" s="4" t="n">
        <v>54</v>
      </c>
      <c r="E2087" s="19" t="s">
        <v>259</v>
      </c>
      <c r="F2087" s="20" t="s">
        <v>477</v>
      </c>
    </row>
    <row r="2088" customFormat="false" ht="15" hidden="false" customHeight="false" outlineLevel="0" collapsed="false">
      <c r="A2088" s="4" t="str">
        <f aca="false">B2088&amp;"|"&amp;C2088</f>
        <v>tdbR00000577 Glu-CUC|56</v>
      </c>
      <c r="B2088" s="4" t="s">
        <v>65</v>
      </c>
      <c r="C2088" s="4" t="s">
        <v>479</v>
      </c>
      <c r="D2088" s="4" t="n">
        <v>55</v>
      </c>
      <c r="E2088" s="19" t="s">
        <v>414</v>
      </c>
      <c r="F2088" s="20" t="s">
        <v>477</v>
      </c>
    </row>
    <row r="2089" customFormat="false" ht="15" hidden="false" customHeight="false" outlineLevel="0" collapsed="false">
      <c r="A2089" s="4" t="str">
        <f aca="false">B2089&amp;"|"&amp;C2089</f>
        <v>tdbR00000577 Glu-CUC|57</v>
      </c>
      <c r="B2089" s="4" t="s">
        <v>65</v>
      </c>
      <c r="C2089" s="4" t="s">
        <v>480</v>
      </c>
      <c r="D2089" s="4" t="n">
        <v>56</v>
      </c>
      <c r="E2089" s="19" t="s">
        <v>197</v>
      </c>
      <c r="F2089" s="20" t="s">
        <v>477</v>
      </c>
    </row>
    <row r="2090" customFormat="false" ht="15" hidden="false" customHeight="false" outlineLevel="0" collapsed="false">
      <c r="A2090" s="4" t="str">
        <f aca="false">B2090&amp;"|"&amp;C2090</f>
        <v>tdbR00000577 Glu-CUC|58</v>
      </c>
      <c r="B2090" s="4" t="s">
        <v>65</v>
      </c>
      <c r="C2090" s="4" t="s">
        <v>481</v>
      </c>
      <c r="D2090" s="4" t="n">
        <v>57</v>
      </c>
      <c r="E2090" s="19" t="s">
        <v>246</v>
      </c>
      <c r="F2090" s="20" t="s">
        <v>477</v>
      </c>
    </row>
    <row r="2091" customFormat="false" ht="15" hidden="false" customHeight="false" outlineLevel="0" collapsed="false">
      <c r="A2091" s="4" t="str">
        <f aca="false">B2091&amp;"|"&amp;C2091</f>
        <v>tdbR00000577 Glu-CUC|59</v>
      </c>
      <c r="B2091" s="4" t="s">
        <v>65</v>
      </c>
      <c r="C2091" s="4" t="s">
        <v>482</v>
      </c>
      <c r="D2091" s="4" t="n">
        <v>58</v>
      </c>
      <c r="E2091" s="19" t="s">
        <v>259</v>
      </c>
      <c r="F2091" s="20" t="s">
        <v>477</v>
      </c>
    </row>
    <row r="2092" customFormat="false" ht="15" hidden="false" customHeight="false" outlineLevel="0" collapsed="false">
      <c r="A2092" s="4" t="str">
        <f aca="false">B2092&amp;"|"&amp;C2092</f>
        <v>tdbR00000577 Glu-CUC|60</v>
      </c>
      <c r="B2092" s="4" t="s">
        <v>65</v>
      </c>
      <c r="C2092" s="4" t="s">
        <v>483</v>
      </c>
      <c r="D2092" s="4" t="n">
        <v>59</v>
      </c>
      <c r="E2092" s="19" t="s">
        <v>414</v>
      </c>
      <c r="F2092" s="20" t="s">
        <v>477</v>
      </c>
    </row>
    <row r="2093" customFormat="false" ht="15" hidden="false" customHeight="false" outlineLevel="0" collapsed="false">
      <c r="A2093" s="4" t="str">
        <f aca="false">B2093&amp;"|"&amp;C2093</f>
        <v>tdbR00000577 Glu-CUC|61</v>
      </c>
      <c r="B2093" s="4" t="s">
        <v>65</v>
      </c>
      <c r="C2093" s="4" t="s">
        <v>484</v>
      </c>
      <c r="D2093" s="4" t="n">
        <v>60</v>
      </c>
      <c r="E2093" s="23" t="s">
        <v>414</v>
      </c>
      <c r="F2093" s="10" t="s">
        <v>471</v>
      </c>
    </row>
    <row r="2094" customFormat="false" ht="15" hidden="false" customHeight="false" outlineLevel="0" collapsed="false">
      <c r="A2094" s="4" t="str">
        <f aca="false">B2094&amp;"|"&amp;C2094</f>
        <v>tdbR00000577 Glu-CUC|62</v>
      </c>
      <c r="B2094" s="4" t="s">
        <v>65</v>
      </c>
      <c r="C2094" s="4" t="s">
        <v>485</v>
      </c>
      <c r="D2094" s="4" t="n">
        <v>61</v>
      </c>
      <c r="E2094" s="23" t="s">
        <v>414</v>
      </c>
      <c r="F2094" s="10" t="s">
        <v>471</v>
      </c>
    </row>
    <row r="2095" customFormat="false" ht="15" hidden="false" customHeight="false" outlineLevel="0" collapsed="false">
      <c r="A2095" s="4" t="str">
        <f aca="false">B2095&amp;"|"&amp;C2095</f>
        <v>tdbR00000577 Glu-CUC|63</v>
      </c>
      <c r="B2095" s="4" t="s">
        <v>65</v>
      </c>
      <c r="C2095" s="4" t="s">
        <v>486</v>
      </c>
      <c r="D2095" s="4" t="n">
        <v>62</v>
      </c>
      <c r="E2095" s="23" t="s">
        <v>414</v>
      </c>
      <c r="F2095" s="10" t="s">
        <v>471</v>
      </c>
    </row>
    <row r="2096" customFormat="false" ht="15" hidden="false" customHeight="false" outlineLevel="0" collapsed="false">
      <c r="A2096" s="4" t="str">
        <f aca="false">B2096&amp;"|"&amp;C2096</f>
        <v>tdbR00000577 Glu-CUC|64</v>
      </c>
      <c r="B2096" s="4" t="s">
        <v>65</v>
      </c>
      <c r="C2096" s="4" t="s">
        <v>487</v>
      </c>
      <c r="D2096" s="4" t="n">
        <v>63</v>
      </c>
      <c r="E2096" s="23" t="s">
        <v>197</v>
      </c>
      <c r="F2096" s="10" t="s">
        <v>471</v>
      </c>
    </row>
    <row r="2097" customFormat="false" ht="15" hidden="false" customHeight="false" outlineLevel="0" collapsed="false">
      <c r="A2097" s="4" t="str">
        <f aca="false">B2097&amp;"|"&amp;C2097</f>
        <v>tdbR00000577 Glu-CUC|65</v>
      </c>
      <c r="B2097" s="4" t="s">
        <v>65</v>
      </c>
      <c r="C2097" s="4" t="s">
        <v>488</v>
      </c>
      <c r="D2097" s="4" t="n">
        <v>64</v>
      </c>
      <c r="E2097" s="23" t="s">
        <v>197</v>
      </c>
      <c r="F2097" s="10" t="s">
        <v>471</v>
      </c>
    </row>
    <row r="2098" customFormat="false" ht="15" hidden="false" customHeight="false" outlineLevel="0" collapsed="false">
      <c r="A2098" s="4" t="str">
        <f aca="false">B2098&amp;"|"&amp;C2098</f>
        <v>tdbR00000577 Glu-CUC|66</v>
      </c>
      <c r="B2098" s="4" t="s">
        <v>65</v>
      </c>
      <c r="C2098" s="4" t="s">
        <v>489</v>
      </c>
      <c r="D2098" s="4" t="n">
        <v>65</v>
      </c>
      <c r="E2098" s="17" t="s">
        <v>414</v>
      </c>
      <c r="F2098" s="18" t="s">
        <v>412</v>
      </c>
    </row>
    <row r="2099" customFormat="false" ht="15" hidden="false" customHeight="false" outlineLevel="0" collapsed="false">
      <c r="A2099" s="4" t="str">
        <f aca="false">B2099&amp;"|"&amp;C2099</f>
        <v>tdbR00000577 Glu-CUC|67</v>
      </c>
      <c r="B2099" s="4" t="s">
        <v>65</v>
      </c>
      <c r="C2099" s="4" t="s">
        <v>490</v>
      </c>
      <c r="D2099" s="4" t="n">
        <v>66</v>
      </c>
      <c r="E2099" s="17" t="s">
        <v>246</v>
      </c>
      <c r="F2099" s="18" t="s">
        <v>412</v>
      </c>
    </row>
    <row r="2100" customFormat="false" ht="15" hidden="false" customHeight="false" outlineLevel="0" collapsed="false">
      <c r="A2100" s="4" t="str">
        <f aca="false">B2100&amp;"|"&amp;C2100</f>
        <v>tdbR00000577 Glu-CUC|68</v>
      </c>
      <c r="B2100" s="4" t="s">
        <v>65</v>
      </c>
      <c r="C2100" s="4" t="s">
        <v>491</v>
      </c>
      <c r="D2100" s="4" t="n">
        <v>67</v>
      </c>
      <c r="E2100" s="17" t="s">
        <v>259</v>
      </c>
      <c r="F2100" s="18" t="s">
        <v>412</v>
      </c>
    </row>
    <row r="2101" customFormat="false" ht="15" hidden="false" customHeight="false" outlineLevel="0" collapsed="false">
      <c r="A2101" s="4" t="str">
        <f aca="false">B2101&amp;"|"&amp;C2101</f>
        <v>tdbR00000577 Glu-CUC|69</v>
      </c>
      <c r="B2101" s="4" t="s">
        <v>65</v>
      </c>
      <c r="C2101" s="4" t="s">
        <v>492</v>
      </c>
      <c r="D2101" s="4" t="n">
        <v>68</v>
      </c>
      <c r="E2101" s="17" t="s">
        <v>414</v>
      </c>
      <c r="F2101" s="18" t="s">
        <v>412</v>
      </c>
    </row>
    <row r="2102" customFormat="false" ht="15" hidden="false" customHeight="false" outlineLevel="0" collapsed="false">
      <c r="A2102" s="4" t="str">
        <f aca="false">B2102&amp;"|"&amp;C2102</f>
        <v>tdbR00000577 Glu-CUC|70</v>
      </c>
      <c r="B2102" s="4" t="s">
        <v>65</v>
      </c>
      <c r="C2102" s="4" t="s">
        <v>493</v>
      </c>
      <c r="D2102" s="4" t="n">
        <v>69</v>
      </c>
      <c r="E2102" s="17" t="s">
        <v>197</v>
      </c>
      <c r="F2102" s="18" t="s">
        <v>412</v>
      </c>
    </row>
    <row r="2103" customFormat="false" ht="15" hidden="false" customHeight="false" outlineLevel="0" collapsed="false">
      <c r="A2103" s="4" t="str">
        <f aca="false">B2103&amp;"|"&amp;C2103</f>
        <v>tdbR00000577 Glu-CUC|71</v>
      </c>
      <c r="B2103" s="4" t="s">
        <v>65</v>
      </c>
      <c r="C2103" s="4" t="s">
        <v>494</v>
      </c>
      <c r="D2103" s="4" t="n">
        <v>70</v>
      </c>
      <c r="E2103" s="17" t="s">
        <v>197</v>
      </c>
      <c r="F2103" s="18" t="s">
        <v>412</v>
      </c>
    </row>
    <row r="2104" customFormat="false" ht="15" hidden="false" customHeight="false" outlineLevel="0" collapsed="false">
      <c r="A2104" s="4" t="str">
        <f aca="false">B2104&amp;"|"&amp;C2104</f>
        <v>tdbR00000577 Glu-CUC|72</v>
      </c>
      <c r="B2104" s="4" t="s">
        <v>65</v>
      </c>
      <c r="C2104" s="4" t="s">
        <v>495</v>
      </c>
      <c r="D2104" s="4" t="n">
        <v>71</v>
      </c>
      <c r="E2104" s="17" t="s">
        <v>246</v>
      </c>
      <c r="F2104" s="18" t="s">
        <v>412</v>
      </c>
    </row>
    <row r="2105" customFormat="false" ht="15" hidden="false" customHeight="false" outlineLevel="0" collapsed="false">
      <c r="A2105" s="4" t="str">
        <f aca="false">B2105&amp;"|"&amp;C2105</f>
        <v>tdbR00000572 Lys-UUU|1</v>
      </c>
      <c r="B2105" s="4" t="s">
        <v>66</v>
      </c>
      <c r="C2105" s="4" t="s">
        <v>411</v>
      </c>
      <c r="D2105" s="4" t="n">
        <v>1</v>
      </c>
      <c r="E2105" s="17" t="s">
        <v>197</v>
      </c>
      <c r="F2105" s="18" t="s">
        <v>412</v>
      </c>
    </row>
    <row r="2106" customFormat="false" ht="15" hidden="false" customHeight="false" outlineLevel="0" collapsed="false">
      <c r="A2106" s="4" t="str">
        <f aca="false">B2106&amp;"|"&amp;C2106</f>
        <v>tdbR00000572 Lys-UUU|2</v>
      </c>
      <c r="B2106" s="4" t="s">
        <v>66</v>
      </c>
      <c r="C2106" s="4" t="s">
        <v>413</v>
      </c>
      <c r="D2106" s="4" t="n">
        <v>2</v>
      </c>
      <c r="E2106" s="17" t="s">
        <v>414</v>
      </c>
      <c r="F2106" s="18" t="s">
        <v>412</v>
      </c>
    </row>
    <row r="2107" customFormat="false" ht="15" hidden="false" customHeight="false" outlineLevel="0" collapsed="false">
      <c r="A2107" s="4" t="str">
        <f aca="false">B2107&amp;"|"&amp;C2107</f>
        <v>tdbR00000572 Lys-UUU|3</v>
      </c>
      <c r="B2107" s="4" t="s">
        <v>66</v>
      </c>
      <c r="C2107" s="4" t="s">
        <v>415</v>
      </c>
      <c r="D2107" s="4" t="n">
        <v>3</v>
      </c>
      <c r="E2107" s="17" t="s">
        <v>246</v>
      </c>
      <c r="F2107" s="18" t="s">
        <v>412</v>
      </c>
    </row>
    <row r="2108" customFormat="false" ht="15" hidden="false" customHeight="false" outlineLevel="0" collapsed="false">
      <c r="A2108" s="4" t="str">
        <f aca="false">B2108&amp;"|"&amp;C2108</f>
        <v>tdbR00000572 Lys-UUU|4</v>
      </c>
      <c r="B2108" s="4" t="s">
        <v>66</v>
      </c>
      <c r="C2108" s="4" t="s">
        <v>416</v>
      </c>
      <c r="D2108" s="4" t="n">
        <v>4</v>
      </c>
      <c r="E2108" s="17" t="s">
        <v>414</v>
      </c>
      <c r="F2108" s="18" t="s">
        <v>412</v>
      </c>
    </row>
    <row r="2109" customFormat="false" ht="15" hidden="false" customHeight="false" outlineLevel="0" collapsed="false">
      <c r="A2109" s="4" t="str">
        <f aca="false">B2109&amp;"|"&amp;C2109</f>
        <v>tdbR00000572 Lys-UUU|5</v>
      </c>
      <c r="B2109" s="4" t="s">
        <v>66</v>
      </c>
      <c r="C2109" s="4" t="s">
        <v>417</v>
      </c>
      <c r="D2109" s="4" t="n">
        <v>5</v>
      </c>
      <c r="E2109" s="17" t="s">
        <v>259</v>
      </c>
      <c r="F2109" s="18" t="s">
        <v>412</v>
      </c>
    </row>
    <row r="2110" customFormat="false" ht="15" hidden="false" customHeight="false" outlineLevel="0" collapsed="false">
      <c r="A2110" s="4" t="str">
        <f aca="false">B2110&amp;"|"&amp;C2110</f>
        <v>tdbR00000572 Lys-UUU|6</v>
      </c>
      <c r="B2110" s="4" t="s">
        <v>66</v>
      </c>
      <c r="C2110" s="4" t="s">
        <v>418</v>
      </c>
      <c r="D2110" s="4" t="n">
        <v>6</v>
      </c>
      <c r="E2110" s="17" t="s">
        <v>259</v>
      </c>
      <c r="F2110" s="18" t="s">
        <v>412</v>
      </c>
    </row>
    <row r="2111" customFormat="false" ht="15" hidden="false" customHeight="false" outlineLevel="0" collapsed="false">
      <c r="A2111" s="4" t="str">
        <f aca="false">B2111&amp;"|"&amp;C2111</f>
        <v>tdbR00000572 Lys-UUU|7</v>
      </c>
      <c r="B2111" s="4" t="s">
        <v>66</v>
      </c>
      <c r="C2111" s="4" t="s">
        <v>419</v>
      </c>
      <c r="D2111" s="4" t="n">
        <v>7</v>
      </c>
      <c r="E2111" s="17" t="s">
        <v>414</v>
      </c>
      <c r="F2111" s="18" t="s">
        <v>412</v>
      </c>
    </row>
    <row r="2112" customFormat="false" ht="15" hidden="false" customHeight="false" outlineLevel="0" collapsed="false">
      <c r="A2112" s="4" t="str">
        <f aca="false">B2112&amp;"|"&amp;C2112</f>
        <v>tdbR00000572 Lys-UUU|8</v>
      </c>
      <c r="B2112" s="4" t="s">
        <v>66</v>
      </c>
      <c r="C2112" s="4" t="s">
        <v>420</v>
      </c>
      <c r="D2112" s="4" t="n">
        <v>8</v>
      </c>
      <c r="E2112" s="3" t="s">
        <v>259</v>
      </c>
      <c r="F2112" s="4" t="s">
        <v>421</v>
      </c>
    </row>
    <row r="2113" customFormat="false" ht="15" hidden="false" customHeight="false" outlineLevel="0" collapsed="false">
      <c r="A2113" s="4" t="str">
        <f aca="false">B2113&amp;"|"&amp;C2113</f>
        <v>tdbR00000572 Lys-UUU|9</v>
      </c>
      <c r="B2113" s="4" t="s">
        <v>66</v>
      </c>
      <c r="C2113" s="4" t="s">
        <v>422</v>
      </c>
      <c r="D2113" s="4" t="n">
        <v>9</v>
      </c>
      <c r="E2113" s="3" t="s">
        <v>246</v>
      </c>
      <c r="F2113" s="4" t="s">
        <v>423</v>
      </c>
    </row>
    <row r="2114" customFormat="false" ht="15" hidden="false" customHeight="false" outlineLevel="0" collapsed="false">
      <c r="A2114" s="4" t="str">
        <f aca="false">B2114&amp;"|"&amp;C2114</f>
        <v>tdbR00000572 Lys-UUU|10</v>
      </c>
      <c r="B2114" s="4" t="s">
        <v>66</v>
      </c>
      <c r="C2114" s="4" t="s">
        <v>424</v>
      </c>
      <c r="D2114" s="4" t="n">
        <v>10</v>
      </c>
      <c r="E2114" s="8" t="s">
        <v>197</v>
      </c>
      <c r="F2114" s="7" t="s">
        <v>425</v>
      </c>
    </row>
    <row r="2115" customFormat="false" ht="15" hidden="false" customHeight="false" outlineLevel="0" collapsed="false">
      <c r="A2115" s="4" t="str">
        <f aca="false">B2115&amp;"|"&amp;C2115</f>
        <v>tdbR00000572 Lys-UUU|11</v>
      </c>
      <c r="B2115" s="4" t="s">
        <v>66</v>
      </c>
      <c r="C2115" s="4" t="s">
        <v>426</v>
      </c>
      <c r="D2115" s="4" t="n">
        <v>11</v>
      </c>
      <c r="E2115" s="8" t="s">
        <v>414</v>
      </c>
      <c r="F2115" s="7" t="s">
        <v>425</v>
      </c>
    </row>
    <row r="2116" customFormat="false" ht="15" hidden="false" customHeight="false" outlineLevel="0" collapsed="false">
      <c r="A2116" s="4" t="str">
        <f aca="false">B2116&amp;"|"&amp;C2116</f>
        <v>tdbR00000572 Lys-UUU|12</v>
      </c>
      <c r="B2116" s="4" t="s">
        <v>66</v>
      </c>
      <c r="C2116" s="4" t="s">
        <v>427</v>
      </c>
      <c r="D2116" s="4" t="n">
        <v>12</v>
      </c>
      <c r="E2116" s="8" t="s">
        <v>259</v>
      </c>
      <c r="F2116" s="7" t="s">
        <v>425</v>
      </c>
    </row>
    <row r="2117" customFormat="false" ht="15" hidden="false" customHeight="false" outlineLevel="0" collapsed="false">
      <c r="A2117" s="4" t="str">
        <f aca="false">B2117&amp;"|"&amp;C2117</f>
        <v>tdbR00000572 Lys-UUU|13</v>
      </c>
      <c r="B2117" s="4" t="s">
        <v>66</v>
      </c>
      <c r="C2117" s="4" t="s">
        <v>428</v>
      </c>
      <c r="D2117" s="4" t="n">
        <v>13</v>
      </c>
      <c r="E2117" s="8" t="s">
        <v>414</v>
      </c>
      <c r="F2117" s="7" t="s">
        <v>425</v>
      </c>
    </row>
    <row r="2118" customFormat="false" ht="15" hidden="false" customHeight="false" outlineLevel="0" collapsed="false">
      <c r="A2118" s="4" t="str">
        <f aca="false">B2118&amp;"|"&amp;C2118</f>
        <v>tdbR00000572 Lys-UUU|14</v>
      </c>
      <c r="B2118" s="4" t="s">
        <v>66</v>
      </c>
      <c r="C2118" s="4" t="s">
        <v>429</v>
      </c>
      <c r="D2118" s="4" t="n">
        <v>14</v>
      </c>
      <c r="E2118" s="19" t="s">
        <v>246</v>
      </c>
      <c r="F2118" s="20" t="s">
        <v>430</v>
      </c>
    </row>
    <row r="2119" customFormat="false" ht="15" hidden="false" customHeight="false" outlineLevel="0" collapsed="false">
      <c r="A2119" s="4" t="str">
        <f aca="false">B2119&amp;"|"&amp;C2119</f>
        <v>tdbR00000572 Lys-UUU|15</v>
      </c>
      <c r="B2119" s="4" t="s">
        <v>66</v>
      </c>
      <c r="C2119" s="4" t="s">
        <v>431</v>
      </c>
      <c r="D2119" s="4" t="n">
        <v>15</v>
      </c>
      <c r="E2119" s="19" t="s">
        <v>197</v>
      </c>
      <c r="F2119" s="20" t="s">
        <v>430</v>
      </c>
    </row>
    <row r="2120" customFormat="false" ht="15" hidden="false" customHeight="false" outlineLevel="0" collapsed="false">
      <c r="A2120" s="4" t="str">
        <f aca="false">B2120&amp;"|"&amp;C2120</f>
        <v>tdbR00000572 Lys-UUU|16</v>
      </c>
      <c r="B2120" s="4" t="s">
        <v>66</v>
      </c>
      <c r="C2120" s="4" t="s">
        <v>432</v>
      </c>
      <c r="D2120" s="4" t="n">
        <v>16</v>
      </c>
      <c r="E2120" s="19" t="s">
        <v>259</v>
      </c>
      <c r="F2120" s="20" t="s">
        <v>430</v>
      </c>
    </row>
    <row r="2121" customFormat="false" ht="15" hidden="false" customHeight="false" outlineLevel="0" collapsed="false">
      <c r="A2121" s="4" t="str">
        <f aca="false">B2121&amp;"|"&amp;C2121</f>
        <v>tdbR00000572 Lys-UUU|17</v>
      </c>
      <c r="B2121" s="4" t="s">
        <v>66</v>
      </c>
      <c r="C2121" s="4" t="s">
        <v>433</v>
      </c>
      <c r="D2121" s="4" t="n">
        <v>17</v>
      </c>
      <c r="E2121" s="19" t="s">
        <v>259</v>
      </c>
      <c r="F2121" s="20" t="s">
        <v>430</v>
      </c>
    </row>
    <row r="2122" customFormat="false" ht="15" hidden="false" customHeight="false" outlineLevel="0" collapsed="false">
      <c r="A2122" s="4" t="str">
        <f aca="false">B2122&amp;"|"&amp;C2122</f>
        <v>tdbR00000572 Lys-UUU|18</v>
      </c>
      <c r="B2122" s="4" t="s">
        <v>66</v>
      </c>
      <c r="C2122" s="4" t="s">
        <v>434</v>
      </c>
      <c r="D2122" s="4" t="n">
        <v>18</v>
      </c>
      <c r="E2122" s="19" t="s">
        <v>197</v>
      </c>
      <c r="F2122" s="20" t="s">
        <v>430</v>
      </c>
    </row>
    <row r="2123" customFormat="false" ht="15" hidden="false" customHeight="false" outlineLevel="0" collapsed="false">
      <c r="A2123" s="4" t="str">
        <f aca="false">B2123&amp;"|"&amp;C2123</f>
        <v>tdbR00000572 Lys-UUU|19</v>
      </c>
      <c r="B2123" s="4" t="s">
        <v>66</v>
      </c>
      <c r="C2123" s="4" t="s">
        <v>435</v>
      </c>
      <c r="D2123" s="4" t="n">
        <v>19</v>
      </c>
      <c r="E2123" s="19" t="s">
        <v>197</v>
      </c>
      <c r="F2123" s="20" t="s">
        <v>430</v>
      </c>
    </row>
    <row r="2124" customFormat="false" ht="15" hidden="false" customHeight="false" outlineLevel="0" collapsed="false">
      <c r="A2124" s="4" t="str">
        <f aca="false">B2124&amp;"|"&amp;C2124</f>
        <v>tdbR00000572 Lys-UUU|20</v>
      </c>
      <c r="B2124" s="4" t="s">
        <v>66</v>
      </c>
      <c r="C2124" s="4" t="s">
        <v>436</v>
      </c>
      <c r="D2124" s="4" t="n">
        <v>20</v>
      </c>
      <c r="E2124" s="19" t="s">
        <v>259</v>
      </c>
      <c r="F2124" s="20" t="s">
        <v>430</v>
      </c>
    </row>
    <row r="2125" customFormat="false" ht="15" hidden="false" customHeight="false" outlineLevel="0" collapsed="false">
      <c r="A2125" s="4" t="str">
        <f aca="false">B2125&amp;"|"&amp;C2125</f>
        <v>tdbR00000572 Lys-UUU|21</v>
      </c>
      <c r="B2125" s="4" t="s">
        <v>66</v>
      </c>
      <c r="C2125" s="4" t="s">
        <v>438</v>
      </c>
      <c r="D2125" s="4" t="n">
        <v>21</v>
      </c>
      <c r="E2125" s="19" t="s">
        <v>246</v>
      </c>
      <c r="F2125" s="20" t="s">
        <v>430</v>
      </c>
    </row>
    <row r="2126" customFormat="false" ht="15" hidden="false" customHeight="false" outlineLevel="0" collapsed="false">
      <c r="A2126" s="4" t="str">
        <f aca="false">B2126&amp;"|"&amp;C2126</f>
        <v>tdbR00000572 Lys-UUU|22</v>
      </c>
      <c r="B2126" s="4" t="s">
        <v>66</v>
      </c>
      <c r="C2126" s="4" t="s">
        <v>439</v>
      </c>
      <c r="D2126" s="4" t="n">
        <v>22</v>
      </c>
      <c r="E2126" s="8" t="s">
        <v>197</v>
      </c>
      <c r="F2126" s="7" t="s">
        <v>425</v>
      </c>
    </row>
    <row r="2127" customFormat="false" ht="15" hidden="false" customHeight="false" outlineLevel="0" collapsed="false">
      <c r="A2127" s="4" t="str">
        <f aca="false">B2127&amp;"|"&amp;C2127</f>
        <v>tdbR00000572 Lys-UUU|23</v>
      </c>
      <c r="B2127" s="4" t="s">
        <v>66</v>
      </c>
      <c r="C2127" s="4" t="s">
        <v>440</v>
      </c>
      <c r="D2127" s="4" t="n">
        <v>23</v>
      </c>
      <c r="E2127" s="8" t="s">
        <v>246</v>
      </c>
      <c r="F2127" s="7" t="s">
        <v>425</v>
      </c>
    </row>
    <row r="2128" customFormat="false" ht="15" hidden="false" customHeight="false" outlineLevel="0" collapsed="false">
      <c r="A2128" s="4" t="str">
        <f aca="false">B2128&amp;"|"&amp;C2128</f>
        <v>tdbR00000572 Lys-UUU|24</v>
      </c>
      <c r="B2128" s="4" t="s">
        <v>66</v>
      </c>
      <c r="C2128" s="4" t="s">
        <v>441</v>
      </c>
      <c r="D2128" s="4" t="n">
        <v>24</v>
      </c>
      <c r="E2128" s="8" t="s">
        <v>197</v>
      </c>
      <c r="F2128" s="7" t="s">
        <v>425</v>
      </c>
    </row>
    <row r="2129" customFormat="false" ht="15" hidden="false" customHeight="false" outlineLevel="0" collapsed="false">
      <c r="A2129" s="4" t="str">
        <f aca="false">B2129&amp;"|"&amp;C2129</f>
        <v>tdbR00000572 Lys-UUU|25</v>
      </c>
      <c r="B2129" s="4" t="s">
        <v>66</v>
      </c>
      <c r="C2129" s="4" t="s">
        <v>442</v>
      </c>
      <c r="D2129" s="4" t="n">
        <v>25</v>
      </c>
      <c r="E2129" s="8" t="s">
        <v>414</v>
      </c>
      <c r="F2129" s="7" t="s">
        <v>425</v>
      </c>
    </row>
    <row r="2130" customFormat="false" ht="15" hidden="false" customHeight="false" outlineLevel="0" collapsed="false">
      <c r="A2130" s="4" t="str">
        <f aca="false">B2130&amp;"|"&amp;C2130</f>
        <v>tdbR00000572 Lys-UUU|26</v>
      </c>
      <c r="B2130" s="4" t="s">
        <v>66</v>
      </c>
      <c r="C2130" s="4" t="s">
        <v>443</v>
      </c>
      <c r="D2130" s="4" t="n">
        <v>26</v>
      </c>
      <c r="E2130" s="3" t="s">
        <v>197</v>
      </c>
      <c r="F2130" s="4" t="s">
        <v>444</v>
      </c>
    </row>
    <row r="2131" customFormat="false" ht="15" hidden="false" customHeight="false" outlineLevel="0" collapsed="false">
      <c r="A2131" s="4" t="str">
        <f aca="false">B2131&amp;"|"&amp;C2131</f>
        <v>tdbR00000572 Lys-UUU|27</v>
      </c>
      <c r="B2131" s="4" t="s">
        <v>66</v>
      </c>
      <c r="C2131" s="4" t="s">
        <v>445</v>
      </c>
      <c r="D2131" s="4" t="n">
        <v>27</v>
      </c>
      <c r="E2131" s="21" t="s">
        <v>414</v>
      </c>
      <c r="F2131" s="22" t="s">
        <v>446</v>
      </c>
    </row>
    <row r="2132" customFormat="false" ht="15" hidden="false" customHeight="false" outlineLevel="0" collapsed="false">
      <c r="A2132" s="4" t="str">
        <f aca="false">B2132&amp;"|"&amp;C2132</f>
        <v>tdbR00000572 Lys-UUU|28</v>
      </c>
      <c r="B2132" s="4" t="s">
        <v>66</v>
      </c>
      <c r="C2132" s="4" t="s">
        <v>447</v>
      </c>
      <c r="D2132" s="4" t="n">
        <v>28</v>
      </c>
      <c r="E2132" s="21" t="s">
        <v>197</v>
      </c>
      <c r="F2132" s="22" t="s">
        <v>446</v>
      </c>
    </row>
    <row r="2133" customFormat="false" ht="15" hidden="false" customHeight="false" outlineLevel="0" collapsed="false">
      <c r="A2133" s="4" t="str">
        <f aca="false">B2133&amp;"|"&amp;C2133</f>
        <v>tdbR00000572 Lys-UUU|29</v>
      </c>
      <c r="B2133" s="4" t="s">
        <v>66</v>
      </c>
      <c r="C2133" s="4" t="s">
        <v>448</v>
      </c>
      <c r="D2133" s="4" t="n">
        <v>29</v>
      </c>
      <c r="E2133" s="21" t="s">
        <v>259</v>
      </c>
      <c r="F2133" s="22" t="s">
        <v>446</v>
      </c>
    </row>
    <row r="2134" customFormat="false" ht="15" hidden="false" customHeight="false" outlineLevel="0" collapsed="false">
      <c r="A2134" s="4" t="str">
        <f aca="false">B2134&amp;"|"&amp;C2134</f>
        <v>tdbR00000572 Lys-UUU|30</v>
      </c>
      <c r="B2134" s="4" t="s">
        <v>66</v>
      </c>
      <c r="C2134" s="4" t="s">
        <v>449</v>
      </c>
      <c r="D2134" s="4" t="n">
        <v>30</v>
      </c>
      <c r="E2134" s="21" t="s">
        <v>197</v>
      </c>
      <c r="F2134" s="22" t="s">
        <v>446</v>
      </c>
    </row>
    <row r="2135" customFormat="false" ht="15" hidden="false" customHeight="false" outlineLevel="0" collapsed="false">
      <c r="A2135" s="4" t="str">
        <f aca="false">B2135&amp;"|"&amp;C2135</f>
        <v>tdbR00000572 Lys-UUU|31</v>
      </c>
      <c r="B2135" s="4" t="s">
        <v>66</v>
      </c>
      <c r="C2135" s="4" t="s">
        <v>450</v>
      </c>
      <c r="D2135" s="4" t="n">
        <v>31</v>
      </c>
      <c r="E2135" s="21" t="s">
        <v>197</v>
      </c>
      <c r="F2135" s="22" t="s">
        <v>446</v>
      </c>
    </row>
    <row r="2136" customFormat="false" ht="15" hidden="false" customHeight="false" outlineLevel="0" collapsed="false">
      <c r="A2136" s="4" t="str">
        <f aca="false">B2136&amp;"|"&amp;C2136</f>
        <v>tdbR00000572 Lys-UUU|32</v>
      </c>
      <c r="B2136" s="4" t="s">
        <v>66</v>
      </c>
      <c r="C2136" s="4" t="s">
        <v>451</v>
      </c>
      <c r="D2136" s="4" t="n">
        <v>32</v>
      </c>
      <c r="E2136" s="19" t="s">
        <v>414</v>
      </c>
      <c r="F2136" s="20" t="s">
        <v>452</v>
      </c>
    </row>
    <row r="2137" customFormat="false" ht="15" hidden="false" customHeight="false" outlineLevel="0" collapsed="false">
      <c r="A2137" s="4" t="str">
        <f aca="false">B2137&amp;"|"&amp;C2137</f>
        <v>tdbR00000572 Lys-UUU|33</v>
      </c>
      <c r="B2137" s="4" t="s">
        <v>66</v>
      </c>
      <c r="C2137" s="4" t="s">
        <v>453</v>
      </c>
      <c r="D2137" s="4" t="n">
        <v>33</v>
      </c>
      <c r="E2137" s="19" t="s">
        <v>259</v>
      </c>
      <c r="F2137" s="20" t="s">
        <v>452</v>
      </c>
    </row>
    <row r="2138" customFormat="false" ht="15" hidden="false" customHeight="false" outlineLevel="0" collapsed="false">
      <c r="A2138" s="4" t="str">
        <f aca="false">B2138&amp;"|"&amp;C2138</f>
        <v>tdbR00000572 Lys-UUU|34</v>
      </c>
      <c r="B2138" s="4" t="s">
        <v>66</v>
      </c>
      <c r="C2138" s="4" t="s">
        <v>454</v>
      </c>
      <c r="D2138" s="4" t="n">
        <v>34</v>
      </c>
      <c r="E2138" s="19" t="s">
        <v>259</v>
      </c>
      <c r="F2138" s="20" t="s">
        <v>452</v>
      </c>
    </row>
    <row r="2139" customFormat="false" ht="15" hidden="false" customHeight="false" outlineLevel="0" collapsed="false">
      <c r="A2139" s="4" t="str">
        <f aca="false">B2139&amp;"|"&amp;C2139</f>
        <v>tdbR00000572 Lys-UUU|35</v>
      </c>
      <c r="B2139" s="4" t="s">
        <v>66</v>
      </c>
      <c r="C2139" s="4" t="s">
        <v>455</v>
      </c>
      <c r="D2139" s="4" t="n">
        <v>35</v>
      </c>
      <c r="E2139" s="19" t="s">
        <v>259</v>
      </c>
      <c r="F2139" s="20" t="s">
        <v>452</v>
      </c>
    </row>
    <row r="2140" customFormat="false" ht="15" hidden="false" customHeight="false" outlineLevel="0" collapsed="false">
      <c r="A2140" s="4" t="str">
        <f aca="false">B2140&amp;"|"&amp;C2140</f>
        <v>tdbR00000572 Lys-UUU|36</v>
      </c>
      <c r="B2140" s="4" t="s">
        <v>66</v>
      </c>
      <c r="C2140" s="4" t="s">
        <v>456</v>
      </c>
      <c r="D2140" s="4" t="n">
        <v>36</v>
      </c>
      <c r="E2140" s="19" t="s">
        <v>259</v>
      </c>
      <c r="F2140" s="20" t="s">
        <v>452</v>
      </c>
    </row>
    <row r="2141" customFormat="false" ht="15" hidden="false" customHeight="false" outlineLevel="0" collapsed="false">
      <c r="A2141" s="4" t="str">
        <f aca="false">B2141&amp;"|"&amp;C2141</f>
        <v>tdbR00000572 Lys-UUU|37</v>
      </c>
      <c r="B2141" s="4" t="s">
        <v>66</v>
      </c>
      <c r="C2141" s="4" t="s">
        <v>457</v>
      </c>
      <c r="D2141" s="4" t="n">
        <v>37</v>
      </c>
      <c r="E2141" s="19" t="s">
        <v>246</v>
      </c>
      <c r="F2141" s="20" t="s">
        <v>452</v>
      </c>
    </row>
    <row r="2142" customFormat="false" ht="15" hidden="false" customHeight="false" outlineLevel="0" collapsed="false">
      <c r="A2142" s="4" t="str">
        <f aca="false">B2142&amp;"|"&amp;C2142</f>
        <v>tdbR00000572 Lys-UUU|38</v>
      </c>
      <c r="B2142" s="4" t="s">
        <v>66</v>
      </c>
      <c r="C2142" s="4" t="s">
        <v>458</v>
      </c>
      <c r="D2142" s="4" t="n">
        <v>38</v>
      </c>
      <c r="E2142" s="19" t="s">
        <v>246</v>
      </c>
      <c r="F2142" s="20" t="s">
        <v>452</v>
      </c>
    </row>
    <row r="2143" customFormat="false" ht="15" hidden="false" customHeight="false" outlineLevel="0" collapsed="false">
      <c r="A2143" s="4" t="str">
        <f aca="false">B2143&amp;"|"&amp;C2143</f>
        <v>tdbR00000572 Lys-UUU|39</v>
      </c>
      <c r="B2143" s="4" t="s">
        <v>66</v>
      </c>
      <c r="C2143" s="4" t="s">
        <v>459</v>
      </c>
      <c r="D2143" s="4" t="n">
        <v>39</v>
      </c>
      <c r="E2143" s="21" t="s">
        <v>414</v>
      </c>
      <c r="F2143" s="22" t="s">
        <v>446</v>
      </c>
    </row>
    <row r="2144" customFormat="false" ht="15" hidden="false" customHeight="false" outlineLevel="0" collapsed="false">
      <c r="A2144" s="4" t="str">
        <f aca="false">B2144&amp;"|"&amp;C2144</f>
        <v>tdbR00000572 Lys-UUU|40</v>
      </c>
      <c r="B2144" s="4" t="s">
        <v>66</v>
      </c>
      <c r="C2144" s="4" t="s">
        <v>460</v>
      </c>
      <c r="D2144" s="4" t="n">
        <v>40</v>
      </c>
      <c r="E2144" s="21" t="s">
        <v>414</v>
      </c>
      <c r="F2144" s="22" t="s">
        <v>446</v>
      </c>
    </row>
    <row r="2145" customFormat="false" ht="15" hidden="false" customHeight="false" outlineLevel="0" collapsed="false">
      <c r="A2145" s="4" t="str">
        <f aca="false">B2145&amp;"|"&amp;C2145</f>
        <v>tdbR00000572 Lys-UUU|41</v>
      </c>
      <c r="B2145" s="4" t="s">
        <v>66</v>
      </c>
      <c r="C2145" s="4" t="s">
        <v>461</v>
      </c>
      <c r="D2145" s="4" t="n">
        <v>41</v>
      </c>
      <c r="E2145" s="21" t="s">
        <v>259</v>
      </c>
      <c r="F2145" s="22" t="s">
        <v>446</v>
      </c>
    </row>
    <row r="2146" customFormat="false" ht="15" hidden="false" customHeight="false" outlineLevel="0" collapsed="false">
      <c r="A2146" s="4" t="str">
        <f aca="false">B2146&amp;"|"&amp;C2146</f>
        <v>tdbR00000572 Lys-UUU|42</v>
      </c>
      <c r="B2146" s="4" t="s">
        <v>66</v>
      </c>
      <c r="C2146" s="4" t="s">
        <v>462</v>
      </c>
      <c r="D2146" s="4" t="n">
        <v>42</v>
      </c>
      <c r="E2146" s="21" t="s">
        <v>414</v>
      </c>
      <c r="F2146" s="22" t="s">
        <v>446</v>
      </c>
    </row>
    <row r="2147" customFormat="false" ht="15" hidden="false" customHeight="false" outlineLevel="0" collapsed="false">
      <c r="A2147" s="4" t="str">
        <f aca="false">B2147&amp;"|"&amp;C2147</f>
        <v>tdbR00000572 Lys-UUU|43</v>
      </c>
      <c r="B2147" s="4" t="s">
        <v>66</v>
      </c>
      <c r="C2147" s="4" t="s">
        <v>463</v>
      </c>
      <c r="D2147" s="4" t="n">
        <v>43</v>
      </c>
      <c r="E2147" s="21" t="s">
        <v>197</v>
      </c>
      <c r="F2147" s="22" t="s">
        <v>446</v>
      </c>
    </row>
    <row r="2148" customFormat="false" ht="15" hidden="false" customHeight="false" outlineLevel="0" collapsed="false">
      <c r="A2148" s="4" t="str">
        <f aca="false">B2148&amp;"|"&amp;C2148</f>
        <v>tdbR00000572 Lys-UUU|44</v>
      </c>
      <c r="B2148" s="4" t="s">
        <v>66</v>
      </c>
      <c r="C2148" s="4" t="s">
        <v>464</v>
      </c>
      <c r="D2148" s="4" t="n">
        <v>44</v>
      </c>
      <c r="E2148" s="19" t="s">
        <v>259</v>
      </c>
      <c r="F2148" s="20" t="s">
        <v>465</v>
      </c>
    </row>
    <row r="2149" customFormat="false" ht="15" hidden="false" customHeight="false" outlineLevel="0" collapsed="false">
      <c r="A2149" s="4" t="str">
        <f aca="false">B2149&amp;"|"&amp;C2149</f>
        <v>tdbR00000572 Lys-UUU|45</v>
      </c>
      <c r="B2149" s="4" t="s">
        <v>66</v>
      </c>
      <c r="C2149" s="4" t="s">
        <v>466</v>
      </c>
      <c r="D2149" s="4" t="n">
        <v>45</v>
      </c>
      <c r="E2149" s="19" t="s">
        <v>197</v>
      </c>
      <c r="F2149" s="20" t="s">
        <v>465</v>
      </c>
    </row>
    <row r="2150" customFormat="false" ht="15" hidden="false" customHeight="false" outlineLevel="0" collapsed="false">
      <c r="A2150" s="4" t="str">
        <f aca="false">B2150&amp;"|"&amp;C2150</f>
        <v>tdbR00000572 Lys-UUU|46</v>
      </c>
      <c r="B2150" s="4" t="s">
        <v>66</v>
      </c>
      <c r="C2150" s="4" t="s">
        <v>467</v>
      </c>
      <c r="D2150" s="4" t="n">
        <v>46</v>
      </c>
      <c r="E2150" s="19" t="s">
        <v>197</v>
      </c>
      <c r="F2150" s="20" t="s">
        <v>465</v>
      </c>
    </row>
    <row r="2151" customFormat="false" ht="15" hidden="false" customHeight="false" outlineLevel="0" collapsed="false">
      <c r="A2151" s="4" t="str">
        <f aca="false">B2151&amp;"|"&amp;C2151</f>
        <v>tdbR00000572 Lys-UUU|47</v>
      </c>
      <c r="B2151" s="4" t="s">
        <v>66</v>
      </c>
      <c r="C2151" s="4" t="s">
        <v>468</v>
      </c>
      <c r="D2151" s="4" t="n">
        <v>47</v>
      </c>
      <c r="E2151" s="19" t="s">
        <v>259</v>
      </c>
      <c r="F2151" s="20" t="s">
        <v>465</v>
      </c>
    </row>
    <row r="2152" customFormat="false" ht="15" hidden="false" customHeight="false" outlineLevel="0" collapsed="false">
      <c r="A2152" s="4" t="str">
        <f aca="false">B2152&amp;"|"&amp;C2152</f>
        <v>tdbR00000572 Lys-UUU|48</v>
      </c>
      <c r="B2152" s="4" t="s">
        <v>66</v>
      </c>
      <c r="C2152" s="4" t="s">
        <v>469</v>
      </c>
      <c r="D2152" s="4" t="n">
        <v>48</v>
      </c>
      <c r="E2152" s="19" t="s">
        <v>414</v>
      </c>
      <c r="F2152" s="20" t="s">
        <v>465</v>
      </c>
    </row>
    <row r="2153" customFormat="false" ht="15" hidden="false" customHeight="false" outlineLevel="0" collapsed="false">
      <c r="A2153" s="4" t="str">
        <f aca="false">B2153&amp;"|"&amp;C2153</f>
        <v>tdbR00000572 Lys-UUU|49</v>
      </c>
      <c r="B2153" s="4" t="s">
        <v>66</v>
      </c>
      <c r="C2153" s="4" t="s">
        <v>470</v>
      </c>
      <c r="D2153" s="4" t="n">
        <v>49</v>
      </c>
      <c r="E2153" s="23" t="s">
        <v>197</v>
      </c>
      <c r="F2153" s="10" t="s">
        <v>471</v>
      </c>
    </row>
    <row r="2154" customFormat="false" ht="15" hidden="false" customHeight="false" outlineLevel="0" collapsed="false">
      <c r="A2154" s="4" t="str">
        <f aca="false">B2154&amp;"|"&amp;C2154</f>
        <v>tdbR00000572 Lys-UUU|50</v>
      </c>
      <c r="B2154" s="4" t="s">
        <v>66</v>
      </c>
      <c r="C2154" s="4" t="s">
        <v>472</v>
      </c>
      <c r="D2154" s="4" t="n">
        <v>50</v>
      </c>
      <c r="E2154" s="23" t="s">
        <v>259</v>
      </c>
      <c r="F2154" s="10" t="s">
        <v>471</v>
      </c>
    </row>
    <row r="2155" customFormat="false" ht="15" hidden="false" customHeight="false" outlineLevel="0" collapsed="false">
      <c r="A2155" s="4" t="str">
        <f aca="false">B2155&amp;"|"&amp;C2155</f>
        <v>tdbR00000572 Lys-UUU|51</v>
      </c>
      <c r="B2155" s="4" t="s">
        <v>66</v>
      </c>
      <c r="C2155" s="4" t="s">
        <v>473</v>
      </c>
      <c r="D2155" s="4" t="n">
        <v>51</v>
      </c>
      <c r="E2155" s="23" t="s">
        <v>197</v>
      </c>
      <c r="F2155" s="10" t="s">
        <v>471</v>
      </c>
    </row>
    <row r="2156" customFormat="false" ht="15" hidden="false" customHeight="false" outlineLevel="0" collapsed="false">
      <c r="A2156" s="4" t="str">
        <f aca="false">B2156&amp;"|"&amp;C2156</f>
        <v>tdbR00000572 Lys-UUU|52</v>
      </c>
      <c r="B2156" s="4" t="s">
        <v>66</v>
      </c>
      <c r="C2156" s="4" t="s">
        <v>474</v>
      </c>
      <c r="D2156" s="4" t="n">
        <v>52</v>
      </c>
      <c r="E2156" s="23" t="s">
        <v>197</v>
      </c>
      <c r="F2156" s="10" t="s">
        <v>471</v>
      </c>
    </row>
    <row r="2157" customFormat="false" ht="15" hidden="false" customHeight="false" outlineLevel="0" collapsed="false">
      <c r="A2157" s="4" t="str">
        <f aca="false">B2157&amp;"|"&amp;C2157</f>
        <v>tdbR00000572 Lys-UUU|53</v>
      </c>
      <c r="B2157" s="4" t="s">
        <v>66</v>
      </c>
      <c r="C2157" s="4" t="s">
        <v>475</v>
      </c>
      <c r="D2157" s="4" t="n">
        <v>53</v>
      </c>
      <c r="E2157" s="23" t="s">
        <v>197</v>
      </c>
      <c r="F2157" s="10" t="s">
        <v>471</v>
      </c>
    </row>
    <row r="2158" customFormat="false" ht="15" hidden="false" customHeight="false" outlineLevel="0" collapsed="false">
      <c r="A2158" s="4" t="str">
        <f aca="false">B2158&amp;"|"&amp;C2158</f>
        <v>tdbR00000572 Lys-UUU|54</v>
      </c>
      <c r="B2158" s="4" t="s">
        <v>66</v>
      </c>
      <c r="C2158" s="4" t="s">
        <v>476</v>
      </c>
      <c r="D2158" s="4" t="n">
        <v>54</v>
      </c>
      <c r="E2158" s="19" t="s">
        <v>259</v>
      </c>
      <c r="F2158" s="20" t="s">
        <v>477</v>
      </c>
    </row>
    <row r="2159" customFormat="false" ht="15" hidden="false" customHeight="false" outlineLevel="0" collapsed="false">
      <c r="A2159" s="4" t="str">
        <f aca="false">B2159&amp;"|"&amp;C2159</f>
        <v>tdbR00000572 Lys-UUU|55</v>
      </c>
      <c r="B2159" s="4" t="s">
        <v>66</v>
      </c>
      <c r="C2159" s="4" t="s">
        <v>478</v>
      </c>
      <c r="D2159" s="4" t="n">
        <v>55</v>
      </c>
      <c r="E2159" s="19" t="s">
        <v>259</v>
      </c>
      <c r="F2159" s="20" t="s">
        <v>477</v>
      </c>
    </row>
    <row r="2160" customFormat="false" ht="15" hidden="false" customHeight="false" outlineLevel="0" collapsed="false">
      <c r="A2160" s="4" t="str">
        <f aca="false">B2160&amp;"|"&amp;C2160</f>
        <v>tdbR00000572 Lys-UUU|56</v>
      </c>
      <c r="B2160" s="4" t="s">
        <v>66</v>
      </c>
      <c r="C2160" s="4" t="s">
        <v>479</v>
      </c>
      <c r="D2160" s="4" t="n">
        <v>56</v>
      </c>
      <c r="E2160" s="19" t="s">
        <v>414</v>
      </c>
      <c r="F2160" s="20" t="s">
        <v>477</v>
      </c>
    </row>
    <row r="2161" customFormat="false" ht="15" hidden="false" customHeight="false" outlineLevel="0" collapsed="false">
      <c r="A2161" s="4" t="str">
        <f aca="false">B2161&amp;"|"&amp;C2161</f>
        <v>tdbR00000572 Lys-UUU|57</v>
      </c>
      <c r="B2161" s="4" t="s">
        <v>66</v>
      </c>
      <c r="C2161" s="4" t="s">
        <v>480</v>
      </c>
      <c r="D2161" s="4" t="n">
        <v>57</v>
      </c>
      <c r="E2161" s="19" t="s">
        <v>197</v>
      </c>
      <c r="F2161" s="20" t="s">
        <v>477</v>
      </c>
    </row>
    <row r="2162" customFormat="false" ht="15" hidden="false" customHeight="false" outlineLevel="0" collapsed="false">
      <c r="A2162" s="4" t="str">
        <f aca="false">B2162&amp;"|"&amp;C2162</f>
        <v>tdbR00000572 Lys-UUU|58</v>
      </c>
      <c r="B2162" s="4" t="s">
        <v>66</v>
      </c>
      <c r="C2162" s="4" t="s">
        <v>481</v>
      </c>
      <c r="D2162" s="4" t="n">
        <v>58</v>
      </c>
      <c r="E2162" s="19" t="s">
        <v>246</v>
      </c>
      <c r="F2162" s="20" t="s">
        <v>477</v>
      </c>
    </row>
    <row r="2163" customFormat="false" ht="15" hidden="false" customHeight="false" outlineLevel="0" collapsed="false">
      <c r="A2163" s="4" t="str">
        <f aca="false">B2163&amp;"|"&amp;C2163</f>
        <v>tdbR00000572 Lys-UUU|59</v>
      </c>
      <c r="B2163" s="4" t="s">
        <v>66</v>
      </c>
      <c r="C2163" s="4" t="s">
        <v>482</v>
      </c>
      <c r="D2163" s="4" t="n">
        <v>59</v>
      </c>
      <c r="E2163" s="19" t="s">
        <v>197</v>
      </c>
      <c r="F2163" s="20" t="s">
        <v>477</v>
      </c>
    </row>
    <row r="2164" customFormat="false" ht="15" hidden="false" customHeight="false" outlineLevel="0" collapsed="false">
      <c r="A2164" s="4" t="str">
        <f aca="false">B2164&amp;"|"&amp;C2164</f>
        <v>tdbR00000572 Lys-UUU|60</v>
      </c>
      <c r="B2164" s="4" t="s">
        <v>66</v>
      </c>
      <c r="C2164" s="4" t="s">
        <v>483</v>
      </c>
      <c r="D2164" s="4" t="n">
        <v>60</v>
      </c>
      <c r="E2164" s="19" t="s">
        <v>414</v>
      </c>
      <c r="F2164" s="20" t="s">
        <v>477</v>
      </c>
    </row>
    <row r="2165" customFormat="false" ht="15" hidden="false" customHeight="false" outlineLevel="0" collapsed="false">
      <c r="A2165" s="4" t="str">
        <f aca="false">B2165&amp;"|"&amp;C2165</f>
        <v>tdbR00000572 Lys-UUU|61</v>
      </c>
      <c r="B2165" s="4" t="s">
        <v>66</v>
      </c>
      <c r="C2165" s="4" t="s">
        <v>484</v>
      </c>
      <c r="D2165" s="4" t="n">
        <v>61</v>
      </c>
      <c r="E2165" s="23" t="s">
        <v>414</v>
      </c>
      <c r="F2165" s="10" t="s">
        <v>471</v>
      </c>
    </row>
    <row r="2166" customFormat="false" ht="15" hidden="false" customHeight="false" outlineLevel="0" collapsed="false">
      <c r="A2166" s="4" t="str">
        <f aca="false">B2166&amp;"|"&amp;C2166</f>
        <v>tdbR00000572 Lys-UUU|62</v>
      </c>
      <c r="B2166" s="4" t="s">
        <v>66</v>
      </c>
      <c r="C2166" s="4" t="s">
        <v>485</v>
      </c>
      <c r="D2166" s="4" t="n">
        <v>62</v>
      </c>
      <c r="E2166" s="23" t="s">
        <v>414</v>
      </c>
      <c r="F2166" s="10" t="s">
        <v>471</v>
      </c>
    </row>
    <row r="2167" customFormat="false" ht="15" hidden="false" customHeight="false" outlineLevel="0" collapsed="false">
      <c r="A2167" s="4" t="str">
        <f aca="false">B2167&amp;"|"&amp;C2167</f>
        <v>tdbR00000572 Lys-UUU|63</v>
      </c>
      <c r="B2167" s="4" t="s">
        <v>66</v>
      </c>
      <c r="C2167" s="4" t="s">
        <v>486</v>
      </c>
      <c r="D2167" s="4" t="n">
        <v>63</v>
      </c>
      <c r="E2167" s="23" t="s">
        <v>414</v>
      </c>
      <c r="F2167" s="10" t="s">
        <v>471</v>
      </c>
    </row>
    <row r="2168" customFormat="false" ht="15" hidden="false" customHeight="false" outlineLevel="0" collapsed="false">
      <c r="A2168" s="4" t="str">
        <f aca="false">B2168&amp;"|"&amp;C2168</f>
        <v>tdbR00000572 Lys-UUU|64</v>
      </c>
      <c r="B2168" s="4" t="s">
        <v>66</v>
      </c>
      <c r="C2168" s="4" t="s">
        <v>487</v>
      </c>
      <c r="D2168" s="4" t="n">
        <v>64</v>
      </c>
      <c r="E2168" s="23" t="s">
        <v>246</v>
      </c>
      <c r="F2168" s="10" t="s">
        <v>471</v>
      </c>
    </row>
    <row r="2169" customFormat="false" ht="15" hidden="false" customHeight="false" outlineLevel="0" collapsed="false">
      <c r="A2169" s="4" t="str">
        <f aca="false">B2169&amp;"|"&amp;C2169</f>
        <v>tdbR00000572 Lys-UUU|65</v>
      </c>
      <c r="B2169" s="4" t="s">
        <v>66</v>
      </c>
      <c r="C2169" s="4" t="s">
        <v>488</v>
      </c>
      <c r="D2169" s="4" t="n">
        <v>65</v>
      </c>
      <c r="E2169" s="23" t="s">
        <v>414</v>
      </c>
      <c r="F2169" s="10" t="s">
        <v>471</v>
      </c>
    </row>
    <row r="2170" customFormat="false" ht="15" hidden="false" customHeight="false" outlineLevel="0" collapsed="false">
      <c r="A2170" s="4" t="str">
        <f aca="false">B2170&amp;"|"&amp;C2170</f>
        <v>tdbR00000572 Lys-UUU|66</v>
      </c>
      <c r="B2170" s="4" t="s">
        <v>66</v>
      </c>
      <c r="C2170" s="4" t="s">
        <v>489</v>
      </c>
      <c r="D2170" s="4" t="n">
        <v>66</v>
      </c>
      <c r="E2170" s="17" t="s">
        <v>197</v>
      </c>
      <c r="F2170" s="18" t="s">
        <v>412</v>
      </c>
    </row>
    <row r="2171" customFormat="false" ht="15" hidden="false" customHeight="false" outlineLevel="0" collapsed="false">
      <c r="A2171" s="4" t="str">
        <f aca="false">B2171&amp;"|"&amp;C2171</f>
        <v>tdbR00000572 Lys-UUU|67</v>
      </c>
      <c r="B2171" s="4" t="s">
        <v>66</v>
      </c>
      <c r="C2171" s="4" t="s">
        <v>490</v>
      </c>
      <c r="D2171" s="4" t="n">
        <v>67</v>
      </c>
      <c r="E2171" s="17" t="s">
        <v>197</v>
      </c>
      <c r="F2171" s="18" t="s">
        <v>412</v>
      </c>
    </row>
    <row r="2172" customFormat="false" ht="15" hidden="false" customHeight="false" outlineLevel="0" collapsed="false">
      <c r="A2172" s="4" t="str">
        <f aca="false">B2172&amp;"|"&amp;C2172</f>
        <v>tdbR00000572 Lys-UUU|68</v>
      </c>
      <c r="B2172" s="4" t="s">
        <v>66</v>
      </c>
      <c r="C2172" s="4" t="s">
        <v>491</v>
      </c>
      <c r="D2172" s="4" t="n">
        <v>68</v>
      </c>
      <c r="E2172" s="17" t="s">
        <v>246</v>
      </c>
      <c r="F2172" s="18" t="s">
        <v>412</v>
      </c>
    </row>
    <row r="2173" customFormat="false" ht="15" hidden="false" customHeight="false" outlineLevel="0" collapsed="false">
      <c r="A2173" s="4" t="str">
        <f aca="false">B2173&amp;"|"&amp;C2173</f>
        <v>tdbR00000572 Lys-UUU|69</v>
      </c>
      <c r="B2173" s="4" t="s">
        <v>66</v>
      </c>
      <c r="C2173" s="4" t="s">
        <v>492</v>
      </c>
      <c r="D2173" s="4" t="n">
        <v>69</v>
      </c>
      <c r="E2173" s="17" t="s">
        <v>197</v>
      </c>
      <c r="F2173" s="18" t="s">
        <v>412</v>
      </c>
    </row>
    <row r="2174" customFormat="false" ht="15" hidden="false" customHeight="false" outlineLevel="0" collapsed="false">
      <c r="A2174" s="4" t="str">
        <f aca="false">B2174&amp;"|"&amp;C2174</f>
        <v>tdbR00000572 Lys-UUU|70</v>
      </c>
      <c r="B2174" s="4" t="s">
        <v>66</v>
      </c>
      <c r="C2174" s="4" t="s">
        <v>493</v>
      </c>
      <c r="D2174" s="4" t="n">
        <v>70</v>
      </c>
      <c r="E2174" s="17" t="s">
        <v>259</v>
      </c>
      <c r="F2174" s="18" t="s">
        <v>412</v>
      </c>
    </row>
    <row r="2175" customFormat="false" ht="15" hidden="false" customHeight="false" outlineLevel="0" collapsed="false">
      <c r="A2175" s="4" t="str">
        <f aca="false">B2175&amp;"|"&amp;C2175</f>
        <v>tdbR00000572 Lys-UUU|71</v>
      </c>
      <c r="B2175" s="4" t="s">
        <v>66</v>
      </c>
      <c r="C2175" s="4" t="s">
        <v>494</v>
      </c>
      <c r="D2175" s="4" t="n">
        <v>71</v>
      </c>
      <c r="E2175" s="17" t="s">
        <v>197</v>
      </c>
      <c r="F2175" s="18" t="s">
        <v>412</v>
      </c>
    </row>
    <row r="2176" customFormat="false" ht="15" hidden="false" customHeight="false" outlineLevel="0" collapsed="false">
      <c r="A2176" s="4" t="str">
        <f aca="false">B2176&amp;"|"&amp;C2176</f>
        <v>tdbR00000572 Lys-UUU|72</v>
      </c>
      <c r="B2176" s="4" t="s">
        <v>66</v>
      </c>
      <c r="C2176" s="4" t="s">
        <v>495</v>
      </c>
      <c r="D2176" s="4" t="n">
        <v>72</v>
      </c>
      <c r="E2176" s="17" t="s">
        <v>414</v>
      </c>
      <c r="F2176" s="18" t="s">
        <v>412</v>
      </c>
    </row>
    <row r="2177" customFormat="false" ht="15" hidden="false" customHeight="false" outlineLevel="0" collapsed="false">
      <c r="A2177" s="4" t="str">
        <f aca="false">B2177&amp;"|"&amp;C2177</f>
        <v>tdbR00000575 Thr-CGU|1</v>
      </c>
      <c r="B2177" s="4" t="s">
        <v>67</v>
      </c>
      <c r="C2177" s="4" t="s">
        <v>411</v>
      </c>
      <c r="D2177" s="4" t="n">
        <v>1</v>
      </c>
      <c r="E2177" s="17" t="s">
        <v>197</v>
      </c>
      <c r="F2177" s="18" t="s">
        <v>412</v>
      </c>
    </row>
    <row r="2178" customFormat="false" ht="15" hidden="false" customHeight="false" outlineLevel="0" collapsed="false">
      <c r="A2178" s="4" t="str">
        <f aca="false">B2178&amp;"|"&amp;C2178</f>
        <v>tdbR00000575 Thr-CGU|2</v>
      </c>
      <c r="B2178" s="4" t="s">
        <v>67</v>
      </c>
      <c r="C2178" s="4" t="s">
        <v>413</v>
      </c>
      <c r="D2178" s="4" t="n">
        <v>2</v>
      </c>
      <c r="E2178" s="17" t="s">
        <v>197</v>
      </c>
      <c r="F2178" s="18" t="s">
        <v>412</v>
      </c>
    </row>
    <row r="2179" customFormat="false" ht="15" hidden="false" customHeight="false" outlineLevel="0" collapsed="false">
      <c r="A2179" s="4" t="str">
        <f aca="false">B2179&amp;"|"&amp;C2179</f>
        <v>tdbR00000575 Thr-CGU|3</v>
      </c>
      <c r="B2179" s="4" t="s">
        <v>67</v>
      </c>
      <c r="C2179" s="4" t="s">
        <v>415</v>
      </c>
      <c r="D2179" s="4" t="n">
        <v>3</v>
      </c>
      <c r="E2179" s="17" t="s">
        <v>414</v>
      </c>
      <c r="F2179" s="18" t="s">
        <v>412</v>
      </c>
    </row>
    <row r="2180" customFormat="false" ht="15" hidden="false" customHeight="false" outlineLevel="0" collapsed="false">
      <c r="A2180" s="4" t="str">
        <f aca="false">B2180&amp;"|"&amp;C2180</f>
        <v>tdbR00000575 Thr-CGU|4</v>
      </c>
      <c r="B2180" s="4" t="s">
        <v>67</v>
      </c>
      <c r="C2180" s="4" t="s">
        <v>416</v>
      </c>
      <c r="D2180" s="4" t="n">
        <v>4</v>
      </c>
      <c r="E2180" s="17" t="s">
        <v>414</v>
      </c>
      <c r="F2180" s="18" t="s">
        <v>412</v>
      </c>
    </row>
    <row r="2181" customFormat="false" ht="15" hidden="false" customHeight="false" outlineLevel="0" collapsed="false">
      <c r="A2181" s="4" t="str">
        <f aca="false">B2181&amp;"|"&amp;C2181</f>
        <v>tdbR00000575 Thr-CGU|5</v>
      </c>
      <c r="B2181" s="4" t="s">
        <v>67</v>
      </c>
      <c r="C2181" s="4" t="s">
        <v>417</v>
      </c>
      <c r="D2181" s="4" t="n">
        <v>5</v>
      </c>
      <c r="E2181" s="17" t="s">
        <v>197</v>
      </c>
      <c r="F2181" s="18" t="s">
        <v>412</v>
      </c>
    </row>
    <row r="2182" customFormat="false" ht="15" hidden="false" customHeight="false" outlineLevel="0" collapsed="false">
      <c r="A2182" s="4" t="str">
        <f aca="false">B2182&amp;"|"&amp;C2182</f>
        <v>tdbR00000575 Thr-CGU|6</v>
      </c>
      <c r="B2182" s="4" t="s">
        <v>67</v>
      </c>
      <c r="C2182" s="4" t="s">
        <v>418</v>
      </c>
      <c r="D2182" s="4" t="n">
        <v>6</v>
      </c>
      <c r="E2182" s="17" t="s">
        <v>414</v>
      </c>
      <c r="F2182" s="18" t="s">
        <v>412</v>
      </c>
    </row>
    <row r="2183" customFormat="false" ht="15" hidden="false" customHeight="false" outlineLevel="0" collapsed="false">
      <c r="A2183" s="4" t="str">
        <f aca="false">B2183&amp;"|"&amp;C2183</f>
        <v>tdbR00000575 Thr-CGU|7</v>
      </c>
      <c r="B2183" s="4" t="s">
        <v>67</v>
      </c>
      <c r="C2183" s="4" t="s">
        <v>419</v>
      </c>
      <c r="D2183" s="4" t="n">
        <v>7</v>
      </c>
      <c r="E2183" s="17" t="s">
        <v>259</v>
      </c>
      <c r="F2183" s="18" t="s">
        <v>412</v>
      </c>
    </row>
    <row r="2184" customFormat="false" ht="15" hidden="false" customHeight="false" outlineLevel="0" collapsed="false">
      <c r="A2184" s="4" t="str">
        <f aca="false">B2184&amp;"|"&amp;C2184</f>
        <v>tdbR00000575 Thr-CGU|8</v>
      </c>
      <c r="B2184" s="4" t="s">
        <v>67</v>
      </c>
      <c r="C2184" s="4" t="s">
        <v>420</v>
      </c>
      <c r="D2184" s="4" t="n">
        <v>8</v>
      </c>
      <c r="E2184" s="3" t="s">
        <v>259</v>
      </c>
      <c r="F2184" s="4" t="s">
        <v>421</v>
      </c>
    </row>
    <row r="2185" customFormat="false" ht="15" hidden="false" customHeight="false" outlineLevel="0" collapsed="false">
      <c r="A2185" s="4" t="str">
        <f aca="false">B2185&amp;"|"&amp;C2185</f>
        <v>tdbR00000575 Thr-CGU|9</v>
      </c>
      <c r="B2185" s="4" t="s">
        <v>67</v>
      </c>
      <c r="C2185" s="4" t="s">
        <v>422</v>
      </c>
      <c r="D2185" s="4" t="n">
        <v>9</v>
      </c>
      <c r="E2185" s="3" t="s">
        <v>246</v>
      </c>
      <c r="F2185" s="4" t="s">
        <v>423</v>
      </c>
    </row>
    <row r="2186" customFormat="false" ht="15" hidden="false" customHeight="false" outlineLevel="0" collapsed="false">
      <c r="A2186" s="4" t="str">
        <f aca="false">B2186&amp;"|"&amp;C2186</f>
        <v>tdbR00000575 Thr-CGU|10</v>
      </c>
      <c r="B2186" s="4" t="s">
        <v>67</v>
      </c>
      <c r="C2186" s="4" t="s">
        <v>424</v>
      </c>
      <c r="D2186" s="4" t="n">
        <v>10</v>
      </c>
      <c r="E2186" s="8" t="s">
        <v>197</v>
      </c>
      <c r="F2186" s="7" t="s">
        <v>425</v>
      </c>
    </row>
    <row r="2187" customFormat="false" ht="15" hidden="false" customHeight="false" outlineLevel="0" collapsed="false">
      <c r="A2187" s="4" t="str">
        <f aca="false">B2187&amp;"|"&amp;C2187</f>
        <v>tdbR00000575 Thr-CGU|11</v>
      </c>
      <c r="B2187" s="4" t="s">
        <v>67</v>
      </c>
      <c r="C2187" s="4" t="s">
        <v>426</v>
      </c>
      <c r="D2187" s="4" t="n">
        <v>11</v>
      </c>
      <c r="E2187" s="8" t="s">
        <v>414</v>
      </c>
      <c r="F2187" s="7" t="s">
        <v>425</v>
      </c>
    </row>
    <row r="2188" customFormat="false" ht="15" hidden="false" customHeight="false" outlineLevel="0" collapsed="false">
      <c r="A2188" s="4" t="str">
        <f aca="false">B2188&amp;"|"&amp;C2188</f>
        <v>tdbR00000575 Thr-CGU|12</v>
      </c>
      <c r="B2188" s="4" t="s">
        <v>67</v>
      </c>
      <c r="C2188" s="4" t="s">
        <v>427</v>
      </c>
      <c r="D2188" s="4" t="n">
        <v>12</v>
      </c>
      <c r="E2188" s="8" t="s">
        <v>246</v>
      </c>
      <c r="F2188" s="7" t="s">
        <v>425</v>
      </c>
    </row>
    <row r="2189" customFormat="false" ht="15" hidden="false" customHeight="false" outlineLevel="0" collapsed="false">
      <c r="A2189" s="4" t="str">
        <f aca="false">B2189&amp;"|"&amp;C2189</f>
        <v>tdbR00000575 Thr-CGU|13</v>
      </c>
      <c r="B2189" s="4" t="s">
        <v>67</v>
      </c>
      <c r="C2189" s="4" t="s">
        <v>428</v>
      </c>
      <c r="D2189" s="4" t="n">
        <v>13</v>
      </c>
      <c r="E2189" s="8" t="s">
        <v>414</v>
      </c>
      <c r="F2189" s="7" t="s">
        <v>425</v>
      </c>
    </row>
    <row r="2190" customFormat="false" ht="15" hidden="false" customHeight="false" outlineLevel="0" collapsed="false">
      <c r="A2190" s="4" t="str">
        <f aca="false">B2190&amp;"|"&amp;C2190</f>
        <v>tdbR00000575 Thr-CGU|14</v>
      </c>
      <c r="B2190" s="4" t="s">
        <v>67</v>
      </c>
      <c r="C2190" s="4" t="s">
        <v>429</v>
      </c>
      <c r="D2190" s="4" t="n">
        <v>14</v>
      </c>
      <c r="E2190" s="19" t="s">
        <v>246</v>
      </c>
      <c r="F2190" s="20" t="s">
        <v>430</v>
      </c>
    </row>
    <row r="2191" customFormat="false" ht="15" hidden="false" customHeight="false" outlineLevel="0" collapsed="false">
      <c r="A2191" s="4" t="str">
        <f aca="false">B2191&amp;"|"&amp;C2191</f>
        <v>tdbR00000575 Thr-CGU|15</v>
      </c>
      <c r="B2191" s="4" t="s">
        <v>67</v>
      </c>
      <c r="C2191" s="4" t="s">
        <v>431</v>
      </c>
      <c r="D2191" s="4" t="n">
        <v>15</v>
      </c>
      <c r="E2191" s="19" t="s">
        <v>197</v>
      </c>
      <c r="F2191" s="20" t="s">
        <v>430</v>
      </c>
    </row>
    <row r="2192" customFormat="false" ht="15" hidden="false" customHeight="false" outlineLevel="0" collapsed="false">
      <c r="A2192" s="4" t="str">
        <f aca="false">B2192&amp;"|"&amp;C2192</f>
        <v>tdbR00000575 Thr-CGU|16</v>
      </c>
      <c r="B2192" s="4" t="s">
        <v>67</v>
      </c>
      <c r="C2192" s="4" t="s">
        <v>432</v>
      </c>
      <c r="D2192" s="4" t="n">
        <v>16</v>
      </c>
      <c r="E2192" s="19" t="s">
        <v>259</v>
      </c>
      <c r="F2192" s="20" t="s">
        <v>430</v>
      </c>
    </row>
    <row r="2193" customFormat="false" ht="15" hidden="false" customHeight="false" outlineLevel="0" collapsed="false">
      <c r="A2193" s="4" t="str">
        <f aca="false">B2193&amp;"|"&amp;C2193</f>
        <v>tdbR00000575 Thr-CGU|18</v>
      </c>
      <c r="B2193" s="4" t="s">
        <v>67</v>
      </c>
      <c r="C2193" s="4" t="s">
        <v>434</v>
      </c>
      <c r="D2193" s="4" t="n">
        <v>17</v>
      </c>
      <c r="E2193" s="19" t="s">
        <v>197</v>
      </c>
      <c r="F2193" s="20" t="s">
        <v>430</v>
      </c>
    </row>
    <row r="2194" customFormat="false" ht="15" hidden="false" customHeight="false" outlineLevel="0" collapsed="false">
      <c r="A2194" s="4" t="str">
        <f aca="false">B2194&amp;"|"&amp;C2194</f>
        <v>tdbR00000575 Thr-CGU|19</v>
      </c>
      <c r="B2194" s="4" t="s">
        <v>67</v>
      </c>
      <c r="C2194" s="4" t="s">
        <v>435</v>
      </c>
      <c r="D2194" s="4" t="n">
        <v>18</v>
      </c>
      <c r="E2194" s="19" t="s">
        <v>197</v>
      </c>
      <c r="F2194" s="20" t="s">
        <v>430</v>
      </c>
    </row>
    <row r="2195" customFormat="false" ht="15" hidden="false" customHeight="false" outlineLevel="0" collapsed="false">
      <c r="A2195" s="4" t="str">
        <f aca="false">B2195&amp;"|"&amp;C2195</f>
        <v>tdbR00000575 Thr-CGU|20</v>
      </c>
      <c r="B2195" s="4" t="s">
        <v>67</v>
      </c>
      <c r="C2195" s="4" t="s">
        <v>436</v>
      </c>
      <c r="D2195" s="4" t="n">
        <v>19</v>
      </c>
      <c r="E2195" s="19" t="s">
        <v>414</v>
      </c>
      <c r="F2195" s="20" t="s">
        <v>430</v>
      </c>
    </row>
    <row r="2196" customFormat="false" ht="15" hidden="false" customHeight="false" outlineLevel="0" collapsed="false">
      <c r="A2196" s="4" t="str">
        <f aca="false">B2196&amp;"|"&amp;C2196</f>
        <v>tdbR00000575 Thr-CGU|21</v>
      </c>
      <c r="B2196" s="4" t="s">
        <v>67</v>
      </c>
      <c r="C2196" s="4" t="s">
        <v>438</v>
      </c>
      <c r="D2196" s="4" t="n">
        <v>20</v>
      </c>
      <c r="E2196" s="19" t="s">
        <v>246</v>
      </c>
      <c r="F2196" s="20" t="s">
        <v>430</v>
      </c>
    </row>
    <row r="2197" customFormat="false" ht="15" hidden="false" customHeight="false" outlineLevel="0" collapsed="false">
      <c r="A2197" s="4" t="str">
        <f aca="false">B2197&amp;"|"&amp;C2197</f>
        <v>tdbR00000575 Thr-CGU|22</v>
      </c>
      <c r="B2197" s="4" t="s">
        <v>67</v>
      </c>
      <c r="C2197" s="4" t="s">
        <v>439</v>
      </c>
      <c r="D2197" s="4" t="n">
        <v>21</v>
      </c>
      <c r="E2197" s="8" t="s">
        <v>197</v>
      </c>
      <c r="F2197" s="7" t="s">
        <v>425</v>
      </c>
    </row>
    <row r="2198" customFormat="false" ht="15" hidden="false" customHeight="false" outlineLevel="0" collapsed="false">
      <c r="A2198" s="4" t="str">
        <f aca="false">B2198&amp;"|"&amp;C2198</f>
        <v>tdbR00000575 Thr-CGU|23</v>
      </c>
      <c r="B2198" s="4" t="s">
        <v>67</v>
      </c>
      <c r="C2198" s="4" t="s">
        <v>440</v>
      </c>
      <c r="D2198" s="4" t="n">
        <v>22</v>
      </c>
      <c r="E2198" s="8" t="s">
        <v>259</v>
      </c>
      <c r="F2198" s="7" t="s">
        <v>425</v>
      </c>
    </row>
    <row r="2199" customFormat="false" ht="15" hidden="false" customHeight="false" outlineLevel="0" collapsed="false">
      <c r="A2199" s="4" t="str">
        <f aca="false">B2199&amp;"|"&amp;C2199</f>
        <v>tdbR00000575 Thr-CGU|24</v>
      </c>
      <c r="B2199" s="4" t="s">
        <v>67</v>
      </c>
      <c r="C2199" s="4" t="s">
        <v>441</v>
      </c>
      <c r="D2199" s="4" t="n">
        <v>23</v>
      </c>
      <c r="E2199" s="8" t="s">
        <v>197</v>
      </c>
      <c r="F2199" s="7" t="s">
        <v>425</v>
      </c>
    </row>
    <row r="2200" customFormat="false" ht="15" hidden="false" customHeight="false" outlineLevel="0" collapsed="false">
      <c r="A2200" s="4" t="str">
        <f aca="false">B2200&amp;"|"&amp;C2200</f>
        <v>tdbR00000575 Thr-CGU|25</v>
      </c>
      <c r="B2200" s="4" t="s">
        <v>67</v>
      </c>
      <c r="C2200" s="4" t="s">
        <v>442</v>
      </c>
      <c r="D2200" s="4" t="n">
        <v>24</v>
      </c>
      <c r="E2200" s="8" t="s">
        <v>414</v>
      </c>
      <c r="F2200" s="7" t="s">
        <v>425</v>
      </c>
    </row>
    <row r="2201" customFormat="false" ht="15" hidden="false" customHeight="false" outlineLevel="0" collapsed="false">
      <c r="A2201" s="4" t="str">
        <f aca="false">B2201&amp;"|"&amp;C2201</f>
        <v>tdbR00000575 Thr-CGU|26</v>
      </c>
      <c r="B2201" s="4" t="s">
        <v>67</v>
      </c>
      <c r="C2201" s="4" t="s">
        <v>443</v>
      </c>
      <c r="D2201" s="4" t="n">
        <v>25</v>
      </c>
      <c r="E2201" s="3" t="s">
        <v>246</v>
      </c>
      <c r="F2201" s="4" t="s">
        <v>444</v>
      </c>
    </row>
    <row r="2202" customFormat="false" ht="15" hidden="false" customHeight="false" outlineLevel="0" collapsed="false">
      <c r="A2202" s="4" t="str">
        <f aca="false">B2202&amp;"|"&amp;C2202</f>
        <v>tdbR00000575 Thr-CGU|27</v>
      </c>
      <c r="B2202" s="4" t="s">
        <v>67</v>
      </c>
      <c r="C2202" s="4" t="s">
        <v>445</v>
      </c>
      <c r="D2202" s="4" t="n">
        <v>26</v>
      </c>
      <c r="E2202" s="21" t="s">
        <v>414</v>
      </c>
      <c r="F2202" s="22" t="s">
        <v>446</v>
      </c>
    </row>
    <row r="2203" customFormat="false" ht="15" hidden="false" customHeight="false" outlineLevel="0" collapsed="false">
      <c r="A2203" s="4" t="str">
        <f aca="false">B2203&amp;"|"&amp;C2203</f>
        <v>tdbR00000575 Thr-CGU|28</v>
      </c>
      <c r="B2203" s="4" t="s">
        <v>67</v>
      </c>
      <c r="C2203" s="4" t="s">
        <v>447</v>
      </c>
      <c r="D2203" s="4" t="n">
        <v>27</v>
      </c>
      <c r="E2203" s="21" t="s">
        <v>414</v>
      </c>
      <c r="F2203" s="22" t="s">
        <v>446</v>
      </c>
    </row>
    <row r="2204" customFormat="false" ht="15" hidden="false" customHeight="false" outlineLevel="0" collapsed="false">
      <c r="A2204" s="4" t="str">
        <f aca="false">B2204&amp;"|"&amp;C2204</f>
        <v>tdbR00000575 Thr-CGU|29</v>
      </c>
      <c r="B2204" s="4" t="s">
        <v>67</v>
      </c>
      <c r="C2204" s="4" t="s">
        <v>448</v>
      </c>
      <c r="D2204" s="4" t="n">
        <v>28</v>
      </c>
      <c r="E2204" s="21" t="s">
        <v>246</v>
      </c>
      <c r="F2204" s="22" t="s">
        <v>446</v>
      </c>
    </row>
    <row r="2205" customFormat="false" ht="15" hidden="false" customHeight="false" outlineLevel="0" collapsed="false">
      <c r="A2205" s="4" t="str">
        <f aca="false">B2205&amp;"|"&amp;C2205</f>
        <v>tdbR00000575 Thr-CGU|30</v>
      </c>
      <c r="B2205" s="4" t="s">
        <v>67</v>
      </c>
      <c r="C2205" s="4" t="s">
        <v>449</v>
      </c>
      <c r="D2205" s="4" t="n">
        <v>29</v>
      </c>
      <c r="E2205" s="21" t="s">
        <v>414</v>
      </c>
      <c r="F2205" s="22" t="s">
        <v>446</v>
      </c>
    </row>
    <row r="2206" customFormat="false" ht="15" hidden="false" customHeight="false" outlineLevel="0" collapsed="false">
      <c r="A2206" s="4" t="str">
        <f aca="false">B2206&amp;"|"&amp;C2206</f>
        <v>tdbR00000575 Thr-CGU|31</v>
      </c>
      <c r="B2206" s="4" t="s">
        <v>67</v>
      </c>
      <c r="C2206" s="4" t="s">
        <v>450</v>
      </c>
      <c r="D2206" s="4" t="n">
        <v>30</v>
      </c>
      <c r="E2206" s="21" t="s">
        <v>259</v>
      </c>
      <c r="F2206" s="22" t="s">
        <v>446</v>
      </c>
    </row>
    <row r="2207" customFormat="false" ht="15" hidden="false" customHeight="false" outlineLevel="0" collapsed="false">
      <c r="A2207" s="4" t="str">
        <f aca="false">B2207&amp;"|"&amp;C2207</f>
        <v>tdbR00000575 Thr-CGU|32</v>
      </c>
      <c r="B2207" s="4" t="s">
        <v>67</v>
      </c>
      <c r="C2207" s="4" t="s">
        <v>451</v>
      </c>
      <c r="D2207" s="4" t="n">
        <v>31</v>
      </c>
      <c r="E2207" s="19" t="s">
        <v>414</v>
      </c>
      <c r="F2207" s="20" t="s">
        <v>452</v>
      </c>
    </row>
    <row r="2208" customFormat="false" ht="15" hidden="false" customHeight="false" outlineLevel="0" collapsed="false">
      <c r="A2208" s="4" t="str">
        <f aca="false">B2208&amp;"|"&amp;C2208</f>
        <v>tdbR00000575 Thr-CGU|33</v>
      </c>
      <c r="B2208" s="4" t="s">
        <v>67</v>
      </c>
      <c r="C2208" s="4" t="s">
        <v>453</v>
      </c>
      <c r="D2208" s="4" t="n">
        <v>32</v>
      </c>
      <c r="E2208" s="19" t="s">
        <v>259</v>
      </c>
      <c r="F2208" s="20" t="s">
        <v>452</v>
      </c>
    </row>
    <row r="2209" customFormat="false" ht="15" hidden="false" customHeight="false" outlineLevel="0" collapsed="false">
      <c r="A2209" s="4" t="str">
        <f aca="false">B2209&amp;"|"&amp;C2209</f>
        <v>tdbR00000575 Thr-CGU|34</v>
      </c>
      <c r="B2209" s="4" t="s">
        <v>67</v>
      </c>
      <c r="C2209" s="4" t="s">
        <v>454</v>
      </c>
      <c r="D2209" s="4" t="n">
        <v>33</v>
      </c>
      <c r="E2209" s="19" t="s">
        <v>414</v>
      </c>
      <c r="F2209" s="20" t="s">
        <v>452</v>
      </c>
    </row>
    <row r="2210" customFormat="false" ht="15" hidden="false" customHeight="false" outlineLevel="0" collapsed="false">
      <c r="A2210" s="4" t="str">
        <f aca="false">B2210&amp;"|"&amp;C2210</f>
        <v>tdbR00000575 Thr-CGU|35</v>
      </c>
      <c r="B2210" s="4" t="s">
        <v>67</v>
      </c>
      <c r="C2210" s="4" t="s">
        <v>455</v>
      </c>
      <c r="D2210" s="4" t="n">
        <v>34</v>
      </c>
      <c r="E2210" s="19" t="s">
        <v>197</v>
      </c>
      <c r="F2210" s="20" t="s">
        <v>452</v>
      </c>
    </row>
    <row r="2211" customFormat="false" ht="15" hidden="false" customHeight="false" outlineLevel="0" collapsed="false">
      <c r="A2211" s="4" t="str">
        <f aca="false">B2211&amp;"|"&amp;C2211</f>
        <v>tdbR00000575 Thr-CGU|36</v>
      </c>
      <c r="B2211" s="4" t="s">
        <v>67</v>
      </c>
      <c r="C2211" s="4" t="s">
        <v>456</v>
      </c>
      <c r="D2211" s="4" t="n">
        <v>35</v>
      </c>
      <c r="E2211" s="19" t="s">
        <v>259</v>
      </c>
      <c r="F2211" s="20" t="s">
        <v>452</v>
      </c>
    </row>
    <row r="2212" customFormat="false" ht="15" hidden="false" customHeight="false" outlineLevel="0" collapsed="false">
      <c r="A2212" s="4" t="str">
        <f aca="false">B2212&amp;"|"&amp;C2212</f>
        <v>tdbR00000575 Thr-CGU|37</v>
      </c>
      <c r="B2212" s="4" t="s">
        <v>67</v>
      </c>
      <c r="C2212" s="4" t="s">
        <v>457</v>
      </c>
      <c r="D2212" s="4" t="n">
        <v>36</v>
      </c>
      <c r="E2212" s="19" t="s">
        <v>246</v>
      </c>
      <c r="F2212" s="20" t="s">
        <v>452</v>
      </c>
    </row>
    <row r="2213" customFormat="false" ht="15" hidden="false" customHeight="false" outlineLevel="0" collapsed="false">
      <c r="A2213" s="4" t="str">
        <f aca="false">B2213&amp;"|"&amp;C2213</f>
        <v>tdbR00000575 Thr-CGU|38</v>
      </c>
      <c r="B2213" s="4" t="s">
        <v>67</v>
      </c>
      <c r="C2213" s="4" t="s">
        <v>458</v>
      </c>
      <c r="D2213" s="4" t="n">
        <v>37</v>
      </c>
      <c r="E2213" s="19" t="s">
        <v>246</v>
      </c>
      <c r="F2213" s="20" t="s">
        <v>452</v>
      </c>
    </row>
    <row r="2214" customFormat="false" ht="15" hidden="false" customHeight="false" outlineLevel="0" collapsed="false">
      <c r="A2214" s="4" t="str">
        <f aca="false">B2214&amp;"|"&amp;C2214</f>
        <v>tdbR00000575 Thr-CGU|39</v>
      </c>
      <c r="B2214" s="4" t="s">
        <v>67</v>
      </c>
      <c r="C2214" s="4" t="s">
        <v>459</v>
      </c>
      <c r="D2214" s="4" t="n">
        <v>38</v>
      </c>
      <c r="E2214" s="21" t="s">
        <v>246</v>
      </c>
      <c r="F2214" s="22" t="s">
        <v>446</v>
      </c>
    </row>
    <row r="2215" customFormat="false" ht="15" hidden="false" customHeight="false" outlineLevel="0" collapsed="false">
      <c r="A2215" s="4" t="str">
        <f aca="false">B2215&amp;"|"&amp;C2215</f>
        <v>tdbR00000575 Thr-CGU|40</v>
      </c>
      <c r="B2215" s="4" t="s">
        <v>67</v>
      </c>
      <c r="C2215" s="4" t="s">
        <v>460</v>
      </c>
      <c r="D2215" s="4" t="n">
        <v>39</v>
      </c>
      <c r="E2215" s="21" t="s">
        <v>197</v>
      </c>
      <c r="F2215" s="22" t="s">
        <v>446</v>
      </c>
    </row>
    <row r="2216" customFormat="false" ht="15" hidden="false" customHeight="false" outlineLevel="0" collapsed="false">
      <c r="A2216" s="4" t="str">
        <f aca="false">B2216&amp;"|"&amp;C2216</f>
        <v>tdbR00000575 Thr-CGU|41</v>
      </c>
      <c r="B2216" s="4" t="s">
        <v>67</v>
      </c>
      <c r="C2216" s="4" t="s">
        <v>461</v>
      </c>
      <c r="D2216" s="4" t="n">
        <v>40</v>
      </c>
      <c r="E2216" s="21" t="s">
        <v>259</v>
      </c>
      <c r="F2216" s="22" t="s">
        <v>446</v>
      </c>
    </row>
    <row r="2217" customFormat="false" ht="15" hidden="false" customHeight="false" outlineLevel="0" collapsed="false">
      <c r="A2217" s="4" t="str">
        <f aca="false">B2217&amp;"|"&amp;C2217</f>
        <v>tdbR00000575 Thr-CGU|42</v>
      </c>
      <c r="B2217" s="4" t="s">
        <v>67</v>
      </c>
      <c r="C2217" s="4" t="s">
        <v>462</v>
      </c>
      <c r="D2217" s="4" t="n">
        <v>41</v>
      </c>
      <c r="E2217" s="21" t="s">
        <v>197</v>
      </c>
      <c r="F2217" s="22" t="s">
        <v>446</v>
      </c>
    </row>
    <row r="2218" customFormat="false" ht="15" hidden="false" customHeight="false" outlineLevel="0" collapsed="false">
      <c r="A2218" s="4" t="str">
        <f aca="false">B2218&amp;"|"&amp;C2218</f>
        <v>tdbR00000575 Thr-CGU|43</v>
      </c>
      <c r="B2218" s="4" t="s">
        <v>67</v>
      </c>
      <c r="C2218" s="4" t="s">
        <v>463</v>
      </c>
      <c r="D2218" s="4" t="n">
        <v>42</v>
      </c>
      <c r="E2218" s="21" t="s">
        <v>197</v>
      </c>
      <c r="F2218" s="22" t="s">
        <v>446</v>
      </c>
    </row>
    <row r="2219" customFormat="false" ht="15" hidden="false" customHeight="false" outlineLevel="0" collapsed="false">
      <c r="A2219" s="4" t="str">
        <f aca="false">B2219&amp;"|"&amp;C2219</f>
        <v>tdbR00000575 Thr-CGU|44</v>
      </c>
      <c r="B2219" s="4" t="s">
        <v>67</v>
      </c>
      <c r="C2219" s="4" t="s">
        <v>464</v>
      </c>
      <c r="D2219" s="4" t="n">
        <v>43</v>
      </c>
      <c r="E2219" s="19" t="s">
        <v>197</v>
      </c>
      <c r="F2219" s="20" t="s">
        <v>465</v>
      </c>
    </row>
    <row r="2220" customFormat="false" ht="15" hidden="false" customHeight="false" outlineLevel="0" collapsed="false">
      <c r="A2220" s="4" t="str">
        <f aca="false">B2220&amp;"|"&amp;C2220</f>
        <v>tdbR00000575 Thr-CGU|45</v>
      </c>
      <c r="B2220" s="4" t="s">
        <v>67</v>
      </c>
      <c r="C2220" s="4" t="s">
        <v>466</v>
      </c>
      <c r="D2220" s="4" t="n">
        <v>44</v>
      </c>
      <c r="E2220" s="19" t="s">
        <v>197</v>
      </c>
      <c r="F2220" s="20" t="s">
        <v>465</v>
      </c>
    </row>
    <row r="2221" customFormat="false" ht="15" hidden="false" customHeight="false" outlineLevel="0" collapsed="false">
      <c r="A2221" s="4" t="str">
        <f aca="false">B2221&amp;"|"&amp;C2221</f>
        <v>tdbR00000575 Thr-CGU|46</v>
      </c>
      <c r="B2221" s="4" t="s">
        <v>67</v>
      </c>
      <c r="C2221" s="4" t="s">
        <v>467</v>
      </c>
      <c r="D2221" s="4" t="n">
        <v>45</v>
      </c>
      <c r="E2221" s="19" t="s">
        <v>197</v>
      </c>
      <c r="F2221" s="20" t="s">
        <v>465</v>
      </c>
    </row>
    <row r="2222" customFormat="false" ht="15" hidden="false" customHeight="false" outlineLevel="0" collapsed="false">
      <c r="A2222" s="4" t="str">
        <f aca="false">B2222&amp;"|"&amp;C2222</f>
        <v>tdbR00000575 Thr-CGU|47</v>
      </c>
      <c r="B2222" s="4" t="s">
        <v>67</v>
      </c>
      <c r="C2222" s="4" t="s">
        <v>468</v>
      </c>
      <c r="D2222" s="4" t="n">
        <v>46</v>
      </c>
      <c r="E2222" s="19" t="s">
        <v>259</v>
      </c>
      <c r="F2222" s="20" t="s">
        <v>465</v>
      </c>
    </row>
    <row r="2223" customFormat="false" ht="15" hidden="false" customHeight="false" outlineLevel="0" collapsed="false">
      <c r="A2223" s="4" t="str">
        <f aca="false">B2223&amp;"|"&amp;C2223</f>
        <v>tdbR00000575 Thr-CGU|48</v>
      </c>
      <c r="B2223" s="4" t="s">
        <v>67</v>
      </c>
      <c r="C2223" s="4" t="s">
        <v>469</v>
      </c>
      <c r="D2223" s="4" t="n">
        <v>47</v>
      </c>
      <c r="E2223" s="19" t="s">
        <v>414</v>
      </c>
      <c r="F2223" s="20" t="s">
        <v>465</v>
      </c>
    </row>
    <row r="2224" customFormat="false" ht="15" hidden="false" customHeight="false" outlineLevel="0" collapsed="false">
      <c r="A2224" s="4" t="str">
        <f aca="false">B2224&amp;"|"&amp;C2224</f>
        <v>tdbR00000575 Thr-CGU|49</v>
      </c>
      <c r="B2224" s="4" t="s">
        <v>67</v>
      </c>
      <c r="C2224" s="4" t="s">
        <v>470</v>
      </c>
      <c r="D2224" s="4" t="n">
        <v>48</v>
      </c>
      <c r="E2224" s="23" t="s">
        <v>197</v>
      </c>
      <c r="F2224" s="10" t="s">
        <v>471</v>
      </c>
    </row>
    <row r="2225" customFormat="false" ht="15" hidden="false" customHeight="false" outlineLevel="0" collapsed="false">
      <c r="A2225" s="4" t="str">
        <f aca="false">B2225&amp;"|"&amp;C2225</f>
        <v>tdbR00000575 Thr-CGU|50</v>
      </c>
      <c r="B2225" s="4" t="s">
        <v>67</v>
      </c>
      <c r="C2225" s="4" t="s">
        <v>472</v>
      </c>
      <c r="D2225" s="4" t="n">
        <v>49</v>
      </c>
      <c r="E2225" s="23" t="s">
        <v>414</v>
      </c>
      <c r="F2225" s="10" t="s">
        <v>471</v>
      </c>
    </row>
    <row r="2226" customFormat="false" ht="15" hidden="false" customHeight="false" outlineLevel="0" collapsed="false">
      <c r="A2226" s="4" t="str">
        <f aca="false">B2226&amp;"|"&amp;C2226</f>
        <v>tdbR00000575 Thr-CGU|51</v>
      </c>
      <c r="B2226" s="4" t="s">
        <v>67</v>
      </c>
      <c r="C2226" s="4" t="s">
        <v>473</v>
      </c>
      <c r="D2226" s="4" t="n">
        <v>50</v>
      </c>
      <c r="E2226" s="23" t="s">
        <v>197</v>
      </c>
      <c r="F2226" s="10" t="s">
        <v>471</v>
      </c>
    </row>
    <row r="2227" customFormat="false" ht="15" hidden="false" customHeight="false" outlineLevel="0" collapsed="false">
      <c r="A2227" s="4" t="str">
        <f aca="false">B2227&amp;"|"&amp;C2227</f>
        <v>tdbR00000575 Thr-CGU|52</v>
      </c>
      <c r="B2227" s="4" t="s">
        <v>67</v>
      </c>
      <c r="C2227" s="4" t="s">
        <v>474</v>
      </c>
      <c r="D2227" s="4" t="n">
        <v>51</v>
      </c>
      <c r="E2227" s="23" t="s">
        <v>246</v>
      </c>
      <c r="F2227" s="10" t="s">
        <v>471</v>
      </c>
    </row>
    <row r="2228" customFormat="false" ht="15" hidden="false" customHeight="false" outlineLevel="0" collapsed="false">
      <c r="A2228" s="4" t="str">
        <f aca="false">B2228&amp;"|"&amp;C2228</f>
        <v>tdbR00000575 Thr-CGU|53</v>
      </c>
      <c r="B2228" s="4" t="s">
        <v>67</v>
      </c>
      <c r="C2228" s="4" t="s">
        <v>475</v>
      </c>
      <c r="D2228" s="4" t="n">
        <v>52</v>
      </c>
      <c r="E2228" s="23" t="s">
        <v>197</v>
      </c>
      <c r="F2228" s="10" t="s">
        <v>471</v>
      </c>
    </row>
    <row r="2229" customFormat="false" ht="15" hidden="false" customHeight="false" outlineLevel="0" collapsed="false">
      <c r="A2229" s="4" t="str">
        <f aca="false">B2229&amp;"|"&amp;C2229</f>
        <v>tdbR00000575 Thr-CGU|54</v>
      </c>
      <c r="B2229" s="4" t="s">
        <v>67</v>
      </c>
      <c r="C2229" s="4" t="s">
        <v>476</v>
      </c>
      <c r="D2229" s="4" t="n">
        <v>53</v>
      </c>
      <c r="E2229" s="19" t="s">
        <v>259</v>
      </c>
      <c r="F2229" s="20" t="s">
        <v>477</v>
      </c>
    </row>
    <row r="2230" customFormat="false" ht="15" hidden="false" customHeight="false" outlineLevel="0" collapsed="false">
      <c r="A2230" s="4" t="str">
        <f aca="false">B2230&amp;"|"&amp;C2230</f>
        <v>tdbR00000575 Thr-CGU|55</v>
      </c>
      <c r="B2230" s="4" t="s">
        <v>67</v>
      </c>
      <c r="C2230" s="4" t="s">
        <v>478</v>
      </c>
      <c r="D2230" s="4" t="n">
        <v>54</v>
      </c>
      <c r="E2230" s="19" t="s">
        <v>259</v>
      </c>
      <c r="F2230" s="20" t="s">
        <v>477</v>
      </c>
    </row>
    <row r="2231" customFormat="false" ht="15" hidden="false" customHeight="false" outlineLevel="0" collapsed="false">
      <c r="A2231" s="4" t="str">
        <f aca="false">B2231&amp;"|"&amp;C2231</f>
        <v>tdbR00000575 Thr-CGU|56</v>
      </c>
      <c r="B2231" s="4" t="s">
        <v>67</v>
      </c>
      <c r="C2231" s="4" t="s">
        <v>479</v>
      </c>
      <c r="D2231" s="4" t="n">
        <v>55</v>
      </c>
      <c r="E2231" s="19" t="s">
        <v>414</v>
      </c>
      <c r="F2231" s="20" t="s">
        <v>477</v>
      </c>
    </row>
    <row r="2232" customFormat="false" ht="15" hidden="false" customHeight="false" outlineLevel="0" collapsed="false">
      <c r="A2232" s="4" t="str">
        <f aca="false">B2232&amp;"|"&amp;C2232</f>
        <v>tdbR00000575 Thr-CGU|57</v>
      </c>
      <c r="B2232" s="4" t="s">
        <v>67</v>
      </c>
      <c r="C2232" s="4" t="s">
        <v>480</v>
      </c>
      <c r="D2232" s="4" t="n">
        <v>56</v>
      </c>
      <c r="E2232" s="19" t="s">
        <v>197</v>
      </c>
      <c r="F2232" s="20" t="s">
        <v>477</v>
      </c>
    </row>
    <row r="2233" customFormat="false" ht="15" hidden="false" customHeight="false" outlineLevel="0" collapsed="false">
      <c r="A2233" s="4" t="str">
        <f aca="false">B2233&amp;"|"&amp;C2233</f>
        <v>tdbR00000575 Thr-CGU|58</v>
      </c>
      <c r="B2233" s="4" t="s">
        <v>67</v>
      </c>
      <c r="C2233" s="4" t="s">
        <v>481</v>
      </c>
      <c r="D2233" s="4" t="n">
        <v>57</v>
      </c>
      <c r="E2233" s="19" t="s">
        <v>246</v>
      </c>
      <c r="F2233" s="20" t="s">
        <v>477</v>
      </c>
    </row>
    <row r="2234" customFormat="false" ht="15" hidden="false" customHeight="false" outlineLevel="0" collapsed="false">
      <c r="A2234" s="4" t="str">
        <f aca="false">B2234&amp;"|"&amp;C2234</f>
        <v>tdbR00000575 Thr-CGU|59</v>
      </c>
      <c r="B2234" s="4" t="s">
        <v>67</v>
      </c>
      <c r="C2234" s="4" t="s">
        <v>482</v>
      </c>
      <c r="D2234" s="4" t="n">
        <v>58</v>
      </c>
      <c r="E2234" s="19" t="s">
        <v>259</v>
      </c>
      <c r="F2234" s="20" t="s">
        <v>477</v>
      </c>
    </row>
    <row r="2235" customFormat="false" ht="15" hidden="false" customHeight="false" outlineLevel="0" collapsed="false">
      <c r="A2235" s="4" t="str">
        <f aca="false">B2235&amp;"|"&amp;C2235</f>
        <v>tdbR00000575 Thr-CGU|60</v>
      </c>
      <c r="B2235" s="4" t="s">
        <v>67</v>
      </c>
      <c r="C2235" s="4" t="s">
        <v>483</v>
      </c>
      <c r="D2235" s="4" t="n">
        <v>59</v>
      </c>
      <c r="E2235" s="19" t="s">
        <v>259</v>
      </c>
      <c r="F2235" s="20" t="s">
        <v>477</v>
      </c>
    </row>
    <row r="2236" customFormat="false" ht="15" hidden="false" customHeight="false" outlineLevel="0" collapsed="false">
      <c r="A2236" s="4" t="str">
        <f aca="false">B2236&amp;"|"&amp;C2236</f>
        <v>tdbR00000575 Thr-CGU|61</v>
      </c>
      <c r="B2236" s="4" t="s">
        <v>67</v>
      </c>
      <c r="C2236" s="4" t="s">
        <v>484</v>
      </c>
      <c r="D2236" s="4" t="n">
        <v>60</v>
      </c>
      <c r="E2236" s="23" t="s">
        <v>414</v>
      </c>
      <c r="F2236" s="10" t="s">
        <v>471</v>
      </c>
    </row>
    <row r="2237" customFormat="false" ht="15" hidden="false" customHeight="false" outlineLevel="0" collapsed="false">
      <c r="A2237" s="4" t="str">
        <f aca="false">B2237&amp;"|"&amp;C2237</f>
        <v>tdbR00000575 Thr-CGU|62</v>
      </c>
      <c r="B2237" s="4" t="s">
        <v>67</v>
      </c>
      <c r="C2237" s="4" t="s">
        <v>485</v>
      </c>
      <c r="D2237" s="4" t="n">
        <v>61</v>
      </c>
      <c r="E2237" s="23" t="s">
        <v>259</v>
      </c>
      <c r="F2237" s="10" t="s">
        <v>471</v>
      </c>
    </row>
    <row r="2238" customFormat="false" ht="15" hidden="false" customHeight="false" outlineLevel="0" collapsed="false">
      <c r="A2238" s="4" t="str">
        <f aca="false">B2238&amp;"|"&amp;C2238</f>
        <v>tdbR00000575 Thr-CGU|63</v>
      </c>
      <c r="B2238" s="4" t="s">
        <v>67</v>
      </c>
      <c r="C2238" s="4" t="s">
        <v>486</v>
      </c>
      <c r="D2238" s="4" t="n">
        <v>62</v>
      </c>
      <c r="E2238" s="23" t="s">
        <v>414</v>
      </c>
      <c r="F2238" s="10" t="s">
        <v>471</v>
      </c>
    </row>
    <row r="2239" customFormat="false" ht="15" hidden="false" customHeight="false" outlineLevel="0" collapsed="false">
      <c r="A2239" s="4" t="str">
        <f aca="false">B2239&amp;"|"&amp;C2239</f>
        <v>tdbR00000575 Thr-CGU|64</v>
      </c>
      <c r="B2239" s="4" t="s">
        <v>67</v>
      </c>
      <c r="C2239" s="4" t="s">
        <v>487</v>
      </c>
      <c r="D2239" s="4" t="n">
        <v>63</v>
      </c>
      <c r="E2239" s="23" t="s">
        <v>197</v>
      </c>
      <c r="F2239" s="10" t="s">
        <v>471</v>
      </c>
    </row>
    <row r="2240" customFormat="false" ht="15" hidden="false" customHeight="false" outlineLevel="0" collapsed="false">
      <c r="A2240" s="4" t="str">
        <f aca="false">B2240&amp;"|"&amp;C2240</f>
        <v>tdbR00000575 Thr-CGU|65</v>
      </c>
      <c r="B2240" s="4" t="s">
        <v>67</v>
      </c>
      <c r="C2240" s="4" t="s">
        <v>488</v>
      </c>
      <c r="D2240" s="4" t="n">
        <v>64</v>
      </c>
      <c r="E2240" s="23" t="s">
        <v>414</v>
      </c>
      <c r="F2240" s="10" t="s">
        <v>471</v>
      </c>
    </row>
    <row r="2241" customFormat="false" ht="15" hidden="false" customHeight="false" outlineLevel="0" collapsed="false">
      <c r="A2241" s="4" t="str">
        <f aca="false">B2241&amp;"|"&amp;C2241</f>
        <v>tdbR00000575 Thr-CGU|66</v>
      </c>
      <c r="B2241" s="4" t="s">
        <v>67</v>
      </c>
      <c r="C2241" s="4" t="s">
        <v>489</v>
      </c>
      <c r="D2241" s="4" t="n">
        <v>65</v>
      </c>
      <c r="E2241" s="17" t="s">
        <v>246</v>
      </c>
      <c r="F2241" s="18" t="s">
        <v>412</v>
      </c>
    </row>
    <row r="2242" customFormat="false" ht="15" hidden="false" customHeight="false" outlineLevel="0" collapsed="false">
      <c r="A2242" s="4" t="str">
        <f aca="false">B2242&amp;"|"&amp;C2242</f>
        <v>tdbR00000575 Thr-CGU|67</v>
      </c>
      <c r="B2242" s="4" t="s">
        <v>67</v>
      </c>
      <c r="C2242" s="4" t="s">
        <v>490</v>
      </c>
      <c r="D2242" s="4" t="n">
        <v>66</v>
      </c>
      <c r="E2242" s="17" t="s">
        <v>197</v>
      </c>
      <c r="F2242" s="18" t="s">
        <v>412</v>
      </c>
    </row>
    <row r="2243" customFormat="false" ht="15" hidden="false" customHeight="false" outlineLevel="0" collapsed="false">
      <c r="A2243" s="4" t="str">
        <f aca="false">B2243&amp;"|"&amp;C2243</f>
        <v>tdbR00000575 Thr-CGU|68</v>
      </c>
      <c r="B2243" s="4" t="s">
        <v>67</v>
      </c>
      <c r="C2243" s="4" t="s">
        <v>491</v>
      </c>
      <c r="D2243" s="4" t="n">
        <v>67</v>
      </c>
      <c r="E2243" s="17" t="s">
        <v>259</v>
      </c>
      <c r="F2243" s="18" t="s">
        <v>412</v>
      </c>
    </row>
    <row r="2244" customFormat="false" ht="15" hidden="false" customHeight="false" outlineLevel="0" collapsed="false">
      <c r="A2244" s="4" t="str">
        <f aca="false">B2244&amp;"|"&amp;C2244</f>
        <v>tdbR00000575 Thr-CGU|69</v>
      </c>
      <c r="B2244" s="4" t="s">
        <v>67</v>
      </c>
      <c r="C2244" s="4" t="s">
        <v>492</v>
      </c>
      <c r="D2244" s="4" t="n">
        <v>68</v>
      </c>
      <c r="E2244" s="17" t="s">
        <v>197</v>
      </c>
      <c r="F2244" s="18" t="s">
        <v>412</v>
      </c>
    </row>
    <row r="2245" customFormat="false" ht="15" hidden="false" customHeight="false" outlineLevel="0" collapsed="false">
      <c r="A2245" s="4" t="str">
        <f aca="false">B2245&amp;"|"&amp;C2245</f>
        <v>tdbR00000575 Thr-CGU|70</v>
      </c>
      <c r="B2245" s="4" t="s">
        <v>67</v>
      </c>
      <c r="C2245" s="4" t="s">
        <v>493</v>
      </c>
      <c r="D2245" s="4" t="n">
        <v>69</v>
      </c>
      <c r="E2245" s="17" t="s">
        <v>197</v>
      </c>
      <c r="F2245" s="18" t="s">
        <v>412</v>
      </c>
    </row>
    <row r="2246" customFormat="false" ht="15" hidden="false" customHeight="false" outlineLevel="0" collapsed="false">
      <c r="A2246" s="4" t="str">
        <f aca="false">B2246&amp;"|"&amp;C2246</f>
        <v>tdbR00000575 Thr-CGU|71</v>
      </c>
      <c r="B2246" s="4" t="s">
        <v>67</v>
      </c>
      <c r="C2246" s="4" t="s">
        <v>494</v>
      </c>
      <c r="D2246" s="4" t="n">
        <v>70</v>
      </c>
      <c r="E2246" s="17" t="s">
        <v>414</v>
      </c>
      <c r="F2246" s="18" t="s">
        <v>412</v>
      </c>
    </row>
    <row r="2247" customFormat="false" ht="15" hidden="false" customHeight="false" outlineLevel="0" collapsed="false">
      <c r="A2247" s="4" t="str">
        <f aca="false">B2247&amp;"|"&amp;C2247</f>
        <v>tdbR00000575 Thr-CGU|72</v>
      </c>
      <c r="B2247" s="4" t="s">
        <v>67</v>
      </c>
      <c r="C2247" s="4" t="s">
        <v>495</v>
      </c>
      <c r="D2247" s="4" t="n">
        <v>71</v>
      </c>
      <c r="E2247" s="17" t="s">
        <v>414</v>
      </c>
      <c r="F2247" s="18" t="s">
        <v>412</v>
      </c>
    </row>
    <row r="2248" customFormat="false" ht="15" hidden="false" customHeight="false" outlineLevel="0" collapsed="false">
      <c r="A2248" s="4" t="str">
        <f aca="false">B2248&amp;"|"&amp;C2248</f>
        <v>tdbR00000574 Trp-CCA|1</v>
      </c>
      <c r="B2248" s="4" t="s">
        <v>68</v>
      </c>
      <c r="C2248" s="4" t="s">
        <v>411</v>
      </c>
      <c r="D2248" s="4" t="n">
        <v>1</v>
      </c>
      <c r="E2248" s="17" t="s">
        <v>197</v>
      </c>
      <c r="F2248" s="18" t="s">
        <v>412</v>
      </c>
    </row>
    <row r="2249" customFormat="false" ht="15" hidden="false" customHeight="false" outlineLevel="0" collapsed="false">
      <c r="A2249" s="4" t="str">
        <f aca="false">B2249&amp;"|"&amp;C2249</f>
        <v>tdbR00000574 Trp-CCA|2</v>
      </c>
      <c r="B2249" s="4" t="s">
        <v>68</v>
      </c>
      <c r="C2249" s="4" t="s">
        <v>413</v>
      </c>
      <c r="D2249" s="4" t="n">
        <v>2</v>
      </c>
      <c r="E2249" s="17" t="s">
        <v>197</v>
      </c>
      <c r="F2249" s="18" t="s">
        <v>412</v>
      </c>
    </row>
    <row r="2250" customFormat="false" ht="15" hidden="false" customHeight="false" outlineLevel="0" collapsed="false">
      <c r="A2250" s="4" t="str">
        <f aca="false">B2250&amp;"|"&amp;C2250</f>
        <v>tdbR00000574 Trp-CCA|3</v>
      </c>
      <c r="B2250" s="4" t="s">
        <v>68</v>
      </c>
      <c r="C2250" s="4" t="s">
        <v>415</v>
      </c>
      <c r="D2250" s="4" t="n">
        <v>3</v>
      </c>
      <c r="E2250" s="17" t="s">
        <v>197</v>
      </c>
      <c r="F2250" s="18" t="s">
        <v>412</v>
      </c>
    </row>
    <row r="2251" customFormat="false" ht="15" hidden="false" customHeight="false" outlineLevel="0" collapsed="false">
      <c r="A2251" s="4" t="str">
        <f aca="false">B2251&amp;"|"&amp;C2251</f>
        <v>tdbR00000574 Trp-CCA|4</v>
      </c>
      <c r="B2251" s="4" t="s">
        <v>68</v>
      </c>
      <c r="C2251" s="4" t="s">
        <v>416</v>
      </c>
      <c r="D2251" s="4" t="n">
        <v>4</v>
      </c>
      <c r="E2251" s="17" t="s">
        <v>197</v>
      </c>
      <c r="F2251" s="18" t="s">
        <v>412</v>
      </c>
    </row>
    <row r="2252" customFormat="false" ht="15" hidden="false" customHeight="false" outlineLevel="0" collapsed="false">
      <c r="A2252" s="4" t="str">
        <f aca="false">B2252&amp;"|"&amp;C2252</f>
        <v>tdbR00000574 Trp-CCA|5</v>
      </c>
      <c r="B2252" s="4" t="s">
        <v>68</v>
      </c>
      <c r="C2252" s="4" t="s">
        <v>417</v>
      </c>
      <c r="D2252" s="4" t="n">
        <v>5</v>
      </c>
      <c r="E2252" s="17" t="s">
        <v>197</v>
      </c>
      <c r="F2252" s="18" t="s">
        <v>412</v>
      </c>
    </row>
    <row r="2253" customFormat="false" ht="15" hidden="false" customHeight="false" outlineLevel="0" collapsed="false">
      <c r="A2253" s="4" t="str">
        <f aca="false">B2253&amp;"|"&amp;C2253</f>
        <v>tdbR00000574 Trp-CCA|6</v>
      </c>
      <c r="B2253" s="4" t="s">
        <v>68</v>
      </c>
      <c r="C2253" s="4" t="s">
        <v>418</v>
      </c>
      <c r="D2253" s="4" t="n">
        <v>6</v>
      </c>
      <c r="E2253" s="17" t="s">
        <v>414</v>
      </c>
      <c r="F2253" s="18" t="s">
        <v>412</v>
      </c>
    </row>
    <row r="2254" customFormat="false" ht="15" hidden="false" customHeight="false" outlineLevel="0" collapsed="false">
      <c r="A2254" s="4" t="str">
        <f aca="false">B2254&amp;"|"&amp;C2254</f>
        <v>tdbR00000574 Trp-CCA|7</v>
      </c>
      <c r="B2254" s="4" t="s">
        <v>68</v>
      </c>
      <c r="C2254" s="4" t="s">
        <v>419</v>
      </c>
      <c r="D2254" s="4" t="n">
        <v>7</v>
      </c>
      <c r="E2254" s="17" t="s">
        <v>259</v>
      </c>
      <c r="F2254" s="18" t="s">
        <v>412</v>
      </c>
    </row>
    <row r="2255" customFormat="false" ht="15" hidden="false" customHeight="false" outlineLevel="0" collapsed="false">
      <c r="A2255" s="4" t="str">
        <f aca="false">B2255&amp;"|"&amp;C2255</f>
        <v>tdbR00000574 Trp-CCA|8</v>
      </c>
      <c r="B2255" s="4" t="s">
        <v>68</v>
      </c>
      <c r="C2255" s="4" t="s">
        <v>420</v>
      </c>
      <c r="D2255" s="4" t="n">
        <v>8</v>
      </c>
      <c r="E2255" s="3" t="s">
        <v>259</v>
      </c>
      <c r="F2255" s="4" t="s">
        <v>421</v>
      </c>
    </row>
    <row r="2256" customFormat="false" ht="15" hidden="false" customHeight="false" outlineLevel="0" collapsed="false">
      <c r="A2256" s="4" t="str">
        <f aca="false">B2256&amp;"|"&amp;C2256</f>
        <v>tdbR00000574 Trp-CCA|9</v>
      </c>
      <c r="B2256" s="4" t="s">
        <v>68</v>
      </c>
      <c r="C2256" s="4" t="s">
        <v>422</v>
      </c>
      <c r="D2256" s="4" t="n">
        <v>9</v>
      </c>
      <c r="E2256" s="3" t="s">
        <v>246</v>
      </c>
      <c r="F2256" s="4" t="s">
        <v>423</v>
      </c>
    </row>
    <row r="2257" customFormat="false" ht="15" hidden="false" customHeight="false" outlineLevel="0" collapsed="false">
      <c r="A2257" s="4" t="str">
        <f aca="false">B2257&amp;"|"&amp;C2257</f>
        <v>tdbR00000574 Trp-CCA|10</v>
      </c>
      <c r="B2257" s="4" t="s">
        <v>68</v>
      </c>
      <c r="C2257" s="4" t="s">
        <v>424</v>
      </c>
      <c r="D2257" s="4" t="n">
        <v>10</v>
      </c>
      <c r="E2257" s="8" t="s">
        <v>197</v>
      </c>
      <c r="F2257" s="7" t="s">
        <v>425</v>
      </c>
    </row>
    <row r="2258" customFormat="false" ht="15" hidden="false" customHeight="false" outlineLevel="0" collapsed="false">
      <c r="A2258" s="4" t="str">
        <f aca="false">B2258&amp;"|"&amp;C2258</f>
        <v>tdbR00000574 Trp-CCA|11</v>
      </c>
      <c r="B2258" s="4" t="s">
        <v>68</v>
      </c>
      <c r="C2258" s="4" t="s">
        <v>426</v>
      </c>
      <c r="D2258" s="4" t="n">
        <v>11</v>
      </c>
      <c r="E2258" s="8" t="s">
        <v>414</v>
      </c>
      <c r="F2258" s="7" t="s">
        <v>425</v>
      </c>
    </row>
    <row r="2259" customFormat="false" ht="15" hidden="false" customHeight="false" outlineLevel="0" collapsed="false">
      <c r="A2259" s="4" t="str">
        <f aca="false">B2259&amp;"|"&amp;C2259</f>
        <v>tdbR00000574 Trp-CCA|12</v>
      </c>
      <c r="B2259" s="4" t="s">
        <v>68</v>
      </c>
      <c r="C2259" s="4" t="s">
        <v>427</v>
      </c>
      <c r="D2259" s="4" t="n">
        <v>12</v>
      </c>
      <c r="E2259" s="8" t="s">
        <v>259</v>
      </c>
      <c r="F2259" s="7" t="s">
        <v>425</v>
      </c>
    </row>
    <row r="2260" customFormat="false" ht="15" hidden="false" customHeight="false" outlineLevel="0" collapsed="false">
      <c r="A2260" s="4" t="str">
        <f aca="false">B2260&amp;"|"&amp;C2260</f>
        <v>tdbR00000574 Trp-CCA|13</v>
      </c>
      <c r="B2260" s="4" t="s">
        <v>68</v>
      </c>
      <c r="C2260" s="4" t="s">
        <v>428</v>
      </c>
      <c r="D2260" s="4" t="n">
        <v>13</v>
      </c>
      <c r="E2260" s="8" t="s">
        <v>414</v>
      </c>
      <c r="F2260" s="7" t="s">
        <v>425</v>
      </c>
    </row>
    <row r="2261" customFormat="false" ht="15" hidden="false" customHeight="false" outlineLevel="0" collapsed="false">
      <c r="A2261" s="4" t="str">
        <f aca="false">B2261&amp;"|"&amp;C2261</f>
        <v>tdbR00000574 Trp-CCA|14</v>
      </c>
      <c r="B2261" s="4" t="s">
        <v>68</v>
      </c>
      <c r="C2261" s="4" t="s">
        <v>429</v>
      </c>
      <c r="D2261" s="4" t="n">
        <v>14</v>
      </c>
      <c r="E2261" s="19" t="s">
        <v>246</v>
      </c>
      <c r="F2261" s="20" t="s">
        <v>430</v>
      </c>
    </row>
    <row r="2262" customFormat="false" ht="15" hidden="false" customHeight="false" outlineLevel="0" collapsed="false">
      <c r="A2262" s="4" t="str">
        <f aca="false">B2262&amp;"|"&amp;C2262</f>
        <v>tdbR00000574 Trp-CCA|15</v>
      </c>
      <c r="B2262" s="4" t="s">
        <v>68</v>
      </c>
      <c r="C2262" s="4" t="s">
        <v>431</v>
      </c>
      <c r="D2262" s="4" t="n">
        <v>15</v>
      </c>
      <c r="E2262" s="19" t="s">
        <v>197</v>
      </c>
      <c r="F2262" s="20" t="s">
        <v>430</v>
      </c>
    </row>
    <row r="2263" customFormat="false" ht="15" hidden="false" customHeight="false" outlineLevel="0" collapsed="false">
      <c r="A2263" s="4" t="str">
        <f aca="false">B2263&amp;"|"&amp;C2263</f>
        <v>tdbR00000574 Trp-CCA|16</v>
      </c>
      <c r="B2263" s="4" t="s">
        <v>68</v>
      </c>
      <c r="C2263" s="4" t="s">
        <v>432</v>
      </c>
      <c r="D2263" s="4" t="n">
        <v>16</v>
      </c>
      <c r="E2263" s="19" t="s">
        <v>259</v>
      </c>
      <c r="F2263" s="20" t="s">
        <v>430</v>
      </c>
    </row>
    <row r="2264" customFormat="false" ht="15" hidden="false" customHeight="false" outlineLevel="0" collapsed="false">
      <c r="A2264" s="4" t="str">
        <f aca="false">B2264&amp;"|"&amp;C2264</f>
        <v>tdbR00000574 Trp-CCA|18</v>
      </c>
      <c r="B2264" s="4" t="s">
        <v>68</v>
      </c>
      <c r="C2264" s="4" t="s">
        <v>434</v>
      </c>
      <c r="D2264" s="4" t="n">
        <v>17</v>
      </c>
      <c r="E2264" s="19" t="s">
        <v>197</v>
      </c>
      <c r="F2264" s="20" t="s">
        <v>430</v>
      </c>
    </row>
    <row r="2265" customFormat="false" ht="15" hidden="false" customHeight="false" outlineLevel="0" collapsed="false">
      <c r="A2265" s="4" t="str">
        <f aca="false">B2265&amp;"|"&amp;C2265</f>
        <v>tdbR00000574 Trp-CCA|19</v>
      </c>
      <c r="B2265" s="4" t="s">
        <v>68</v>
      </c>
      <c r="C2265" s="4" t="s">
        <v>435</v>
      </c>
      <c r="D2265" s="4" t="n">
        <v>18</v>
      </c>
      <c r="E2265" s="19" t="s">
        <v>197</v>
      </c>
      <c r="F2265" s="20" t="s">
        <v>430</v>
      </c>
    </row>
    <row r="2266" customFormat="false" ht="15" hidden="false" customHeight="false" outlineLevel="0" collapsed="false">
      <c r="A2266" s="4" t="str">
        <f aca="false">B2266&amp;"|"&amp;C2266</f>
        <v>tdbR00000574 Trp-CCA|20</v>
      </c>
      <c r="B2266" s="4" t="s">
        <v>68</v>
      </c>
      <c r="C2266" s="4" t="s">
        <v>436</v>
      </c>
      <c r="D2266" s="4" t="n">
        <v>19</v>
      </c>
      <c r="E2266" s="19" t="s">
        <v>259</v>
      </c>
      <c r="F2266" s="20" t="s">
        <v>430</v>
      </c>
    </row>
    <row r="2267" customFormat="false" ht="15" hidden="false" customHeight="false" outlineLevel="0" collapsed="false">
      <c r="A2267" s="4" t="str">
        <f aca="false">B2267&amp;"|"&amp;C2267</f>
        <v>tdbR00000574 Trp-CCA|21</v>
      </c>
      <c r="B2267" s="4" t="s">
        <v>68</v>
      </c>
      <c r="C2267" s="4" t="s">
        <v>438</v>
      </c>
      <c r="D2267" s="4" t="n">
        <v>20</v>
      </c>
      <c r="E2267" s="19" t="s">
        <v>246</v>
      </c>
      <c r="F2267" s="20" t="s">
        <v>430</v>
      </c>
    </row>
    <row r="2268" customFormat="false" ht="15" hidden="false" customHeight="false" outlineLevel="0" collapsed="false">
      <c r="A2268" s="4" t="str">
        <f aca="false">B2268&amp;"|"&amp;C2268</f>
        <v>tdbR00000574 Trp-CCA|22</v>
      </c>
      <c r="B2268" s="4" t="s">
        <v>68</v>
      </c>
      <c r="C2268" s="4" t="s">
        <v>439</v>
      </c>
      <c r="D2268" s="4" t="n">
        <v>21</v>
      </c>
      <c r="E2268" s="8" t="s">
        <v>197</v>
      </c>
      <c r="F2268" s="7" t="s">
        <v>425</v>
      </c>
    </row>
    <row r="2269" customFormat="false" ht="15" hidden="false" customHeight="false" outlineLevel="0" collapsed="false">
      <c r="A2269" s="4" t="str">
        <f aca="false">B2269&amp;"|"&amp;C2269</f>
        <v>tdbR00000574 Trp-CCA|23</v>
      </c>
      <c r="B2269" s="4" t="s">
        <v>68</v>
      </c>
      <c r="C2269" s="4" t="s">
        <v>440</v>
      </c>
      <c r="D2269" s="4" t="n">
        <v>22</v>
      </c>
      <c r="E2269" s="8" t="s">
        <v>246</v>
      </c>
      <c r="F2269" s="7" t="s">
        <v>425</v>
      </c>
    </row>
    <row r="2270" customFormat="false" ht="15" hidden="false" customHeight="false" outlineLevel="0" collapsed="false">
      <c r="A2270" s="4" t="str">
        <f aca="false">B2270&amp;"|"&amp;C2270</f>
        <v>tdbR00000574 Trp-CCA|24</v>
      </c>
      <c r="B2270" s="4" t="s">
        <v>68</v>
      </c>
      <c r="C2270" s="4" t="s">
        <v>441</v>
      </c>
      <c r="D2270" s="4" t="n">
        <v>23</v>
      </c>
      <c r="E2270" s="8" t="s">
        <v>197</v>
      </c>
      <c r="F2270" s="7" t="s">
        <v>425</v>
      </c>
    </row>
    <row r="2271" customFormat="false" ht="15" hidden="false" customHeight="false" outlineLevel="0" collapsed="false">
      <c r="A2271" s="4" t="str">
        <f aca="false">B2271&amp;"|"&amp;C2271</f>
        <v>tdbR00000574 Trp-CCA|25</v>
      </c>
      <c r="B2271" s="4" t="s">
        <v>68</v>
      </c>
      <c r="C2271" s="4" t="s">
        <v>442</v>
      </c>
      <c r="D2271" s="4" t="n">
        <v>24</v>
      </c>
      <c r="E2271" s="8" t="s">
        <v>414</v>
      </c>
      <c r="F2271" s="7" t="s">
        <v>425</v>
      </c>
    </row>
    <row r="2272" customFormat="false" ht="15" hidden="false" customHeight="false" outlineLevel="0" collapsed="false">
      <c r="A2272" s="4" t="str">
        <f aca="false">B2272&amp;"|"&amp;C2272</f>
        <v>tdbR00000574 Trp-CCA|26</v>
      </c>
      <c r="B2272" s="4" t="s">
        <v>68</v>
      </c>
      <c r="C2272" s="4" t="s">
        <v>443</v>
      </c>
      <c r="D2272" s="4" t="n">
        <v>25</v>
      </c>
      <c r="E2272" s="3" t="s">
        <v>246</v>
      </c>
      <c r="F2272" s="4" t="s">
        <v>444</v>
      </c>
    </row>
    <row r="2273" customFormat="false" ht="15" hidden="false" customHeight="false" outlineLevel="0" collapsed="false">
      <c r="A2273" s="4" t="str">
        <f aca="false">B2273&amp;"|"&amp;C2273</f>
        <v>tdbR00000574 Trp-CCA|27</v>
      </c>
      <c r="B2273" s="4" t="s">
        <v>68</v>
      </c>
      <c r="C2273" s="4" t="s">
        <v>445</v>
      </c>
      <c r="D2273" s="4" t="n">
        <v>26</v>
      </c>
      <c r="E2273" s="21" t="s">
        <v>259</v>
      </c>
      <c r="F2273" s="22" t="s">
        <v>446</v>
      </c>
    </row>
    <row r="2274" customFormat="false" ht="15" hidden="false" customHeight="false" outlineLevel="0" collapsed="false">
      <c r="A2274" s="4" t="str">
        <f aca="false">B2274&amp;"|"&amp;C2274</f>
        <v>tdbR00000574 Trp-CCA|28</v>
      </c>
      <c r="B2274" s="4" t="s">
        <v>68</v>
      </c>
      <c r="C2274" s="4" t="s">
        <v>447</v>
      </c>
      <c r="D2274" s="4" t="n">
        <v>27</v>
      </c>
      <c r="E2274" s="21" t="s">
        <v>259</v>
      </c>
      <c r="F2274" s="22" t="s">
        <v>446</v>
      </c>
    </row>
    <row r="2275" customFormat="false" ht="15" hidden="false" customHeight="false" outlineLevel="0" collapsed="false">
      <c r="A2275" s="4" t="str">
        <f aca="false">B2275&amp;"|"&amp;C2275</f>
        <v>tdbR00000574 Trp-CCA|29</v>
      </c>
      <c r="B2275" s="4" t="s">
        <v>68</v>
      </c>
      <c r="C2275" s="4" t="s">
        <v>448</v>
      </c>
      <c r="D2275" s="4" t="n">
        <v>28</v>
      </c>
      <c r="E2275" s="21" t="s">
        <v>197</v>
      </c>
      <c r="F2275" s="22" t="s">
        <v>446</v>
      </c>
    </row>
    <row r="2276" customFormat="false" ht="15" hidden="false" customHeight="false" outlineLevel="0" collapsed="false">
      <c r="A2276" s="4" t="str">
        <f aca="false">B2276&amp;"|"&amp;C2276</f>
        <v>tdbR00000574 Trp-CCA|30</v>
      </c>
      <c r="B2276" s="4" t="s">
        <v>68</v>
      </c>
      <c r="C2276" s="4" t="s">
        <v>449</v>
      </c>
      <c r="D2276" s="4" t="n">
        <v>29</v>
      </c>
      <c r="E2276" s="21" t="s">
        <v>197</v>
      </c>
      <c r="F2276" s="22" t="s">
        <v>446</v>
      </c>
    </row>
    <row r="2277" customFormat="false" ht="15" hidden="false" customHeight="false" outlineLevel="0" collapsed="false">
      <c r="A2277" s="4" t="str">
        <f aca="false">B2277&amp;"|"&amp;C2277</f>
        <v>tdbR00000574 Trp-CCA|31</v>
      </c>
      <c r="B2277" s="4" t="s">
        <v>68</v>
      </c>
      <c r="C2277" s="4" t="s">
        <v>450</v>
      </c>
      <c r="D2277" s="4" t="n">
        <v>30</v>
      </c>
      <c r="E2277" s="21" t="s">
        <v>246</v>
      </c>
      <c r="F2277" s="22" t="s">
        <v>446</v>
      </c>
    </row>
    <row r="2278" customFormat="false" ht="15" hidden="false" customHeight="false" outlineLevel="0" collapsed="false">
      <c r="A2278" s="4" t="str">
        <f aca="false">B2278&amp;"|"&amp;C2278</f>
        <v>tdbR00000574 Trp-CCA|32</v>
      </c>
      <c r="B2278" s="4" t="s">
        <v>68</v>
      </c>
      <c r="C2278" s="4" t="s">
        <v>451</v>
      </c>
      <c r="D2278" s="4" t="n">
        <v>31</v>
      </c>
      <c r="E2278" s="19" t="s">
        <v>259</v>
      </c>
      <c r="F2278" s="20" t="s">
        <v>452</v>
      </c>
    </row>
    <row r="2279" customFormat="false" ht="15" hidden="false" customHeight="false" outlineLevel="0" collapsed="false">
      <c r="A2279" s="4" t="str">
        <f aca="false">B2279&amp;"|"&amp;C2279</f>
        <v>tdbR00000574 Trp-CCA|33</v>
      </c>
      <c r="B2279" s="4" t="s">
        <v>68</v>
      </c>
      <c r="C2279" s="4" t="s">
        <v>453</v>
      </c>
      <c r="D2279" s="4" t="n">
        <v>32</v>
      </c>
      <c r="E2279" s="19" t="s">
        <v>259</v>
      </c>
      <c r="F2279" s="20" t="s">
        <v>452</v>
      </c>
    </row>
    <row r="2280" customFormat="false" ht="15" hidden="false" customHeight="false" outlineLevel="0" collapsed="false">
      <c r="A2280" s="4" t="str">
        <f aca="false">B2280&amp;"|"&amp;C2280</f>
        <v>tdbR00000574 Trp-CCA|34</v>
      </c>
      <c r="B2280" s="4" t="s">
        <v>68</v>
      </c>
      <c r="C2280" s="4" t="s">
        <v>454</v>
      </c>
      <c r="D2280" s="4" t="n">
        <v>33</v>
      </c>
      <c r="E2280" s="19" t="s">
        <v>414</v>
      </c>
      <c r="F2280" s="20" t="s">
        <v>452</v>
      </c>
    </row>
    <row r="2281" customFormat="false" ht="15" hidden="false" customHeight="false" outlineLevel="0" collapsed="false">
      <c r="A2281" s="4" t="str">
        <f aca="false">B2281&amp;"|"&amp;C2281</f>
        <v>tdbR00000574 Trp-CCA|35</v>
      </c>
      <c r="B2281" s="4" t="s">
        <v>68</v>
      </c>
      <c r="C2281" s="4" t="s">
        <v>455</v>
      </c>
      <c r="D2281" s="4" t="n">
        <v>34</v>
      </c>
      <c r="E2281" s="19" t="s">
        <v>414</v>
      </c>
      <c r="F2281" s="20" t="s">
        <v>452</v>
      </c>
    </row>
    <row r="2282" customFormat="false" ht="15" hidden="false" customHeight="false" outlineLevel="0" collapsed="false">
      <c r="A2282" s="4" t="str">
        <f aca="false">B2282&amp;"|"&amp;C2282</f>
        <v>tdbR00000574 Trp-CCA|36</v>
      </c>
      <c r="B2282" s="4" t="s">
        <v>68</v>
      </c>
      <c r="C2282" s="4" t="s">
        <v>456</v>
      </c>
      <c r="D2282" s="4" t="n">
        <v>35</v>
      </c>
      <c r="E2282" s="19" t="s">
        <v>246</v>
      </c>
      <c r="F2282" s="20" t="s">
        <v>452</v>
      </c>
    </row>
    <row r="2283" customFormat="false" ht="15" hidden="false" customHeight="false" outlineLevel="0" collapsed="false">
      <c r="A2283" s="4" t="str">
        <f aca="false">B2283&amp;"|"&amp;C2283</f>
        <v>tdbR00000574 Trp-CCA|37</v>
      </c>
      <c r="B2283" s="4" t="s">
        <v>68</v>
      </c>
      <c r="C2283" s="4" t="s">
        <v>457</v>
      </c>
      <c r="D2283" s="4" t="n">
        <v>36</v>
      </c>
      <c r="E2283" s="19" t="s">
        <v>246</v>
      </c>
      <c r="F2283" s="20" t="s">
        <v>452</v>
      </c>
    </row>
    <row r="2284" customFormat="false" ht="15" hidden="false" customHeight="false" outlineLevel="0" collapsed="false">
      <c r="A2284" s="4" t="str">
        <f aca="false">B2284&amp;"|"&amp;C2284</f>
        <v>tdbR00000574 Trp-CCA|38</v>
      </c>
      <c r="B2284" s="4" t="s">
        <v>68</v>
      </c>
      <c r="C2284" s="4" t="s">
        <v>458</v>
      </c>
      <c r="D2284" s="4" t="n">
        <v>37</v>
      </c>
      <c r="E2284" s="19" t="s">
        <v>246</v>
      </c>
      <c r="F2284" s="20" t="s">
        <v>452</v>
      </c>
    </row>
    <row r="2285" customFormat="false" ht="15" hidden="false" customHeight="false" outlineLevel="0" collapsed="false">
      <c r="A2285" s="4" t="str">
        <f aca="false">B2285&amp;"|"&amp;C2285</f>
        <v>tdbR00000574 Trp-CCA|39</v>
      </c>
      <c r="B2285" s="4" t="s">
        <v>68</v>
      </c>
      <c r="C2285" s="4" t="s">
        <v>459</v>
      </c>
      <c r="D2285" s="4" t="n">
        <v>38</v>
      </c>
      <c r="E2285" s="21" t="s">
        <v>259</v>
      </c>
      <c r="F2285" s="22" t="s">
        <v>446</v>
      </c>
    </row>
    <row r="2286" customFormat="false" ht="15" hidden="false" customHeight="false" outlineLevel="0" collapsed="false">
      <c r="A2286" s="4" t="str">
        <f aca="false">B2286&amp;"|"&amp;C2286</f>
        <v>tdbR00000574 Trp-CCA|40</v>
      </c>
      <c r="B2286" s="4" t="s">
        <v>68</v>
      </c>
      <c r="C2286" s="4" t="s">
        <v>460</v>
      </c>
      <c r="D2286" s="4" t="n">
        <v>39</v>
      </c>
      <c r="E2286" s="21" t="s">
        <v>414</v>
      </c>
      <c r="F2286" s="22" t="s">
        <v>446</v>
      </c>
    </row>
    <row r="2287" customFormat="false" ht="15" hidden="false" customHeight="false" outlineLevel="0" collapsed="false">
      <c r="A2287" s="4" t="str">
        <f aca="false">B2287&amp;"|"&amp;C2287</f>
        <v>tdbR00000574 Trp-CCA|41</v>
      </c>
      <c r="B2287" s="4" t="s">
        <v>68</v>
      </c>
      <c r="C2287" s="4" t="s">
        <v>461</v>
      </c>
      <c r="D2287" s="4" t="n">
        <v>40</v>
      </c>
      <c r="E2287" s="21" t="s">
        <v>414</v>
      </c>
      <c r="F2287" s="22" t="s">
        <v>446</v>
      </c>
    </row>
    <row r="2288" customFormat="false" ht="15" hidden="false" customHeight="false" outlineLevel="0" collapsed="false">
      <c r="A2288" s="4" t="str">
        <f aca="false">B2288&amp;"|"&amp;C2288</f>
        <v>tdbR00000574 Trp-CCA|42</v>
      </c>
      <c r="B2288" s="4" t="s">
        <v>68</v>
      </c>
      <c r="C2288" s="4" t="s">
        <v>462</v>
      </c>
      <c r="D2288" s="4" t="n">
        <v>41</v>
      </c>
      <c r="E2288" s="21" t="s">
        <v>246</v>
      </c>
      <c r="F2288" s="22" t="s">
        <v>446</v>
      </c>
    </row>
    <row r="2289" customFormat="false" ht="15" hidden="false" customHeight="false" outlineLevel="0" collapsed="false">
      <c r="A2289" s="4" t="str">
        <f aca="false">B2289&amp;"|"&amp;C2289</f>
        <v>tdbR00000574 Trp-CCA|43</v>
      </c>
      <c r="B2289" s="4" t="s">
        <v>68</v>
      </c>
      <c r="C2289" s="4" t="s">
        <v>463</v>
      </c>
      <c r="D2289" s="4" t="n">
        <v>42</v>
      </c>
      <c r="E2289" s="21" t="s">
        <v>197</v>
      </c>
      <c r="F2289" s="22" t="s">
        <v>446</v>
      </c>
    </row>
    <row r="2290" customFormat="false" ht="15" hidden="false" customHeight="false" outlineLevel="0" collapsed="false">
      <c r="A2290" s="4" t="str">
        <f aca="false">B2290&amp;"|"&amp;C2290</f>
        <v>tdbR00000574 Trp-CCA|44</v>
      </c>
      <c r="B2290" s="4" t="s">
        <v>68</v>
      </c>
      <c r="C2290" s="4" t="s">
        <v>464</v>
      </c>
      <c r="D2290" s="4" t="n">
        <v>43</v>
      </c>
      <c r="E2290" s="19" t="s">
        <v>197</v>
      </c>
      <c r="F2290" s="20" t="s">
        <v>465</v>
      </c>
    </row>
    <row r="2291" customFormat="false" ht="15" hidden="false" customHeight="false" outlineLevel="0" collapsed="false">
      <c r="A2291" s="4" t="str">
        <f aca="false">B2291&amp;"|"&amp;C2291</f>
        <v>tdbR00000574 Trp-CCA|45</v>
      </c>
      <c r="B2291" s="4" t="s">
        <v>68</v>
      </c>
      <c r="C2291" s="4" t="s">
        <v>466</v>
      </c>
      <c r="D2291" s="4" t="n">
        <v>44</v>
      </c>
      <c r="E2291" s="19" t="s">
        <v>197</v>
      </c>
      <c r="F2291" s="20" t="s">
        <v>465</v>
      </c>
    </row>
    <row r="2292" customFormat="false" ht="15" hidden="false" customHeight="false" outlineLevel="0" collapsed="false">
      <c r="A2292" s="4" t="str">
        <f aca="false">B2292&amp;"|"&amp;C2292</f>
        <v>tdbR00000574 Trp-CCA|46</v>
      </c>
      <c r="B2292" s="4" t="s">
        <v>68</v>
      </c>
      <c r="C2292" s="4" t="s">
        <v>467</v>
      </c>
      <c r="D2292" s="4" t="n">
        <v>45</v>
      </c>
      <c r="E2292" s="19" t="s">
        <v>197</v>
      </c>
      <c r="F2292" s="20" t="s">
        <v>465</v>
      </c>
    </row>
    <row r="2293" customFormat="false" ht="15" hidden="false" customHeight="false" outlineLevel="0" collapsed="false">
      <c r="A2293" s="4" t="str">
        <f aca="false">B2293&amp;"|"&amp;C2293</f>
        <v>tdbR00000574 Trp-CCA|47</v>
      </c>
      <c r="B2293" s="4" t="s">
        <v>68</v>
      </c>
      <c r="C2293" s="4" t="s">
        <v>468</v>
      </c>
      <c r="D2293" s="4" t="n">
        <v>46</v>
      </c>
      <c r="E2293" s="19" t="s">
        <v>259</v>
      </c>
      <c r="F2293" s="20" t="s">
        <v>465</v>
      </c>
    </row>
    <row r="2294" customFormat="false" ht="15" hidden="false" customHeight="false" outlineLevel="0" collapsed="false">
      <c r="A2294" s="4" t="str">
        <f aca="false">B2294&amp;"|"&amp;C2294</f>
        <v>tdbR00000574 Trp-CCA|48</v>
      </c>
      <c r="B2294" s="4" t="s">
        <v>68</v>
      </c>
      <c r="C2294" s="4" t="s">
        <v>469</v>
      </c>
      <c r="D2294" s="4" t="n">
        <v>47</v>
      </c>
      <c r="E2294" s="19" t="s">
        <v>414</v>
      </c>
      <c r="F2294" s="20" t="s">
        <v>465</v>
      </c>
    </row>
    <row r="2295" customFormat="false" ht="15" hidden="false" customHeight="false" outlineLevel="0" collapsed="false">
      <c r="A2295" s="4" t="str">
        <f aca="false">B2295&amp;"|"&amp;C2295</f>
        <v>tdbR00000574 Trp-CCA|49</v>
      </c>
      <c r="B2295" s="4" t="s">
        <v>68</v>
      </c>
      <c r="C2295" s="4" t="s">
        <v>470</v>
      </c>
      <c r="D2295" s="4" t="n">
        <v>48</v>
      </c>
      <c r="E2295" s="23" t="s">
        <v>197</v>
      </c>
      <c r="F2295" s="10" t="s">
        <v>471</v>
      </c>
    </row>
    <row r="2296" customFormat="false" ht="15" hidden="false" customHeight="false" outlineLevel="0" collapsed="false">
      <c r="A2296" s="4" t="str">
        <f aca="false">B2296&amp;"|"&amp;C2296</f>
        <v>tdbR00000574 Trp-CCA|50</v>
      </c>
      <c r="B2296" s="4" t="s">
        <v>68</v>
      </c>
      <c r="C2296" s="4" t="s">
        <v>472</v>
      </c>
      <c r="D2296" s="4" t="n">
        <v>49</v>
      </c>
      <c r="E2296" s="23" t="s">
        <v>259</v>
      </c>
      <c r="F2296" s="10" t="s">
        <v>471</v>
      </c>
    </row>
    <row r="2297" customFormat="false" ht="15" hidden="false" customHeight="false" outlineLevel="0" collapsed="false">
      <c r="A2297" s="4" t="str">
        <f aca="false">B2297&amp;"|"&amp;C2297</f>
        <v>tdbR00000574 Trp-CCA|51</v>
      </c>
      <c r="B2297" s="4" t="s">
        <v>68</v>
      </c>
      <c r="C2297" s="4" t="s">
        <v>473</v>
      </c>
      <c r="D2297" s="4" t="n">
        <v>50</v>
      </c>
      <c r="E2297" s="23" t="s">
        <v>246</v>
      </c>
      <c r="F2297" s="10" t="s">
        <v>471</v>
      </c>
    </row>
    <row r="2298" customFormat="false" ht="15" hidden="false" customHeight="false" outlineLevel="0" collapsed="false">
      <c r="A2298" s="4" t="str">
        <f aca="false">B2298&amp;"|"&amp;C2298</f>
        <v>tdbR00000574 Trp-CCA|52</v>
      </c>
      <c r="B2298" s="4" t="s">
        <v>68</v>
      </c>
      <c r="C2298" s="4" t="s">
        <v>474</v>
      </c>
      <c r="D2298" s="4" t="n">
        <v>51</v>
      </c>
      <c r="E2298" s="23" t="s">
        <v>197</v>
      </c>
      <c r="F2298" s="10" t="s">
        <v>471</v>
      </c>
    </row>
    <row r="2299" customFormat="false" ht="15" hidden="false" customHeight="false" outlineLevel="0" collapsed="false">
      <c r="A2299" s="4" t="str">
        <f aca="false">B2299&amp;"|"&amp;C2299</f>
        <v>tdbR00000574 Trp-CCA|53</v>
      </c>
      <c r="B2299" s="4" t="s">
        <v>68</v>
      </c>
      <c r="C2299" s="4" t="s">
        <v>475</v>
      </c>
      <c r="D2299" s="4" t="n">
        <v>52</v>
      </c>
      <c r="E2299" s="23" t="s">
        <v>197</v>
      </c>
      <c r="F2299" s="10" t="s">
        <v>471</v>
      </c>
    </row>
    <row r="2300" customFormat="false" ht="15" hidden="false" customHeight="false" outlineLevel="0" collapsed="false">
      <c r="A2300" s="4" t="str">
        <f aca="false">B2300&amp;"|"&amp;C2300</f>
        <v>tdbR00000574 Trp-CCA|54</v>
      </c>
      <c r="B2300" s="4" t="s">
        <v>68</v>
      </c>
      <c r="C2300" s="4" t="s">
        <v>476</v>
      </c>
      <c r="D2300" s="4" t="n">
        <v>53</v>
      </c>
      <c r="E2300" s="19" t="s">
        <v>259</v>
      </c>
      <c r="F2300" s="20" t="s">
        <v>477</v>
      </c>
    </row>
    <row r="2301" customFormat="false" ht="15" hidden="false" customHeight="false" outlineLevel="0" collapsed="false">
      <c r="A2301" s="4" t="str">
        <f aca="false">B2301&amp;"|"&amp;C2301</f>
        <v>tdbR00000574 Trp-CCA|55</v>
      </c>
      <c r="B2301" s="4" t="s">
        <v>68</v>
      </c>
      <c r="C2301" s="4" t="s">
        <v>478</v>
      </c>
      <c r="D2301" s="4" t="n">
        <v>54</v>
      </c>
      <c r="E2301" s="19" t="s">
        <v>259</v>
      </c>
      <c r="F2301" s="20" t="s">
        <v>477</v>
      </c>
    </row>
    <row r="2302" customFormat="false" ht="15" hidden="false" customHeight="false" outlineLevel="0" collapsed="false">
      <c r="A2302" s="4" t="str">
        <f aca="false">B2302&amp;"|"&amp;C2302</f>
        <v>tdbR00000574 Trp-CCA|56</v>
      </c>
      <c r="B2302" s="4" t="s">
        <v>68</v>
      </c>
      <c r="C2302" s="4" t="s">
        <v>479</v>
      </c>
      <c r="D2302" s="4" t="n">
        <v>55</v>
      </c>
      <c r="E2302" s="19" t="s">
        <v>414</v>
      </c>
      <c r="F2302" s="20" t="s">
        <v>477</v>
      </c>
    </row>
    <row r="2303" customFormat="false" ht="15" hidden="false" customHeight="false" outlineLevel="0" collapsed="false">
      <c r="A2303" s="4" t="str">
        <f aca="false">B2303&amp;"|"&amp;C2303</f>
        <v>tdbR00000574 Trp-CCA|57</v>
      </c>
      <c r="B2303" s="4" t="s">
        <v>68</v>
      </c>
      <c r="C2303" s="4" t="s">
        <v>480</v>
      </c>
      <c r="D2303" s="4" t="n">
        <v>56</v>
      </c>
      <c r="E2303" s="19" t="s">
        <v>246</v>
      </c>
      <c r="F2303" s="20" t="s">
        <v>477</v>
      </c>
    </row>
    <row r="2304" customFormat="false" ht="15" hidden="false" customHeight="false" outlineLevel="0" collapsed="false">
      <c r="A2304" s="4" t="str">
        <f aca="false">B2304&amp;"|"&amp;C2304</f>
        <v>tdbR00000574 Trp-CCA|58</v>
      </c>
      <c r="B2304" s="4" t="s">
        <v>68</v>
      </c>
      <c r="C2304" s="4" t="s">
        <v>481</v>
      </c>
      <c r="D2304" s="4" t="n">
        <v>57</v>
      </c>
      <c r="E2304" s="19" t="s">
        <v>246</v>
      </c>
      <c r="F2304" s="20" t="s">
        <v>477</v>
      </c>
    </row>
    <row r="2305" customFormat="false" ht="15" hidden="false" customHeight="false" outlineLevel="0" collapsed="false">
      <c r="A2305" s="4" t="str">
        <f aca="false">B2305&amp;"|"&amp;C2305</f>
        <v>tdbR00000574 Trp-CCA|59</v>
      </c>
      <c r="B2305" s="4" t="s">
        <v>68</v>
      </c>
      <c r="C2305" s="4" t="s">
        <v>482</v>
      </c>
      <c r="D2305" s="4" t="n">
        <v>58</v>
      </c>
      <c r="E2305" s="19" t="s">
        <v>259</v>
      </c>
      <c r="F2305" s="20" t="s">
        <v>477</v>
      </c>
    </row>
    <row r="2306" customFormat="false" ht="15" hidden="false" customHeight="false" outlineLevel="0" collapsed="false">
      <c r="A2306" s="4" t="str">
        <f aca="false">B2306&amp;"|"&amp;C2306</f>
        <v>tdbR00000574 Trp-CCA|60</v>
      </c>
      <c r="B2306" s="4" t="s">
        <v>68</v>
      </c>
      <c r="C2306" s="4" t="s">
        <v>483</v>
      </c>
      <c r="D2306" s="4" t="n">
        <v>59</v>
      </c>
      <c r="E2306" s="19" t="s">
        <v>414</v>
      </c>
      <c r="F2306" s="20" t="s">
        <v>477</v>
      </c>
    </row>
    <row r="2307" customFormat="false" ht="15" hidden="false" customHeight="false" outlineLevel="0" collapsed="false">
      <c r="A2307" s="4" t="str">
        <f aca="false">B2307&amp;"|"&amp;C2307</f>
        <v>tdbR00000574 Trp-CCA|61</v>
      </c>
      <c r="B2307" s="4" t="s">
        <v>68</v>
      </c>
      <c r="C2307" s="4" t="s">
        <v>484</v>
      </c>
      <c r="D2307" s="4" t="n">
        <v>60</v>
      </c>
      <c r="E2307" s="23" t="s">
        <v>414</v>
      </c>
      <c r="F2307" s="10" t="s">
        <v>471</v>
      </c>
    </row>
    <row r="2308" customFormat="false" ht="15" hidden="false" customHeight="false" outlineLevel="0" collapsed="false">
      <c r="A2308" s="4" t="str">
        <f aca="false">B2308&amp;"|"&amp;C2308</f>
        <v>tdbR00000574 Trp-CCA|62</v>
      </c>
      <c r="B2308" s="4" t="s">
        <v>68</v>
      </c>
      <c r="C2308" s="4" t="s">
        <v>485</v>
      </c>
      <c r="D2308" s="4" t="n">
        <v>61</v>
      </c>
      <c r="E2308" s="23" t="s">
        <v>414</v>
      </c>
      <c r="F2308" s="10" t="s">
        <v>471</v>
      </c>
    </row>
    <row r="2309" customFormat="false" ht="15" hidden="false" customHeight="false" outlineLevel="0" collapsed="false">
      <c r="A2309" s="4" t="str">
        <f aca="false">B2309&amp;"|"&amp;C2309</f>
        <v>tdbR00000574 Trp-CCA|63</v>
      </c>
      <c r="B2309" s="4" t="s">
        <v>68</v>
      </c>
      <c r="C2309" s="4" t="s">
        <v>486</v>
      </c>
      <c r="D2309" s="4" t="n">
        <v>62</v>
      </c>
      <c r="E2309" s="23" t="s">
        <v>259</v>
      </c>
      <c r="F2309" s="10" t="s">
        <v>471</v>
      </c>
    </row>
    <row r="2310" customFormat="false" ht="15" hidden="false" customHeight="false" outlineLevel="0" collapsed="false">
      <c r="A2310" s="4" t="str">
        <f aca="false">B2310&amp;"|"&amp;C2310</f>
        <v>tdbR00000574 Trp-CCA|64</v>
      </c>
      <c r="B2310" s="4" t="s">
        <v>68</v>
      </c>
      <c r="C2310" s="4" t="s">
        <v>487</v>
      </c>
      <c r="D2310" s="4" t="n">
        <v>63</v>
      </c>
      <c r="E2310" s="23" t="s">
        <v>197</v>
      </c>
      <c r="F2310" s="10" t="s">
        <v>471</v>
      </c>
    </row>
    <row r="2311" customFormat="false" ht="15" hidden="false" customHeight="false" outlineLevel="0" collapsed="false">
      <c r="A2311" s="4" t="str">
        <f aca="false">B2311&amp;"|"&amp;C2311</f>
        <v>tdbR00000574 Trp-CCA|65</v>
      </c>
      <c r="B2311" s="4" t="s">
        <v>68</v>
      </c>
      <c r="C2311" s="4" t="s">
        <v>488</v>
      </c>
      <c r="D2311" s="4" t="n">
        <v>64</v>
      </c>
      <c r="E2311" s="23" t="s">
        <v>414</v>
      </c>
      <c r="F2311" s="10" t="s">
        <v>471</v>
      </c>
    </row>
    <row r="2312" customFormat="false" ht="15" hidden="false" customHeight="false" outlineLevel="0" collapsed="false">
      <c r="A2312" s="4" t="str">
        <f aca="false">B2312&amp;"|"&amp;C2312</f>
        <v>tdbR00000574 Trp-CCA|66</v>
      </c>
      <c r="B2312" s="4" t="s">
        <v>68</v>
      </c>
      <c r="C2312" s="4" t="s">
        <v>489</v>
      </c>
      <c r="D2312" s="4" t="n">
        <v>65</v>
      </c>
      <c r="E2312" s="17" t="s">
        <v>246</v>
      </c>
      <c r="F2312" s="18" t="s">
        <v>412</v>
      </c>
    </row>
    <row r="2313" customFormat="false" ht="15" hidden="false" customHeight="false" outlineLevel="0" collapsed="false">
      <c r="A2313" s="4" t="str">
        <f aca="false">B2313&amp;"|"&amp;C2313</f>
        <v>tdbR00000574 Trp-CCA|67</v>
      </c>
      <c r="B2313" s="4" t="s">
        <v>68</v>
      </c>
      <c r="C2313" s="4" t="s">
        <v>490</v>
      </c>
      <c r="D2313" s="4" t="n">
        <v>66</v>
      </c>
      <c r="E2313" s="17" t="s">
        <v>197</v>
      </c>
      <c r="F2313" s="18" t="s">
        <v>412</v>
      </c>
    </row>
    <row r="2314" customFormat="false" ht="15" hidden="false" customHeight="false" outlineLevel="0" collapsed="false">
      <c r="A2314" s="4" t="str">
        <f aca="false">B2314&amp;"|"&amp;C2314</f>
        <v>tdbR00000574 Trp-CCA|68</v>
      </c>
      <c r="B2314" s="4" t="s">
        <v>68</v>
      </c>
      <c r="C2314" s="4" t="s">
        <v>491</v>
      </c>
      <c r="D2314" s="4" t="n">
        <v>67</v>
      </c>
      <c r="E2314" s="17" t="s">
        <v>414</v>
      </c>
      <c r="F2314" s="18" t="s">
        <v>412</v>
      </c>
    </row>
    <row r="2315" customFormat="false" ht="15" hidden="false" customHeight="false" outlineLevel="0" collapsed="false">
      <c r="A2315" s="4" t="str">
        <f aca="false">B2315&amp;"|"&amp;C2315</f>
        <v>tdbR00000574 Trp-CCA|69</v>
      </c>
      <c r="B2315" s="4" t="s">
        <v>68</v>
      </c>
      <c r="C2315" s="4" t="s">
        <v>492</v>
      </c>
      <c r="D2315" s="4" t="n">
        <v>68</v>
      </c>
      <c r="E2315" s="17" t="s">
        <v>259</v>
      </c>
      <c r="F2315" s="18" t="s">
        <v>412</v>
      </c>
    </row>
    <row r="2316" customFormat="false" ht="15" hidden="false" customHeight="false" outlineLevel="0" collapsed="false">
      <c r="A2316" s="4" t="str">
        <f aca="false">B2316&amp;"|"&amp;C2316</f>
        <v>tdbR00000574 Trp-CCA|70</v>
      </c>
      <c r="B2316" s="4" t="s">
        <v>68</v>
      </c>
      <c r="C2316" s="4" t="s">
        <v>493</v>
      </c>
      <c r="D2316" s="4" t="n">
        <v>69</v>
      </c>
      <c r="E2316" s="17" t="s">
        <v>414</v>
      </c>
      <c r="F2316" s="18" t="s">
        <v>412</v>
      </c>
    </row>
    <row r="2317" customFormat="false" ht="15" hidden="false" customHeight="false" outlineLevel="0" collapsed="false">
      <c r="A2317" s="4" t="str">
        <f aca="false">B2317&amp;"|"&amp;C2317</f>
        <v>tdbR00000574 Trp-CCA|71</v>
      </c>
      <c r="B2317" s="4" t="s">
        <v>68</v>
      </c>
      <c r="C2317" s="4" t="s">
        <v>494</v>
      </c>
      <c r="D2317" s="4" t="n">
        <v>70</v>
      </c>
      <c r="E2317" s="17" t="s">
        <v>259</v>
      </c>
      <c r="F2317" s="18" t="s">
        <v>412</v>
      </c>
    </row>
    <row r="2318" customFormat="false" ht="15" hidden="false" customHeight="false" outlineLevel="0" collapsed="false">
      <c r="A2318" s="4" t="str">
        <f aca="false">B2318&amp;"|"&amp;C2318</f>
        <v>tdbR00000574 Trp-CCA|72</v>
      </c>
      <c r="B2318" s="4" t="s">
        <v>68</v>
      </c>
      <c r="C2318" s="4" t="s">
        <v>495</v>
      </c>
      <c r="D2318" s="4" t="n">
        <v>71</v>
      </c>
      <c r="E2318" s="17" t="s">
        <v>414</v>
      </c>
      <c r="F2318" s="18" t="s">
        <v>412</v>
      </c>
    </row>
    <row r="2319" customFormat="false" ht="15" hidden="false" customHeight="false" outlineLevel="0" collapsed="false">
      <c r="A2319" s="4" t="str">
        <f aca="false">B2319&amp;"|"&amp;C2319</f>
        <v>tdbR00000204 Lys-CUU|1</v>
      </c>
      <c r="B2319" s="4" t="s">
        <v>69</v>
      </c>
      <c r="C2319" s="4" t="s">
        <v>411</v>
      </c>
      <c r="D2319" s="4" t="n">
        <v>1</v>
      </c>
      <c r="E2319" s="17" t="s">
        <v>259</v>
      </c>
      <c r="F2319" s="18" t="s">
        <v>412</v>
      </c>
    </row>
    <row r="2320" customFormat="false" ht="15" hidden="false" customHeight="false" outlineLevel="0" collapsed="false">
      <c r="A2320" s="4" t="str">
        <f aca="false">B2320&amp;"|"&amp;C2320</f>
        <v>tdbR00000204 Lys-CUU|2</v>
      </c>
      <c r="B2320" s="4" t="s">
        <v>69</v>
      </c>
      <c r="C2320" s="4" t="s">
        <v>413</v>
      </c>
      <c r="D2320" s="4" t="n">
        <v>2</v>
      </c>
      <c r="E2320" s="17" t="s">
        <v>414</v>
      </c>
      <c r="F2320" s="18" t="s">
        <v>412</v>
      </c>
    </row>
    <row r="2321" customFormat="false" ht="15" hidden="false" customHeight="false" outlineLevel="0" collapsed="false">
      <c r="A2321" s="4" t="str">
        <f aca="false">B2321&amp;"|"&amp;C2321</f>
        <v>tdbR00000204 Lys-CUU|3</v>
      </c>
      <c r="B2321" s="4" t="s">
        <v>69</v>
      </c>
      <c r="C2321" s="4" t="s">
        <v>415</v>
      </c>
      <c r="D2321" s="4" t="n">
        <v>3</v>
      </c>
      <c r="E2321" s="17" t="s">
        <v>414</v>
      </c>
      <c r="F2321" s="18" t="s">
        <v>412</v>
      </c>
    </row>
    <row r="2322" customFormat="false" ht="15" hidden="false" customHeight="false" outlineLevel="0" collapsed="false">
      <c r="A2322" s="4" t="str">
        <f aca="false">B2322&amp;"|"&amp;C2322</f>
        <v>tdbR00000204 Lys-CUU|4</v>
      </c>
      <c r="B2322" s="4" t="s">
        <v>69</v>
      </c>
      <c r="C2322" s="4" t="s">
        <v>416</v>
      </c>
      <c r="D2322" s="4" t="n">
        <v>4</v>
      </c>
      <c r="E2322" s="17" t="s">
        <v>414</v>
      </c>
      <c r="F2322" s="18" t="s">
        <v>412</v>
      </c>
    </row>
    <row r="2323" customFormat="false" ht="15" hidden="false" customHeight="false" outlineLevel="0" collapsed="false">
      <c r="A2323" s="4" t="str">
        <f aca="false">B2323&amp;"|"&amp;C2323</f>
        <v>tdbR00000204 Lys-CUU|5</v>
      </c>
      <c r="B2323" s="4" t="s">
        <v>69</v>
      </c>
      <c r="C2323" s="4" t="s">
        <v>417</v>
      </c>
      <c r="D2323" s="4" t="n">
        <v>5</v>
      </c>
      <c r="E2323" s="17" t="s">
        <v>197</v>
      </c>
      <c r="F2323" s="18" t="s">
        <v>412</v>
      </c>
    </row>
    <row r="2324" customFormat="false" ht="15" hidden="false" customHeight="false" outlineLevel="0" collapsed="false">
      <c r="A2324" s="4" t="str">
        <f aca="false">B2324&amp;"|"&amp;C2324</f>
        <v>tdbR00000204 Lys-CUU|6</v>
      </c>
      <c r="B2324" s="4" t="s">
        <v>69</v>
      </c>
      <c r="C2324" s="4" t="s">
        <v>418</v>
      </c>
      <c r="D2324" s="4" t="n">
        <v>6</v>
      </c>
      <c r="E2324" s="17" t="s">
        <v>197</v>
      </c>
      <c r="F2324" s="18" t="s">
        <v>412</v>
      </c>
    </row>
    <row r="2325" customFormat="false" ht="15" hidden="false" customHeight="false" outlineLevel="0" collapsed="false">
      <c r="A2325" s="4" t="str">
        <f aca="false">B2325&amp;"|"&amp;C2325</f>
        <v>tdbR00000204 Lys-CUU|7</v>
      </c>
      <c r="B2325" s="4" t="s">
        <v>69</v>
      </c>
      <c r="C2325" s="4" t="s">
        <v>419</v>
      </c>
      <c r="D2325" s="4" t="n">
        <v>7</v>
      </c>
      <c r="E2325" s="17" t="s">
        <v>414</v>
      </c>
      <c r="F2325" s="18" t="s">
        <v>412</v>
      </c>
    </row>
    <row r="2326" customFormat="false" ht="15" hidden="false" customHeight="false" outlineLevel="0" collapsed="false">
      <c r="A2326" s="4" t="str">
        <f aca="false">B2326&amp;"|"&amp;C2326</f>
        <v>tdbR00000204 Lys-CUU|8</v>
      </c>
      <c r="B2326" s="4" t="s">
        <v>69</v>
      </c>
      <c r="C2326" s="4" t="s">
        <v>420</v>
      </c>
      <c r="D2326" s="4" t="n">
        <v>8</v>
      </c>
      <c r="E2326" s="3" t="s">
        <v>259</v>
      </c>
      <c r="F2326" s="4" t="s">
        <v>421</v>
      </c>
    </row>
    <row r="2327" customFormat="false" ht="15" hidden="false" customHeight="false" outlineLevel="0" collapsed="false">
      <c r="A2327" s="4" t="str">
        <f aca="false">B2327&amp;"|"&amp;C2327</f>
        <v>tdbR00000204 Lys-CUU|9</v>
      </c>
      <c r="B2327" s="4" t="s">
        <v>69</v>
      </c>
      <c r="C2327" s="4" t="s">
        <v>422</v>
      </c>
      <c r="D2327" s="4" t="n">
        <v>9</v>
      </c>
      <c r="E2327" s="3" t="s">
        <v>246</v>
      </c>
      <c r="F2327" s="4" t="s">
        <v>423</v>
      </c>
    </row>
    <row r="2328" customFormat="false" ht="15" hidden="false" customHeight="false" outlineLevel="0" collapsed="false">
      <c r="A2328" s="4" t="str">
        <f aca="false">B2328&amp;"|"&amp;C2328</f>
        <v>tdbR00000204 Lys-CUU|10</v>
      </c>
      <c r="B2328" s="4" t="s">
        <v>69</v>
      </c>
      <c r="C2328" s="4" t="s">
        <v>424</v>
      </c>
      <c r="D2328" s="4" t="n">
        <v>10</v>
      </c>
      <c r="E2328" s="8" t="s">
        <v>197</v>
      </c>
      <c r="F2328" s="7" t="s">
        <v>425</v>
      </c>
    </row>
    <row r="2329" customFormat="false" ht="15" hidden="false" customHeight="false" outlineLevel="0" collapsed="false">
      <c r="A2329" s="4" t="str">
        <f aca="false">B2329&amp;"|"&amp;C2329</f>
        <v>tdbR00000204 Lys-CUU|11</v>
      </c>
      <c r="B2329" s="4" t="s">
        <v>69</v>
      </c>
      <c r="C2329" s="4" t="s">
        <v>426</v>
      </c>
      <c r="D2329" s="4" t="n">
        <v>11</v>
      </c>
      <c r="E2329" s="8" t="s">
        <v>414</v>
      </c>
      <c r="F2329" s="7" t="s">
        <v>425</v>
      </c>
    </row>
    <row r="2330" customFormat="false" ht="15" hidden="false" customHeight="false" outlineLevel="0" collapsed="false">
      <c r="A2330" s="4" t="str">
        <f aca="false">B2330&amp;"|"&amp;C2330</f>
        <v>tdbR00000204 Lys-CUU|12</v>
      </c>
      <c r="B2330" s="4" t="s">
        <v>69</v>
      </c>
      <c r="C2330" s="4" t="s">
        <v>427</v>
      </c>
      <c r="D2330" s="4" t="n">
        <v>12</v>
      </c>
      <c r="E2330" s="8" t="s">
        <v>259</v>
      </c>
      <c r="F2330" s="7" t="s">
        <v>425</v>
      </c>
    </row>
    <row r="2331" customFormat="false" ht="15" hidden="false" customHeight="false" outlineLevel="0" collapsed="false">
      <c r="A2331" s="4" t="str">
        <f aca="false">B2331&amp;"|"&amp;C2331</f>
        <v>tdbR00000204 Lys-CUU|13</v>
      </c>
      <c r="B2331" s="4" t="s">
        <v>69</v>
      </c>
      <c r="C2331" s="4" t="s">
        <v>428</v>
      </c>
      <c r="D2331" s="4" t="n">
        <v>13</v>
      </c>
      <c r="E2331" s="8" t="s">
        <v>414</v>
      </c>
      <c r="F2331" s="7" t="s">
        <v>425</v>
      </c>
    </row>
    <row r="2332" customFormat="false" ht="15" hidden="false" customHeight="false" outlineLevel="0" collapsed="false">
      <c r="A2332" s="4" t="str">
        <f aca="false">B2332&amp;"|"&amp;C2332</f>
        <v>tdbR00000204 Lys-CUU|14</v>
      </c>
      <c r="B2332" s="4" t="s">
        <v>69</v>
      </c>
      <c r="C2332" s="4" t="s">
        <v>429</v>
      </c>
      <c r="D2332" s="4" t="n">
        <v>14</v>
      </c>
      <c r="E2332" s="19" t="s">
        <v>246</v>
      </c>
      <c r="F2332" s="20" t="s">
        <v>430</v>
      </c>
    </row>
    <row r="2333" customFormat="false" ht="15" hidden="false" customHeight="false" outlineLevel="0" collapsed="false">
      <c r="A2333" s="4" t="str">
        <f aca="false">B2333&amp;"|"&amp;C2333</f>
        <v>tdbR00000204 Lys-CUU|15</v>
      </c>
      <c r="B2333" s="4" t="s">
        <v>69</v>
      </c>
      <c r="C2333" s="4" t="s">
        <v>431</v>
      </c>
      <c r="D2333" s="4" t="n">
        <v>15</v>
      </c>
      <c r="E2333" s="19" t="s">
        <v>197</v>
      </c>
      <c r="F2333" s="20" t="s">
        <v>430</v>
      </c>
    </row>
    <row r="2334" customFormat="false" ht="15" hidden="false" customHeight="false" outlineLevel="0" collapsed="false">
      <c r="A2334" s="4" t="str">
        <f aca="false">B2334&amp;"|"&amp;C2334</f>
        <v>tdbR00000204 Lys-CUU|16</v>
      </c>
      <c r="B2334" s="4" t="s">
        <v>69</v>
      </c>
      <c r="C2334" s="4" t="s">
        <v>432</v>
      </c>
      <c r="D2334" s="4" t="n">
        <v>16</v>
      </c>
      <c r="E2334" s="19" t="s">
        <v>259</v>
      </c>
      <c r="F2334" s="20" t="s">
        <v>430</v>
      </c>
    </row>
    <row r="2335" customFormat="false" ht="15" hidden="false" customHeight="false" outlineLevel="0" collapsed="false">
      <c r="A2335" s="4" t="str">
        <f aca="false">B2335&amp;"|"&amp;C2335</f>
        <v>tdbR00000204 Lys-CUU|17</v>
      </c>
      <c r="B2335" s="4" t="s">
        <v>69</v>
      </c>
      <c r="C2335" s="4" t="s">
        <v>433</v>
      </c>
      <c r="D2335" s="4" t="n">
        <v>17</v>
      </c>
      <c r="E2335" s="19" t="s">
        <v>414</v>
      </c>
      <c r="F2335" s="20" t="s">
        <v>430</v>
      </c>
    </row>
    <row r="2336" customFormat="false" ht="15" hidden="false" customHeight="false" outlineLevel="0" collapsed="false">
      <c r="A2336" s="4" t="str">
        <f aca="false">B2336&amp;"|"&amp;C2336</f>
        <v>tdbR00000204 Lys-CUU|18</v>
      </c>
      <c r="B2336" s="4" t="s">
        <v>69</v>
      </c>
      <c r="C2336" s="4" t="s">
        <v>434</v>
      </c>
      <c r="D2336" s="4" t="n">
        <v>18</v>
      </c>
      <c r="E2336" s="19" t="s">
        <v>197</v>
      </c>
      <c r="F2336" s="20" t="s">
        <v>430</v>
      </c>
    </row>
    <row r="2337" customFormat="false" ht="15" hidden="false" customHeight="false" outlineLevel="0" collapsed="false">
      <c r="A2337" s="4" t="str">
        <f aca="false">B2337&amp;"|"&amp;C2337</f>
        <v>tdbR00000204 Lys-CUU|19</v>
      </c>
      <c r="B2337" s="4" t="s">
        <v>69</v>
      </c>
      <c r="C2337" s="4" t="s">
        <v>435</v>
      </c>
      <c r="D2337" s="4" t="n">
        <v>19</v>
      </c>
      <c r="E2337" s="19" t="s">
        <v>197</v>
      </c>
      <c r="F2337" s="20" t="s">
        <v>430</v>
      </c>
    </row>
    <row r="2338" customFormat="false" ht="15" hidden="false" customHeight="false" outlineLevel="0" collapsed="false">
      <c r="A2338" s="4" t="str">
        <f aca="false">B2338&amp;"|"&amp;C2338</f>
        <v>tdbR00000204 Lys-CUU|20</v>
      </c>
      <c r="B2338" s="4" t="s">
        <v>69</v>
      </c>
      <c r="C2338" s="4" t="s">
        <v>436</v>
      </c>
      <c r="D2338" s="4" t="n">
        <v>20</v>
      </c>
      <c r="E2338" s="19" t="s">
        <v>259</v>
      </c>
      <c r="F2338" s="20" t="s">
        <v>430</v>
      </c>
    </row>
    <row r="2339" customFormat="false" ht="15" hidden="false" customHeight="false" outlineLevel="0" collapsed="false">
      <c r="A2339" s="4" t="str">
        <f aca="false">B2339&amp;"|"&amp;C2339</f>
        <v>tdbR00000204 Lys-CUU|21</v>
      </c>
      <c r="B2339" s="4" t="s">
        <v>69</v>
      </c>
      <c r="C2339" s="4" t="s">
        <v>438</v>
      </c>
      <c r="D2339" s="4" t="n">
        <v>21</v>
      </c>
      <c r="E2339" s="19" t="s">
        <v>246</v>
      </c>
      <c r="F2339" s="20" t="s">
        <v>430</v>
      </c>
    </row>
    <row r="2340" customFormat="false" ht="15" hidden="false" customHeight="false" outlineLevel="0" collapsed="false">
      <c r="A2340" s="4" t="str">
        <f aca="false">B2340&amp;"|"&amp;C2340</f>
        <v>tdbR00000204 Lys-CUU|22</v>
      </c>
      <c r="B2340" s="4" t="s">
        <v>69</v>
      </c>
      <c r="C2340" s="4" t="s">
        <v>439</v>
      </c>
      <c r="D2340" s="4" t="n">
        <v>22</v>
      </c>
      <c r="E2340" s="8" t="s">
        <v>197</v>
      </c>
      <c r="F2340" s="7" t="s">
        <v>425</v>
      </c>
    </row>
    <row r="2341" customFormat="false" ht="15" hidden="false" customHeight="false" outlineLevel="0" collapsed="false">
      <c r="A2341" s="4" t="str">
        <f aca="false">B2341&amp;"|"&amp;C2341</f>
        <v>tdbR00000204 Lys-CUU|23</v>
      </c>
      <c r="B2341" s="4" t="s">
        <v>69</v>
      </c>
      <c r="C2341" s="4" t="s">
        <v>440</v>
      </c>
      <c r="D2341" s="4" t="n">
        <v>23</v>
      </c>
      <c r="E2341" s="8" t="s">
        <v>246</v>
      </c>
      <c r="F2341" s="7" t="s">
        <v>425</v>
      </c>
    </row>
    <row r="2342" customFormat="false" ht="15" hidden="false" customHeight="false" outlineLevel="0" collapsed="false">
      <c r="A2342" s="4" t="str">
        <f aca="false">B2342&amp;"|"&amp;C2342</f>
        <v>tdbR00000204 Lys-CUU|24</v>
      </c>
      <c r="B2342" s="4" t="s">
        <v>69</v>
      </c>
      <c r="C2342" s="4" t="s">
        <v>441</v>
      </c>
      <c r="D2342" s="4" t="n">
        <v>24</v>
      </c>
      <c r="E2342" s="8" t="s">
        <v>197</v>
      </c>
      <c r="F2342" s="7" t="s">
        <v>425</v>
      </c>
    </row>
    <row r="2343" customFormat="false" ht="15" hidden="false" customHeight="false" outlineLevel="0" collapsed="false">
      <c r="A2343" s="4" t="str">
        <f aca="false">B2343&amp;"|"&amp;C2343</f>
        <v>tdbR00000204 Lys-CUU|25</v>
      </c>
      <c r="B2343" s="4" t="s">
        <v>69</v>
      </c>
      <c r="C2343" s="4" t="s">
        <v>442</v>
      </c>
      <c r="D2343" s="4" t="n">
        <v>25</v>
      </c>
      <c r="E2343" s="8" t="s">
        <v>414</v>
      </c>
      <c r="F2343" s="7" t="s">
        <v>425</v>
      </c>
    </row>
    <row r="2344" customFormat="false" ht="15" hidden="false" customHeight="false" outlineLevel="0" collapsed="false">
      <c r="A2344" s="4" t="str">
        <f aca="false">B2344&amp;"|"&amp;C2344</f>
        <v>tdbR00000204 Lys-CUU|26</v>
      </c>
      <c r="B2344" s="4" t="s">
        <v>69</v>
      </c>
      <c r="C2344" s="4" t="s">
        <v>443</v>
      </c>
      <c r="D2344" s="4" t="n">
        <v>26</v>
      </c>
      <c r="E2344" s="3" t="s">
        <v>246</v>
      </c>
      <c r="F2344" s="4" t="s">
        <v>444</v>
      </c>
    </row>
    <row r="2345" customFormat="false" ht="15" hidden="false" customHeight="false" outlineLevel="0" collapsed="false">
      <c r="A2345" s="4" t="str">
        <f aca="false">B2345&amp;"|"&amp;C2345</f>
        <v>tdbR00000204 Lys-CUU|27</v>
      </c>
      <c r="B2345" s="4" t="s">
        <v>69</v>
      </c>
      <c r="C2345" s="4" t="s">
        <v>445</v>
      </c>
      <c r="D2345" s="4" t="n">
        <v>27</v>
      </c>
      <c r="E2345" s="21" t="s">
        <v>414</v>
      </c>
      <c r="F2345" s="22" t="s">
        <v>446</v>
      </c>
    </row>
    <row r="2346" customFormat="false" ht="15" hidden="false" customHeight="false" outlineLevel="0" collapsed="false">
      <c r="A2346" s="4" t="str">
        <f aca="false">B2346&amp;"|"&amp;C2346</f>
        <v>tdbR00000204 Lys-CUU|28</v>
      </c>
      <c r="B2346" s="4" t="s">
        <v>69</v>
      </c>
      <c r="C2346" s="4" t="s">
        <v>447</v>
      </c>
      <c r="D2346" s="4" t="n">
        <v>28</v>
      </c>
      <c r="E2346" s="21" t="s">
        <v>197</v>
      </c>
      <c r="F2346" s="22" t="s">
        <v>446</v>
      </c>
    </row>
    <row r="2347" customFormat="false" ht="15" hidden="false" customHeight="false" outlineLevel="0" collapsed="false">
      <c r="A2347" s="4" t="str">
        <f aca="false">B2347&amp;"|"&amp;C2347</f>
        <v>tdbR00000204 Lys-CUU|29</v>
      </c>
      <c r="B2347" s="4" t="s">
        <v>69</v>
      </c>
      <c r="C2347" s="4" t="s">
        <v>448</v>
      </c>
      <c r="D2347" s="4" t="n">
        <v>29</v>
      </c>
      <c r="E2347" s="21" t="s">
        <v>246</v>
      </c>
      <c r="F2347" s="22" t="s">
        <v>446</v>
      </c>
    </row>
    <row r="2348" customFormat="false" ht="15" hidden="false" customHeight="false" outlineLevel="0" collapsed="false">
      <c r="A2348" s="4" t="str">
        <f aca="false">B2348&amp;"|"&amp;C2348</f>
        <v>tdbR00000204 Lys-CUU|30</v>
      </c>
      <c r="B2348" s="4" t="s">
        <v>69</v>
      </c>
      <c r="C2348" s="4" t="s">
        <v>449</v>
      </c>
      <c r="D2348" s="4" t="n">
        <v>30</v>
      </c>
      <c r="E2348" s="21" t="s">
        <v>197</v>
      </c>
      <c r="F2348" s="22" t="s">
        <v>446</v>
      </c>
    </row>
    <row r="2349" customFormat="false" ht="15" hidden="false" customHeight="false" outlineLevel="0" collapsed="false">
      <c r="A2349" s="4" t="str">
        <f aca="false">B2349&amp;"|"&amp;C2349</f>
        <v>tdbR00000204 Lys-CUU|31</v>
      </c>
      <c r="B2349" s="4" t="s">
        <v>69</v>
      </c>
      <c r="C2349" s="4" t="s">
        <v>450</v>
      </c>
      <c r="D2349" s="4" t="n">
        <v>31</v>
      </c>
      <c r="E2349" s="21" t="s">
        <v>246</v>
      </c>
      <c r="F2349" s="22" t="s">
        <v>446</v>
      </c>
    </row>
    <row r="2350" customFormat="false" ht="15" hidden="false" customHeight="false" outlineLevel="0" collapsed="false">
      <c r="A2350" s="4" t="str">
        <f aca="false">B2350&amp;"|"&amp;C2350</f>
        <v>tdbR00000204 Lys-CUU|32</v>
      </c>
      <c r="B2350" s="4" t="s">
        <v>69</v>
      </c>
      <c r="C2350" s="4" t="s">
        <v>451</v>
      </c>
      <c r="D2350" s="4" t="n">
        <v>32</v>
      </c>
      <c r="E2350" s="19" t="s">
        <v>259</v>
      </c>
      <c r="F2350" s="20" t="s">
        <v>452</v>
      </c>
    </row>
    <row r="2351" customFormat="false" ht="15" hidden="false" customHeight="false" outlineLevel="0" collapsed="false">
      <c r="A2351" s="4" t="str">
        <f aca="false">B2351&amp;"|"&amp;C2351</f>
        <v>tdbR00000204 Lys-CUU|33</v>
      </c>
      <c r="B2351" s="4" t="s">
        <v>69</v>
      </c>
      <c r="C2351" s="4" t="s">
        <v>453</v>
      </c>
      <c r="D2351" s="4" t="n">
        <v>33</v>
      </c>
      <c r="E2351" s="19" t="s">
        <v>259</v>
      </c>
      <c r="F2351" s="20" t="s">
        <v>452</v>
      </c>
    </row>
    <row r="2352" customFormat="false" ht="15" hidden="false" customHeight="false" outlineLevel="0" collapsed="false">
      <c r="A2352" s="4" t="str">
        <f aca="false">B2352&amp;"|"&amp;C2352</f>
        <v>tdbR00000204 Lys-CUU|34</v>
      </c>
      <c r="B2352" s="4" t="s">
        <v>69</v>
      </c>
      <c r="C2352" s="4" t="s">
        <v>454</v>
      </c>
      <c r="D2352" s="4" t="n">
        <v>34</v>
      </c>
      <c r="E2352" s="19" t="s">
        <v>414</v>
      </c>
      <c r="F2352" s="20" t="s">
        <v>452</v>
      </c>
    </row>
    <row r="2353" customFormat="false" ht="15" hidden="false" customHeight="false" outlineLevel="0" collapsed="false">
      <c r="A2353" s="4" t="str">
        <f aca="false">B2353&amp;"|"&amp;C2353</f>
        <v>tdbR00000204 Lys-CUU|35</v>
      </c>
      <c r="B2353" s="4" t="s">
        <v>69</v>
      </c>
      <c r="C2353" s="4" t="s">
        <v>455</v>
      </c>
      <c r="D2353" s="4" t="n">
        <v>35</v>
      </c>
      <c r="E2353" s="19" t="s">
        <v>259</v>
      </c>
      <c r="F2353" s="20" t="s">
        <v>452</v>
      </c>
    </row>
    <row r="2354" customFormat="false" ht="15" hidden="false" customHeight="false" outlineLevel="0" collapsed="false">
      <c r="A2354" s="4" t="str">
        <f aca="false">B2354&amp;"|"&amp;C2354</f>
        <v>tdbR00000204 Lys-CUU|36</v>
      </c>
      <c r="B2354" s="4" t="s">
        <v>69</v>
      </c>
      <c r="C2354" s="4" t="s">
        <v>456</v>
      </c>
      <c r="D2354" s="4" t="n">
        <v>36</v>
      </c>
      <c r="E2354" s="19" t="s">
        <v>259</v>
      </c>
      <c r="F2354" s="20" t="s">
        <v>452</v>
      </c>
    </row>
    <row r="2355" customFormat="false" ht="15" hidden="false" customHeight="false" outlineLevel="0" collapsed="false">
      <c r="A2355" s="4" t="str">
        <f aca="false">B2355&amp;"|"&amp;C2355</f>
        <v>tdbR00000204 Lys-CUU|37</v>
      </c>
      <c r="B2355" s="4" t="s">
        <v>69</v>
      </c>
      <c r="C2355" s="4" t="s">
        <v>457</v>
      </c>
      <c r="D2355" s="4" t="n">
        <v>37</v>
      </c>
      <c r="E2355" s="19" t="s">
        <v>246</v>
      </c>
      <c r="F2355" s="20" t="s">
        <v>452</v>
      </c>
    </row>
    <row r="2356" customFormat="false" ht="15" hidden="false" customHeight="false" outlineLevel="0" collapsed="false">
      <c r="A2356" s="4" t="str">
        <f aca="false">B2356&amp;"|"&amp;C2356</f>
        <v>tdbR00000204 Lys-CUU|38</v>
      </c>
      <c r="B2356" s="4" t="s">
        <v>69</v>
      </c>
      <c r="C2356" s="4" t="s">
        <v>458</v>
      </c>
      <c r="D2356" s="4" t="n">
        <v>38</v>
      </c>
      <c r="E2356" s="19" t="s">
        <v>246</v>
      </c>
      <c r="F2356" s="20" t="s">
        <v>452</v>
      </c>
    </row>
    <row r="2357" customFormat="false" ht="15" hidden="false" customHeight="false" outlineLevel="0" collapsed="false">
      <c r="A2357" s="4" t="str">
        <f aca="false">B2357&amp;"|"&amp;C2357</f>
        <v>tdbR00000204 Lys-CUU|39</v>
      </c>
      <c r="B2357" s="4" t="s">
        <v>69</v>
      </c>
      <c r="C2357" s="4" t="s">
        <v>459</v>
      </c>
      <c r="D2357" s="4" t="n">
        <v>39</v>
      </c>
      <c r="E2357" s="21" t="s">
        <v>259</v>
      </c>
      <c r="F2357" s="22" t="s">
        <v>446</v>
      </c>
    </row>
    <row r="2358" customFormat="false" ht="15" hidden="false" customHeight="false" outlineLevel="0" collapsed="false">
      <c r="A2358" s="4" t="str">
        <f aca="false">B2358&amp;"|"&amp;C2358</f>
        <v>tdbR00000204 Lys-CUU|40</v>
      </c>
      <c r="B2358" s="4" t="s">
        <v>69</v>
      </c>
      <c r="C2358" s="4" t="s">
        <v>460</v>
      </c>
      <c r="D2358" s="4" t="n">
        <v>40</v>
      </c>
      <c r="E2358" s="21" t="s">
        <v>414</v>
      </c>
      <c r="F2358" s="22" t="s">
        <v>446</v>
      </c>
    </row>
    <row r="2359" customFormat="false" ht="15" hidden="false" customHeight="false" outlineLevel="0" collapsed="false">
      <c r="A2359" s="4" t="str">
        <f aca="false">B2359&amp;"|"&amp;C2359</f>
        <v>tdbR00000204 Lys-CUU|41</v>
      </c>
      <c r="B2359" s="4" t="s">
        <v>69</v>
      </c>
      <c r="C2359" s="4" t="s">
        <v>461</v>
      </c>
      <c r="D2359" s="4" t="n">
        <v>41</v>
      </c>
      <c r="E2359" s="21" t="s">
        <v>259</v>
      </c>
      <c r="F2359" s="22" t="s">
        <v>446</v>
      </c>
    </row>
    <row r="2360" customFormat="false" ht="15" hidden="false" customHeight="false" outlineLevel="0" collapsed="false">
      <c r="A2360" s="4" t="str">
        <f aca="false">B2360&amp;"|"&amp;C2360</f>
        <v>tdbR00000204 Lys-CUU|42</v>
      </c>
      <c r="B2360" s="4" t="s">
        <v>69</v>
      </c>
      <c r="C2360" s="4" t="s">
        <v>462</v>
      </c>
      <c r="D2360" s="4" t="n">
        <v>42</v>
      </c>
      <c r="E2360" s="21" t="s">
        <v>414</v>
      </c>
      <c r="F2360" s="22" t="s">
        <v>446</v>
      </c>
    </row>
    <row r="2361" customFormat="false" ht="15" hidden="false" customHeight="false" outlineLevel="0" collapsed="false">
      <c r="A2361" s="4" t="str">
        <f aca="false">B2361&amp;"|"&amp;C2361</f>
        <v>tdbR00000204 Lys-CUU|43</v>
      </c>
      <c r="B2361" s="4" t="s">
        <v>69</v>
      </c>
      <c r="C2361" s="4" t="s">
        <v>463</v>
      </c>
      <c r="D2361" s="4" t="n">
        <v>43</v>
      </c>
      <c r="E2361" s="21" t="s">
        <v>197</v>
      </c>
      <c r="F2361" s="22" t="s">
        <v>446</v>
      </c>
    </row>
    <row r="2362" customFormat="false" ht="15" hidden="false" customHeight="false" outlineLevel="0" collapsed="false">
      <c r="A2362" s="4" t="str">
        <f aca="false">B2362&amp;"|"&amp;C2362</f>
        <v>tdbR00000204 Lys-CUU|44</v>
      </c>
      <c r="B2362" s="4" t="s">
        <v>69</v>
      </c>
      <c r="C2362" s="4" t="s">
        <v>464</v>
      </c>
      <c r="D2362" s="4" t="n">
        <v>44</v>
      </c>
      <c r="E2362" s="19" t="s">
        <v>197</v>
      </c>
      <c r="F2362" s="20" t="s">
        <v>465</v>
      </c>
    </row>
    <row r="2363" customFormat="false" ht="15" hidden="false" customHeight="false" outlineLevel="0" collapsed="false">
      <c r="A2363" s="4" t="str">
        <f aca="false">B2363&amp;"|"&amp;C2363</f>
        <v>tdbR00000204 Lys-CUU|45</v>
      </c>
      <c r="B2363" s="4" t="s">
        <v>69</v>
      </c>
      <c r="C2363" s="4" t="s">
        <v>466</v>
      </c>
      <c r="D2363" s="4" t="n">
        <v>45</v>
      </c>
      <c r="E2363" s="19" t="s">
        <v>197</v>
      </c>
      <c r="F2363" s="20" t="s">
        <v>465</v>
      </c>
    </row>
    <row r="2364" customFormat="false" ht="15" hidden="false" customHeight="false" outlineLevel="0" collapsed="false">
      <c r="A2364" s="4" t="str">
        <f aca="false">B2364&amp;"|"&amp;C2364</f>
        <v>tdbR00000204 Lys-CUU|46</v>
      </c>
      <c r="B2364" s="4" t="s">
        <v>69</v>
      </c>
      <c r="C2364" s="4" t="s">
        <v>467</v>
      </c>
      <c r="D2364" s="4" t="n">
        <v>46</v>
      </c>
      <c r="E2364" s="19" t="s">
        <v>197</v>
      </c>
      <c r="F2364" s="20" t="s">
        <v>465</v>
      </c>
    </row>
    <row r="2365" customFormat="false" ht="15" hidden="false" customHeight="false" outlineLevel="0" collapsed="false">
      <c r="A2365" s="4" t="str">
        <f aca="false">B2365&amp;"|"&amp;C2365</f>
        <v>tdbR00000204 Lys-CUU|47</v>
      </c>
      <c r="B2365" s="4" t="s">
        <v>69</v>
      </c>
      <c r="C2365" s="4" t="s">
        <v>468</v>
      </c>
      <c r="D2365" s="4" t="n">
        <v>47</v>
      </c>
      <c r="E2365" s="19" t="s">
        <v>259</v>
      </c>
      <c r="F2365" s="20" t="s">
        <v>465</v>
      </c>
    </row>
    <row r="2366" customFormat="false" ht="15" hidden="false" customHeight="false" outlineLevel="0" collapsed="false">
      <c r="A2366" s="4" t="str">
        <f aca="false">B2366&amp;"|"&amp;C2366</f>
        <v>tdbR00000204 Lys-CUU|48</v>
      </c>
      <c r="B2366" s="4" t="s">
        <v>69</v>
      </c>
      <c r="C2366" s="4" t="s">
        <v>469</v>
      </c>
      <c r="D2366" s="4" t="n">
        <v>48</v>
      </c>
      <c r="E2366" s="19" t="s">
        <v>414</v>
      </c>
      <c r="F2366" s="20" t="s">
        <v>465</v>
      </c>
    </row>
    <row r="2367" customFormat="false" ht="15" hidden="false" customHeight="false" outlineLevel="0" collapsed="false">
      <c r="A2367" s="4" t="str">
        <f aca="false">B2367&amp;"|"&amp;C2367</f>
        <v>tdbR00000204 Lys-CUU|49</v>
      </c>
      <c r="B2367" s="4" t="s">
        <v>69</v>
      </c>
      <c r="C2367" s="4" t="s">
        <v>470</v>
      </c>
      <c r="D2367" s="4" t="n">
        <v>49</v>
      </c>
      <c r="E2367" s="23" t="s">
        <v>197</v>
      </c>
      <c r="F2367" s="10" t="s">
        <v>471</v>
      </c>
    </row>
    <row r="2368" customFormat="false" ht="15" hidden="false" customHeight="false" outlineLevel="0" collapsed="false">
      <c r="A2368" s="4" t="str">
        <f aca="false">B2368&amp;"|"&amp;C2368</f>
        <v>tdbR00000204 Lys-CUU|50</v>
      </c>
      <c r="B2368" s="4" t="s">
        <v>69</v>
      </c>
      <c r="C2368" s="4" t="s">
        <v>472</v>
      </c>
      <c r="D2368" s="4" t="n">
        <v>50</v>
      </c>
      <c r="E2368" s="23" t="s">
        <v>259</v>
      </c>
      <c r="F2368" s="10" t="s">
        <v>471</v>
      </c>
    </row>
    <row r="2369" customFormat="false" ht="15" hidden="false" customHeight="false" outlineLevel="0" collapsed="false">
      <c r="A2369" s="4" t="str">
        <f aca="false">B2369&amp;"|"&amp;C2369</f>
        <v>tdbR00000204 Lys-CUU|51</v>
      </c>
      <c r="B2369" s="4" t="s">
        <v>69</v>
      </c>
      <c r="C2369" s="4" t="s">
        <v>473</v>
      </c>
      <c r="D2369" s="4" t="n">
        <v>51</v>
      </c>
      <c r="E2369" s="23" t="s">
        <v>197</v>
      </c>
      <c r="F2369" s="10" t="s">
        <v>471</v>
      </c>
    </row>
    <row r="2370" customFormat="false" ht="15" hidden="false" customHeight="false" outlineLevel="0" collapsed="false">
      <c r="A2370" s="4" t="str">
        <f aca="false">B2370&amp;"|"&amp;C2370</f>
        <v>tdbR00000204 Lys-CUU|52</v>
      </c>
      <c r="B2370" s="4" t="s">
        <v>69</v>
      </c>
      <c r="C2370" s="4" t="s">
        <v>474</v>
      </c>
      <c r="D2370" s="4" t="n">
        <v>52</v>
      </c>
      <c r="E2370" s="23" t="s">
        <v>197</v>
      </c>
      <c r="F2370" s="10" t="s">
        <v>471</v>
      </c>
    </row>
    <row r="2371" customFormat="false" ht="15" hidden="false" customHeight="false" outlineLevel="0" collapsed="false">
      <c r="A2371" s="4" t="str">
        <f aca="false">B2371&amp;"|"&amp;C2371</f>
        <v>tdbR00000204 Lys-CUU|53</v>
      </c>
      <c r="B2371" s="4" t="s">
        <v>69</v>
      </c>
      <c r="C2371" s="4" t="s">
        <v>475</v>
      </c>
      <c r="D2371" s="4" t="n">
        <v>53</v>
      </c>
      <c r="E2371" s="23" t="s">
        <v>197</v>
      </c>
      <c r="F2371" s="10" t="s">
        <v>471</v>
      </c>
    </row>
    <row r="2372" customFormat="false" ht="15" hidden="false" customHeight="false" outlineLevel="0" collapsed="false">
      <c r="A2372" s="4" t="str">
        <f aca="false">B2372&amp;"|"&amp;C2372</f>
        <v>tdbR00000204 Lys-CUU|54</v>
      </c>
      <c r="B2372" s="4" t="s">
        <v>69</v>
      </c>
      <c r="C2372" s="4" t="s">
        <v>476</v>
      </c>
      <c r="D2372" s="4" t="n">
        <v>54</v>
      </c>
      <c r="E2372" s="19" t="s">
        <v>259</v>
      </c>
      <c r="F2372" s="20" t="s">
        <v>477</v>
      </c>
    </row>
    <row r="2373" customFormat="false" ht="15" hidden="false" customHeight="false" outlineLevel="0" collapsed="false">
      <c r="A2373" s="4" t="str">
        <f aca="false">B2373&amp;"|"&amp;C2373</f>
        <v>tdbR00000204 Lys-CUU|55</v>
      </c>
      <c r="B2373" s="4" t="s">
        <v>69</v>
      </c>
      <c r="C2373" s="4" t="s">
        <v>478</v>
      </c>
      <c r="D2373" s="4" t="n">
        <v>55</v>
      </c>
      <c r="E2373" s="19" t="s">
        <v>259</v>
      </c>
      <c r="F2373" s="20" t="s">
        <v>477</v>
      </c>
    </row>
    <row r="2374" customFormat="false" ht="15" hidden="false" customHeight="false" outlineLevel="0" collapsed="false">
      <c r="A2374" s="4" t="str">
        <f aca="false">B2374&amp;"|"&amp;C2374</f>
        <v>tdbR00000204 Lys-CUU|56</v>
      </c>
      <c r="B2374" s="4" t="s">
        <v>69</v>
      </c>
      <c r="C2374" s="4" t="s">
        <v>479</v>
      </c>
      <c r="D2374" s="4" t="n">
        <v>56</v>
      </c>
      <c r="E2374" s="19" t="s">
        <v>414</v>
      </c>
      <c r="F2374" s="20" t="s">
        <v>477</v>
      </c>
    </row>
    <row r="2375" customFormat="false" ht="15" hidden="false" customHeight="false" outlineLevel="0" collapsed="false">
      <c r="A2375" s="4" t="str">
        <f aca="false">B2375&amp;"|"&amp;C2375</f>
        <v>tdbR00000204 Lys-CUU|57</v>
      </c>
      <c r="B2375" s="4" t="s">
        <v>69</v>
      </c>
      <c r="C2375" s="4" t="s">
        <v>480</v>
      </c>
      <c r="D2375" s="4" t="n">
        <v>57</v>
      </c>
      <c r="E2375" s="19" t="s">
        <v>197</v>
      </c>
      <c r="F2375" s="20" t="s">
        <v>477</v>
      </c>
    </row>
    <row r="2376" customFormat="false" ht="15" hidden="false" customHeight="false" outlineLevel="0" collapsed="false">
      <c r="A2376" s="4" t="str">
        <f aca="false">B2376&amp;"|"&amp;C2376</f>
        <v>tdbR00000204 Lys-CUU|58</v>
      </c>
      <c r="B2376" s="4" t="s">
        <v>69</v>
      </c>
      <c r="C2376" s="4" t="s">
        <v>481</v>
      </c>
      <c r="D2376" s="4" t="n">
        <v>58</v>
      </c>
      <c r="E2376" s="19" t="s">
        <v>246</v>
      </c>
      <c r="F2376" s="20" t="s">
        <v>477</v>
      </c>
    </row>
    <row r="2377" customFormat="false" ht="15" hidden="false" customHeight="false" outlineLevel="0" collapsed="false">
      <c r="A2377" s="4" t="str">
        <f aca="false">B2377&amp;"|"&amp;C2377</f>
        <v>tdbR00000204 Lys-CUU|59</v>
      </c>
      <c r="B2377" s="4" t="s">
        <v>69</v>
      </c>
      <c r="C2377" s="4" t="s">
        <v>482</v>
      </c>
      <c r="D2377" s="4" t="n">
        <v>59</v>
      </c>
      <c r="E2377" s="19" t="s">
        <v>197</v>
      </c>
      <c r="F2377" s="20" t="s">
        <v>477</v>
      </c>
    </row>
    <row r="2378" customFormat="false" ht="15" hidden="false" customHeight="false" outlineLevel="0" collapsed="false">
      <c r="A2378" s="4" t="str">
        <f aca="false">B2378&amp;"|"&amp;C2378</f>
        <v>tdbR00000204 Lys-CUU|60</v>
      </c>
      <c r="B2378" s="4" t="s">
        <v>69</v>
      </c>
      <c r="C2378" s="4" t="s">
        <v>483</v>
      </c>
      <c r="D2378" s="4" t="n">
        <v>60</v>
      </c>
      <c r="E2378" s="19" t="s">
        <v>414</v>
      </c>
      <c r="F2378" s="20" t="s">
        <v>477</v>
      </c>
    </row>
    <row r="2379" customFormat="false" ht="15" hidden="false" customHeight="false" outlineLevel="0" collapsed="false">
      <c r="A2379" s="4" t="str">
        <f aca="false">B2379&amp;"|"&amp;C2379</f>
        <v>tdbR00000204 Lys-CUU|61</v>
      </c>
      <c r="B2379" s="4" t="s">
        <v>69</v>
      </c>
      <c r="C2379" s="4" t="s">
        <v>484</v>
      </c>
      <c r="D2379" s="4" t="n">
        <v>61</v>
      </c>
      <c r="E2379" s="23" t="s">
        <v>414</v>
      </c>
      <c r="F2379" s="10" t="s">
        <v>471</v>
      </c>
    </row>
    <row r="2380" customFormat="false" ht="15" hidden="false" customHeight="false" outlineLevel="0" collapsed="false">
      <c r="A2380" s="4" t="str">
        <f aca="false">B2380&amp;"|"&amp;C2380</f>
        <v>tdbR00000204 Lys-CUU|62</v>
      </c>
      <c r="B2380" s="4" t="s">
        <v>69</v>
      </c>
      <c r="C2380" s="4" t="s">
        <v>485</v>
      </c>
      <c r="D2380" s="4" t="n">
        <v>62</v>
      </c>
      <c r="E2380" s="23" t="s">
        <v>414</v>
      </c>
      <c r="F2380" s="10" t="s">
        <v>471</v>
      </c>
    </row>
    <row r="2381" customFormat="false" ht="15" hidden="false" customHeight="false" outlineLevel="0" collapsed="false">
      <c r="A2381" s="4" t="str">
        <f aca="false">B2381&amp;"|"&amp;C2381</f>
        <v>tdbR00000204 Lys-CUU|63</v>
      </c>
      <c r="B2381" s="4" t="s">
        <v>69</v>
      </c>
      <c r="C2381" s="4" t="s">
        <v>486</v>
      </c>
      <c r="D2381" s="4" t="n">
        <v>63</v>
      </c>
      <c r="E2381" s="23" t="s">
        <v>414</v>
      </c>
      <c r="F2381" s="10" t="s">
        <v>471</v>
      </c>
    </row>
    <row r="2382" customFormat="false" ht="15" hidden="false" customHeight="false" outlineLevel="0" collapsed="false">
      <c r="A2382" s="4" t="str">
        <f aca="false">B2382&amp;"|"&amp;C2382</f>
        <v>tdbR00000204 Lys-CUU|64</v>
      </c>
      <c r="B2382" s="4" t="s">
        <v>69</v>
      </c>
      <c r="C2382" s="4" t="s">
        <v>487</v>
      </c>
      <c r="D2382" s="4" t="n">
        <v>64</v>
      </c>
      <c r="E2382" s="23" t="s">
        <v>246</v>
      </c>
      <c r="F2382" s="10" t="s">
        <v>471</v>
      </c>
    </row>
    <row r="2383" customFormat="false" ht="15" hidden="false" customHeight="false" outlineLevel="0" collapsed="false">
      <c r="A2383" s="4" t="str">
        <f aca="false">B2383&amp;"|"&amp;C2383</f>
        <v>tdbR00000204 Lys-CUU|65</v>
      </c>
      <c r="B2383" s="4" t="s">
        <v>69</v>
      </c>
      <c r="C2383" s="4" t="s">
        <v>488</v>
      </c>
      <c r="D2383" s="4" t="n">
        <v>65</v>
      </c>
      <c r="E2383" s="23" t="s">
        <v>414</v>
      </c>
      <c r="F2383" s="10" t="s">
        <v>471</v>
      </c>
    </row>
    <row r="2384" customFormat="false" ht="15" hidden="false" customHeight="false" outlineLevel="0" collapsed="false">
      <c r="A2384" s="4" t="str">
        <f aca="false">B2384&amp;"|"&amp;C2384</f>
        <v>tdbR00000204 Lys-CUU|66</v>
      </c>
      <c r="B2384" s="4" t="s">
        <v>69</v>
      </c>
      <c r="C2384" s="4" t="s">
        <v>489</v>
      </c>
      <c r="D2384" s="4" t="n">
        <v>66</v>
      </c>
      <c r="E2384" s="17" t="s">
        <v>197</v>
      </c>
      <c r="F2384" s="18" t="s">
        <v>412</v>
      </c>
    </row>
    <row r="2385" customFormat="false" ht="15" hidden="false" customHeight="false" outlineLevel="0" collapsed="false">
      <c r="A2385" s="4" t="str">
        <f aca="false">B2385&amp;"|"&amp;C2385</f>
        <v>tdbR00000204 Lys-CUU|67</v>
      </c>
      <c r="B2385" s="4" t="s">
        <v>69</v>
      </c>
      <c r="C2385" s="4" t="s">
        <v>490</v>
      </c>
      <c r="D2385" s="4" t="n">
        <v>67</v>
      </c>
      <c r="E2385" s="17" t="s">
        <v>259</v>
      </c>
      <c r="F2385" s="18" t="s">
        <v>412</v>
      </c>
    </row>
    <row r="2386" customFormat="false" ht="15" hidden="false" customHeight="false" outlineLevel="0" collapsed="false">
      <c r="A2386" s="4" t="str">
        <f aca="false">B2386&amp;"|"&amp;C2386</f>
        <v>tdbR00000204 Lys-CUU|68</v>
      </c>
      <c r="B2386" s="4" t="s">
        <v>69</v>
      </c>
      <c r="C2386" s="4" t="s">
        <v>491</v>
      </c>
      <c r="D2386" s="4" t="n">
        <v>68</v>
      </c>
      <c r="E2386" s="17" t="s">
        <v>259</v>
      </c>
      <c r="F2386" s="18" t="s">
        <v>412</v>
      </c>
    </row>
    <row r="2387" customFormat="false" ht="15" hidden="false" customHeight="false" outlineLevel="0" collapsed="false">
      <c r="A2387" s="4" t="str">
        <f aca="false">B2387&amp;"|"&amp;C2387</f>
        <v>tdbR00000204 Lys-CUU|69</v>
      </c>
      <c r="B2387" s="4" t="s">
        <v>69</v>
      </c>
      <c r="C2387" s="4" t="s">
        <v>492</v>
      </c>
      <c r="D2387" s="4" t="n">
        <v>69</v>
      </c>
      <c r="E2387" s="17" t="s">
        <v>197</v>
      </c>
      <c r="F2387" s="18" t="s">
        <v>412</v>
      </c>
    </row>
    <row r="2388" customFormat="false" ht="15" hidden="false" customHeight="false" outlineLevel="0" collapsed="false">
      <c r="A2388" s="4" t="str">
        <f aca="false">B2388&amp;"|"&amp;C2388</f>
        <v>tdbR00000204 Lys-CUU|70</v>
      </c>
      <c r="B2388" s="4" t="s">
        <v>69</v>
      </c>
      <c r="C2388" s="4" t="s">
        <v>493</v>
      </c>
      <c r="D2388" s="4" t="n">
        <v>70</v>
      </c>
      <c r="E2388" s="17" t="s">
        <v>197</v>
      </c>
      <c r="F2388" s="18" t="s">
        <v>412</v>
      </c>
    </row>
    <row r="2389" customFormat="false" ht="15" hidden="false" customHeight="false" outlineLevel="0" collapsed="false">
      <c r="A2389" s="4" t="str">
        <f aca="false">B2389&amp;"|"&amp;C2389</f>
        <v>tdbR00000204 Lys-CUU|71</v>
      </c>
      <c r="B2389" s="4" t="s">
        <v>69</v>
      </c>
      <c r="C2389" s="4" t="s">
        <v>494</v>
      </c>
      <c r="D2389" s="4" t="n">
        <v>71</v>
      </c>
      <c r="E2389" s="17" t="s">
        <v>197</v>
      </c>
      <c r="F2389" s="18" t="s">
        <v>412</v>
      </c>
    </row>
    <row r="2390" customFormat="false" ht="15" hidden="false" customHeight="false" outlineLevel="0" collapsed="false">
      <c r="A2390" s="4" t="str">
        <f aca="false">B2390&amp;"|"&amp;C2390</f>
        <v>tdbR00000204 Lys-CUU|72</v>
      </c>
      <c r="B2390" s="4" t="s">
        <v>69</v>
      </c>
      <c r="C2390" s="4" t="s">
        <v>495</v>
      </c>
      <c r="D2390" s="4" t="n">
        <v>72</v>
      </c>
      <c r="E2390" s="17" t="s">
        <v>246</v>
      </c>
      <c r="F2390" s="18" t="s">
        <v>412</v>
      </c>
    </row>
    <row r="2391" customFormat="false" ht="15" hidden="false" customHeight="false" outlineLevel="0" collapsed="false">
      <c r="A2391" s="4" t="str">
        <f aca="false">B2391&amp;"|"&amp;C2391</f>
        <v>tdbR00000203 Lys-UUU|1</v>
      </c>
      <c r="B2391" s="4" t="s">
        <v>70</v>
      </c>
      <c r="C2391" s="4" t="s">
        <v>411</v>
      </c>
      <c r="D2391" s="4" t="n">
        <v>1</v>
      </c>
      <c r="E2391" s="17" t="s">
        <v>197</v>
      </c>
      <c r="F2391" s="18" t="s">
        <v>412</v>
      </c>
    </row>
    <row r="2392" customFormat="false" ht="15" hidden="false" customHeight="false" outlineLevel="0" collapsed="false">
      <c r="A2392" s="4" t="str">
        <f aca="false">B2392&amp;"|"&amp;C2392</f>
        <v>tdbR00000203 Lys-UUU|2</v>
      </c>
      <c r="B2392" s="4" t="s">
        <v>70</v>
      </c>
      <c r="C2392" s="4" t="s">
        <v>413</v>
      </c>
      <c r="D2392" s="4" t="n">
        <v>2</v>
      </c>
      <c r="E2392" s="17" t="s">
        <v>414</v>
      </c>
      <c r="F2392" s="18" t="s">
        <v>412</v>
      </c>
    </row>
    <row r="2393" customFormat="false" ht="15" hidden="false" customHeight="false" outlineLevel="0" collapsed="false">
      <c r="A2393" s="4" t="str">
        <f aca="false">B2393&amp;"|"&amp;C2393</f>
        <v>tdbR00000203 Lys-UUU|3</v>
      </c>
      <c r="B2393" s="4" t="s">
        <v>70</v>
      </c>
      <c r="C2393" s="4" t="s">
        <v>415</v>
      </c>
      <c r="D2393" s="4" t="n">
        <v>3</v>
      </c>
      <c r="E2393" s="17" t="s">
        <v>414</v>
      </c>
      <c r="F2393" s="18" t="s">
        <v>412</v>
      </c>
    </row>
    <row r="2394" customFormat="false" ht="15" hidden="false" customHeight="false" outlineLevel="0" collapsed="false">
      <c r="A2394" s="4" t="str">
        <f aca="false">B2394&amp;"|"&amp;C2394</f>
        <v>tdbR00000203 Lys-UUU|4</v>
      </c>
      <c r="B2394" s="4" t="s">
        <v>70</v>
      </c>
      <c r="C2394" s="4" t="s">
        <v>416</v>
      </c>
      <c r="D2394" s="4" t="n">
        <v>4</v>
      </c>
      <c r="E2394" s="17" t="s">
        <v>259</v>
      </c>
      <c r="F2394" s="18" t="s">
        <v>412</v>
      </c>
    </row>
    <row r="2395" customFormat="false" ht="15" hidden="false" customHeight="false" outlineLevel="0" collapsed="false">
      <c r="A2395" s="4" t="str">
        <f aca="false">B2395&amp;"|"&amp;C2395</f>
        <v>tdbR00000203 Lys-UUU|5</v>
      </c>
      <c r="B2395" s="4" t="s">
        <v>70</v>
      </c>
      <c r="C2395" s="4" t="s">
        <v>417</v>
      </c>
      <c r="D2395" s="4" t="n">
        <v>5</v>
      </c>
      <c r="E2395" s="17" t="s">
        <v>414</v>
      </c>
      <c r="F2395" s="18" t="s">
        <v>412</v>
      </c>
    </row>
    <row r="2396" customFormat="false" ht="15" hidden="false" customHeight="false" outlineLevel="0" collapsed="false">
      <c r="A2396" s="4" t="str">
        <f aca="false">B2396&amp;"|"&amp;C2396</f>
        <v>tdbR00000203 Lys-UUU|6</v>
      </c>
      <c r="B2396" s="4" t="s">
        <v>70</v>
      </c>
      <c r="C2396" s="4" t="s">
        <v>418</v>
      </c>
      <c r="D2396" s="4" t="n">
        <v>6</v>
      </c>
      <c r="E2396" s="17" t="s">
        <v>414</v>
      </c>
      <c r="F2396" s="18" t="s">
        <v>412</v>
      </c>
    </row>
    <row r="2397" customFormat="false" ht="15" hidden="false" customHeight="false" outlineLevel="0" collapsed="false">
      <c r="A2397" s="4" t="str">
        <f aca="false">B2397&amp;"|"&amp;C2397</f>
        <v>tdbR00000203 Lys-UUU|7</v>
      </c>
      <c r="B2397" s="4" t="s">
        <v>70</v>
      </c>
      <c r="C2397" s="4" t="s">
        <v>419</v>
      </c>
      <c r="D2397" s="4" t="n">
        <v>7</v>
      </c>
      <c r="E2397" s="17" t="s">
        <v>246</v>
      </c>
      <c r="F2397" s="18" t="s">
        <v>412</v>
      </c>
    </row>
    <row r="2398" customFormat="false" ht="15" hidden="false" customHeight="false" outlineLevel="0" collapsed="false">
      <c r="A2398" s="4" t="str">
        <f aca="false">B2398&amp;"|"&amp;C2398</f>
        <v>tdbR00000203 Lys-UUU|8</v>
      </c>
      <c r="B2398" s="4" t="s">
        <v>70</v>
      </c>
      <c r="C2398" s="4" t="s">
        <v>420</v>
      </c>
      <c r="D2398" s="4" t="n">
        <v>8</v>
      </c>
      <c r="E2398" s="3" t="s">
        <v>259</v>
      </c>
      <c r="F2398" s="4" t="s">
        <v>421</v>
      </c>
    </row>
    <row r="2399" customFormat="false" ht="15" hidden="false" customHeight="false" outlineLevel="0" collapsed="false">
      <c r="A2399" s="4" t="str">
        <f aca="false">B2399&amp;"|"&amp;C2399</f>
        <v>tdbR00000203 Lys-UUU|9</v>
      </c>
      <c r="B2399" s="4" t="s">
        <v>70</v>
      </c>
      <c r="C2399" s="4" t="s">
        <v>422</v>
      </c>
      <c r="D2399" s="4" t="n">
        <v>9</v>
      </c>
      <c r="E2399" s="3" t="s">
        <v>246</v>
      </c>
      <c r="F2399" s="4" t="s">
        <v>423</v>
      </c>
    </row>
    <row r="2400" customFormat="false" ht="15" hidden="false" customHeight="false" outlineLevel="0" collapsed="false">
      <c r="A2400" s="4" t="str">
        <f aca="false">B2400&amp;"|"&amp;C2400</f>
        <v>tdbR00000203 Lys-UUU|10</v>
      </c>
      <c r="B2400" s="4" t="s">
        <v>70</v>
      </c>
      <c r="C2400" s="4" t="s">
        <v>424</v>
      </c>
      <c r="D2400" s="4" t="n">
        <v>10</v>
      </c>
      <c r="E2400" s="8" t="s">
        <v>197</v>
      </c>
      <c r="F2400" s="7" t="s">
        <v>425</v>
      </c>
    </row>
    <row r="2401" customFormat="false" ht="15" hidden="false" customHeight="false" outlineLevel="0" collapsed="false">
      <c r="A2401" s="4" t="str">
        <f aca="false">B2401&amp;"|"&amp;C2401</f>
        <v>tdbR00000203 Lys-UUU|11</v>
      </c>
      <c r="B2401" s="4" t="s">
        <v>70</v>
      </c>
      <c r="C2401" s="4" t="s">
        <v>426</v>
      </c>
      <c r="D2401" s="4" t="n">
        <v>11</v>
      </c>
      <c r="E2401" s="8" t="s">
        <v>414</v>
      </c>
      <c r="F2401" s="7" t="s">
        <v>425</v>
      </c>
    </row>
    <row r="2402" customFormat="false" ht="15" hidden="false" customHeight="false" outlineLevel="0" collapsed="false">
      <c r="A2402" s="4" t="str">
        <f aca="false">B2402&amp;"|"&amp;C2402</f>
        <v>tdbR00000203 Lys-UUU|12</v>
      </c>
      <c r="B2402" s="4" t="s">
        <v>70</v>
      </c>
      <c r="C2402" s="4" t="s">
        <v>427</v>
      </c>
      <c r="D2402" s="4" t="n">
        <v>12</v>
      </c>
      <c r="E2402" s="8" t="s">
        <v>259</v>
      </c>
      <c r="F2402" s="7" t="s">
        <v>425</v>
      </c>
    </row>
    <row r="2403" customFormat="false" ht="15" hidden="false" customHeight="false" outlineLevel="0" collapsed="false">
      <c r="A2403" s="4" t="str">
        <f aca="false">B2403&amp;"|"&amp;C2403</f>
        <v>tdbR00000203 Lys-UUU|13</v>
      </c>
      <c r="B2403" s="4" t="s">
        <v>70</v>
      </c>
      <c r="C2403" s="4" t="s">
        <v>428</v>
      </c>
      <c r="D2403" s="4" t="n">
        <v>13</v>
      </c>
      <c r="E2403" s="8" t="s">
        <v>414</v>
      </c>
      <c r="F2403" s="7" t="s">
        <v>425</v>
      </c>
    </row>
    <row r="2404" customFormat="false" ht="15" hidden="false" customHeight="false" outlineLevel="0" collapsed="false">
      <c r="A2404" s="4" t="str">
        <f aca="false">B2404&amp;"|"&amp;C2404</f>
        <v>tdbR00000203 Lys-UUU|14</v>
      </c>
      <c r="B2404" s="4" t="s">
        <v>70</v>
      </c>
      <c r="C2404" s="4" t="s">
        <v>429</v>
      </c>
      <c r="D2404" s="4" t="n">
        <v>14</v>
      </c>
      <c r="E2404" s="19" t="s">
        <v>246</v>
      </c>
      <c r="F2404" s="20" t="s">
        <v>430</v>
      </c>
    </row>
    <row r="2405" customFormat="false" ht="15" hidden="false" customHeight="false" outlineLevel="0" collapsed="false">
      <c r="A2405" s="4" t="str">
        <f aca="false">B2405&amp;"|"&amp;C2405</f>
        <v>tdbR00000203 Lys-UUU|15</v>
      </c>
      <c r="B2405" s="4" t="s">
        <v>70</v>
      </c>
      <c r="C2405" s="4" t="s">
        <v>431</v>
      </c>
      <c r="D2405" s="4" t="n">
        <v>15</v>
      </c>
      <c r="E2405" s="19" t="s">
        <v>197</v>
      </c>
      <c r="F2405" s="20" t="s">
        <v>430</v>
      </c>
    </row>
    <row r="2406" customFormat="false" ht="15" hidden="false" customHeight="false" outlineLevel="0" collapsed="false">
      <c r="A2406" s="4" t="str">
        <f aca="false">B2406&amp;"|"&amp;C2406</f>
        <v>tdbR00000203 Lys-UUU|16</v>
      </c>
      <c r="B2406" s="4" t="s">
        <v>70</v>
      </c>
      <c r="C2406" s="4" t="s">
        <v>432</v>
      </c>
      <c r="D2406" s="4" t="n">
        <v>16</v>
      </c>
      <c r="E2406" s="19" t="s">
        <v>259</v>
      </c>
      <c r="F2406" s="20" t="s">
        <v>430</v>
      </c>
    </row>
    <row r="2407" customFormat="false" ht="15" hidden="false" customHeight="false" outlineLevel="0" collapsed="false">
      <c r="A2407" s="4" t="str">
        <f aca="false">B2407&amp;"|"&amp;C2407</f>
        <v>tdbR00000203 Lys-UUU|17</v>
      </c>
      <c r="B2407" s="4" t="s">
        <v>70</v>
      </c>
      <c r="C2407" s="4" t="s">
        <v>433</v>
      </c>
      <c r="D2407" s="4" t="n">
        <v>17</v>
      </c>
      <c r="E2407" s="19" t="s">
        <v>414</v>
      </c>
      <c r="F2407" s="20" t="s">
        <v>430</v>
      </c>
    </row>
    <row r="2408" customFormat="false" ht="15" hidden="false" customHeight="false" outlineLevel="0" collapsed="false">
      <c r="A2408" s="4" t="str">
        <f aca="false">B2408&amp;"|"&amp;C2408</f>
        <v>tdbR00000203 Lys-UUU|18</v>
      </c>
      <c r="B2408" s="4" t="s">
        <v>70</v>
      </c>
      <c r="C2408" s="4" t="s">
        <v>434</v>
      </c>
      <c r="D2408" s="4" t="n">
        <v>18</v>
      </c>
      <c r="E2408" s="19" t="s">
        <v>197</v>
      </c>
      <c r="F2408" s="20" t="s">
        <v>430</v>
      </c>
    </row>
    <row r="2409" customFormat="false" ht="15" hidden="false" customHeight="false" outlineLevel="0" collapsed="false">
      <c r="A2409" s="4" t="str">
        <f aca="false">B2409&amp;"|"&amp;C2409</f>
        <v>tdbR00000203 Lys-UUU|19</v>
      </c>
      <c r="B2409" s="4" t="s">
        <v>70</v>
      </c>
      <c r="C2409" s="4" t="s">
        <v>435</v>
      </c>
      <c r="D2409" s="4" t="n">
        <v>19</v>
      </c>
      <c r="E2409" s="19" t="s">
        <v>197</v>
      </c>
      <c r="F2409" s="20" t="s">
        <v>430</v>
      </c>
    </row>
    <row r="2410" customFormat="false" ht="15" hidden="false" customHeight="false" outlineLevel="0" collapsed="false">
      <c r="A2410" s="4" t="str">
        <f aca="false">B2410&amp;"|"&amp;C2410</f>
        <v>tdbR00000203 Lys-UUU|20</v>
      </c>
      <c r="B2410" s="4" t="s">
        <v>70</v>
      </c>
      <c r="C2410" s="4" t="s">
        <v>436</v>
      </c>
      <c r="D2410" s="4" t="n">
        <v>20</v>
      </c>
      <c r="E2410" s="19" t="s">
        <v>259</v>
      </c>
      <c r="F2410" s="20" t="s">
        <v>430</v>
      </c>
    </row>
    <row r="2411" customFormat="false" ht="15" hidden="false" customHeight="false" outlineLevel="0" collapsed="false">
      <c r="A2411" s="4" t="str">
        <f aca="false">B2411&amp;"|"&amp;C2411</f>
        <v>tdbR00000203 Lys-UUU|21</v>
      </c>
      <c r="B2411" s="4" t="s">
        <v>70</v>
      </c>
      <c r="C2411" s="4" t="s">
        <v>438</v>
      </c>
      <c r="D2411" s="4" t="n">
        <v>21</v>
      </c>
      <c r="E2411" s="19" t="s">
        <v>246</v>
      </c>
      <c r="F2411" s="20" t="s">
        <v>430</v>
      </c>
    </row>
    <row r="2412" customFormat="false" ht="15" hidden="false" customHeight="false" outlineLevel="0" collapsed="false">
      <c r="A2412" s="4" t="str">
        <f aca="false">B2412&amp;"|"&amp;C2412</f>
        <v>tdbR00000203 Lys-UUU|22</v>
      </c>
      <c r="B2412" s="4" t="s">
        <v>70</v>
      </c>
      <c r="C2412" s="4" t="s">
        <v>439</v>
      </c>
      <c r="D2412" s="4" t="n">
        <v>22</v>
      </c>
      <c r="E2412" s="8" t="s">
        <v>197</v>
      </c>
      <c r="F2412" s="7" t="s">
        <v>425</v>
      </c>
    </row>
    <row r="2413" customFormat="false" ht="15" hidden="false" customHeight="false" outlineLevel="0" collapsed="false">
      <c r="A2413" s="4" t="str">
        <f aca="false">B2413&amp;"|"&amp;C2413</f>
        <v>tdbR00000203 Lys-UUU|23</v>
      </c>
      <c r="B2413" s="4" t="s">
        <v>70</v>
      </c>
      <c r="C2413" s="4" t="s">
        <v>440</v>
      </c>
      <c r="D2413" s="4" t="n">
        <v>23</v>
      </c>
      <c r="E2413" s="8" t="s">
        <v>246</v>
      </c>
      <c r="F2413" s="7" t="s">
        <v>425</v>
      </c>
    </row>
    <row r="2414" customFormat="false" ht="15" hidden="false" customHeight="false" outlineLevel="0" collapsed="false">
      <c r="A2414" s="4" t="str">
        <f aca="false">B2414&amp;"|"&amp;C2414</f>
        <v>tdbR00000203 Lys-UUU|24</v>
      </c>
      <c r="B2414" s="4" t="s">
        <v>70</v>
      </c>
      <c r="C2414" s="4" t="s">
        <v>441</v>
      </c>
      <c r="D2414" s="4" t="n">
        <v>24</v>
      </c>
      <c r="E2414" s="8" t="s">
        <v>197</v>
      </c>
      <c r="F2414" s="7" t="s">
        <v>425</v>
      </c>
    </row>
    <row r="2415" customFormat="false" ht="15" hidden="false" customHeight="false" outlineLevel="0" collapsed="false">
      <c r="A2415" s="4" t="str">
        <f aca="false">B2415&amp;"|"&amp;C2415</f>
        <v>tdbR00000203 Lys-UUU|25</v>
      </c>
      <c r="B2415" s="4" t="s">
        <v>70</v>
      </c>
      <c r="C2415" s="4" t="s">
        <v>442</v>
      </c>
      <c r="D2415" s="4" t="n">
        <v>25</v>
      </c>
      <c r="E2415" s="8" t="s">
        <v>414</v>
      </c>
      <c r="F2415" s="7" t="s">
        <v>425</v>
      </c>
    </row>
    <row r="2416" customFormat="false" ht="15" hidden="false" customHeight="false" outlineLevel="0" collapsed="false">
      <c r="A2416" s="4" t="str">
        <f aca="false">B2416&amp;"|"&amp;C2416</f>
        <v>tdbR00000203 Lys-UUU|26</v>
      </c>
      <c r="B2416" s="4" t="s">
        <v>70</v>
      </c>
      <c r="C2416" s="4" t="s">
        <v>443</v>
      </c>
      <c r="D2416" s="4" t="n">
        <v>26</v>
      </c>
      <c r="E2416" s="3" t="s">
        <v>246</v>
      </c>
      <c r="F2416" s="4" t="s">
        <v>444</v>
      </c>
    </row>
    <row r="2417" customFormat="false" ht="15" hidden="false" customHeight="false" outlineLevel="0" collapsed="false">
      <c r="A2417" s="4" t="str">
        <f aca="false">B2417&amp;"|"&amp;C2417</f>
        <v>tdbR00000203 Lys-UUU|27</v>
      </c>
      <c r="B2417" s="4" t="s">
        <v>70</v>
      </c>
      <c r="C2417" s="4" t="s">
        <v>445</v>
      </c>
      <c r="D2417" s="4" t="n">
        <v>27</v>
      </c>
      <c r="E2417" s="21" t="s">
        <v>259</v>
      </c>
      <c r="F2417" s="22" t="s">
        <v>446</v>
      </c>
    </row>
    <row r="2418" customFormat="false" ht="15" hidden="false" customHeight="false" outlineLevel="0" collapsed="false">
      <c r="A2418" s="4" t="str">
        <f aca="false">B2418&amp;"|"&amp;C2418</f>
        <v>tdbR00000203 Lys-UUU|28</v>
      </c>
      <c r="B2418" s="4" t="s">
        <v>70</v>
      </c>
      <c r="C2418" s="4" t="s">
        <v>447</v>
      </c>
      <c r="D2418" s="4" t="n">
        <v>28</v>
      </c>
      <c r="E2418" s="21" t="s">
        <v>414</v>
      </c>
      <c r="F2418" s="22" t="s">
        <v>446</v>
      </c>
    </row>
    <row r="2419" customFormat="false" ht="15" hidden="false" customHeight="false" outlineLevel="0" collapsed="false">
      <c r="A2419" s="4" t="str">
        <f aca="false">B2419&amp;"|"&amp;C2419</f>
        <v>tdbR00000203 Lys-UUU|29</v>
      </c>
      <c r="B2419" s="4" t="s">
        <v>70</v>
      </c>
      <c r="C2419" s="4" t="s">
        <v>448</v>
      </c>
      <c r="D2419" s="4" t="n">
        <v>29</v>
      </c>
      <c r="E2419" s="21" t="s">
        <v>246</v>
      </c>
      <c r="F2419" s="22" t="s">
        <v>446</v>
      </c>
    </row>
    <row r="2420" customFormat="false" ht="15" hidden="false" customHeight="false" outlineLevel="0" collapsed="false">
      <c r="A2420" s="4" t="str">
        <f aca="false">B2420&amp;"|"&amp;C2420</f>
        <v>tdbR00000203 Lys-UUU|30</v>
      </c>
      <c r="B2420" s="4" t="s">
        <v>70</v>
      </c>
      <c r="C2420" s="4" t="s">
        <v>449</v>
      </c>
      <c r="D2420" s="4" t="n">
        <v>30</v>
      </c>
      <c r="E2420" s="21" t="s">
        <v>197</v>
      </c>
      <c r="F2420" s="22" t="s">
        <v>446</v>
      </c>
    </row>
    <row r="2421" customFormat="false" ht="15" hidden="false" customHeight="false" outlineLevel="0" collapsed="false">
      <c r="A2421" s="4" t="str">
        <f aca="false">B2421&amp;"|"&amp;C2421</f>
        <v>tdbR00000203 Lys-UUU|31</v>
      </c>
      <c r="B2421" s="4" t="s">
        <v>70</v>
      </c>
      <c r="C2421" s="4" t="s">
        <v>450</v>
      </c>
      <c r="D2421" s="4" t="n">
        <v>31</v>
      </c>
      <c r="E2421" s="21" t="s">
        <v>246</v>
      </c>
      <c r="F2421" s="22" t="s">
        <v>446</v>
      </c>
    </row>
    <row r="2422" customFormat="false" ht="15" hidden="false" customHeight="false" outlineLevel="0" collapsed="false">
      <c r="A2422" s="4" t="str">
        <f aca="false">B2422&amp;"|"&amp;C2422</f>
        <v>tdbR00000203 Lys-UUU|32</v>
      </c>
      <c r="B2422" s="4" t="s">
        <v>70</v>
      </c>
      <c r="C2422" s="4" t="s">
        <v>451</v>
      </c>
      <c r="D2422" s="4" t="n">
        <v>32</v>
      </c>
      <c r="E2422" s="19" t="s">
        <v>414</v>
      </c>
      <c r="F2422" s="20" t="s">
        <v>452</v>
      </c>
    </row>
    <row r="2423" customFormat="false" ht="15" hidden="false" customHeight="false" outlineLevel="0" collapsed="false">
      <c r="A2423" s="4" t="str">
        <f aca="false">B2423&amp;"|"&amp;C2423</f>
        <v>tdbR00000203 Lys-UUU|33</v>
      </c>
      <c r="B2423" s="4" t="s">
        <v>70</v>
      </c>
      <c r="C2423" s="4" t="s">
        <v>453</v>
      </c>
      <c r="D2423" s="4" t="n">
        <v>33</v>
      </c>
      <c r="E2423" s="19" t="s">
        <v>259</v>
      </c>
      <c r="F2423" s="20" t="s">
        <v>452</v>
      </c>
    </row>
    <row r="2424" customFormat="false" ht="15" hidden="false" customHeight="false" outlineLevel="0" collapsed="false">
      <c r="A2424" s="4" t="str">
        <f aca="false">B2424&amp;"|"&amp;C2424</f>
        <v>tdbR00000203 Lys-UUU|34</v>
      </c>
      <c r="B2424" s="4" t="s">
        <v>70</v>
      </c>
      <c r="C2424" s="4" t="s">
        <v>454</v>
      </c>
      <c r="D2424" s="4" t="n">
        <v>34</v>
      </c>
      <c r="E2424" s="19" t="s">
        <v>259</v>
      </c>
      <c r="F2424" s="20" t="s">
        <v>452</v>
      </c>
    </row>
    <row r="2425" customFormat="false" ht="15" hidden="false" customHeight="false" outlineLevel="0" collapsed="false">
      <c r="A2425" s="4" t="str">
        <f aca="false">B2425&amp;"|"&amp;C2425</f>
        <v>tdbR00000203 Lys-UUU|35</v>
      </c>
      <c r="B2425" s="4" t="s">
        <v>70</v>
      </c>
      <c r="C2425" s="4" t="s">
        <v>455</v>
      </c>
      <c r="D2425" s="4" t="n">
        <v>35</v>
      </c>
      <c r="E2425" s="19" t="s">
        <v>259</v>
      </c>
      <c r="F2425" s="20" t="s">
        <v>452</v>
      </c>
    </row>
    <row r="2426" customFormat="false" ht="15" hidden="false" customHeight="false" outlineLevel="0" collapsed="false">
      <c r="A2426" s="4" t="str">
        <f aca="false">B2426&amp;"|"&amp;C2426</f>
        <v>tdbR00000203 Lys-UUU|36</v>
      </c>
      <c r="B2426" s="4" t="s">
        <v>70</v>
      </c>
      <c r="C2426" s="4" t="s">
        <v>456</v>
      </c>
      <c r="D2426" s="4" t="n">
        <v>36</v>
      </c>
      <c r="E2426" s="19" t="s">
        <v>259</v>
      </c>
      <c r="F2426" s="20" t="s">
        <v>452</v>
      </c>
    </row>
    <row r="2427" customFormat="false" ht="15" hidden="false" customHeight="false" outlineLevel="0" collapsed="false">
      <c r="A2427" s="4" t="str">
        <f aca="false">B2427&amp;"|"&amp;C2427</f>
        <v>tdbR00000203 Lys-UUU|37</v>
      </c>
      <c r="B2427" s="4" t="s">
        <v>70</v>
      </c>
      <c r="C2427" s="4" t="s">
        <v>457</v>
      </c>
      <c r="D2427" s="4" t="n">
        <v>37</v>
      </c>
      <c r="E2427" s="19" t="s">
        <v>246</v>
      </c>
      <c r="F2427" s="20" t="s">
        <v>452</v>
      </c>
    </row>
    <row r="2428" customFormat="false" ht="15" hidden="false" customHeight="false" outlineLevel="0" collapsed="false">
      <c r="A2428" s="4" t="str">
        <f aca="false">B2428&amp;"|"&amp;C2428</f>
        <v>tdbR00000203 Lys-UUU|38</v>
      </c>
      <c r="B2428" s="4" t="s">
        <v>70</v>
      </c>
      <c r="C2428" s="4" t="s">
        <v>458</v>
      </c>
      <c r="D2428" s="4" t="n">
        <v>38</v>
      </c>
      <c r="E2428" s="19" t="s">
        <v>246</v>
      </c>
      <c r="F2428" s="20" t="s">
        <v>452</v>
      </c>
    </row>
    <row r="2429" customFormat="false" ht="15" hidden="false" customHeight="false" outlineLevel="0" collapsed="false">
      <c r="A2429" s="4" t="str">
        <f aca="false">B2429&amp;"|"&amp;C2429</f>
        <v>tdbR00000203 Lys-UUU|39</v>
      </c>
      <c r="B2429" s="4" t="s">
        <v>70</v>
      </c>
      <c r="C2429" s="4" t="s">
        <v>459</v>
      </c>
      <c r="D2429" s="4" t="n">
        <v>39</v>
      </c>
      <c r="E2429" s="21" t="s">
        <v>259</v>
      </c>
      <c r="F2429" s="22" t="s">
        <v>446</v>
      </c>
    </row>
    <row r="2430" customFormat="false" ht="15" hidden="false" customHeight="false" outlineLevel="0" collapsed="false">
      <c r="A2430" s="4" t="str">
        <f aca="false">B2430&amp;"|"&amp;C2430</f>
        <v>tdbR00000203 Lys-UUU|40</v>
      </c>
      <c r="B2430" s="4" t="s">
        <v>70</v>
      </c>
      <c r="C2430" s="4" t="s">
        <v>460</v>
      </c>
      <c r="D2430" s="4" t="n">
        <v>40</v>
      </c>
      <c r="E2430" s="21" t="s">
        <v>414</v>
      </c>
      <c r="F2430" s="22" t="s">
        <v>446</v>
      </c>
    </row>
    <row r="2431" customFormat="false" ht="15" hidden="false" customHeight="false" outlineLevel="0" collapsed="false">
      <c r="A2431" s="4" t="str">
        <f aca="false">B2431&amp;"|"&amp;C2431</f>
        <v>tdbR00000203 Lys-UUU|41</v>
      </c>
      <c r="B2431" s="4" t="s">
        <v>70</v>
      </c>
      <c r="C2431" s="4" t="s">
        <v>461</v>
      </c>
      <c r="D2431" s="4" t="n">
        <v>41</v>
      </c>
      <c r="E2431" s="21" t="s">
        <v>259</v>
      </c>
      <c r="F2431" s="22" t="s">
        <v>446</v>
      </c>
    </row>
    <row r="2432" customFormat="false" ht="15" hidden="false" customHeight="false" outlineLevel="0" collapsed="false">
      <c r="A2432" s="4" t="str">
        <f aca="false">B2432&amp;"|"&amp;C2432</f>
        <v>tdbR00000203 Lys-UUU|42</v>
      </c>
      <c r="B2432" s="4" t="s">
        <v>70</v>
      </c>
      <c r="C2432" s="4" t="s">
        <v>462</v>
      </c>
      <c r="D2432" s="4" t="n">
        <v>42</v>
      </c>
      <c r="E2432" s="21" t="s">
        <v>197</v>
      </c>
      <c r="F2432" s="22" t="s">
        <v>446</v>
      </c>
    </row>
    <row r="2433" customFormat="false" ht="15" hidden="false" customHeight="false" outlineLevel="0" collapsed="false">
      <c r="A2433" s="4" t="str">
        <f aca="false">B2433&amp;"|"&amp;C2433</f>
        <v>tdbR00000203 Lys-UUU|43</v>
      </c>
      <c r="B2433" s="4" t="s">
        <v>70</v>
      </c>
      <c r="C2433" s="4" t="s">
        <v>463</v>
      </c>
      <c r="D2433" s="4" t="n">
        <v>43</v>
      </c>
      <c r="E2433" s="21" t="s">
        <v>246</v>
      </c>
      <c r="F2433" s="22" t="s">
        <v>446</v>
      </c>
    </row>
    <row r="2434" customFormat="false" ht="15" hidden="false" customHeight="false" outlineLevel="0" collapsed="false">
      <c r="A2434" s="4" t="str">
        <f aca="false">B2434&amp;"|"&amp;C2434</f>
        <v>tdbR00000203 Lys-UUU|44</v>
      </c>
      <c r="B2434" s="4" t="s">
        <v>70</v>
      </c>
      <c r="C2434" s="4" t="s">
        <v>464</v>
      </c>
      <c r="D2434" s="4" t="n">
        <v>44</v>
      </c>
      <c r="E2434" s="19" t="s">
        <v>197</v>
      </c>
      <c r="F2434" s="20" t="s">
        <v>465</v>
      </c>
    </row>
    <row r="2435" customFormat="false" ht="15" hidden="false" customHeight="false" outlineLevel="0" collapsed="false">
      <c r="A2435" s="4" t="str">
        <f aca="false">B2435&amp;"|"&amp;C2435</f>
        <v>tdbR00000203 Lys-UUU|45</v>
      </c>
      <c r="B2435" s="4" t="s">
        <v>70</v>
      </c>
      <c r="C2435" s="4" t="s">
        <v>466</v>
      </c>
      <c r="D2435" s="4" t="n">
        <v>45</v>
      </c>
      <c r="E2435" s="19" t="s">
        <v>197</v>
      </c>
      <c r="F2435" s="20" t="s">
        <v>465</v>
      </c>
    </row>
    <row r="2436" customFormat="false" ht="15" hidden="false" customHeight="false" outlineLevel="0" collapsed="false">
      <c r="A2436" s="4" t="str">
        <f aca="false">B2436&amp;"|"&amp;C2436</f>
        <v>tdbR00000203 Lys-UUU|46</v>
      </c>
      <c r="B2436" s="4" t="s">
        <v>70</v>
      </c>
      <c r="C2436" s="4" t="s">
        <v>467</v>
      </c>
      <c r="D2436" s="4" t="n">
        <v>46</v>
      </c>
      <c r="E2436" s="19" t="s">
        <v>197</v>
      </c>
      <c r="F2436" s="20" t="s">
        <v>465</v>
      </c>
    </row>
    <row r="2437" customFormat="false" ht="15" hidden="false" customHeight="false" outlineLevel="0" collapsed="false">
      <c r="A2437" s="4" t="str">
        <f aca="false">B2437&amp;"|"&amp;C2437</f>
        <v>tdbR00000203 Lys-UUU|47</v>
      </c>
      <c r="B2437" s="4" t="s">
        <v>70</v>
      </c>
      <c r="C2437" s="4" t="s">
        <v>468</v>
      </c>
      <c r="D2437" s="4" t="n">
        <v>47</v>
      </c>
      <c r="E2437" s="19" t="s">
        <v>259</v>
      </c>
      <c r="F2437" s="20" t="s">
        <v>465</v>
      </c>
    </row>
    <row r="2438" customFormat="false" ht="15" hidden="false" customHeight="false" outlineLevel="0" collapsed="false">
      <c r="A2438" s="4" t="str">
        <f aca="false">B2438&amp;"|"&amp;C2438</f>
        <v>tdbR00000203 Lys-UUU|48</v>
      </c>
      <c r="B2438" s="4" t="s">
        <v>70</v>
      </c>
      <c r="C2438" s="4" t="s">
        <v>469</v>
      </c>
      <c r="D2438" s="4" t="n">
        <v>48</v>
      </c>
      <c r="E2438" s="19" t="s">
        <v>414</v>
      </c>
      <c r="F2438" s="20" t="s">
        <v>465</v>
      </c>
    </row>
    <row r="2439" customFormat="false" ht="15" hidden="false" customHeight="false" outlineLevel="0" collapsed="false">
      <c r="A2439" s="4" t="str">
        <f aca="false">B2439&amp;"|"&amp;C2439</f>
        <v>tdbR00000203 Lys-UUU|49</v>
      </c>
      <c r="B2439" s="4" t="s">
        <v>70</v>
      </c>
      <c r="C2439" s="4" t="s">
        <v>470</v>
      </c>
      <c r="D2439" s="4" t="n">
        <v>49</v>
      </c>
      <c r="E2439" s="23" t="s">
        <v>259</v>
      </c>
      <c r="F2439" s="10" t="s">
        <v>471</v>
      </c>
    </row>
    <row r="2440" customFormat="false" ht="15" hidden="false" customHeight="false" outlineLevel="0" collapsed="false">
      <c r="A2440" s="4" t="str">
        <f aca="false">B2440&amp;"|"&amp;C2440</f>
        <v>tdbR00000203 Lys-UUU|50</v>
      </c>
      <c r="B2440" s="4" t="s">
        <v>70</v>
      </c>
      <c r="C2440" s="4" t="s">
        <v>472</v>
      </c>
      <c r="D2440" s="4" t="n">
        <v>50</v>
      </c>
      <c r="E2440" s="23" t="s">
        <v>197</v>
      </c>
      <c r="F2440" s="10" t="s">
        <v>471</v>
      </c>
    </row>
    <row r="2441" customFormat="false" ht="15" hidden="false" customHeight="false" outlineLevel="0" collapsed="false">
      <c r="A2441" s="4" t="str">
        <f aca="false">B2441&amp;"|"&amp;C2441</f>
        <v>tdbR00000203 Lys-UUU|51</v>
      </c>
      <c r="B2441" s="4" t="s">
        <v>70</v>
      </c>
      <c r="C2441" s="4" t="s">
        <v>473</v>
      </c>
      <c r="D2441" s="4" t="n">
        <v>51</v>
      </c>
      <c r="E2441" s="23" t="s">
        <v>197</v>
      </c>
      <c r="F2441" s="10" t="s">
        <v>471</v>
      </c>
    </row>
    <row r="2442" customFormat="false" ht="15" hidden="false" customHeight="false" outlineLevel="0" collapsed="false">
      <c r="A2442" s="4" t="str">
        <f aca="false">B2442&amp;"|"&amp;C2442</f>
        <v>tdbR00000203 Lys-UUU|52</v>
      </c>
      <c r="B2442" s="4" t="s">
        <v>70</v>
      </c>
      <c r="C2442" s="4" t="s">
        <v>474</v>
      </c>
      <c r="D2442" s="4" t="n">
        <v>52</v>
      </c>
      <c r="E2442" s="23" t="s">
        <v>197</v>
      </c>
      <c r="F2442" s="10" t="s">
        <v>471</v>
      </c>
    </row>
    <row r="2443" customFormat="false" ht="15" hidden="false" customHeight="false" outlineLevel="0" collapsed="false">
      <c r="A2443" s="4" t="str">
        <f aca="false">B2443&amp;"|"&amp;C2443</f>
        <v>tdbR00000203 Lys-UUU|53</v>
      </c>
      <c r="B2443" s="4" t="s">
        <v>70</v>
      </c>
      <c r="C2443" s="4" t="s">
        <v>475</v>
      </c>
      <c r="D2443" s="4" t="n">
        <v>53</v>
      </c>
      <c r="E2443" s="23" t="s">
        <v>197</v>
      </c>
      <c r="F2443" s="10" t="s">
        <v>471</v>
      </c>
    </row>
    <row r="2444" customFormat="false" ht="15" hidden="false" customHeight="false" outlineLevel="0" collapsed="false">
      <c r="A2444" s="4" t="str">
        <f aca="false">B2444&amp;"|"&amp;C2444</f>
        <v>tdbR00000203 Lys-UUU|54</v>
      </c>
      <c r="B2444" s="4" t="s">
        <v>70</v>
      </c>
      <c r="C2444" s="4" t="s">
        <v>476</v>
      </c>
      <c r="D2444" s="4" t="n">
        <v>54</v>
      </c>
      <c r="E2444" s="19" t="s">
        <v>259</v>
      </c>
      <c r="F2444" s="20" t="s">
        <v>477</v>
      </c>
    </row>
    <row r="2445" customFormat="false" ht="15" hidden="false" customHeight="false" outlineLevel="0" collapsed="false">
      <c r="A2445" s="4" t="str">
        <f aca="false">B2445&amp;"|"&amp;C2445</f>
        <v>tdbR00000203 Lys-UUU|55</v>
      </c>
      <c r="B2445" s="4" t="s">
        <v>70</v>
      </c>
      <c r="C2445" s="4" t="s">
        <v>478</v>
      </c>
      <c r="D2445" s="4" t="n">
        <v>55</v>
      </c>
      <c r="E2445" s="19" t="s">
        <v>259</v>
      </c>
      <c r="F2445" s="20" t="s">
        <v>477</v>
      </c>
    </row>
    <row r="2446" customFormat="false" ht="15" hidden="false" customHeight="false" outlineLevel="0" collapsed="false">
      <c r="A2446" s="4" t="str">
        <f aca="false">B2446&amp;"|"&amp;C2446</f>
        <v>tdbR00000203 Lys-UUU|56</v>
      </c>
      <c r="B2446" s="4" t="s">
        <v>70</v>
      </c>
      <c r="C2446" s="4" t="s">
        <v>479</v>
      </c>
      <c r="D2446" s="4" t="n">
        <v>56</v>
      </c>
      <c r="E2446" s="19" t="s">
        <v>414</v>
      </c>
      <c r="F2446" s="20" t="s">
        <v>477</v>
      </c>
    </row>
    <row r="2447" customFormat="false" ht="15" hidden="false" customHeight="false" outlineLevel="0" collapsed="false">
      <c r="A2447" s="4" t="str">
        <f aca="false">B2447&amp;"|"&amp;C2447</f>
        <v>tdbR00000203 Lys-UUU|57</v>
      </c>
      <c r="B2447" s="4" t="s">
        <v>70</v>
      </c>
      <c r="C2447" s="4" t="s">
        <v>480</v>
      </c>
      <c r="D2447" s="4" t="n">
        <v>57</v>
      </c>
      <c r="E2447" s="19" t="s">
        <v>197</v>
      </c>
      <c r="F2447" s="20" t="s">
        <v>477</v>
      </c>
    </row>
    <row r="2448" customFormat="false" ht="15" hidden="false" customHeight="false" outlineLevel="0" collapsed="false">
      <c r="A2448" s="4" t="str">
        <f aca="false">B2448&amp;"|"&amp;C2448</f>
        <v>tdbR00000203 Lys-UUU|58</v>
      </c>
      <c r="B2448" s="4" t="s">
        <v>70</v>
      </c>
      <c r="C2448" s="4" t="s">
        <v>481</v>
      </c>
      <c r="D2448" s="4" t="n">
        <v>58</v>
      </c>
      <c r="E2448" s="19" t="s">
        <v>246</v>
      </c>
      <c r="F2448" s="20" t="s">
        <v>477</v>
      </c>
    </row>
    <row r="2449" customFormat="false" ht="15" hidden="false" customHeight="false" outlineLevel="0" collapsed="false">
      <c r="A2449" s="4" t="str">
        <f aca="false">B2449&amp;"|"&amp;C2449</f>
        <v>tdbR00000203 Lys-UUU|59</v>
      </c>
      <c r="B2449" s="4" t="s">
        <v>70</v>
      </c>
      <c r="C2449" s="4" t="s">
        <v>482</v>
      </c>
      <c r="D2449" s="4" t="n">
        <v>59</v>
      </c>
      <c r="E2449" s="19" t="s">
        <v>197</v>
      </c>
      <c r="F2449" s="20" t="s">
        <v>477</v>
      </c>
    </row>
    <row r="2450" customFormat="false" ht="15" hidden="false" customHeight="false" outlineLevel="0" collapsed="false">
      <c r="A2450" s="4" t="str">
        <f aca="false">B2450&amp;"|"&amp;C2450</f>
        <v>tdbR00000203 Lys-UUU|60</v>
      </c>
      <c r="B2450" s="4" t="s">
        <v>70</v>
      </c>
      <c r="C2450" s="4" t="s">
        <v>483</v>
      </c>
      <c r="D2450" s="4" t="n">
        <v>60</v>
      </c>
      <c r="E2450" s="19" t="s">
        <v>259</v>
      </c>
      <c r="F2450" s="20" t="s">
        <v>477</v>
      </c>
    </row>
    <row r="2451" customFormat="false" ht="15" hidden="false" customHeight="false" outlineLevel="0" collapsed="false">
      <c r="A2451" s="4" t="str">
        <f aca="false">B2451&amp;"|"&amp;C2451</f>
        <v>tdbR00000203 Lys-UUU|61</v>
      </c>
      <c r="B2451" s="4" t="s">
        <v>70</v>
      </c>
      <c r="C2451" s="4" t="s">
        <v>484</v>
      </c>
      <c r="D2451" s="4" t="n">
        <v>61</v>
      </c>
      <c r="E2451" s="23" t="s">
        <v>414</v>
      </c>
      <c r="F2451" s="10" t="s">
        <v>471</v>
      </c>
    </row>
    <row r="2452" customFormat="false" ht="15" hidden="false" customHeight="false" outlineLevel="0" collapsed="false">
      <c r="A2452" s="4" t="str">
        <f aca="false">B2452&amp;"|"&amp;C2452</f>
        <v>tdbR00000203 Lys-UUU|62</v>
      </c>
      <c r="B2452" s="4" t="s">
        <v>70</v>
      </c>
      <c r="C2452" s="4" t="s">
        <v>485</v>
      </c>
      <c r="D2452" s="4" t="n">
        <v>62</v>
      </c>
      <c r="E2452" s="23" t="s">
        <v>414</v>
      </c>
      <c r="F2452" s="10" t="s">
        <v>471</v>
      </c>
    </row>
    <row r="2453" customFormat="false" ht="15" hidden="false" customHeight="false" outlineLevel="0" collapsed="false">
      <c r="A2453" s="4" t="str">
        <f aca="false">B2453&amp;"|"&amp;C2453</f>
        <v>tdbR00000203 Lys-UUU|63</v>
      </c>
      <c r="B2453" s="4" t="s">
        <v>70</v>
      </c>
      <c r="C2453" s="4" t="s">
        <v>486</v>
      </c>
      <c r="D2453" s="4" t="n">
        <v>63</v>
      </c>
      <c r="E2453" s="23" t="s">
        <v>414</v>
      </c>
      <c r="F2453" s="10" t="s">
        <v>471</v>
      </c>
    </row>
    <row r="2454" customFormat="false" ht="15" hidden="false" customHeight="false" outlineLevel="0" collapsed="false">
      <c r="A2454" s="4" t="str">
        <f aca="false">B2454&amp;"|"&amp;C2454</f>
        <v>tdbR00000203 Lys-UUU|64</v>
      </c>
      <c r="B2454" s="4" t="s">
        <v>70</v>
      </c>
      <c r="C2454" s="4" t="s">
        <v>487</v>
      </c>
      <c r="D2454" s="4" t="n">
        <v>64</v>
      </c>
      <c r="E2454" s="23" t="s">
        <v>414</v>
      </c>
      <c r="F2454" s="10" t="s">
        <v>471</v>
      </c>
    </row>
    <row r="2455" customFormat="false" ht="15" hidden="false" customHeight="false" outlineLevel="0" collapsed="false">
      <c r="A2455" s="4" t="str">
        <f aca="false">B2455&amp;"|"&amp;C2455</f>
        <v>tdbR00000203 Lys-UUU|65</v>
      </c>
      <c r="B2455" s="4" t="s">
        <v>70</v>
      </c>
      <c r="C2455" s="4" t="s">
        <v>488</v>
      </c>
      <c r="D2455" s="4" t="n">
        <v>65</v>
      </c>
      <c r="E2455" s="23" t="s">
        <v>246</v>
      </c>
      <c r="F2455" s="10" t="s">
        <v>471</v>
      </c>
    </row>
    <row r="2456" customFormat="false" ht="15" hidden="false" customHeight="false" outlineLevel="0" collapsed="false">
      <c r="A2456" s="4" t="str">
        <f aca="false">B2456&amp;"|"&amp;C2456</f>
        <v>tdbR00000203 Lys-UUU|66</v>
      </c>
      <c r="B2456" s="4" t="s">
        <v>70</v>
      </c>
      <c r="C2456" s="4" t="s">
        <v>489</v>
      </c>
      <c r="D2456" s="4" t="n">
        <v>66</v>
      </c>
      <c r="E2456" s="17" t="s">
        <v>259</v>
      </c>
      <c r="F2456" s="18" t="s">
        <v>412</v>
      </c>
    </row>
    <row r="2457" customFormat="false" ht="15" hidden="false" customHeight="false" outlineLevel="0" collapsed="false">
      <c r="A2457" s="4" t="str">
        <f aca="false">B2457&amp;"|"&amp;C2457</f>
        <v>tdbR00000203 Lys-UUU|67</v>
      </c>
      <c r="B2457" s="4" t="s">
        <v>70</v>
      </c>
      <c r="C2457" s="4" t="s">
        <v>490</v>
      </c>
      <c r="D2457" s="4" t="n">
        <v>67</v>
      </c>
      <c r="E2457" s="17" t="s">
        <v>197</v>
      </c>
      <c r="F2457" s="18" t="s">
        <v>412</v>
      </c>
    </row>
    <row r="2458" customFormat="false" ht="15" hidden="false" customHeight="false" outlineLevel="0" collapsed="false">
      <c r="A2458" s="4" t="str">
        <f aca="false">B2458&amp;"|"&amp;C2458</f>
        <v>tdbR00000203 Lys-UUU|68</v>
      </c>
      <c r="B2458" s="4" t="s">
        <v>70</v>
      </c>
      <c r="C2458" s="4" t="s">
        <v>491</v>
      </c>
      <c r="D2458" s="4" t="n">
        <v>68</v>
      </c>
      <c r="E2458" s="17" t="s">
        <v>259</v>
      </c>
      <c r="F2458" s="18" t="s">
        <v>412</v>
      </c>
    </row>
    <row r="2459" customFormat="false" ht="15" hidden="false" customHeight="false" outlineLevel="0" collapsed="false">
      <c r="A2459" s="4" t="str">
        <f aca="false">B2459&amp;"|"&amp;C2459</f>
        <v>tdbR00000203 Lys-UUU|69</v>
      </c>
      <c r="B2459" s="4" t="s">
        <v>70</v>
      </c>
      <c r="C2459" s="4" t="s">
        <v>492</v>
      </c>
      <c r="D2459" s="4" t="n">
        <v>69</v>
      </c>
      <c r="E2459" s="17" t="s">
        <v>197</v>
      </c>
      <c r="F2459" s="18" t="s">
        <v>412</v>
      </c>
    </row>
    <row r="2460" customFormat="false" ht="15" hidden="false" customHeight="false" outlineLevel="0" collapsed="false">
      <c r="A2460" s="4" t="str">
        <f aca="false">B2460&amp;"|"&amp;C2460</f>
        <v>tdbR00000203 Lys-UUU|70</v>
      </c>
      <c r="B2460" s="4" t="s">
        <v>70</v>
      </c>
      <c r="C2460" s="4" t="s">
        <v>493</v>
      </c>
      <c r="D2460" s="4" t="n">
        <v>70</v>
      </c>
      <c r="E2460" s="17" t="s">
        <v>197</v>
      </c>
      <c r="F2460" s="18" t="s">
        <v>412</v>
      </c>
    </row>
    <row r="2461" customFormat="false" ht="15" hidden="false" customHeight="false" outlineLevel="0" collapsed="false">
      <c r="A2461" s="4" t="str">
        <f aca="false">B2461&amp;"|"&amp;C2461</f>
        <v>tdbR00000203 Lys-UUU|71</v>
      </c>
      <c r="B2461" s="4" t="s">
        <v>70</v>
      </c>
      <c r="C2461" s="4" t="s">
        <v>494</v>
      </c>
      <c r="D2461" s="4" t="n">
        <v>71</v>
      </c>
      <c r="E2461" s="17" t="s">
        <v>197</v>
      </c>
      <c r="F2461" s="18" t="s">
        <v>412</v>
      </c>
    </row>
    <row r="2462" customFormat="false" ht="15" hidden="false" customHeight="false" outlineLevel="0" collapsed="false">
      <c r="A2462" s="4" t="str">
        <f aca="false">B2462&amp;"|"&amp;C2462</f>
        <v>tdbR00000203 Lys-UUU|72</v>
      </c>
      <c r="B2462" s="4" t="s">
        <v>70</v>
      </c>
      <c r="C2462" s="4" t="s">
        <v>495</v>
      </c>
      <c r="D2462" s="4" t="n">
        <v>72</v>
      </c>
      <c r="E2462" s="17" t="s">
        <v>414</v>
      </c>
      <c r="F2462" s="18" t="s">
        <v>412</v>
      </c>
    </row>
    <row r="2463" customFormat="false" ht="15" hidden="false" customHeight="false" outlineLevel="0" collapsed="false">
      <c r="A2463" s="4" t="str">
        <f aca="false">B2463&amp;"|"&amp;C2463</f>
        <v>tdbR00000205 Lys-UUU|1</v>
      </c>
      <c r="B2463" s="4" t="s">
        <v>71</v>
      </c>
      <c r="C2463" s="4" t="s">
        <v>411</v>
      </c>
      <c r="D2463" s="4" t="n">
        <v>1</v>
      </c>
      <c r="E2463" s="17" t="s">
        <v>197</v>
      </c>
      <c r="F2463" s="18" t="s">
        <v>412</v>
      </c>
    </row>
    <row r="2464" customFormat="false" ht="15" hidden="false" customHeight="false" outlineLevel="0" collapsed="false">
      <c r="A2464" s="4" t="str">
        <f aca="false">B2464&amp;"|"&amp;C2464</f>
        <v>tdbR00000205 Lys-UUU|2</v>
      </c>
      <c r="B2464" s="4" t="s">
        <v>71</v>
      </c>
      <c r="C2464" s="4" t="s">
        <v>413</v>
      </c>
      <c r="D2464" s="4" t="n">
        <v>2</v>
      </c>
      <c r="E2464" s="17" t="s">
        <v>414</v>
      </c>
      <c r="F2464" s="18" t="s">
        <v>412</v>
      </c>
    </row>
    <row r="2465" customFormat="false" ht="15" hidden="false" customHeight="false" outlineLevel="0" collapsed="false">
      <c r="A2465" s="4" t="str">
        <f aca="false">B2465&amp;"|"&amp;C2465</f>
        <v>tdbR00000205 Lys-UUU|3</v>
      </c>
      <c r="B2465" s="4" t="s">
        <v>71</v>
      </c>
      <c r="C2465" s="4" t="s">
        <v>415</v>
      </c>
      <c r="D2465" s="4" t="n">
        <v>3</v>
      </c>
      <c r="E2465" s="17" t="s">
        <v>414</v>
      </c>
      <c r="F2465" s="18" t="s">
        <v>412</v>
      </c>
    </row>
    <row r="2466" customFormat="false" ht="15" hidden="false" customHeight="false" outlineLevel="0" collapsed="false">
      <c r="A2466" s="4" t="str">
        <f aca="false">B2466&amp;"|"&amp;C2466</f>
        <v>tdbR00000205 Lys-UUU|4</v>
      </c>
      <c r="B2466" s="4" t="s">
        <v>71</v>
      </c>
      <c r="C2466" s="4" t="s">
        <v>416</v>
      </c>
      <c r="D2466" s="4" t="n">
        <v>4</v>
      </c>
      <c r="E2466" s="17" t="s">
        <v>259</v>
      </c>
      <c r="F2466" s="18" t="s">
        <v>412</v>
      </c>
    </row>
    <row r="2467" customFormat="false" ht="15" hidden="false" customHeight="false" outlineLevel="0" collapsed="false">
      <c r="A2467" s="4" t="str">
        <f aca="false">B2467&amp;"|"&amp;C2467</f>
        <v>tdbR00000205 Lys-UUU|5</v>
      </c>
      <c r="B2467" s="4" t="s">
        <v>71</v>
      </c>
      <c r="C2467" s="4" t="s">
        <v>417</v>
      </c>
      <c r="D2467" s="4" t="n">
        <v>5</v>
      </c>
      <c r="E2467" s="17" t="s">
        <v>259</v>
      </c>
      <c r="F2467" s="18" t="s">
        <v>412</v>
      </c>
    </row>
    <row r="2468" customFormat="false" ht="15" hidden="false" customHeight="false" outlineLevel="0" collapsed="false">
      <c r="A2468" s="4" t="str">
        <f aca="false">B2468&amp;"|"&amp;C2468</f>
        <v>tdbR00000205 Lys-UUU|6</v>
      </c>
      <c r="B2468" s="4" t="s">
        <v>71</v>
      </c>
      <c r="C2468" s="4" t="s">
        <v>418</v>
      </c>
      <c r="D2468" s="4" t="n">
        <v>6</v>
      </c>
      <c r="E2468" s="17" t="s">
        <v>414</v>
      </c>
      <c r="F2468" s="18" t="s">
        <v>412</v>
      </c>
    </row>
    <row r="2469" customFormat="false" ht="15" hidden="false" customHeight="false" outlineLevel="0" collapsed="false">
      <c r="A2469" s="4" t="str">
        <f aca="false">B2469&amp;"|"&amp;C2469</f>
        <v>tdbR00000205 Lys-UUU|7</v>
      </c>
      <c r="B2469" s="4" t="s">
        <v>71</v>
      </c>
      <c r="C2469" s="4" t="s">
        <v>419</v>
      </c>
      <c r="D2469" s="4" t="n">
        <v>7</v>
      </c>
      <c r="E2469" s="17" t="s">
        <v>246</v>
      </c>
      <c r="F2469" s="18" t="s">
        <v>412</v>
      </c>
    </row>
    <row r="2470" customFormat="false" ht="15" hidden="false" customHeight="false" outlineLevel="0" collapsed="false">
      <c r="A2470" s="4" t="str">
        <f aca="false">B2470&amp;"|"&amp;C2470</f>
        <v>tdbR00000205 Lys-UUU|8</v>
      </c>
      <c r="B2470" s="4" t="s">
        <v>71</v>
      </c>
      <c r="C2470" s="4" t="s">
        <v>420</v>
      </c>
      <c r="D2470" s="4" t="n">
        <v>8</v>
      </c>
      <c r="E2470" s="3" t="s">
        <v>259</v>
      </c>
      <c r="F2470" s="4" t="s">
        <v>421</v>
      </c>
    </row>
    <row r="2471" customFormat="false" ht="15" hidden="false" customHeight="false" outlineLevel="0" collapsed="false">
      <c r="A2471" s="4" t="str">
        <f aca="false">B2471&amp;"|"&amp;C2471</f>
        <v>tdbR00000205 Lys-UUU|9</v>
      </c>
      <c r="B2471" s="4" t="s">
        <v>71</v>
      </c>
      <c r="C2471" s="4" t="s">
        <v>422</v>
      </c>
      <c r="D2471" s="4" t="n">
        <v>9</v>
      </c>
      <c r="E2471" s="3" t="s">
        <v>246</v>
      </c>
      <c r="F2471" s="4" t="s">
        <v>423</v>
      </c>
    </row>
    <row r="2472" customFormat="false" ht="15" hidden="false" customHeight="false" outlineLevel="0" collapsed="false">
      <c r="A2472" s="4" t="str">
        <f aca="false">B2472&amp;"|"&amp;C2472</f>
        <v>tdbR00000205 Lys-UUU|10</v>
      </c>
      <c r="B2472" s="4" t="s">
        <v>71</v>
      </c>
      <c r="C2472" s="4" t="s">
        <v>424</v>
      </c>
      <c r="D2472" s="4" t="n">
        <v>10</v>
      </c>
      <c r="E2472" s="8" t="s">
        <v>197</v>
      </c>
      <c r="F2472" s="7" t="s">
        <v>425</v>
      </c>
    </row>
    <row r="2473" customFormat="false" ht="15" hidden="false" customHeight="false" outlineLevel="0" collapsed="false">
      <c r="A2473" s="4" t="str">
        <f aca="false">B2473&amp;"|"&amp;C2473</f>
        <v>tdbR00000205 Lys-UUU|11</v>
      </c>
      <c r="B2473" s="4" t="s">
        <v>71</v>
      </c>
      <c r="C2473" s="4" t="s">
        <v>426</v>
      </c>
      <c r="D2473" s="4" t="n">
        <v>11</v>
      </c>
      <c r="E2473" s="8" t="s">
        <v>414</v>
      </c>
      <c r="F2473" s="7" t="s">
        <v>425</v>
      </c>
    </row>
    <row r="2474" customFormat="false" ht="15" hidden="false" customHeight="false" outlineLevel="0" collapsed="false">
      <c r="A2474" s="4" t="str">
        <f aca="false">B2474&amp;"|"&amp;C2474</f>
        <v>tdbR00000205 Lys-UUU|12</v>
      </c>
      <c r="B2474" s="4" t="s">
        <v>71</v>
      </c>
      <c r="C2474" s="4" t="s">
        <v>427</v>
      </c>
      <c r="D2474" s="4" t="n">
        <v>12</v>
      </c>
      <c r="E2474" s="8" t="s">
        <v>259</v>
      </c>
      <c r="F2474" s="7" t="s">
        <v>425</v>
      </c>
    </row>
    <row r="2475" customFormat="false" ht="15" hidden="false" customHeight="false" outlineLevel="0" collapsed="false">
      <c r="A2475" s="4" t="str">
        <f aca="false">B2475&amp;"|"&amp;C2475</f>
        <v>tdbR00000205 Lys-UUU|13</v>
      </c>
      <c r="B2475" s="4" t="s">
        <v>71</v>
      </c>
      <c r="C2475" s="4" t="s">
        <v>428</v>
      </c>
      <c r="D2475" s="4" t="n">
        <v>13</v>
      </c>
      <c r="E2475" s="8" t="s">
        <v>414</v>
      </c>
      <c r="F2475" s="7" t="s">
        <v>425</v>
      </c>
    </row>
    <row r="2476" customFormat="false" ht="15" hidden="false" customHeight="false" outlineLevel="0" collapsed="false">
      <c r="A2476" s="4" t="str">
        <f aca="false">B2476&amp;"|"&amp;C2476</f>
        <v>tdbR00000205 Lys-UUU|14</v>
      </c>
      <c r="B2476" s="4" t="s">
        <v>71</v>
      </c>
      <c r="C2476" s="4" t="s">
        <v>429</v>
      </c>
      <c r="D2476" s="4" t="n">
        <v>14</v>
      </c>
      <c r="E2476" s="19" t="s">
        <v>246</v>
      </c>
      <c r="F2476" s="20" t="s">
        <v>430</v>
      </c>
    </row>
    <row r="2477" customFormat="false" ht="15" hidden="false" customHeight="false" outlineLevel="0" collapsed="false">
      <c r="A2477" s="4" t="str">
        <f aca="false">B2477&amp;"|"&amp;C2477</f>
        <v>tdbR00000205 Lys-UUU|15</v>
      </c>
      <c r="B2477" s="4" t="s">
        <v>71</v>
      </c>
      <c r="C2477" s="4" t="s">
        <v>431</v>
      </c>
      <c r="D2477" s="4" t="n">
        <v>15</v>
      </c>
      <c r="E2477" s="19" t="s">
        <v>197</v>
      </c>
      <c r="F2477" s="20" t="s">
        <v>430</v>
      </c>
    </row>
    <row r="2478" customFormat="false" ht="15" hidden="false" customHeight="false" outlineLevel="0" collapsed="false">
      <c r="A2478" s="4" t="str">
        <f aca="false">B2478&amp;"|"&amp;C2478</f>
        <v>tdbR00000205 Lys-UUU|16</v>
      </c>
      <c r="B2478" s="4" t="s">
        <v>71</v>
      </c>
      <c r="C2478" s="4" t="s">
        <v>432</v>
      </c>
      <c r="D2478" s="4" t="n">
        <v>16</v>
      </c>
      <c r="E2478" s="19" t="s">
        <v>259</v>
      </c>
      <c r="F2478" s="20" t="s">
        <v>430</v>
      </c>
    </row>
    <row r="2479" customFormat="false" ht="15" hidden="false" customHeight="false" outlineLevel="0" collapsed="false">
      <c r="A2479" s="4" t="str">
        <f aca="false">B2479&amp;"|"&amp;C2479</f>
        <v>tdbR00000205 Lys-UUU|17</v>
      </c>
      <c r="B2479" s="4" t="s">
        <v>71</v>
      </c>
      <c r="C2479" s="4" t="s">
        <v>433</v>
      </c>
      <c r="D2479" s="4" t="n">
        <v>17</v>
      </c>
      <c r="E2479" s="19" t="s">
        <v>414</v>
      </c>
      <c r="F2479" s="20" t="s">
        <v>430</v>
      </c>
    </row>
    <row r="2480" customFormat="false" ht="15" hidden="false" customHeight="false" outlineLevel="0" collapsed="false">
      <c r="A2480" s="4" t="str">
        <f aca="false">B2480&amp;"|"&amp;C2480</f>
        <v>tdbR00000205 Lys-UUU|18</v>
      </c>
      <c r="B2480" s="4" t="s">
        <v>71</v>
      </c>
      <c r="C2480" s="4" t="s">
        <v>434</v>
      </c>
      <c r="D2480" s="4" t="n">
        <v>18</v>
      </c>
      <c r="E2480" s="19" t="s">
        <v>197</v>
      </c>
      <c r="F2480" s="20" t="s">
        <v>430</v>
      </c>
    </row>
    <row r="2481" customFormat="false" ht="15" hidden="false" customHeight="false" outlineLevel="0" collapsed="false">
      <c r="A2481" s="4" t="str">
        <f aca="false">B2481&amp;"|"&amp;C2481</f>
        <v>tdbR00000205 Lys-UUU|19</v>
      </c>
      <c r="B2481" s="4" t="s">
        <v>71</v>
      </c>
      <c r="C2481" s="4" t="s">
        <v>435</v>
      </c>
      <c r="D2481" s="4" t="n">
        <v>19</v>
      </c>
      <c r="E2481" s="19" t="s">
        <v>197</v>
      </c>
      <c r="F2481" s="20" t="s">
        <v>430</v>
      </c>
    </row>
    <row r="2482" customFormat="false" ht="15" hidden="false" customHeight="false" outlineLevel="0" collapsed="false">
      <c r="A2482" s="4" t="str">
        <f aca="false">B2482&amp;"|"&amp;C2482</f>
        <v>tdbR00000205 Lys-UUU|20</v>
      </c>
      <c r="B2482" s="4" t="s">
        <v>71</v>
      </c>
      <c r="C2482" s="4" t="s">
        <v>436</v>
      </c>
      <c r="D2482" s="4" t="n">
        <v>20</v>
      </c>
      <c r="E2482" s="19" t="s">
        <v>259</v>
      </c>
      <c r="F2482" s="20" t="s">
        <v>430</v>
      </c>
    </row>
    <row r="2483" customFormat="false" ht="15" hidden="false" customHeight="false" outlineLevel="0" collapsed="false">
      <c r="A2483" s="4" t="str">
        <f aca="false">B2483&amp;"|"&amp;C2483</f>
        <v>tdbR00000205 Lys-UUU|21</v>
      </c>
      <c r="B2483" s="4" t="s">
        <v>71</v>
      </c>
      <c r="C2483" s="4" t="s">
        <v>438</v>
      </c>
      <c r="D2483" s="4" t="n">
        <v>21</v>
      </c>
      <c r="E2483" s="19" t="s">
        <v>246</v>
      </c>
      <c r="F2483" s="20" t="s">
        <v>430</v>
      </c>
    </row>
    <row r="2484" customFormat="false" ht="15" hidden="false" customHeight="false" outlineLevel="0" collapsed="false">
      <c r="A2484" s="4" t="str">
        <f aca="false">B2484&amp;"|"&amp;C2484</f>
        <v>tdbR00000205 Lys-UUU|22</v>
      </c>
      <c r="B2484" s="4" t="s">
        <v>71</v>
      </c>
      <c r="C2484" s="4" t="s">
        <v>439</v>
      </c>
      <c r="D2484" s="4" t="n">
        <v>22</v>
      </c>
      <c r="E2484" s="8" t="s">
        <v>197</v>
      </c>
      <c r="F2484" s="7" t="s">
        <v>425</v>
      </c>
    </row>
    <row r="2485" customFormat="false" ht="15" hidden="false" customHeight="false" outlineLevel="0" collapsed="false">
      <c r="A2485" s="4" t="str">
        <f aca="false">B2485&amp;"|"&amp;C2485</f>
        <v>tdbR00000205 Lys-UUU|23</v>
      </c>
      <c r="B2485" s="4" t="s">
        <v>71</v>
      </c>
      <c r="C2485" s="4" t="s">
        <v>440</v>
      </c>
      <c r="D2485" s="4" t="n">
        <v>23</v>
      </c>
      <c r="E2485" s="8" t="s">
        <v>246</v>
      </c>
      <c r="F2485" s="7" t="s">
        <v>425</v>
      </c>
    </row>
    <row r="2486" customFormat="false" ht="15" hidden="false" customHeight="false" outlineLevel="0" collapsed="false">
      <c r="A2486" s="4" t="str">
        <f aca="false">B2486&amp;"|"&amp;C2486</f>
        <v>tdbR00000205 Lys-UUU|24</v>
      </c>
      <c r="B2486" s="4" t="s">
        <v>71</v>
      </c>
      <c r="C2486" s="4" t="s">
        <v>441</v>
      </c>
      <c r="D2486" s="4" t="n">
        <v>24</v>
      </c>
      <c r="E2486" s="8" t="s">
        <v>197</v>
      </c>
      <c r="F2486" s="7" t="s">
        <v>425</v>
      </c>
    </row>
    <row r="2487" customFormat="false" ht="15" hidden="false" customHeight="false" outlineLevel="0" collapsed="false">
      <c r="A2487" s="4" t="str">
        <f aca="false">B2487&amp;"|"&amp;C2487</f>
        <v>tdbR00000205 Lys-UUU|25</v>
      </c>
      <c r="B2487" s="4" t="s">
        <v>71</v>
      </c>
      <c r="C2487" s="4" t="s">
        <v>442</v>
      </c>
      <c r="D2487" s="4" t="n">
        <v>25</v>
      </c>
      <c r="E2487" s="8" t="s">
        <v>414</v>
      </c>
      <c r="F2487" s="7" t="s">
        <v>425</v>
      </c>
    </row>
    <row r="2488" customFormat="false" ht="15" hidden="false" customHeight="false" outlineLevel="0" collapsed="false">
      <c r="A2488" s="4" t="str">
        <f aca="false">B2488&amp;"|"&amp;C2488</f>
        <v>tdbR00000205 Lys-UUU|26</v>
      </c>
      <c r="B2488" s="4" t="s">
        <v>71</v>
      </c>
      <c r="C2488" s="4" t="s">
        <v>443</v>
      </c>
      <c r="D2488" s="4" t="n">
        <v>26</v>
      </c>
      <c r="E2488" s="3" t="s">
        <v>246</v>
      </c>
      <c r="F2488" s="4" t="s">
        <v>444</v>
      </c>
    </row>
    <row r="2489" customFormat="false" ht="15" hidden="false" customHeight="false" outlineLevel="0" collapsed="false">
      <c r="A2489" s="4" t="str">
        <f aca="false">B2489&amp;"|"&amp;C2489</f>
        <v>tdbR00000205 Lys-UUU|27</v>
      </c>
      <c r="B2489" s="4" t="s">
        <v>71</v>
      </c>
      <c r="C2489" s="4" t="s">
        <v>445</v>
      </c>
      <c r="D2489" s="4" t="n">
        <v>27</v>
      </c>
      <c r="E2489" s="21" t="s">
        <v>259</v>
      </c>
      <c r="F2489" s="22" t="s">
        <v>446</v>
      </c>
    </row>
    <row r="2490" customFormat="false" ht="15" hidden="false" customHeight="false" outlineLevel="0" collapsed="false">
      <c r="A2490" s="4" t="str">
        <f aca="false">B2490&amp;"|"&amp;C2490</f>
        <v>tdbR00000205 Lys-UUU|28</v>
      </c>
      <c r="B2490" s="4" t="s">
        <v>71</v>
      </c>
      <c r="C2490" s="4" t="s">
        <v>447</v>
      </c>
      <c r="D2490" s="4" t="n">
        <v>28</v>
      </c>
      <c r="E2490" s="21" t="s">
        <v>414</v>
      </c>
      <c r="F2490" s="22" t="s">
        <v>446</v>
      </c>
    </row>
    <row r="2491" customFormat="false" ht="15" hidden="false" customHeight="false" outlineLevel="0" collapsed="false">
      <c r="A2491" s="4" t="str">
        <f aca="false">B2491&amp;"|"&amp;C2491</f>
        <v>tdbR00000205 Lys-UUU|29</v>
      </c>
      <c r="B2491" s="4" t="s">
        <v>71</v>
      </c>
      <c r="C2491" s="4" t="s">
        <v>448</v>
      </c>
      <c r="D2491" s="4" t="n">
        <v>29</v>
      </c>
      <c r="E2491" s="21" t="s">
        <v>246</v>
      </c>
      <c r="F2491" s="22" t="s">
        <v>446</v>
      </c>
    </row>
    <row r="2492" customFormat="false" ht="15" hidden="false" customHeight="false" outlineLevel="0" collapsed="false">
      <c r="A2492" s="4" t="str">
        <f aca="false">B2492&amp;"|"&amp;C2492</f>
        <v>tdbR00000205 Lys-UUU|30</v>
      </c>
      <c r="B2492" s="4" t="s">
        <v>71</v>
      </c>
      <c r="C2492" s="4" t="s">
        <v>449</v>
      </c>
      <c r="D2492" s="4" t="n">
        <v>30</v>
      </c>
      <c r="E2492" s="21" t="s">
        <v>197</v>
      </c>
      <c r="F2492" s="22" t="s">
        <v>446</v>
      </c>
    </row>
    <row r="2493" customFormat="false" ht="15" hidden="false" customHeight="false" outlineLevel="0" collapsed="false">
      <c r="A2493" s="4" t="str">
        <f aca="false">B2493&amp;"|"&amp;C2493</f>
        <v>tdbR00000205 Lys-UUU|31</v>
      </c>
      <c r="B2493" s="4" t="s">
        <v>71</v>
      </c>
      <c r="C2493" s="4" t="s">
        <v>450</v>
      </c>
      <c r="D2493" s="4" t="n">
        <v>31</v>
      </c>
      <c r="E2493" s="21" t="s">
        <v>246</v>
      </c>
      <c r="F2493" s="22" t="s">
        <v>446</v>
      </c>
    </row>
    <row r="2494" customFormat="false" ht="15" hidden="false" customHeight="false" outlineLevel="0" collapsed="false">
      <c r="A2494" s="4" t="str">
        <f aca="false">B2494&amp;"|"&amp;C2494</f>
        <v>tdbR00000205 Lys-UUU|32</v>
      </c>
      <c r="B2494" s="4" t="s">
        <v>71</v>
      </c>
      <c r="C2494" s="4" t="s">
        <v>451</v>
      </c>
      <c r="D2494" s="4" t="n">
        <v>32</v>
      </c>
      <c r="E2494" s="19" t="s">
        <v>414</v>
      </c>
      <c r="F2494" s="20" t="s">
        <v>452</v>
      </c>
    </row>
    <row r="2495" customFormat="false" ht="15" hidden="false" customHeight="false" outlineLevel="0" collapsed="false">
      <c r="A2495" s="4" t="str">
        <f aca="false">B2495&amp;"|"&amp;C2495</f>
        <v>tdbR00000205 Lys-UUU|33</v>
      </c>
      <c r="B2495" s="4" t="s">
        <v>71</v>
      </c>
      <c r="C2495" s="4" t="s">
        <v>453</v>
      </c>
      <c r="D2495" s="4" t="n">
        <v>33</v>
      </c>
      <c r="E2495" s="19" t="s">
        <v>259</v>
      </c>
      <c r="F2495" s="20" t="s">
        <v>452</v>
      </c>
    </row>
    <row r="2496" customFormat="false" ht="15" hidden="false" customHeight="false" outlineLevel="0" collapsed="false">
      <c r="A2496" s="4" t="str">
        <f aca="false">B2496&amp;"|"&amp;C2496</f>
        <v>tdbR00000205 Lys-UUU|34</v>
      </c>
      <c r="B2496" s="4" t="s">
        <v>71</v>
      </c>
      <c r="C2496" s="4" t="s">
        <v>454</v>
      </c>
      <c r="D2496" s="4" t="n">
        <v>34</v>
      </c>
      <c r="E2496" s="19" t="s">
        <v>259</v>
      </c>
      <c r="F2496" s="20" t="s">
        <v>452</v>
      </c>
    </row>
    <row r="2497" customFormat="false" ht="15" hidden="false" customHeight="false" outlineLevel="0" collapsed="false">
      <c r="A2497" s="4" t="str">
        <f aca="false">B2497&amp;"|"&amp;C2497</f>
        <v>tdbR00000205 Lys-UUU|35</v>
      </c>
      <c r="B2497" s="4" t="s">
        <v>71</v>
      </c>
      <c r="C2497" s="4" t="s">
        <v>455</v>
      </c>
      <c r="D2497" s="4" t="n">
        <v>35</v>
      </c>
      <c r="E2497" s="19" t="s">
        <v>259</v>
      </c>
      <c r="F2497" s="20" t="s">
        <v>452</v>
      </c>
    </row>
    <row r="2498" customFormat="false" ht="15" hidden="false" customHeight="false" outlineLevel="0" collapsed="false">
      <c r="A2498" s="4" t="str">
        <f aca="false">B2498&amp;"|"&amp;C2498</f>
        <v>tdbR00000205 Lys-UUU|36</v>
      </c>
      <c r="B2498" s="4" t="s">
        <v>71</v>
      </c>
      <c r="C2498" s="4" t="s">
        <v>456</v>
      </c>
      <c r="D2498" s="4" t="n">
        <v>36</v>
      </c>
      <c r="E2498" s="19" t="s">
        <v>259</v>
      </c>
      <c r="F2498" s="20" t="s">
        <v>452</v>
      </c>
    </row>
    <row r="2499" customFormat="false" ht="15" hidden="false" customHeight="false" outlineLevel="0" collapsed="false">
      <c r="A2499" s="4" t="str">
        <f aca="false">B2499&amp;"|"&amp;C2499</f>
        <v>tdbR00000205 Lys-UUU|37</v>
      </c>
      <c r="B2499" s="4" t="s">
        <v>71</v>
      </c>
      <c r="C2499" s="4" t="s">
        <v>457</v>
      </c>
      <c r="D2499" s="4" t="n">
        <v>37</v>
      </c>
      <c r="E2499" s="19" t="s">
        <v>246</v>
      </c>
      <c r="F2499" s="20" t="s">
        <v>452</v>
      </c>
    </row>
    <row r="2500" customFormat="false" ht="15" hidden="false" customHeight="false" outlineLevel="0" collapsed="false">
      <c r="A2500" s="4" t="str">
        <f aca="false">B2500&amp;"|"&amp;C2500</f>
        <v>tdbR00000205 Lys-UUU|38</v>
      </c>
      <c r="B2500" s="4" t="s">
        <v>71</v>
      </c>
      <c r="C2500" s="4" t="s">
        <v>458</v>
      </c>
      <c r="D2500" s="4" t="n">
        <v>38</v>
      </c>
      <c r="E2500" s="19" t="s">
        <v>246</v>
      </c>
      <c r="F2500" s="20" t="s">
        <v>452</v>
      </c>
    </row>
    <row r="2501" customFormat="false" ht="15" hidden="false" customHeight="false" outlineLevel="0" collapsed="false">
      <c r="A2501" s="4" t="str">
        <f aca="false">B2501&amp;"|"&amp;C2501</f>
        <v>tdbR00000205 Lys-UUU|39</v>
      </c>
      <c r="B2501" s="4" t="s">
        <v>71</v>
      </c>
      <c r="C2501" s="4" t="s">
        <v>459</v>
      </c>
      <c r="D2501" s="4" t="n">
        <v>39</v>
      </c>
      <c r="E2501" s="21" t="s">
        <v>259</v>
      </c>
      <c r="F2501" s="22" t="s">
        <v>446</v>
      </c>
    </row>
    <row r="2502" customFormat="false" ht="15" hidden="false" customHeight="false" outlineLevel="0" collapsed="false">
      <c r="A2502" s="4" t="str">
        <f aca="false">B2502&amp;"|"&amp;C2502</f>
        <v>tdbR00000205 Lys-UUU|40</v>
      </c>
      <c r="B2502" s="4" t="s">
        <v>71</v>
      </c>
      <c r="C2502" s="4" t="s">
        <v>460</v>
      </c>
      <c r="D2502" s="4" t="n">
        <v>40</v>
      </c>
      <c r="E2502" s="21" t="s">
        <v>414</v>
      </c>
      <c r="F2502" s="22" t="s">
        <v>446</v>
      </c>
    </row>
    <row r="2503" customFormat="false" ht="15" hidden="false" customHeight="false" outlineLevel="0" collapsed="false">
      <c r="A2503" s="4" t="str">
        <f aca="false">B2503&amp;"|"&amp;C2503</f>
        <v>tdbR00000205 Lys-UUU|41</v>
      </c>
      <c r="B2503" s="4" t="s">
        <v>71</v>
      </c>
      <c r="C2503" s="4" t="s">
        <v>461</v>
      </c>
      <c r="D2503" s="4" t="n">
        <v>41</v>
      </c>
      <c r="E2503" s="21" t="s">
        <v>259</v>
      </c>
      <c r="F2503" s="22" t="s">
        <v>446</v>
      </c>
    </row>
    <row r="2504" customFormat="false" ht="15" hidden="false" customHeight="false" outlineLevel="0" collapsed="false">
      <c r="A2504" s="4" t="str">
        <f aca="false">B2504&amp;"|"&amp;C2504</f>
        <v>tdbR00000205 Lys-UUU|42</v>
      </c>
      <c r="B2504" s="4" t="s">
        <v>71</v>
      </c>
      <c r="C2504" s="4" t="s">
        <v>462</v>
      </c>
      <c r="D2504" s="4" t="n">
        <v>42</v>
      </c>
      <c r="E2504" s="21" t="s">
        <v>197</v>
      </c>
      <c r="F2504" s="22" t="s">
        <v>446</v>
      </c>
    </row>
    <row r="2505" customFormat="false" ht="15" hidden="false" customHeight="false" outlineLevel="0" collapsed="false">
      <c r="A2505" s="4" t="str">
        <f aca="false">B2505&amp;"|"&amp;C2505</f>
        <v>tdbR00000205 Lys-UUU|43</v>
      </c>
      <c r="B2505" s="4" t="s">
        <v>71</v>
      </c>
      <c r="C2505" s="4" t="s">
        <v>463</v>
      </c>
      <c r="D2505" s="4" t="n">
        <v>43</v>
      </c>
      <c r="E2505" s="21" t="s">
        <v>246</v>
      </c>
      <c r="F2505" s="22" t="s">
        <v>446</v>
      </c>
    </row>
    <row r="2506" customFormat="false" ht="15" hidden="false" customHeight="false" outlineLevel="0" collapsed="false">
      <c r="A2506" s="4" t="str">
        <f aca="false">B2506&amp;"|"&amp;C2506</f>
        <v>tdbR00000205 Lys-UUU|44</v>
      </c>
      <c r="B2506" s="4" t="s">
        <v>71</v>
      </c>
      <c r="C2506" s="4" t="s">
        <v>464</v>
      </c>
      <c r="D2506" s="4" t="n">
        <v>44</v>
      </c>
      <c r="E2506" s="19" t="s">
        <v>197</v>
      </c>
      <c r="F2506" s="20" t="s">
        <v>465</v>
      </c>
    </row>
    <row r="2507" customFormat="false" ht="15" hidden="false" customHeight="false" outlineLevel="0" collapsed="false">
      <c r="A2507" s="4" t="str">
        <f aca="false">B2507&amp;"|"&amp;C2507</f>
        <v>tdbR00000205 Lys-UUU|45</v>
      </c>
      <c r="B2507" s="4" t="s">
        <v>71</v>
      </c>
      <c r="C2507" s="4" t="s">
        <v>466</v>
      </c>
      <c r="D2507" s="4" t="n">
        <v>45</v>
      </c>
      <c r="E2507" s="19" t="s">
        <v>197</v>
      </c>
      <c r="F2507" s="20" t="s">
        <v>465</v>
      </c>
    </row>
    <row r="2508" customFormat="false" ht="15" hidden="false" customHeight="false" outlineLevel="0" collapsed="false">
      <c r="A2508" s="4" t="str">
        <f aca="false">B2508&amp;"|"&amp;C2508</f>
        <v>tdbR00000205 Lys-UUU|46</v>
      </c>
      <c r="B2508" s="4" t="s">
        <v>71</v>
      </c>
      <c r="C2508" s="4" t="s">
        <v>467</v>
      </c>
      <c r="D2508" s="4" t="n">
        <v>46</v>
      </c>
      <c r="E2508" s="19" t="s">
        <v>197</v>
      </c>
      <c r="F2508" s="20" t="s">
        <v>465</v>
      </c>
    </row>
    <row r="2509" customFormat="false" ht="15" hidden="false" customHeight="false" outlineLevel="0" collapsed="false">
      <c r="A2509" s="4" t="str">
        <f aca="false">B2509&amp;"|"&amp;C2509</f>
        <v>tdbR00000205 Lys-UUU|47</v>
      </c>
      <c r="B2509" s="4" t="s">
        <v>71</v>
      </c>
      <c r="C2509" s="4" t="s">
        <v>468</v>
      </c>
      <c r="D2509" s="4" t="n">
        <v>47</v>
      </c>
      <c r="E2509" s="19" t="s">
        <v>259</v>
      </c>
      <c r="F2509" s="20" t="s">
        <v>465</v>
      </c>
    </row>
    <row r="2510" customFormat="false" ht="15" hidden="false" customHeight="false" outlineLevel="0" collapsed="false">
      <c r="A2510" s="4" t="str">
        <f aca="false">B2510&amp;"|"&amp;C2510</f>
        <v>tdbR00000205 Lys-UUU|48</v>
      </c>
      <c r="B2510" s="4" t="s">
        <v>71</v>
      </c>
      <c r="C2510" s="4" t="s">
        <v>469</v>
      </c>
      <c r="D2510" s="4" t="n">
        <v>48</v>
      </c>
      <c r="E2510" s="19" t="s">
        <v>414</v>
      </c>
      <c r="F2510" s="20" t="s">
        <v>465</v>
      </c>
    </row>
    <row r="2511" customFormat="false" ht="15" hidden="false" customHeight="false" outlineLevel="0" collapsed="false">
      <c r="A2511" s="4" t="str">
        <f aca="false">B2511&amp;"|"&amp;C2511</f>
        <v>tdbR00000205 Lys-UUU|49</v>
      </c>
      <c r="B2511" s="4" t="s">
        <v>71</v>
      </c>
      <c r="C2511" s="4" t="s">
        <v>470</v>
      </c>
      <c r="D2511" s="4" t="n">
        <v>49</v>
      </c>
      <c r="E2511" s="23" t="s">
        <v>259</v>
      </c>
      <c r="F2511" s="10" t="s">
        <v>471</v>
      </c>
    </row>
    <row r="2512" customFormat="false" ht="15" hidden="false" customHeight="false" outlineLevel="0" collapsed="false">
      <c r="A2512" s="4" t="str">
        <f aca="false">B2512&amp;"|"&amp;C2512</f>
        <v>tdbR00000205 Lys-UUU|50</v>
      </c>
      <c r="B2512" s="4" t="s">
        <v>71</v>
      </c>
      <c r="C2512" s="4" t="s">
        <v>472</v>
      </c>
      <c r="D2512" s="4" t="n">
        <v>50</v>
      </c>
      <c r="E2512" s="23" t="s">
        <v>197</v>
      </c>
      <c r="F2512" s="10" t="s">
        <v>471</v>
      </c>
    </row>
    <row r="2513" customFormat="false" ht="15" hidden="false" customHeight="false" outlineLevel="0" collapsed="false">
      <c r="A2513" s="4" t="str">
        <f aca="false">B2513&amp;"|"&amp;C2513</f>
        <v>tdbR00000205 Lys-UUU|51</v>
      </c>
      <c r="B2513" s="4" t="s">
        <v>71</v>
      </c>
      <c r="C2513" s="4" t="s">
        <v>473</v>
      </c>
      <c r="D2513" s="4" t="n">
        <v>51</v>
      </c>
      <c r="E2513" s="23" t="s">
        <v>197</v>
      </c>
      <c r="F2513" s="10" t="s">
        <v>471</v>
      </c>
    </row>
    <row r="2514" customFormat="false" ht="15" hidden="false" customHeight="false" outlineLevel="0" collapsed="false">
      <c r="A2514" s="4" t="str">
        <f aca="false">B2514&amp;"|"&amp;C2514</f>
        <v>tdbR00000205 Lys-UUU|52</v>
      </c>
      <c r="B2514" s="4" t="s">
        <v>71</v>
      </c>
      <c r="C2514" s="4" t="s">
        <v>474</v>
      </c>
      <c r="D2514" s="4" t="n">
        <v>52</v>
      </c>
      <c r="E2514" s="23" t="s">
        <v>197</v>
      </c>
      <c r="F2514" s="10" t="s">
        <v>471</v>
      </c>
    </row>
    <row r="2515" customFormat="false" ht="15" hidden="false" customHeight="false" outlineLevel="0" collapsed="false">
      <c r="A2515" s="4" t="str">
        <f aca="false">B2515&amp;"|"&amp;C2515</f>
        <v>tdbR00000205 Lys-UUU|53</v>
      </c>
      <c r="B2515" s="4" t="s">
        <v>71</v>
      </c>
      <c r="C2515" s="4" t="s">
        <v>475</v>
      </c>
      <c r="D2515" s="4" t="n">
        <v>53</v>
      </c>
      <c r="E2515" s="23" t="s">
        <v>197</v>
      </c>
      <c r="F2515" s="10" t="s">
        <v>471</v>
      </c>
    </row>
    <row r="2516" customFormat="false" ht="15" hidden="false" customHeight="false" outlineLevel="0" collapsed="false">
      <c r="A2516" s="4" t="str">
        <f aca="false">B2516&amp;"|"&amp;C2516</f>
        <v>tdbR00000205 Lys-UUU|54</v>
      </c>
      <c r="B2516" s="4" t="s">
        <v>71</v>
      </c>
      <c r="C2516" s="4" t="s">
        <v>476</v>
      </c>
      <c r="D2516" s="4" t="n">
        <v>54</v>
      </c>
      <c r="E2516" s="19" t="s">
        <v>259</v>
      </c>
      <c r="F2516" s="20" t="s">
        <v>477</v>
      </c>
    </row>
    <row r="2517" customFormat="false" ht="15" hidden="false" customHeight="false" outlineLevel="0" collapsed="false">
      <c r="A2517" s="4" t="str">
        <f aca="false">B2517&amp;"|"&amp;C2517</f>
        <v>tdbR00000205 Lys-UUU|55</v>
      </c>
      <c r="B2517" s="4" t="s">
        <v>71</v>
      </c>
      <c r="C2517" s="4" t="s">
        <v>478</v>
      </c>
      <c r="D2517" s="4" t="n">
        <v>55</v>
      </c>
      <c r="E2517" s="19" t="s">
        <v>259</v>
      </c>
      <c r="F2517" s="20" t="s">
        <v>477</v>
      </c>
    </row>
    <row r="2518" customFormat="false" ht="15" hidden="false" customHeight="false" outlineLevel="0" collapsed="false">
      <c r="A2518" s="4" t="str">
        <f aca="false">B2518&amp;"|"&amp;C2518</f>
        <v>tdbR00000205 Lys-UUU|56</v>
      </c>
      <c r="B2518" s="4" t="s">
        <v>71</v>
      </c>
      <c r="C2518" s="4" t="s">
        <v>479</v>
      </c>
      <c r="D2518" s="4" t="n">
        <v>56</v>
      </c>
      <c r="E2518" s="19" t="s">
        <v>414</v>
      </c>
      <c r="F2518" s="20" t="s">
        <v>477</v>
      </c>
    </row>
    <row r="2519" customFormat="false" ht="15" hidden="false" customHeight="false" outlineLevel="0" collapsed="false">
      <c r="A2519" s="4" t="str">
        <f aca="false">B2519&amp;"|"&amp;C2519</f>
        <v>tdbR00000205 Lys-UUU|57</v>
      </c>
      <c r="B2519" s="4" t="s">
        <v>71</v>
      </c>
      <c r="C2519" s="4" t="s">
        <v>480</v>
      </c>
      <c r="D2519" s="4" t="n">
        <v>57</v>
      </c>
      <c r="E2519" s="19" t="s">
        <v>197</v>
      </c>
      <c r="F2519" s="20" t="s">
        <v>477</v>
      </c>
    </row>
    <row r="2520" customFormat="false" ht="15" hidden="false" customHeight="false" outlineLevel="0" collapsed="false">
      <c r="A2520" s="4" t="str">
        <f aca="false">B2520&amp;"|"&amp;C2520</f>
        <v>tdbR00000205 Lys-UUU|58</v>
      </c>
      <c r="B2520" s="4" t="s">
        <v>71</v>
      </c>
      <c r="C2520" s="4" t="s">
        <v>481</v>
      </c>
      <c r="D2520" s="4" t="n">
        <v>58</v>
      </c>
      <c r="E2520" s="19" t="s">
        <v>246</v>
      </c>
      <c r="F2520" s="20" t="s">
        <v>477</v>
      </c>
    </row>
    <row r="2521" customFormat="false" ht="15" hidden="false" customHeight="false" outlineLevel="0" collapsed="false">
      <c r="A2521" s="4" t="str">
        <f aca="false">B2521&amp;"|"&amp;C2521</f>
        <v>tdbR00000205 Lys-UUU|59</v>
      </c>
      <c r="B2521" s="4" t="s">
        <v>71</v>
      </c>
      <c r="C2521" s="4" t="s">
        <v>482</v>
      </c>
      <c r="D2521" s="4" t="n">
        <v>59</v>
      </c>
      <c r="E2521" s="19" t="s">
        <v>197</v>
      </c>
      <c r="F2521" s="20" t="s">
        <v>477</v>
      </c>
    </row>
    <row r="2522" customFormat="false" ht="15" hidden="false" customHeight="false" outlineLevel="0" collapsed="false">
      <c r="A2522" s="4" t="str">
        <f aca="false">B2522&amp;"|"&amp;C2522</f>
        <v>tdbR00000205 Lys-UUU|60</v>
      </c>
      <c r="B2522" s="4" t="s">
        <v>71</v>
      </c>
      <c r="C2522" s="4" t="s">
        <v>483</v>
      </c>
      <c r="D2522" s="4" t="n">
        <v>60</v>
      </c>
      <c r="E2522" s="19" t="s">
        <v>259</v>
      </c>
      <c r="F2522" s="20" t="s">
        <v>477</v>
      </c>
    </row>
    <row r="2523" customFormat="false" ht="15" hidden="false" customHeight="false" outlineLevel="0" collapsed="false">
      <c r="A2523" s="4" t="str">
        <f aca="false">B2523&amp;"|"&amp;C2523</f>
        <v>tdbR00000205 Lys-UUU|61</v>
      </c>
      <c r="B2523" s="4" t="s">
        <v>71</v>
      </c>
      <c r="C2523" s="4" t="s">
        <v>484</v>
      </c>
      <c r="D2523" s="4" t="n">
        <v>61</v>
      </c>
      <c r="E2523" s="23" t="s">
        <v>414</v>
      </c>
      <c r="F2523" s="10" t="s">
        <v>471</v>
      </c>
    </row>
    <row r="2524" customFormat="false" ht="15" hidden="false" customHeight="false" outlineLevel="0" collapsed="false">
      <c r="A2524" s="4" t="str">
        <f aca="false">B2524&amp;"|"&amp;C2524</f>
        <v>tdbR00000205 Lys-UUU|62</v>
      </c>
      <c r="B2524" s="4" t="s">
        <v>71</v>
      </c>
      <c r="C2524" s="4" t="s">
        <v>485</v>
      </c>
      <c r="D2524" s="4" t="n">
        <v>62</v>
      </c>
      <c r="E2524" s="23" t="s">
        <v>414</v>
      </c>
      <c r="F2524" s="10" t="s">
        <v>471</v>
      </c>
    </row>
    <row r="2525" customFormat="false" ht="15" hidden="false" customHeight="false" outlineLevel="0" collapsed="false">
      <c r="A2525" s="4" t="str">
        <f aca="false">B2525&amp;"|"&amp;C2525</f>
        <v>tdbR00000205 Lys-UUU|63</v>
      </c>
      <c r="B2525" s="4" t="s">
        <v>71</v>
      </c>
      <c r="C2525" s="4" t="s">
        <v>486</v>
      </c>
      <c r="D2525" s="4" t="n">
        <v>63</v>
      </c>
      <c r="E2525" s="23" t="s">
        <v>414</v>
      </c>
      <c r="F2525" s="10" t="s">
        <v>471</v>
      </c>
    </row>
    <row r="2526" customFormat="false" ht="15" hidden="false" customHeight="false" outlineLevel="0" collapsed="false">
      <c r="A2526" s="4" t="str">
        <f aca="false">B2526&amp;"|"&amp;C2526</f>
        <v>tdbR00000205 Lys-UUU|64</v>
      </c>
      <c r="B2526" s="4" t="s">
        <v>71</v>
      </c>
      <c r="C2526" s="4" t="s">
        <v>487</v>
      </c>
      <c r="D2526" s="4" t="n">
        <v>64</v>
      </c>
      <c r="E2526" s="23" t="s">
        <v>414</v>
      </c>
      <c r="F2526" s="10" t="s">
        <v>471</v>
      </c>
    </row>
    <row r="2527" customFormat="false" ht="15" hidden="false" customHeight="false" outlineLevel="0" collapsed="false">
      <c r="A2527" s="4" t="str">
        <f aca="false">B2527&amp;"|"&amp;C2527</f>
        <v>tdbR00000205 Lys-UUU|65</v>
      </c>
      <c r="B2527" s="4" t="s">
        <v>71</v>
      </c>
      <c r="C2527" s="4" t="s">
        <v>488</v>
      </c>
      <c r="D2527" s="4" t="n">
        <v>65</v>
      </c>
      <c r="E2527" s="23" t="s">
        <v>246</v>
      </c>
      <c r="F2527" s="10" t="s">
        <v>471</v>
      </c>
    </row>
    <row r="2528" customFormat="false" ht="15" hidden="false" customHeight="false" outlineLevel="0" collapsed="false">
      <c r="A2528" s="4" t="str">
        <f aca="false">B2528&amp;"|"&amp;C2528</f>
        <v>tdbR00000205 Lys-UUU|66</v>
      </c>
      <c r="B2528" s="4" t="s">
        <v>71</v>
      </c>
      <c r="C2528" s="4" t="s">
        <v>489</v>
      </c>
      <c r="D2528" s="4" t="n">
        <v>66</v>
      </c>
      <c r="E2528" s="17" t="s">
        <v>259</v>
      </c>
      <c r="F2528" s="18" t="s">
        <v>412</v>
      </c>
    </row>
    <row r="2529" customFormat="false" ht="15" hidden="false" customHeight="false" outlineLevel="0" collapsed="false">
      <c r="A2529" s="4" t="str">
        <f aca="false">B2529&amp;"|"&amp;C2529</f>
        <v>tdbR00000205 Lys-UUU|67</v>
      </c>
      <c r="B2529" s="4" t="s">
        <v>71</v>
      </c>
      <c r="C2529" s="4" t="s">
        <v>490</v>
      </c>
      <c r="D2529" s="4" t="n">
        <v>67</v>
      </c>
      <c r="E2529" s="17" t="s">
        <v>197</v>
      </c>
      <c r="F2529" s="18" t="s">
        <v>412</v>
      </c>
    </row>
    <row r="2530" customFormat="false" ht="15" hidden="false" customHeight="false" outlineLevel="0" collapsed="false">
      <c r="A2530" s="4" t="str">
        <f aca="false">B2530&amp;"|"&amp;C2530</f>
        <v>tdbR00000205 Lys-UUU|68</v>
      </c>
      <c r="B2530" s="4" t="s">
        <v>71</v>
      </c>
      <c r="C2530" s="4" t="s">
        <v>491</v>
      </c>
      <c r="D2530" s="4" t="n">
        <v>68</v>
      </c>
      <c r="E2530" s="17" t="s">
        <v>414</v>
      </c>
      <c r="F2530" s="18" t="s">
        <v>412</v>
      </c>
    </row>
    <row r="2531" customFormat="false" ht="15" hidden="false" customHeight="false" outlineLevel="0" collapsed="false">
      <c r="A2531" s="4" t="str">
        <f aca="false">B2531&amp;"|"&amp;C2531</f>
        <v>tdbR00000205 Lys-UUU|69</v>
      </c>
      <c r="B2531" s="4" t="s">
        <v>71</v>
      </c>
      <c r="C2531" s="4" t="s">
        <v>492</v>
      </c>
      <c r="D2531" s="4" t="n">
        <v>69</v>
      </c>
      <c r="E2531" s="17" t="s">
        <v>197</v>
      </c>
      <c r="F2531" s="18" t="s">
        <v>412</v>
      </c>
    </row>
    <row r="2532" customFormat="false" ht="15" hidden="false" customHeight="false" outlineLevel="0" collapsed="false">
      <c r="A2532" s="4" t="str">
        <f aca="false">B2532&amp;"|"&amp;C2532</f>
        <v>tdbR00000205 Lys-UUU|70</v>
      </c>
      <c r="B2532" s="4" t="s">
        <v>71</v>
      </c>
      <c r="C2532" s="4" t="s">
        <v>493</v>
      </c>
      <c r="D2532" s="4" t="n">
        <v>70</v>
      </c>
      <c r="E2532" s="17" t="s">
        <v>197</v>
      </c>
      <c r="F2532" s="18" t="s">
        <v>412</v>
      </c>
    </row>
    <row r="2533" customFormat="false" ht="15" hidden="false" customHeight="false" outlineLevel="0" collapsed="false">
      <c r="A2533" s="4" t="str">
        <f aca="false">B2533&amp;"|"&amp;C2533</f>
        <v>tdbR00000205 Lys-UUU|71</v>
      </c>
      <c r="B2533" s="4" t="s">
        <v>71</v>
      </c>
      <c r="C2533" s="4" t="s">
        <v>494</v>
      </c>
      <c r="D2533" s="4" t="n">
        <v>71</v>
      </c>
      <c r="E2533" s="17" t="s">
        <v>197</v>
      </c>
      <c r="F2533" s="18" t="s">
        <v>412</v>
      </c>
    </row>
    <row r="2534" customFormat="false" ht="15" hidden="false" customHeight="false" outlineLevel="0" collapsed="false">
      <c r="A2534" s="4" t="str">
        <f aca="false">B2534&amp;"|"&amp;C2534</f>
        <v>tdbR00000205 Lys-UUU|72</v>
      </c>
      <c r="B2534" s="4" t="s">
        <v>71</v>
      </c>
      <c r="C2534" s="4" t="s">
        <v>495</v>
      </c>
      <c r="D2534" s="4" t="n">
        <v>72</v>
      </c>
      <c r="E2534" s="17" t="s">
        <v>414</v>
      </c>
      <c r="F2534" s="18" t="s">
        <v>412</v>
      </c>
    </row>
    <row r="2535" customFormat="false" ht="15" hidden="false" customHeight="false" outlineLevel="0" collapsed="false">
      <c r="A2535" s="4" t="str">
        <f aca="false">B2535&amp;"|"&amp;C2535</f>
        <v>tdbR00000206 Lys-UUU|1</v>
      </c>
      <c r="B2535" s="4" t="s">
        <v>72</v>
      </c>
      <c r="C2535" s="4" t="s">
        <v>411</v>
      </c>
      <c r="D2535" s="4" t="n">
        <v>1</v>
      </c>
      <c r="E2535" s="17" t="s">
        <v>197</v>
      </c>
      <c r="F2535" s="18" t="s">
        <v>412</v>
      </c>
    </row>
    <row r="2536" customFormat="false" ht="15" hidden="false" customHeight="false" outlineLevel="0" collapsed="false">
      <c r="A2536" s="4" t="str">
        <f aca="false">B2536&amp;"|"&amp;C2536</f>
        <v>tdbR00000206 Lys-UUU|2</v>
      </c>
      <c r="B2536" s="4" t="s">
        <v>72</v>
      </c>
      <c r="C2536" s="4" t="s">
        <v>413</v>
      </c>
      <c r="D2536" s="4" t="n">
        <v>2</v>
      </c>
      <c r="E2536" s="17" t="s">
        <v>414</v>
      </c>
      <c r="F2536" s="18" t="s">
        <v>412</v>
      </c>
    </row>
    <row r="2537" customFormat="false" ht="15" hidden="false" customHeight="false" outlineLevel="0" collapsed="false">
      <c r="A2537" s="4" t="str">
        <f aca="false">B2537&amp;"|"&amp;C2537</f>
        <v>tdbR00000206 Lys-UUU|3</v>
      </c>
      <c r="B2537" s="4" t="s">
        <v>72</v>
      </c>
      <c r="C2537" s="4" t="s">
        <v>415</v>
      </c>
      <c r="D2537" s="4" t="n">
        <v>3</v>
      </c>
      <c r="E2537" s="17" t="s">
        <v>414</v>
      </c>
      <c r="F2537" s="18" t="s">
        <v>412</v>
      </c>
    </row>
    <row r="2538" customFormat="false" ht="15" hidden="false" customHeight="false" outlineLevel="0" collapsed="false">
      <c r="A2538" s="4" t="str">
        <f aca="false">B2538&amp;"|"&amp;C2538</f>
        <v>tdbR00000206 Lys-UUU|4</v>
      </c>
      <c r="B2538" s="4" t="s">
        <v>72</v>
      </c>
      <c r="C2538" s="4" t="s">
        <v>416</v>
      </c>
      <c r="D2538" s="4" t="n">
        <v>4</v>
      </c>
      <c r="E2538" s="17" t="s">
        <v>259</v>
      </c>
      <c r="F2538" s="18" t="s">
        <v>412</v>
      </c>
    </row>
    <row r="2539" customFormat="false" ht="15" hidden="false" customHeight="false" outlineLevel="0" collapsed="false">
      <c r="A2539" s="4" t="str">
        <f aca="false">B2539&amp;"|"&amp;C2539</f>
        <v>tdbR00000206 Lys-UUU|5</v>
      </c>
      <c r="B2539" s="4" t="s">
        <v>72</v>
      </c>
      <c r="C2539" s="4" t="s">
        <v>417</v>
      </c>
      <c r="D2539" s="4" t="n">
        <v>5</v>
      </c>
      <c r="E2539" s="17" t="s">
        <v>414</v>
      </c>
      <c r="F2539" s="18" t="s">
        <v>412</v>
      </c>
    </row>
    <row r="2540" customFormat="false" ht="15" hidden="false" customHeight="false" outlineLevel="0" collapsed="false">
      <c r="A2540" s="4" t="str">
        <f aca="false">B2540&amp;"|"&amp;C2540</f>
        <v>tdbR00000206 Lys-UUU|6</v>
      </c>
      <c r="B2540" s="4" t="s">
        <v>72</v>
      </c>
      <c r="C2540" s="4" t="s">
        <v>418</v>
      </c>
      <c r="D2540" s="4" t="n">
        <v>6</v>
      </c>
      <c r="E2540" s="17" t="s">
        <v>414</v>
      </c>
      <c r="F2540" s="18" t="s">
        <v>412</v>
      </c>
    </row>
    <row r="2541" customFormat="false" ht="15" hidden="false" customHeight="false" outlineLevel="0" collapsed="false">
      <c r="A2541" s="4" t="str">
        <f aca="false">B2541&amp;"|"&amp;C2541</f>
        <v>tdbR00000206 Lys-UUU|7</v>
      </c>
      <c r="B2541" s="4" t="s">
        <v>72</v>
      </c>
      <c r="C2541" s="4" t="s">
        <v>419</v>
      </c>
      <c r="D2541" s="4" t="n">
        <v>7</v>
      </c>
      <c r="E2541" s="17" t="s">
        <v>246</v>
      </c>
      <c r="F2541" s="18" t="s">
        <v>412</v>
      </c>
    </row>
    <row r="2542" customFormat="false" ht="15" hidden="false" customHeight="false" outlineLevel="0" collapsed="false">
      <c r="A2542" s="4" t="str">
        <f aca="false">B2542&amp;"|"&amp;C2542</f>
        <v>tdbR00000206 Lys-UUU|8</v>
      </c>
      <c r="B2542" s="4" t="s">
        <v>72</v>
      </c>
      <c r="C2542" s="4" t="s">
        <v>420</v>
      </c>
      <c r="D2542" s="4" t="n">
        <v>8</v>
      </c>
      <c r="E2542" s="3" t="s">
        <v>259</v>
      </c>
      <c r="F2542" s="4" t="s">
        <v>421</v>
      </c>
    </row>
    <row r="2543" customFormat="false" ht="15" hidden="false" customHeight="false" outlineLevel="0" collapsed="false">
      <c r="A2543" s="4" t="str">
        <f aca="false">B2543&amp;"|"&amp;C2543</f>
        <v>tdbR00000206 Lys-UUU|9</v>
      </c>
      <c r="B2543" s="4" t="s">
        <v>72</v>
      </c>
      <c r="C2543" s="4" t="s">
        <v>422</v>
      </c>
      <c r="D2543" s="4" t="n">
        <v>9</v>
      </c>
      <c r="E2543" s="3" t="s">
        <v>246</v>
      </c>
      <c r="F2543" s="4" t="s">
        <v>423</v>
      </c>
    </row>
    <row r="2544" customFormat="false" ht="15" hidden="false" customHeight="false" outlineLevel="0" collapsed="false">
      <c r="A2544" s="4" t="str">
        <f aca="false">B2544&amp;"|"&amp;C2544</f>
        <v>tdbR00000206 Lys-UUU|10</v>
      </c>
      <c r="B2544" s="4" t="s">
        <v>72</v>
      </c>
      <c r="C2544" s="4" t="s">
        <v>424</v>
      </c>
      <c r="D2544" s="4" t="n">
        <v>10</v>
      </c>
      <c r="E2544" s="8" t="s">
        <v>197</v>
      </c>
      <c r="F2544" s="7" t="s">
        <v>425</v>
      </c>
    </row>
    <row r="2545" customFormat="false" ht="15" hidden="false" customHeight="false" outlineLevel="0" collapsed="false">
      <c r="A2545" s="4" t="str">
        <f aca="false">B2545&amp;"|"&amp;C2545</f>
        <v>tdbR00000206 Lys-UUU|11</v>
      </c>
      <c r="B2545" s="4" t="s">
        <v>72</v>
      </c>
      <c r="C2545" s="4" t="s">
        <v>426</v>
      </c>
      <c r="D2545" s="4" t="n">
        <v>11</v>
      </c>
      <c r="E2545" s="8" t="s">
        <v>414</v>
      </c>
      <c r="F2545" s="7" t="s">
        <v>425</v>
      </c>
    </row>
    <row r="2546" customFormat="false" ht="15" hidden="false" customHeight="false" outlineLevel="0" collapsed="false">
      <c r="A2546" s="4" t="str">
        <f aca="false">B2546&amp;"|"&amp;C2546</f>
        <v>tdbR00000206 Lys-UUU|12</v>
      </c>
      <c r="B2546" s="4" t="s">
        <v>72</v>
      </c>
      <c r="C2546" s="4" t="s">
        <v>427</v>
      </c>
      <c r="D2546" s="4" t="n">
        <v>12</v>
      </c>
      <c r="E2546" s="8" t="s">
        <v>259</v>
      </c>
      <c r="F2546" s="7" t="s">
        <v>425</v>
      </c>
    </row>
    <row r="2547" customFormat="false" ht="15" hidden="false" customHeight="false" outlineLevel="0" collapsed="false">
      <c r="A2547" s="4" t="str">
        <f aca="false">B2547&amp;"|"&amp;C2547</f>
        <v>tdbR00000206 Lys-UUU|13</v>
      </c>
      <c r="B2547" s="4" t="s">
        <v>72</v>
      </c>
      <c r="C2547" s="4" t="s">
        <v>428</v>
      </c>
      <c r="D2547" s="4" t="n">
        <v>13</v>
      </c>
      <c r="E2547" s="8" t="s">
        <v>414</v>
      </c>
      <c r="F2547" s="7" t="s">
        <v>425</v>
      </c>
    </row>
    <row r="2548" customFormat="false" ht="15" hidden="false" customHeight="false" outlineLevel="0" collapsed="false">
      <c r="A2548" s="4" t="str">
        <f aca="false">B2548&amp;"|"&amp;C2548</f>
        <v>tdbR00000206 Lys-UUU|14</v>
      </c>
      <c r="B2548" s="4" t="s">
        <v>72</v>
      </c>
      <c r="C2548" s="4" t="s">
        <v>429</v>
      </c>
      <c r="D2548" s="4" t="n">
        <v>14</v>
      </c>
      <c r="E2548" s="19" t="s">
        <v>246</v>
      </c>
      <c r="F2548" s="20" t="s">
        <v>430</v>
      </c>
    </row>
    <row r="2549" customFormat="false" ht="15" hidden="false" customHeight="false" outlineLevel="0" collapsed="false">
      <c r="A2549" s="4" t="str">
        <f aca="false">B2549&amp;"|"&amp;C2549</f>
        <v>tdbR00000206 Lys-UUU|15</v>
      </c>
      <c r="B2549" s="4" t="s">
        <v>72</v>
      </c>
      <c r="C2549" s="4" t="s">
        <v>431</v>
      </c>
      <c r="D2549" s="4" t="n">
        <v>15</v>
      </c>
      <c r="E2549" s="19" t="s">
        <v>197</v>
      </c>
      <c r="F2549" s="20" t="s">
        <v>430</v>
      </c>
    </row>
    <row r="2550" customFormat="false" ht="15" hidden="false" customHeight="false" outlineLevel="0" collapsed="false">
      <c r="A2550" s="4" t="str">
        <f aca="false">B2550&amp;"|"&amp;C2550</f>
        <v>tdbR00000206 Lys-UUU|16</v>
      </c>
      <c r="B2550" s="4" t="s">
        <v>72</v>
      </c>
      <c r="C2550" s="4" t="s">
        <v>432</v>
      </c>
      <c r="D2550" s="4" t="n">
        <v>16</v>
      </c>
      <c r="E2550" s="19" t="s">
        <v>259</v>
      </c>
      <c r="F2550" s="20" t="s">
        <v>430</v>
      </c>
    </row>
    <row r="2551" customFormat="false" ht="15" hidden="false" customHeight="false" outlineLevel="0" collapsed="false">
      <c r="A2551" s="4" t="str">
        <f aca="false">B2551&amp;"|"&amp;C2551</f>
        <v>tdbR00000206 Lys-UUU|17</v>
      </c>
      <c r="B2551" s="4" t="s">
        <v>72</v>
      </c>
      <c r="C2551" s="4" t="s">
        <v>433</v>
      </c>
      <c r="D2551" s="4" t="n">
        <v>17</v>
      </c>
      <c r="E2551" s="19" t="s">
        <v>414</v>
      </c>
      <c r="F2551" s="20" t="s">
        <v>430</v>
      </c>
    </row>
    <row r="2552" customFormat="false" ht="15" hidden="false" customHeight="false" outlineLevel="0" collapsed="false">
      <c r="A2552" s="4" t="str">
        <f aca="false">B2552&amp;"|"&amp;C2552</f>
        <v>tdbR00000206 Lys-UUU|18</v>
      </c>
      <c r="B2552" s="4" t="s">
        <v>72</v>
      </c>
      <c r="C2552" s="4" t="s">
        <v>434</v>
      </c>
      <c r="D2552" s="4" t="n">
        <v>18</v>
      </c>
      <c r="E2552" s="19" t="s">
        <v>197</v>
      </c>
      <c r="F2552" s="20" t="s">
        <v>430</v>
      </c>
    </row>
    <row r="2553" customFormat="false" ht="15" hidden="false" customHeight="false" outlineLevel="0" collapsed="false">
      <c r="A2553" s="4" t="str">
        <f aca="false">B2553&amp;"|"&amp;C2553</f>
        <v>tdbR00000206 Lys-UUU|19</v>
      </c>
      <c r="B2553" s="4" t="s">
        <v>72</v>
      </c>
      <c r="C2553" s="4" t="s">
        <v>435</v>
      </c>
      <c r="D2553" s="4" t="n">
        <v>19</v>
      </c>
      <c r="E2553" s="19" t="s">
        <v>197</v>
      </c>
      <c r="F2553" s="20" t="s">
        <v>430</v>
      </c>
    </row>
    <row r="2554" customFormat="false" ht="15" hidden="false" customHeight="false" outlineLevel="0" collapsed="false">
      <c r="A2554" s="4" t="str">
        <f aca="false">B2554&amp;"|"&amp;C2554</f>
        <v>tdbR00000206 Lys-UUU|20</v>
      </c>
      <c r="B2554" s="4" t="s">
        <v>72</v>
      </c>
      <c r="C2554" s="4" t="s">
        <v>436</v>
      </c>
      <c r="D2554" s="4" t="n">
        <v>20</v>
      </c>
      <c r="E2554" s="19" t="s">
        <v>259</v>
      </c>
      <c r="F2554" s="20" t="s">
        <v>430</v>
      </c>
    </row>
    <row r="2555" customFormat="false" ht="15" hidden="false" customHeight="false" outlineLevel="0" collapsed="false">
      <c r="A2555" s="4" t="str">
        <f aca="false">B2555&amp;"|"&amp;C2555</f>
        <v>tdbR00000206 Lys-UUU|21</v>
      </c>
      <c r="B2555" s="4" t="s">
        <v>72</v>
      </c>
      <c r="C2555" s="4" t="s">
        <v>438</v>
      </c>
      <c r="D2555" s="4" t="n">
        <v>21</v>
      </c>
      <c r="E2555" s="19" t="s">
        <v>246</v>
      </c>
      <c r="F2555" s="20" t="s">
        <v>430</v>
      </c>
    </row>
    <row r="2556" customFormat="false" ht="15" hidden="false" customHeight="false" outlineLevel="0" collapsed="false">
      <c r="A2556" s="4" t="str">
        <f aca="false">B2556&amp;"|"&amp;C2556</f>
        <v>tdbR00000206 Lys-UUU|22</v>
      </c>
      <c r="B2556" s="4" t="s">
        <v>72</v>
      </c>
      <c r="C2556" s="4" t="s">
        <v>439</v>
      </c>
      <c r="D2556" s="4" t="n">
        <v>22</v>
      </c>
      <c r="E2556" s="8" t="s">
        <v>197</v>
      </c>
      <c r="F2556" s="7" t="s">
        <v>425</v>
      </c>
    </row>
    <row r="2557" customFormat="false" ht="15" hidden="false" customHeight="false" outlineLevel="0" collapsed="false">
      <c r="A2557" s="4" t="str">
        <f aca="false">B2557&amp;"|"&amp;C2557</f>
        <v>tdbR00000206 Lys-UUU|23</v>
      </c>
      <c r="B2557" s="4" t="s">
        <v>72</v>
      </c>
      <c r="C2557" s="4" t="s">
        <v>440</v>
      </c>
      <c r="D2557" s="4" t="n">
        <v>23</v>
      </c>
      <c r="E2557" s="8" t="s">
        <v>246</v>
      </c>
      <c r="F2557" s="7" t="s">
        <v>425</v>
      </c>
    </row>
    <row r="2558" customFormat="false" ht="15" hidden="false" customHeight="false" outlineLevel="0" collapsed="false">
      <c r="A2558" s="4" t="str">
        <f aca="false">B2558&amp;"|"&amp;C2558</f>
        <v>tdbR00000206 Lys-UUU|24</v>
      </c>
      <c r="B2558" s="4" t="s">
        <v>72</v>
      </c>
      <c r="C2558" s="4" t="s">
        <v>441</v>
      </c>
      <c r="D2558" s="4" t="n">
        <v>24</v>
      </c>
      <c r="E2558" s="8" t="s">
        <v>197</v>
      </c>
      <c r="F2558" s="7" t="s">
        <v>425</v>
      </c>
    </row>
    <row r="2559" customFormat="false" ht="15" hidden="false" customHeight="false" outlineLevel="0" collapsed="false">
      <c r="A2559" s="4" t="str">
        <f aca="false">B2559&amp;"|"&amp;C2559</f>
        <v>tdbR00000206 Lys-UUU|25</v>
      </c>
      <c r="B2559" s="4" t="s">
        <v>72</v>
      </c>
      <c r="C2559" s="4" t="s">
        <v>442</v>
      </c>
      <c r="D2559" s="4" t="n">
        <v>25</v>
      </c>
      <c r="E2559" s="8" t="s">
        <v>414</v>
      </c>
      <c r="F2559" s="7" t="s">
        <v>425</v>
      </c>
    </row>
    <row r="2560" customFormat="false" ht="15" hidden="false" customHeight="false" outlineLevel="0" collapsed="false">
      <c r="A2560" s="4" t="str">
        <f aca="false">B2560&amp;"|"&amp;C2560</f>
        <v>tdbR00000206 Lys-UUU|26</v>
      </c>
      <c r="B2560" s="4" t="s">
        <v>72</v>
      </c>
      <c r="C2560" s="4" t="s">
        <v>443</v>
      </c>
      <c r="D2560" s="4" t="n">
        <v>26</v>
      </c>
      <c r="E2560" s="3" t="s">
        <v>246</v>
      </c>
      <c r="F2560" s="4" t="s">
        <v>444</v>
      </c>
    </row>
    <row r="2561" customFormat="false" ht="15" hidden="false" customHeight="false" outlineLevel="0" collapsed="false">
      <c r="A2561" s="4" t="str">
        <f aca="false">B2561&amp;"|"&amp;C2561</f>
        <v>tdbR00000206 Lys-UUU|27</v>
      </c>
      <c r="B2561" s="4" t="s">
        <v>72</v>
      </c>
      <c r="C2561" s="4" t="s">
        <v>445</v>
      </c>
      <c r="D2561" s="4" t="n">
        <v>27</v>
      </c>
      <c r="E2561" s="21" t="s">
        <v>259</v>
      </c>
      <c r="F2561" s="22" t="s">
        <v>446</v>
      </c>
    </row>
    <row r="2562" customFormat="false" ht="15" hidden="false" customHeight="false" outlineLevel="0" collapsed="false">
      <c r="A2562" s="4" t="str">
        <f aca="false">B2562&amp;"|"&amp;C2562</f>
        <v>tdbR00000206 Lys-UUU|28</v>
      </c>
      <c r="B2562" s="4" t="s">
        <v>72</v>
      </c>
      <c r="C2562" s="4" t="s">
        <v>447</v>
      </c>
      <c r="D2562" s="4" t="n">
        <v>28</v>
      </c>
      <c r="E2562" s="21" t="s">
        <v>414</v>
      </c>
      <c r="F2562" s="22" t="s">
        <v>446</v>
      </c>
    </row>
    <row r="2563" customFormat="false" ht="15" hidden="false" customHeight="false" outlineLevel="0" collapsed="false">
      <c r="A2563" s="4" t="str">
        <f aca="false">B2563&amp;"|"&amp;C2563</f>
        <v>tdbR00000206 Lys-UUU|29</v>
      </c>
      <c r="B2563" s="4" t="s">
        <v>72</v>
      </c>
      <c r="C2563" s="4" t="s">
        <v>448</v>
      </c>
      <c r="D2563" s="4" t="n">
        <v>29</v>
      </c>
      <c r="E2563" s="21" t="s">
        <v>246</v>
      </c>
      <c r="F2563" s="22" t="s">
        <v>446</v>
      </c>
    </row>
    <row r="2564" customFormat="false" ht="15" hidden="false" customHeight="false" outlineLevel="0" collapsed="false">
      <c r="A2564" s="4" t="str">
        <f aca="false">B2564&amp;"|"&amp;C2564</f>
        <v>tdbR00000206 Lys-UUU|30</v>
      </c>
      <c r="B2564" s="4" t="s">
        <v>72</v>
      </c>
      <c r="C2564" s="4" t="s">
        <v>449</v>
      </c>
      <c r="D2564" s="4" t="n">
        <v>30</v>
      </c>
      <c r="E2564" s="21" t="s">
        <v>197</v>
      </c>
      <c r="F2564" s="22" t="s">
        <v>446</v>
      </c>
    </row>
    <row r="2565" customFormat="false" ht="15" hidden="false" customHeight="false" outlineLevel="0" collapsed="false">
      <c r="A2565" s="4" t="str">
        <f aca="false">B2565&amp;"|"&amp;C2565</f>
        <v>tdbR00000206 Lys-UUU|31</v>
      </c>
      <c r="B2565" s="4" t="s">
        <v>72</v>
      </c>
      <c r="C2565" s="4" t="s">
        <v>450</v>
      </c>
      <c r="D2565" s="4" t="n">
        <v>31</v>
      </c>
      <c r="E2565" s="21" t="s">
        <v>246</v>
      </c>
      <c r="F2565" s="22" t="s">
        <v>446</v>
      </c>
    </row>
    <row r="2566" customFormat="false" ht="15" hidden="false" customHeight="false" outlineLevel="0" collapsed="false">
      <c r="A2566" s="4" t="str">
        <f aca="false">B2566&amp;"|"&amp;C2566</f>
        <v>tdbR00000206 Lys-UUU|32</v>
      </c>
      <c r="B2566" s="4" t="s">
        <v>72</v>
      </c>
      <c r="C2566" s="4" t="s">
        <v>451</v>
      </c>
      <c r="D2566" s="4" t="n">
        <v>32</v>
      </c>
      <c r="E2566" s="19" t="s">
        <v>414</v>
      </c>
      <c r="F2566" s="20" t="s">
        <v>452</v>
      </c>
    </row>
    <row r="2567" customFormat="false" ht="15" hidden="false" customHeight="false" outlineLevel="0" collapsed="false">
      <c r="A2567" s="4" t="str">
        <f aca="false">B2567&amp;"|"&amp;C2567</f>
        <v>tdbR00000206 Lys-UUU|33</v>
      </c>
      <c r="B2567" s="4" t="s">
        <v>72</v>
      </c>
      <c r="C2567" s="4" t="s">
        <v>453</v>
      </c>
      <c r="D2567" s="4" t="n">
        <v>33</v>
      </c>
      <c r="E2567" s="19" t="s">
        <v>259</v>
      </c>
      <c r="F2567" s="20" t="s">
        <v>452</v>
      </c>
    </row>
    <row r="2568" customFormat="false" ht="15" hidden="false" customHeight="false" outlineLevel="0" collapsed="false">
      <c r="A2568" s="4" t="str">
        <f aca="false">B2568&amp;"|"&amp;C2568</f>
        <v>tdbR00000206 Lys-UUU|34</v>
      </c>
      <c r="B2568" s="4" t="s">
        <v>72</v>
      </c>
      <c r="C2568" s="4" t="s">
        <v>454</v>
      </c>
      <c r="D2568" s="4" t="n">
        <v>34</v>
      </c>
      <c r="E2568" s="19" t="s">
        <v>259</v>
      </c>
      <c r="F2568" s="20" t="s">
        <v>452</v>
      </c>
    </row>
    <row r="2569" customFormat="false" ht="15" hidden="false" customHeight="false" outlineLevel="0" collapsed="false">
      <c r="A2569" s="4" t="str">
        <f aca="false">B2569&amp;"|"&amp;C2569</f>
        <v>tdbR00000206 Lys-UUU|35</v>
      </c>
      <c r="B2569" s="4" t="s">
        <v>72</v>
      </c>
      <c r="C2569" s="4" t="s">
        <v>455</v>
      </c>
      <c r="D2569" s="4" t="n">
        <v>35</v>
      </c>
      <c r="E2569" s="19" t="s">
        <v>259</v>
      </c>
      <c r="F2569" s="20" t="s">
        <v>452</v>
      </c>
    </row>
    <row r="2570" customFormat="false" ht="15" hidden="false" customHeight="false" outlineLevel="0" collapsed="false">
      <c r="A2570" s="4" t="str">
        <f aca="false">B2570&amp;"|"&amp;C2570</f>
        <v>tdbR00000206 Lys-UUU|36</v>
      </c>
      <c r="B2570" s="4" t="s">
        <v>72</v>
      </c>
      <c r="C2570" s="4" t="s">
        <v>456</v>
      </c>
      <c r="D2570" s="4" t="n">
        <v>36</v>
      </c>
      <c r="E2570" s="19" t="s">
        <v>259</v>
      </c>
      <c r="F2570" s="20" t="s">
        <v>452</v>
      </c>
    </row>
    <row r="2571" customFormat="false" ht="15" hidden="false" customHeight="false" outlineLevel="0" collapsed="false">
      <c r="A2571" s="4" t="str">
        <f aca="false">B2571&amp;"|"&amp;C2571</f>
        <v>tdbR00000206 Lys-UUU|37</v>
      </c>
      <c r="B2571" s="4" t="s">
        <v>72</v>
      </c>
      <c r="C2571" s="4" t="s">
        <v>457</v>
      </c>
      <c r="D2571" s="4" t="n">
        <v>37</v>
      </c>
      <c r="E2571" s="19" t="s">
        <v>246</v>
      </c>
      <c r="F2571" s="20" t="s">
        <v>452</v>
      </c>
    </row>
    <row r="2572" customFormat="false" ht="15" hidden="false" customHeight="false" outlineLevel="0" collapsed="false">
      <c r="A2572" s="4" t="str">
        <f aca="false">B2572&amp;"|"&amp;C2572</f>
        <v>tdbR00000206 Lys-UUU|38</v>
      </c>
      <c r="B2572" s="4" t="s">
        <v>72</v>
      </c>
      <c r="C2572" s="4" t="s">
        <v>458</v>
      </c>
      <c r="D2572" s="4" t="n">
        <v>38</v>
      </c>
      <c r="E2572" s="19" t="s">
        <v>246</v>
      </c>
      <c r="F2572" s="20" t="s">
        <v>452</v>
      </c>
    </row>
    <row r="2573" customFormat="false" ht="15" hidden="false" customHeight="false" outlineLevel="0" collapsed="false">
      <c r="A2573" s="4" t="str">
        <f aca="false">B2573&amp;"|"&amp;C2573</f>
        <v>tdbR00000206 Lys-UUU|39</v>
      </c>
      <c r="B2573" s="4" t="s">
        <v>72</v>
      </c>
      <c r="C2573" s="4" t="s">
        <v>459</v>
      </c>
      <c r="D2573" s="4" t="n">
        <v>39</v>
      </c>
      <c r="E2573" s="21" t="s">
        <v>259</v>
      </c>
      <c r="F2573" s="22" t="s">
        <v>446</v>
      </c>
    </row>
    <row r="2574" customFormat="false" ht="15" hidden="false" customHeight="false" outlineLevel="0" collapsed="false">
      <c r="A2574" s="4" t="str">
        <f aca="false">B2574&amp;"|"&amp;C2574</f>
        <v>tdbR00000206 Lys-UUU|40</v>
      </c>
      <c r="B2574" s="4" t="s">
        <v>72</v>
      </c>
      <c r="C2574" s="4" t="s">
        <v>460</v>
      </c>
      <c r="D2574" s="4" t="n">
        <v>40</v>
      </c>
      <c r="E2574" s="21" t="s">
        <v>414</v>
      </c>
      <c r="F2574" s="22" t="s">
        <v>446</v>
      </c>
    </row>
    <row r="2575" customFormat="false" ht="15" hidden="false" customHeight="false" outlineLevel="0" collapsed="false">
      <c r="A2575" s="4" t="str">
        <f aca="false">B2575&amp;"|"&amp;C2575</f>
        <v>tdbR00000206 Lys-UUU|41</v>
      </c>
      <c r="B2575" s="4" t="s">
        <v>72</v>
      </c>
      <c r="C2575" s="4" t="s">
        <v>461</v>
      </c>
      <c r="D2575" s="4" t="n">
        <v>41</v>
      </c>
      <c r="E2575" s="21" t="s">
        <v>259</v>
      </c>
      <c r="F2575" s="22" t="s">
        <v>446</v>
      </c>
    </row>
    <row r="2576" customFormat="false" ht="15" hidden="false" customHeight="false" outlineLevel="0" collapsed="false">
      <c r="A2576" s="4" t="str">
        <f aca="false">B2576&amp;"|"&amp;C2576</f>
        <v>tdbR00000206 Lys-UUU|42</v>
      </c>
      <c r="B2576" s="4" t="s">
        <v>72</v>
      </c>
      <c r="C2576" s="4" t="s">
        <v>462</v>
      </c>
      <c r="D2576" s="4" t="n">
        <v>42</v>
      </c>
      <c r="E2576" s="21" t="s">
        <v>197</v>
      </c>
      <c r="F2576" s="22" t="s">
        <v>446</v>
      </c>
    </row>
    <row r="2577" customFormat="false" ht="15" hidden="false" customHeight="false" outlineLevel="0" collapsed="false">
      <c r="A2577" s="4" t="str">
        <f aca="false">B2577&amp;"|"&amp;C2577</f>
        <v>tdbR00000206 Lys-UUU|43</v>
      </c>
      <c r="B2577" s="4" t="s">
        <v>72</v>
      </c>
      <c r="C2577" s="4" t="s">
        <v>463</v>
      </c>
      <c r="D2577" s="4" t="n">
        <v>43</v>
      </c>
      <c r="E2577" s="21" t="s">
        <v>246</v>
      </c>
      <c r="F2577" s="22" t="s">
        <v>446</v>
      </c>
    </row>
    <row r="2578" customFormat="false" ht="15" hidden="false" customHeight="false" outlineLevel="0" collapsed="false">
      <c r="A2578" s="4" t="str">
        <f aca="false">B2578&amp;"|"&amp;C2578</f>
        <v>tdbR00000206 Lys-UUU|44</v>
      </c>
      <c r="B2578" s="4" t="s">
        <v>72</v>
      </c>
      <c r="C2578" s="4" t="s">
        <v>464</v>
      </c>
      <c r="D2578" s="4" t="n">
        <v>44</v>
      </c>
      <c r="E2578" s="19" t="s">
        <v>197</v>
      </c>
      <c r="F2578" s="20" t="s">
        <v>465</v>
      </c>
    </row>
    <row r="2579" customFormat="false" ht="15" hidden="false" customHeight="false" outlineLevel="0" collapsed="false">
      <c r="A2579" s="4" t="str">
        <f aca="false">B2579&amp;"|"&amp;C2579</f>
        <v>tdbR00000206 Lys-UUU|45</v>
      </c>
      <c r="B2579" s="4" t="s">
        <v>72</v>
      </c>
      <c r="C2579" s="4" t="s">
        <v>466</v>
      </c>
      <c r="D2579" s="4" t="n">
        <v>45</v>
      </c>
      <c r="E2579" s="19" t="s">
        <v>197</v>
      </c>
      <c r="F2579" s="20" t="s">
        <v>465</v>
      </c>
    </row>
    <row r="2580" customFormat="false" ht="15" hidden="false" customHeight="false" outlineLevel="0" collapsed="false">
      <c r="A2580" s="4" t="str">
        <f aca="false">B2580&amp;"|"&amp;C2580</f>
        <v>tdbR00000206 Lys-UUU|46</v>
      </c>
      <c r="B2580" s="4" t="s">
        <v>72</v>
      </c>
      <c r="C2580" s="4" t="s">
        <v>467</v>
      </c>
      <c r="D2580" s="4" t="n">
        <v>46</v>
      </c>
      <c r="E2580" s="19" t="s">
        <v>197</v>
      </c>
      <c r="F2580" s="20" t="s">
        <v>465</v>
      </c>
    </row>
    <row r="2581" customFormat="false" ht="15" hidden="false" customHeight="false" outlineLevel="0" collapsed="false">
      <c r="A2581" s="4" t="str">
        <f aca="false">B2581&amp;"|"&amp;C2581</f>
        <v>tdbR00000206 Lys-UUU|47</v>
      </c>
      <c r="B2581" s="4" t="s">
        <v>72</v>
      </c>
      <c r="C2581" s="4" t="s">
        <v>468</v>
      </c>
      <c r="D2581" s="4" t="n">
        <v>47</v>
      </c>
      <c r="E2581" s="19" t="s">
        <v>259</v>
      </c>
      <c r="F2581" s="20" t="s">
        <v>465</v>
      </c>
    </row>
    <row r="2582" customFormat="false" ht="15" hidden="false" customHeight="false" outlineLevel="0" collapsed="false">
      <c r="A2582" s="4" t="str">
        <f aca="false">B2582&amp;"|"&amp;C2582</f>
        <v>tdbR00000206 Lys-UUU|48</v>
      </c>
      <c r="B2582" s="4" t="s">
        <v>72</v>
      </c>
      <c r="C2582" s="4" t="s">
        <v>469</v>
      </c>
      <c r="D2582" s="4" t="n">
        <v>48</v>
      </c>
      <c r="E2582" s="19" t="s">
        <v>414</v>
      </c>
      <c r="F2582" s="20" t="s">
        <v>465</v>
      </c>
    </row>
    <row r="2583" customFormat="false" ht="15" hidden="false" customHeight="false" outlineLevel="0" collapsed="false">
      <c r="A2583" s="4" t="str">
        <f aca="false">B2583&amp;"|"&amp;C2583</f>
        <v>tdbR00000206 Lys-UUU|49</v>
      </c>
      <c r="B2583" s="4" t="s">
        <v>72</v>
      </c>
      <c r="C2583" s="4" t="s">
        <v>470</v>
      </c>
      <c r="D2583" s="4" t="n">
        <v>49</v>
      </c>
      <c r="E2583" s="23" t="s">
        <v>259</v>
      </c>
      <c r="F2583" s="10" t="s">
        <v>471</v>
      </c>
    </row>
    <row r="2584" customFormat="false" ht="15" hidden="false" customHeight="false" outlineLevel="0" collapsed="false">
      <c r="A2584" s="4" t="str">
        <f aca="false">B2584&amp;"|"&amp;C2584</f>
        <v>tdbR00000206 Lys-UUU|50</v>
      </c>
      <c r="B2584" s="4" t="s">
        <v>72</v>
      </c>
      <c r="C2584" s="4" t="s">
        <v>472</v>
      </c>
      <c r="D2584" s="4" t="n">
        <v>50</v>
      </c>
      <c r="E2584" s="23" t="s">
        <v>197</v>
      </c>
      <c r="F2584" s="10" t="s">
        <v>471</v>
      </c>
    </row>
    <row r="2585" customFormat="false" ht="15" hidden="false" customHeight="false" outlineLevel="0" collapsed="false">
      <c r="A2585" s="4" t="str">
        <f aca="false">B2585&amp;"|"&amp;C2585</f>
        <v>tdbR00000206 Lys-UUU|51</v>
      </c>
      <c r="B2585" s="4" t="s">
        <v>72</v>
      </c>
      <c r="C2585" s="4" t="s">
        <v>473</v>
      </c>
      <c r="D2585" s="4" t="n">
        <v>51</v>
      </c>
      <c r="E2585" s="23" t="s">
        <v>197</v>
      </c>
      <c r="F2585" s="10" t="s">
        <v>471</v>
      </c>
    </row>
    <row r="2586" customFormat="false" ht="15" hidden="false" customHeight="false" outlineLevel="0" collapsed="false">
      <c r="A2586" s="4" t="str">
        <f aca="false">B2586&amp;"|"&amp;C2586</f>
        <v>tdbR00000206 Lys-UUU|52</v>
      </c>
      <c r="B2586" s="4" t="s">
        <v>72</v>
      </c>
      <c r="C2586" s="4" t="s">
        <v>474</v>
      </c>
      <c r="D2586" s="4" t="n">
        <v>52</v>
      </c>
      <c r="E2586" s="23" t="s">
        <v>197</v>
      </c>
      <c r="F2586" s="10" t="s">
        <v>471</v>
      </c>
    </row>
    <row r="2587" customFormat="false" ht="15" hidden="false" customHeight="false" outlineLevel="0" collapsed="false">
      <c r="A2587" s="4" t="str">
        <f aca="false">B2587&amp;"|"&amp;C2587</f>
        <v>tdbR00000206 Lys-UUU|53</v>
      </c>
      <c r="B2587" s="4" t="s">
        <v>72</v>
      </c>
      <c r="C2587" s="4" t="s">
        <v>475</v>
      </c>
      <c r="D2587" s="4" t="n">
        <v>53</v>
      </c>
      <c r="E2587" s="23" t="s">
        <v>197</v>
      </c>
      <c r="F2587" s="10" t="s">
        <v>471</v>
      </c>
    </row>
    <row r="2588" customFormat="false" ht="15" hidden="false" customHeight="false" outlineLevel="0" collapsed="false">
      <c r="A2588" s="4" t="str">
        <f aca="false">B2588&amp;"|"&amp;C2588</f>
        <v>tdbR00000206 Lys-UUU|54</v>
      </c>
      <c r="B2588" s="4" t="s">
        <v>72</v>
      </c>
      <c r="C2588" s="4" t="s">
        <v>476</v>
      </c>
      <c r="D2588" s="4" t="n">
        <v>54</v>
      </c>
      <c r="E2588" s="19" t="s">
        <v>259</v>
      </c>
      <c r="F2588" s="20" t="s">
        <v>477</v>
      </c>
    </row>
    <row r="2589" customFormat="false" ht="15" hidden="false" customHeight="false" outlineLevel="0" collapsed="false">
      <c r="A2589" s="4" t="str">
        <f aca="false">B2589&amp;"|"&amp;C2589</f>
        <v>tdbR00000206 Lys-UUU|55</v>
      </c>
      <c r="B2589" s="4" t="s">
        <v>72</v>
      </c>
      <c r="C2589" s="4" t="s">
        <v>478</v>
      </c>
      <c r="D2589" s="4" t="n">
        <v>55</v>
      </c>
      <c r="E2589" s="19" t="s">
        <v>259</v>
      </c>
      <c r="F2589" s="20" t="s">
        <v>477</v>
      </c>
    </row>
    <row r="2590" customFormat="false" ht="15" hidden="false" customHeight="false" outlineLevel="0" collapsed="false">
      <c r="A2590" s="4" t="str">
        <f aca="false">B2590&amp;"|"&amp;C2590</f>
        <v>tdbR00000206 Lys-UUU|56</v>
      </c>
      <c r="B2590" s="4" t="s">
        <v>72</v>
      </c>
      <c r="C2590" s="4" t="s">
        <v>479</v>
      </c>
      <c r="D2590" s="4" t="n">
        <v>56</v>
      </c>
      <c r="E2590" s="19" t="s">
        <v>414</v>
      </c>
      <c r="F2590" s="20" t="s">
        <v>477</v>
      </c>
    </row>
    <row r="2591" customFormat="false" ht="15" hidden="false" customHeight="false" outlineLevel="0" collapsed="false">
      <c r="A2591" s="4" t="str">
        <f aca="false">B2591&amp;"|"&amp;C2591</f>
        <v>tdbR00000206 Lys-UUU|57</v>
      </c>
      <c r="B2591" s="4" t="s">
        <v>72</v>
      </c>
      <c r="C2591" s="4" t="s">
        <v>480</v>
      </c>
      <c r="D2591" s="4" t="n">
        <v>57</v>
      </c>
      <c r="E2591" s="19" t="s">
        <v>197</v>
      </c>
      <c r="F2591" s="20" t="s">
        <v>477</v>
      </c>
    </row>
    <row r="2592" customFormat="false" ht="15" hidden="false" customHeight="false" outlineLevel="0" collapsed="false">
      <c r="A2592" s="4" t="str">
        <f aca="false">B2592&amp;"|"&amp;C2592</f>
        <v>tdbR00000206 Lys-UUU|58</v>
      </c>
      <c r="B2592" s="4" t="s">
        <v>72</v>
      </c>
      <c r="C2592" s="4" t="s">
        <v>481</v>
      </c>
      <c r="D2592" s="4" t="n">
        <v>58</v>
      </c>
      <c r="E2592" s="19" t="s">
        <v>246</v>
      </c>
      <c r="F2592" s="20" t="s">
        <v>477</v>
      </c>
    </row>
    <row r="2593" customFormat="false" ht="15" hidden="false" customHeight="false" outlineLevel="0" collapsed="false">
      <c r="A2593" s="4" t="str">
        <f aca="false">B2593&amp;"|"&amp;C2593</f>
        <v>tdbR00000206 Lys-UUU|59</v>
      </c>
      <c r="B2593" s="4" t="s">
        <v>72</v>
      </c>
      <c r="C2593" s="4" t="s">
        <v>482</v>
      </c>
      <c r="D2593" s="4" t="n">
        <v>59</v>
      </c>
      <c r="E2593" s="19" t="s">
        <v>197</v>
      </c>
      <c r="F2593" s="20" t="s">
        <v>477</v>
      </c>
    </row>
    <row r="2594" customFormat="false" ht="15" hidden="false" customHeight="false" outlineLevel="0" collapsed="false">
      <c r="A2594" s="4" t="str">
        <f aca="false">B2594&amp;"|"&amp;C2594</f>
        <v>tdbR00000206 Lys-UUU|60</v>
      </c>
      <c r="B2594" s="4" t="s">
        <v>72</v>
      </c>
      <c r="C2594" s="4" t="s">
        <v>483</v>
      </c>
      <c r="D2594" s="4" t="n">
        <v>60</v>
      </c>
      <c r="E2594" s="19" t="s">
        <v>259</v>
      </c>
      <c r="F2594" s="20" t="s">
        <v>477</v>
      </c>
    </row>
    <row r="2595" customFormat="false" ht="15" hidden="false" customHeight="false" outlineLevel="0" collapsed="false">
      <c r="A2595" s="4" t="str">
        <f aca="false">B2595&amp;"|"&amp;C2595</f>
        <v>tdbR00000206 Lys-UUU|61</v>
      </c>
      <c r="B2595" s="4" t="s">
        <v>72</v>
      </c>
      <c r="C2595" s="4" t="s">
        <v>484</v>
      </c>
      <c r="D2595" s="4" t="n">
        <v>61</v>
      </c>
      <c r="E2595" s="23" t="s">
        <v>414</v>
      </c>
      <c r="F2595" s="10" t="s">
        <v>471</v>
      </c>
    </row>
    <row r="2596" customFormat="false" ht="15" hidden="false" customHeight="false" outlineLevel="0" collapsed="false">
      <c r="A2596" s="4" t="str">
        <f aca="false">B2596&amp;"|"&amp;C2596</f>
        <v>tdbR00000206 Lys-UUU|62</v>
      </c>
      <c r="B2596" s="4" t="s">
        <v>72</v>
      </c>
      <c r="C2596" s="4" t="s">
        <v>485</v>
      </c>
      <c r="D2596" s="4" t="n">
        <v>62</v>
      </c>
      <c r="E2596" s="23" t="s">
        <v>414</v>
      </c>
      <c r="F2596" s="10" t="s">
        <v>471</v>
      </c>
    </row>
    <row r="2597" customFormat="false" ht="15" hidden="false" customHeight="false" outlineLevel="0" collapsed="false">
      <c r="A2597" s="4" t="str">
        <f aca="false">B2597&amp;"|"&amp;C2597</f>
        <v>tdbR00000206 Lys-UUU|63</v>
      </c>
      <c r="B2597" s="4" t="s">
        <v>72</v>
      </c>
      <c r="C2597" s="4" t="s">
        <v>486</v>
      </c>
      <c r="D2597" s="4" t="n">
        <v>63</v>
      </c>
      <c r="E2597" s="23" t="s">
        <v>414</v>
      </c>
      <c r="F2597" s="10" t="s">
        <v>471</v>
      </c>
    </row>
    <row r="2598" customFormat="false" ht="15" hidden="false" customHeight="false" outlineLevel="0" collapsed="false">
      <c r="A2598" s="4" t="str">
        <f aca="false">B2598&amp;"|"&amp;C2598</f>
        <v>tdbR00000206 Lys-UUU|64</v>
      </c>
      <c r="B2598" s="4" t="s">
        <v>72</v>
      </c>
      <c r="C2598" s="4" t="s">
        <v>487</v>
      </c>
      <c r="D2598" s="4" t="n">
        <v>64</v>
      </c>
      <c r="E2598" s="23" t="s">
        <v>414</v>
      </c>
      <c r="F2598" s="10" t="s">
        <v>471</v>
      </c>
    </row>
    <row r="2599" customFormat="false" ht="15" hidden="false" customHeight="false" outlineLevel="0" collapsed="false">
      <c r="A2599" s="4" t="str">
        <f aca="false">B2599&amp;"|"&amp;C2599</f>
        <v>tdbR00000206 Lys-UUU|65</v>
      </c>
      <c r="B2599" s="4" t="s">
        <v>72</v>
      </c>
      <c r="C2599" s="4" t="s">
        <v>488</v>
      </c>
      <c r="D2599" s="4" t="n">
        <v>65</v>
      </c>
      <c r="E2599" s="23" t="s">
        <v>246</v>
      </c>
      <c r="F2599" s="10" t="s">
        <v>471</v>
      </c>
    </row>
    <row r="2600" customFormat="false" ht="15" hidden="false" customHeight="false" outlineLevel="0" collapsed="false">
      <c r="A2600" s="4" t="str">
        <f aca="false">B2600&amp;"|"&amp;C2600</f>
        <v>tdbR00000206 Lys-UUU|66</v>
      </c>
      <c r="B2600" s="4" t="s">
        <v>72</v>
      </c>
      <c r="C2600" s="4" t="s">
        <v>489</v>
      </c>
      <c r="D2600" s="4" t="n">
        <v>66</v>
      </c>
      <c r="E2600" s="17" t="s">
        <v>259</v>
      </c>
      <c r="F2600" s="18" t="s">
        <v>412</v>
      </c>
    </row>
    <row r="2601" customFormat="false" ht="15" hidden="false" customHeight="false" outlineLevel="0" collapsed="false">
      <c r="A2601" s="4" t="str">
        <f aca="false">B2601&amp;"|"&amp;C2601</f>
        <v>tdbR00000206 Lys-UUU|67</v>
      </c>
      <c r="B2601" s="4" t="s">
        <v>72</v>
      </c>
      <c r="C2601" s="4" t="s">
        <v>490</v>
      </c>
      <c r="D2601" s="4" t="n">
        <v>67</v>
      </c>
      <c r="E2601" s="17" t="s">
        <v>197</v>
      </c>
      <c r="F2601" s="18" t="s">
        <v>412</v>
      </c>
    </row>
    <row r="2602" customFormat="false" ht="15" hidden="false" customHeight="false" outlineLevel="0" collapsed="false">
      <c r="A2602" s="4" t="str">
        <f aca="false">B2602&amp;"|"&amp;C2602</f>
        <v>tdbR00000206 Lys-UUU|68</v>
      </c>
      <c r="B2602" s="4" t="s">
        <v>72</v>
      </c>
      <c r="C2602" s="4" t="s">
        <v>491</v>
      </c>
      <c r="D2602" s="4" t="n">
        <v>68</v>
      </c>
      <c r="E2602" s="17" t="s">
        <v>259</v>
      </c>
      <c r="F2602" s="18" t="s">
        <v>412</v>
      </c>
    </row>
    <row r="2603" customFormat="false" ht="15" hidden="false" customHeight="false" outlineLevel="0" collapsed="false">
      <c r="A2603" s="4" t="str">
        <f aca="false">B2603&amp;"|"&amp;C2603</f>
        <v>tdbR00000206 Lys-UUU|69</v>
      </c>
      <c r="B2603" s="4" t="s">
        <v>72</v>
      </c>
      <c r="C2603" s="4" t="s">
        <v>492</v>
      </c>
      <c r="D2603" s="4" t="n">
        <v>69</v>
      </c>
      <c r="E2603" s="17" t="s">
        <v>197</v>
      </c>
      <c r="F2603" s="18" t="s">
        <v>412</v>
      </c>
    </row>
    <row r="2604" customFormat="false" ht="15" hidden="false" customHeight="false" outlineLevel="0" collapsed="false">
      <c r="A2604" s="4" t="str">
        <f aca="false">B2604&amp;"|"&amp;C2604</f>
        <v>tdbR00000206 Lys-UUU|70</v>
      </c>
      <c r="B2604" s="4" t="s">
        <v>72</v>
      </c>
      <c r="C2604" s="4" t="s">
        <v>493</v>
      </c>
      <c r="D2604" s="4" t="n">
        <v>70</v>
      </c>
      <c r="E2604" s="17" t="s">
        <v>197</v>
      </c>
      <c r="F2604" s="18" t="s">
        <v>412</v>
      </c>
    </row>
    <row r="2605" customFormat="false" ht="15" hidden="false" customHeight="false" outlineLevel="0" collapsed="false">
      <c r="A2605" s="4" t="str">
        <f aca="false">B2605&amp;"|"&amp;C2605</f>
        <v>tdbR00000206 Lys-UUU|71</v>
      </c>
      <c r="B2605" s="4" t="s">
        <v>72</v>
      </c>
      <c r="C2605" s="4" t="s">
        <v>494</v>
      </c>
      <c r="D2605" s="4" t="n">
        <v>71</v>
      </c>
      <c r="E2605" s="17" t="s">
        <v>197</v>
      </c>
      <c r="F2605" s="18" t="s">
        <v>412</v>
      </c>
    </row>
    <row r="2606" customFormat="false" ht="15" hidden="false" customHeight="false" outlineLevel="0" collapsed="false">
      <c r="A2606" s="4" t="str">
        <f aca="false">B2606&amp;"|"&amp;C2606</f>
        <v>tdbR00000206 Lys-UUU|72</v>
      </c>
      <c r="B2606" s="4" t="s">
        <v>72</v>
      </c>
      <c r="C2606" s="4" t="s">
        <v>495</v>
      </c>
      <c r="D2606" s="4" t="n">
        <v>72</v>
      </c>
      <c r="E2606" s="17" t="s">
        <v>414</v>
      </c>
      <c r="F2606" s="18" t="s">
        <v>412</v>
      </c>
    </row>
    <row r="2607" customFormat="false" ht="15" hidden="false" customHeight="false" outlineLevel="0" collapsed="false">
      <c r="A2607" s="4" t="str">
        <f aca="false">B2607&amp;"|"&amp;C2607</f>
        <v>tdbR00000563 Tyr-GUA|1</v>
      </c>
      <c r="B2607" s="4" t="s">
        <v>73</v>
      </c>
      <c r="C2607" s="4" t="s">
        <v>411</v>
      </c>
      <c r="D2607" s="4" t="n">
        <v>1</v>
      </c>
      <c r="E2607" s="17" t="s">
        <v>414</v>
      </c>
      <c r="F2607" s="18" t="s">
        <v>412</v>
      </c>
    </row>
    <row r="2608" customFormat="false" ht="15" hidden="false" customHeight="false" outlineLevel="0" collapsed="false">
      <c r="A2608" s="4" t="str">
        <f aca="false">B2608&amp;"|"&amp;C2608</f>
        <v>tdbR00000563 Tyr-GUA|2</v>
      </c>
      <c r="B2608" s="4" t="s">
        <v>73</v>
      </c>
      <c r="C2608" s="4" t="s">
        <v>413</v>
      </c>
      <c r="D2608" s="4" t="n">
        <v>2</v>
      </c>
      <c r="E2608" s="17" t="s">
        <v>414</v>
      </c>
      <c r="F2608" s="18" t="s">
        <v>412</v>
      </c>
    </row>
    <row r="2609" customFormat="false" ht="15" hidden="false" customHeight="false" outlineLevel="0" collapsed="false">
      <c r="A2609" s="4" t="str">
        <f aca="false">B2609&amp;"|"&amp;C2609</f>
        <v>tdbR00000563 Tyr-GUA|3</v>
      </c>
      <c r="B2609" s="4" t="s">
        <v>73</v>
      </c>
      <c r="C2609" s="4" t="s">
        <v>415</v>
      </c>
      <c r="D2609" s="4" t="n">
        <v>3</v>
      </c>
      <c r="E2609" s="17" t="s">
        <v>197</v>
      </c>
      <c r="F2609" s="18" t="s">
        <v>412</v>
      </c>
    </row>
    <row r="2610" customFormat="false" ht="15" hidden="false" customHeight="false" outlineLevel="0" collapsed="false">
      <c r="A2610" s="4" t="str">
        <f aca="false">B2610&amp;"|"&amp;C2610</f>
        <v>tdbR00000563 Tyr-GUA|4</v>
      </c>
      <c r="B2610" s="4" t="s">
        <v>73</v>
      </c>
      <c r="C2610" s="4" t="s">
        <v>416</v>
      </c>
      <c r="D2610" s="4" t="n">
        <v>4</v>
      </c>
      <c r="E2610" s="17" t="s">
        <v>246</v>
      </c>
      <c r="F2610" s="18" t="s">
        <v>412</v>
      </c>
    </row>
    <row r="2611" customFormat="false" ht="15" hidden="false" customHeight="false" outlineLevel="0" collapsed="false">
      <c r="A2611" s="4" t="str">
        <f aca="false">B2611&amp;"|"&amp;C2611</f>
        <v>tdbR00000563 Tyr-GUA|5</v>
      </c>
      <c r="B2611" s="4" t="s">
        <v>73</v>
      </c>
      <c r="C2611" s="4" t="s">
        <v>417</v>
      </c>
      <c r="D2611" s="4" t="n">
        <v>5</v>
      </c>
      <c r="E2611" s="17" t="s">
        <v>414</v>
      </c>
      <c r="F2611" s="18" t="s">
        <v>412</v>
      </c>
    </row>
    <row r="2612" customFormat="false" ht="15" hidden="false" customHeight="false" outlineLevel="0" collapsed="false">
      <c r="A2612" s="4" t="str">
        <f aca="false">B2612&amp;"|"&amp;C2612</f>
        <v>tdbR00000563 Tyr-GUA|6</v>
      </c>
      <c r="B2612" s="4" t="s">
        <v>73</v>
      </c>
      <c r="C2612" s="4" t="s">
        <v>418</v>
      </c>
      <c r="D2612" s="4" t="n">
        <v>6</v>
      </c>
      <c r="E2612" s="17" t="s">
        <v>414</v>
      </c>
      <c r="F2612" s="18" t="s">
        <v>412</v>
      </c>
    </row>
    <row r="2613" customFormat="false" ht="15" hidden="false" customHeight="false" outlineLevel="0" collapsed="false">
      <c r="A2613" s="4" t="str">
        <f aca="false">B2613&amp;"|"&amp;C2613</f>
        <v>tdbR00000563 Tyr-GUA|7</v>
      </c>
      <c r="B2613" s="4" t="s">
        <v>73</v>
      </c>
      <c r="C2613" s="4" t="s">
        <v>419</v>
      </c>
      <c r="D2613" s="4" t="n">
        <v>7</v>
      </c>
      <c r="E2613" s="17" t="s">
        <v>259</v>
      </c>
      <c r="F2613" s="18" t="s">
        <v>412</v>
      </c>
    </row>
    <row r="2614" customFormat="false" ht="15" hidden="false" customHeight="false" outlineLevel="0" collapsed="false">
      <c r="A2614" s="4" t="str">
        <f aca="false">B2614&amp;"|"&amp;C2614</f>
        <v>tdbR00000563 Tyr-GUA|8</v>
      </c>
      <c r="B2614" s="4" t="s">
        <v>73</v>
      </c>
      <c r="C2614" s="4" t="s">
        <v>420</v>
      </c>
      <c r="D2614" s="4" t="n">
        <v>8</v>
      </c>
      <c r="E2614" s="3" t="s">
        <v>259</v>
      </c>
      <c r="F2614" s="4" t="s">
        <v>421</v>
      </c>
    </row>
    <row r="2615" customFormat="false" ht="15" hidden="false" customHeight="false" outlineLevel="0" collapsed="false">
      <c r="A2615" s="4" t="str">
        <f aca="false">B2615&amp;"|"&amp;C2615</f>
        <v>tdbR00000563 Tyr-GUA|9</v>
      </c>
      <c r="B2615" s="4" t="s">
        <v>73</v>
      </c>
      <c r="C2615" s="4" t="s">
        <v>422</v>
      </c>
      <c r="D2615" s="4" t="n">
        <v>9</v>
      </c>
      <c r="E2615" s="3" t="s">
        <v>246</v>
      </c>
      <c r="F2615" s="4" t="s">
        <v>423</v>
      </c>
    </row>
    <row r="2616" customFormat="false" ht="15" hidden="false" customHeight="false" outlineLevel="0" collapsed="false">
      <c r="A2616" s="4" t="str">
        <f aca="false">B2616&amp;"|"&amp;C2616</f>
        <v>tdbR00000563 Tyr-GUA|10</v>
      </c>
      <c r="B2616" s="4" t="s">
        <v>73</v>
      </c>
      <c r="C2616" s="4" t="s">
        <v>424</v>
      </c>
      <c r="D2616" s="4" t="n">
        <v>10</v>
      </c>
      <c r="E2616" s="8" t="s">
        <v>197</v>
      </c>
      <c r="F2616" s="7" t="s">
        <v>425</v>
      </c>
    </row>
    <row r="2617" customFormat="false" ht="15" hidden="false" customHeight="false" outlineLevel="0" collapsed="false">
      <c r="A2617" s="4" t="str">
        <f aca="false">B2617&amp;"|"&amp;C2617</f>
        <v>tdbR00000563 Tyr-GUA|11</v>
      </c>
      <c r="B2617" s="4" t="s">
        <v>73</v>
      </c>
      <c r="C2617" s="4" t="s">
        <v>426</v>
      </c>
      <c r="D2617" s="4" t="n">
        <v>11</v>
      </c>
      <c r="E2617" s="8" t="s">
        <v>414</v>
      </c>
      <c r="F2617" s="7" t="s">
        <v>425</v>
      </c>
    </row>
    <row r="2618" customFormat="false" ht="15" hidden="false" customHeight="false" outlineLevel="0" collapsed="false">
      <c r="A2618" s="4" t="str">
        <f aca="false">B2618&amp;"|"&amp;C2618</f>
        <v>tdbR00000563 Tyr-GUA|12</v>
      </c>
      <c r="B2618" s="4" t="s">
        <v>73</v>
      </c>
      <c r="C2618" s="4" t="s">
        <v>427</v>
      </c>
      <c r="D2618" s="4" t="n">
        <v>12</v>
      </c>
      <c r="E2618" s="8" t="s">
        <v>259</v>
      </c>
      <c r="F2618" s="7" t="s">
        <v>425</v>
      </c>
    </row>
    <row r="2619" customFormat="false" ht="15" hidden="false" customHeight="false" outlineLevel="0" collapsed="false">
      <c r="A2619" s="4" t="str">
        <f aca="false">B2619&amp;"|"&amp;C2619</f>
        <v>tdbR00000563 Tyr-GUA|13</v>
      </c>
      <c r="B2619" s="4" t="s">
        <v>73</v>
      </c>
      <c r="C2619" s="4" t="s">
        <v>428</v>
      </c>
      <c r="D2619" s="4" t="n">
        <v>13</v>
      </c>
      <c r="E2619" s="8" t="s">
        <v>414</v>
      </c>
      <c r="F2619" s="7" t="s">
        <v>425</v>
      </c>
    </row>
    <row r="2620" customFormat="false" ht="15" hidden="false" customHeight="false" outlineLevel="0" collapsed="false">
      <c r="A2620" s="4" t="str">
        <f aca="false">B2620&amp;"|"&amp;C2620</f>
        <v>tdbR00000563 Tyr-GUA|14</v>
      </c>
      <c r="B2620" s="4" t="s">
        <v>73</v>
      </c>
      <c r="C2620" s="4" t="s">
        <v>429</v>
      </c>
      <c r="D2620" s="4" t="n">
        <v>14</v>
      </c>
      <c r="E2620" s="19" t="s">
        <v>246</v>
      </c>
      <c r="F2620" s="20" t="s">
        <v>430</v>
      </c>
    </row>
    <row r="2621" customFormat="false" ht="15" hidden="false" customHeight="false" outlineLevel="0" collapsed="false">
      <c r="A2621" s="4" t="str">
        <f aca="false">B2621&amp;"|"&amp;C2621</f>
        <v>tdbR00000563 Tyr-GUA|15</v>
      </c>
      <c r="B2621" s="4" t="s">
        <v>73</v>
      </c>
      <c r="C2621" s="4" t="s">
        <v>431</v>
      </c>
      <c r="D2621" s="4" t="n">
        <v>15</v>
      </c>
      <c r="E2621" s="19" t="s">
        <v>197</v>
      </c>
      <c r="F2621" s="20" t="s">
        <v>430</v>
      </c>
    </row>
    <row r="2622" customFormat="false" ht="15" hidden="false" customHeight="false" outlineLevel="0" collapsed="false">
      <c r="A2622" s="4" t="str">
        <f aca="false">B2622&amp;"|"&amp;C2622</f>
        <v>tdbR00000563 Tyr-GUA|16</v>
      </c>
      <c r="B2622" s="4" t="s">
        <v>73</v>
      </c>
      <c r="C2622" s="4" t="s">
        <v>432</v>
      </c>
      <c r="D2622" s="4" t="n">
        <v>16</v>
      </c>
      <c r="E2622" s="19" t="s">
        <v>259</v>
      </c>
      <c r="F2622" s="20" t="s">
        <v>430</v>
      </c>
    </row>
    <row r="2623" customFormat="false" ht="15" hidden="false" customHeight="false" outlineLevel="0" collapsed="false">
      <c r="A2623" s="4" t="str">
        <f aca="false">B2623&amp;"|"&amp;C2623</f>
        <v>tdbR00000563 Tyr-GUA|17</v>
      </c>
      <c r="B2623" s="4" t="s">
        <v>73</v>
      </c>
      <c r="C2623" s="4" t="s">
        <v>433</v>
      </c>
      <c r="D2623" s="4" t="n">
        <v>17</v>
      </c>
      <c r="E2623" s="19" t="s">
        <v>259</v>
      </c>
      <c r="F2623" s="20" t="s">
        <v>430</v>
      </c>
    </row>
    <row r="2624" customFormat="false" ht="15" hidden="false" customHeight="false" outlineLevel="0" collapsed="false">
      <c r="A2624" s="4" t="str">
        <f aca="false">B2624&amp;"|"&amp;C2624</f>
        <v>tdbR00000563 Tyr-GUA|18</v>
      </c>
      <c r="B2624" s="4" t="s">
        <v>73</v>
      </c>
      <c r="C2624" s="4" t="s">
        <v>434</v>
      </c>
      <c r="D2624" s="4" t="n">
        <v>18</v>
      </c>
      <c r="E2624" s="19" t="s">
        <v>197</v>
      </c>
      <c r="F2624" s="20" t="s">
        <v>430</v>
      </c>
    </row>
    <row r="2625" customFormat="false" ht="15" hidden="false" customHeight="false" outlineLevel="0" collapsed="false">
      <c r="A2625" s="4" t="str">
        <f aca="false">B2625&amp;"|"&amp;C2625</f>
        <v>tdbR00000563 Tyr-GUA|19</v>
      </c>
      <c r="B2625" s="4" t="s">
        <v>73</v>
      </c>
      <c r="C2625" s="4" t="s">
        <v>435</v>
      </c>
      <c r="D2625" s="4" t="n">
        <v>19</v>
      </c>
      <c r="E2625" s="19" t="s">
        <v>197</v>
      </c>
      <c r="F2625" s="20" t="s">
        <v>430</v>
      </c>
    </row>
    <row r="2626" customFormat="false" ht="15" hidden="false" customHeight="false" outlineLevel="0" collapsed="false">
      <c r="A2626" s="4" t="str">
        <f aca="false">B2626&amp;"|"&amp;C2626</f>
        <v>tdbR00000563 Tyr-GUA|20</v>
      </c>
      <c r="B2626" s="4" t="s">
        <v>73</v>
      </c>
      <c r="C2626" s="4" t="s">
        <v>436</v>
      </c>
      <c r="D2626" s="4" t="n">
        <v>20</v>
      </c>
      <c r="E2626" s="19" t="s">
        <v>259</v>
      </c>
      <c r="F2626" s="20" t="s">
        <v>430</v>
      </c>
    </row>
    <row r="2627" customFormat="false" ht="15" hidden="false" customHeight="false" outlineLevel="0" collapsed="false">
      <c r="A2627" s="4" t="str">
        <f aca="false">B2627&amp;"|"&amp;C2627</f>
        <v>tdbR00000563 Tyr-GUA|21</v>
      </c>
      <c r="B2627" s="4" t="s">
        <v>73</v>
      </c>
      <c r="C2627" s="4" t="s">
        <v>438</v>
      </c>
      <c r="D2627" s="4" t="n">
        <v>21</v>
      </c>
      <c r="E2627" s="19" t="s">
        <v>246</v>
      </c>
      <c r="F2627" s="20" t="s">
        <v>430</v>
      </c>
    </row>
    <row r="2628" customFormat="false" ht="15" hidden="false" customHeight="false" outlineLevel="0" collapsed="false">
      <c r="A2628" s="4" t="str">
        <f aca="false">B2628&amp;"|"&amp;C2628</f>
        <v>tdbR00000563 Tyr-GUA|22</v>
      </c>
      <c r="B2628" s="4" t="s">
        <v>73</v>
      </c>
      <c r="C2628" s="4" t="s">
        <v>439</v>
      </c>
      <c r="D2628" s="4" t="n">
        <v>22</v>
      </c>
      <c r="E2628" s="8" t="s">
        <v>197</v>
      </c>
      <c r="F2628" s="7" t="s">
        <v>425</v>
      </c>
    </row>
    <row r="2629" customFormat="false" ht="15" hidden="false" customHeight="false" outlineLevel="0" collapsed="false">
      <c r="A2629" s="4" t="str">
        <f aca="false">B2629&amp;"|"&amp;C2629</f>
        <v>tdbR00000563 Tyr-GUA|23</v>
      </c>
      <c r="B2629" s="4" t="s">
        <v>73</v>
      </c>
      <c r="C2629" s="4" t="s">
        <v>440</v>
      </c>
      <c r="D2629" s="4" t="n">
        <v>23</v>
      </c>
      <c r="E2629" s="8" t="s">
        <v>246</v>
      </c>
      <c r="F2629" s="7" t="s">
        <v>425</v>
      </c>
    </row>
    <row r="2630" customFormat="false" ht="15" hidden="false" customHeight="false" outlineLevel="0" collapsed="false">
      <c r="A2630" s="4" t="str">
        <f aca="false">B2630&amp;"|"&amp;C2630</f>
        <v>tdbR00000563 Tyr-GUA|24</v>
      </c>
      <c r="B2630" s="4" t="s">
        <v>73</v>
      </c>
      <c r="C2630" s="4" t="s">
        <v>441</v>
      </c>
      <c r="D2630" s="4" t="n">
        <v>24</v>
      </c>
      <c r="E2630" s="8" t="s">
        <v>197</v>
      </c>
      <c r="F2630" s="7" t="s">
        <v>425</v>
      </c>
    </row>
    <row r="2631" customFormat="false" ht="15" hidden="false" customHeight="false" outlineLevel="0" collapsed="false">
      <c r="A2631" s="4" t="str">
        <f aca="false">B2631&amp;"|"&amp;C2631</f>
        <v>tdbR00000563 Tyr-GUA|25</v>
      </c>
      <c r="B2631" s="4" t="s">
        <v>73</v>
      </c>
      <c r="C2631" s="4" t="s">
        <v>442</v>
      </c>
      <c r="D2631" s="4" t="n">
        <v>25</v>
      </c>
      <c r="E2631" s="8" t="s">
        <v>414</v>
      </c>
      <c r="F2631" s="7" t="s">
        <v>425</v>
      </c>
    </row>
    <row r="2632" customFormat="false" ht="15" hidden="false" customHeight="false" outlineLevel="0" collapsed="false">
      <c r="A2632" s="4" t="str">
        <f aca="false">B2632&amp;"|"&amp;C2632</f>
        <v>tdbR00000563 Tyr-GUA|26</v>
      </c>
      <c r="B2632" s="4" t="s">
        <v>73</v>
      </c>
      <c r="C2632" s="4" t="s">
        <v>443</v>
      </c>
      <c r="D2632" s="4" t="n">
        <v>26</v>
      </c>
      <c r="E2632" s="3" t="s">
        <v>197</v>
      </c>
      <c r="F2632" s="4" t="s">
        <v>444</v>
      </c>
    </row>
    <row r="2633" customFormat="false" ht="15" hidden="false" customHeight="false" outlineLevel="0" collapsed="false">
      <c r="A2633" s="4" t="str">
        <f aca="false">B2633&amp;"|"&amp;C2633</f>
        <v>tdbR00000563 Tyr-GUA|27</v>
      </c>
      <c r="B2633" s="4" t="s">
        <v>73</v>
      </c>
      <c r="C2633" s="4" t="s">
        <v>445</v>
      </c>
      <c r="D2633" s="4" t="n">
        <v>27</v>
      </c>
      <c r="E2633" s="21" t="s">
        <v>197</v>
      </c>
      <c r="F2633" s="22" t="s">
        <v>446</v>
      </c>
    </row>
    <row r="2634" customFormat="false" ht="15" hidden="false" customHeight="false" outlineLevel="0" collapsed="false">
      <c r="A2634" s="4" t="str">
        <f aca="false">B2634&amp;"|"&amp;C2634</f>
        <v>tdbR00000563 Tyr-GUA|28</v>
      </c>
      <c r="B2634" s="4" t="s">
        <v>73</v>
      </c>
      <c r="C2634" s="4" t="s">
        <v>447</v>
      </c>
      <c r="D2634" s="4" t="n">
        <v>28</v>
      </c>
      <c r="E2634" s="21" t="s">
        <v>246</v>
      </c>
      <c r="F2634" s="22" t="s">
        <v>446</v>
      </c>
    </row>
    <row r="2635" customFormat="false" ht="15" hidden="false" customHeight="false" outlineLevel="0" collapsed="false">
      <c r="A2635" s="4" t="str">
        <f aca="false">B2635&amp;"|"&amp;C2635</f>
        <v>tdbR00000563 Tyr-GUA|29</v>
      </c>
      <c r="B2635" s="4" t="s">
        <v>73</v>
      </c>
      <c r="C2635" s="4" t="s">
        <v>448</v>
      </c>
      <c r="D2635" s="4" t="n">
        <v>29</v>
      </c>
      <c r="E2635" s="21" t="s">
        <v>197</v>
      </c>
      <c r="F2635" s="22" t="s">
        <v>446</v>
      </c>
    </row>
    <row r="2636" customFormat="false" ht="15" hidden="false" customHeight="false" outlineLevel="0" collapsed="false">
      <c r="A2636" s="4" t="str">
        <f aca="false">B2636&amp;"|"&amp;C2636</f>
        <v>tdbR00000563 Tyr-GUA|30</v>
      </c>
      <c r="B2636" s="4" t="s">
        <v>73</v>
      </c>
      <c r="C2636" s="4" t="s">
        <v>449</v>
      </c>
      <c r="D2636" s="4" t="n">
        <v>30</v>
      </c>
      <c r="E2636" s="21" t="s">
        <v>197</v>
      </c>
      <c r="F2636" s="22" t="s">
        <v>446</v>
      </c>
    </row>
    <row r="2637" customFormat="false" ht="15" hidden="false" customHeight="false" outlineLevel="0" collapsed="false">
      <c r="A2637" s="4" t="str">
        <f aca="false">B2637&amp;"|"&amp;C2637</f>
        <v>tdbR00000563 Tyr-GUA|31</v>
      </c>
      <c r="B2637" s="4" t="s">
        <v>73</v>
      </c>
      <c r="C2637" s="4" t="s">
        <v>450</v>
      </c>
      <c r="D2637" s="4" t="n">
        <v>31</v>
      </c>
      <c r="E2637" s="21" t="s">
        <v>246</v>
      </c>
      <c r="F2637" s="22" t="s">
        <v>446</v>
      </c>
    </row>
    <row r="2638" customFormat="false" ht="15" hidden="false" customHeight="false" outlineLevel="0" collapsed="false">
      <c r="A2638" s="4" t="str">
        <f aca="false">B2638&amp;"|"&amp;C2638</f>
        <v>tdbR00000563 Tyr-GUA|32</v>
      </c>
      <c r="B2638" s="4" t="s">
        <v>73</v>
      </c>
      <c r="C2638" s="4" t="s">
        <v>451</v>
      </c>
      <c r="D2638" s="4" t="n">
        <v>32</v>
      </c>
      <c r="E2638" s="19" t="s">
        <v>414</v>
      </c>
      <c r="F2638" s="20" t="s">
        <v>452</v>
      </c>
    </row>
    <row r="2639" customFormat="false" ht="15" hidden="false" customHeight="false" outlineLevel="0" collapsed="false">
      <c r="A2639" s="4" t="str">
        <f aca="false">B2639&amp;"|"&amp;C2639</f>
        <v>tdbR00000563 Tyr-GUA|33</v>
      </c>
      <c r="B2639" s="4" t="s">
        <v>73</v>
      </c>
      <c r="C2639" s="4" t="s">
        <v>453</v>
      </c>
      <c r="D2639" s="4" t="n">
        <v>33</v>
      </c>
      <c r="E2639" s="19" t="s">
        <v>259</v>
      </c>
      <c r="F2639" s="20" t="s">
        <v>452</v>
      </c>
    </row>
    <row r="2640" customFormat="false" ht="15" hidden="false" customHeight="false" outlineLevel="0" collapsed="false">
      <c r="A2640" s="4" t="str">
        <f aca="false">B2640&amp;"|"&amp;C2640</f>
        <v>tdbR00000563 Tyr-GUA|34</v>
      </c>
      <c r="B2640" s="4" t="s">
        <v>73</v>
      </c>
      <c r="C2640" s="4" t="s">
        <v>454</v>
      </c>
      <c r="D2640" s="4" t="n">
        <v>34</v>
      </c>
      <c r="E2640" s="19" t="s">
        <v>197</v>
      </c>
      <c r="F2640" s="20" t="s">
        <v>452</v>
      </c>
    </row>
    <row r="2641" customFormat="false" ht="15" hidden="false" customHeight="false" outlineLevel="0" collapsed="false">
      <c r="A2641" s="4" t="str">
        <f aca="false">B2641&amp;"|"&amp;C2641</f>
        <v>tdbR00000563 Tyr-GUA|35</v>
      </c>
      <c r="B2641" s="4" t="s">
        <v>73</v>
      </c>
      <c r="C2641" s="4" t="s">
        <v>455</v>
      </c>
      <c r="D2641" s="4" t="n">
        <v>35</v>
      </c>
      <c r="E2641" s="19" t="s">
        <v>259</v>
      </c>
      <c r="F2641" s="20" t="s">
        <v>452</v>
      </c>
    </row>
    <row r="2642" customFormat="false" ht="15" hidden="false" customHeight="false" outlineLevel="0" collapsed="false">
      <c r="A2642" s="4" t="str">
        <f aca="false">B2642&amp;"|"&amp;C2642</f>
        <v>tdbR00000563 Tyr-GUA|36</v>
      </c>
      <c r="B2642" s="4" t="s">
        <v>73</v>
      </c>
      <c r="C2642" s="4" t="s">
        <v>456</v>
      </c>
      <c r="D2642" s="4" t="n">
        <v>36</v>
      </c>
      <c r="E2642" s="19" t="s">
        <v>246</v>
      </c>
      <c r="F2642" s="20" t="s">
        <v>452</v>
      </c>
    </row>
    <row r="2643" customFormat="false" ht="15" hidden="false" customHeight="false" outlineLevel="0" collapsed="false">
      <c r="A2643" s="4" t="str">
        <f aca="false">B2643&amp;"|"&amp;C2643</f>
        <v>tdbR00000563 Tyr-GUA|37</v>
      </c>
      <c r="B2643" s="4" t="s">
        <v>73</v>
      </c>
      <c r="C2643" s="4" t="s">
        <v>457</v>
      </c>
      <c r="D2643" s="4" t="n">
        <v>37</v>
      </c>
      <c r="E2643" s="19" t="s">
        <v>197</v>
      </c>
      <c r="F2643" s="20" t="s">
        <v>452</v>
      </c>
    </row>
    <row r="2644" customFormat="false" ht="15" hidden="false" customHeight="false" outlineLevel="0" collapsed="false">
      <c r="A2644" s="4" t="str">
        <f aca="false">B2644&amp;"|"&amp;C2644</f>
        <v>tdbR00000563 Tyr-GUA|38</v>
      </c>
      <c r="B2644" s="4" t="s">
        <v>73</v>
      </c>
      <c r="C2644" s="4" t="s">
        <v>458</v>
      </c>
      <c r="D2644" s="4" t="n">
        <v>38</v>
      </c>
      <c r="E2644" s="19" t="s">
        <v>246</v>
      </c>
      <c r="F2644" s="20" t="s">
        <v>452</v>
      </c>
    </row>
    <row r="2645" customFormat="false" ht="15" hidden="false" customHeight="false" outlineLevel="0" collapsed="false">
      <c r="A2645" s="4" t="str">
        <f aca="false">B2645&amp;"|"&amp;C2645</f>
        <v>tdbR00000563 Tyr-GUA|39</v>
      </c>
      <c r="B2645" s="4" t="s">
        <v>73</v>
      </c>
      <c r="C2645" s="4" t="s">
        <v>459</v>
      </c>
      <c r="D2645" s="4" t="n">
        <v>39</v>
      </c>
      <c r="E2645" s="21" t="s">
        <v>259</v>
      </c>
      <c r="F2645" s="22" t="s">
        <v>446</v>
      </c>
    </row>
    <row r="2646" customFormat="false" ht="15" hidden="false" customHeight="false" outlineLevel="0" collapsed="false">
      <c r="A2646" s="4" t="str">
        <f aca="false">B2646&amp;"|"&amp;C2646</f>
        <v>tdbR00000563 Tyr-GUA|40</v>
      </c>
      <c r="B2646" s="4" t="s">
        <v>73</v>
      </c>
      <c r="C2646" s="4" t="s">
        <v>460</v>
      </c>
      <c r="D2646" s="4" t="n">
        <v>40</v>
      </c>
      <c r="E2646" s="21" t="s">
        <v>414</v>
      </c>
      <c r="F2646" s="22" t="s">
        <v>446</v>
      </c>
    </row>
    <row r="2647" customFormat="false" ht="15" hidden="false" customHeight="false" outlineLevel="0" collapsed="false">
      <c r="A2647" s="4" t="str">
        <f aca="false">B2647&amp;"|"&amp;C2647</f>
        <v>tdbR00000563 Tyr-GUA|41</v>
      </c>
      <c r="B2647" s="4" t="s">
        <v>73</v>
      </c>
      <c r="C2647" s="4" t="s">
        <v>461</v>
      </c>
      <c r="D2647" s="4" t="n">
        <v>41</v>
      </c>
      <c r="E2647" s="21" t="s">
        <v>414</v>
      </c>
      <c r="F2647" s="22" t="s">
        <v>446</v>
      </c>
    </row>
    <row r="2648" customFormat="false" ht="15" hidden="false" customHeight="false" outlineLevel="0" collapsed="false">
      <c r="A2648" s="4" t="str">
        <f aca="false">B2648&amp;"|"&amp;C2648</f>
        <v>tdbR00000563 Tyr-GUA|42</v>
      </c>
      <c r="B2648" s="4" t="s">
        <v>73</v>
      </c>
      <c r="C2648" s="4" t="s">
        <v>462</v>
      </c>
      <c r="D2648" s="4" t="n">
        <v>42</v>
      </c>
      <c r="E2648" s="21" t="s">
        <v>259</v>
      </c>
      <c r="F2648" s="22" t="s">
        <v>446</v>
      </c>
    </row>
    <row r="2649" customFormat="false" ht="15" hidden="false" customHeight="false" outlineLevel="0" collapsed="false">
      <c r="A2649" s="4" t="str">
        <f aca="false">B2649&amp;"|"&amp;C2649</f>
        <v>tdbR00000563 Tyr-GUA|43</v>
      </c>
      <c r="B2649" s="4" t="s">
        <v>73</v>
      </c>
      <c r="C2649" s="4" t="s">
        <v>463</v>
      </c>
      <c r="D2649" s="4" t="n">
        <v>43</v>
      </c>
      <c r="E2649" s="21" t="s">
        <v>259</v>
      </c>
      <c r="F2649" s="22" t="s">
        <v>446</v>
      </c>
    </row>
    <row r="2650" customFormat="false" ht="15" hidden="false" customHeight="false" outlineLevel="0" collapsed="false">
      <c r="A2650" s="4" t="str">
        <f aca="false">B2650&amp;"|"&amp;C2650</f>
        <v>tdbR00000563 Tyr-GUA|44</v>
      </c>
      <c r="B2650" s="4" t="s">
        <v>73</v>
      </c>
      <c r="C2650" s="4" t="s">
        <v>464</v>
      </c>
      <c r="D2650" s="4" t="n">
        <v>44</v>
      </c>
      <c r="E2650" s="19" t="s">
        <v>246</v>
      </c>
      <c r="F2650" s="20" t="s">
        <v>465</v>
      </c>
    </row>
    <row r="2651" customFormat="false" ht="15" hidden="false" customHeight="false" outlineLevel="0" collapsed="false">
      <c r="A2651" s="4" t="str">
        <f aca="false">B2651&amp;"|"&amp;C2651</f>
        <v>tdbR00000563 Tyr-GUA|45</v>
      </c>
      <c r="B2651" s="4" t="s">
        <v>73</v>
      </c>
      <c r="C2651" s="4" t="s">
        <v>466</v>
      </c>
      <c r="D2651" s="4" t="n">
        <v>45</v>
      </c>
      <c r="E2651" s="19" t="s">
        <v>197</v>
      </c>
      <c r="F2651" s="20" t="s">
        <v>465</v>
      </c>
    </row>
    <row r="2652" customFormat="false" ht="15" hidden="false" customHeight="false" outlineLevel="0" collapsed="false">
      <c r="A2652" s="4" t="str">
        <f aca="false">B2652&amp;"|"&amp;C2652</f>
        <v>tdbR00000563 Tyr-GUA|46</v>
      </c>
      <c r="B2652" s="4" t="s">
        <v>73</v>
      </c>
      <c r="C2652" s="4" t="s">
        <v>467</v>
      </c>
      <c r="D2652" s="4" t="n">
        <v>46</v>
      </c>
      <c r="E2652" s="19" t="s">
        <v>197</v>
      </c>
      <c r="F2652" s="20" t="s">
        <v>465</v>
      </c>
    </row>
    <row r="2653" customFormat="false" ht="15" hidden="false" customHeight="false" outlineLevel="0" collapsed="false">
      <c r="A2653" s="4" t="str">
        <f aca="false">B2653&amp;"|"&amp;C2653</f>
        <v>tdbR00000563 Tyr-GUA|47</v>
      </c>
      <c r="B2653" s="4" t="s">
        <v>73</v>
      </c>
      <c r="C2653" s="4" t="s">
        <v>468</v>
      </c>
      <c r="D2653" s="4" t="n">
        <v>47</v>
      </c>
      <c r="E2653" s="19" t="s">
        <v>259</v>
      </c>
      <c r="F2653" s="20" t="s">
        <v>465</v>
      </c>
    </row>
    <row r="2654" customFormat="false" ht="15" hidden="false" customHeight="false" outlineLevel="0" collapsed="false">
      <c r="A2654" s="4" t="str">
        <f aca="false">B2654&amp;"|"&amp;C2654</f>
        <v>tdbR00000563 Tyr-GUA|48</v>
      </c>
      <c r="B2654" s="4" t="s">
        <v>73</v>
      </c>
      <c r="C2654" s="4" t="s">
        <v>469</v>
      </c>
      <c r="D2654" s="4" t="n">
        <v>48</v>
      </c>
      <c r="E2654" s="19" t="s">
        <v>414</v>
      </c>
      <c r="F2654" s="20" t="s">
        <v>465</v>
      </c>
    </row>
    <row r="2655" customFormat="false" ht="15" hidden="false" customHeight="false" outlineLevel="0" collapsed="false">
      <c r="A2655" s="4" t="str">
        <f aca="false">B2655&amp;"|"&amp;C2655</f>
        <v>tdbR00000563 Tyr-GUA|49</v>
      </c>
      <c r="B2655" s="4" t="s">
        <v>73</v>
      </c>
      <c r="C2655" s="4" t="s">
        <v>470</v>
      </c>
      <c r="D2655" s="4" t="n">
        <v>49</v>
      </c>
      <c r="E2655" s="23" t="s">
        <v>246</v>
      </c>
      <c r="F2655" s="10" t="s">
        <v>471</v>
      </c>
    </row>
    <row r="2656" customFormat="false" ht="15" hidden="false" customHeight="false" outlineLevel="0" collapsed="false">
      <c r="A2656" s="4" t="str">
        <f aca="false">B2656&amp;"|"&amp;C2656</f>
        <v>tdbR00000563 Tyr-GUA|50</v>
      </c>
      <c r="B2656" s="4" t="s">
        <v>73</v>
      </c>
      <c r="C2656" s="4" t="s">
        <v>472</v>
      </c>
      <c r="D2656" s="4" t="n">
        <v>50</v>
      </c>
      <c r="E2656" s="23" t="s">
        <v>414</v>
      </c>
      <c r="F2656" s="10" t="s">
        <v>471</v>
      </c>
    </row>
    <row r="2657" customFormat="false" ht="15" hidden="false" customHeight="false" outlineLevel="0" collapsed="false">
      <c r="A2657" s="4" t="str">
        <f aca="false">B2657&amp;"|"&amp;C2657</f>
        <v>tdbR00000563 Tyr-GUA|51</v>
      </c>
      <c r="B2657" s="4" t="s">
        <v>73</v>
      </c>
      <c r="C2657" s="4" t="s">
        <v>473</v>
      </c>
      <c r="D2657" s="4" t="n">
        <v>51</v>
      </c>
      <c r="E2657" s="23" t="s">
        <v>259</v>
      </c>
      <c r="F2657" s="10" t="s">
        <v>471</v>
      </c>
    </row>
    <row r="2658" customFormat="false" ht="15" hidden="false" customHeight="false" outlineLevel="0" collapsed="false">
      <c r="A2658" s="4" t="str">
        <f aca="false">B2658&amp;"|"&amp;C2658</f>
        <v>tdbR00000563 Tyr-GUA|52</v>
      </c>
      <c r="B2658" s="4" t="s">
        <v>73</v>
      </c>
      <c r="C2658" s="4" t="s">
        <v>474</v>
      </c>
      <c r="D2658" s="4" t="n">
        <v>52</v>
      </c>
      <c r="E2658" s="23" t="s">
        <v>197</v>
      </c>
      <c r="F2658" s="10" t="s">
        <v>471</v>
      </c>
    </row>
    <row r="2659" customFormat="false" ht="15" hidden="false" customHeight="false" outlineLevel="0" collapsed="false">
      <c r="A2659" s="4" t="str">
        <f aca="false">B2659&amp;"|"&amp;C2659</f>
        <v>tdbR00000563 Tyr-GUA|53</v>
      </c>
      <c r="B2659" s="4" t="s">
        <v>73</v>
      </c>
      <c r="C2659" s="4" t="s">
        <v>475</v>
      </c>
      <c r="D2659" s="4" t="n">
        <v>53</v>
      </c>
      <c r="E2659" s="23" t="s">
        <v>197</v>
      </c>
      <c r="F2659" s="10" t="s">
        <v>471</v>
      </c>
    </row>
    <row r="2660" customFormat="false" ht="15" hidden="false" customHeight="false" outlineLevel="0" collapsed="false">
      <c r="A2660" s="4" t="str">
        <f aca="false">B2660&amp;"|"&amp;C2660</f>
        <v>tdbR00000563 Tyr-GUA|54</v>
      </c>
      <c r="B2660" s="4" t="s">
        <v>73</v>
      </c>
      <c r="C2660" s="4" t="s">
        <v>476</v>
      </c>
      <c r="D2660" s="4" t="n">
        <v>54</v>
      </c>
      <c r="E2660" s="19" t="s">
        <v>259</v>
      </c>
      <c r="F2660" s="20" t="s">
        <v>477</v>
      </c>
    </row>
    <row r="2661" customFormat="false" ht="15" hidden="false" customHeight="false" outlineLevel="0" collapsed="false">
      <c r="A2661" s="4" t="str">
        <f aca="false">B2661&amp;"|"&amp;C2661</f>
        <v>tdbR00000563 Tyr-GUA|55</v>
      </c>
      <c r="B2661" s="4" t="s">
        <v>73</v>
      </c>
      <c r="C2661" s="4" t="s">
        <v>478</v>
      </c>
      <c r="D2661" s="4" t="n">
        <v>55</v>
      </c>
      <c r="E2661" s="19" t="s">
        <v>259</v>
      </c>
      <c r="F2661" s="20" t="s">
        <v>477</v>
      </c>
    </row>
    <row r="2662" customFormat="false" ht="15" hidden="false" customHeight="false" outlineLevel="0" collapsed="false">
      <c r="A2662" s="4" t="str">
        <f aca="false">B2662&amp;"|"&amp;C2662</f>
        <v>tdbR00000563 Tyr-GUA|56</v>
      </c>
      <c r="B2662" s="4" t="s">
        <v>73</v>
      </c>
      <c r="C2662" s="4" t="s">
        <v>479</v>
      </c>
      <c r="D2662" s="4" t="n">
        <v>56</v>
      </c>
      <c r="E2662" s="19" t="s">
        <v>414</v>
      </c>
      <c r="F2662" s="20" t="s">
        <v>477</v>
      </c>
    </row>
    <row r="2663" customFormat="false" ht="15" hidden="false" customHeight="false" outlineLevel="0" collapsed="false">
      <c r="A2663" s="4" t="str">
        <f aca="false">B2663&amp;"|"&amp;C2663</f>
        <v>tdbR00000563 Tyr-GUA|57</v>
      </c>
      <c r="B2663" s="4" t="s">
        <v>73</v>
      </c>
      <c r="C2663" s="4" t="s">
        <v>480</v>
      </c>
      <c r="D2663" s="4" t="n">
        <v>57</v>
      </c>
      <c r="E2663" s="19" t="s">
        <v>197</v>
      </c>
      <c r="F2663" s="20" t="s">
        <v>477</v>
      </c>
    </row>
    <row r="2664" customFormat="false" ht="15" hidden="false" customHeight="false" outlineLevel="0" collapsed="false">
      <c r="A2664" s="4" t="str">
        <f aca="false">B2664&amp;"|"&amp;C2664</f>
        <v>tdbR00000563 Tyr-GUA|58</v>
      </c>
      <c r="B2664" s="4" t="s">
        <v>73</v>
      </c>
      <c r="C2664" s="4" t="s">
        <v>481</v>
      </c>
      <c r="D2664" s="4" t="n">
        <v>58</v>
      </c>
      <c r="E2664" s="19" t="s">
        <v>246</v>
      </c>
      <c r="F2664" s="20" t="s">
        <v>477</v>
      </c>
    </row>
    <row r="2665" customFormat="false" ht="15" hidden="false" customHeight="false" outlineLevel="0" collapsed="false">
      <c r="A2665" s="4" t="str">
        <f aca="false">B2665&amp;"|"&amp;C2665</f>
        <v>tdbR00000563 Tyr-GUA|59</v>
      </c>
      <c r="B2665" s="4" t="s">
        <v>73</v>
      </c>
      <c r="C2665" s="4" t="s">
        <v>482</v>
      </c>
      <c r="D2665" s="4" t="n">
        <v>59</v>
      </c>
      <c r="E2665" s="19" t="s">
        <v>246</v>
      </c>
      <c r="F2665" s="20" t="s">
        <v>477</v>
      </c>
    </row>
    <row r="2666" customFormat="false" ht="15" hidden="false" customHeight="false" outlineLevel="0" collapsed="false">
      <c r="A2666" s="4" t="str">
        <f aca="false">B2666&amp;"|"&amp;C2666</f>
        <v>tdbR00000563 Tyr-GUA|60</v>
      </c>
      <c r="B2666" s="4" t="s">
        <v>73</v>
      </c>
      <c r="C2666" s="4" t="s">
        <v>483</v>
      </c>
      <c r="D2666" s="4" t="n">
        <v>60</v>
      </c>
      <c r="E2666" s="19" t="s">
        <v>259</v>
      </c>
      <c r="F2666" s="20" t="s">
        <v>477</v>
      </c>
    </row>
    <row r="2667" customFormat="false" ht="15" hidden="false" customHeight="false" outlineLevel="0" collapsed="false">
      <c r="A2667" s="4" t="str">
        <f aca="false">B2667&amp;"|"&amp;C2667</f>
        <v>tdbR00000563 Tyr-GUA|61</v>
      </c>
      <c r="B2667" s="4" t="s">
        <v>73</v>
      </c>
      <c r="C2667" s="4" t="s">
        <v>484</v>
      </c>
      <c r="D2667" s="4" t="n">
        <v>61</v>
      </c>
      <c r="E2667" s="23" t="s">
        <v>414</v>
      </c>
      <c r="F2667" s="10" t="s">
        <v>471</v>
      </c>
    </row>
    <row r="2668" customFormat="false" ht="15" hidden="false" customHeight="false" outlineLevel="0" collapsed="false">
      <c r="A2668" s="4" t="str">
        <f aca="false">B2668&amp;"|"&amp;C2668</f>
        <v>tdbR00000563 Tyr-GUA|62</v>
      </c>
      <c r="B2668" s="4" t="s">
        <v>73</v>
      </c>
      <c r="C2668" s="4" t="s">
        <v>485</v>
      </c>
      <c r="D2668" s="4" t="n">
        <v>62</v>
      </c>
      <c r="E2668" s="23" t="s">
        <v>414</v>
      </c>
      <c r="F2668" s="10" t="s">
        <v>471</v>
      </c>
    </row>
    <row r="2669" customFormat="false" ht="15" hidden="false" customHeight="false" outlineLevel="0" collapsed="false">
      <c r="A2669" s="4" t="str">
        <f aca="false">B2669&amp;"|"&amp;C2669</f>
        <v>tdbR00000563 Tyr-GUA|63</v>
      </c>
      <c r="B2669" s="4" t="s">
        <v>73</v>
      </c>
      <c r="C2669" s="4" t="s">
        <v>486</v>
      </c>
      <c r="D2669" s="4" t="n">
        <v>63</v>
      </c>
      <c r="E2669" s="23" t="s">
        <v>197</v>
      </c>
      <c r="F2669" s="10" t="s">
        <v>471</v>
      </c>
    </row>
    <row r="2670" customFormat="false" ht="15" hidden="false" customHeight="false" outlineLevel="0" collapsed="false">
      <c r="A2670" s="4" t="str">
        <f aca="false">B2670&amp;"|"&amp;C2670</f>
        <v>tdbR00000563 Tyr-GUA|64</v>
      </c>
      <c r="B2670" s="4" t="s">
        <v>73</v>
      </c>
      <c r="C2670" s="4" t="s">
        <v>487</v>
      </c>
      <c r="D2670" s="4" t="n">
        <v>64</v>
      </c>
      <c r="E2670" s="23" t="s">
        <v>197</v>
      </c>
      <c r="F2670" s="10" t="s">
        <v>471</v>
      </c>
    </row>
    <row r="2671" customFormat="false" ht="15" hidden="false" customHeight="false" outlineLevel="0" collapsed="false">
      <c r="A2671" s="4" t="str">
        <f aca="false">B2671&amp;"|"&amp;C2671</f>
        <v>tdbR00000563 Tyr-GUA|65</v>
      </c>
      <c r="B2671" s="4" t="s">
        <v>73</v>
      </c>
      <c r="C2671" s="4" t="s">
        <v>488</v>
      </c>
      <c r="D2671" s="4" t="n">
        <v>65</v>
      </c>
      <c r="E2671" s="23" t="s">
        <v>259</v>
      </c>
      <c r="F2671" s="10" t="s">
        <v>471</v>
      </c>
    </row>
    <row r="2672" customFormat="false" ht="15" hidden="false" customHeight="false" outlineLevel="0" collapsed="false">
      <c r="A2672" s="4" t="str">
        <f aca="false">B2672&amp;"|"&amp;C2672</f>
        <v>tdbR00000563 Tyr-GUA|66</v>
      </c>
      <c r="B2672" s="4" t="s">
        <v>73</v>
      </c>
      <c r="C2672" s="4" t="s">
        <v>489</v>
      </c>
      <c r="D2672" s="4" t="n">
        <v>66</v>
      </c>
      <c r="E2672" s="17" t="s">
        <v>246</v>
      </c>
      <c r="F2672" s="18" t="s">
        <v>412</v>
      </c>
    </row>
    <row r="2673" customFormat="false" ht="15" hidden="false" customHeight="false" outlineLevel="0" collapsed="false">
      <c r="A2673" s="4" t="str">
        <f aca="false">B2673&amp;"|"&amp;C2673</f>
        <v>tdbR00000563 Tyr-GUA|67</v>
      </c>
      <c r="B2673" s="4" t="s">
        <v>73</v>
      </c>
      <c r="C2673" s="4" t="s">
        <v>490</v>
      </c>
      <c r="D2673" s="4" t="n">
        <v>67</v>
      </c>
      <c r="E2673" s="17" t="s">
        <v>197</v>
      </c>
      <c r="F2673" s="18" t="s">
        <v>412</v>
      </c>
    </row>
    <row r="2674" customFormat="false" ht="15" hidden="false" customHeight="false" outlineLevel="0" collapsed="false">
      <c r="A2674" s="4" t="str">
        <f aca="false">B2674&amp;"|"&amp;C2674</f>
        <v>tdbR00000563 Tyr-GUA|68</v>
      </c>
      <c r="B2674" s="4" t="s">
        <v>73</v>
      </c>
      <c r="C2674" s="4" t="s">
        <v>491</v>
      </c>
      <c r="D2674" s="4" t="n">
        <v>68</v>
      </c>
      <c r="E2674" s="17" t="s">
        <v>197</v>
      </c>
      <c r="F2674" s="18" t="s">
        <v>412</v>
      </c>
    </row>
    <row r="2675" customFormat="false" ht="15" hidden="false" customHeight="false" outlineLevel="0" collapsed="false">
      <c r="A2675" s="4" t="str">
        <f aca="false">B2675&amp;"|"&amp;C2675</f>
        <v>tdbR00000563 Tyr-GUA|69</v>
      </c>
      <c r="B2675" s="4" t="s">
        <v>73</v>
      </c>
      <c r="C2675" s="4" t="s">
        <v>492</v>
      </c>
      <c r="D2675" s="4" t="n">
        <v>69</v>
      </c>
      <c r="E2675" s="17" t="s">
        <v>259</v>
      </c>
      <c r="F2675" s="18" t="s">
        <v>412</v>
      </c>
    </row>
    <row r="2676" customFormat="false" ht="15" hidden="false" customHeight="false" outlineLevel="0" collapsed="false">
      <c r="A2676" s="4" t="str">
        <f aca="false">B2676&amp;"|"&amp;C2676</f>
        <v>tdbR00000563 Tyr-GUA|70</v>
      </c>
      <c r="B2676" s="4" t="s">
        <v>73</v>
      </c>
      <c r="C2676" s="4" t="s">
        <v>493</v>
      </c>
      <c r="D2676" s="4" t="n">
        <v>70</v>
      </c>
      <c r="E2676" s="17" t="s">
        <v>414</v>
      </c>
      <c r="F2676" s="18" t="s">
        <v>412</v>
      </c>
    </row>
    <row r="2677" customFormat="false" ht="15" hidden="false" customHeight="false" outlineLevel="0" collapsed="false">
      <c r="A2677" s="4" t="str">
        <f aca="false">B2677&amp;"|"&amp;C2677</f>
        <v>tdbR00000563 Tyr-GUA|71</v>
      </c>
      <c r="B2677" s="4" t="s">
        <v>73</v>
      </c>
      <c r="C2677" s="4" t="s">
        <v>494</v>
      </c>
      <c r="D2677" s="4" t="n">
        <v>71</v>
      </c>
      <c r="E2677" s="17" t="s">
        <v>197</v>
      </c>
      <c r="F2677" s="18" t="s">
        <v>412</v>
      </c>
    </row>
    <row r="2678" customFormat="false" ht="15" hidden="false" customHeight="false" outlineLevel="0" collapsed="false">
      <c r="A2678" s="4" t="str">
        <f aca="false">B2678&amp;"|"&amp;C2678</f>
        <v>tdbR00000563 Tyr-GUA|72</v>
      </c>
      <c r="B2678" s="4" t="s">
        <v>73</v>
      </c>
      <c r="C2678" s="4" t="s">
        <v>495</v>
      </c>
      <c r="D2678" s="4" t="n">
        <v>72</v>
      </c>
      <c r="E2678" s="17" t="s">
        <v>197</v>
      </c>
      <c r="F2678" s="18" t="s">
        <v>412</v>
      </c>
    </row>
    <row r="2679" customFormat="false" ht="15" hidden="false" customHeight="false" outlineLevel="0" collapsed="false">
      <c r="A2679" s="4" t="str">
        <f aca="false">B2679&amp;"|"&amp;C2679</f>
        <v>tdbR00000061 Glu-CUC|1</v>
      </c>
      <c r="B2679" s="4" t="s">
        <v>74</v>
      </c>
      <c r="C2679" s="4" t="s">
        <v>411</v>
      </c>
      <c r="D2679" s="4" t="n">
        <v>1</v>
      </c>
      <c r="E2679" s="17" t="s">
        <v>259</v>
      </c>
      <c r="F2679" s="18" t="s">
        <v>412</v>
      </c>
    </row>
    <row r="2680" customFormat="false" ht="15" hidden="false" customHeight="false" outlineLevel="0" collapsed="false">
      <c r="A2680" s="4" t="str">
        <f aca="false">B2680&amp;"|"&amp;C2680</f>
        <v>tdbR00000061 Glu-CUC|2</v>
      </c>
      <c r="B2680" s="4" t="s">
        <v>74</v>
      </c>
      <c r="C2680" s="4" t="s">
        <v>413</v>
      </c>
      <c r="D2680" s="4" t="n">
        <v>2</v>
      </c>
      <c r="E2680" s="17" t="s">
        <v>414</v>
      </c>
      <c r="F2680" s="18" t="s">
        <v>412</v>
      </c>
    </row>
    <row r="2681" customFormat="false" ht="15" hidden="false" customHeight="false" outlineLevel="0" collapsed="false">
      <c r="A2681" s="4" t="str">
        <f aca="false">B2681&amp;"|"&amp;C2681</f>
        <v>tdbR00000061 Glu-CUC|3</v>
      </c>
      <c r="B2681" s="4" t="s">
        <v>74</v>
      </c>
      <c r="C2681" s="4" t="s">
        <v>415</v>
      </c>
      <c r="D2681" s="4" t="n">
        <v>3</v>
      </c>
      <c r="E2681" s="17" t="s">
        <v>414</v>
      </c>
      <c r="F2681" s="18" t="s">
        <v>412</v>
      </c>
    </row>
    <row r="2682" customFormat="false" ht="15" hidden="false" customHeight="false" outlineLevel="0" collapsed="false">
      <c r="A2682" s="4" t="str">
        <f aca="false">B2682&amp;"|"&amp;C2682</f>
        <v>tdbR00000061 Glu-CUC|4</v>
      </c>
      <c r="B2682" s="4" t="s">
        <v>74</v>
      </c>
      <c r="C2682" s="4" t="s">
        <v>416</v>
      </c>
      <c r="D2682" s="4" t="n">
        <v>4</v>
      </c>
      <c r="E2682" s="17" t="s">
        <v>414</v>
      </c>
      <c r="F2682" s="18" t="s">
        <v>412</v>
      </c>
    </row>
    <row r="2683" customFormat="false" ht="15" hidden="false" customHeight="false" outlineLevel="0" collapsed="false">
      <c r="A2683" s="4" t="str">
        <f aca="false">B2683&amp;"|"&amp;C2683</f>
        <v>tdbR00000061 Glu-CUC|5</v>
      </c>
      <c r="B2683" s="4" t="s">
        <v>74</v>
      </c>
      <c r="C2683" s="4" t="s">
        <v>417</v>
      </c>
      <c r="D2683" s="4" t="n">
        <v>5</v>
      </c>
      <c r="E2683" s="17" t="s">
        <v>259</v>
      </c>
      <c r="F2683" s="18" t="s">
        <v>412</v>
      </c>
    </row>
    <row r="2684" customFormat="false" ht="15" hidden="false" customHeight="false" outlineLevel="0" collapsed="false">
      <c r="A2684" s="4" t="str">
        <f aca="false">B2684&amp;"|"&amp;C2684</f>
        <v>tdbR00000061 Glu-CUC|6</v>
      </c>
      <c r="B2684" s="4" t="s">
        <v>74</v>
      </c>
      <c r="C2684" s="4" t="s">
        <v>418</v>
      </c>
      <c r="D2684" s="4" t="n">
        <v>6</v>
      </c>
      <c r="E2684" s="17" t="s">
        <v>197</v>
      </c>
      <c r="F2684" s="18" t="s">
        <v>412</v>
      </c>
    </row>
    <row r="2685" customFormat="false" ht="15" hidden="false" customHeight="false" outlineLevel="0" collapsed="false">
      <c r="A2685" s="4" t="str">
        <f aca="false">B2685&amp;"|"&amp;C2685</f>
        <v>tdbR00000061 Glu-CUC|7</v>
      </c>
      <c r="B2685" s="4" t="s">
        <v>74</v>
      </c>
      <c r="C2685" s="4" t="s">
        <v>419</v>
      </c>
      <c r="D2685" s="4" t="n">
        <v>7</v>
      </c>
      <c r="E2685" s="17" t="s">
        <v>197</v>
      </c>
      <c r="F2685" s="18" t="s">
        <v>412</v>
      </c>
    </row>
    <row r="2686" customFormat="false" ht="15" hidden="false" customHeight="false" outlineLevel="0" collapsed="false">
      <c r="A2686" s="4" t="str">
        <f aca="false">B2686&amp;"|"&amp;C2686</f>
        <v>tdbR00000061 Glu-CUC|8</v>
      </c>
      <c r="B2686" s="4" t="s">
        <v>74</v>
      </c>
      <c r="C2686" s="4" t="s">
        <v>420</v>
      </c>
      <c r="D2686" s="4" t="n">
        <v>8</v>
      </c>
      <c r="E2686" s="3" t="s">
        <v>259</v>
      </c>
      <c r="F2686" s="4" t="s">
        <v>421</v>
      </c>
    </row>
    <row r="2687" customFormat="false" ht="15" hidden="false" customHeight="false" outlineLevel="0" collapsed="false">
      <c r="A2687" s="4" t="str">
        <f aca="false">B2687&amp;"|"&amp;C2687</f>
        <v>tdbR00000061 Glu-CUC|9</v>
      </c>
      <c r="B2687" s="4" t="s">
        <v>74</v>
      </c>
      <c r="C2687" s="4" t="s">
        <v>422</v>
      </c>
      <c r="D2687" s="4" t="n">
        <v>9</v>
      </c>
      <c r="E2687" s="3" t="s">
        <v>197</v>
      </c>
      <c r="F2687" s="4" t="s">
        <v>423</v>
      </c>
    </row>
    <row r="2688" customFormat="false" ht="15" hidden="false" customHeight="false" outlineLevel="0" collapsed="false">
      <c r="A2688" s="4" t="str">
        <f aca="false">B2688&amp;"|"&amp;C2688</f>
        <v>tdbR00000061 Glu-CUC|10</v>
      </c>
      <c r="B2688" s="4" t="s">
        <v>74</v>
      </c>
      <c r="C2688" s="4" t="s">
        <v>424</v>
      </c>
      <c r="D2688" s="4" t="n">
        <v>10</v>
      </c>
      <c r="E2688" s="8" t="s">
        <v>197</v>
      </c>
      <c r="F2688" s="7" t="s">
        <v>425</v>
      </c>
    </row>
    <row r="2689" customFormat="false" ht="15" hidden="false" customHeight="false" outlineLevel="0" collapsed="false">
      <c r="A2689" s="4" t="str">
        <f aca="false">B2689&amp;"|"&amp;C2689</f>
        <v>tdbR00000061 Glu-CUC|11</v>
      </c>
      <c r="B2689" s="4" t="s">
        <v>74</v>
      </c>
      <c r="C2689" s="4" t="s">
        <v>426</v>
      </c>
      <c r="D2689" s="4" t="n">
        <v>11</v>
      </c>
      <c r="E2689" s="8" t="s">
        <v>259</v>
      </c>
      <c r="F2689" s="7" t="s">
        <v>425</v>
      </c>
    </row>
    <row r="2690" customFormat="false" ht="15" hidden="false" customHeight="false" outlineLevel="0" collapsed="false">
      <c r="A2690" s="4" t="str">
        <f aca="false">B2690&amp;"|"&amp;C2690</f>
        <v>tdbR00000061 Glu-CUC|12</v>
      </c>
      <c r="B2690" s="4" t="s">
        <v>74</v>
      </c>
      <c r="C2690" s="4" t="s">
        <v>427</v>
      </c>
      <c r="D2690" s="4" t="n">
        <v>12</v>
      </c>
      <c r="E2690" s="8" t="s">
        <v>414</v>
      </c>
      <c r="F2690" s="7" t="s">
        <v>425</v>
      </c>
    </row>
    <row r="2691" customFormat="false" ht="15" hidden="false" customHeight="false" outlineLevel="0" collapsed="false">
      <c r="A2691" s="4" t="str">
        <f aca="false">B2691&amp;"|"&amp;C2691</f>
        <v>tdbR00000061 Glu-CUC|13</v>
      </c>
      <c r="B2691" s="4" t="s">
        <v>74</v>
      </c>
      <c r="C2691" s="4" t="s">
        <v>428</v>
      </c>
      <c r="D2691" s="4" t="n">
        <v>13</v>
      </c>
      <c r="E2691" s="8" t="s">
        <v>259</v>
      </c>
      <c r="F2691" s="7" t="s">
        <v>425</v>
      </c>
    </row>
    <row r="2692" customFormat="false" ht="15" hidden="false" customHeight="false" outlineLevel="0" collapsed="false">
      <c r="A2692" s="4" t="str">
        <f aca="false">B2692&amp;"|"&amp;C2692</f>
        <v>tdbR00000061 Glu-CUC|14</v>
      </c>
      <c r="B2692" s="4" t="s">
        <v>74</v>
      </c>
      <c r="C2692" s="4" t="s">
        <v>429</v>
      </c>
      <c r="D2692" s="4" t="n">
        <v>14</v>
      </c>
      <c r="E2692" s="19" t="s">
        <v>246</v>
      </c>
      <c r="F2692" s="20" t="s">
        <v>430</v>
      </c>
    </row>
    <row r="2693" customFormat="false" ht="15" hidden="false" customHeight="false" outlineLevel="0" collapsed="false">
      <c r="A2693" s="4" t="str">
        <f aca="false">B2693&amp;"|"&amp;C2693</f>
        <v>tdbR00000061 Glu-CUC|15</v>
      </c>
      <c r="B2693" s="4" t="s">
        <v>74</v>
      </c>
      <c r="C2693" s="4" t="s">
        <v>431</v>
      </c>
      <c r="D2693" s="4" t="n">
        <v>15</v>
      </c>
      <c r="E2693" s="19" t="s">
        <v>197</v>
      </c>
      <c r="F2693" s="20" t="s">
        <v>430</v>
      </c>
    </row>
    <row r="2694" customFormat="false" ht="15" hidden="false" customHeight="false" outlineLevel="0" collapsed="false">
      <c r="A2694" s="4" t="str">
        <f aca="false">B2694&amp;"|"&amp;C2694</f>
        <v>tdbR00000061 Glu-CUC|16</v>
      </c>
      <c r="B2694" s="4" t="s">
        <v>74</v>
      </c>
      <c r="C2694" s="4" t="s">
        <v>432</v>
      </c>
      <c r="D2694" s="4" t="n">
        <v>16</v>
      </c>
      <c r="E2694" s="19" t="s">
        <v>259</v>
      </c>
      <c r="F2694" s="20" t="s">
        <v>430</v>
      </c>
    </row>
    <row r="2695" customFormat="false" ht="15" hidden="false" customHeight="false" outlineLevel="0" collapsed="false">
      <c r="A2695" s="4" t="str">
        <f aca="false">B2695&amp;"|"&amp;C2695</f>
        <v>tdbR00000061 Glu-CUC|18</v>
      </c>
      <c r="B2695" s="4" t="s">
        <v>74</v>
      </c>
      <c r="C2695" s="4" t="s">
        <v>434</v>
      </c>
      <c r="D2695" s="4" t="n">
        <v>17</v>
      </c>
      <c r="E2695" s="19" t="s">
        <v>197</v>
      </c>
      <c r="F2695" s="20" t="s">
        <v>430</v>
      </c>
    </row>
    <row r="2696" customFormat="false" ht="15" hidden="false" customHeight="false" outlineLevel="0" collapsed="false">
      <c r="A2696" s="4" t="str">
        <f aca="false">B2696&amp;"|"&amp;C2696</f>
        <v>tdbR00000061 Glu-CUC|19</v>
      </c>
      <c r="B2696" s="4" t="s">
        <v>74</v>
      </c>
      <c r="C2696" s="4" t="s">
        <v>435</v>
      </c>
      <c r="D2696" s="4" t="n">
        <v>18</v>
      </c>
      <c r="E2696" s="19" t="s">
        <v>197</v>
      </c>
      <c r="F2696" s="20" t="s">
        <v>430</v>
      </c>
    </row>
    <row r="2697" customFormat="false" ht="15" hidden="false" customHeight="false" outlineLevel="0" collapsed="false">
      <c r="A2697" s="4" t="str">
        <f aca="false">B2697&amp;"|"&amp;C2697</f>
        <v>tdbR00000061 Glu-CUC|20</v>
      </c>
      <c r="B2697" s="4" t="s">
        <v>74</v>
      </c>
      <c r="C2697" s="4" t="s">
        <v>436</v>
      </c>
      <c r="D2697" s="4" t="n">
        <v>19</v>
      </c>
      <c r="E2697" s="19" t="s">
        <v>259</v>
      </c>
      <c r="F2697" s="20" t="s">
        <v>430</v>
      </c>
    </row>
    <row r="2698" customFormat="false" ht="15" hidden="false" customHeight="false" outlineLevel="0" collapsed="false">
      <c r="A2698" s="4" t="str">
        <f aca="false">B2698&amp;"|"&amp;C2698</f>
        <v>tdbR00000061 Glu-CUC|20a</v>
      </c>
      <c r="B2698" s="4" t="s">
        <v>74</v>
      </c>
      <c r="C2698" s="4" t="s">
        <v>437</v>
      </c>
      <c r="D2698" s="4" t="n">
        <v>20</v>
      </c>
      <c r="E2698" s="19" t="s">
        <v>259</v>
      </c>
      <c r="F2698" s="20" t="s">
        <v>430</v>
      </c>
    </row>
    <row r="2699" customFormat="false" ht="15" hidden="false" customHeight="false" outlineLevel="0" collapsed="false">
      <c r="A2699" s="4" t="str">
        <f aca="false">B2699&amp;"|"&amp;C2699</f>
        <v>tdbR00000061 Glu-CUC|21</v>
      </c>
      <c r="B2699" s="4" t="s">
        <v>74</v>
      </c>
      <c r="C2699" s="4" t="s">
        <v>438</v>
      </c>
      <c r="D2699" s="4" t="n">
        <v>21</v>
      </c>
      <c r="E2699" s="19" t="s">
        <v>246</v>
      </c>
      <c r="F2699" s="20" t="s">
        <v>430</v>
      </c>
    </row>
    <row r="2700" customFormat="false" ht="15" hidden="false" customHeight="false" outlineLevel="0" collapsed="false">
      <c r="A2700" s="4" t="str">
        <f aca="false">B2700&amp;"|"&amp;C2700</f>
        <v>tdbR00000061 Glu-CUC|22</v>
      </c>
      <c r="B2700" s="4" t="s">
        <v>74</v>
      </c>
      <c r="C2700" s="4" t="s">
        <v>439</v>
      </c>
      <c r="D2700" s="4" t="n">
        <v>22</v>
      </c>
      <c r="E2700" s="8" t="s">
        <v>197</v>
      </c>
      <c r="F2700" s="7" t="s">
        <v>425</v>
      </c>
    </row>
    <row r="2701" customFormat="false" ht="15" hidden="false" customHeight="false" outlineLevel="0" collapsed="false">
      <c r="A2701" s="4" t="str">
        <f aca="false">B2701&amp;"|"&amp;C2701</f>
        <v>tdbR00000061 Glu-CUC|23</v>
      </c>
      <c r="B2701" s="4" t="s">
        <v>74</v>
      </c>
      <c r="C2701" s="4" t="s">
        <v>440</v>
      </c>
      <c r="D2701" s="4" t="n">
        <v>23</v>
      </c>
      <c r="E2701" s="8" t="s">
        <v>197</v>
      </c>
      <c r="F2701" s="7" t="s">
        <v>425</v>
      </c>
    </row>
    <row r="2702" customFormat="false" ht="15" hidden="false" customHeight="false" outlineLevel="0" collapsed="false">
      <c r="A2702" s="4" t="str">
        <f aca="false">B2702&amp;"|"&amp;C2702</f>
        <v>tdbR00000061 Glu-CUC|24</v>
      </c>
      <c r="B2702" s="4" t="s">
        <v>74</v>
      </c>
      <c r="C2702" s="4" t="s">
        <v>441</v>
      </c>
      <c r="D2702" s="4" t="n">
        <v>24</v>
      </c>
      <c r="E2702" s="8" t="s">
        <v>246</v>
      </c>
      <c r="F2702" s="7" t="s">
        <v>425</v>
      </c>
    </row>
    <row r="2703" customFormat="false" ht="15" hidden="false" customHeight="false" outlineLevel="0" collapsed="false">
      <c r="A2703" s="4" t="str">
        <f aca="false">B2703&amp;"|"&amp;C2703</f>
        <v>tdbR00000061 Glu-CUC|25</v>
      </c>
      <c r="B2703" s="4" t="s">
        <v>74</v>
      </c>
      <c r="C2703" s="4" t="s">
        <v>442</v>
      </c>
      <c r="D2703" s="4" t="n">
        <v>25</v>
      </c>
      <c r="E2703" s="8" t="s">
        <v>259</v>
      </c>
      <c r="F2703" s="7" t="s">
        <v>425</v>
      </c>
    </row>
    <row r="2704" customFormat="false" ht="15" hidden="false" customHeight="false" outlineLevel="0" collapsed="false">
      <c r="A2704" s="4" t="str">
        <f aca="false">B2704&amp;"|"&amp;C2704</f>
        <v>tdbR00000061 Glu-CUC|26</v>
      </c>
      <c r="B2704" s="4" t="s">
        <v>74</v>
      </c>
      <c r="C2704" s="4" t="s">
        <v>443</v>
      </c>
      <c r="D2704" s="4" t="n">
        <v>26</v>
      </c>
      <c r="E2704" s="3" t="s">
        <v>259</v>
      </c>
      <c r="F2704" s="4" t="s">
        <v>444</v>
      </c>
    </row>
    <row r="2705" customFormat="false" ht="15" hidden="false" customHeight="false" outlineLevel="0" collapsed="false">
      <c r="A2705" s="4" t="str">
        <f aca="false">B2705&amp;"|"&amp;C2705</f>
        <v>tdbR00000061 Glu-CUC|27</v>
      </c>
      <c r="B2705" s="4" t="s">
        <v>74</v>
      </c>
      <c r="C2705" s="4" t="s">
        <v>445</v>
      </c>
      <c r="D2705" s="4" t="n">
        <v>27</v>
      </c>
      <c r="E2705" s="21" t="s">
        <v>414</v>
      </c>
      <c r="F2705" s="22" t="s">
        <v>446</v>
      </c>
    </row>
    <row r="2706" customFormat="false" ht="15" hidden="false" customHeight="false" outlineLevel="0" collapsed="false">
      <c r="A2706" s="4" t="str">
        <f aca="false">B2706&amp;"|"&amp;C2706</f>
        <v>tdbR00000061 Glu-CUC|28</v>
      </c>
      <c r="B2706" s="4" t="s">
        <v>74</v>
      </c>
      <c r="C2706" s="4" t="s">
        <v>447</v>
      </c>
      <c r="D2706" s="4" t="n">
        <v>28</v>
      </c>
      <c r="E2706" s="21" t="s">
        <v>197</v>
      </c>
      <c r="F2706" s="22" t="s">
        <v>446</v>
      </c>
    </row>
    <row r="2707" customFormat="false" ht="15" hidden="false" customHeight="false" outlineLevel="0" collapsed="false">
      <c r="A2707" s="4" t="str">
        <f aca="false">B2707&amp;"|"&amp;C2707</f>
        <v>tdbR00000061 Glu-CUC|29</v>
      </c>
      <c r="B2707" s="4" t="s">
        <v>74</v>
      </c>
      <c r="C2707" s="4" t="s">
        <v>448</v>
      </c>
      <c r="D2707" s="4" t="n">
        <v>29</v>
      </c>
      <c r="E2707" s="21" t="s">
        <v>197</v>
      </c>
      <c r="F2707" s="22" t="s">
        <v>446</v>
      </c>
    </row>
    <row r="2708" customFormat="false" ht="15" hidden="false" customHeight="false" outlineLevel="0" collapsed="false">
      <c r="A2708" s="4" t="str">
        <f aca="false">B2708&amp;"|"&amp;C2708</f>
        <v>tdbR00000061 Glu-CUC|30</v>
      </c>
      <c r="B2708" s="4" t="s">
        <v>74</v>
      </c>
      <c r="C2708" s="4" t="s">
        <v>449</v>
      </c>
      <c r="D2708" s="4" t="n">
        <v>30</v>
      </c>
      <c r="E2708" s="21" t="s">
        <v>414</v>
      </c>
      <c r="F2708" s="22" t="s">
        <v>446</v>
      </c>
    </row>
    <row r="2709" customFormat="false" ht="15" hidden="false" customHeight="false" outlineLevel="0" collapsed="false">
      <c r="A2709" s="4" t="str">
        <f aca="false">B2709&amp;"|"&amp;C2709</f>
        <v>tdbR00000061 Glu-CUC|31</v>
      </c>
      <c r="B2709" s="4" t="s">
        <v>74</v>
      </c>
      <c r="C2709" s="4" t="s">
        <v>450</v>
      </c>
      <c r="D2709" s="4" t="n">
        <v>31</v>
      </c>
      <c r="E2709" s="21" t="s">
        <v>197</v>
      </c>
      <c r="F2709" s="22" t="s">
        <v>446</v>
      </c>
    </row>
    <row r="2710" customFormat="false" ht="15" hidden="false" customHeight="false" outlineLevel="0" collapsed="false">
      <c r="A2710" s="4" t="str">
        <f aca="false">B2710&amp;"|"&amp;C2710</f>
        <v>tdbR00000061 Glu-CUC|32</v>
      </c>
      <c r="B2710" s="4" t="s">
        <v>74</v>
      </c>
      <c r="C2710" s="4" t="s">
        <v>451</v>
      </c>
      <c r="D2710" s="4" t="n">
        <v>32</v>
      </c>
      <c r="E2710" s="19" t="s">
        <v>414</v>
      </c>
      <c r="F2710" s="20" t="s">
        <v>452</v>
      </c>
    </row>
    <row r="2711" customFormat="false" ht="15" hidden="false" customHeight="false" outlineLevel="0" collapsed="false">
      <c r="A2711" s="4" t="str">
        <f aca="false">B2711&amp;"|"&amp;C2711</f>
        <v>tdbR00000061 Glu-CUC|33</v>
      </c>
      <c r="B2711" s="4" t="s">
        <v>74</v>
      </c>
      <c r="C2711" s="4" t="s">
        <v>453</v>
      </c>
      <c r="D2711" s="4" t="n">
        <v>33</v>
      </c>
      <c r="E2711" s="19" t="s">
        <v>259</v>
      </c>
      <c r="F2711" s="20" t="s">
        <v>452</v>
      </c>
    </row>
    <row r="2712" customFormat="false" ht="15" hidden="false" customHeight="false" outlineLevel="0" collapsed="false">
      <c r="A2712" s="4" t="str">
        <f aca="false">B2712&amp;"|"&amp;C2712</f>
        <v>tdbR00000061 Glu-CUC|34</v>
      </c>
      <c r="B2712" s="4" t="s">
        <v>74</v>
      </c>
      <c r="C2712" s="4" t="s">
        <v>454</v>
      </c>
      <c r="D2712" s="4" t="n">
        <v>34</v>
      </c>
      <c r="E2712" s="19" t="s">
        <v>414</v>
      </c>
      <c r="F2712" s="20" t="s">
        <v>452</v>
      </c>
    </row>
    <row r="2713" customFormat="false" ht="15" hidden="false" customHeight="false" outlineLevel="0" collapsed="false">
      <c r="A2713" s="4" t="str">
        <f aca="false">B2713&amp;"|"&amp;C2713</f>
        <v>tdbR00000061 Glu-CUC|35</v>
      </c>
      <c r="B2713" s="4" t="s">
        <v>74</v>
      </c>
      <c r="C2713" s="4" t="s">
        <v>455</v>
      </c>
      <c r="D2713" s="4" t="n">
        <v>35</v>
      </c>
      <c r="E2713" s="19" t="s">
        <v>259</v>
      </c>
      <c r="F2713" s="20" t="s">
        <v>452</v>
      </c>
    </row>
    <row r="2714" customFormat="false" ht="15" hidden="false" customHeight="false" outlineLevel="0" collapsed="false">
      <c r="A2714" s="4" t="str">
        <f aca="false">B2714&amp;"|"&amp;C2714</f>
        <v>tdbR00000061 Glu-CUC|36</v>
      </c>
      <c r="B2714" s="4" t="s">
        <v>74</v>
      </c>
      <c r="C2714" s="4" t="s">
        <v>456</v>
      </c>
      <c r="D2714" s="4" t="n">
        <v>36</v>
      </c>
      <c r="E2714" s="19" t="s">
        <v>414</v>
      </c>
      <c r="F2714" s="20" t="s">
        <v>452</v>
      </c>
    </row>
    <row r="2715" customFormat="false" ht="15" hidden="false" customHeight="false" outlineLevel="0" collapsed="false">
      <c r="A2715" s="4" t="str">
        <f aca="false">B2715&amp;"|"&amp;C2715</f>
        <v>tdbR00000061 Glu-CUC|37</v>
      </c>
      <c r="B2715" s="4" t="s">
        <v>74</v>
      </c>
      <c r="C2715" s="4" t="s">
        <v>457</v>
      </c>
      <c r="D2715" s="4" t="n">
        <v>37</v>
      </c>
      <c r="E2715" s="19" t="s">
        <v>246</v>
      </c>
      <c r="F2715" s="20" t="s">
        <v>452</v>
      </c>
    </row>
    <row r="2716" customFormat="false" ht="15" hidden="false" customHeight="false" outlineLevel="0" collapsed="false">
      <c r="A2716" s="4" t="str">
        <f aca="false">B2716&amp;"|"&amp;C2716</f>
        <v>tdbR00000061 Glu-CUC|38</v>
      </c>
      <c r="B2716" s="4" t="s">
        <v>74</v>
      </c>
      <c r="C2716" s="4" t="s">
        <v>458</v>
      </c>
      <c r="D2716" s="4" t="n">
        <v>38</v>
      </c>
      <c r="E2716" s="19" t="s">
        <v>414</v>
      </c>
      <c r="F2716" s="20" t="s">
        <v>452</v>
      </c>
    </row>
    <row r="2717" customFormat="false" ht="15" hidden="false" customHeight="false" outlineLevel="0" collapsed="false">
      <c r="A2717" s="4" t="str">
        <f aca="false">B2717&amp;"|"&amp;C2717</f>
        <v>tdbR00000061 Glu-CUC|39</v>
      </c>
      <c r="B2717" s="4" t="s">
        <v>74</v>
      </c>
      <c r="C2717" s="4" t="s">
        <v>459</v>
      </c>
      <c r="D2717" s="4" t="n">
        <v>39</v>
      </c>
      <c r="E2717" s="21" t="s">
        <v>414</v>
      </c>
      <c r="F2717" s="22" t="s">
        <v>446</v>
      </c>
    </row>
    <row r="2718" customFormat="false" ht="15" hidden="false" customHeight="false" outlineLevel="0" collapsed="false">
      <c r="A2718" s="4" t="str">
        <f aca="false">B2718&amp;"|"&amp;C2718</f>
        <v>tdbR00000061 Glu-CUC|40</v>
      </c>
      <c r="B2718" s="4" t="s">
        <v>74</v>
      </c>
      <c r="C2718" s="4" t="s">
        <v>460</v>
      </c>
      <c r="D2718" s="4" t="n">
        <v>40</v>
      </c>
      <c r="E2718" s="21" t="s">
        <v>197</v>
      </c>
      <c r="F2718" s="22" t="s">
        <v>446</v>
      </c>
    </row>
    <row r="2719" customFormat="false" ht="15" hidden="false" customHeight="false" outlineLevel="0" collapsed="false">
      <c r="A2719" s="4" t="str">
        <f aca="false">B2719&amp;"|"&amp;C2719</f>
        <v>tdbR00000061 Glu-CUC|41</v>
      </c>
      <c r="B2719" s="4" t="s">
        <v>74</v>
      </c>
      <c r="C2719" s="4" t="s">
        <v>461</v>
      </c>
      <c r="D2719" s="4" t="n">
        <v>41</v>
      </c>
      <c r="E2719" s="21" t="s">
        <v>414</v>
      </c>
      <c r="F2719" s="22" t="s">
        <v>446</v>
      </c>
    </row>
    <row r="2720" customFormat="false" ht="15" hidden="false" customHeight="false" outlineLevel="0" collapsed="false">
      <c r="A2720" s="4" t="str">
        <f aca="false">B2720&amp;"|"&amp;C2720</f>
        <v>tdbR00000061 Glu-CUC|42</v>
      </c>
      <c r="B2720" s="4" t="s">
        <v>74</v>
      </c>
      <c r="C2720" s="4" t="s">
        <v>462</v>
      </c>
      <c r="D2720" s="4" t="n">
        <v>42</v>
      </c>
      <c r="E2720" s="21" t="s">
        <v>414</v>
      </c>
      <c r="F2720" s="22" t="s">
        <v>446</v>
      </c>
    </row>
    <row r="2721" customFormat="false" ht="15" hidden="false" customHeight="false" outlineLevel="0" collapsed="false">
      <c r="A2721" s="4" t="str">
        <f aca="false">B2721&amp;"|"&amp;C2721</f>
        <v>tdbR00000061 Glu-CUC|43</v>
      </c>
      <c r="B2721" s="4" t="s">
        <v>74</v>
      </c>
      <c r="C2721" s="4" t="s">
        <v>463</v>
      </c>
      <c r="D2721" s="4" t="n">
        <v>43</v>
      </c>
      <c r="E2721" s="21" t="s">
        <v>197</v>
      </c>
      <c r="F2721" s="22" t="s">
        <v>446</v>
      </c>
    </row>
    <row r="2722" customFormat="false" ht="15" hidden="false" customHeight="false" outlineLevel="0" collapsed="false">
      <c r="A2722" s="4" t="str">
        <f aca="false">B2722&amp;"|"&amp;C2722</f>
        <v>tdbR00000061 Glu-CUC|44</v>
      </c>
      <c r="B2722" s="4" t="s">
        <v>74</v>
      </c>
      <c r="C2722" s="4" t="s">
        <v>464</v>
      </c>
      <c r="D2722" s="4" t="n">
        <v>44</v>
      </c>
      <c r="E2722" s="19" t="s">
        <v>414</v>
      </c>
      <c r="F2722" s="20" t="s">
        <v>465</v>
      </c>
    </row>
    <row r="2723" customFormat="false" ht="15" hidden="false" customHeight="false" outlineLevel="0" collapsed="false">
      <c r="A2723" s="4" t="str">
        <f aca="false">B2723&amp;"|"&amp;C2723</f>
        <v>tdbR00000061 Glu-CUC|45</v>
      </c>
      <c r="B2723" s="4" t="s">
        <v>74</v>
      </c>
      <c r="C2723" s="4" t="s">
        <v>466</v>
      </c>
      <c r="D2723" s="4" t="n">
        <v>45</v>
      </c>
      <c r="E2723" s="19" t="s">
        <v>197</v>
      </c>
      <c r="F2723" s="20" t="s">
        <v>465</v>
      </c>
    </row>
    <row r="2724" customFormat="false" ht="15" hidden="false" customHeight="false" outlineLevel="0" collapsed="false">
      <c r="A2724" s="4" t="str">
        <f aca="false">B2724&amp;"|"&amp;C2724</f>
        <v>tdbR00000061 Glu-CUC|46</v>
      </c>
      <c r="B2724" s="4" t="s">
        <v>74</v>
      </c>
      <c r="C2724" s="4" t="s">
        <v>467</v>
      </c>
      <c r="D2724" s="4" t="n">
        <v>46</v>
      </c>
      <c r="E2724" s="19" t="s">
        <v>197</v>
      </c>
      <c r="F2724" s="20" t="s">
        <v>465</v>
      </c>
    </row>
    <row r="2725" customFormat="false" ht="15" hidden="false" customHeight="false" outlineLevel="0" collapsed="false">
      <c r="A2725" s="4" t="str">
        <f aca="false">B2725&amp;"|"&amp;C2725</f>
        <v>tdbR00000061 Glu-CUC|48</v>
      </c>
      <c r="B2725" s="4" t="s">
        <v>74</v>
      </c>
      <c r="C2725" s="4" t="s">
        <v>469</v>
      </c>
      <c r="D2725" s="4" t="n">
        <v>47</v>
      </c>
      <c r="E2725" s="19" t="s">
        <v>414</v>
      </c>
      <c r="F2725" s="20" t="s">
        <v>465</v>
      </c>
    </row>
    <row r="2726" customFormat="false" ht="15" hidden="false" customHeight="false" outlineLevel="0" collapsed="false">
      <c r="A2726" s="4" t="str">
        <f aca="false">B2726&amp;"|"&amp;C2726</f>
        <v>tdbR00000061 Glu-CUC|49</v>
      </c>
      <c r="B2726" s="4" t="s">
        <v>74</v>
      </c>
      <c r="C2726" s="4" t="s">
        <v>470</v>
      </c>
      <c r="D2726" s="4" t="n">
        <v>48</v>
      </c>
      <c r="E2726" s="23" t="s">
        <v>414</v>
      </c>
      <c r="F2726" s="10" t="s">
        <v>471</v>
      </c>
    </row>
    <row r="2727" customFormat="false" ht="15" hidden="false" customHeight="false" outlineLevel="0" collapsed="false">
      <c r="A2727" s="4" t="str">
        <f aca="false">B2727&amp;"|"&amp;C2727</f>
        <v>tdbR00000061 Glu-CUC|50</v>
      </c>
      <c r="B2727" s="4" t="s">
        <v>74</v>
      </c>
      <c r="C2727" s="4" t="s">
        <v>472</v>
      </c>
      <c r="D2727" s="4" t="n">
        <v>49</v>
      </c>
      <c r="E2727" s="23" t="s">
        <v>414</v>
      </c>
      <c r="F2727" s="10" t="s">
        <v>471</v>
      </c>
    </row>
    <row r="2728" customFormat="false" ht="15" hidden="false" customHeight="false" outlineLevel="0" collapsed="false">
      <c r="A2728" s="4" t="str">
        <f aca="false">B2728&amp;"|"&amp;C2728</f>
        <v>tdbR00000061 Glu-CUC|51</v>
      </c>
      <c r="B2728" s="4" t="s">
        <v>74</v>
      </c>
      <c r="C2728" s="4" t="s">
        <v>473</v>
      </c>
      <c r="D2728" s="4" t="n">
        <v>50</v>
      </c>
      <c r="E2728" s="23" t="s">
        <v>197</v>
      </c>
      <c r="F2728" s="10" t="s">
        <v>471</v>
      </c>
    </row>
    <row r="2729" customFormat="false" ht="15" hidden="false" customHeight="false" outlineLevel="0" collapsed="false">
      <c r="A2729" s="4" t="str">
        <f aca="false">B2729&amp;"|"&amp;C2729</f>
        <v>tdbR00000061 Glu-CUC|52</v>
      </c>
      <c r="B2729" s="4" t="s">
        <v>74</v>
      </c>
      <c r="C2729" s="4" t="s">
        <v>474</v>
      </c>
      <c r="D2729" s="4" t="n">
        <v>51</v>
      </c>
      <c r="E2729" s="23" t="s">
        <v>197</v>
      </c>
      <c r="F2729" s="10" t="s">
        <v>471</v>
      </c>
    </row>
    <row r="2730" customFormat="false" ht="15" hidden="false" customHeight="false" outlineLevel="0" collapsed="false">
      <c r="A2730" s="4" t="str">
        <f aca="false">B2730&amp;"|"&amp;C2730</f>
        <v>tdbR00000061 Glu-CUC|53</v>
      </c>
      <c r="B2730" s="4" t="s">
        <v>74</v>
      </c>
      <c r="C2730" s="4" t="s">
        <v>475</v>
      </c>
      <c r="D2730" s="4" t="n">
        <v>52</v>
      </c>
      <c r="E2730" s="23" t="s">
        <v>197</v>
      </c>
      <c r="F2730" s="10" t="s">
        <v>471</v>
      </c>
    </row>
    <row r="2731" customFormat="false" ht="15" hidden="false" customHeight="false" outlineLevel="0" collapsed="false">
      <c r="A2731" s="4" t="str">
        <f aca="false">B2731&amp;"|"&amp;C2731</f>
        <v>tdbR00000061 Glu-CUC|54</v>
      </c>
      <c r="B2731" s="4" t="s">
        <v>74</v>
      </c>
      <c r="C2731" s="4" t="s">
        <v>476</v>
      </c>
      <c r="D2731" s="4" t="n">
        <v>53</v>
      </c>
      <c r="E2731" s="19" t="s">
        <v>259</v>
      </c>
      <c r="F2731" s="20" t="s">
        <v>477</v>
      </c>
    </row>
    <row r="2732" customFormat="false" ht="15" hidden="false" customHeight="false" outlineLevel="0" collapsed="false">
      <c r="A2732" s="4" t="str">
        <f aca="false">B2732&amp;"|"&amp;C2732</f>
        <v>tdbR00000061 Glu-CUC|55</v>
      </c>
      <c r="B2732" s="4" t="s">
        <v>74</v>
      </c>
      <c r="C2732" s="4" t="s">
        <v>478</v>
      </c>
      <c r="D2732" s="4" t="n">
        <v>54</v>
      </c>
      <c r="E2732" s="19" t="s">
        <v>259</v>
      </c>
      <c r="F2732" s="20" t="s">
        <v>477</v>
      </c>
    </row>
    <row r="2733" customFormat="false" ht="15" hidden="false" customHeight="false" outlineLevel="0" collapsed="false">
      <c r="A2733" s="4" t="str">
        <f aca="false">B2733&amp;"|"&amp;C2733</f>
        <v>tdbR00000061 Glu-CUC|56</v>
      </c>
      <c r="B2733" s="4" t="s">
        <v>74</v>
      </c>
      <c r="C2733" s="4" t="s">
        <v>479</v>
      </c>
      <c r="D2733" s="4" t="n">
        <v>55</v>
      </c>
      <c r="E2733" s="19" t="s">
        <v>414</v>
      </c>
      <c r="F2733" s="20" t="s">
        <v>477</v>
      </c>
    </row>
    <row r="2734" customFormat="false" ht="15" hidden="false" customHeight="false" outlineLevel="0" collapsed="false">
      <c r="A2734" s="4" t="str">
        <f aca="false">B2734&amp;"|"&amp;C2734</f>
        <v>tdbR00000061 Glu-CUC|57</v>
      </c>
      <c r="B2734" s="4" t="s">
        <v>74</v>
      </c>
      <c r="C2734" s="4" t="s">
        <v>480</v>
      </c>
      <c r="D2734" s="4" t="n">
        <v>56</v>
      </c>
      <c r="E2734" s="19" t="s">
        <v>197</v>
      </c>
      <c r="F2734" s="20" t="s">
        <v>477</v>
      </c>
    </row>
    <row r="2735" customFormat="false" ht="15" hidden="false" customHeight="false" outlineLevel="0" collapsed="false">
      <c r="A2735" s="4" t="str">
        <f aca="false">B2735&amp;"|"&amp;C2735</f>
        <v>tdbR00000061 Glu-CUC|58</v>
      </c>
      <c r="B2735" s="4" t="s">
        <v>74</v>
      </c>
      <c r="C2735" s="4" t="s">
        <v>481</v>
      </c>
      <c r="D2735" s="4" t="n">
        <v>57</v>
      </c>
      <c r="E2735" s="19" t="s">
        <v>246</v>
      </c>
      <c r="F2735" s="20" t="s">
        <v>477</v>
      </c>
    </row>
    <row r="2736" customFormat="false" ht="15" hidden="false" customHeight="false" outlineLevel="0" collapsed="false">
      <c r="A2736" s="4" t="str">
        <f aca="false">B2736&amp;"|"&amp;C2736</f>
        <v>tdbR00000061 Glu-CUC|59</v>
      </c>
      <c r="B2736" s="4" t="s">
        <v>74</v>
      </c>
      <c r="C2736" s="4" t="s">
        <v>482</v>
      </c>
      <c r="D2736" s="4" t="n">
        <v>58</v>
      </c>
      <c r="E2736" s="19" t="s">
        <v>259</v>
      </c>
      <c r="F2736" s="20" t="s">
        <v>477</v>
      </c>
    </row>
    <row r="2737" customFormat="false" ht="15" hidden="false" customHeight="false" outlineLevel="0" collapsed="false">
      <c r="A2737" s="4" t="str">
        <f aca="false">B2737&amp;"|"&amp;C2737</f>
        <v>tdbR00000061 Glu-CUC|60</v>
      </c>
      <c r="B2737" s="4" t="s">
        <v>74</v>
      </c>
      <c r="C2737" s="4" t="s">
        <v>483</v>
      </c>
      <c r="D2737" s="4" t="n">
        <v>59</v>
      </c>
      <c r="E2737" s="19" t="s">
        <v>259</v>
      </c>
      <c r="F2737" s="20" t="s">
        <v>477</v>
      </c>
    </row>
    <row r="2738" customFormat="false" ht="15" hidden="false" customHeight="false" outlineLevel="0" collapsed="false">
      <c r="A2738" s="4" t="str">
        <f aca="false">B2738&amp;"|"&amp;C2738</f>
        <v>tdbR00000061 Glu-CUC|61</v>
      </c>
      <c r="B2738" s="4" t="s">
        <v>74</v>
      </c>
      <c r="C2738" s="4" t="s">
        <v>484</v>
      </c>
      <c r="D2738" s="4" t="n">
        <v>60</v>
      </c>
      <c r="E2738" s="23" t="s">
        <v>414</v>
      </c>
      <c r="F2738" s="10" t="s">
        <v>471</v>
      </c>
    </row>
    <row r="2739" customFormat="false" ht="15" hidden="false" customHeight="false" outlineLevel="0" collapsed="false">
      <c r="A2739" s="4" t="str">
        <f aca="false">B2739&amp;"|"&amp;C2739</f>
        <v>tdbR00000061 Glu-CUC|62</v>
      </c>
      <c r="B2739" s="4" t="s">
        <v>74</v>
      </c>
      <c r="C2739" s="4" t="s">
        <v>485</v>
      </c>
      <c r="D2739" s="4" t="n">
        <v>61</v>
      </c>
      <c r="E2739" s="23" t="s">
        <v>414</v>
      </c>
      <c r="F2739" s="10" t="s">
        <v>471</v>
      </c>
    </row>
    <row r="2740" customFormat="false" ht="15" hidden="false" customHeight="false" outlineLevel="0" collapsed="false">
      <c r="A2740" s="4" t="str">
        <f aca="false">B2740&amp;"|"&amp;C2740</f>
        <v>tdbR00000061 Glu-CUC|63</v>
      </c>
      <c r="B2740" s="4" t="s">
        <v>74</v>
      </c>
      <c r="C2740" s="4" t="s">
        <v>486</v>
      </c>
      <c r="D2740" s="4" t="n">
        <v>62</v>
      </c>
      <c r="E2740" s="23" t="s">
        <v>414</v>
      </c>
      <c r="F2740" s="10" t="s">
        <v>471</v>
      </c>
    </row>
    <row r="2741" customFormat="false" ht="15" hidden="false" customHeight="false" outlineLevel="0" collapsed="false">
      <c r="A2741" s="4" t="str">
        <f aca="false">B2741&amp;"|"&amp;C2741</f>
        <v>tdbR00000061 Glu-CUC|64</v>
      </c>
      <c r="B2741" s="4" t="s">
        <v>74</v>
      </c>
      <c r="C2741" s="4" t="s">
        <v>487</v>
      </c>
      <c r="D2741" s="4" t="n">
        <v>63</v>
      </c>
      <c r="E2741" s="23" t="s">
        <v>197</v>
      </c>
      <c r="F2741" s="10" t="s">
        <v>471</v>
      </c>
    </row>
    <row r="2742" customFormat="false" ht="15" hidden="false" customHeight="false" outlineLevel="0" collapsed="false">
      <c r="A2742" s="4" t="str">
        <f aca="false">B2742&amp;"|"&amp;C2742</f>
        <v>tdbR00000061 Glu-CUC|65</v>
      </c>
      <c r="B2742" s="4" t="s">
        <v>74</v>
      </c>
      <c r="C2742" s="4" t="s">
        <v>488</v>
      </c>
      <c r="D2742" s="4" t="n">
        <v>64</v>
      </c>
      <c r="E2742" s="23" t="s">
        <v>197</v>
      </c>
      <c r="F2742" s="10" t="s">
        <v>471</v>
      </c>
    </row>
    <row r="2743" customFormat="false" ht="15" hidden="false" customHeight="false" outlineLevel="0" collapsed="false">
      <c r="A2743" s="4" t="str">
        <f aca="false">B2743&amp;"|"&amp;C2743</f>
        <v>tdbR00000061 Glu-CUC|66</v>
      </c>
      <c r="B2743" s="4" t="s">
        <v>74</v>
      </c>
      <c r="C2743" s="4" t="s">
        <v>489</v>
      </c>
      <c r="D2743" s="4" t="n">
        <v>65</v>
      </c>
      <c r="E2743" s="17" t="s">
        <v>259</v>
      </c>
      <c r="F2743" s="18" t="s">
        <v>412</v>
      </c>
    </row>
    <row r="2744" customFormat="false" ht="15" hidden="false" customHeight="false" outlineLevel="0" collapsed="false">
      <c r="A2744" s="4" t="str">
        <f aca="false">B2744&amp;"|"&amp;C2744</f>
        <v>tdbR00000061 Glu-CUC|67</v>
      </c>
      <c r="B2744" s="4" t="s">
        <v>74</v>
      </c>
      <c r="C2744" s="4" t="s">
        <v>490</v>
      </c>
      <c r="D2744" s="4" t="n">
        <v>66</v>
      </c>
      <c r="E2744" s="17" t="s">
        <v>414</v>
      </c>
      <c r="F2744" s="18" t="s">
        <v>412</v>
      </c>
    </row>
    <row r="2745" customFormat="false" ht="15" hidden="false" customHeight="false" outlineLevel="0" collapsed="false">
      <c r="A2745" s="4" t="str">
        <f aca="false">B2745&amp;"|"&amp;C2745</f>
        <v>tdbR00000061 Glu-CUC|68</v>
      </c>
      <c r="B2745" s="4" t="s">
        <v>74</v>
      </c>
      <c r="C2745" s="4" t="s">
        <v>491</v>
      </c>
      <c r="D2745" s="4" t="n">
        <v>67</v>
      </c>
      <c r="E2745" s="17" t="s">
        <v>246</v>
      </c>
      <c r="F2745" s="18" t="s">
        <v>412</v>
      </c>
    </row>
    <row r="2746" customFormat="false" ht="15" hidden="false" customHeight="false" outlineLevel="0" collapsed="false">
      <c r="A2746" s="4" t="str">
        <f aca="false">B2746&amp;"|"&amp;C2746</f>
        <v>tdbR00000061 Glu-CUC|69</v>
      </c>
      <c r="B2746" s="4" t="s">
        <v>74</v>
      </c>
      <c r="C2746" s="4" t="s">
        <v>492</v>
      </c>
      <c r="D2746" s="4" t="n">
        <v>68</v>
      </c>
      <c r="E2746" s="17" t="s">
        <v>197</v>
      </c>
      <c r="F2746" s="18" t="s">
        <v>412</v>
      </c>
    </row>
    <row r="2747" customFormat="false" ht="15" hidden="false" customHeight="false" outlineLevel="0" collapsed="false">
      <c r="A2747" s="4" t="str">
        <f aca="false">B2747&amp;"|"&amp;C2747</f>
        <v>tdbR00000061 Glu-CUC|70</v>
      </c>
      <c r="B2747" s="4" t="s">
        <v>74</v>
      </c>
      <c r="C2747" s="4" t="s">
        <v>493</v>
      </c>
      <c r="D2747" s="4" t="n">
        <v>69</v>
      </c>
      <c r="E2747" s="17" t="s">
        <v>197</v>
      </c>
      <c r="F2747" s="18" t="s">
        <v>412</v>
      </c>
    </row>
    <row r="2748" customFormat="false" ht="15" hidden="false" customHeight="false" outlineLevel="0" collapsed="false">
      <c r="A2748" s="4" t="str">
        <f aca="false">B2748&amp;"|"&amp;C2748</f>
        <v>tdbR00000061 Glu-CUC|71</v>
      </c>
      <c r="B2748" s="4" t="s">
        <v>74</v>
      </c>
      <c r="C2748" s="4" t="s">
        <v>494</v>
      </c>
      <c r="D2748" s="4" t="n">
        <v>70</v>
      </c>
      <c r="E2748" s="17" t="s">
        <v>197</v>
      </c>
      <c r="F2748" s="18" t="s">
        <v>412</v>
      </c>
    </row>
    <row r="2749" customFormat="false" ht="15" hidden="false" customHeight="false" outlineLevel="0" collapsed="false">
      <c r="A2749" s="4" t="str">
        <f aca="false">B2749&amp;"|"&amp;C2749</f>
        <v>tdbR00000061 Glu-CUC|72</v>
      </c>
      <c r="B2749" s="4" t="s">
        <v>74</v>
      </c>
      <c r="C2749" s="4" t="s">
        <v>495</v>
      </c>
      <c r="D2749" s="4" t="n">
        <v>71</v>
      </c>
      <c r="E2749" s="17" t="s">
        <v>246</v>
      </c>
      <c r="F2749" s="18" t="s">
        <v>412</v>
      </c>
    </row>
    <row r="2750" customFormat="false" ht="15" hidden="false" customHeight="false" outlineLevel="0" collapsed="false">
      <c r="A2750" s="4" t="str">
        <f aca="false">B2750&amp;"|"&amp;C2750</f>
        <v>tdbR00000174 Ile-AAU|1</v>
      </c>
      <c r="B2750" s="4" t="s">
        <v>75</v>
      </c>
      <c r="C2750" s="4" t="s">
        <v>411</v>
      </c>
      <c r="D2750" s="4" t="n">
        <v>1</v>
      </c>
      <c r="E2750" s="17" t="s">
        <v>197</v>
      </c>
      <c r="F2750" s="18" t="s">
        <v>412</v>
      </c>
    </row>
    <row r="2751" customFormat="false" ht="15" hidden="false" customHeight="false" outlineLevel="0" collapsed="false">
      <c r="A2751" s="4" t="str">
        <f aca="false">B2751&amp;"|"&amp;C2751</f>
        <v>tdbR00000174 Ile-AAU|2</v>
      </c>
      <c r="B2751" s="4" t="s">
        <v>75</v>
      </c>
      <c r="C2751" s="4" t="s">
        <v>413</v>
      </c>
      <c r="D2751" s="4" t="n">
        <v>2</v>
      </c>
      <c r="E2751" s="17" t="s">
        <v>197</v>
      </c>
      <c r="F2751" s="18" t="s">
        <v>412</v>
      </c>
    </row>
    <row r="2752" customFormat="false" ht="15" hidden="false" customHeight="false" outlineLevel="0" collapsed="false">
      <c r="A2752" s="4" t="str">
        <f aca="false">B2752&amp;"|"&amp;C2752</f>
        <v>tdbR00000174 Ile-AAU|3</v>
      </c>
      <c r="B2752" s="4" t="s">
        <v>75</v>
      </c>
      <c r="C2752" s="4" t="s">
        <v>415</v>
      </c>
      <c r="D2752" s="4" t="n">
        <v>3</v>
      </c>
      <c r="E2752" s="17" t="s">
        <v>414</v>
      </c>
      <c r="F2752" s="18" t="s">
        <v>412</v>
      </c>
    </row>
    <row r="2753" customFormat="false" ht="15" hidden="false" customHeight="false" outlineLevel="0" collapsed="false">
      <c r="A2753" s="4" t="str">
        <f aca="false">B2753&amp;"|"&amp;C2753</f>
        <v>tdbR00000174 Ile-AAU|4</v>
      </c>
      <c r="B2753" s="4" t="s">
        <v>75</v>
      </c>
      <c r="C2753" s="4" t="s">
        <v>416</v>
      </c>
      <c r="D2753" s="4" t="n">
        <v>4</v>
      </c>
      <c r="E2753" s="17" t="s">
        <v>414</v>
      </c>
      <c r="F2753" s="18" t="s">
        <v>412</v>
      </c>
    </row>
    <row r="2754" customFormat="false" ht="15" hidden="false" customHeight="false" outlineLevel="0" collapsed="false">
      <c r="A2754" s="4" t="str">
        <f aca="false">B2754&amp;"|"&amp;C2754</f>
        <v>tdbR00000174 Ile-AAU|5</v>
      </c>
      <c r="B2754" s="4" t="s">
        <v>75</v>
      </c>
      <c r="C2754" s="4" t="s">
        <v>417</v>
      </c>
      <c r="D2754" s="4" t="n">
        <v>5</v>
      </c>
      <c r="E2754" s="17" t="s">
        <v>197</v>
      </c>
      <c r="F2754" s="18" t="s">
        <v>412</v>
      </c>
    </row>
    <row r="2755" customFormat="false" ht="15" hidden="false" customHeight="false" outlineLevel="0" collapsed="false">
      <c r="A2755" s="4" t="str">
        <f aca="false">B2755&amp;"|"&amp;C2755</f>
        <v>tdbR00000174 Ile-AAU|6</v>
      </c>
      <c r="B2755" s="4" t="s">
        <v>75</v>
      </c>
      <c r="C2755" s="4" t="s">
        <v>418</v>
      </c>
      <c r="D2755" s="4" t="n">
        <v>6</v>
      </c>
      <c r="E2755" s="17" t="s">
        <v>197</v>
      </c>
      <c r="F2755" s="18" t="s">
        <v>412</v>
      </c>
    </row>
    <row r="2756" customFormat="false" ht="15" hidden="false" customHeight="false" outlineLevel="0" collapsed="false">
      <c r="A2756" s="4" t="str">
        <f aca="false">B2756&amp;"|"&amp;C2756</f>
        <v>tdbR00000174 Ile-AAU|7</v>
      </c>
      <c r="B2756" s="4" t="s">
        <v>75</v>
      </c>
      <c r="C2756" s="4" t="s">
        <v>419</v>
      </c>
      <c r="D2756" s="4" t="n">
        <v>7</v>
      </c>
      <c r="E2756" s="17" t="s">
        <v>259</v>
      </c>
      <c r="F2756" s="18" t="s">
        <v>412</v>
      </c>
    </row>
    <row r="2757" customFormat="false" ht="15" hidden="false" customHeight="false" outlineLevel="0" collapsed="false">
      <c r="A2757" s="4" t="str">
        <f aca="false">B2757&amp;"|"&amp;C2757</f>
        <v>tdbR00000174 Ile-AAU|8</v>
      </c>
      <c r="B2757" s="4" t="s">
        <v>75</v>
      </c>
      <c r="C2757" s="4" t="s">
        <v>420</v>
      </c>
      <c r="D2757" s="4" t="n">
        <v>8</v>
      </c>
      <c r="E2757" s="3" t="s">
        <v>259</v>
      </c>
      <c r="F2757" s="4" t="s">
        <v>421</v>
      </c>
    </row>
    <row r="2758" customFormat="false" ht="15" hidden="false" customHeight="false" outlineLevel="0" collapsed="false">
      <c r="A2758" s="4" t="str">
        <f aca="false">B2758&amp;"|"&amp;C2758</f>
        <v>tdbR00000174 Ile-AAU|9</v>
      </c>
      <c r="B2758" s="4" t="s">
        <v>75</v>
      </c>
      <c r="C2758" s="4" t="s">
        <v>422</v>
      </c>
      <c r="D2758" s="4" t="n">
        <v>9</v>
      </c>
      <c r="E2758" s="3" t="s">
        <v>246</v>
      </c>
      <c r="F2758" s="4" t="s">
        <v>423</v>
      </c>
    </row>
    <row r="2759" customFormat="false" ht="15" hidden="false" customHeight="false" outlineLevel="0" collapsed="false">
      <c r="A2759" s="4" t="str">
        <f aca="false">B2759&amp;"|"&amp;C2759</f>
        <v>tdbR00000174 Ile-AAU|10</v>
      </c>
      <c r="B2759" s="4" t="s">
        <v>75</v>
      </c>
      <c r="C2759" s="4" t="s">
        <v>424</v>
      </c>
      <c r="D2759" s="4" t="n">
        <v>10</v>
      </c>
      <c r="E2759" s="8" t="s">
        <v>197</v>
      </c>
      <c r="F2759" s="7" t="s">
        <v>425</v>
      </c>
    </row>
    <row r="2760" customFormat="false" ht="15" hidden="false" customHeight="false" outlineLevel="0" collapsed="false">
      <c r="A2760" s="4" t="str">
        <f aca="false">B2760&amp;"|"&amp;C2760</f>
        <v>tdbR00000174 Ile-AAU|11</v>
      </c>
      <c r="B2760" s="4" t="s">
        <v>75</v>
      </c>
      <c r="C2760" s="4" t="s">
        <v>426</v>
      </c>
      <c r="D2760" s="4" t="n">
        <v>11</v>
      </c>
      <c r="E2760" s="8" t="s">
        <v>414</v>
      </c>
      <c r="F2760" s="7" t="s">
        <v>425</v>
      </c>
    </row>
    <row r="2761" customFormat="false" ht="15" hidden="false" customHeight="false" outlineLevel="0" collapsed="false">
      <c r="A2761" s="4" t="str">
        <f aca="false">B2761&amp;"|"&amp;C2761</f>
        <v>tdbR00000174 Ile-AAU|12</v>
      </c>
      <c r="B2761" s="4" t="s">
        <v>75</v>
      </c>
      <c r="C2761" s="4" t="s">
        <v>427</v>
      </c>
      <c r="D2761" s="4" t="n">
        <v>12</v>
      </c>
      <c r="E2761" s="8" t="s">
        <v>259</v>
      </c>
      <c r="F2761" s="7" t="s">
        <v>425</v>
      </c>
    </row>
    <row r="2762" customFormat="false" ht="15" hidden="false" customHeight="false" outlineLevel="0" collapsed="false">
      <c r="A2762" s="4" t="str">
        <f aca="false">B2762&amp;"|"&amp;C2762</f>
        <v>tdbR00000174 Ile-AAU|13</v>
      </c>
      <c r="B2762" s="4" t="s">
        <v>75</v>
      </c>
      <c r="C2762" s="4" t="s">
        <v>428</v>
      </c>
      <c r="D2762" s="4" t="n">
        <v>13</v>
      </c>
      <c r="E2762" s="8" t="s">
        <v>414</v>
      </c>
      <c r="F2762" s="7" t="s">
        <v>425</v>
      </c>
    </row>
    <row r="2763" customFormat="false" ht="15" hidden="false" customHeight="false" outlineLevel="0" collapsed="false">
      <c r="A2763" s="4" t="str">
        <f aca="false">B2763&amp;"|"&amp;C2763</f>
        <v>tdbR00000174 Ile-AAU|14</v>
      </c>
      <c r="B2763" s="4" t="s">
        <v>75</v>
      </c>
      <c r="C2763" s="4" t="s">
        <v>429</v>
      </c>
      <c r="D2763" s="4" t="n">
        <v>14</v>
      </c>
      <c r="E2763" s="19" t="s">
        <v>246</v>
      </c>
      <c r="F2763" s="20" t="s">
        <v>430</v>
      </c>
    </row>
    <row r="2764" customFormat="false" ht="15" hidden="false" customHeight="false" outlineLevel="0" collapsed="false">
      <c r="A2764" s="4" t="str">
        <f aca="false">B2764&amp;"|"&amp;C2764</f>
        <v>tdbR00000174 Ile-AAU|15</v>
      </c>
      <c r="B2764" s="4" t="s">
        <v>75</v>
      </c>
      <c r="C2764" s="4" t="s">
        <v>431</v>
      </c>
      <c r="D2764" s="4" t="n">
        <v>15</v>
      </c>
      <c r="E2764" s="19" t="s">
        <v>197</v>
      </c>
      <c r="F2764" s="20" t="s">
        <v>430</v>
      </c>
    </row>
    <row r="2765" customFormat="false" ht="15" hidden="false" customHeight="false" outlineLevel="0" collapsed="false">
      <c r="A2765" s="4" t="str">
        <f aca="false">B2765&amp;"|"&amp;C2765</f>
        <v>tdbR00000174 Ile-AAU|16</v>
      </c>
      <c r="B2765" s="4" t="s">
        <v>75</v>
      </c>
      <c r="C2765" s="4" t="s">
        <v>432</v>
      </c>
      <c r="D2765" s="4" t="n">
        <v>16</v>
      </c>
      <c r="E2765" s="19" t="s">
        <v>259</v>
      </c>
      <c r="F2765" s="20" t="s">
        <v>430</v>
      </c>
    </row>
    <row r="2766" customFormat="false" ht="15" hidden="false" customHeight="false" outlineLevel="0" collapsed="false">
      <c r="A2766" s="4" t="str">
        <f aca="false">B2766&amp;"|"&amp;C2766</f>
        <v>tdbR00000174 Ile-AAU|17</v>
      </c>
      <c r="B2766" s="4" t="s">
        <v>75</v>
      </c>
      <c r="C2766" s="4" t="s">
        <v>433</v>
      </c>
      <c r="D2766" s="4" t="n">
        <v>17</v>
      </c>
      <c r="E2766" s="19" t="s">
        <v>259</v>
      </c>
      <c r="F2766" s="20" t="s">
        <v>430</v>
      </c>
    </row>
    <row r="2767" customFormat="false" ht="15" hidden="false" customHeight="false" outlineLevel="0" collapsed="false">
      <c r="A2767" s="4" t="str">
        <f aca="false">B2767&amp;"|"&amp;C2767</f>
        <v>tdbR00000174 Ile-AAU|18</v>
      </c>
      <c r="B2767" s="4" t="s">
        <v>75</v>
      </c>
      <c r="C2767" s="4" t="s">
        <v>434</v>
      </c>
      <c r="D2767" s="4" t="n">
        <v>18</v>
      </c>
      <c r="E2767" s="19" t="s">
        <v>197</v>
      </c>
      <c r="F2767" s="20" t="s">
        <v>430</v>
      </c>
    </row>
    <row r="2768" customFormat="false" ht="15" hidden="false" customHeight="false" outlineLevel="0" collapsed="false">
      <c r="A2768" s="4" t="str">
        <f aca="false">B2768&amp;"|"&amp;C2768</f>
        <v>tdbR00000174 Ile-AAU|19</v>
      </c>
      <c r="B2768" s="4" t="s">
        <v>75</v>
      </c>
      <c r="C2768" s="4" t="s">
        <v>435</v>
      </c>
      <c r="D2768" s="4" t="n">
        <v>19</v>
      </c>
      <c r="E2768" s="19" t="s">
        <v>197</v>
      </c>
      <c r="F2768" s="20" t="s">
        <v>430</v>
      </c>
    </row>
    <row r="2769" customFormat="false" ht="15" hidden="false" customHeight="false" outlineLevel="0" collapsed="false">
      <c r="A2769" s="4" t="str">
        <f aca="false">B2769&amp;"|"&amp;C2769</f>
        <v>tdbR00000174 Ile-AAU|20</v>
      </c>
      <c r="B2769" s="4" t="s">
        <v>75</v>
      </c>
      <c r="C2769" s="4" t="s">
        <v>436</v>
      </c>
      <c r="D2769" s="4" t="n">
        <v>20</v>
      </c>
      <c r="E2769" s="19" t="s">
        <v>259</v>
      </c>
      <c r="F2769" s="20" t="s">
        <v>430</v>
      </c>
    </row>
    <row r="2770" customFormat="false" ht="15" hidden="false" customHeight="false" outlineLevel="0" collapsed="false">
      <c r="A2770" s="4" t="str">
        <f aca="false">B2770&amp;"|"&amp;C2770</f>
        <v>tdbR00000174 Ile-AAU|20a</v>
      </c>
      <c r="B2770" s="4" t="s">
        <v>75</v>
      </c>
      <c r="C2770" s="4" t="s">
        <v>437</v>
      </c>
      <c r="D2770" s="4" t="n">
        <v>21</v>
      </c>
      <c r="E2770" s="19" t="s">
        <v>259</v>
      </c>
      <c r="F2770" s="20" t="s">
        <v>430</v>
      </c>
    </row>
    <row r="2771" customFormat="false" ht="15" hidden="false" customHeight="false" outlineLevel="0" collapsed="false">
      <c r="A2771" s="4" t="str">
        <f aca="false">B2771&amp;"|"&amp;C2771</f>
        <v>tdbR00000174 Ile-AAU|21</v>
      </c>
      <c r="B2771" s="4" t="s">
        <v>75</v>
      </c>
      <c r="C2771" s="4" t="s">
        <v>438</v>
      </c>
      <c r="D2771" s="4" t="n">
        <v>22</v>
      </c>
      <c r="E2771" s="19" t="s">
        <v>246</v>
      </c>
      <c r="F2771" s="20" t="s">
        <v>430</v>
      </c>
    </row>
    <row r="2772" customFormat="false" ht="15" hidden="false" customHeight="false" outlineLevel="0" collapsed="false">
      <c r="A2772" s="4" t="str">
        <f aca="false">B2772&amp;"|"&amp;C2772</f>
        <v>tdbR00000174 Ile-AAU|22</v>
      </c>
      <c r="B2772" s="4" t="s">
        <v>75</v>
      </c>
      <c r="C2772" s="4" t="s">
        <v>439</v>
      </c>
      <c r="D2772" s="4" t="n">
        <v>23</v>
      </c>
      <c r="E2772" s="8" t="s">
        <v>197</v>
      </c>
      <c r="F2772" s="7" t="s">
        <v>425</v>
      </c>
    </row>
    <row r="2773" customFormat="false" ht="15" hidden="false" customHeight="false" outlineLevel="0" collapsed="false">
      <c r="A2773" s="4" t="str">
        <f aca="false">B2773&amp;"|"&amp;C2773</f>
        <v>tdbR00000174 Ile-AAU|23</v>
      </c>
      <c r="B2773" s="4" t="s">
        <v>75</v>
      </c>
      <c r="C2773" s="4" t="s">
        <v>440</v>
      </c>
      <c r="D2773" s="4" t="n">
        <v>24</v>
      </c>
      <c r="E2773" s="8" t="s">
        <v>246</v>
      </c>
      <c r="F2773" s="7" t="s">
        <v>425</v>
      </c>
    </row>
    <row r="2774" customFormat="false" ht="15" hidden="false" customHeight="false" outlineLevel="0" collapsed="false">
      <c r="A2774" s="4" t="str">
        <f aca="false">B2774&amp;"|"&amp;C2774</f>
        <v>tdbR00000174 Ile-AAU|24</v>
      </c>
      <c r="B2774" s="4" t="s">
        <v>75</v>
      </c>
      <c r="C2774" s="4" t="s">
        <v>441</v>
      </c>
      <c r="D2774" s="4" t="n">
        <v>25</v>
      </c>
      <c r="E2774" s="8" t="s">
        <v>197</v>
      </c>
      <c r="F2774" s="7" t="s">
        <v>425</v>
      </c>
    </row>
    <row r="2775" customFormat="false" ht="15" hidden="false" customHeight="false" outlineLevel="0" collapsed="false">
      <c r="A2775" s="4" t="str">
        <f aca="false">B2775&amp;"|"&amp;C2775</f>
        <v>tdbR00000174 Ile-AAU|25</v>
      </c>
      <c r="B2775" s="4" t="s">
        <v>75</v>
      </c>
      <c r="C2775" s="4" t="s">
        <v>442</v>
      </c>
      <c r="D2775" s="4" t="n">
        <v>26</v>
      </c>
      <c r="E2775" s="8" t="s">
        <v>414</v>
      </c>
      <c r="F2775" s="7" t="s">
        <v>425</v>
      </c>
    </row>
    <row r="2776" customFormat="false" ht="15" hidden="false" customHeight="false" outlineLevel="0" collapsed="false">
      <c r="A2776" s="4" t="str">
        <f aca="false">B2776&amp;"|"&amp;C2776</f>
        <v>tdbR00000174 Ile-AAU|26</v>
      </c>
      <c r="B2776" s="4" t="s">
        <v>75</v>
      </c>
      <c r="C2776" s="4" t="s">
        <v>443</v>
      </c>
      <c r="D2776" s="4" t="n">
        <v>27</v>
      </c>
      <c r="E2776" s="3" t="s">
        <v>197</v>
      </c>
      <c r="F2776" s="4" t="s">
        <v>444</v>
      </c>
    </row>
    <row r="2777" customFormat="false" ht="15" hidden="false" customHeight="false" outlineLevel="0" collapsed="false">
      <c r="A2777" s="4" t="str">
        <f aca="false">B2777&amp;"|"&amp;C2777</f>
        <v>tdbR00000174 Ile-AAU|27</v>
      </c>
      <c r="B2777" s="4" t="s">
        <v>75</v>
      </c>
      <c r="C2777" s="4" t="s">
        <v>445</v>
      </c>
      <c r="D2777" s="4" t="n">
        <v>28</v>
      </c>
      <c r="E2777" s="21" t="s">
        <v>259</v>
      </c>
      <c r="F2777" s="22" t="s">
        <v>446</v>
      </c>
    </row>
    <row r="2778" customFormat="false" ht="15" hidden="false" customHeight="false" outlineLevel="0" collapsed="false">
      <c r="A2778" s="4" t="str">
        <f aca="false">B2778&amp;"|"&amp;C2778</f>
        <v>tdbR00000174 Ile-AAU|28</v>
      </c>
      <c r="B2778" s="4" t="s">
        <v>75</v>
      </c>
      <c r="C2778" s="4" t="s">
        <v>447</v>
      </c>
      <c r="D2778" s="4" t="n">
        <v>29</v>
      </c>
      <c r="E2778" s="21" t="s">
        <v>197</v>
      </c>
      <c r="F2778" s="22" t="s">
        <v>446</v>
      </c>
    </row>
    <row r="2779" customFormat="false" ht="15" hidden="false" customHeight="false" outlineLevel="0" collapsed="false">
      <c r="A2779" s="4" t="str">
        <f aca="false">B2779&amp;"|"&amp;C2779</f>
        <v>tdbR00000174 Ile-AAU|29</v>
      </c>
      <c r="B2779" s="4" t="s">
        <v>75</v>
      </c>
      <c r="C2779" s="4" t="s">
        <v>448</v>
      </c>
      <c r="D2779" s="4" t="n">
        <v>30</v>
      </c>
      <c r="E2779" s="21" t="s">
        <v>197</v>
      </c>
      <c r="F2779" s="22" t="s">
        <v>446</v>
      </c>
    </row>
    <row r="2780" customFormat="false" ht="15" hidden="false" customHeight="false" outlineLevel="0" collapsed="false">
      <c r="A2780" s="4" t="str">
        <f aca="false">B2780&amp;"|"&amp;C2780</f>
        <v>tdbR00000174 Ile-AAU|30</v>
      </c>
      <c r="B2780" s="4" t="s">
        <v>75</v>
      </c>
      <c r="C2780" s="4" t="s">
        <v>449</v>
      </c>
      <c r="D2780" s="4" t="n">
        <v>31</v>
      </c>
      <c r="E2780" s="21" t="s">
        <v>259</v>
      </c>
      <c r="F2780" s="22" t="s">
        <v>446</v>
      </c>
    </row>
    <row r="2781" customFormat="false" ht="15" hidden="false" customHeight="false" outlineLevel="0" collapsed="false">
      <c r="A2781" s="4" t="str">
        <f aca="false">B2781&amp;"|"&amp;C2781</f>
        <v>tdbR00000174 Ile-AAU|31</v>
      </c>
      <c r="B2781" s="4" t="s">
        <v>75</v>
      </c>
      <c r="C2781" s="4" t="s">
        <v>450</v>
      </c>
      <c r="D2781" s="4" t="n">
        <v>32</v>
      </c>
      <c r="E2781" s="21" t="s">
        <v>197</v>
      </c>
      <c r="F2781" s="22" t="s">
        <v>446</v>
      </c>
    </row>
    <row r="2782" customFormat="false" ht="15" hidden="false" customHeight="false" outlineLevel="0" collapsed="false">
      <c r="A2782" s="4" t="str">
        <f aca="false">B2782&amp;"|"&amp;C2782</f>
        <v>tdbR00000174 Ile-AAU|32</v>
      </c>
      <c r="B2782" s="4" t="s">
        <v>75</v>
      </c>
      <c r="C2782" s="4" t="s">
        <v>451</v>
      </c>
      <c r="D2782" s="4" t="n">
        <v>33</v>
      </c>
      <c r="E2782" s="19" t="s">
        <v>414</v>
      </c>
      <c r="F2782" s="20" t="s">
        <v>452</v>
      </c>
    </row>
    <row r="2783" customFormat="false" ht="15" hidden="false" customHeight="false" outlineLevel="0" collapsed="false">
      <c r="A2783" s="4" t="str">
        <f aca="false">B2783&amp;"|"&amp;C2783</f>
        <v>tdbR00000174 Ile-AAU|33</v>
      </c>
      <c r="B2783" s="4" t="s">
        <v>75</v>
      </c>
      <c r="C2783" s="4" t="s">
        <v>453</v>
      </c>
      <c r="D2783" s="4" t="n">
        <v>34</v>
      </c>
      <c r="E2783" s="19" t="s">
        <v>259</v>
      </c>
      <c r="F2783" s="20" t="s">
        <v>452</v>
      </c>
    </row>
    <row r="2784" customFormat="false" ht="15" hidden="false" customHeight="false" outlineLevel="0" collapsed="false">
      <c r="A2784" s="4" t="str">
        <f aca="false">B2784&amp;"|"&amp;C2784</f>
        <v>tdbR00000174 Ile-AAU|34</v>
      </c>
      <c r="B2784" s="4" t="s">
        <v>75</v>
      </c>
      <c r="C2784" s="4" t="s">
        <v>454</v>
      </c>
      <c r="D2784" s="4" t="n">
        <v>35</v>
      </c>
      <c r="E2784" s="19" t="s">
        <v>246</v>
      </c>
      <c r="F2784" s="20" t="s">
        <v>452</v>
      </c>
    </row>
    <row r="2785" customFormat="false" ht="15" hidden="false" customHeight="false" outlineLevel="0" collapsed="false">
      <c r="A2785" s="4" t="str">
        <f aca="false">B2785&amp;"|"&amp;C2785</f>
        <v>tdbR00000174 Ile-AAU|35</v>
      </c>
      <c r="B2785" s="4" t="s">
        <v>75</v>
      </c>
      <c r="C2785" s="4" t="s">
        <v>455</v>
      </c>
      <c r="D2785" s="4" t="n">
        <v>36</v>
      </c>
      <c r="E2785" s="19" t="s">
        <v>246</v>
      </c>
      <c r="F2785" s="20" t="s">
        <v>452</v>
      </c>
    </row>
    <row r="2786" customFormat="false" ht="15" hidden="false" customHeight="false" outlineLevel="0" collapsed="false">
      <c r="A2786" s="4" t="str">
        <f aca="false">B2786&amp;"|"&amp;C2786</f>
        <v>tdbR00000174 Ile-AAU|36</v>
      </c>
      <c r="B2786" s="4" t="s">
        <v>75</v>
      </c>
      <c r="C2786" s="4" t="s">
        <v>456</v>
      </c>
      <c r="D2786" s="4" t="n">
        <v>37</v>
      </c>
      <c r="E2786" s="19" t="s">
        <v>259</v>
      </c>
      <c r="F2786" s="20" t="s">
        <v>452</v>
      </c>
    </row>
    <row r="2787" customFormat="false" ht="15" hidden="false" customHeight="false" outlineLevel="0" collapsed="false">
      <c r="A2787" s="4" t="str">
        <f aca="false">B2787&amp;"|"&amp;C2787</f>
        <v>tdbR00000174 Ile-AAU|37</v>
      </c>
      <c r="B2787" s="4" t="s">
        <v>75</v>
      </c>
      <c r="C2787" s="4" t="s">
        <v>457</v>
      </c>
      <c r="D2787" s="4" t="n">
        <v>38</v>
      </c>
      <c r="E2787" s="19" t="s">
        <v>246</v>
      </c>
      <c r="F2787" s="20" t="s">
        <v>452</v>
      </c>
    </row>
    <row r="2788" customFormat="false" ht="15" hidden="false" customHeight="false" outlineLevel="0" collapsed="false">
      <c r="A2788" s="4" t="str">
        <f aca="false">B2788&amp;"|"&amp;C2788</f>
        <v>tdbR00000174 Ile-AAU|38</v>
      </c>
      <c r="B2788" s="4" t="s">
        <v>75</v>
      </c>
      <c r="C2788" s="4" t="s">
        <v>458</v>
      </c>
      <c r="D2788" s="4" t="n">
        <v>39</v>
      </c>
      <c r="E2788" s="19" t="s">
        <v>246</v>
      </c>
      <c r="F2788" s="20" t="s">
        <v>452</v>
      </c>
    </row>
    <row r="2789" customFormat="false" ht="15" hidden="false" customHeight="false" outlineLevel="0" collapsed="false">
      <c r="A2789" s="4" t="str">
        <f aca="false">B2789&amp;"|"&amp;C2789</f>
        <v>tdbR00000174 Ile-AAU|39</v>
      </c>
      <c r="B2789" s="4" t="s">
        <v>75</v>
      </c>
      <c r="C2789" s="4" t="s">
        <v>459</v>
      </c>
      <c r="D2789" s="4" t="n">
        <v>40</v>
      </c>
      <c r="E2789" s="21" t="s">
        <v>414</v>
      </c>
      <c r="F2789" s="22" t="s">
        <v>446</v>
      </c>
    </row>
    <row r="2790" customFormat="false" ht="15" hidden="false" customHeight="false" outlineLevel="0" collapsed="false">
      <c r="A2790" s="4" t="str">
        <f aca="false">B2790&amp;"|"&amp;C2790</f>
        <v>tdbR00000174 Ile-AAU|40</v>
      </c>
      <c r="B2790" s="4" t="s">
        <v>75</v>
      </c>
      <c r="C2790" s="4" t="s">
        <v>460</v>
      </c>
      <c r="D2790" s="4" t="n">
        <v>41</v>
      </c>
      <c r="E2790" s="21" t="s">
        <v>197</v>
      </c>
      <c r="F2790" s="22" t="s">
        <v>446</v>
      </c>
    </row>
    <row r="2791" customFormat="false" ht="15" hidden="false" customHeight="false" outlineLevel="0" collapsed="false">
      <c r="A2791" s="4" t="str">
        <f aca="false">B2791&amp;"|"&amp;C2791</f>
        <v>tdbR00000174 Ile-AAU|41</v>
      </c>
      <c r="B2791" s="4" t="s">
        <v>75</v>
      </c>
      <c r="C2791" s="4" t="s">
        <v>461</v>
      </c>
      <c r="D2791" s="4" t="n">
        <v>42</v>
      </c>
      <c r="E2791" s="21" t="s">
        <v>414</v>
      </c>
      <c r="F2791" s="22" t="s">
        <v>446</v>
      </c>
    </row>
    <row r="2792" customFormat="false" ht="15" hidden="false" customHeight="false" outlineLevel="0" collapsed="false">
      <c r="A2792" s="4" t="str">
        <f aca="false">B2792&amp;"|"&amp;C2792</f>
        <v>tdbR00000174 Ile-AAU|42</v>
      </c>
      <c r="B2792" s="4" t="s">
        <v>75</v>
      </c>
      <c r="C2792" s="4" t="s">
        <v>462</v>
      </c>
      <c r="D2792" s="4" t="n">
        <v>43</v>
      </c>
      <c r="E2792" s="21" t="s">
        <v>414</v>
      </c>
      <c r="F2792" s="22" t="s">
        <v>446</v>
      </c>
    </row>
    <row r="2793" customFormat="false" ht="15" hidden="false" customHeight="false" outlineLevel="0" collapsed="false">
      <c r="A2793" s="4" t="str">
        <f aca="false">B2793&amp;"|"&amp;C2793</f>
        <v>tdbR00000174 Ile-AAU|43</v>
      </c>
      <c r="B2793" s="4" t="s">
        <v>75</v>
      </c>
      <c r="C2793" s="4" t="s">
        <v>463</v>
      </c>
      <c r="D2793" s="4" t="n">
        <v>44</v>
      </c>
      <c r="E2793" s="21" t="s">
        <v>246</v>
      </c>
      <c r="F2793" s="22" t="s">
        <v>446</v>
      </c>
    </row>
    <row r="2794" customFormat="false" ht="15" hidden="false" customHeight="false" outlineLevel="0" collapsed="false">
      <c r="A2794" s="4" t="str">
        <f aca="false">B2794&amp;"|"&amp;C2794</f>
        <v>tdbR00000174 Ile-AAU|44</v>
      </c>
      <c r="B2794" s="4" t="s">
        <v>75</v>
      </c>
      <c r="C2794" s="4" t="s">
        <v>464</v>
      </c>
      <c r="D2794" s="4" t="n">
        <v>45</v>
      </c>
      <c r="E2794" s="19" t="s">
        <v>246</v>
      </c>
      <c r="F2794" s="20" t="s">
        <v>465</v>
      </c>
    </row>
    <row r="2795" customFormat="false" ht="15" hidden="false" customHeight="false" outlineLevel="0" collapsed="false">
      <c r="A2795" s="4" t="str">
        <f aca="false">B2795&amp;"|"&amp;C2795</f>
        <v>tdbR00000174 Ile-AAU|45</v>
      </c>
      <c r="B2795" s="4" t="s">
        <v>75</v>
      </c>
      <c r="C2795" s="4" t="s">
        <v>466</v>
      </c>
      <c r="D2795" s="4" t="n">
        <v>46</v>
      </c>
      <c r="E2795" s="19" t="s">
        <v>197</v>
      </c>
      <c r="F2795" s="20" t="s">
        <v>465</v>
      </c>
    </row>
    <row r="2796" customFormat="false" ht="15" hidden="false" customHeight="false" outlineLevel="0" collapsed="false">
      <c r="A2796" s="4" t="str">
        <f aca="false">B2796&amp;"|"&amp;C2796</f>
        <v>tdbR00000174 Ile-AAU|46</v>
      </c>
      <c r="B2796" s="4" t="s">
        <v>75</v>
      </c>
      <c r="C2796" s="4" t="s">
        <v>467</v>
      </c>
      <c r="D2796" s="4" t="n">
        <v>47</v>
      </c>
      <c r="E2796" s="19" t="s">
        <v>197</v>
      </c>
      <c r="F2796" s="20" t="s">
        <v>465</v>
      </c>
    </row>
    <row r="2797" customFormat="false" ht="15" hidden="false" customHeight="false" outlineLevel="0" collapsed="false">
      <c r="A2797" s="4" t="str">
        <f aca="false">B2797&amp;"|"&amp;C2797</f>
        <v>tdbR00000174 Ile-AAU|47</v>
      </c>
      <c r="B2797" s="4" t="s">
        <v>75</v>
      </c>
      <c r="C2797" s="4" t="s">
        <v>468</v>
      </c>
      <c r="D2797" s="4" t="n">
        <v>48</v>
      </c>
      <c r="E2797" s="19" t="s">
        <v>259</v>
      </c>
      <c r="F2797" s="20" t="s">
        <v>465</v>
      </c>
    </row>
    <row r="2798" customFormat="false" ht="15" hidden="false" customHeight="false" outlineLevel="0" collapsed="false">
      <c r="A2798" s="4" t="str">
        <f aca="false">B2798&amp;"|"&amp;C2798</f>
        <v>tdbR00000174 Ile-AAU|48</v>
      </c>
      <c r="B2798" s="4" t="s">
        <v>75</v>
      </c>
      <c r="C2798" s="4" t="s">
        <v>469</v>
      </c>
      <c r="D2798" s="4" t="n">
        <v>49</v>
      </c>
      <c r="E2798" s="19" t="s">
        <v>414</v>
      </c>
      <c r="F2798" s="20" t="s">
        <v>465</v>
      </c>
    </row>
    <row r="2799" customFormat="false" ht="15" hidden="false" customHeight="false" outlineLevel="0" collapsed="false">
      <c r="A2799" s="4" t="str">
        <f aca="false">B2799&amp;"|"&amp;C2799</f>
        <v>tdbR00000174 Ile-AAU|49</v>
      </c>
      <c r="B2799" s="4" t="s">
        <v>75</v>
      </c>
      <c r="C2799" s="4" t="s">
        <v>470</v>
      </c>
      <c r="D2799" s="4" t="n">
        <v>50</v>
      </c>
      <c r="E2799" s="23" t="s">
        <v>197</v>
      </c>
      <c r="F2799" s="10" t="s">
        <v>471</v>
      </c>
    </row>
    <row r="2800" customFormat="false" ht="15" hidden="false" customHeight="false" outlineLevel="0" collapsed="false">
      <c r="A2800" s="4" t="str">
        <f aca="false">B2800&amp;"|"&amp;C2800</f>
        <v>tdbR00000174 Ile-AAU|50</v>
      </c>
      <c r="B2800" s="4" t="s">
        <v>75</v>
      </c>
      <c r="C2800" s="4" t="s">
        <v>472</v>
      </c>
      <c r="D2800" s="4" t="n">
        <v>51</v>
      </c>
      <c r="E2800" s="23" t="s">
        <v>414</v>
      </c>
      <c r="F2800" s="10" t="s">
        <v>471</v>
      </c>
    </row>
    <row r="2801" customFormat="false" ht="15" hidden="false" customHeight="false" outlineLevel="0" collapsed="false">
      <c r="A2801" s="4" t="str">
        <f aca="false">B2801&amp;"|"&amp;C2801</f>
        <v>tdbR00000174 Ile-AAU|51</v>
      </c>
      <c r="B2801" s="4" t="s">
        <v>75</v>
      </c>
      <c r="C2801" s="4" t="s">
        <v>473</v>
      </c>
      <c r="D2801" s="4" t="n">
        <v>52</v>
      </c>
      <c r="E2801" s="23" t="s">
        <v>197</v>
      </c>
      <c r="F2801" s="10" t="s">
        <v>471</v>
      </c>
    </row>
    <row r="2802" customFormat="false" ht="15" hidden="false" customHeight="false" outlineLevel="0" collapsed="false">
      <c r="A2802" s="4" t="str">
        <f aca="false">B2802&amp;"|"&amp;C2802</f>
        <v>tdbR00000174 Ile-AAU|52</v>
      </c>
      <c r="B2802" s="4" t="s">
        <v>75</v>
      </c>
      <c r="C2802" s="4" t="s">
        <v>474</v>
      </c>
      <c r="D2802" s="4" t="n">
        <v>53</v>
      </c>
      <c r="E2802" s="23" t="s">
        <v>197</v>
      </c>
      <c r="F2802" s="10" t="s">
        <v>471</v>
      </c>
    </row>
    <row r="2803" customFormat="false" ht="15" hidden="false" customHeight="false" outlineLevel="0" collapsed="false">
      <c r="A2803" s="4" t="str">
        <f aca="false">B2803&amp;"|"&amp;C2803</f>
        <v>tdbR00000174 Ile-AAU|53</v>
      </c>
      <c r="B2803" s="4" t="s">
        <v>75</v>
      </c>
      <c r="C2803" s="4" t="s">
        <v>475</v>
      </c>
      <c r="D2803" s="4" t="n">
        <v>54</v>
      </c>
      <c r="E2803" s="23" t="s">
        <v>197</v>
      </c>
      <c r="F2803" s="10" t="s">
        <v>471</v>
      </c>
    </row>
    <row r="2804" customFormat="false" ht="15" hidden="false" customHeight="false" outlineLevel="0" collapsed="false">
      <c r="A2804" s="4" t="str">
        <f aca="false">B2804&amp;"|"&amp;C2804</f>
        <v>tdbR00000174 Ile-AAU|54</v>
      </c>
      <c r="B2804" s="4" t="s">
        <v>75</v>
      </c>
      <c r="C2804" s="4" t="s">
        <v>476</v>
      </c>
      <c r="D2804" s="4" t="n">
        <v>55</v>
      </c>
      <c r="E2804" s="19" t="s">
        <v>259</v>
      </c>
      <c r="F2804" s="20" t="s">
        <v>477</v>
      </c>
    </row>
    <row r="2805" customFormat="false" ht="15" hidden="false" customHeight="false" outlineLevel="0" collapsed="false">
      <c r="A2805" s="4" t="str">
        <f aca="false">B2805&amp;"|"&amp;C2805</f>
        <v>tdbR00000174 Ile-AAU|55</v>
      </c>
      <c r="B2805" s="4" t="s">
        <v>75</v>
      </c>
      <c r="C2805" s="4" t="s">
        <v>478</v>
      </c>
      <c r="D2805" s="4" t="n">
        <v>56</v>
      </c>
      <c r="E2805" s="19" t="s">
        <v>259</v>
      </c>
      <c r="F2805" s="20" t="s">
        <v>477</v>
      </c>
    </row>
    <row r="2806" customFormat="false" ht="15" hidden="false" customHeight="false" outlineLevel="0" collapsed="false">
      <c r="A2806" s="4" t="str">
        <f aca="false">B2806&amp;"|"&amp;C2806</f>
        <v>tdbR00000174 Ile-AAU|56</v>
      </c>
      <c r="B2806" s="4" t="s">
        <v>75</v>
      </c>
      <c r="C2806" s="4" t="s">
        <v>479</v>
      </c>
      <c r="D2806" s="4" t="n">
        <v>57</v>
      </c>
      <c r="E2806" s="19" t="s">
        <v>414</v>
      </c>
      <c r="F2806" s="20" t="s">
        <v>477</v>
      </c>
    </row>
    <row r="2807" customFormat="false" ht="15" hidden="false" customHeight="false" outlineLevel="0" collapsed="false">
      <c r="A2807" s="4" t="str">
        <f aca="false">B2807&amp;"|"&amp;C2807</f>
        <v>tdbR00000174 Ile-AAU|57</v>
      </c>
      <c r="B2807" s="4" t="s">
        <v>75</v>
      </c>
      <c r="C2807" s="4" t="s">
        <v>480</v>
      </c>
      <c r="D2807" s="4" t="n">
        <v>58</v>
      </c>
      <c r="E2807" s="19" t="s">
        <v>197</v>
      </c>
      <c r="F2807" s="20" t="s">
        <v>477</v>
      </c>
    </row>
    <row r="2808" customFormat="false" ht="15" hidden="false" customHeight="false" outlineLevel="0" collapsed="false">
      <c r="A2808" s="4" t="str">
        <f aca="false">B2808&amp;"|"&amp;C2808</f>
        <v>tdbR00000174 Ile-AAU|58</v>
      </c>
      <c r="B2808" s="4" t="s">
        <v>75</v>
      </c>
      <c r="C2808" s="4" t="s">
        <v>481</v>
      </c>
      <c r="D2808" s="4" t="n">
        <v>59</v>
      </c>
      <c r="E2808" s="19" t="s">
        <v>246</v>
      </c>
      <c r="F2808" s="20" t="s">
        <v>477</v>
      </c>
    </row>
    <row r="2809" customFormat="false" ht="15" hidden="false" customHeight="false" outlineLevel="0" collapsed="false">
      <c r="A2809" s="4" t="str">
        <f aca="false">B2809&amp;"|"&amp;C2809</f>
        <v>tdbR00000174 Ile-AAU|59</v>
      </c>
      <c r="B2809" s="4" t="s">
        <v>75</v>
      </c>
      <c r="C2809" s="4" t="s">
        <v>482</v>
      </c>
      <c r="D2809" s="4" t="n">
        <v>60</v>
      </c>
      <c r="E2809" s="19" t="s">
        <v>259</v>
      </c>
      <c r="F2809" s="20" t="s">
        <v>477</v>
      </c>
    </row>
    <row r="2810" customFormat="false" ht="15" hidden="false" customHeight="false" outlineLevel="0" collapsed="false">
      <c r="A2810" s="4" t="str">
        <f aca="false">B2810&amp;"|"&amp;C2810</f>
        <v>tdbR00000174 Ile-AAU|60</v>
      </c>
      <c r="B2810" s="4" t="s">
        <v>75</v>
      </c>
      <c r="C2810" s="4" t="s">
        <v>483</v>
      </c>
      <c r="D2810" s="4" t="n">
        <v>61</v>
      </c>
      <c r="E2810" s="19" t="s">
        <v>414</v>
      </c>
      <c r="F2810" s="20" t="s">
        <v>477</v>
      </c>
    </row>
    <row r="2811" customFormat="false" ht="15" hidden="false" customHeight="false" outlineLevel="0" collapsed="false">
      <c r="A2811" s="4" t="str">
        <f aca="false">B2811&amp;"|"&amp;C2811</f>
        <v>tdbR00000174 Ile-AAU|61</v>
      </c>
      <c r="B2811" s="4" t="s">
        <v>75</v>
      </c>
      <c r="C2811" s="4" t="s">
        <v>484</v>
      </c>
      <c r="D2811" s="4" t="n">
        <v>62</v>
      </c>
      <c r="E2811" s="23" t="s">
        <v>414</v>
      </c>
      <c r="F2811" s="10" t="s">
        <v>471</v>
      </c>
    </row>
    <row r="2812" customFormat="false" ht="15" hidden="false" customHeight="false" outlineLevel="0" collapsed="false">
      <c r="A2812" s="4" t="str">
        <f aca="false">B2812&amp;"|"&amp;C2812</f>
        <v>tdbR00000174 Ile-AAU|62</v>
      </c>
      <c r="B2812" s="4" t="s">
        <v>75</v>
      </c>
      <c r="C2812" s="4" t="s">
        <v>485</v>
      </c>
      <c r="D2812" s="4" t="n">
        <v>63</v>
      </c>
      <c r="E2812" s="23" t="s">
        <v>414</v>
      </c>
      <c r="F2812" s="10" t="s">
        <v>471</v>
      </c>
    </row>
    <row r="2813" customFormat="false" ht="15" hidden="false" customHeight="false" outlineLevel="0" collapsed="false">
      <c r="A2813" s="4" t="str">
        <f aca="false">B2813&amp;"|"&amp;C2813</f>
        <v>tdbR00000174 Ile-AAU|63</v>
      </c>
      <c r="B2813" s="4" t="s">
        <v>75</v>
      </c>
      <c r="C2813" s="4" t="s">
        <v>486</v>
      </c>
      <c r="D2813" s="4" t="n">
        <v>64</v>
      </c>
      <c r="E2813" s="23" t="s">
        <v>414</v>
      </c>
      <c r="F2813" s="10" t="s">
        <v>471</v>
      </c>
    </row>
    <row r="2814" customFormat="false" ht="15" hidden="false" customHeight="false" outlineLevel="0" collapsed="false">
      <c r="A2814" s="4" t="str">
        <f aca="false">B2814&amp;"|"&amp;C2814</f>
        <v>tdbR00000174 Ile-AAU|64</v>
      </c>
      <c r="B2814" s="4" t="s">
        <v>75</v>
      </c>
      <c r="C2814" s="4" t="s">
        <v>487</v>
      </c>
      <c r="D2814" s="4" t="n">
        <v>65</v>
      </c>
      <c r="E2814" s="23" t="s">
        <v>197</v>
      </c>
      <c r="F2814" s="10" t="s">
        <v>471</v>
      </c>
    </row>
    <row r="2815" customFormat="false" ht="15" hidden="false" customHeight="false" outlineLevel="0" collapsed="false">
      <c r="A2815" s="4" t="str">
        <f aca="false">B2815&amp;"|"&amp;C2815</f>
        <v>tdbR00000174 Ile-AAU|65</v>
      </c>
      <c r="B2815" s="4" t="s">
        <v>75</v>
      </c>
      <c r="C2815" s="4" t="s">
        <v>488</v>
      </c>
      <c r="D2815" s="4" t="n">
        <v>66</v>
      </c>
      <c r="E2815" s="23" t="s">
        <v>259</v>
      </c>
      <c r="F2815" s="10" t="s">
        <v>471</v>
      </c>
    </row>
    <row r="2816" customFormat="false" ht="15" hidden="false" customHeight="false" outlineLevel="0" collapsed="false">
      <c r="A2816" s="4" t="str">
        <f aca="false">B2816&amp;"|"&amp;C2816</f>
        <v>tdbR00000174 Ile-AAU|66</v>
      </c>
      <c r="B2816" s="4" t="s">
        <v>75</v>
      </c>
      <c r="C2816" s="4" t="s">
        <v>489</v>
      </c>
      <c r="D2816" s="4" t="n">
        <v>67</v>
      </c>
      <c r="E2816" s="17" t="s">
        <v>246</v>
      </c>
      <c r="F2816" s="18" t="s">
        <v>412</v>
      </c>
    </row>
    <row r="2817" customFormat="false" ht="15" hidden="false" customHeight="false" outlineLevel="0" collapsed="false">
      <c r="A2817" s="4" t="str">
        <f aca="false">B2817&amp;"|"&amp;C2817</f>
        <v>tdbR00000174 Ile-AAU|67</v>
      </c>
      <c r="B2817" s="4" t="s">
        <v>75</v>
      </c>
      <c r="C2817" s="4" t="s">
        <v>490</v>
      </c>
      <c r="D2817" s="4" t="n">
        <v>68</v>
      </c>
      <c r="E2817" s="17" t="s">
        <v>414</v>
      </c>
      <c r="F2817" s="18" t="s">
        <v>412</v>
      </c>
    </row>
    <row r="2818" customFormat="false" ht="15" hidden="false" customHeight="false" outlineLevel="0" collapsed="false">
      <c r="A2818" s="4" t="str">
        <f aca="false">B2818&amp;"|"&amp;C2818</f>
        <v>tdbR00000174 Ile-AAU|68</v>
      </c>
      <c r="B2818" s="4" t="s">
        <v>75</v>
      </c>
      <c r="C2818" s="4" t="s">
        <v>491</v>
      </c>
      <c r="D2818" s="4" t="n">
        <v>69</v>
      </c>
      <c r="E2818" s="17" t="s">
        <v>197</v>
      </c>
      <c r="F2818" s="18" t="s">
        <v>412</v>
      </c>
    </row>
    <row r="2819" customFormat="false" ht="15" hidden="false" customHeight="false" outlineLevel="0" collapsed="false">
      <c r="A2819" s="4" t="str">
        <f aca="false">B2819&amp;"|"&amp;C2819</f>
        <v>tdbR00000174 Ile-AAU|69</v>
      </c>
      <c r="B2819" s="4" t="s">
        <v>75</v>
      </c>
      <c r="C2819" s="4" t="s">
        <v>492</v>
      </c>
      <c r="D2819" s="4" t="n">
        <v>70</v>
      </c>
      <c r="E2819" s="17" t="s">
        <v>197</v>
      </c>
      <c r="F2819" s="18" t="s">
        <v>412</v>
      </c>
    </row>
    <row r="2820" customFormat="false" ht="15" hidden="false" customHeight="false" outlineLevel="0" collapsed="false">
      <c r="A2820" s="4" t="str">
        <f aca="false">B2820&amp;"|"&amp;C2820</f>
        <v>tdbR00000174 Ile-AAU|70</v>
      </c>
      <c r="B2820" s="4" t="s">
        <v>75</v>
      </c>
      <c r="C2820" s="4" t="s">
        <v>493</v>
      </c>
      <c r="D2820" s="4" t="n">
        <v>71</v>
      </c>
      <c r="E2820" s="17" t="s">
        <v>197</v>
      </c>
      <c r="F2820" s="18" t="s">
        <v>412</v>
      </c>
    </row>
    <row r="2821" customFormat="false" ht="15" hidden="false" customHeight="false" outlineLevel="0" collapsed="false">
      <c r="A2821" s="4" t="str">
        <f aca="false">B2821&amp;"|"&amp;C2821</f>
        <v>tdbR00000174 Ile-AAU|71</v>
      </c>
      <c r="B2821" s="4" t="s">
        <v>75</v>
      </c>
      <c r="C2821" s="4" t="s">
        <v>494</v>
      </c>
      <c r="D2821" s="4" t="n">
        <v>72</v>
      </c>
      <c r="E2821" s="17" t="s">
        <v>414</v>
      </c>
      <c r="F2821" s="18" t="s">
        <v>412</v>
      </c>
    </row>
    <row r="2822" customFormat="false" ht="15" hidden="false" customHeight="false" outlineLevel="0" collapsed="false">
      <c r="A2822" s="4" t="str">
        <f aca="false">B2822&amp;"|"&amp;C2822</f>
        <v>tdbR00000174 Ile-AAU|72</v>
      </c>
      <c r="B2822" s="4" t="s">
        <v>75</v>
      </c>
      <c r="C2822" s="4" t="s">
        <v>495</v>
      </c>
      <c r="D2822" s="4" t="n">
        <v>73</v>
      </c>
      <c r="E2822" s="17" t="s">
        <v>414</v>
      </c>
      <c r="F2822" s="18" t="s">
        <v>412</v>
      </c>
    </row>
    <row r="2823" customFormat="false" ht="15" hidden="false" customHeight="false" outlineLevel="0" collapsed="false">
      <c r="A2823" s="4" t="str">
        <f aca="false">B2823&amp;"|"&amp;C2823</f>
        <v>tdbR00000208 Lys-CUU|1</v>
      </c>
      <c r="B2823" s="4" t="s">
        <v>76</v>
      </c>
      <c r="C2823" s="4" t="s">
        <v>411</v>
      </c>
      <c r="D2823" s="4" t="n">
        <v>1</v>
      </c>
      <c r="E2823" s="17" t="s">
        <v>197</v>
      </c>
      <c r="F2823" s="18" t="s">
        <v>412</v>
      </c>
    </row>
    <row r="2824" customFormat="false" ht="15" hidden="false" customHeight="false" outlineLevel="0" collapsed="false">
      <c r="A2824" s="4" t="str">
        <f aca="false">B2824&amp;"|"&amp;C2824</f>
        <v>tdbR00000208 Lys-CUU|2</v>
      </c>
      <c r="B2824" s="4" t="s">
        <v>76</v>
      </c>
      <c r="C2824" s="4" t="s">
        <v>413</v>
      </c>
      <c r="D2824" s="4" t="n">
        <v>2</v>
      </c>
      <c r="E2824" s="17" t="s">
        <v>414</v>
      </c>
      <c r="F2824" s="18" t="s">
        <v>412</v>
      </c>
    </row>
    <row r="2825" customFormat="false" ht="15" hidden="false" customHeight="false" outlineLevel="0" collapsed="false">
      <c r="A2825" s="4" t="str">
        <f aca="false">B2825&amp;"|"&amp;C2825</f>
        <v>tdbR00000208 Lys-CUU|3</v>
      </c>
      <c r="B2825" s="4" t="s">
        <v>76</v>
      </c>
      <c r="C2825" s="4" t="s">
        <v>415</v>
      </c>
      <c r="D2825" s="4" t="n">
        <v>3</v>
      </c>
      <c r="E2825" s="17" t="s">
        <v>414</v>
      </c>
      <c r="F2825" s="18" t="s">
        <v>412</v>
      </c>
    </row>
    <row r="2826" customFormat="false" ht="15" hidden="false" customHeight="false" outlineLevel="0" collapsed="false">
      <c r="A2826" s="4" t="str">
        <f aca="false">B2826&amp;"|"&amp;C2826</f>
        <v>tdbR00000208 Lys-CUU|4</v>
      </c>
      <c r="B2826" s="4" t="s">
        <v>76</v>
      </c>
      <c r="C2826" s="4" t="s">
        <v>416</v>
      </c>
      <c r="D2826" s="4" t="n">
        <v>4</v>
      </c>
      <c r="E2826" s="17" t="s">
        <v>414</v>
      </c>
      <c r="F2826" s="18" t="s">
        <v>412</v>
      </c>
    </row>
    <row r="2827" customFormat="false" ht="15" hidden="false" customHeight="false" outlineLevel="0" collapsed="false">
      <c r="A2827" s="4" t="str">
        <f aca="false">B2827&amp;"|"&amp;C2827</f>
        <v>tdbR00000208 Lys-CUU|5</v>
      </c>
      <c r="B2827" s="4" t="s">
        <v>76</v>
      </c>
      <c r="C2827" s="4" t="s">
        <v>417</v>
      </c>
      <c r="D2827" s="4" t="n">
        <v>5</v>
      </c>
      <c r="E2827" s="17" t="s">
        <v>197</v>
      </c>
      <c r="F2827" s="18" t="s">
        <v>412</v>
      </c>
    </row>
    <row r="2828" customFormat="false" ht="15" hidden="false" customHeight="false" outlineLevel="0" collapsed="false">
      <c r="A2828" s="4" t="str">
        <f aca="false">B2828&amp;"|"&amp;C2828</f>
        <v>tdbR00000208 Lys-CUU|6</v>
      </c>
      <c r="B2828" s="4" t="s">
        <v>76</v>
      </c>
      <c r="C2828" s="4" t="s">
        <v>418</v>
      </c>
      <c r="D2828" s="4" t="n">
        <v>6</v>
      </c>
      <c r="E2828" s="17" t="s">
        <v>197</v>
      </c>
      <c r="F2828" s="18" t="s">
        <v>412</v>
      </c>
    </row>
    <row r="2829" customFormat="false" ht="15" hidden="false" customHeight="false" outlineLevel="0" collapsed="false">
      <c r="A2829" s="4" t="str">
        <f aca="false">B2829&amp;"|"&amp;C2829</f>
        <v>tdbR00000208 Lys-CUU|7</v>
      </c>
      <c r="B2829" s="4" t="s">
        <v>76</v>
      </c>
      <c r="C2829" s="4" t="s">
        <v>419</v>
      </c>
      <c r="D2829" s="4" t="n">
        <v>7</v>
      </c>
      <c r="E2829" s="17" t="s">
        <v>414</v>
      </c>
      <c r="F2829" s="18" t="s">
        <v>412</v>
      </c>
    </row>
    <row r="2830" customFormat="false" ht="15" hidden="false" customHeight="false" outlineLevel="0" collapsed="false">
      <c r="A2830" s="4" t="str">
        <f aca="false">B2830&amp;"|"&amp;C2830</f>
        <v>tdbR00000208 Lys-CUU|8</v>
      </c>
      <c r="B2830" s="4" t="s">
        <v>76</v>
      </c>
      <c r="C2830" s="4" t="s">
        <v>420</v>
      </c>
      <c r="D2830" s="4" t="n">
        <v>8</v>
      </c>
      <c r="E2830" s="3" t="s">
        <v>259</v>
      </c>
      <c r="F2830" s="4" t="s">
        <v>421</v>
      </c>
    </row>
    <row r="2831" customFormat="false" ht="15" hidden="false" customHeight="false" outlineLevel="0" collapsed="false">
      <c r="A2831" s="4" t="str">
        <f aca="false">B2831&amp;"|"&amp;C2831</f>
        <v>tdbR00000208 Lys-CUU|9</v>
      </c>
      <c r="B2831" s="4" t="s">
        <v>76</v>
      </c>
      <c r="C2831" s="4" t="s">
        <v>422</v>
      </c>
      <c r="D2831" s="4" t="n">
        <v>9</v>
      </c>
      <c r="E2831" s="3" t="s">
        <v>246</v>
      </c>
      <c r="F2831" s="4" t="s">
        <v>423</v>
      </c>
    </row>
    <row r="2832" customFormat="false" ht="15" hidden="false" customHeight="false" outlineLevel="0" collapsed="false">
      <c r="A2832" s="4" t="str">
        <f aca="false">B2832&amp;"|"&amp;C2832</f>
        <v>tdbR00000208 Lys-CUU|10</v>
      </c>
      <c r="B2832" s="4" t="s">
        <v>76</v>
      </c>
      <c r="C2832" s="4" t="s">
        <v>424</v>
      </c>
      <c r="D2832" s="4" t="n">
        <v>10</v>
      </c>
      <c r="E2832" s="8" t="s">
        <v>197</v>
      </c>
      <c r="F2832" s="7" t="s">
        <v>425</v>
      </c>
    </row>
    <row r="2833" customFormat="false" ht="15" hidden="false" customHeight="false" outlineLevel="0" collapsed="false">
      <c r="A2833" s="4" t="str">
        <f aca="false">B2833&amp;"|"&amp;C2833</f>
        <v>tdbR00000208 Lys-CUU|11</v>
      </c>
      <c r="B2833" s="4" t="s">
        <v>76</v>
      </c>
      <c r="C2833" s="4" t="s">
        <v>426</v>
      </c>
      <c r="D2833" s="4" t="n">
        <v>11</v>
      </c>
      <c r="E2833" s="8" t="s">
        <v>414</v>
      </c>
      <c r="F2833" s="7" t="s">
        <v>425</v>
      </c>
    </row>
    <row r="2834" customFormat="false" ht="15" hidden="false" customHeight="false" outlineLevel="0" collapsed="false">
      <c r="A2834" s="4" t="str">
        <f aca="false">B2834&amp;"|"&amp;C2834</f>
        <v>tdbR00000208 Lys-CUU|12</v>
      </c>
      <c r="B2834" s="4" t="s">
        <v>76</v>
      </c>
      <c r="C2834" s="4" t="s">
        <v>427</v>
      </c>
      <c r="D2834" s="4" t="n">
        <v>12</v>
      </c>
      <c r="E2834" s="8" t="s">
        <v>259</v>
      </c>
      <c r="F2834" s="7" t="s">
        <v>425</v>
      </c>
    </row>
    <row r="2835" customFormat="false" ht="15" hidden="false" customHeight="false" outlineLevel="0" collapsed="false">
      <c r="A2835" s="4" t="str">
        <f aca="false">B2835&amp;"|"&amp;C2835</f>
        <v>tdbR00000208 Lys-CUU|13</v>
      </c>
      <c r="B2835" s="4" t="s">
        <v>76</v>
      </c>
      <c r="C2835" s="4" t="s">
        <v>428</v>
      </c>
      <c r="D2835" s="4" t="n">
        <v>13</v>
      </c>
      <c r="E2835" s="8" t="s">
        <v>414</v>
      </c>
      <c r="F2835" s="7" t="s">
        <v>425</v>
      </c>
    </row>
    <row r="2836" customFormat="false" ht="15" hidden="false" customHeight="false" outlineLevel="0" collapsed="false">
      <c r="A2836" s="4" t="str">
        <f aca="false">B2836&amp;"|"&amp;C2836</f>
        <v>tdbR00000208 Lys-CUU|14</v>
      </c>
      <c r="B2836" s="4" t="s">
        <v>76</v>
      </c>
      <c r="C2836" s="4" t="s">
        <v>429</v>
      </c>
      <c r="D2836" s="4" t="n">
        <v>14</v>
      </c>
      <c r="E2836" s="19" t="s">
        <v>246</v>
      </c>
      <c r="F2836" s="20" t="s">
        <v>430</v>
      </c>
    </row>
    <row r="2837" customFormat="false" ht="15" hidden="false" customHeight="false" outlineLevel="0" collapsed="false">
      <c r="A2837" s="4" t="str">
        <f aca="false">B2837&amp;"|"&amp;C2837</f>
        <v>tdbR00000208 Lys-CUU|15</v>
      </c>
      <c r="B2837" s="4" t="s">
        <v>76</v>
      </c>
      <c r="C2837" s="4" t="s">
        <v>431</v>
      </c>
      <c r="D2837" s="4" t="n">
        <v>15</v>
      </c>
      <c r="E2837" s="19" t="s">
        <v>197</v>
      </c>
      <c r="F2837" s="20" t="s">
        <v>430</v>
      </c>
    </row>
    <row r="2838" customFormat="false" ht="15" hidden="false" customHeight="false" outlineLevel="0" collapsed="false">
      <c r="A2838" s="4" t="str">
        <f aca="false">B2838&amp;"|"&amp;C2838</f>
        <v>tdbR00000208 Lys-CUU|16</v>
      </c>
      <c r="B2838" s="4" t="s">
        <v>76</v>
      </c>
      <c r="C2838" s="4" t="s">
        <v>432</v>
      </c>
      <c r="D2838" s="4" t="n">
        <v>16</v>
      </c>
      <c r="E2838" s="19" t="s">
        <v>259</v>
      </c>
      <c r="F2838" s="20" t="s">
        <v>430</v>
      </c>
    </row>
    <row r="2839" customFormat="false" ht="15" hidden="false" customHeight="false" outlineLevel="0" collapsed="false">
      <c r="A2839" s="4" t="str">
        <f aca="false">B2839&amp;"|"&amp;C2839</f>
        <v>tdbR00000208 Lys-CUU|17</v>
      </c>
      <c r="B2839" s="4" t="s">
        <v>76</v>
      </c>
      <c r="C2839" s="4" t="s">
        <v>433</v>
      </c>
      <c r="D2839" s="4" t="n">
        <v>17</v>
      </c>
      <c r="E2839" s="19" t="s">
        <v>414</v>
      </c>
      <c r="F2839" s="20" t="s">
        <v>430</v>
      </c>
    </row>
    <row r="2840" customFormat="false" ht="15" hidden="false" customHeight="false" outlineLevel="0" collapsed="false">
      <c r="A2840" s="4" t="str">
        <f aca="false">B2840&amp;"|"&amp;C2840</f>
        <v>tdbR00000208 Lys-CUU|18</v>
      </c>
      <c r="B2840" s="4" t="s">
        <v>76</v>
      </c>
      <c r="C2840" s="4" t="s">
        <v>434</v>
      </c>
      <c r="D2840" s="4" t="n">
        <v>18</v>
      </c>
      <c r="E2840" s="19" t="s">
        <v>197</v>
      </c>
      <c r="F2840" s="20" t="s">
        <v>430</v>
      </c>
    </row>
    <row r="2841" customFormat="false" ht="15" hidden="false" customHeight="false" outlineLevel="0" collapsed="false">
      <c r="A2841" s="4" t="str">
        <f aca="false">B2841&amp;"|"&amp;C2841</f>
        <v>tdbR00000208 Lys-CUU|19</v>
      </c>
      <c r="B2841" s="4" t="s">
        <v>76</v>
      </c>
      <c r="C2841" s="4" t="s">
        <v>435</v>
      </c>
      <c r="D2841" s="4" t="n">
        <v>19</v>
      </c>
      <c r="E2841" s="19" t="s">
        <v>197</v>
      </c>
      <c r="F2841" s="20" t="s">
        <v>430</v>
      </c>
    </row>
    <row r="2842" customFormat="false" ht="15" hidden="false" customHeight="false" outlineLevel="0" collapsed="false">
      <c r="A2842" s="4" t="str">
        <f aca="false">B2842&amp;"|"&amp;C2842</f>
        <v>tdbR00000208 Lys-CUU|20</v>
      </c>
      <c r="B2842" s="4" t="s">
        <v>76</v>
      </c>
      <c r="C2842" s="4" t="s">
        <v>436</v>
      </c>
      <c r="D2842" s="4" t="n">
        <v>20</v>
      </c>
      <c r="E2842" s="19" t="s">
        <v>259</v>
      </c>
      <c r="F2842" s="20" t="s">
        <v>430</v>
      </c>
    </row>
    <row r="2843" customFormat="false" ht="15" hidden="false" customHeight="false" outlineLevel="0" collapsed="false">
      <c r="A2843" s="4" t="str">
        <f aca="false">B2843&amp;"|"&amp;C2843</f>
        <v>tdbR00000208 Lys-CUU|21</v>
      </c>
      <c r="B2843" s="4" t="s">
        <v>76</v>
      </c>
      <c r="C2843" s="4" t="s">
        <v>438</v>
      </c>
      <c r="D2843" s="4" t="n">
        <v>21</v>
      </c>
      <c r="E2843" s="19" t="s">
        <v>246</v>
      </c>
      <c r="F2843" s="20" t="s">
        <v>430</v>
      </c>
    </row>
    <row r="2844" customFormat="false" ht="15" hidden="false" customHeight="false" outlineLevel="0" collapsed="false">
      <c r="A2844" s="4" t="str">
        <f aca="false">B2844&amp;"|"&amp;C2844</f>
        <v>tdbR00000208 Lys-CUU|22</v>
      </c>
      <c r="B2844" s="4" t="s">
        <v>76</v>
      </c>
      <c r="C2844" s="4" t="s">
        <v>439</v>
      </c>
      <c r="D2844" s="4" t="n">
        <v>22</v>
      </c>
      <c r="E2844" s="8" t="s">
        <v>197</v>
      </c>
      <c r="F2844" s="7" t="s">
        <v>425</v>
      </c>
    </row>
    <row r="2845" customFormat="false" ht="15" hidden="false" customHeight="false" outlineLevel="0" collapsed="false">
      <c r="A2845" s="4" t="str">
        <f aca="false">B2845&amp;"|"&amp;C2845</f>
        <v>tdbR00000208 Lys-CUU|23</v>
      </c>
      <c r="B2845" s="4" t="s">
        <v>76</v>
      </c>
      <c r="C2845" s="4" t="s">
        <v>440</v>
      </c>
      <c r="D2845" s="4" t="n">
        <v>23</v>
      </c>
      <c r="E2845" s="8" t="s">
        <v>246</v>
      </c>
      <c r="F2845" s="7" t="s">
        <v>425</v>
      </c>
    </row>
    <row r="2846" customFormat="false" ht="15" hidden="false" customHeight="false" outlineLevel="0" collapsed="false">
      <c r="A2846" s="4" t="str">
        <f aca="false">B2846&amp;"|"&amp;C2846</f>
        <v>tdbR00000208 Lys-CUU|24</v>
      </c>
      <c r="B2846" s="4" t="s">
        <v>76</v>
      </c>
      <c r="C2846" s="4" t="s">
        <v>441</v>
      </c>
      <c r="D2846" s="4" t="n">
        <v>24</v>
      </c>
      <c r="E2846" s="8" t="s">
        <v>197</v>
      </c>
      <c r="F2846" s="7" t="s">
        <v>425</v>
      </c>
    </row>
    <row r="2847" customFormat="false" ht="15" hidden="false" customHeight="false" outlineLevel="0" collapsed="false">
      <c r="A2847" s="4" t="str">
        <f aca="false">B2847&amp;"|"&amp;C2847</f>
        <v>tdbR00000208 Lys-CUU|25</v>
      </c>
      <c r="B2847" s="4" t="s">
        <v>76</v>
      </c>
      <c r="C2847" s="4" t="s">
        <v>442</v>
      </c>
      <c r="D2847" s="4" t="n">
        <v>25</v>
      </c>
      <c r="E2847" s="8" t="s">
        <v>414</v>
      </c>
      <c r="F2847" s="7" t="s">
        <v>425</v>
      </c>
    </row>
    <row r="2848" customFormat="false" ht="15" hidden="false" customHeight="false" outlineLevel="0" collapsed="false">
      <c r="A2848" s="4" t="str">
        <f aca="false">B2848&amp;"|"&amp;C2848</f>
        <v>tdbR00000208 Lys-CUU|26</v>
      </c>
      <c r="B2848" s="4" t="s">
        <v>76</v>
      </c>
      <c r="C2848" s="4" t="s">
        <v>443</v>
      </c>
      <c r="D2848" s="4" t="n">
        <v>26</v>
      </c>
      <c r="E2848" s="3" t="s">
        <v>246</v>
      </c>
      <c r="F2848" s="4" t="s">
        <v>444</v>
      </c>
    </row>
    <row r="2849" customFormat="false" ht="15" hidden="false" customHeight="false" outlineLevel="0" collapsed="false">
      <c r="A2849" s="4" t="str">
        <f aca="false">B2849&amp;"|"&amp;C2849</f>
        <v>tdbR00000208 Lys-CUU|27</v>
      </c>
      <c r="B2849" s="4" t="s">
        <v>76</v>
      </c>
      <c r="C2849" s="4" t="s">
        <v>445</v>
      </c>
      <c r="D2849" s="4" t="n">
        <v>27</v>
      </c>
      <c r="E2849" s="21" t="s">
        <v>259</v>
      </c>
      <c r="F2849" s="22" t="s">
        <v>446</v>
      </c>
    </row>
    <row r="2850" customFormat="false" ht="15" hidden="false" customHeight="false" outlineLevel="0" collapsed="false">
      <c r="A2850" s="4" t="str">
        <f aca="false">B2850&amp;"|"&amp;C2850</f>
        <v>tdbR00000208 Lys-CUU|28</v>
      </c>
      <c r="B2850" s="4" t="s">
        <v>76</v>
      </c>
      <c r="C2850" s="4" t="s">
        <v>447</v>
      </c>
      <c r="D2850" s="4" t="n">
        <v>28</v>
      </c>
      <c r="E2850" s="21" t="s">
        <v>197</v>
      </c>
      <c r="F2850" s="22" t="s">
        <v>446</v>
      </c>
    </row>
    <row r="2851" customFormat="false" ht="15" hidden="false" customHeight="false" outlineLevel="0" collapsed="false">
      <c r="A2851" s="4" t="str">
        <f aca="false">B2851&amp;"|"&amp;C2851</f>
        <v>tdbR00000208 Lys-CUU|29</v>
      </c>
      <c r="B2851" s="4" t="s">
        <v>76</v>
      </c>
      <c r="C2851" s="4" t="s">
        <v>448</v>
      </c>
      <c r="D2851" s="4" t="n">
        <v>29</v>
      </c>
      <c r="E2851" s="21" t="s">
        <v>197</v>
      </c>
      <c r="F2851" s="22" t="s">
        <v>446</v>
      </c>
    </row>
    <row r="2852" customFormat="false" ht="15" hidden="false" customHeight="false" outlineLevel="0" collapsed="false">
      <c r="A2852" s="4" t="str">
        <f aca="false">B2852&amp;"|"&amp;C2852</f>
        <v>tdbR00000208 Lys-CUU|30</v>
      </c>
      <c r="B2852" s="4" t="s">
        <v>76</v>
      </c>
      <c r="C2852" s="4" t="s">
        <v>449</v>
      </c>
      <c r="D2852" s="4" t="n">
        <v>30</v>
      </c>
      <c r="E2852" s="21" t="s">
        <v>197</v>
      </c>
      <c r="F2852" s="22" t="s">
        <v>446</v>
      </c>
    </row>
    <row r="2853" customFormat="false" ht="15" hidden="false" customHeight="false" outlineLevel="0" collapsed="false">
      <c r="A2853" s="4" t="str">
        <f aca="false">B2853&amp;"|"&amp;C2853</f>
        <v>tdbR00000208 Lys-CUU|31</v>
      </c>
      <c r="B2853" s="4" t="s">
        <v>76</v>
      </c>
      <c r="C2853" s="4" t="s">
        <v>450</v>
      </c>
      <c r="D2853" s="4" t="n">
        <v>31</v>
      </c>
      <c r="E2853" s="21" t="s">
        <v>246</v>
      </c>
      <c r="F2853" s="22" t="s">
        <v>446</v>
      </c>
    </row>
    <row r="2854" customFormat="false" ht="15" hidden="false" customHeight="false" outlineLevel="0" collapsed="false">
      <c r="A2854" s="4" t="str">
        <f aca="false">B2854&amp;"|"&amp;C2854</f>
        <v>tdbR00000208 Lys-CUU|32</v>
      </c>
      <c r="B2854" s="4" t="s">
        <v>76</v>
      </c>
      <c r="C2854" s="4" t="s">
        <v>451</v>
      </c>
      <c r="D2854" s="4" t="n">
        <v>32</v>
      </c>
      <c r="E2854" s="19" t="s">
        <v>414</v>
      </c>
      <c r="F2854" s="20" t="s">
        <v>452</v>
      </c>
    </row>
    <row r="2855" customFormat="false" ht="15" hidden="false" customHeight="false" outlineLevel="0" collapsed="false">
      <c r="A2855" s="4" t="str">
        <f aca="false">B2855&amp;"|"&amp;C2855</f>
        <v>tdbR00000208 Lys-CUU|33</v>
      </c>
      <c r="B2855" s="4" t="s">
        <v>76</v>
      </c>
      <c r="C2855" s="4" t="s">
        <v>453</v>
      </c>
      <c r="D2855" s="4" t="n">
        <v>33</v>
      </c>
      <c r="E2855" s="19" t="s">
        <v>259</v>
      </c>
      <c r="F2855" s="20" t="s">
        <v>452</v>
      </c>
    </row>
    <row r="2856" customFormat="false" ht="15" hidden="false" customHeight="false" outlineLevel="0" collapsed="false">
      <c r="A2856" s="4" t="str">
        <f aca="false">B2856&amp;"|"&amp;C2856</f>
        <v>tdbR00000208 Lys-CUU|34</v>
      </c>
      <c r="B2856" s="4" t="s">
        <v>76</v>
      </c>
      <c r="C2856" s="4" t="s">
        <v>454</v>
      </c>
      <c r="D2856" s="4" t="n">
        <v>34</v>
      </c>
      <c r="E2856" s="19" t="s">
        <v>414</v>
      </c>
      <c r="F2856" s="20" t="s">
        <v>452</v>
      </c>
    </row>
    <row r="2857" customFormat="false" ht="15" hidden="false" customHeight="false" outlineLevel="0" collapsed="false">
      <c r="A2857" s="4" t="str">
        <f aca="false">B2857&amp;"|"&amp;C2857</f>
        <v>tdbR00000208 Lys-CUU|35</v>
      </c>
      <c r="B2857" s="4" t="s">
        <v>76</v>
      </c>
      <c r="C2857" s="4" t="s">
        <v>455</v>
      </c>
      <c r="D2857" s="4" t="n">
        <v>35</v>
      </c>
      <c r="E2857" s="19" t="s">
        <v>259</v>
      </c>
      <c r="F2857" s="20" t="s">
        <v>452</v>
      </c>
    </row>
    <row r="2858" customFormat="false" ht="15" hidden="false" customHeight="false" outlineLevel="0" collapsed="false">
      <c r="A2858" s="4" t="str">
        <f aca="false">B2858&amp;"|"&amp;C2858</f>
        <v>tdbR00000208 Lys-CUU|36</v>
      </c>
      <c r="B2858" s="4" t="s">
        <v>76</v>
      </c>
      <c r="C2858" s="4" t="s">
        <v>456</v>
      </c>
      <c r="D2858" s="4" t="n">
        <v>36</v>
      </c>
      <c r="E2858" s="19" t="s">
        <v>259</v>
      </c>
      <c r="F2858" s="20" t="s">
        <v>452</v>
      </c>
    </row>
    <row r="2859" customFormat="false" ht="15" hidden="false" customHeight="false" outlineLevel="0" collapsed="false">
      <c r="A2859" s="4" t="str">
        <f aca="false">B2859&amp;"|"&amp;C2859</f>
        <v>tdbR00000208 Lys-CUU|37</v>
      </c>
      <c r="B2859" s="4" t="s">
        <v>76</v>
      </c>
      <c r="C2859" s="4" t="s">
        <v>457</v>
      </c>
      <c r="D2859" s="4" t="n">
        <v>37</v>
      </c>
      <c r="E2859" s="19" t="s">
        <v>246</v>
      </c>
      <c r="F2859" s="20" t="s">
        <v>452</v>
      </c>
    </row>
    <row r="2860" customFormat="false" ht="15" hidden="false" customHeight="false" outlineLevel="0" collapsed="false">
      <c r="A2860" s="4" t="str">
        <f aca="false">B2860&amp;"|"&amp;C2860</f>
        <v>tdbR00000208 Lys-CUU|38</v>
      </c>
      <c r="B2860" s="4" t="s">
        <v>76</v>
      </c>
      <c r="C2860" s="4" t="s">
        <v>458</v>
      </c>
      <c r="D2860" s="4" t="n">
        <v>38</v>
      </c>
      <c r="E2860" s="19" t="s">
        <v>246</v>
      </c>
      <c r="F2860" s="20" t="s">
        <v>452</v>
      </c>
    </row>
    <row r="2861" customFormat="false" ht="15" hidden="false" customHeight="false" outlineLevel="0" collapsed="false">
      <c r="A2861" s="4" t="str">
        <f aca="false">B2861&amp;"|"&amp;C2861</f>
        <v>tdbR00000208 Lys-CUU|39</v>
      </c>
      <c r="B2861" s="4" t="s">
        <v>76</v>
      </c>
      <c r="C2861" s="4" t="s">
        <v>459</v>
      </c>
      <c r="D2861" s="4" t="n">
        <v>39</v>
      </c>
      <c r="E2861" s="21" t="s">
        <v>259</v>
      </c>
      <c r="F2861" s="22" t="s">
        <v>446</v>
      </c>
    </row>
    <row r="2862" customFormat="false" ht="15" hidden="false" customHeight="false" outlineLevel="0" collapsed="false">
      <c r="A2862" s="4" t="str">
        <f aca="false">B2862&amp;"|"&amp;C2862</f>
        <v>tdbR00000208 Lys-CUU|40</v>
      </c>
      <c r="B2862" s="4" t="s">
        <v>76</v>
      </c>
      <c r="C2862" s="4" t="s">
        <v>460</v>
      </c>
      <c r="D2862" s="4" t="n">
        <v>40</v>
      </c>
      <c r="E2862" s="21" t="s">
        <v>414</v>
      </c>
      <c r="F2862" s="22" t="s">
        <v>446</v>
      </c>
    </row>
    <row r="2863" customFormat="false" ht="15" hidden="false" customHeight="false" outlineLevel="0" collapsed="false">
      <c r="A2863" s="4" t="str">
        <f aca="false">B2863&amp;"|"&amp;C2863</f>
        <v>tdbR00000208 Lys-CUU|41</v>
      </c>
      <c r="B2863" s="4" t="s">
        <v>76</v>
      </c>
      <c r="C2863" s="4" t="s">
        <v>461</v>
      </c>
      <c r="D2863" s="4" t="n">
        <v>41</v>
      </c>
      <c r="E2863" s="21" t="s">
        <v>414</v>
      </c>
      <c r="F2863" s="22" t="s">
        <v>446</v>
      </c>
    </row>
    <row r="2864" customFormat="false" ht="15" hidden="false" customHeight="false" outlineLevel="0" collapsed="false">
      <c r="A2864" s="4" t="str">
        <f aca="false">B2864&amp;"|"&amp;C2864</f>
        <v>tdbR00000208 Lys-CUU|42</v>
      </c>
      <c r="B2864" s="4" t="s">
        <v>76</v>
      </c>
      <c r="C2864" s="4" t="s">
        <v>462</v>
      </c>
      <c r="D2864" s="4" t="n">
        <v>42</v>
      </c>
      <c r="E2864" s="21" t="s">
        <v>414</v>
      </c>
      <c r="F2864" s="22" t="s">
        <v>446</v>
      </c>
    </row>
    <row r="2865" customFormat="false" ht="15" hidden="false" customHeight="false" outlineLevel="0" collapsed="false">
      <c r="A2865" s="4" t="str">
        <f aca="false">B2865&amp;"|"&amp;C2865</f>
        <v>tdbR00000208 Lys-CUU|43</v>
      </c>
      <c r="B2865" s="4" t="s">
        <v>76</v>
      </c>
      <c r="C2865" s="4" t="s">
        <v>463</v>
      </c>
      <c r="D2865" s="4" t="n">
        <v>43</v>
      </c>
      <c r="E2865" s="21" t="s">
        <v>246</v>
      </c>
      <c r="F2865" s="22" t="s">
        <v>446</v>
      </c>
    </row>
    <row r="2866" customFormat="false" ht="15" hidden="false" customHeight="false" outlineLevel="0" collapsed="false">
      <c r="A2866" s="4" t="str">
        <f aca="false">B2866&amp;"|"&amp;C2866</f>
        <v>tdbR00000208 Lys-CUU|44</v>
      </c>
      <c r="B2866" s="4" t="s">
        <v>76</v>
      </c>
      <c r="C2866" s="4" t="s">
        <v>464</v>
      </c>
      <c r="D2866" s="4" t="n">
        <v>44</v>
      </c>
      <c r="E2866" s="19" t="s">
        <v>197</v>
      </c>
      <c r="F2866" s="20" t="s">
        <v>465</v>
      </c>
    </row>
    <row r="2867" customFormat="false" ht="15" hidden="false" customHeight="false" outlineLevel="0" collapsed="false">
      <c r="A2867" s="4" t="str">
        <f aca="false">B2867&amp;"|"&amp;C2867</f>
        <v>tdbR00000208 Lys-CUU|45</v>
      </c>
      <c r="B2867" s="4" t="s">
        <v>76</v>
      </c>
      <c r="C2867" s="4" t="s">
        <v>466</v>
      </c>
      <c r="D2867" s="4" t="n">
        <v>45</v>
      </c>
      <c r="E2867" s="19" t="s">
        <v>197</v>
      </c>
      <c r="F2867" s="20" t="s">
        <v>465</v>
      </c>
    </row>
    <row r="2868" customFormat="false" ht="15" hidden="false" customHeight="false" outlineLevel="0" collapsed="false">
      <c r="A2868" s="4" t="str">
        <f aca="false">B2868&amp;"|"&amp;C2868</f>
        <v>tdbR00000208 Lys-CUU|46</v>
      </c>
      <c r="B2868" s="4" t="s">
        <v>76</v>
      </c>
      <c r="C2868" s="4" t="s">
        <v>467</v>
      </c>
      <c r="D2868" s="4" t="n">
        <v>46</v>
      </c>
      <c r="E2868" s="19" t="s">
        <v>197</v>
      </c>
      <c r="F2868" s="20" t="s">
        <v>465</v>
      </c>
    </row>
    <row r="2869" customFormat="false" ht="15" hidden="false" customHeight="false" outlineLevel="0" collapsed="false">
      <c r="A2869" s="4" t="str">
        <f aca="false">B2869&amp;"|"&amp;C2869</f>
        <v>tdbR00000208 Lys-CUU|47</v>
      </c>
      <c r="B2869" s="4" t="s">
        <v>76</v>
      </c>
      <c r="C2869" s="4" t="s">
        <v>468</v>
      </c>
      <c r="D2869" s="4" t="n">
        <v>47</v>
      </c>
      <c r="E2869" s="19" t="s">
        <v>259</v>
      </c>
      <c r="F2869" s="20" t="s">
        <v>465</v>
      </c>
    </row>
    <row r="2870" customFormat="false" ht="15" hidden="false" customHeight="false" outlineLevel="0" collapsed="false">
      <c r="A2870" s="4" t="str">
        <f aca="false">B2870&amp;"|"&amp;C2870</f>
        <v>tdbR00000208 Lys-CUU|48</v>
      </c>
      <c r="B2870" s="4" t="s">
        <v>76</v>
      </c>
      <c r="C2870" s="4" t="s">
        <v>469</v>
      </c>
      <c r="D2870" s="4" t="n">
        <v>48</v>
      </c>
      <c r="E2870" s="19" t="s">
        <v>414</v>
      </c>
      <c r="F2870" s="20" t="s">
        <v>465</v>
      </c>
    </row>
    <row r="2871" customFormat="false" ht="15" hidden="false" customHeight="false" outlineLevel="0" collapsed="false">
      <c r="A2871" s="4" t="str">
        <f aca="false">B2871&amp;"|"&amp;C2871</f>
        <v>tdbR00000208 Lys-CUU|49</v>
      </c>
      <c r="B2871" s="4" t="s">
        <v>76</v>
      </c>
      <c r="C2871" s="4" t="s">
        <v>470</v>
      </c>
      <c r="D2871" s="4" t="n">
        <v>49</v>
      </c>
      <c r="E2871" s="23" t="s">
        <v>197</v>
      </c>
      <c r="F2871" s="10" t="s">
        <v>471</v>
      </c>
    </row>
    <row r="2872" customFormat="false" ht="15" hidden="false" customHeight="false" outlineLevel="0" collapsed="false">
      <c r="A2872" s="4" t="str">
        <f aca="false">B2872&amp;"|"&amp;C2872</f>
        <v>tdbR00000208 Lys-CUU|50</v>
      </c>
      <c r="B2872" s="4" t="s">
        <v>76</v>
      </c>
      <c r="C2872" s="4" t="s">
        <v>472</v>
      </c>
      <c r="D2872" s="4" t="n">
        <v>50</v>
      </c>
      <c r="E2872" s="23" t="s">
        <v>259</v>
      </c>
      <c r="F2872" s="10" t="s">
        <v>471</v>
      </c>
    </row>
    <row r="2873" customFormat="false" ht="15" hidden="false" customHeight="false" outlineLevel="0" collapsed="false">
      <c r="A2873" s="4" t="str">
        <f aca="false">B2873&amp;"|"&amp;C2873</f>
        <v>tdbR00000208 Lys-CUU|51</v>
      </c>
      <c r="B2873" s="4" t="s">
        <v>76</v>
      </c>
      <c r="C2873" s="4" t="s">
        <v>473</v>
      </c>
      <c r="D2873" s="4" t="n">
        <v>51</v>
      </c>
      <c r="E2873" s="23" t="s">
        <v>197</v>
      </c>
      <c r="F2873" s="10" t="s">
        <v>471</v>
      </c>
    </row>
    <row r="2874" customFormat="false" ht="15" hidden="false" customHeight="false" outlineLevel="0" collapsed="false">
      <c r="A2874" s="4" t="str">
        <f aca="false">B2874&amp;"|"&amp;C2874</f>
        <v>tdbR00000208 Lys-CUU|52</v>
      </c>
      <c r="B2874" s="4" t="s">
        <v>76</v>
      </c>
      <c r="C2874" s="4" t="s">
        <v>474</v>
      </c>
      <c r="D2874" s="4" t="n">
        <v>52</v>
      </c>
      <c r="E2874" s="23" t="s">
        <v>197</v>
      </c>
      <c r="F2874" s="10" t="s">
        <v>471</v>
      </c>
    </row>
    <row r="2875" customFormat="false" ht="15" hidden="false" customHeight="false" outlineLevel="0" collapsed="false">
      <c r="A2875" s="4" t="str">
        <f aca="false">B2875&amp;"|"&amp;C2875</f>
        <v>tdbR00000208 Lys-CUU|53</v>
      </c>
      <c r="B2875" s="4" t="s">
        <v>76</v>
      </c>
      <c r="C2875" s="4" t="s">
        <v>475</v>
      </c>
      <c r="D2875" s="4" t="n">
        <v>53</v>
      </c>
      <c r="E2875" s="23" t="s">
        <v>197</v>
      </c>
      <c r="F2875" s="10" t="s">
        <v>471</v>
      </c>
    </row>
    <row r="2876" customFormat="false" ht="15" hidden="false" customHeight="false" outlineLevel="0" collapsed="false">
      <c r="A2876" s="4" t="str">
        <f aca="false">B2876&amp;"|"&amp;C2876</f>
        <v>tdbR00000208 Lys-CUU|54</v>
      </c>
      <c r="B2876" s="4" t="s">
        <v>76</v>
      </c>
      <c r="C2876" s="4" t="s">
        <v>476</v>
      </c>
      <c r="D2876" s="4" t="n">
        <v>54</v>
      </c>
      <c r="E2876" s="19" t="s">
        <v>259</v>
      </c>
      <c r="F2876" s="20" t="s">
        <v>477</v>
      </c>
    </row>
    <row r="2877" customFormat="false" ht="15" hidden="false" customHeight="false" outlineLevel="0" collapsed="false">
      <c r="A2877" s="4" t="str">
        <f aca="false">B2877&amp;"|"&amp;C2877</f>
        <v>tdbR00000208 Lys-CUU|55</v>
      </c>
      <c r="B2877" s="4" t="s">
        <v>76</v>
      </c>
      <c r="C2877" s="4" t="s">
        <v>478</v>
      </c>
      <c r="D2877" s="4" t="n">
        <v>55</v>
      </c>
      <c r="E2877" s="19" t="s">
        <v>259</v>
      </c>
      <c r="F2877" s="20" t="s">
        <v>477</v>
      </c>
    </row>
    <row r="2878" customFormat="false" ht="15" hidden="false" customHeight="false" outlineLevel="0" collapsed="false">
      <c r="A2878" s="4" t="str">
        <f aca="false">B2878&amp;"|"&amp;C2878</f>
        <v>tdbR00000208 Lys-CUU|56</v>
      </c>
      <c r="B2878" s="4" t="s">
        <v>76</v>
      </c>
      <c r="C2878" s="4" t="s">
        <v>479</v>
      </c>
      <c r="D2878" s="4" t="n">
        <v>56</v>
      </c>
      <c r="E2878" s="19" t="s">
        <v>414</v>
      </c>
      <c r="F2878" s="20" t="s">
        <v>477</v>
      </c>
    </row>
    <row r="2879" customFormat="false" ht="15" hidden="false" customHeight="false" outlineLevel="0" collapsed="false">
      <c r="A2879" s="4" t="str">
        <f aca="false">B2879&amp;"|"&amp;C2879</f>
        <v>tdbR00000208 Lys-CUU|57</v>
      </c>
      <c r="B2879" s="4" t="s">
        <v>76</v>
      </c>
      <c r="C2879" s="4" t="s">
        <v>480</v>
      </c>
      <c r="D2879" s="4" t="n">
        <v>57</v>
      </c>
      <c r="E2879" s="19" t="s">
        <v>197</v>
      </c>
      <c r="F2879" s="20" t="s">
        <v>477</v>
      </c>
    </row>
    <row r="2880" customFormat="false" ht="15" hidden="false" customHeight="false" outlineLevel="0" collapsed="false">
      <c r="A2880" s="4" t="str">
        <f aca="false">B2880&amp;"|"&amp;C2880</f>
        <v>tdbR00000208 Lys-CUU|58</v>
      </c>
      <c r="B2880" s="4" t="s">
        <v>76</v>
      </c>
      <c r="C2880" s="4" t="s">
        <v>481</v>
      </c>
      <c r="D2880" s="4" t="n">
        <v>58</v>
      </c>
      <c r="E2880" s="19" t="s">
        <v>246</v>
      </c>
      <c r="F2880" s="20" t="s">
        <v>477</v>
      </c>
    </row>
    <row r="2881" customFormat="false" ht="15" hidden="false" customHeight="false" outlineLevel="0" collapsed="false">
      <c r="A2881" s="4" t="str">
        <f aca="false">B2881&amp;"|"&amp;C2881</f>
        <v>tdbR00000208 Lys-CUU|59</v>
      </c>
      <c r="B2881" s="4" t="s">
        <v>76</v>
      </c>
      <c r="C2881" s="4" t="s">
        <v>482</v>
      </c>
      <c r="D2881" s="4" t="n">
        <v>59</v>
      </c>
      <c r="E2881" s="19" t="s">
        <v>197</v>
      </c>
      <c r="F2881" s="20" t="s">
        <v>477</v>
      </c>
    </row>
    <row r="2882" customFormat="false" ht="15" hidden="false" customHeight="false" outlineLevel="0" collapsed="false">
      <c r="A2882" s="4" t="str">
        <f aca="false">B2882&amp;"|"&amp;C2882</f>
        <v>tdbR00000208 Lys-CUU|60</v>
      </c>
      <c r="B2882" s="4" t="s">
        <v>76</v>
      </c>
      <c r="C2882" s="4" t="s">
        <v>483</v>
      </c>
      <c r="D2882" s="4" t="n">
        <v>60</v>
      </c>
      <c r="E2882" s="19" t="s">
        <v>414</v>
      </c>
      <c r="F2882" s="20" t="s">
        <v>477</v>
      </c>
    </row>
    <row r="2883" customFormat="false" ht="15" hidden="false" customHeight="false" outlineLevel="0" collapsed="false">
      <c r="A2883" s="4" t="str">
        <f aca="false">B2883&amp;"|"&amp;C2883</f>
        <v>tdbR00000208 Lys-CUU|61</v>
      </c>
      <c r="B2883" s="4" t="s">
        <v>76</v>
      </c>
      <c r="C2883" s="4" t="s">
        <v>484</v>
      </c>
      <c r="D2883" s="4" t="n">
        <v>61</v>
      </c>
      <c r="E2883" s="23" t="s">
        <v>414</v>
      </c>
      <c r="F2883" s="10" t="s">
        <v>471</v>
      </c>
    </row>
    <row r="2884" customFormat="false" ht="15" hidden="false" customHeight="false" outlineLevel="0" collapsed="false">
      <c r="A2884" s="4" t="str">
        <f aca="false">B2884&amp;"|"&amp;C2884</f>
        <v>tdbR00000208 Lys-CUU|62</v>
      </c>
      <c r="B2884" s="4" t="s">
        <v>76</v>
      </c>
      <c r="C2884" s="4" t="s">
        <v>485</v>
      </c>
      <c r="D2884" s="4" t="n">
        <v>62</v>
      </c>
      <c r="E2884" s="23" t="s">
        <v>414</v>
      </c>
      <c r="F2884" s="10" t="s">
        <v>471</v>
      </c>
    </row>
    <row r="2885" customFormat="false" ht="15" hidden="false" customHeight="false" outlineLevel="0" collapsed="false">
      <c r="A2885" s="4" t="str">
        <f aca="false">B2885&amp;"|"&amp;C2885</f>
        <v>tdbR00000208 Lys-CUU|63</v>
      </c>
      <c r="B2885" s="4" t="s">
        <v>76</v>
      </c>
      <c r="C2885" s="4" t="s">
        <v>486</v>
      </c>
      <c r="D2885" s="4" t="n">
        <v>63</v>
      </c>
      <c r="E2885" s="23" t="s">
        <v>414</v>
      </c>
      <c r="F2885" s="10" t="s">
        <v>471</v>
      </c>
    </row>
    <row r="2886" customFormat="false" ht="15" hidden="false" customHeight="false" outlineLevel="0" collapsed="false">
      <c r="A2886" s="4" t="str">
        <f aca="false">B2886&amp;"|"&amp;C2886</f>
        <v>tdbR00000208 Lys-CUU|64</v>
      </c>
      <c r="B2886" s="4" t="s">
        <v>76</v>
      </c>
      <c r="C2886" s="4" t="s">
        <v>487</v>
      </c>
      <c r="D2886" s="4" t="n">
        <v>64</v>
      </c>
      <c r="E2886" s="23" t="s">
        <v>246</v>
      </c>
      <c r="F2886" s="10" t="s">
        <v>471</v>
      </c>
    </row>
    <row r="2887" customFormat="false" ht="15" hidden="false" customHeight="false" outlineLevel="0" collapsed="false">
      <c r="A2887" s="4" t="str">
        <f aca="false">B2887&amp;"|"&amp;C2887</f>
        <v>tdbR00000208 Lys-CUU|65</v>
      </c>
      <c r="B2887" s="4" t="s">
        <v>76</v>
      </c>
      <c r="C2887" s="4" t="s">
        <v>488</v>
      </c>
      <c r="D2887" s="4" t="n">
        <v>65</v>
      </c>
      <c r="E2887" s="23" t="s">
        <v>414</v>
      </c>
      <c r="F2887" s="10" t="s">
        <v>471</v>
      </c>
    </row>
    <row r="2888" customFormat="false" ht="15" hidden="false" customHeight="false" outlineLevel="0" collapsed="false">
      <c r="A2888" s="4" t="str">
        <f aca="false">B2888&amp;"|"&amp;C2888</f>
        <v>tdbR00000208 Lys-CUU|66</v>
      </c>
      <c r="B2888" s="4" t="s">
        <v>76</v>
      </c>
      <c r="C2888" s="4" t="s">
        <v>489</v>
      </c>
      <c r="D2888" s="4" t="n">
        <v>66</v>
      </c>
      <c r="E2888" s="17" t="s">
        <v>197</v>
      </c>
      <c r="F2888" s="18" t="s">
        <v>412</v>
      </c>
    </row>
    <row r="2889" customFormat="false" ht="15" hidden="false" customHeight="false" outlineLevel="0" collapsed="false">
      <c r="A2889" s="4" t="str">
        <f aca="false">B2889&amp;"|"&amp;C2889</f>
        <v>tdbR00000208 Lys-CUU|67</v>
      </c>
      <c r="B2889" s="4" t="s">
        <v>76</v>
      </c>
      <c r="C2889" s="4" t="s">
        <v>490</v>
      </c>
      <c r="D2889" s="4" t="n">
        <v>67</v>
      </c>
      <c r="E2889" s="17" t="s">
        <v>259</v>
      </c>
      <c r="F2889" s="18" t="s">
        <v>412</v>
      </c>
    </row>
    <row r="2890" customFormat="false" ht="15" hidden="false" customHeight="false" outlineLevel="0" collapsed="false">
      <c r="A2890" s="4" t="str">
        <f aca="false">B2890&amp;"|"&amp;C2890</f>
        <v>tdbR00000208 Lys-CUU|68</v>
      </c>
      <c r="B2890" s="4" t="s">
        <v>76</v>
      </c>
      <c r="C2890" s="4" t="s">
        <v>491</v>
      </c>
      <c r="D2890" s="4" t="n">
        <v>68</v>
      </c>
      <c r="E2890" s="17" t="s">
        <v>259</v>
      </c>
      <c r="F2890" s="18" t="s">
        <v>412</v>
      </c>
    </row>
    <row r="2891" customFormat="false" ht="15" hidden="false" customHeight="false" outlineLevel="0" collapsed="false">
      <c r="A2891" s="4" t="str">
        <f aca="false">B2891&amp;"|"&amp;C2891</f>
        <v>tdbR00000208 Lys-CUU|69</v>
      </c>
      <c r="B2891" s="4" t="s">
        <v>76</v>
      </c>
      <c r="C2891" s="4" t="s">
        <v>492</v>
      </c>
      <c r="D2891" s="4" t="n">
        <v>69</v>
      </c>
      <c r="E2891" s="17" t="s">
        <v>197</v>
      </c>
      <c r="F2891" s="18" t="s">
        <v>412</v>
      </c>
    </row>
    <row r="2892" customFormat="false" ht="15" hidden="false" customHeight="false" outlineLevel="0" collapsed="false">
      <c r="A2892" s="4" t="str">
        <f aca="false">B2892&amp;"|"&amp;C2892</f>
        <v>tdbR00000208 Lys-CUU|70</v>
      </c>
      <c r="B2892" s="4" t="s">
        <v>76</v>
      </c>
      <c r="C2892" s="4" t="s">
        <v>493</v>
      </c>
      <c r="D2892" s="4" t="n">
        <v>70</v>
      </c>
      <c r="E2892" s="17" t="s">
        <v>197</v>
      </c>
      <c r="F2892" s="18" t="s">
        <v>412</v>
      </c>
    </row>
    <row r="2893" customFormat="false" ht="15" hidden="false" customHeight="false" outlineLevel="0" collapsed="false">
      <c r="A2893" s="4" t="str">
        <f aca="false">B2893&amp;"|"&amp;C2893</f>
        <v>tdbR00000208 Lys-CUU|71</v>
      </c>
      <c r="B2893" s="4" t="s">
        <v>76</v>
      </c>
      <c r="C2893" s="4" t="s">
        <v>494</v>
      </c>
      <c r="D2893" s="4" t="n">
        <v>71</v>
      </c>
      <c r="E2893" s="17" t="s">
        <v>197</v>
      </c>
      <c r="F2893" s="18" t="s">
        <v>412</v>
      </c>
    </row>
    <row r="2894" customFormat="false" ht="15" hidden="false" customHeight="false" outlineLevel="0" collapsed="false">
      <c r="A2894" s="4" t="str">
        <f aca="false">B2894&amp;"|"&amp;C2894</f>
        <v>tdbR00000208 Lys-CUU|72</v>
      </c>
      <c r="B2894" s="4" t="s">
        <v>76</v>
      </c>
      <c r="C2894" s="4" t="s">
        <v>495</v>
      </c>
      <c r="D2894" s="4" t="n">
        <v>72</v>
      </c>
      <c r="E2894" s="17" t="s">
        <v>414</v>
      </c>
      <c r="F2894" s="18" t="s">
        <v>412</v>
      </c>
    </row>
    <row r="2895" customFormat="false" ht="15" hidden="false" customHeight="false" outlineLevel="0" collapsed="false">
      <c r="A2895" s="4" t="str">
        <f aca="false">B2895&amp;"|"&amp;C2895</f>
        <v>tdbR00000100 Phe-GAA|1</v>
      </c>
      <c r="B2895" s="4" t="s">
        <v>77</v>
      </c>
      <c r="C2895" s="4" t="s">
        <v>411</v>
      </c>
      <c r="D2895" s="4" t="n">
        <v>1</v>
      </c>
      <c r="E2895" s="17" t="s">
        <v>197</v>
      </c>
      <c r="F2895" s="18" t="s">
        <v>412</v>
      </c>
    </row>
    <row r="2896" customFormat="false" ht="15" hidden="false" customHeight="false" outlineLevel="0" collapsed="false">
      <c r="A2896" s="4" t="str">
        <f aca="false">B2896&amp;"|"&amp;C2896</f>
        <v>tdbR00000100 Phe-GAA|2</v>
      </c>
      <c r="B2896" s="4" t="s">
        <v>77</v>
      </c>
      <c r="C2896" s="4" t="s">
        <v>413</v>
      </c>
      <c r="D2896" s="4" t="n">
        <v>2</v>
      </c>
      <c r="E2896" s="17" t="s">
        <v>414</v>
      </c>
      <c r="F2896" s="18" t="s">
        <v>412</v>
      </c>
    </row>
    <row r="2897" customFormat="false" ht="15" hidden="false" customHeight="false" outlineLevel="0" collapsed="false">
      <c r="A2897" s="4" t="str">
        <f aca="false">B2897&amp;"|"&amp;C2897</f>
        <v>tdbR00000100 Phe-GAA|3</v>
      </c>
      <c r="B2897" s="4" t="s">
        <v>77</v>
      </c>
      <c r="C2897" s="4" t="s">
        <v>415</v>
      </c>
      <c r="D2897" s="4" t="n">
        <v>3</v>
      </c>
      <c r="E2897" s="17" t="s">
        <v>414</v>
      </c>
      <c r="F2897" s="18" t="s">
        <v>412</v>
      </c>
    </row>
    <row r="2898" customFormat="false" ht="15" hidden="false" customHeight="false" outlineLevel="0" collapsed="false">
      <c r="A2898" s="4" t="str">
        <f aca="false">B2898&amp;"|"&amp;C2898</f>
        <v>tdbR00000100 Phe-GAA|4</v>
      </c>
      <c r="B2898" s="4" t="s">
        <v>77</v>
      </c>
      <c r="C2898" s="4" t="s">
        <v>416</v>
      </c>
      <c r="D2898" s="4" t="n">
        <v>4</v>
      </c>
      <c r="E2898" s="17" t="s">
        <v>197</v>
      </c>
      <c r="F2898" s="18" t="s">
        <v>412</v>
      </c>
    </row>
    <row r="2899" customFormat="false" ht="15" hidden="false" customHeight="false" outlineLevel="0" collapsed="false">
      <c r="A2899" s="4" t="str">
        <f aca="false">B2899&amp;"|"&amp;C2899</f>
        <v>tdbR00000100 Phe-GAA|5</v>
      </c>
      <c r="B2899" s="4" t="s">
        <v>77</v>
      </c>
      <c r="C2899" s="4" t="s">
        <v>417</v>
      </c>
      <c r="D2899" s="4" t="n">
        <v>5</v>
      </c>
      <c r="E2899" s="17" t="s">
        <v>246</v>
      </c>
      <c r="F2899" s="18" t="s">
        <v>412</v>
      </c>
    </row>
    <row r="2900" customFormat="false" ht="15" hidden="false" customHeight="false" outlineLevel="0" collapsed="false">
      <c r="A2900" s="4" t="str">
        <f aca="false">B2900&amp;"|"&amp;C2900</f>
        <v>tdbR00000100 Phe-GAA|6</v>
      </c>
      <c r="B2900" s="4" t="s">
        <v>77</v>
      </c>
      <c r="C2900" s="4" t="s">
        <v>418</v>
      </c>
      <c r="D2900" s="4" t="n">
        <v>6</v>
      </c>
      <c r="E2900" s="17" t="s">
        <v>246</v>
      </c>
      <c r="F2900" s="18" t="s">
        <v>412</v>
      </c>
    </row>
    <row r="2901" customFormat="false" ht="15" hidden="false" customHeight="false" outlineLevel="0" collapsed="false">
      <c r="A2901" s="4" t="str">
        <f aca="false">B2901&amp;"|"&amp;C2901</f>
        <v>tdbR00000100 Phe-GAA|7</v>
      </c>
      <c r="B2901" s="4" t="s">
        <v>77</v>
      </c>
      <c r="C2901" s="4" t="s">
        <v>419</v>
      </c>
      <c r="D2901" s="4" t="n">
        <v>7</v>
      </c>
      <c r="E2901" s="17" t="s">
        <v>246</v>
      </c>
      <c r="F2901" s="18" t="s">
        <v>412</v>
      </c>
    </row>
    <row r="2902" customFormat="false" ht="15" hidden="false" customHeight="false" outlineLevel="0" collapsed="false">
      <c r="A2902" s="4" t="str">
        <f aca="false">B2902&amp;"|"&amp;C2902</f>
        <v>tdbR00000100 Phe-GAA|8</v>
      </c>
      <c r="B2902" s="4" t="s">
        <v>77</v>
      </c>
      <c r="C2902" s="4" t="s">
        <v>420</v>
      </c>
      <c r="D2902" s="4" t="n">
        <v>8</v>
      </c>
      <c r="E2902" s="3" t="s">
        <v>259</v>
      </c>
      <c r="F2902" s="4" t="s">
        <v>421</v>
      </c>
    </row>
    <row r="2903" customFormat="false" ht="15" hidden="false" customHeight="false" outlineLevel="0" collapsed="false">
      <c r="A2903" s="4" t="str">
        <f aca="false">B2903&amp;"|"&amp;C2903</f>
        <v>tdbR00000100 Phe-GAA|9</v>
      </c>
      <c r="B2903" s="4" t="s">
        <v>77</v>
      </c>
      <c r="C2903" s="4" t="s">
        <v>422</v>
      </c>
      <c r="D2903" s="4" t="n">
        <v>9</v>
      </c>
      <c r="E2903" s="3" t="s">
        <v>246</v>
      </c>
      <c r="F2903" s="4" t="s">
        <v>423</v>
      </c>
    </row>
    <row r="2904" customFormat="false" ht="15" hidden="false" customHeight="false" outlineLevel="0" collapsed="false">
      <c r="A2904" s="4" t="str">
        <f aca="false">B2904&amp;"|"&amp;C2904</f>
        <v>tdbR00000100 Phe-GAA|10</v>
      </c>
      <c r="B2904" s="4" t="s">
        <v>77</v>
      </c>
      <c r="C2904" s="4" t="s">
        <v>424</v>
      </c>
      <c r="D2904" s="4" t="n">
        <v>10</v>
      </c>
      <c r="E2904" s="8" t="s">
        <v>197</v>
      </c>
      <c r="F2904" s="7" t="s">
        <v>425</v>
      </c>
    </row>
    <row r="2905" customFormat="false" ht="15" hidden="false" customHeight="false" outlineLevel="0" collapsed="false">
      <c r="A2905" s="4" t="str">
        <f aca="false">B2905&amp;"|"&amp;C2905</f>
        <v>tdbR00000100 Phe-GAA|11</v>
      </c>
      <c r="B2905" s="4" t="s">
        <v>77</v>
      </c>
      <c r="C2905" s="4" t="s">
        <v>426</v>
      </c>
      <c r="D2905" s="4" t="n">
        <v>11</v>
      </c>
      <c r="E2905" s="8" t="s">
        <v>414</v>
      </c>
      <c r="F2905" s="7" t="s">
        <v>425</v>
      </c>
    </row>
    <row r="2906" customFormat="false" ht="15" hidden="false" customHeight="false" outlineLevel="0" collapsed="false">
      <c r="A2906" s="4" t="str">
        <f aca="false">B2906&amp;"|"&amp;C2906</f>
        <v>tdbR00000100 Phe-GAA|12</v>
      </c>
      <c r="B2906" s="4" t="s">
        <v>77</v>
      </c>
      <c r="C2906" s="4" t="s">
        <v>427</v>
      </c>
      <c r="D2906" s="4" t="n">
        <v>12</v>
      </c>
      <c r="E2906" s="8" t="s">
        <v>259</v>
      </c>
      <c r="F2906" s="7" t="s">
        <v>425</v>
      </c>
    </row>
    <row r="2907" customFormat="false" ht="15" hidden="false" customHeight="false" outlineLevel="0" collapsed="false">
      <c r="A2907" s="4" t="str">
        <f aca="false">B2907&amp;"|"&amp;C2907</f>
        <v>tdbR00000100 Phe-GAA|13</v>
      </c>
      <c r="B2907" s="4" t="s">
        <v>77</v>
      </c>
      <c r="C2907" s="4" t="s">
        <v>428</v>
      </c>
      <c r="D2907" s="4" t="n">
        <v>13</v>
      </c>
      <c r="E2907" s="8" t="s">
        <v>414</v>
      </c>
      <c r="F2907" s="7" t="s">
        <v>425</v>
      </c>
    </row>
    <row r="2908" customFormat="false" ht="15" hidden="false" customHeight="false" outlineLevel="0" collapsed="false">
      <c r="A2908" s="4" t="str">
        <f aca="false">B2908&amp;"|"&amp;C2908</f>
        <v>tdbR00000100 Phe-GAA|14</v>
      </c>
      <c r="B2908" s="4" t="s">
        <v>77</v>
      </c>
      <c r="C2908" s="4" t="s">
        <v>429</v>
      </c>
      <c r="D2908" s="4" t="n">
        <v>14</v>
      </c>
      <c r="E2908" s="19" t="s">
        <v>246</v>
      </c>
      <c r="F2908" s="20" t="s">
        <v>430</v>
      </c>
    </row>
    <row r="2909" customFormat="false" ht="15" hidden="false" customHeight="false" outlineLevel="0" collapsed="false">
      <c r="A2909" s="4" t="str">
        <f aca="false">B2909&amp;"|"&amp;C2909</f>
        <v>tdbR00000100 Phe-GAA|15</v>
      </c>
      <c r="B2909" s="4" t="s">
        <v>77</v>
      </c>
      <c r="C2909" s="4" t="s">
        <v>431</v>
      </c>
      <c r="D2909" s="4" t="n">
        <v>15</v>
      </c>
      <c r="E2909" s="19" t="s">
        <v>197</v>
      </c>
      <c r="F2909" s="20" t="s">
        <v>430</v>
      </c>
    </row>
    <row r="2910" customFormat="false" ht="15" hidden="false" customHeight="false" outlineLevel="0" collapsed="false">
      <c r="A2910" s="4" t="str">
        <f aca="false">B2910&amp;"|"&amp;C2910</f>
        <v>tdbR00000100 Phe-GAA|16</v>
      </c>
      <c r="B2910" s="4" t="s">
        <v>77</v>
      </c>
      <c r="C2910" s="4" t="s">
        <v>432</v>
      </c>
      <c r="D2910" s="4" t="n">
        <v>16</v>
      </c>
      <c r="E2910" s="19" t="s">
        <v>259</v>
      </c>
      <c r="F2910" s="20" t="s">
        <v>430</v>
      </c>
    </row>
    <row r="2911" customFormat="false" ht="15" hidden="false" customHeight="false" outlineLevel="0" collapsed="false">
      <c r="A2911" s="4" t="str">
        <f aca="false">B2911&amp;"|"&amp;C2911</f>
        <v>tdbR00000100 Phe-GAA|17</v>
      </c>
      <c r="B2911" s="4" t="s">
        <v>77</v>
      </c>
      <c r="C2911" s="4" t="s">
        <v>433</v>
      </c>
      <c r="D2911" s="4" t="n">
        <v>17</v>
      </c>
      <c r="E2911" s="19" t="s">
        <v>259</v>
      </c>
      <c r="F2911" s="20" t="s">
        <v>430</v>
      </c>
    </row>
    <row r="2912" customFormat="false" ht="15" hidden="false" customHeight="false" outlineLevel="0" collapsed="false">
      <c r="A2912" s="4" t="str">
        <f aca="false">B2912&amp;"|"&amp;C2912</f>
        <v>tdbR00000100 Phe-GAA|18</v>
      </c>
      <c r="B2912" s="4" t="s">
        <v>77</v>
      </c>
      <c r="C2912" s="4" t="s">
        <v>434</v>
      </c>
      <c r="D2912" s="4" t="n">
        <v>18</v>
      </c>
      <c r="E2912" s="19" t="s">
        <v>197</v>
      </c>
      <c r="F2912" s="20" t="s">
        <v>430</v>
      </c>
    </row>
    <row r="2913" customFormat="false" ht="15" hidden="false" customHeight="false" outlineLevel="0" collapsed="false">
      <c r="A2913" s="4" t="str">
        <f aca="false">B2913&amp;"|"&amp;C2913</f>
        <v>tdbR00000100 Phe-GAA|19</v>
      </c>
      <c r="B2913" s="4" t="s">
        <v>77</v>
      </c>
      <c r="C2913" s="4" t="s">
        <v>435</v>
      </c>
      <c r="D2913" s="4" t="n">
        <v>19</v>
      </c>
      <c r="E2913" s="19" t="s">
        <v>197</v>
      </c>
      <c r="F2913" s="20" t="s">
        <v>430</v>
      </c>
    </row>
    <row r="2914" customFormat="false" ht="15" hidden="false" customHeight="false" outlineLevel="0" collapsed="false">
      <c r="A2914" s="4" t="str">
        <f aca="false">B2914&amp;"|"&amp;C2914</f>
        <v>tdbR00000100 Phe-GAA|20</v>
      </c>
      <c r="B2914" s="4" t="s">
        <v>77</v>
      </c>
      <c r="C2914" s="4" t="s">
        <v>436</v>
      </c>
      <c r="D2914" s="4" t="n">
        <v>20</v>
      </c>
      <c r="E2914" s="19" t="s">
        <v>197</v>
      </c>
      <c r="F2914" s="20" t="s">
        <v>430</v>
      </c>
    </row>
    <row r="2915" customFormat="false" ht="15" hidden="false" customHeight="false" outlineLevel="0" collapsed="false">
      <c r="A2915" s="4" t="str">
        <f aca="false">B2915&amp;"|"&amp;C2915</f>
        <v>tdbR00000100 Phe-GAA|21</v>
      </c>
      <c r="B2915" s="4" t="s">
        <v>77</v>
      </c>
      <c r="C2915" s="4" t="s">
        <v>438</v>
      </c>
      <c r="D2915" s="4" t="n">
        <v>21</v>
      </c>
      <c r="E2915" s="19" t="s">
        <v>246</v>
      </c>
      <c r="F2915" s="20" t="s">
        <v>430</v>
      </c>
    </row>
    <row r="2916" customFormat="false" ht="15" hidden="false" customHeight="false" outlineLevel="0" collapsed="false">
      <c r="A2916" s="4" t="str">
        <f aca="false">B2916&amp;"|"&amp;C2916</f>
        <v>tdbR00000100 Phe-GAA|22</v>
      </c>
      <c r="B2916" s="4" t="s">
        <v>77</v>
      </c>
      <c r="C2916" s="4" t="s">
        <v>439</v>
      </c>
      <c r="D2916" s="4" t="n">
        <v>22</v>
      </c>
      <c r="E2916" s="8" t="s">
        <v>197</v>
      </c>
      <c r="F2916" s="7" t="s">
        <v>425</v>
      </c>
    </row>
    <row r="2917" customFormat="false" ht="15" hidden="false" customHeight="false" outlineLevel="0" collapsed="false">
      <c r="A2917" s="4" t="str">
        <f aca="false">B2917&amp;"|"&amp;C2917</f>
        <v>tdbR00000100 Phe-GAA|23</v>
      </c>
      <c r="B2917" s="4" t="s">
        <v>77</v>
      </c>
      <c r="C2917" s="4" t="s">
        <v>440</v>
      </c>
      <c r="D2917" s="4" t="n">
        <v>23</v>
      </c>
      <c r="E2917" s="8" t="s">
        <v>246</v>
      </c>
      <c r="F2917" s="7" t="s">
        <v>425</v>
      </c>
    </row>
    <row r="2918" customFormat="false" ht="15" hidden="false" customHeight="false" outlineLevel="0" collapsed="false">
      <c r="A2918" s="4" t="str">
        <f aca="false">B2918&amp;"|"&amp;C2918</f>
        <v>tdbR00000100 Phe-GAA|24</v>
      </c>
      <c r="B2918" s="4" t="s">
        <v>77</v>
      </c>
      <c r="C2918" s="4" t="s">
        <v>441</v>
      </c>
      <c r="D2918" s="4" t="n">
        <v>24</v>
      </c>
      <c r="E2918" s="8" t="s">
        <v>197</v>
      </c>
      <c r="F2918" s="7" t="s">
        <v>425</v>
      </c>
    </row>
    <row r="2919" customFormat="false" ht="15" hidden="false" customHeight="false" outlineLevel="0" collapsed="false">
      <c r="A2919" s="4" t="str">
        <f aca="false">B2919&amp;"|"&amp;C2919</f>
        <v>tdbR00000100 Phe-GAA|25</v>
      </c>
      <c r="B2919" s="4" t="s">
        <v>77</v>
      </c>
      <c r="C2919" s="4" t="s">
        <v>442</v>
      </c>
      <c r="D2919" s="4" t="n">
        <v>25</v>
      </c>
      <c r="E2919" s="8" t="s">
        <v>414</v>
      </c>
      <c r="F2919" s="7" t="s">
        <v>425</v>
      </c>
    </row>
    <row r="2920" customFormat="false" ht="15" hidden="false" customHeight="false" outlineLevel="0" collapsed="false">
      <c r="A2920" s="4" t="str">
        <f aca="false">B2920&amp;"|"&amp;C2920</f>
        <v>tdbR00000100 Phe-GAA|26</v>
      </c>
      <c r="B2920" s="4" t="s">
        <v>77</v>
      </c>
      <c r="C2920" s="4" t="s">
        <v>443</v>
      </c>
      <c r="D2920" s="4" t="n">
        <v>26</v>
      </c>
      <c r="E2920" s="3" t="s">
        <v>197</v>
      </c>
      <c r="F2920" s="4" t="s">
        <v>444</v>
      </c>
    </row>
    <row r="2921" customFormat="false" ht="15" hidden="false" customHeight="false" outlineLevel="0" collapsed="false">
      <c r="A2921" s="4" t="str">
        <f aca="false">B2921&amp;"|"&amp;C2921</f>
        <v>tdbR00000100 Phe-GAA|27</v>
      </c>
      <c r="B2921" s="4" t="s">
        <v>77</v>
      </c>
      <c r="C2921" s="4" t="s">
        <v>445</v>
      </c>
      <c r="D2921" s="4" t="n">
        <v>27</v>
      </c>
      <c r="E2921" s="21" t="s">
        <v>259</v>
      </c>
      <c r="F2921" s="22" t="s">
        <v>446</v>
      </c>
    </row>
    <row r="2922" customFormat="false" ht="15" hidden="false" customHeight="false" outlineLevel="0" collapsed="false">
      <c r="A2922" s="4" t="str">
        <f aca="false">B2922&amp;"|"&amp;C2922</f>
        <v>tdbR00000100 Phe-GAA|28</v>
      </c>
      <c r="B2922" s="4" t="s">
        <v>77</v>
      </c>
      <c r="C2922" s="4" t="s">
        <v>447</v>
      </c>
      <c r="D2922" s="4" t="n">
        <v>28</v>
      </c>
      <c r="E2922" s="21" t="s">
        <v>259</v>
      </c>
      <c r="F2922" s="22" t="s">
        <v>446</v>
      </c>
    </row>
    <row r="2923" customFormat="false" ht="15" hidden="false" customHeight="false" outlineLevel="0" collapsed="false">
      <c r="A2923" s="4" t="str">
        <f aca="false">B2923&amp;"|"&amp;C2923</f>
        <v>tdbR00000100 Phe-GAA|29</v>
      </c>
      <c r="B2923" s="4" t="s">
        <v>77</v>
      </c>
      <c r="C2923" s="4" t="s">
        <v>448</v>
      </c>
      <c r="D2923" s="4" t="n">
        <v>29</v>
      </c>
      <c r="E2923" s="21" t="s">
        <v>246</v>
      </c>
      <c r="F2923" s="22" t="s">
        <v>446</v>
      </c>
    </row>
    <row r="2924" customFormat="false" ht="15" hidden="false" customHeight="false" outlineLevel="0" collapsed="false">
      <c r="A2924" s="4" t="str">
        <f aca="false">B2924&amp;"|"&amp;C2924</f>
        <v>tdbR00000100 Phe-GAA|30</v>
      </c>
      <c r="B2924" s="4" t="s">
        <v>77</v>
      </c>
      <c r="C2924" s="4" t="s">
        <v>449</v>
      </c>
      <c r="D2924" s="4" t="n">
        <v>30</v>
      </c>
      <c r="E2924" s="21" t="s">
        <v>197</v>
      </c>
      <c r="F2924" s="22" t="s">
        <v>446</v>
      </c>
    </row>
    <row r="2925" customFormat="false" ht="15" hidden="false" customHeight="false" outlineLevel="0" collapsed="false">
      <c r="A2925" s="4" t="str">
        <f aca="false">B2925&amp;"|"&amp;C2925</f>
        <v>tdbR00000100 Phe-GAA|31</v>
      </c>
      <c r="B2925" s="4" t="s">
        <v>77</v>
      </c>
      <c r="C2925" s="4" t="s">
        <v>450</v>
      </c>
      <c r="D2925" s="4" t="n">
        <v>31</v>
      </c>
      <c r="E2925" s="21" t="s">
        <v>246</v>
      </c>
      <c r="F2925" s="22" t="s">
        <v>446</v>
      </c>
    </row>
    <row r="2926" customFormat="false" ht="15" hidden="false" customHeight="false" outlineLevel="0" collapsed="false">
      <c r="A2926" s="4" t="str">
        <f aca="false">B2926&amp;"|"&amp;C2926</f>
        <v>tdbR00000100 Phe-GAA|32</v>
      </c>
      <c r="B2926" s="4" t="s">
        <v>77</v>
      </c>
      <c r="C2926" s="4" t="s">
        <v>451</v>
      </c>
      <c r="D2926" s="4" t="n">
        <v>32</v>
      </c>
      <c r="E2926" s="19" t="s">
        <v>414</v>
      </c>
      <c r="F2926" s="20" t="s">
        <v>452</v>
      </c>
    </row>
    <row r="2927" customFormat="false" ht="15" hidden="false" customHeight="false" outlineLevel="0" collapsed="false">
      <c r="A2927" s="4" t="str">
        <f aca="false">B2927&amp;"|"&amp;C2927</f>
        <v>tdbR00000100 Phe-GAA|33</v>
      </c>
      <c r="B2927" s="4" t="s">
        <v>77</v>
      </c>
      <c r="C2927" s="4" t="s">
        <v>453</v>
      </c>
      <c r="D2927" s="4" t="n">
        <v>33</v>
      </c>
      <c r="E2927" s="19" t="s">
        <v>259</v>
      </c>
      <c r="F2927" s="20" t="s">
        <v>452</v>
      </c>
    </row>
    <row r="2928" customFormat="false" ht="15" hidden="false" customHeight="false" outlineLevel="0" collapsed="false">
      <c r="A2928" s="4" t="str">
        <f aca="false">B2928&amp;"|"&amp;C2928</f>
        <v>tdbR00000100 Phe-GAA|34</v>
      </c>
      <c r="B2928" s="4" t="s">
        <v>77</v>
      </c>
      <c r="C2928" s="4" t="s">
        <v>454</v>
      </c>
      <c r="D2928" s="4" t="n">
        <v>34</v>
      </c>
      <c r="E2928" s="19" t="s">
        <v>197</v>
      </c>
      <c r="F2928" s="20" t="s">
        <v>452</v>
      </c>
    </row>
    <row r="2929" customFormat="false" ht="15" hidden="false" customHeight="false" outlineLevel="0" collapsed="false">
      <c r="A2929" s="4" t="str">
        <f aca="false">B2929&amp;"|"&amp;C2929</f>
        <v>tdbR00000100 Phe-GAA|35</v>
      </c>
      <c r="B2929" s="4" t="s">
        <v>77</v>
      </c>
      <c r="C2929" s="4" t="s">
        <v>455</v>
      </c>
      <c r="D2929" s="4" t="n">
        <v>35</v>
      </c>
      <c r="E2929" s="19" t="s">
        <v>246</v>
      </c>
      <c r="F2929" s="20" t="s">
        <v>452</v>
      </c>
    </row>
    <row r="2930" customFormat="false" ht="15" hidden="false" customHeight="false" outlineLevel="0" collapsed="false">
      <c r="A2930" s="4" t="str">
        <f aca="false">B2930&amp;"|"&amp;C2930</f>
        <v>tdbR00000100 Phe-GAA|36</v>
      </c>
      <c r="B2930" s="4" t="s">
        <v>77</v>
      </c>
      <c r="C2930" s="4" t="s">
        <v>456</v>
      </c>
      <c r="D2930" s="4" t="n">
        <v>36</v>
      </c>
      <c r="E2930" s="19" t="s">
        <v>246</v>
      </c>
      <c r="F2930" s="20" t="s">
        <v>452</v>
      </c>
    </row>
    <row r="2931" customFormat="false" ht="15" hidden="false" customHeight="false" outlineLevel="0" collapsed="false">
      <c r="A2931" s="4" t="str">
        <f aca="false">B2931&amp;"|"&amp;C2931</f>
        <v>tdbR00000100 Phe-GAA|37</v>
      </c>
      <c r="B2931" s="4" t="s">
        <v>77</v>
      </c>
      <c r="C2931" s="4" t="s">
        <v>457</v>
      </c>
      <c r="D2931" s="4" t="n">
        <v>37</v>
      </c>
      <c r="E2931" s="19" t="s">
        <v>197</v>
      </c>
      <c r="F2931" s="20" t="s">
        <v>452</v>
      </c>
    </row>
    <row r="2932" customFormat="false" ht="15" hidden="false" customHeight="false" outlineLevel="0" collapsed="false">
      <c r="A2932" s="4" t="str">
        <f aca="false">B2932&amp;"|"&amp;C2932</f>
        <v>tdbR00000100 Phe-GAA|38</v>
      </c>
      <c r="B2932" s="4" t="s">
        <v>77</v>
      </c>
      <c r="C2932" s="4" t="s">
        <v>458</v>
      </c>
      <c r="D2932" s="4" t="n">
        <v>38</v>
      </c>
      <c r="E2932" s="19" t="s">
        <v>246</v>
      </c>
      <c r="F2932" s="20" t="s">
        <v>452</v>
      </c>
    </row>
    <row r="2933" customFormat="false" ht="15" hidden="false" customHeight="false" outlineLevel="0" collapsed="false">
      <c r="A2933" s="4" t="str">
        <f aca="false">B2933&amp;"|"&amp;C2933</f>
        <v>tdbR00000100 Phe-GAA|39</v>
      </c>
      <c r="B2933" s="4" t="s">
        <v>77</v>
      </c>
      <c r="C2933" s="4" t="s">
        <v>459</v>
      </c>
      <c r="D2933" s="4" t="n">
        <v>39</v>
      </c>
      <c r="E2933" s="21" t="s">
        <v>259</v>
      </c>
      <c r="F2933" s="22" t="s">
        <v>446</v>
      </c>
    </row>
    <row r="2934" customFormat="false" ht="15" hidden="false" customHeight="false" outlineLevel="0" collapsed="false">
      <c r="A2934" s="4" t="str">
        <f aca="false">B2934&amp;"|"&amp;C2934</f>
        <v>tdbR00000100 Phe-GAA|40</v>
      </c>
      <c r="B2934" s="4" t="s">
        <v>77</v>
      </c>
      <c r="C2934" s="4" t="s">
        <v>460</v>
      </c>
      <c r="D2934" s="4" t="n">
        <v>40</v>
      </c>
      <c r="E2934" s="21" t="s">
        <v>414</v>
      </c>
      <c r="F2934" s="22" t="s">
        <v>446</v>
      </c>
    </row>
    <row r="2935" customFormat="false" ht="15" hidden="false" customHeight="false" outlineLevel="0" collapsed="false">
      <c r="A2935" s="4" t="str">
        <f aca="false">B2935&amp;"|"&amp;C2935</f>
        <v>tdbR00000100 Phe-GAA|41</v>
      </c>
      <c r="B2935" s="4" t="s">
        <v>77</v>
      </c>
      <c r="C2935" s="4" t="s">
        <v>461</v>
      </c>
      <c r="D2935" s="4" t="n">
        <v>41</v>
      </c>
      <c r="E2935" s="21" t="s">
        <v>259</v>
      </c>
      <c r="F2935" s="22" t="s">
        <v>446</v>
      </c>
    </row>
    <row r="2936" customFormat="false" ht="15" hidden="false" customHeight="false" outlineLevel="0" collapsed="false">
      <c r="A2936" s="4" t="str">
        <f aca="false">B2936&amp;"|"&amp;C2936</f>
        <v>tdbR00000100 Phe-GAA|42</v>
      </c>
      <c r="B2936" s="4" t="s">
        <v>77</v>
      </c>
      <c r="C2936" s="4" t="s">
        <v>462</v>
      </c>
      <c r="D2936" s="4" t="n">
        <v>42</v>
      </c>
      <c r="E2936" s="21" t="s">
        <v>246</v>
      </c>
      <c r="F2936" s="22" t="s">
        <v>446</v>
      </c>
    </row>
    <row r="2937" customFormat="false" ht="15" hidden="false" customHeight="false" outlineLevel="0" collapsed="false">
      <c r="A2937" s="4" t="str">
        <f aca="false">B2937&amp;"|"&amp;C2937</f>
        <v>tdbR00000100 Phe-GAA|43</v>
      </c>
      <c r="B2937" s="4" t="s">
        <v>77</v>
      </c>
      <c r="C2937" s="4" t="s">
        <v>463</v>
      </c>
      <c r="D2937" s="4" t="n">
        <v>43</v>
      </c>
      <c r="E2937" s="21" t="s">
        <v>246</v>
      </c>
      <c r="F2937" s="22" t="s">
        <v>446</v>
      </c>
    </row>
    <row r="2938" customFormat="false" ht="15" hidden="false" customHeight="false" outlineLevel="0" collapsed="false">
      <c r="A2938" s="4" t="str">
        <f aca="false">B2938&amp;"|"&amp;C2938</f>
        <v>tdbR00000100 Phe-GAA|44</v>
      </c>
      <c r="B2938" s="4" t="s">
        <v>77</v>
      </c>
      <c r="C2938" s="4" t="s">
        <v>464</v>
      </c>
      <c r="D2938" s="4" t="n">
        <v>44</v>
      </c>
      <c r="E2938" s="19" t="s">
        <v>246</v>
      </c>
      <c r="F2938" s="20" t="s">
        <v>465</v>
      </c>
    </row>
    <row r="2939" customFormat="false" ht="15" hidden="false" customHeight="false" outlineLevel="0" collapsed="false">
      <c r="A2939" s="4" t="str">
        <f aca="false">B2939&amp;"|"&amp;C2939</f>
        <v>tdbR00000100 Phe-GAA|45</v>
      </c>
      <c r="B2939" s="4" t="s">
        <v>77</v>
      </c>
      <c r="C2939" s="4" t="s">
        <v>466</v>
      </c>
      <c r="D2939" s="4" t="n">
        <v>45</v>
      </c>
      <c r="E2939" s="19" t="s">
        <v>197</v>
      </c>
      <c r="F2939" s="20" t="s">
        <v>465</v>
      </c>
    </row>
    <row r="2940" customFormat="false" ht="15" hidden="false" customHeight="false" outlineLevel="0" collapsed="false">
      <c r="A2940" s="4" t="str">
        <f aca="false">B2940&amp;"|"&amp;C2940</f>
        <v>tdbR00000100 Phe-GAA|46</v>
      </c>
      <c r="B2940" s="4" t="s">
        <v>77</v>
      </c>
      <c r="C2940" s="4" t="s">
        <v>467</v>
      </c>
      <c r="D2940" s="4" t="n">
        <v>46</v>
      </c>
      <c r="E2940" s="19" t="s">
        <v>197</v>
      </c>
      <c r="F2940" s="20" t="s">
        <v>465</v>
      </c>
    </row>
    <row r="2941" customFormat="false" ht="15" hidden="false" customHeight="false" outlineLevel="0" collapsed="false">
      <c r="A2941" s="4" t="str">
        <f aca="false">B2941&amp;"|"&amp;C2941</f>
        <v>tdbR00000100 Phe-GAA|47</v>
      </c>
      <c r="B2941" s="4" t="s">
        <v>77</v>
      </c>
      <c r="C2941" s="4" t="s">
        <v>468</v>
      </c>
      <c r="D2941" s="4" t="n">
        <v>47</v>
      </c>
      <c r="E2941" s="19" t="s">
        <v>259</v>
      </c>
      <c r="F2941" s="20" t="s">
        <v>465</v>
      </c>
    </row>
    <row r="2942" customFormat="false" ht="15" hidden="false" customHeight="false" outlineLevel="0" collapsed="false">
      <c r="A2942" s="4" t="str">
        <f aca="false">B2942&amp;"|"&amp;C2942</f>
        <v>tdbR00000100 Phe-GAA|48</v>
      </c>
      <c r="B2942" s="4" t="s">
        <v>77</v>
      </c>
      <c r="C2942" s="4" t="s">
        <v>469</v>
      </c>
      <c r="D2942" s="4" t="n">
        <v>48</v>
      </c>
      <c r="E2942" s="19" t="s">
        <v>414</v>
      </c>
      <c r="F2942" s="20" t="s">
        <v>465</v>
      </c>
    </row>
    <row r="2943" customFormat="false" ht="15" hidden="false" customHeight="false" outlineLevel="0" collapsed="false">
      <c r="A2943" s="4" t="str">
        <f aca="false">B2943&amp;"|"&amp;C2943</f>
        <v>tdbR00000100 Phe-GAA|49</v>
      </c>
      <c r="B2943" s="4" t="s">
        <v>77</v>
      </c>
      <c r="C2943" s="4" t="s">
        <v>470</v>
      </c>
      <c r="D2943" s="4" t="n">
        <v>49</v>
      </c>
      <c r="E2943" s="23" t="s">
        <v>414</v>
      </c>
      <c r="F2943" s="10" t="s">
        <v>471</v>
      </c>
    </row>
    <row r="2944" customFormat="false" ht="15" hidden="false" customHeight="false" outlineLevel="0" collapsed="false">
      <c r="A2944" s="4" t="str">
        <f aca="false">B2944&amp;"|"&amp;C2944</f>
        <v>tdbR00000100 Phe-GAA|50</v>
      </c>
      <c r="B2944" s="4" t="s">
        <v>77</v>
      </c>
      <c r="C2944" s="4" t="s">
        <v>472</v>
      </c>
      <c r="D2944" s="4" t="n">
        <v>50</v>
      </c>
      <c r="E2944" s="23" t="s">
        <v>414</v>
      </c>
      <c r="F2944" s="10" t="s">
        <v>471</v>
      </c>
    </row>
    <row r="2945" customFormat="false" ht="15" hidden="false" customHeight="false" outlineLevel="0" collapsed="false">
      <c r="A2945" s="4" t="str">
        <f aca="false">B2945&amp;"|"&amp;C2945</f>
        <v>tdbR00000100 Phe-GAA|51</v>
      </c>
      <c r="B2945" s="4" t="s">
        <v>77</v>
      </c>
      <c r="C2945" s="4" t="s">
        <v>473</v>
      </c>
      <c r="D2945" s="4" t="n">
        <v>51</v>
      </c>
      <c r="E2945" s="23" t="s">
        <v>259</v>
      </c>
      <c r="F2945" s="10" t="s">
        <v>471</v>
      </c>
    </row>
    <row r="2946" customFormat="false" ht="15" hidden="false" customHeight="false" outlineLevel="0" collapsed="false">
      <c r="A2946" s="4" t="str">
        <f aca="false">B2946&amp;"|"&amp;C2946</f>
        <v>tdbR00000100 Phe-GAA|52</v>
      </c>
      <c r="B2946" s="4" t="s">
        <v>77</v>
      </c>
      <c r="C2946" s="4" t="s">
        <v>474</v>
      </c>
      <c r="D2946" s="4" t="n">
        <v>52</v>
      </c>
      <c r="E2946" s="23" t="s">
        <v>197</v>
      </c>
      <c r="F2946" s="10" t="s">
        <v>471</v>
      </c>
    </row>
    <row r="2947" customFormat="false" ht="15" hidden="false" customHeight="false" outlineLevel="0" collapsed="false">
      <c r="A2947" s="4" t="str">
        <f aca="false">B2947&amp;"|"&amp;C2947</f>
        <v>tdbR00000100 Phe-GAA|53</v>
      </c>
      <c r="B2947" s="4" t="s">
        <v>77</v>
      </c>
      <c r="C2947" s="4" t="s">
        <v>475</v>
      </c>
      <c r="D2947" s="4" t="n">
        <v>53</v>
      </c>
      <c r="E2947" s="23" t="s">
        <v>197</v>
      </c>
      <c r="F2947" s="10" t="s">
        <v>471</v>
      </c>
    </row>
    <row r="2948" customFormat="false" ht="15" hidden="false" customHeight="false" outlineLevel="0" collapsed="false">
      <c r="A2948" s="4" t="str">
        <f aca="false">B2948&amp;"|"&amp;C2948</f>
        <v>tdbR00000100 Phe-GAA|54</v>
      </c>
      <c r="B2948" s="4" t="s">
        <v>77</v>
      </c>
      <c r="C2948" s="4" t="s">
        <v>476</v>
      </c>
      <c r="D2948" s="4" t="n">
        <v>54</v>
      </c>
      <c r="E2948" s="19" t="s">
        <v>259</v>
      </c>
      <c r="F2948" s="20" t="s">
        <v>477</v>
      </c>
    </row>
    <row r="2949" customFormat="false" ht="15" hidden="false" customHeight="false" outlineLevel="0" collapsed="false">
      <c r="A2949" s="4" t="str">
        <f aca="false">B2949&amp;"|"&amp;C2949</f>
        <v>tdbR00000100 Phe-GAA|55</v>
      </c>
      <c r="B2949" s="4" t="s">
        <v>77</v>
      </c>
      <c r="C2949" s="4" t="s">
        <v>478</v>
      </c>
      <c r="D2949" s="4" t="n">
        <v>55</v>
      </c>
      <c r="E2949" s="19" t="s">
        <v>259</v>
      </c>
      <c r="F2949" s="20" t="s">
        <v>477</v>
      </c>
    </row>
    <row r="2950" customFormat="false" ht="15" hidden="false" customHeight="false" outlineLevel="0" collapsed="false">
      <c r="A2950" s="4" t="str">
        <f aca="false">B2950&amp;"|"&amp;C2950</f>
        <v>tdbR00000100 Phe-GAA|56</v>
      </c>
      <c r="B2950" s="4" t="s">
        <v>77</v>
      </c>
      <c r="C2950" s="4" t="s">
        <v>479</v>
      </c>
      <c r="D2950" s="4" t="n">
        <v>56</v>
      </c>
      <c r="E2950" s="19" t="s">
        <v>414</v>
      </c>
      <c r="F2950" s="20" t="s">
        <v>477</v>
      </c>
    </row>
    <row r="2951" customFormat="false" ht="15" hidden="false" customHeight="false" outlineLevel="0" collapsed="false">
      <c r="A2951" s="4" t="str">
        <f aca="false">B2951&amp;"|"&amp;C2951</f>
        <v>tdbR00000100 Phe-GAA|57</v>
      </c>
      <c r="B2951" s="4" t="s">
        <v>77</v>
      </c>
      <c r="C2951" s="4" t="s">
        <v>480</v>
      </c>
      <c r="D2951" s="4" t="n">
        <v>57</v>
      </c>
      <c r="E2951" s="19" t="s">
        <v>197</v>
      </c>
      <c r="F2951" s="20" t="s">
        <v>477</v>
      </c>
    </row>
    <row r="2952" customFormat="false" ht="15" hidden="false" customHeight="false" outlineLevel="0" collapsed="false">
      <c r="A2952" s="4" t="str">
        <f aca="false">B2952&amp;"|"&amp;C2952</f>
        <v>tdbR00000100 Phe-GAA|58</v>
      </c>
      <c r="B2952" s="4" t="s">
        <v>77</v>
      </c>
      <c r="C2952" s="4" t="s">
        <v>481</v>
      </c>
      <c r="D2952" s="4" t="n">
        <v>58</v>
      </c>
      <c r="E2952" s="19" t="s">
        <v>246</v>
      </c>
      <c r="F2952" s="20" t="s">
        <v>477</v>
      </c>
    </row>
    <row r="2953" customFormat="false" ht="15" hidden="false" customHeight="false" outlineLevel="0" collapsed="false">
      <c r="A2953" s="4" t="str">
        <f aca="false">B2953&amp;"|"&amp;C2953</f>
        <v>tdbR00000100 Phe-GAA|59</v>
      </c>
      <c r="B2953" s="4" t="s">
        <v>77</v>
      </c>
      <c r="C2953" s="4" t="s">
        <v>482</v>
      </c>
      <c r="D2953" s="4" t="n">
        <v>59</v>
      </c>
      <c r="E2953" s="19" t="s">
        <v>259</v>
      </c>
      <c r="F2953" s="20" t="s">
        <v>477</v>
      </c>
    </row>
    <row r="2954" customFormat="false" ht="15" hidden="false" customHeight="false" outlineLevel="0" collapsed="false">
      <c r="A2954" s="4" t="str">
        <f aca="false">B2954&amp;"|"&amp;C2954</f>
        <v>tdbR00000100 Phe-GAA|60</v>
      </c>
      <c r="B2954" s="4" t="s">
        <v>77</v>
      </c>
      <c r="C2954" s="4" t="s">
        <v>483</v>
      </c>
      <c r="D2954" s="4" t="n">
        <v>60</v>
      </c>
      <c r="E2954" s="19" t="s">
        <v>414</v>
      </c>
      <c r="F2954" s="20" t="s">
        <v>477</v>
      </c>
    </row>
    <row r="2955" customFormat="false" ht="15" hidden="false" customHeight="false" outlineLevel="0" collapsed="false">
      <c r="A2955" s="4" t="str">
        <f aca="false">B2955&amp;"|"&amp;C2955</f>
        <v>tdbR00000100 Phe-GAA|61</v>
      </c>
      <c r="B2955" s="4" t="s">
        <v>77</v>
      </c>
      <c r="C2955" s="4" t="s">
        <v>484</v>
      </c>
      <c r="D2955" s="4" t="n">
        <v>61</v>
      </c>
      <c r="E2955" s="23" t="s">
        <v>414</v>
      </c>
      <c r="F2955" s="10" t="s">
        <v>471</v>
      </c>
    </row>
    <row r="2956" customFormat="false" ht="15" hidden="false" customHeight="false" outlineLevel="0" collapsed="false">
      <c r="A2956" s="4" t="str">
        <f aca="false">B2956&amp;"|"&amp;C2956</f>
        <v>tdbR00000100 Phe-GAA|62</v>
      </c>
      <c r="B2956" s="4" t="s">
        <v>77</v>
      </c>
      <c r="C2956" s="4" t="s">
        <v>485</v>
      </c>
      <c r="D2956" s="4" t="n">
        <v>62</v>
      </c>
      <c r="E2956" s="23" t="s">
        <v>414</v>
      </c>
      <c r="F2956" s="10" t="s">
        <v>471</v>
      </c>
    </row>
    <row r="2957" customFormat="false" ht="15" hidden="false" customHeight="false" outlineLevel="0" collapsed="false">
      <c r="A2957" s="4" t="str">
        <f aca="false">B2957&amp;"|"&amp;C2957</f>
        <v>tdbR00000100 Phe-GAA|63</v>
      </c>
      <c r="B2957" s="4" t="s">
        <v>77</v>
      </c>
      <c r="C2957" s="4" t="s">
        <v>486</v>
      </c>
      <c r="D2957" s="4" t="n">
        <v>63</v>
      </c>
      <c r="E2957" s="23" t="s">
        <v>197</v>
      </c>
      <c r="F2957" s="10" t="s">
        <v>471</v>
      </c>
    </row>
    <row r="2958" customFormat="false" ht="15" hidden="false" customHeight="false" outlineLevel="0" collapsed="false">
      <c r="A2958" s="4" t="str">
        <f aca="false">B2958&amp;"|"&amp;C2958</f>
        <v>tdbR00000100 Phe-GAA|64</v>
      </c>
      <c r="B2958" s="4" t="s">
        <v>77</v>
      </c>
      <c r="C2958" s="4" t="s">
        <v>487</v>
      </c>
      <c r="D2958" s="4" t="n">
        <v>64</v>
      </c>
      <c r="E2958" s="23" t="s">
        <v>197</v>
      </c>
      <c r="F2958" s="10" t="s">
        <v>471</v>
      </c>
    </row>
    <row r="2959" customFormat="false" ht="15" hidden="false" customHeight="false" outlineLevel="0" collapsed="false">
      <c r="A2959" s="4" t="str">
        <f aca="false">B2959&amp;"|"&amp;C2959</f>
        <v>tdbR00000100 Phe-GAA|65</v>
      </c>
      <c r="B2959" s="4" t="s">
        <v>77</v>
      </c>
      <c r="C2959" s="4" t="s">
        <v>488</v>
      </c>
      <c r="D2959" s="4" t="n">
        <v>65</v>
      </c>
      <c r="E2959" s="23" t="s">
        <v>197</v>
      </c>
      <c r="F2959" s="10" t="s">
        <v>471</v>
      </c>
    </row>
    <row r="2960" customFormat="false" ht="15" hidden="false" customHeight="false" outlineLevel="0" collapsed="false">
      <c r="A2960" s="4" t="str">
        <f aca="false">B2960&amp;"|"&amp;C2960</f>
        <v>tdbR00000100 Phe-GAA|66</v>
      </c>
      <c r="B2960" s="4" t="s">
        <v>77</v>
      </c>
      <c r="C2960" s="4" t="s">
        <v>489</v>
      </c>
      <c r="D2960" s="4" t="n">
        <v>66</v>
      </c>
      <c r="E2960" s="17" t="s">
        <v>259</v>
      </c>
      <c r="F2960" s="18" t="s">
        <v>412</v>
      </c>
    </row>
    <row r="2961" customFormat="false" ht="15" hidden="false" customHeight="false" outlineLevel="0" collapsed="false">
      <c r="A2961" s="4" t="str">
        <f aca="false">B2961&amp;"|"&amp;C2961</f>
        <v>tdbR00000100 Phe-GAA|67</v>
      </c>
      <c r="B2961" s="4" t="s">
        <v>77</v>
      </c>
      <c r="C2961" s="4" t="s">
        <v>490</v>
      </c>
      <c r="D2961" s="4" t="n">
        <v>67</v>
      </c>
      <c r="E2961" s="17" t="s">
        <v>259</v>
      </c>
      <c r="F2961" s="18" t="s">
        <v>412</v>
      </c>
    </row>
    <row r="2962" customFormat="false" ht="15" hidden="false" customHeight="false" outlineLevel="0" collapsed="false">
      <c r="A2962" s="4" t="str">
        <f aca="false">B2962&amp;"|"&amp;C2962</f>
        <v>tdbR00000100 Phe-GAA|68</v>
      </c>
      <c r="B2962" s="4" t="s">
        <v>77</v>
      </c>
      <c r="C2962" s="4" t="s">
        <v>491</v>
      </c>
      <c r="D2962" s="4" t="n">
        <v>68</v>
      </c>
      <c r="E2962" s="17" t="s">
        <v>259</v>
      </c>
      <c r="F2962" s="18" t="s">
        <v>412</v>
      </c>
    </row>
    <row r="2963" customFormat="false" ht="15" hidden="false" customHeight="false" outlineLevel="0" collapsed="false">
      <c r="A2963" s="4" t="str">
        <f aca="false">B2963&amp;"|"&amp;C2963</f>
        <v>tdbR00000100 Phe-GAA|69</v>
      </c>
      <c r="B2963" s="4" t="s">
        <v>77</v>
      </c>
      <c r="C2963" s="4" t="s">
        <v>492</v>
      </c>
      <c r="D2963" s="4" t="n">
        <v>69</v>
      </c>
      <c r="E2963" s="17" t="s">
        <v>414</v>
      </c>
      <c r="F2963" s="18" t="s">
        <v>412</v>
      </c>
    </row>
    <row r="2964" customFormat="false" ht="15" hidden="false" customHeight="false" outlineLevel="0" collapsed="false">
      <c r="A2964" s="4" t="str">
        <f aca="false">B2964&amp;"|"&amp;C2964</f>
        <v>tdbR00000100 Phe-GAA|70</v>
      </c>
      <c r="B2964" s="4" t="s">
        <v>77</v>
      </c>
      <c r="C2964" s="4" t="s">
        <v>493</v>
      </c>
      <c r="D2964" s="4" t="n">
        <v>70</v>
      </c>
      <c r="E2964" s="17" t="s">
        <v>197</v>
      </c>
      <c r="F2964" s="18" t="s">
        <v>412</v>
      </c>
    </row>
    <row r="2965" customFormat="false" ht="15" hidden="false" customHeight="false" outlineLevel="0" collapsed="false">
      <c r="A2965" s="4" t="str">
        <f aca="false">B2965&amp;"|"&amp;C2965</f>
        <v>tdbR00000100 Phe-GAA|71</v>
      </c>
      <c r="B2965" s="4" t="s">
        <v>77</v>
      </c>
      <c r="C2965" s="4" t="s">
        <v>494</v>
      </c>
      <c r="D2965" s="4" t="n">
        <v>71</v>
      </c>
      <c r="E2965" s="17" t="s">
        <v>197</v>
      </c>
      <c r="F2965" s="18" t="s">
        <v>412</v>
      </c>
    </row>
    <row r="2966" customFormat="false" ht="15" hidden="false" customHeight="false" outlineLevel="0" collapsed="false">
      <c r="A2966" s="4" t="str">
        <f aca="false">B2966&amp;"|"&amp;C2966</f>
        <v>tdbR00000100 Phe-GAA|72</v>
      </c>
      <c r="B2966" s="4" t="s">
        <v>77</v>
      </c>
      <c r="C2966" s="4" t="s">
        <v>495</v>
      </c>
      <c r="D2966" s="4" t="n">
        <v>72</v>
      </c>
      <c r="E2966" s="17" t="s">
        <v>414</v>
      </c>
      <c r="F2966" s="18" t="s">
        <v>412</v>
      </c>
    </row>
    <row r="2967" customFormat="false" ht="15" hidden="false" customHeight="false" outlineLevel="0" collapsed="false">
      <c r="A2967" s="4" t="str">
        <f aca="false">B2967&amp;"|"&amp;C2967</f>
        <v>tdbR00000377 Arg-ACG|1</v>
      </c>
      <c r="B2967" s="4" t="s">
        <v>78</v>
      </c>
      <c r="C2967" s="4" t="s">
        <v>411</v>
      </c>
      <c r="D2967" s="4" t="n">
        <v>1</v>
      </c>
      <c r="E2967" s="17" t="s">
        <v>197</v>
      </c>
      <c r="F2967" s="18" t="s">
        <v>412</v>
      </c>
    </row>
    <row r="2968" customFormat="false" ht="15" hidden="false" customHeight="false" outlineLevel="0" collapsed="false">
      <c r="A2968" s="4" t="str">
        <f aca="false">B2968&amp;"|"&amp;C2968</f>
        <v>tdbR00000377 Arg-ACG|2</v>
      </c>
      <c r="B2968" s="4" t="s">
        <v>78</v>
      </c>
      <c r="C2968" s="4" t="s">
        <v>413</v>
      </c>
      <c r="D2968" s="4" t="n">
        <v>2</v>
      </c>
      <c r="E2968" s="17" t="s">
        <v>197</v>
      </c>
      <c r="F2968" s="18" t="s">
        <v>412</v>
      </c>
    </row>
    <row r="2969" customFormat="false" ht="15" hidden="false" customHeight="false" outlineLevel="0" collapsed="false">
      <c r="A2969" s="4" t="str">
        <f aca="false">B2969&amp;"|"&amp;C2969</f>
        <v>tdbR00000377 Arg-ACG|3</v>
      </c>
      <c r="B2969" s="4" t="s">
        <v>78</v>
      </c>
      <c r="C2969" s="4" t="s">
        <v>415</v>
      </c>
      <c r="D2969" s="4" t="n">
        <v>3</v>
      </c>
      <c r="E2969" s="17" t="s">
        <v>197</v>
      </c>
      <c r="F2969" s="18" t="s">
        <v>412</v>
      </c>
    </row>
    <row r="2970" customFormat="false" ht="15" hidden="false" customHeight="false" outlineLevel="0" collapsed="false">
      <c r="A2970" s="4" t="str">
        <f aca="false">B2970&amp;"|"&amp;C2970</f>
        <v>tdbR00000377 Arg-ACG|4</v>
      </c>
      <c r="B2970" s="4" t="s">
        <v>78</v>
      </c>
      <c r="C2970" s="4" t="s">
        <v>416</v>
      </c>
      <c r="D2970" s="4" t="n">
        <v>4</v>
      </c>
      <c r="E2970" s="17" t="s">
        <v>414</v>
      </c>
      <c r="F2970" s="18" t="s">
        <v>412</v>
      </c>
    </row>
    <row r="2971" customFormat="false" ht="15" hidden="false" customHeight="false" outlineLevel="0" collapsed="false">
      <c r="A2971" s="4" t="str">
        <f aca="false">B2971&amp;"|"&amp;C2971</f>
        <v>tdbR00000377 Arg-ACG|5</v>
      </c>
      <c r="B2971" s="4" t="s">
        <v>78</v>
      </c>
      <c r="C2971" s="4" t="s">
        <v>417</v>
      </c>
      <c r="D2971" s="4" t="n">
        <v>5</v>
      </c>
      <c r="E2971" s="17" t="s">
        <v>414</v>
      </c>
      <c r="F2971" s="18" t="s">
        <v>412</v>
      </c>
    </row>
    <row r="2972" customFormat="false" ht="15" hidden="false" customHeight="false" outlineLevel="0" collapsed="false">
      <c r="A2972" s="4" t="str">
        <f aca="false">B2972&amp;"|"&amp;C2972</f>
        <v>tdbR00000377 Arg-ACG|6</v>
      </c>
      <c r="B2972" s="4" t="s">
        <v>78</v>
      </c>
      <c r="C2972" s="4" t="s">
        <v>418</v>
      </c>
      <c r="D2972" s="4" t="n">
        <v>6</v>
      </c>
      <c r="E2972" s="17" t="s">
        <v>246</v>
      </c>
      <c r="F2972" s="18" t="s">
        <v>412</v>
      </c>
    </row>
    <row r="2973" customFormat="false" ht="15" hidden="false" customHeight="false" outlineLevel="0" collapsed="false">
      <c r="A2973" s="4" t="str">
        <f aca="false">B2973&amp;"|"&amp;C2973</f>
        <v>tdbR00000377 Arg-ACG|7</v>
      </c>
      <c r="B2973" s="4" t="s">
        <v>78</v>
      </c>
      <c r="C2973" s="4" t="s">
        <v>419</v>
      </c>
      <c r="D2973" s="4" t="n">
        <v>7</v>
      </c>
      <c r="E2973" s="17" t="s">
        <v>197</v>
      </c>
      <c r="F2973" s="18" t="s">
        <v>412</v>
      </c>
    </row>
    <row r="2974" customFormat="false" ht="15" hidden="false" customHeight="false" outlineLevel="0" collapsed="false">
      <c r="A2974" s="4" t="str">
        <f aca="false">B2974&amp;"|"&amp;C2974</f>
        <v>tdbR00000377 Arg-ACG|8</v>
      </c>
      <c r="B2974" s="4" t="s">
        <v>78</v>
      </c>
      <c r="C2974" s="4" t="s">
        <v>420</v>
      </c>
      <c r="D2974" s="4" t="n">
        <v>8</v>
      </c>
      <c r="E2974" s="3" t="s">
        <v>259</v>
      </c>
      <c r="F2974" s="4" t="s">
        <v>421</v>
      </c>
    </row>
    <row r="2975" customFormat="false" ht="15" hidden="false" customHeight="false" outlineLevel="0" collapsed="false">
      <c r="A2975" s="4" t="str">
        <f aca="false">B2975&amp;"|"&amp;C2975</f>
        <v>tdbR00000377 Arg-ACG|9</v>
      </c>
      <c r="B2975" s="4" t="s">
        <v>78</v>
      </c>
      <c r="C2975" s="4" t="s">
        <v>422</v>
      </c>
      <c r="D2975" s="4" t="n">
        <v>9</v>
      </c>
      <c r="E2975" s="3" t="s">
        <v>197</v>
      </c>
      <c r="F2975" s="4" t="s">
        <v>423</v>
      </c>
    </row>
    <row r="2976" customFormat="false" ht="15" hidden="false" customHeight="false" outlineLevel="0" collapsed="false">
      <c r="A2976" s="4" t="str">
        <f aca="false">B2976&amp;"|"&amp;C2976</f>
        <v>tdbR00000377 Arg-ACG|10</v>
      </c>
      <c r="B2976" s="4" t="s">
        <v>78</v>
      </c>
      <c r="C2976" s="4" t="s">
        <v>424</v>
      </c>
      <c r="D2976" s="4" t="n">
        <v>10</v>
      </c>
      <c r="E2976" s="8" t="s">
        <v>197</v>
      </c>
      <c r="F2976" s="7" t="s">
        <v>425</v>
      </c>
    </row>
    <row r="2977" customFormat="false" ht="15" hidden="false" customHeight="false" outlineLevel="0" collapsed="false">
      <c r="A2977" s="4" t="str">
        <f aca="false">B2977&amp;"|"&amp;C2977</f>
        <v>tdbR00000377 Arg-ACG|11</v>
      </c>
      <c r="B2977" s="4" t="s">
        <v>78</v>
      </c>
      <c r="C2977" s="4" t="s">
        <v>426</v>
      </c>
      <c r="D2977" s="4" t="n">
        <v>11</v>
      </c>
      <c r="E2977" s="8" t="s">
        <v>414</v>
      </c>
      <c r="F2977" s="7" t="s">
        <v>425</v>
      </c>
    </row>
    <row r="2978" customFormat="false" ht="15" hidden="false" customHeight="false" outlineLevel="0" collapsed="false">
      <c r="A2978" s="4" t="str">
        <f aca="false">B2978&amp;"|"&amp;C2978</f>
        <v>tdbR00000377 Arg-ACG|12</v>
      </c>
      <c r="B2978" s="4" t="s">
        <v>78</v>
      </c>
      <c r="C2978" s="4" t="s">
        <v>427</v>
      </c>
      <c r="D2978" s="4" t="n">
        <v>12</v>
      </c>
      <c r="E2978" s="8" t="s">
        <v>197</v>
      </c>
      <c r="F2978" s="7" t="s">
        <v>425</v>
      </c>
    </row>
    <row r="2979" customFormat="false" ht="15" hidden="false" customHeight="false" outlineLevel="0" collapsed="false">
      <c r="A2979" s="4" t="str">
        <f aca="false">B2979&amp;"|"&amp;C2979</f>
        <v>tdbR00000377 Arg-ACG|13</v>
      </c>
      <c r="B2979" s="4" t="s">
        <v>78</v>
      </c>
      <c r="C2979" s="4" t="s">
        <v>428</v>
      </c>
      <c r="D2979" s="4" t="n">
        <v>13</v>
      </c>
      <c r="E2979" s="8" t="s">
        <v>414</v>
      </c>
      <c r="F2979" s="7" t="s">
        <v>425</v>
      </c>
    </row>
    <row r="2980" customFormat="false" ht="15" hidden="false" customHeight="false" outlineLevel="0" collapsed="false">
      <c r="A2980" s="4" t="str">
        <f aca="false">B2980&amp;"|"&amp;C2980</f>
        <v>tdbR00000377 Arg-ACG|14</v>
      </c>
      <c r="B2980" s="4" t="s">
        <v>78</v>
      </c>
      <c r="C2980" s="4" t="s">
        <v>429</v>
      </c>
      <c r="D2980" s="4" t="n">
        <v>14</v>
      </c>
      <c r="E2980" s="19" t="s">
        <v>246</v>
      </c>
      <c r="F2980" s="20" t="s">
        <v>430</v>
      </c>
    </row>
    <row r="2981" customFormat="false" ht="15" hidden="false" customHeight="false" outlineLevel="0" collapsed="false">
      <c r="A2981" s="4" t="str">
        <f aca="false">B2981&amp;"|"&amp;C2981</f>
        <v>tdbR00000377 Arg-ACG|15</v>
      </c>
      <c r="B2981" s="4" t="s">
        <v>78</v>
      </c>
      <c r="C2981" s="4" t="s">
        <v>431</v>
      </c>
      <c r="D2981" s="4" t="n">
        <v>15</v>
      </c>
      <c r="E2981" s="19" t="s">
        <v>246</v>
      </c>
      <c r="F2981" s="20" t="s">
        <v>430</v>
      </c>
    </row>
    <row r="2982" customFormat="false" ht="15" hidden="false" customHeight="false" outlineLevel="0" collapsed="false">
      <c r="A2982" s="4" t="str">
        <f aca="false">B2982&amp;"|"&amp;C2982</f>
        <v>tdbR00000377 Arg-ACG|16</v>
      </c>
      <c r="B2982" s="4" t="s">
        <v>78</v>
      </c>
      <c r="C2982" s="4" t="s">
        <v>432</v>
      </c>
      <c r="D2982" s="4" t="n">
        <v>16</v>
      </c>
      <c r="E2982" s="19" t="s">
        <v>259</v>
      </c>
      <c r="F2982" s="20" t="s">
        <v>430</v>
      </c>
    </row>
    <row r="2983" customFormat="false" ht="15" hidden="false" customHeight="false" outlineLevel="0" collapsed="false">
      <c r="A2983" s="4" t="str">
        <f aca="false">B2983&amp;"|"&amp;C2983</f>
        <v>tdbR00000377 Arg-ACG|18</v>
      </c>
      <c r="B2983" s="4" t="s">
        <v>78</v>
      </c>
      <c r="C2983" s="4" t="s">
        <v>434</v>
      </c>
      <c r="D2983" s="4" t="n">
        <v>17</v>
      </c>
      <c r="E2983" s="19" t="s">
        <v>197</v>
      </c>
      <c r="F2983" s="20" t="s">
        <v>430</v>
      </c>
    </row>
    <row r="2984" customFormat="false" ht="15" hidden="false" customHeight="false" outlineLevel="0" collapsed="false">
      <c r="A2984" s="4" t="str">
        <f aca="false">B2984&amp;"|"&amp;C2984</f>
        <v>tdbR00000377 Arg-ACG|19</v>
      </c>
      <c r="B2984" s="4" t="s">
        <v>78</v>
      </c>
      <c r="C2984" s="4" t="s">
        <v>435</v>
      </c>
      <c r="D2984" s="4" t="n">
        <v>18</v>
      </c>
      <c r="E2984" s="19" t="s">
        <v>197</v>
      </c>
      <c r="F2984" s="20" t="s">
        <v>430</v>
      </c>
    </row>
    <row r="2985" customFormat="false" ht="15" hidden="false" customHeight="false" outlineLevel="0" collapsed="false">
      <c r="A2985" s="4" t="str">
        <f aca="false">B2985&amp;"|"&amp;C2985</f>
        <v>tdbR00000377 Arg-ACG|20</v>
      </c>
      <c r="B2985" s="4" t="s">
        <v>78</v>
      </c>
      <c r="C2985" s="4" t="s">
        <v>436</v>
      </c>
      <c r="D2985" s="4" t="n">
        <v>19</v>
      </c>
      <c r="E2985" s="19" t="s">
        <v>246</v>
      </c>
      <c r="F2985" s="20" t="s">
        <v>430</v>
      </c>
    </row>
    <row r="2986" customFormat="false" ht="15" hidden="false" customHeight="false" outlineLevel="0" collapsed="false">
      <c r="A2986" s="4" t="str">
        <f aca="false">B2986&amp;"|"&amp;C2986</f>
        <v>tdbR00000377 Arg-ACG|20a</v>
      </c>
      <c r="B2986" s="4" t="s">
        <v>78</v>
      </c>
      <c r="C2986" s="4" t="s">
        <v>437</v>
      </c>
      <c r="D2986" s="4" t="n">
        <v>20</v>
      </c>
      <c r="E2986" s="19" t="s">
        <v>259</v>
      </c>
      <c r="F2986" s="20" t="s">
        <v>430</v>
      </c>
    </row>
    <row r="2987" customFormat="false" ht="15" hidden="false" customHeight="false" outlineLevel="0" collapsed="false">
      <c r="A2987" s="4" t="str">
        <f aca="false">B2987&amp;"|"&amp;C2987</f>
        <v>tdbR00000377 Arg-ACG|21</v>
      </c>
      <c r="B2987" s="4" t="s">
        <v>78</v>
      </c>
      <c r="C2987" s="4" t="s">
        <v>438</v>
      </c>
      <c r="D2987" s="4" t="n">
        <v>21</v>
      </c>
      <c r="E2987" s="19" t="s">
        <v>246</v>
      </c>
      <c r="F2987" s="20" t="s">
        <v>430</v>
      </c>
    </row>
    <row r="2988" customFormat="false" ht="15" hidden="false" customHeight="false" outlineLevel="0" collapsed="false">
      <c r="A2988" s="4" t="str">
        <f aca="false">B2988&amp;"|"&amp;C2988</f>
        <v>tdbR00000377 Arg-ACG|22</v>
      </c>
      <c r="B2988" s="4" t="s">
        <v>78</v>
      </c>
      <c r="C2988" s="4" t="s">
        <v>439</v>
      </c>
      <c r="D2988" s="4" t="n">
        <v>22</v>
      </c>
      <c r="E2988" s="8" t="s">
        <v>246</v>
      </c>
      <c r="F2988" s="7" t="s">
        <v>425</v>
      </c>
    </row>
    <row r="2989" customFormat="false" ht="15" hidden="false" customHeight="false" outlineLevel="0" collapsed="false">
      <c r="A2989" s="4" t="str">
        <f aca="false">B2989&amp;"|"&amp;C2989</f>
        <v>tdbR00000377 Arg-ACG|23</v>
      </c>
      <c r="B2989" s="4" t="s">
        <v>78</v>
      </c>
      <c r="C2989" s="4" t="s">
        <v>440</v>
      </c>
      <c r="D2989" s="4" t="n">
        <v>23</v>
      </c>
      <c r="E2989" s="8" t="s">
        <v>414</v>
      </c>
      <c r="F2989" s="7" t="s">
        <v>425</v>
      </c>
    </row>
    <row r="2990" customFormat="false" ht="15" hidden="false" customHeight="false" outlineLevel="0" collapsed="false">
      <c r="A2990" s="4" t="str">
        <f aca="false">B2990&amp;"|"&amp;C2990</f>
        <v>tdbR00000377 Arg-ACG|24</v>
      </c>
      <c r="B2990" s="4" t="s">
        <v>78</v>
      </c>
      <c r="C2990" s="4" t="s">
        <v>441</v>
      </c>
      <c r="D2990" s="4" t="n">
        <v>24</v>
      </c>
      <c r="E2990" s="8" t="s">
        <v>197</v>
      </c>
      <c r="F2990" s="7" t="s">
        <v>425</v>
      </c>
    </row>
    <row r="2991" customFormat="false" ht="15" hidden="false" customHeight="false" outlineLevel="0" collapsed="false">
      <c r="A2991" s="4" t="str">
        <f aca="false">B2991&amp;"|"&amp;C2991</f>
        <v>tdbR00000377 Arg-ACG|25</v>
      </c>
      <c r="B2991" s="4" t="s">
        <v>78</v>
      </c>
      <c r="C2991" s="4" t="s">
        <v>442</v>
      </c>
      <c r="D2991" s="4" t="n">
        <v>25</v>
      </c>
      <c r="E2991" s="8" t="s">
        <v>414</v>
      </c>
      <c r="F2991" s="7" t="s">
        <v>425</v>
      </c>
    </row>
    <row r="2992" customFormat="false" ht="15" hidden="false" customHeight="false" outlineLevel="0" collapsed="false">
      <c r="A2992" s="4" t="str">
        <f aca="false">B2992&amp;"|"&amp;C2992</f>
        <v>tdbR00000377 Arg-ACG|26</v>
      </c>
      <c r="B2992" s="4" t="s">
        <v>78</v>
      </c>
      <c r="C2992" s="4" t="s">
        <v>443</v>
      </c>
      <c r="D2992" s="4" t="n">
        <v>26</v>
      </c>
      <c r="E2992" s="3" t="s">
        <v>197</v>
      </c>
      <c r="F2992" s="4" t="s">
        <v>444</v>
      </c>
    </row>
    <row r="2993" customFormat="false" ht="15" hidden="false" customHeight="false" outlineLevel="0" collapsed="false">
      <c r="A2993" s="4" t="str">
        <f aca="false">B2993&amp;"|"&amp;C2993</f>
        <v>tdbR00000377 Arg-ACG|27</v>
      </c>
      <c r="B2993" s="4" t="s">
        <v>78</v>
      </c>
      <c r="C2993" s="4" t="s">
        <v>445</v>
      </c>
      <c r="D2993" s="4" t="n">
        <v>27</v>
      </c>
      <c r="E2993" s="21" t="s">
        <v>259</v>
      </c>
      <c r="F2993" s="22" t="s">
        <v>446</v>
      </c>
    </row>
    <row r="2994" customFormat="false" ht="15" hidden="false" customHeight="false" outlineLevel="0" collapsed="false">
      <c r="A2994" s="4" t="str">
        <f aca="false">B2994&amp;"|"&amp;C2994</f>
        <v>tdbR00000377 Arg-ACG|28</v>
      </c>
      <c r="B2994" s="4" t="s">
        <v>78</v>
      </c>
      <c r="C2994" s="4" t="s">
        <v>447</v>
      </c>
      <c r="D2994" s="4" t="n">
        <v>28</v>
      </c>
      <c r="E2994" s="21" t="s">
        <v>414</v>
      </c>
      <c r="F2994" s="22" t="s">
        <v>446</v>
      </c>
    </row>
    <row r="2995" customFormat="false" ht="15" hidden="false" customHeight="false" outlineLevel="0" collapsed="false">
      <c r="A2995" s="4" t="str">
        <f aca="false">B2995&amp;"|"&amp;C2995</f>
        <v>tdbR00000377 Arg-ACG|29</v>
      </c>
      <c r="B2995" s="4" t="s">
        <v>78</v>
      </c>
      <c r="C2995" s="4" t="s">
        <v>448</v>
      </c>
      <c r="D2995" s="4" t="n">
        <v>29</v>
      </c>
      <c r="E2995" s="21" t="s">
        <v>259</v>
      </c>
      <c r="F2995" s="22" t="s">
        <v>446</v>
      </c>
    </row>
    <row r="2996" customFormat="false" ht="15" hidden="false" customHeight="false" outlineLevel="0" collapsed="false">
      <c r="A2996" s="4" t="str">
        <f aca="false">B2996&amp;"|"&amp;C2996</f>
        <v>tdbR00000377 Arg-ACG|30</v>
      </c>
      <c r="B2996" s="4" t="s">
        <v>78</v>
      </c>
      <c r="C2996" s="4" t="s">
        <v>449</v>
      </c>
      <c r="D2996" s="4" t="n">
        <v>30</v>
      </c>
      <c r="E2996" s="21" t="s">
        <v>197</v>
      </c>
      <c r="F2996" s="22" t="s">
        <v>446</v>
      </c>
    </row>
    <row r="2997" customFormat="false" ht="15" hidden="false" customHeight="false" outlineLevel="0" collapsed="false">
      <c r="A2997" s="4" t="str">
        <f aca="false">B2997&amp;"|"&amp;C2997</f>
        <v>tdbR00000377 Arg-ACG|31</v>
      </c>
      <c r="B2997" s="4" t="s">
        <v>78</v>
      </c>
      <c r="C2997" s="4" t="s">
        <v>450</v>
      </c>
      <c r="D2997" s="4" t="n">
        <v>31</v>
      </c>
      <c r="E2997" s="21" t="s">
        <v>246</v>
      </c>
      <c r="F2997" s="22" t="s">
        <v>446</v>
      </c>
    </row>
    <row r="2998" customFormat="false" ht="15" hidden="false" customHeight="false" outlineLevel="0" collapsed="false">
      <c r="A2998" s="4" t="str">
        <f aca="false">B2998&amp;"|"&amp;C2998</f>
        <v>tdbR00000377 Arg-ACG|32</v>
      </c>
      <c r="B2998" s="4" t="s">
        <v>78</v>
      </c>
      <c r="C2998" s="4" t="s">
        <v>451</v>
      </c>
      <c r="D2998" s="4" t="n">
        <v>32</v>
      </c>
      <c r="E2998" s="19" t="s">
        <v>414</v>
      </c>
      <c r="F2998" s="20" t="s">
        <v>452</v>
      </c>
    </row>
    <row r="2999" customFormat="false" ht="15" hidden="false" customHeight="false" outlineLevel="0" collapsed="false">
      <c r="A2999" s="4" t="str">
        <f aca="false">B2999&amp;"|"&amp;C2999</f>
        <v>tdbR00000377 Arg-ACG|33</v>
      </c>
      <c r="B2999" s="4" t="s">
        <v>78</v>
      </c>
      <c r="C2999" s="4" t="s">
        <v>453</v>
      </c>
      <c r="D2999" s="4" t="n">
        <v>33</v>
      </c>
      <c r="E2999" s="19" t="s">
        <v>259</v>
      </c>
      <c r="F2999" s="20" t="s">
        <v>452</v>
      </c>
    </row>
    <row r="3000" customFormat="false" ht="15" hidden="false" customHeight="false" outlineLevel="0" collapsed="false">
      <c r="A3000" s="4" t="str">
        <f aca="false">B3000&amp;"|"&amp;C3000</f>
        <v>tdbR00000377 Arg-ACG|34</v>
      </c>
      <c r="B3000" s="4" t="s">
        <v>78</v>
      </c>
      <c r="C3000" s="4" t="s">
        <v>454</v>
      </c>
      <c r="D3000" s="4" t="n">
        <v>34</v>
      </c>
      <c r="E3000" s="19" t="s">
        <v>246</v>
      </c>
      <c r="F3000" s="20" t="s">
        <v>452</v>
      </c>
    </row>
    <row r="3001" customFormat="false" ht="15" hidden="false" customHeight="false" outlineLevel="0" collapsed="false">
      <c r="A3001" s="4" t="str">
        <f aca="false">B3001&amp;"|"&amp;C3001</f>
        <v>tdbR00000377 Arg-ACG|35</v>
      </c>
      <c r="B3001" s="4" t="s">
        <v>78</v>
      </c>
      <c r="C3001" s="4" t="s">
        <v>455</v>
      </c>
      <c r="D3001" s="4" t="n">
        <v>35</v>
      </c>
      <c r="E3001" s="19" t="s">
        <v>414</v>
      </c>
      <c r="F3001" s="20" t="s">
        <v>452</v>
      </c>
    </row>
    <row r="3002" customFormat="false" ht="15" hidden="false" customHeight="false" outlineLevel="0" collapsed="false">
      <c r="A3002" s="4" t="str">
        <f aca="false">B3002&amp;"|"&amp;C3002</f>
        <v>tdbR00000377 Arg-ACG|36</v>
      </c>
      <c r="B3002" s="4" t="s">
        <v>78</v>
      </c>
      <c r="C3002" s="4" t="s">
        <v>456</v>
      </c>
      <c r="D3002" s="4" t="n">
        <v>36</v>
      </c>
      <c r="E3002" s="19" t="s">
        <v>197</v>
      </c>
      <c r="F3002" s="20" t="s">
        <v>452</v>
      </c>
    </row>
    <row r="3003" customFormat="false" ht="15" hidden="false" customHeight="false" outlineLevel="0" collapsed="false">
      <c r="A3003" s="4" t="str">
        <f aca="false">B3003&amp;"|"&amp;C3003</f>
        <v>tdbR00000377 Arg-ACG|37</v>
      </c>
      <c r="B3003" s="4" t="s">
        <v>78</v>
      </c>
      <c r="C3003" s="4" t="s">
        <v>457</v>
      </c>
      <c r="D3003" s="4" t="n">
        <v>37</v>
      </c>
      <c r="E3003" s="19" t="s">
        <v>197</v>
      </c>
      <c r="F3003" s="20" t="s">
        <v>452</v>
      </c>
    </row>
    <row r="3004" customFormat="false" ht="15" hidden="false" customHeight="false" outlineLevel="0" collapsed="false">
      <c r="A3004" s="4" t="str">
        <f aca="false">B3004&amp;"|"&amp;C3004</f>
        <v>tdbR00000377 Arg-ACG|38</v>
      </c>
      <c r="B3004" s="4" t="s">
        <v>78</v>
      </c>
      <c r="C3004" s="4" t="s">
        <v>458</v>
      </c>
      <c r="D3004" s="4" t="n">
        <v>38</v>
      </c>
      <c r="E3004" s="19" t="s">
        <v>246</v>
      </c>
      <c r="F3004" s="20" t="s">
        <v>452</v>
      </c>
    </row>
    <row r="3005" customFormat="false" ht="15" hidden="false" customHeight="false" outlineLevel="0" collapsed="false">
      <c r="A3005" s="4" t="str">
        <f aca="false">B3005&amp;"|"&amp;C3005</f>
        <v>tdbR00000377 Arg-ACG|39</v>
      </c>
      <c r="B3005" s="4" t="s">
        <v>78</v>
      </c>
      <c r="C3005" s="4" t="s">
        <v>459</v>
      </c>
      <c r="D3005" s="4" t="n">
        <v>39</v>
      </c>
      <c r="E3005" s="21" t="s">
        <v>259</v>
      </c>
      <c r="F3005" s="22" t="s">
        <v>446</v>
      </c>
    </row>
    <row r="3006" customFormat="false" ht="15" hidden="false" customHeight="false" outlineLevel="0" collapsed="false">
      <c r="A3006" s="4" t="str">
        <f aca="false">B3006&amp;"|"&amp;C3006</f>
        <v>tdbR00000377 Arg-ACG|40</v>
      </c>
      <c r="B3006" s="4" t="s">
        <v>78</v>
      </c>
      <c r="C3006" s="4" t="s">
        <v>460</v>
      </c>
      <c r="D3006" s="4" t="n">
        <v>40</v>
      </c>
      <c r="E3006" s="21" t="s">
        <v>414</v>
      </c>
      <c r="F3006" s="22" t="s">
        <v>446</v>
      </c>
    </row>
    <row r="3007" customFormat="false" ht="15" hidden="false" customHeight="false" outlineLevel="0" collapsed="false">
      <c r="A3007" s="4" t="str">
        <f aca="false">B3007&amp;"|"&amp;C3007</f>
        <v>tdbR00000377 Arg-ACG|41</v>
      </c>
      <c r="B3007" s="4" t="s">
        <v>78</v>
      </c>
      <c r="C3007" s="4" t="s">
        <v>461</v>
      </c>
      <c r="D3007" s="4" t="n">
        <v>41</v>
      </c>
      <c r="E3007" s="21" t="s">
        <v>246</v>
      </c>
      <c r="F3007" s="22" t="s">
        <v>446</v>
      </c>
    </row>
    <row r="3008" customFormat="false" ht="15" hidden="false" customHeight="false" outlineLevel="0" collapsed="false">
      <c r="A3008" s="4" t="str">
        <f aca="false">B3008&amp;"|"&amp;C3008</f>
        <v>tdbR00000377 Arg-ACG|42</v>
      </c>
      <c r="B3008" s="4" t="s">
        <v>78</v>
      </c>
      <c r="C3008" s="4" t="s">
        <v>462</v>
      </c>
      <c r="D3008" s="4" t="n">
        <v>42</v>
      </c>
      <c r="E3008" s="21" t="s">
        <v>197</v>
      </c>
      <c r="F3008" s="22" t="s">
        <v>446</v>
      </c>
    </row>
    <row r="3009" customFormat="false" ht="15" hidden="false" customHeight="false" outlineLevel="0" collapsed="false">
      <c r="A3009" s="4" t="str">
        <f aca="false">B3009&amp;"|"&amp;C3009</f>
        <v>tdbR00000377 Arg-ACG|43</v>
      </c>
      <c r="B3009" s="4" t="s">
        <v>78</v>
      </c>
      <c r="C3009" s="4" t="s">
        <v>463</v>
      </c>
      <c r="D3009" s="4" t="n">
        <v>43</v>
      </c>
      <c r="E3009" s="21" t="s">
        <v>246</v>
      </c>
      <c r="F3009" s="22" t="s">
        <v>446</v>
      </c>
    </row>
    <row r="3010" customFormat="false" ht="15" hidden="false" customHeight="false" outlineLevel="0" collapsed="false">
      <c r="A3010" s="4" t="str">
        <f aca="false">B3010&amp;"|"&amp;C3010</f>
        <v>tdbR00000377 Arg-ACG|44</v>
      </c>
      <c r="B3010" s="4" t="s">
        <v>78</v>
      </c>
      <c r="C3010" s="4" t="s">
        <v>464</v>
      </c>
      <c r="D3010" s="4" t="n">
        <v>44</v>
      </c>
      <c r="E3010" s="19" t="s">
        <v>246</v>
      </c>
      <c r="F3010" s="20" t="s">
        <v>465</v>
      </c>
    </row>
    <row r="3011" customFormat="false" ht="15" hidden="false" customHeight="false" outlineLevel="0" collapsed="false">
      <c r="A3011" s="4" t="str">
        <f aca="false">B3011&amp;"|"&amp;C3011</f>
        <v>tdbR00000377 Arg-ACG|45</v>
      </c>
      <c r="B3011" s="4" t="s">
        <v>78</v>
      </c>
      <c r="C3011" s="4" t="s">
        <v>466</v>
      </c>
      <c r="D3011" s="4" t="n">
        <v>45</v>
      </c>
      <c r="E3011" s="19" t="s">
        <v>197</v>
      </c>
      <c r="F3011" s="20" t="s">
        <v>465</v>
      </c>
    </row>
    <row r="3012" customFormat="false" ht="15" hidden="false" customHeight="false" outlineLevel="0" collapsed="false">
      <c r="A3012" s="4" t="str">
        <f aca="false">B3012&amp;"|"&amp;C3012</f>
        <v>tdbR00000377 Arg-ACG|46</v>
      </c>
      <c r="B3012" s="4" t="s">
        <v>78</v>
      </c>
      <c r="C3012" s="4" t="s">
        <v>467</v>
      </c>
      <c r="D3012" s="4" t="n">
        <v>46</v>
      </c>
      <c r="E3012" s="19" t="s">
        <v>246</v>
      </c>
      <c r="F3012" s="20" t="s">
        <v>465</v>
      </c>
    </row>
    <row r="3013" customFormat="false" ht="15" hidden="false" customHeight="false" outlineLevel="0" collapsed="false">
      <c r="A3013" s="4" t="str">
        <f aca="false">B3013&amp;"|"&amp;C3013</f>
        <v>tdbR00000377 Arg-ACG|47</v>
      </c>
      <c r="B3013" s="4" t="s">
        <v>78</v>
      </c>
      <c r="C3013" s="4" t="s">
        <v>468</v>
      </c>
      <c r="D3013" s="4" t="n">
        <v>47</v>
      </c>
      <c r="E3013" s="19" t="s">
        <v>259</v>
      </c>
      <c r="F3013" s="20" t="s">
        <v>465</v>
      </c>
    </row>
    <row r="3014" customFormat="false" ht="15" hidden="false" customHeight="false" outlineLevel="0" collapsed="false">
      <c r="A3014" s="4" t="str">
        <f aca="false">B3014&amp;"|"&amp;C3014</f>
        <v>tdbR00000377 Arg-ACG|48</v>
      </c>
      <c r="B3014" s="4" t="s">
        <v>78</v>
      </c>
      <c r="C3014" s="4" t="s">
        <v>469</v>
      </c>
      <c r="D3014" s="4" t="n">
        <v>48</v>
      </c>
      <c r="E3014" s="19" t="s">
        <v>259</v>
      </c>
      <c r="F3014" s="20" t="s">
        <v>465</v>
      </c>
    </row>
    <row r="3015" customFormat="false" ht="15" hidden="false" customHeight="false" outlineLevel="0" collapsed="false">
      <c r="A3015" s="4" t="str">
        <f aca="false">B3015&amp;"|"&amp;C3015</f>
        <v>tdbR00000377 Arg-ACG|49</v>
      </c>
      <c r="B3015" s="4" t="s">
        <v>78</v>
      </c>
      <c r="C3015" s="4" t="s">
        <v>470</v>
      </c>
      <c r="D3015" s="4" t="n">
        <v>49</v>
      </c>
      <c r="E3015" s="23" t="s">
        <v>414</v>
      </c>
      <c r="F3015" s="10" t="s">
        <v>471</v>
      </c>
    </row>
    <row r="3016" customFormat="false" ht="15" hidden="false" customHeight="false" outlineLevel="0" collapsed="false">
      <c r="A3016" s="4" t="str">
        <f aca="false">B3016&amp;"|"&amp;C3016</f>
        <v>tdbR00000377 Arg-ACG|50</v>
      </c>
      <c r="B3016" s="4" t="s">
        <v>78</v>
      </c>
      <c r="C3016" s="4" t="s">
        <v>472</v>
      </c>
      <c r="D3016" s="4" t="n">
        <v>50</v>
      </c>
      <c r="E3016" s="23" t="s">
        <v>259</v>
      </c>
      <c r="F3016" s="10" t="s">
        <v>471</v>
      </c>
    </row>
    <row r="3017" customFormat="false" ht="15" hidden="false" customHeight="false" outlineLevel="0" collapsed="false">
      <c r="A3017" s="4" t="str">
        <f aca="false">B3017&amp;"|"&amp;C3017</f>
        <v>tdbR00000377 Arg-ACG|51</v>
      </c>
      <c r="B3017" s="4" t="s">
        <v>78</v>
      </c>
      <c r="C3017" s="4" t="s">
        <v>473</v>
      </c>
      <c r="D3017" s="4" t="n">
        <v>51</v>
      </c>
      <c r="E3017" s="23" t="s">
        <v>246</v>
      </c>
      <c r="F3017" s="10" t="s">
        <v>471</v>
      </c>
    </row>
    <row r="3018" customFormat="false" ht="15" hidden="false" customHeight="false" outlineLevel="0" collapsed="false">
      <c r="A3018" s="4" t="str">
        <f aca="false">B3018&amp;"|"&amp;C3018</f>
        <v>tdbR00000377 Arg-ACG|52</v>
      </c>
      <c r="B3018" s="4" t="s">
        <v>78</v>
      </c>
      <c r="C3018" s="4" t="s">
        <v>474</v>
      </c>
      <c r="D3018" s="4" t="n">
        <v>52</v>
      </c>
      <c r="E3018" s="23" t="s">
        <v>197</v>
      </c>
      <c r="F3018" s="10" t="s">
        <v>471</v>
      </c>
    </row>
    <row r="3019" customFormat="false" ht="15" hidden="false" customHeight="false" outlineLevel="0" collapsed="false">
      <c r="A3019" s="4" t="str">
        <f aca="false">B3019&amp;"|"&amp;C3019</f>
        <v>tdbR00000377 Arg-ACG|53</v>
      </c>
      <c r="B3019" s="4" t="s">
        <v>78</v>
      </c>
      <c r="C3019" s="4" t="s">
        <v>475</v>
      </c>
      <c r="D3019" s="4" t="n">
        <v>53</v>
      </c>
      <c r="E3019" s="23" t="s">
        <v>197</v>
      </c>
      <c r="F3019" s="10" t="s">
        <v>471</v>
      </c>
    </row>
    <row r="3020" customFormat="false" ht="15" hidden="false" customHeight="false" outlineLevel="0" collapsed="false">
      <c r="A3020" s="4" t="str">
        <f aca="false">B3020&amp;"|"&amp;C3020</f>
        <v>tdbR00000377 Arg-ACG|54</v>
      </c>
      <c r="B3020" s="4" t="s">
        <v>78</v>
      </c>
      <c r="C3020" s="4" t="s">
        <v>476</v>
      </c>
      <c r="D3020" s="4" t="n">
        <v>54</v>
      </c>
      <c r="E3020" s="19" t="s">
        <v>259</v>
      </c>
      <c r="F3020" s="20" t="s">
        <v>477</v>
      </c>
    </row>
    <row r="3021" customFormat="false" ht="15" hidden="false" customHeight="false" outlineLevel="0" collapsed="false">
      <c r="A3021" s="4" t="str">
        <f aca="false">B3021&amp;"|"&amp;C3021</f>
        <v>tdbR00000377 Arg-ACG|55</v>
      </c>
      <c r="B3021" s="4" t="s">
        <v>78</v>
      </c>
      <c r="C3021" s="4" t="s">
        <v>478</v>
      </c>
      <c r="D3021" s="4" t="n">
        <v>55</v>
      </c>
      <c r="E3021" s="19" t="s">
        <v>259</v>
      </c>
      <c r="F3021" s="20" t="s">
        <v>477</v>
      </c>
    </row>
    <row r="3022" customFormat="false" ht="15" hidden="false" customHeight="false" outlineLevel="0" collapsed="false">
      <c r="A3022" s="4" t="str">
        <f aca="false">B3022&amp;"|"&amp;C3022</f>
        <v>tdbR00000377 Arg-ACG|56</v>
      </c>
      <c r="B3022" s="4" t="s">
        <v>78</v>
      </c>
      <c r="C3022" s="4" t="s">
        <v>479</v>
      </c>
      <c r="D3022" s="4" t="n">
        <v>56</v>
      </c>
      <c r="E3022" s="19" t="s">
        <v>414</v>
      </c>
      <c r="F3022" s="20" t="s">
        <v>477</v>
      </c>
    </row>
    <row r="3023" customFormat="false" ht="15" hidden="false" customHeight="false" outlineLevel="0" collapsed="false">
      <c r="A3023" s="4" t="str">
        <f aca="false">B3023&amp;"|"&amp;C3023</f>
        <v>tdbR00000377 Arg-ACG|57</v>
      </c>
      <c r="B3023" s="4" t="s">
        <v>78</v>
      </c>
      <c r="C3023" s="4" t="s">
        <v>480</v>
      </c>
      <c r="D3023" s="4" t="n">
        <v>57</v>
      </c>
      <c r="E3023" s="19" t="s">
        <v>197</v>
      </c>
      <c r="F3023" s="20" t="s">
        <v>477</v>
      </c>
    </row>
    <row r="3024" customFormat="false" ht="15" hidden="false" customHeight="false" outlineLevel="0" collapsed="false">
      <c r="A3024" s="4" t="str">
        <f aca="false">B3024&amp;"|"&amp;C3024</f>
        <v>tdbR00000377 Arg-ACG|58</v>
      </c>
      <c r="B3024" s="4" t="s">
        <v>78</v>
      </c>
      <c r="C3024" s="4" t="s">
        <v>481</v>
      </c>
      <c r="D3024" s="4" t="n">
        <v>58</v>
      </c>
      <c r="E3024" s="19" t="s">
        <v>246</v>
      </c>
      <c r="F3024" s="20" t="s">
        <v>477</v>
      </c>
    </row>
    <row r="3025" customFormat="false" ht="15" hidden="false" customHeight="false" outlineLevel="0" collapsed="false">
      <c r="A3025" s="4" t="str">
        <f aca="false">B3025&amp;"|"&amp;C3025</f>
        <v>tdbR00000377 Arg-ACG|59</v>
      </c>
      <c r="B3025" s="4" t="s">
        <v>78</v>
      </c>
      <c r="C3025" s="4" t="s">
        <v>482</v>
      </c>
      <c r="D3025" s="4" t="n">
        <v>59</v>
      </c>
      <c r="E3025" s="19" t="s">
        <v>414</v>
      </c>
      <c r="F3025" s="20" t="s">
        <v>477</v>
      </c>
    </row>
    <row r="3026" customFormat="false" ht="15" hidden="false" customHeight="false" outlineLevel="0" collapsed="false">
      <c r="A3026" s="4" t="str">
        <f aca="false">B3026&amp;"|"&amp;C3026</f>
        <v>tdbR00000377 Arg-ACG|60</v>
      </c>
      <c r="B3026" s="4" t="s">
        <v>78</v>
      </c>
      <c r="C3026" s="4" t="s">
        <v>483</v>
      </c>
      <c r="D3026" s="4" t="n">
        <v>60</v>
      </c>
      <c r="E3026" s="19" t="s">
        <v>259</v>
      </c>
      <c r="F3026" s="20" t="s">
        <v>477</v>
      </c>
    </row>
    <row r="3027" customFormat="false" ht="15" hidden="false" customHeight="false" outlineLevel="0" collapsed="false">
      <c r="A3027" s="4" t="str">
        <f aca="false">B3027&amp;"|"&amp;C3027</f>
        <v>tdbR00000377 Arg-ACG|61</v>
      </c>
      <c r="B3027" s="4" t="s">
        <v>78</v>
      </c>
      <c r="C3027" s="4" t="s">
        <v>484</v>
      </c>
      <c r="D3027" s="4" t="n">
        <v>61</v>
      </c>
      <c r="E3027" s="23" t="s">
        <v>414</v>
      </c>
      <c r="F3027" s="10" t="s">
        <v>471</v>
      </c>
    </row>
    <row r="3028" customFormat="false" ht="15" hidden="false" customHeight="false" outlineLevel="0" collapsed="false">
      <c r="A3028" s="4" t="str">
        <f aca="false">B3028&amp;"|"&amp;C3028</f>
        <v>tdbR00000377 Arg-ACG|62</v>
      </c>
      <c r="B3028" s="4" t="s">
        <v>78</v>
      </c>
      <c r="C3028" s="4" t="s">
        <v>485</v>
      </c>
      <c r="D3028" s="4" t="n">
        <v>62</v>
      </c>
      <c r="E3028" s="23" t="s">
        <v>414</v>
      </c>
      <c r="F3028" s="10" t="s">
        <v>471</v>
      </c>
    </row>
    <row r="3029" customFormat="false" ht="15" hidden="false" customHeight="false" outlineLevel="0" collapsed="false">
      <c r="A3029" s="4" t="str">
        <f aca="false">B3029&amp;"|"&amp;C3029</f>
        <v>tdbR00000377 Arg-ACG|63</v>
      </c>
      <c r="B3029" s="4" t="s">
        <v>78</v>
      </c>
      <c r="C3029" s="4" t="s">
        <v>486</v>
      </c>
      <c r="D3029" s="4" t="n">
        <v>63</v>
      </c>
      <c r="E3029" s="23" t="s">
        <v>259</v>
      </c>
      <c r="F3029" s="10" t="s">
        <v>471</v>
      </c>
    </row>
    <row r="3030" customFormat="false" ht="15" hidden="false" customHeight="false" outlineLevel="0" collapsed="false">
      <c r="A3030" s="4" t="str">
        <f aca="false">B3030&amp;"|"&amp;C3030</f>
        <v>tdbR00000377 Arg-ACG|64</v>
      </c>
      <c r="B3030" s="4" t="s">
        <v>78</v>
      </c>
      <c r="C3030" s="4" t="s">
        <v>487</v>
      </c>
      <c r="D3030" s="4" t="n">
        <v>64</v>
      </c>
      <c r="E3030" s="23" t="s">
        <v>197</v>
      </c>
      <c r="F3030" s="10" t="s">
        <v>471</v>
      </c>
    </row>
    <row r="3031" customFormat="false" ht="15" hidden="false" customHeight="false" outlineLevel="0" collapsed="false">
      <c r="A3031" s="4" t="str">
        <f aca="false">B3031&amp;"|"&amp;C3031</f>
        <v>tdbR00000377 Arg-ACG|65</v>
      </c>
      <c r="B3031" s="4" t="s">
        <v>78</v>
      </c>
      <c r="C3031" s="4" t="s">
        <v>488</v>
      </c>
      <c r="D3031" s="4" t="n">
        <v>65</v>
      </c>
      <c r="E3031" s="23" t="s">
        <v>197</v>
      </c>
      <c r="F3031" s="10" t="s">
        <v>471</v>
      </c>
    </row>
    <row r="3032" customFormat="false" ht="15" hidden="false" customHeight="false" outlineLevel="0" collapsed="false">
      <c r="A3032" s="4" t="str">
        <f aca="false">B3032&amp;"|"&amp;C3032</f>
        <v>tdbR00000377 Arg-ACG|66</v>
      </c>
      <c r="B3032" s="4" t="s">
        <v>78</v>
      </c>
      <c r="C3032" s="4" t="s">
        <v>489</v>
      </c>
      <c r="D3032" s="4" t="n">
        <v>66</v>
      </c>
      <c r="E3032" s="17" t="s">
        <v>414</v>
      </c>
      <c r="F3032" s="18" t="s">
        <v>412</v>
      </c>
    </row>
    <row r="3033" customFormat="false" ht="15" hidden="false" customHeight="false" outlineLevel="0" collapsed="false">
      <c r="A3033" s="4" t="str">
        <f aca="false">B3033&amp;"|"&amp;C3033</f>
        <v>tdbR00000377 Arg-ACG|67</v>
      </c>
      <c r="B3033" s="4" t="s">
        <v>78</v>
      </c>
      <c r="C3033" s="4" t="s">
        <v>490</v>
      </c>
      <c r="D3033" s="4" t="n">
        <v>67</v>
      </c>
      <c r="E3033" s="17" t="s">
        <v>259</v>
      </c>
      <c r="F3033" s="18" t="s">
        <v>412</v>
      </c>
    </row>
    <row r="3034" customFormat="false" ht="15" hidden="false" customHeight="false" outlineLevel="0" collapsed="false">
      <c r="A3034" s="4" t="str">
        <f aca="false">B3034&amp;"|"&amp;C3034</f>
        <v>tdbR00000377 Arg-ACG|68</v>
      </c>
      <c r="B3034" s="4" t="s">
        <v>78</v>
      </c>
      <c r="C3034" s="4" t="s">
        <v>491</v>
      </c>
      <c r="D3034" s="4" t="n">
        <v>68</v>
      </c>
      <c r="E3034" s="17" t="s">
        <v>197</v>
      </c>
      <c r="F3034" s="18" t="s">
        <v>412</v>
      </c>
    </row>
    <row r="3035" customFormat="false" ht="15" hidden="false" customHeight="false" outlineLevel="0" collapsed="false">
      <c r="A3035" s="4" t="str">
        <f aca="false">B3035&amp;"|"&amp;C3035</f>
        <v>tdbR00000377 Arg-ACG|69</v>
      </c>
      <c r="B3035" s="4" t="s">
        <v>78</v>
      </c>
      <c r="C3035" s="4" t="s">
        <v>492</v>
      </c>
      <c r="D3035" s="4" t="n">
        <v>69</v>
      </c>
      <c r="E3035" s="17" t="s">
        <v>197</v>
      </c>
      <c r="F3035" s="18" t="s">
        <v>412</v>
      </c>
    </row>
    <row r="3036" customFormat="false" ht="15" hidden="false" customHeight="false" outlineLevel="0" collapsed="false">
      <c r="A3036" s="4" t="str">
        <f aca="false">B3036&amp;"|"&amp;C3036</f>
        <v>tdbR00000377 Arg-ACG|70</v>
      </c>
      <c r="B3036" s="4" t="s">
        <v>78</v>
      </c>
      <c r="C3036" s="4" t="s">
        <v>493</v>
      </c>
      <c r="D3036" s="4" t="n">
        <v>70</v>
      </c>
      <c r="E3036" s="17" t="s">
        <v>414</v>
      </c>
      <c r="F3036" s="18" t="s">
        <v>412</v>
      </c>
    </row>
    <row r="3037" customFormat="false" ht="15" hidden="false" customHeight="false" outlineLevel="0" collapsed="false">
      <c r="A3037" s="4" t="str">
        <f aca="false">B3037&amp;"|"&amp;C3037</f>
        <v>tdbR00000377 Arg-ACG|71</v>
      </c>
      <c r="B3037" s="4" t="s">
        <v>78</v>
      </c>
      <c r="C3037" s="4" t="s">
        <v>494</v>
      </c>
      <c r="D3037" s="4" t="n">
        <v>71</v>
      </c>
      <c r="E3037" s="17" t="s">
        <v>259</v>
      </c>
      <c r="F3037" s="18" t="s">
        <v>412</v>
      </c>
    </row>
    <row r="3038" customFormat="false" ht="15" hidden="false" customHeight="false" outlineLevel="0" collapsed="false">
      <c r="A3038" s="4" t="str">
        <f aca="false">B3038&amp;"|"&amp;C3038</f>
        <v>tdbR00000377 Arg-ACG|72</v>
      </c>
      <c r="B3038" s="4" t="s">
        <v>78</v>
      </c>
      <c r="C3038" s="4" t="s">
        <v>495</v>
      </c>
      <c r="D3038" s="4" t="n">
        <v>72</v>
      </c>
      <c r="E3038" s="17" t="s">
        <v>414</v>
      </c>
      <c r="F3038" s="18" t="s">
        <v>412</v>
      </c>
    </row>
    <row r="3039" customFormat="false" ht="15" hidden="false" customHeight="false" outlineLevel="0" collapsed="false">
      <c r="A3039" s="4" t="str">
        <f aca="false">B3039&amp;"|"&amp;C3039</f>
        <v>tdbR00000378 Arg-ACG|1</v>
      </c>
      <c r="B3039" s="4" t="s">
        <v>79</v>
      </c>
      <c r="C3039" s="4" t="s">
        <v>411</v>
      </c>
      <c r="D3039" s="4" t="n">
        <v>1</v>
      </c>
      <c r="E3039" s="17" t="s">
        <v>197</v>
      </c>
      <c r="F3039" s="18" t="s">
        <v>412</v>
      </c>
    </row>
    <row r="3040" customFormat="false" ht="15" hidden="false" customHeight="false" outlineLevel="0" collapsed="false">
      <c r="A3040" s="4" t="str">
        <f aca="false">B3040&amp;"|"&amp;C3040</f>
        <v>tdbR00000378 Arg-ACG|2</v>
      </c>
      <c r="B3040" s="4" t="s">
        <v>79</v>
      </c>
      <c r="C3040" s="4" t="s">
        <v>413</v>
      </c>
      <c r="D3040" s="4" t="n">
        <v>2</v>
      </c>
      <c r="E3040" s="17" t="s">
        <v>197</v>
      </c>
      <c r="F3040" s="18" t="s">
        <v>412</v>
      </c>
    </row>
    <row r="3041" customFormat="false" ht="15" hidden="false" customHeight="false" outlineLevel="0" collapsed="false">
      <c r="A3041" s="4" t="str">
        <f aca="false">B3041&amp;"|"&amp;C3041</f>
        <v>tdbR00000378 Arg-ACG|3</v>
      </c>
      <c r="B3041" s="4" t="s">
        <v>79</v>
      </c>
      <c r="C3041" s="4" t="s">
        <v>415</v>
      </c>
      <c r="D3041" s="4" t="n">
        <v>3</v>
      </c>
      <c r="E3041" s="17" t="s">
        <v>197</v>
      </c>
      <c r="F3041" s="18" t="s">
        <v>412</v>
      </c>
    </row>
    <row r="3042" customFormat="false" ht="15" hidden="false" customHeight="false" outlineLevel="0" collapsed="false">
      <c r="A3042" s="4" t="str">
        <f aca="false">B3042&amp;"|"&amp;C3042</f>
        <v>tdbR00000378 Arg-ACG|4</v>
      </c>
      <c r="B3042" s="4" t="s">
        <v>79</v>
      </c>
      <c r="C3042" s="4" t="s">
        <v>416</v>
      </c>
      <c r="D3042" s="4" t="n">
        <v>4</v>
      </c>
      <c r="E3042" s="17" t="s">
        <v>414</v>
      </c>
      <c r="F3042" s="18" t="s">
        <v>412</v>
      </c>
    </row>
    <row r="3043" customFormat="false" ht="15" hidden="false" customHeight="false" outlineLevel="0" collapsed="false">
      <c r="A3043" s="4" t="str">
        <f aca="false">B3043&amp;"|"&amp;C3043</f>
        <v>tdbR00000378 Arg-ACG|5</v>
      </c>
      <c r="B3043" s="4" t="s">
        <v>79</v>
      </c>
      <c r="C3043" s="4" t="s">
        <v>417</v>
      </c>
      <c r="D3043" s="4" t="n">
        <v>5</v>
      </c>
      <c r="E3043" s="17" t="s">
        <v>414</v>
      </c>
      <c r="F3043" s="18" t="s">
        <v>412</v>
      </c>
    </row>
    <row r="3044" customFormat="false" ht="15" hidden="false" customHeight="false" outlineLevel="0" collapsed="false">
      <c r="A3044" s="4" t="str">
        <f aca="false">B3044&amp;"|"&amp;C3044</f>
        <v>tdbR00000378 Arg-ACG|6</v>
      </c>
      <c r="B3044" s="4" t="s">
        <v>79</v>
      </c>
      <c r="C3044" s="4" t="s">
        <v>418</v>
      </c>
      <c r="D3044" s="4" t="n">
        <v>6</v>
      </c>
      <c r="E3044" s="17" t="s">
        <v>246</v>
      </c>
      <c r="F3044" s="18" t="s">
        <v>412</v>
      </c>
    </row>
    <row r="3045" customFormat="false" ht="15" hidden="false" customHeight="false" outlineLevel="0" collapsed="false">
      <c r="A3045" s="4" t="str">
        <f aca="false">B3045&amp;"|"&amp;C3045</f>
        <v>tdbR00000378 Arg-ACG|7</v>
      </c>
      <c r="B3045" s="4" t="s">
        <v>79</v>
      </c>
      <c r="C3045" s="4" t="s">
        <v>419</v>
      </c>
      <c r="D3045" s="4" t="n">
        <v>7</v>
      </c>
      <c r="E3045" s="17" t="s">
        <v>197</v>
      </c>
      <c r="F3045" s="18" t="s">
        <v>412</v>
      </c>
    </row>
    <row r="3046" customFormat="false" ht="15" hidden="false" customHeight="false" outlineLevel="0" collapsed="false">
      <c r="A3046" s="4" t="str">
        <f aca="false">B3046&amp;"|"&amp;C3046</f>
        <v>tdbR00000378 Arg-ACG|8</v>
      </c>
      <c r="B3046" s="4" t="s">
        <v>79</v>
      </c>
      <c r="C3046" s="4" t="s">
        <v>420</v>
      </c>
      <c r="D3046" s="4" t="n">
        <v>8</v>
      </c>
      <c r="E3046" s="3" t="s">
        <v>259</v>
      </c>
      <c r="F3046" s="4" t="s">
        <v>421</v>
      </c>
    </row>
    <row r="3047" customFormat="false" ht="15" hidden="false" customHeight="false" outlineLevel="0" collapsed="false">
      <c r="A3047" s="4" t="str">
        <f aca="false">B3047&amp;"|"&amp;C3047</f>
        <v>tdbR00000378 Arg-ACG|9</v>
      </c>
      <c r="B3047" s="4" t="s">
        <v>79</v>
      </c>
      <c r="C3047" s="4" t="s">
        <v>422</v>
      </c>
      <c r="D3047" s="4" t="n">
        <v>9</v>
      </c>
      <c r="E3047" s="3" t="s">
        <v>197</v>
      </c>
      <c r="F3047" s="4" t="s">
        <v>423</v>
      </c>
    </row>
    <row r="3048" customFormat="false" ht="15" hidden="false" customHeight="false" outlineLevel="0" collapsed="false">
      <c r="A3048" s="4" t="str">
        <f aca="false">B3048&amp;"|"&amp;C3048</f>
        <v>tdbR00000378 Arg-ACG|10</v>
      </c>
      <c r="B3048" s="4" t="s">
        <v>79</v>
      </c>
      <c r="C3048" s="4" t="s">
        <v>424</v>
      </c>
      <c r="D3048" s="4" t="n">
        <v>10</v>
      </c>
      <c r="E3048" s="8" t="s">
        <v>197</v>
      </c>
      <c r="F3048" s="7" t="s">
        <v>425</v>
      </c>
    </row>
    <row r="3049" customFormat="false" ht="15" hidden="false" customHeight="false" outlineLevel="0" collapsed="false">
      <c r="A3049" s="4" t="str">
        <f aca="false">B3049&amp;"|"&amp;C3049</f>
        <v>tdbR00000378 Arg-ACG|11</v>
      </c>
      <c r="B3049" s="4" t="s">
        <v>79</v>
      </c>
      <c r="C3049" s="4" t="s">
        <v>426</v>
      </c>
      <c r="D3049" s="4" t="n">
        <v>11</v>
      </c>
      <c r="E3049" s="8" t="s">
        <v>414</v>
      </c>
      <c r="F3049" s="7" t="s">
        <v>425</v>
      </c>
    </row>
    <row r="3050" customFormat="false" ht="15" hidden="false" customHeight="false" outlineLevel="0" collapsed="false">
      <c r="A3050" s="4" t="str">
        <f aca="false">B3050&amp;"|"&amp;C3050</f>
        <v>tdbR00000378 Arg-ACG|12</v>
      </c>
      <c r="B3050" s="4" t="s">
        <v>79</v>
      </c>
      <c r="C3050" s="4" t="s">
        <v>427</v>
      </c>
      <c r="D3050" s="4" t="n">
        <v>12</v>
      </c>
      <c r="E3050" s="8" t="s">
        <v>197</v>
      </c>
      <c r="F3050" s="7" t="s">
        <v>425</v>
      </c>
    </row>
    <row r="3051" customFormat="false" ht="15" hidden="false" customHeight="false" outlineLevel="0" collapsed="false">
      <c r="A3051" s="4" t="str">
        <f aca="false">B3051&amp;"|"&amp;C3051</f>
        <v>tdbR00000378 Arg-ACG|13</v>
      </c>
      <c r="B3051" s="4" t="s">
        <v>79</v>
      </c>
      <c r="C3051" s="4" t="s">
        <v>428</v>
      </c>
      <c r="D3051" s="4" t="n">
        <v>13</v>
      </c>
      <c r="E3051" s="8" t="s">
        <v>414</v>
      </c>
      <c r="F3051" s="7" t="s">
        <v>425</v>
      </c>
    </row>
    <row r="3052" customFormat="false" ht="15" hidden="false" customHeight="false" outlineLevel="0" collapsed="false">
      <c r="A3052" s="4" t="str">
        <f aca="false">B3052&amp;"|"&amp;C3052</f>
        <v>tdbR00000378 Arg-ACG|14</v>
      </c>
      <c r="B3052" s="4" t="s">
        <v>79</v>
      </c>
      <c r="C3052" s="4" t="s">
        <v>429</v>
      </c>
      <c r="D3052" s="4" t="n">
        <v>14</v>
      </c>
      <c r="E3052" s="19" t="s">
        <v>246</v>
      </c>
      <c r="F3052" s="20" t="s">
        <v>430</v>
      </c>
    </row>
    <row r="3053" customFormat="false" ht="15" hidden="false" customHeight="false" outlineLevel="0" collapsed="false">
      <c r="A3053" s="4" t="str">
        <f aca="false">B3053&amp;"|"&amp;C3053</f>
        <v>tdbR00000378 Arg-ACG|15</v>
      </c>
      <c r="B3053" s="4" t="s">
        <v>79</v>
      </c>
      <c r="C3053" s="4" t="s">
        <v>431</v>
      </c>
      <c r="D3053" s="4" t="n">
        <v>15</v>
      </c>
      <c r="E3053" s="19" t="s">
        <v>246</v>
      </c>
      <c r="F3053" s="20" t="s">
        <v>430</v>
      </c>
    </row>
    <row r="3054" customFormat="false" ht="15" hidden="false" customHeight="false" outlineLevel="0" collapsed="false">
      <c r="A3054" s="4" t="str">
        <f aca="false">B3054&amp;"|"&amp;C3054</f>
        <v>tdbR00000378 Arg-ACG|16</v>
      </c>
      <c r="B3054" s="4" t="s">
        <v>79</v>
      </c>
      <c r="C3054" s="4" t="s">
        <v>432</v>
      </c>
      <c r="D3054" s="4" t="n">
        <v>16</v>
      </c>
      <c r="E3054" s="19" t="s">
        <v>259</v>
      </c>
      <c r="F3054" s="20" t="s">
        <v>430</v>
      </c>
    </row>
    <row r="3055" customFormat="false" ht="15" hidden="false" customHeight="false" outlineLevel="0" collapsed="false">
      <c r="A3055" s="4" t="str">
        <f aca="false">B3055&amp;"|"&amp;C3055</f>
        <v>tdbR00000378 Arg-ACG|18</v>
      </c>
      <c r="B3055" s="4" t="s">
        <v>79</v>
      </c>
      <c r="C3055" s="4" t="s">
        <v>434</v>
      </c>
      <c r="D3055" s="4" t="n">
        <v>17</v>
      </c>
      <c r="E3055" s="19" t="s">
        <v>197</v>
      </c>
      <c r="F3055" s="20" t="s">
        <v>430</v>
      </c>
    </row>
    <row r="3056" customFormat="false" ht="15" hidden="false" customHeight="false" outlineLevel="0" collapsed="false">
      <c r="A3056" s="4" t="str">
        <f aca="false">B3056&amp;"|"&amp;C3056</f>
        <v>tdbR00000378 Arg-ACG|19</v>
      </c>
      <c r="B3056" s="4" t="s">
        <v>79</v>
      </c>
      <c r="C3056" s="4" t="s">
        <v>435</v>
      </c>
      <c r="D3056" s="4" t="n">
        <v>18</v>
      </c>
      <c r="E3056" s="19" t="s">
        <v>197</v>
      </c>
      <c r="F3056" s="20" t="s">
        <v>430</v>
      </c>
    </row>
    <row r="3057" customFormat="false" ht="15" hidden="false" customHeight="false" outlineLevel="0" collapsed="false">
      <c r="A3057" s="4" t="str">
        <f aca="false">B3057&amp;"|"&amp;C3057</f>
        <v>tdbR00000378 Arg-ACG|20</v>
      </c>
      <c r="B3057" s="4" t="s">
        <v>79</v>
      </c>
      <c r="C3057" s="4" t="s">
        <v>436</v>
      </c>
      <c r="D3057" s="4" t="n">
        <v>19</v>
      </c>
      <c r="E3057" s="19" t="s">
        <v>246</v>
      </c>
      <c r="F3057" s="20" t="s">
        <v>430</v>
      </c>
    </row>
    <row r="3058" customFormat="false" ht="15" hidden="false" customHeight="false" outlineLevel="0" collapsed="false">
      <c r="A3058" s="4" t="str">
        <f aca="false">B3058&amp;"|"&amp;C3058</f>
        <v>tdbR00000378 Arg-ACG|20a</v>
      </c>
      <c r="B3058" s="4" t="s">
        <v>79</v>
      </c>
      <c r="C3058" s="4" t="s">
        <v>437</v>
      </c>
      <c r="D3058" s="4" t="n">
        <v>20</v>
      </c>
      <c r="E3058" s="19" t="s">
        <v>259</v>
      </c>
      <c r="F3058" s="20" t="s">
        <v>430</v>
      </c>
    </row>
    <row r="3059" customFormat="false" ht="15" hidden="false" customHeight="false" outlineLevel="0" collapsed="false">
      <c r="A3059" s="4" t="str">
        <f aca="false">B3059&amp;"|"&amp;C3059</f>
        <v>tdbR00000378 Arg-ACG|21</v>
      </c>
      <c r="B3059" s="4" t="s">
        <v>79</v>
      </c>
      <c r="C3059" s="4" t="s">
        <v>438</v>
      </c>
      <c r="D3059" s="4" t="n">
        <v>21</v>
      </c>
      <c r="E3059" s="19" t="s">
        <v>246</v>
      </c>
      <c r="F3059" s="20" t="s">
        <v>430</v>
      </c>
    </row>
    <row r="3060" customFormat="false" ht="15" hidden="false" customHeight="false" outlineLevel="0" collapsed="false">
      <c r="A3060" s="4" t="str">
        <f aca="false">B3060&amp;"|"&amp;C3060</f>
        <v>tdbR00000378 Arg-ACG|22</v>
      </c>
      <c r="B3060" s="4" t="s">
        <v>79</v>
      </c>
      <c r="C3060" s="4" t="s">
        <v>439</v>
      </c>
      <c r="D3060" s="4" t="n">
        <v>22</v>
      </c>
      <c r="E3060" s="8" t="s">
        <v>246</v>
      </c>
      <c r="F3060" s="7" t="s">
        <v>425</v>
      </c>
    </row>
    <row r="3061" customFormat="false" ht="15" hidden="false" customHeight="false" outlineLevel="0" collapsed="false">
      <c r="A3061" s="4" t="str">
        <f aca="false">B3061&amp;"|"&amp;C3061</f>
        <v>tdbR00000378 Arg-ACG|23</v>
      </c>
      <c r="B3061" s="4" t="s">
        <v>79</v>
      </c>
      <c r="C3061" s="4" t="s">
        <v>440</v>
      </c>
      <c r="D3061" s="4" t="n">
        <v>23</v>
      </c>
      <c r="E3061" s="8" t="s">
        <v>414</v>
      </c>
      <c r="F3061" s="7" t="s">
        <v>425</v>
      </c>
    </row>
    <row r="3062" customFormat="false" ht="15" hidden="false" customHeight="false" outlineLevel="0" collapsed="false">
      <c r="A3062" s="4" t="str">
        <f aca="false">B3062&amp;"|"&amp;C3062</f>
        <v>tdbR00000378 Arg-ACG|24</v>
      </c>
      <c r="B3062" s="4" t="s">
        <v>79</v>
      </c>
      <c r="C3062" s="4" t="s">
        <v>441</v>
      </c>
      <c r="D3062" s="4" t="n">
        <v>24</v>
      </c>
      <c r="E3062" s="8" t="s">
        <v>197</v>
      </c>
      <c r="F3062" s="7" t="s">
        <v>425</v>
      </c>
    </row>
    <row r="3063" customFormat="false" ht="15" hidden="false" customHeight="false" outlineLevel="0" collapsed="false">
      <c r="A3063" s="4" t="str">
        <f aca="false">B3063&amp;"|"&amp;C3063</f>
        <v>tdbR00000378 Arg-ACG|25</v>
      </c>
      <c r="B3063" s="4" t="s">
        <v>79</v>
      </c>
      <c r="C3063" s="4" t="s">
        <v>442</v>
      </c>
      <c r="D3063" s="4" t="n">
        <v>25</v>
      </c>
      <c r="E3063" s="8" t="s">
        <v>414</v>
      </c>
      <c r="F3063" s="7" t="s">
        <v>425</v>
      </c>
    </row>
    <row r="3064" customFormat="false" ht="15" hidden="false" customHeight="false" outlineLevel="0" collapsed="false">
      <c r="A3064" s="4" t="str">
        <f aca="false">B3064&amp;"|"&amp;C3064</f>
        <v>tdbR00000378 Arg-ACG|26</v>
      </c>
      <c r="B3064" s="4" t="s">
        <v>79</v>
      </c>
      <c r="C3064" s="4" t="s">
        <v>443</v>
      </c>
      <c r="D3064" s="4" t="n">
        <v>26</v>
      </c>
      <c r="E3064" s="3" t="s">
        <v>197</v>
      </c>
      <c r="F3064" s="4" t="s">
        <v>444</v>
      </c>
    </row>
    <row r="3065" customFormat="false" ht="15" hidden="false" customHeight="false" outlineLevel="0" collapsed="false">
      <c r="A3065" s="4" t="str">
        <f aca="false">B3065&amp;"|"&amp;C3065</f>
        <v>tdbR00000378 Arg-ACG|27</v>
      </c>
      <c r="B3065" s="4" t="s">
        <v>79</v>
      </c>
      <c r="C3065" s="4" t="s">
        <v>445</v>
      </c>
      <c r="D3065" s="4" t="n">
        <v>27</v>
      </c>
      <c r="E3065" s="21" t="s">
        <v>259</v>
      </c>
      <c r="F3065" s="22" t="s">
        <v>446</v>
      </c>
    </row>
    <row r="3066" customFormat="false" ht="15" hidden="false" customHeight="false" outlineLevel="0" collapsed="false">
      <c r="A3066" s="4" t="str">
        <f aca="false">B3066&amp;"|"&amp;C3066</f>
        <v>tdbR00000378 Arg-ACG|28</v>
      </c>
      <c r="B3066" s="4" t="s">
        <v>79</v>
      </c>
      <c r="C3066" s="4" t="s">
        <v>447</v>
      </c>
      <c r="D3066" s="4" t="n">
        <v>28</v>
      </c>
      <c r="E3066" s="21" t="s">
        <v>414</v>
      </c>
      <c r="F3066" s="22" t="s">
        <v>446</v>
      </c>
    </row>
    <row r="3067" customFormat="false" ht="15" hidden="false" customHeight="false" outlineLevel="0" collapsed="false">
      <c r="A3067" s="4" t="str">
        <f aca="false">B3067&amp;"|"&amp;C3067</f>
        <v>tdbR00000378 Arg-ACG|29</v>
      </c>
      <c r="B3067" s="4" t="s">
        <v>79</v>
      </c>
      <c r="C3067" s="4" t="s">
        <v>448</v>
      </c>
      <c r="D3067" s="4" t="n">
        <v>29</v>
      </c>
      <c r="E3067" s="21" t="s">
        <v>259</v>
      </c>
      <c r="F3067" s="22" t="s">
        <v>446</v>
      </c>
    </row>
    <row r="3068" customFormat="false" ht="15" hidden="false" customHeight="false" outlineLevel="0" collapsed="false">
      <c r="A3068" s="4" t="str">
        <f aca="false">B3068&amp;"|"&amp;C3068</f>
        <v>tdbR00000378 Arg-ACG|30</v>
      </c>
      <c r="B3068" s="4" t="s">
        <v>79</v>
      </c>
      <c r="C3068" s="4" t="s">
        <v>449</v>
      </c>
      <c r="D3068" s="4" t="n">
        <v>30</v>
      </c>
      <c r="E3068" s="21" t="s">
        <v>197</v>
      </c>
      <c r="F3068" s="22" t="s">
        <v>446</v>
      </c>
    </row>
    <row r="3069" customFormat="false" ht="15" hidden="false" customHeight="false" outlineLevel="0" collapsed="false">
      <c r="A3069" s="4" t="str">
        <f aca="false">B3069&amp;"|"&amp;C3069</f>
        <v>tdbR00000378 Arg-ACG|31</v>
      </c>
      <c r="B3069" s="4" t="s">
        <v>79</v>
      </c>
      <c r="C3069" s="4" t="s">
        <v>450</v>
      </c>
      <c r="D3069" s="4" t="n">
        <v>31</v>
      </c>
      <c r="E3069" s="21" t="s">
        <v>246</v>
      </c>
      <c r="F3069" s="22" t="s">
        <v>446</v>
      </c>
    </row>
    <row r="3070" customFormat="false" ht="15" hidden="false" customHeight="false" outlineLevel="0" collapsed="false">
      <c r="A3070" s="4" t="str">
        <f aca="false">B3070&amp;"|"&amp;C3070</f>
        <v>tdbR00000378 Arg-ACG|32</v>
      </c>
      <c r="B3070" s="4" t="s">
        <v>79</v>
      </c>
      <c r="C3070" s="4" t="s">
        <v>451</v>
      </c>
      <c r="D3070" s="4" t="n">
        <v>32</v>
      </c>
      <c r="E3070" s="19" t="s">
        <v>414</v>
      </c>
      <c r="F3070" s="20" t="s">
        <v>452</v>
      </c>
    </row>
    <row r="3071" customFormat="false" ht="15" hidden="false" customHeight="false" outlineLevel="0" collapsed="false">
      <c r="A3071" s="4" t="str">
        <f aca="false">B3071&amp;"|"&amp;C3071</f>
        <v>tdbR00000378 Arg-ACG|33</v>
      </c>
      <c r="B3071" s="4" t="s">
        <v>79</v>
      </c>
      <c r="C3071" s="4" t="s">
        <v>453</v>
      </c>
      <c r="D3071" s="4" t="n">
        <v>33</v>
      </c>
      <c r="E3071" s="19" t="s">
        <v>259</v>
      </c>
      <c r="F3071" s="20" t="s">
        <v>452</v>
      </c>
    </row>
    <row r="3072" customFormat="false" ht="15" hidden="false" customHeight="false" outlineLevel="0" collapsed="false">
      <c r="A3072" s="4" t="str">
        <f aca="false">B3072&amp;"|"&amp;C3072</f>
        <v>tdbR00000378 Arg-ACG|34</v>
      </c>
      <c r="B3072" s="4" t="s">
        <v>79</v>
      </c>
      <c r="C3072" s="4" t="s">
        <v>454</v>
      </c>
      <c r="D3072" s="4" t="n">
        <v>34</v>
      </c>
      <c r="E3072" s="19" t="s">
        <v>246</v>
      </c>
      <c r="F3072" s="20" t="s">
        <v>452</v>
      </c>
    </row>
    <row r="3073" customFormat="false" ht="15" hidden="false" customHeight="false" outlineLevel="0" collapsed="false">
      <c r="A3073" s="4" t="str">
        <f aca="false">B3073&amp;"|"&amp;C3073</f>
        <v>tdbR00000378 Arg-ACG|35</v>
      </c>
      <c r="B3073" s="4" t="s">
        <v>79</v>
      </c>
      <c r="C3073" s="4" t="s">
        <v>455</v>
      </c>
      <c r="D3073" s="4" t="n">
        <v>35</v>
      </c>
      <c r="E3073" s="19" t="s">
        <v>414</v>
      </c>
      <c r="F3073" s="20" t="s">
        <v>452</v>
      </c>
    </row>
    <row r="3074" customFormat="false" ht="15" hidden="false" customHeight="false" outlineLevel="0" collapsed="false">
      <c r="A3074" s="4" t="str">
        <f aca="false">B3074&amp;"|"&amp;C3074</f>
        <v>tdbR00000378 Arg-ACG|36</v>
      </c>
      <c r="B3074" s="4" t="s">
        <v>79</v>
      </c>
      <c r="C3074" s="4" t="s">
        <v>456</v>
      </c>
      <c r="D3074" s="4" t="n">
        <v>36</v>
      </c>
      <c r="E3074" s="19" t="s">
        <v>197</v>
      </c>
      <c r="F3074" s="20" t="s">
        <v>452</v>
      </c>
    </row>
    <row r="3075" customFormat="false" ht="15" hidden="false" customHeight="false" outlineLevel="0" collapsed="false">
      <c r="A3075" s="4" t="str">
        <f aca="false">B3075&amp;"|"&amp;C3075</f>
        <v>tdbR00000378 Arg-ACG|37</v>
      </c>
      <c r="B3075" s="4" t="s">
        <v>79</v>
      </c>
      <c r="C3075" s="4" t="s">
        <v>457</v>
      </c>
      <c r="D3075" s="4" t="n">
        <v>37</v>
      </c>
      <c r="E3075" s="19" t="s">
        <v>197</v>
      </c>
      <c r="F3075" s="20" t="s">
        <v>452</v>
      </c>
    </row>
    <row r="3076" customFormat="false" ht="15" hidden="false" customHeight="false" outlineLevel="0" collapsed="false">
      <c r="A3076" s="4" t="str">
        <f aca="false">B3076&amp;"|"&amp;C3076</f>
        <v>tdbR00000378 Arg-ACG|38</v>
      </c>
      <c r="B3076" s="4" t="s">
        <v>79</v>
      </c>
      <c r="C3076" s="4" t="s">
        <v>458</v>
      </c>
      <c r="D3076" s="4" t="n">
        <v>38</v>
      </c>
      <c r="E3076" s="19" t="s">
        <v>246</v>
      </c>
      <c r="F3076" s="20" t="s">
        <v>452</v>
      </c>
    </row>
    <row r="3077" customFormat="false" ht="15" hidden="false" customHeight="false" outlineLevel="0" collapsed="false">
      <c r="A3077" s="4" t="str">
        <f aca="false">B3077&amp;"|"&amp;C3077</f>
        <v>tdbR00000378 Arg-ACG|39</v>
      </c>
      <c r="B3077" s="4" t="s">
        <v>79</v>
      </c>
      <c r="C3077" s="4" t="s">
        <v>459</v>
      </c>
      <c r="D3077" s="4" t="n">
        <v>39</v>
      </c>
      <c r="E3077" s="21" t="s">
        <v>259</v>
      </c>
      <c r="F3077" s="22" t="s">
        <v>446</v>
      </c>
    </row>
    <row r="3078" customFormat="false" ht="15" hidden="false" customHeight="false" outlineLevel="0" collapsed="false">
      <c r="A3078" s="4" t="str">
        <f aca="false">B3078&amp;"|"&amp;C3078</f>
        <v>tdbR00000378 Arg-ACG|40</v>
      </c>
      <c r="B3078" s="4" t="s">
        <v>79</v>
      </c>
      <c r="C3078" s="4" t="s">
        <v>460</v>
      </c>
      <c r="D3078" s="4" t="n">
        <v>40</v>
      </c>
      <c r="E3078" s="21" t="s">
        <v>414</v>
      </c>
      <c r="F3078" s="22" t="s">
        <v>446</v>
      </c>
    </row>
    <row r="3079" customFormat="false" ht="15" hidden="false" customHeight="false" outlineLevel="0" collapsed="false">
      <c r="A3079" s="4" t="str">
        <f aca="false">B3079&amp;"|"&amp;C3079</f>
        <v>tdbR00000378 Arg-ACG|41</v>
      </c>
      <c r="B3079" s="4" t="s">
        <v>79</v>
      </c>
      <c r="C3079" s="4" t="s">
        <v>461</v>
      </c>
      <c r="D3079" s="4" t="n">
        <v>41</v>
      </c>
      <c r="E3079" s="21" t="s">
        <v>246</v>
      </c>
      <c r="F3079" s="22" t="s">
        <v>446</v>
      </c>
    </row>
    <row r="3080" customFormat="false" ht="15" hidden="false" customHeight="false" outlineLevel="0" collapsed="false">
      <c r="A3080" s="4" t="str">
        <f aca="false">B3080&amp;"|"&amp;C3080</f>
        <v>tdbR00000378 Arg-ACG|42</v>
      </c>
      <c r="B3080" s="4" t="s">
        <v>79</v>
      </c>
      <c r="C3080" s="4" t="s">
        <v>462</v>
      </c>
      <c r="D3080" s="4" t="n">
        <v>42</v>
      </c>
      <c r="E3080" s="21" t="s">
        <v>197</v>
      </c>
      <c r="F3080" s="22" t="s">
        <v>446</v>
      </c>
    </row>
    <row r="3081" customFormat="false" ht="15" hidden="false" customHeight="false" outlineLevel="0" collapsed="false">
      <c r="A3081" s="4" t="str">
        <f aca="false">B3081&amp;"|"&amp;C3081</f>
        <v>tdbR00000378 Arg-ACG|43</v>
      </c>
      <c r="B3081" s="4" t="s">
        <v>79</v>
      </c>
      <c r="C3081" s="4" t="s">
        <v>463</v>
      </c>
      <c r="D3081" s="4" t="n">
        <v>43</v>
      </c>
      <c r="E3081" s="21" t="s">
        <v>246</v>
      </c>
      <c r="F3081" s="22" t="s">
        <v>446</v>
      </c>
    </row>
    <row r="3082" customFormat="false" ht="15" hidden="false" customHeight="false" outlineLevel="0" collapsed="false">
      <c r="A3082" s="4" t="str">
        <f aca="false">B3082&amp;"|"&amp;C3082</f>
        <v>tdbR00000378 Arg-ACG|44</v>
      </c>
      <c r="B3082" s="4" t="s">
        <v>79</v>
      </c>
      <c r="C3082" s="4" t="s">
        <v>464</v>
      </c>
      <c r="D3082" s="4" t="n">
        <v>44</v>
      </c>
      <c r="E3082" s="19" t="s">
        <v>246</v>
      </c>
      <c r="F3082" s="20" t="s">
        <v>465</v>
      </c>
    </row>
    <row r="3083" customFormat="false" ht="15" hidden="false" customHeight="false" outlineLevel="0" collapsed="false">
      <c r="A3083" s="4" t="str">
        <f aca="false">B3083&amp;"|"&amp;C3083</f>
        <v>tdbR00000378 Arg-ACG|45</v>
      </c>
      <c r="B3083" s="4" t="s">
        <v>79</v>
      </c>
      <c r="C3083" s="4" t="s">
        <v>466</v>
      </c>
      <c r="D3083" s="4" t="n">
        <v>45</v>
      </c>
      <c r="E3083" s="19" t="s">
        <v>197</v>
      </c>
      <c r="F3083" s="20" t="s">
        <v>465</v>
      </c>
    </row>
    <row r="3084" customFormat="false" ht="15" hidden="false" customHeight="false" outlineLevel="0" collapsed="false">
      <c r="A3084" s="4" t="str">
        <f aca="false">B3084&amp;"|"&amp;C3084</f>
        <v>tdbR00000378 Arg-ACG|46</v>
      </c>
      <c r="B3084" s="4" t="s">
        <v>79</v>
      </c>
      <c r="C3084" s="4" t="s">
        <v>467</v>
      </c>
      <c r="D3084" s="4" t="n">
        <v>46</v>
      </c>
      <c r="E3084" s="19" t="s">
        <v>246</v>
      </c>
      <c r="F3084" s="20" t="s">
        <v>465</v>
      </c>
    </row>
    <row r="3085" customFormat="false" ht="15" hidden="false" customHeight="false" outlineLevel="0" collapsed="false">
      <c r="A3085" s="4" t="str">
        <f aca="false">B3085&amp;"|"&amp;C3085</f>
        <v>tdbR00000378 Arg-ACG|47</v>
      </c>
      <c r="B3085" s="4" t="s">
        <v>79</v>
      </c>
      <c r="C3085" s="4" t="s">
        <v>468</v>
      </c>
      <c r="D3085" s="4" t="n">
        <v>47</v>
      </c>
      <c r="E3085" s="19" t="s">
        <v>259</v>
      </c>
      <c r="F3085" s="20" t="s">
        <v>465</v>
      </c>
    </row>
    <row r="3086" customFormat="false" ht="15" hidden="false" customHeight="false" outlineLevel="0" collapsed="false">
      <c r="A3086" s="4" t="str">
        <f aca="false">B3086&amp;"|"&amp;C3086</f>
        <v>tdbR00000378 Arg-ACG|48</v>
      </c>
      <c r="B3086" s="4" t="s">
        <v>79</v>
      </c>
      <c r="C3086" s="4" t="s">
        <v>469</v>
      </c>
      <c r="D3086" s="4" t="n">
        <v>48</v>
      </c>
      <c r="E3086" s="19" t="s">
        <v>259</v>
      </c>
      <c r="F3086" s="20" t="s">
        <v>465</v>
      </c>
    </row>
    <row r="3087" customFormat="false" ht="15" hidden="false" customHeight="false" outlineLevel="0" collapsed="false">
      <c r="A3087" s="4" t="str">
        <f aca="false">B3087&amp;"|"&amp;C3087</f>
        <v>tdbR00000378 Arg-ACG|49</v>
      </c>
      <c r="B3087" s="4" t="s">
        <v>79</v>
      </c>
      <c r="C3087" s="4" t="s">
        <v>470</v>
      </c>
      <c r="D3087" s="4" t="n">
        <v>49</v>
      </c>
      <c r="E3087" s="23" t="s">
        <v>414</v>
      </c>
      <c r="F3087" s="10" t="s">
        <v>471</v>
      </c>
    </row>
    <row r="3088" customFormat="false" ht="15" hidden="false" customHeight="false" outlineLevel="0" collapsed="false">
      <c r="A3088" s="4" t="str">
        <f aca="false">B3088&amp;"|"&amp;C3088</f>
        <v>tdbR00000378 Arg-ACG|50</v>
      </c>
      <c r="B3088" s="4" t="s">
        <v>79</v>
      </c>
      <c r="C3088" s="4" t="s">
        <v>472</v>
      </c>
      <c r="D3088" s="4" t="n">
        <v>50</v>
      </c>
      <c r="E3088" s="23" t="s">
        <v>414</v>
      </c>
      <c r="F3088" s="10" t="s">
        <v>471</v>
      </c>
    </row>
    <row r="3089" customFormat="false" ht="15" hidden="false" customHeight="false" outlineLevel="0" collapsed="false">
      <c r="A3089" s="4" t="str">
        <f aca="false">B3089&amp;"|"&amp;C3089</f>
        <v>tdbR00000378 Arg-ACG|51</v>
      </c>
      <c r="B3089" s="4" t="s">
        <v>79</v>
      </c>
      <c r="C3089" s="4" t="s">
        <v>473</v>
      </c>
      <c r="D3089" s="4" t="n">
        <v>51</v>
      </c>
      <c r="E3089" s="23" t="s">
        <v>246</v>
      </c>
      <c r="F3089" s="10" t="s">
        <v>471</v>
      </c>
    </row>
    <row r="3090" customFormat="false" ht="15" hidden="false" customHeight="false" outlineLevel="0" collapsed="false">
      <c r="A3090" s="4" t="str">
        <f aca="false">B3090&amp;"|"&amp;C3090</f>
        <v>tdbR00000378 Arg-ACG|52</v>
      </c>
      <c r="B3090" s="4" t="s">
        <v>79</v>
      </c>
      <c r="C3090" s="4" t="s">
        <v>474</v>
      </c>
      <c r="D3090" s="4" t="n">
        <v>52</v>
      </c>
      <c r="E3090" s="23" t="s">
        <v>197</v>
      </c>
      <c r="F3090" s="10" t="s">
        <v>471</v>
      </c>
    </row>
    <row r="3091" customFormat="false" ht="15" hidden="false" customHeight="false" outlineLevel="0" collapsed="false">
      <c r="A3091" s="4" t="str">
        <f aca="false">B3091&amp;"|"&amp;C3091</f>
        <v>tdbR00000378 Arg-ACG|53</v>
      </c>
      <c r="B3091" s="4" t="s">
        <v>79</v>
      </c>
      <c r="C3091" s="4" t="s">
        <v>475</v>
      </c>
      <c r="D3091" s="4" t="n">
        <v>53</v>
      </c>
      <c r="E3091" s="23" t="s">
        <v>197</v>
      </c>
      <c r="F3091" s="10" t="s">
        <v>471</v>
      </c>
    </row>
    <row r="3092" customFormat="false" ht="15" hidden="false" customHeight="false" outlineLevel="0" collapsed="false">
      <c r="A3092" s="4" t="str">
        <f aca="false">B3092&amp;"|"&amp;C3092</f>
        <v>tdbR00000378 Arg-ACG|54</v>
      </c>
      <c r="B3092" s="4" t="s">
        <v>79</v>
      </c>
      <c r="C3092" s="4" t="s">
        <v>476</v>
      </c>
      <c r="D3092" s="4" t="n">
        <v>54</v>
      </c>
      <c r="E3092" s="19" t="s">
        <v>259</v>
      </c>
      <c r="F3092" s="20" t="s">
        <v>477</v>
      </c>
    </row>
    <row r="3093" customFormat="false" ht="15" hidden="false" customHeight="false" outlineLevel="0" collapsed="false">
      <c r="A3093" s="4" t="str">
        <f aca="false">B3093&amp;"|"&amp;C3093</f>
        <v>tdbR00000378 Arg-ACG|55</v>
      </c>
      <c r="B3093" s="4" t="s">
        <v>79</v>
      </c>
      <c r="C3093" s="4" t="s">
        <v>478</v>
      </c>
      <c r="D3093" s="4" t="n">
        <v>55</v>
      </c>
      <c r="E3093" s="19" t="s">
        <v>259</v>
      </c>
      <c r="F3093" s="20" t="s">
        <v>477</v>
      </c>
    </row>
    <row r="3094" customFormat="false" ht="15" hidden="false" customHeight="false" outlineLevel="0" collapsed="false">
      <c r="A3094" s="4" t="str">
        <f aca="false">B3094&amp;"|"&amp;C3094</f>
        <v>tdbR00000378 Arg-ACG|56</v>
      </c>
      <c r="B3094" s="4" t="s">
        <v>79</v>
      </c>
      <c r="C3094" s="4" t="s">
        <v>479</v>
      </c>
      <c r="D3094" s="4" t="n">
        <v>56</v>
      </c>
      <c r="E3094" s="19" t="s">
        <v>414</v>
      </c>
      <c r="F3094" s="20" t="s">
        <v>477</v>
      </c>
    </row>
    <row r="3095" customFormat="false" ht="15" hidden="false" customHeight="false" outlineLevel="0" collapsed="false">
      <c r="A3095" s="4" t="str">
        <f aca="false">B3095&amp;"|"&amp;C3095</f>
        <v>tdbR00000378 Arg-ACG|57</v>
      </c>
      <c r="B3095" s="4" t="s">
        <v>79</v>
      </c>
      <c r="C3095" s="4" t="s">
        <v>480</v>
      </c>
      <c r="D3095" s="4" t="n">
        <v>57</v>
      </c>
      <c r="E3095" s="19" t="s">
        <v>197</v>
      </c>
      <c r="F3095" s="20" t="s">
        <v>477</v>
      </c>
    </row>
    <row r="3096" customFormat="false" ht="15" hidden="false" customHeight="false" outlineLevel="0" collapsed="false">
      <c r="A3096" s="4" t="str">
        <f aca="false">B3096&amp;"|"&amp;C3096</f>
        <v>tdbR00000378 Arg-ACG|58</v>
      </c>
      <c r="B3096" s="4" t="s">
        <v>79</v>
      </c>
      <c r="C3096" s="4" t="s">
        <v>481</v>
      </c>
      <c r="D3096" s="4" t="n">
        <v>58</v>
      </c>
      <c r="E3096" s="19" t="s">
        <v>246</v>
      </c>
      <c r="F3096" s="20" t="s">
        <v>477</v>
      </c>
    </row>
    <row r="3097" customFormat="false" ht="15" hidden="false" customHeight="false" outlineLevel="0" collapsed="false">
      <c r="A3097" s="4" t="str">
        <f aca="false">B3097&amp;"|"&amp;C3097</f>
        <v>tdbR00000378 Arg-ACG|59</v>
      </c>
      <c r="B3097" s="4" t="s">
        <v>79</v>
      </c>
      <c r="C3097" s="4" t="s">
        <v>482</v>
      </c>
      <c r="D3097" s="4" t="n">
        <v>59</v>
      </c>
      <c r="E3097" s="19" t="s">
        <v>414</v>
      </c>
      <c r="F3097" s="20" t="s">
        <v>477</v>
      </c>
    </row>
    <row r="3098" customFormat="false" ht="15" hidden="false" customHeight="false" outlineLevel="0" collapsed="false">
      <c r="A3098" s="4" t="str">
        <f aca="false">B3098&amp;"|"&amp;C3098</f>
        <v>tdbR00000378 Arg-ACG|60</v>
      </c>
      <c r="B3098" s="4" t="s">
        <v>79</v>
      </c>
      <c r="C3098" s="4" t="s">
        <v>483</v>
      </c>
      <c r="D3098" s="4" t="n">
        <v>60</v>
      </c>
      <c r="E3098" s="19" t="s">
        <v>259</v>
      </c>
      <c r="F3098" s="20" t="s">
        <v>477</v>
      </c>
    </row>
    <row r="3099" customFormat="false" ht="15" hidden="false" customHeight="false" outlineLevel="0" collapsed="false">
      <c r="A3099" s="4" t="str">
        <f aca="false">B3099&amp;"|"&amp;C3099</f>
        <v>tdbR00000378 Arg-ACG|61</v>
      </c>
      <c r="B3099" s="4" t="s">
        <v>79</v>
      </c>
      <c r="C3099" s="4" t="s">
        <v>484</v>
      </c>
      <c r="D3099" s="4" t="n">
        <v>61</v>
      </c>
      <c r="E3099" s="23" t="s">
        <v>414</v>
      </c>
      <c r="F3099" s="10" t="s">
        <v>471</v>
      </c>
    </row>
    <row r="3100" customFormat="false" ht="15" hidden="false" customHeight="false" outlineLevel="0" collapsed="false">
      <c r="A3100" s="4" t="str">
        <f aca="false">B3100&amp;"|"&amp;C3100</f>
        <v>tdbR00000378 Arg-ACG|62</v>
      </c>
      <c r="B3100" s="4" t="s">
        <v>79</v>
      </c>
      <c r="C3100" s="4" t="s">
        <v>485</v>
      </c>
      <c r="D3100" s="4" t="n">
        <v>62</v>
      </c>
      <c r="E3100" s="23" t="s">
        <v>414</v>
      </c>
      <c r="F3100" s="10" t="s">
        <v>471</v>
      </c>
    </row>
    <row r="3101" customFormat="false" ht="15" hidden="false" customHeight="false" outlineLevel="0" collapsed="false">
      <c r="A3101" s="4" t="str">
        <f aca="false">B3101&amp;"|"&amp;C3101</f>
        <v>tdbR00000378 Arg-ACG|63</v>
      </c>
      <c r="B3101" s="4" t="s">
        <v>79</v>
      </c>
      <c r="C3101" s="4" t="s">
        <v>486</v>
      </c>
      <c r="D3101" s="4" t="n">
        <v>63</v>
      </c>
      <c r="E3101" s="23" t="s">
        <v>259</v>
      </c>
      <c r="F3101" s="10" t="s">
        <v>471</v>
      </c>
    </row>
    <row r="3102" customFormat="false" ht="15" hidden="false" customHeight="false" outlineLevel="0" collapsed="false">
      <c r="A3102" s="4" t="str">
        <f aca="false">B3102&amp;"|"&amp;C3102</f>
        <v>tdbR00000378 Arg-ACG|64</v>
      </c>
      <c r="B3102" s="4" t="s">
        <v>79</v>
      </c>
      <c r="C3102" s="4" t="s">
        <v>487</v>
      </c>
      <c r="D3102" s="4" t="n">
        <v>64</v>
      </c>
      <c r="E3102" s="23" t="s">
        <v>197</v>
      </c>
      <c r="F3102" s="10" t="s">
        <v>471</v>
      </c>
    </row>
    <row r="3103" customFormat="false" ht="15" hidden="false" customHeight="false" outlineLevel="0" collapsed="false">
      <c r="A3103" s="4" t="str">
        <f aca="false">B3103&amp;"|"&amp;C3103</f>
        <v>tdbR00000378 Arg-ACG|65</v>
      </c>
      <c r="B3103" s="4" t="s">
        <v>79</v>
      </c>
      <c r="C3103" s="4" t="s">
        <v>488</v>
      </c>
      <c r="D3103" s="4" t="n">
        <v>65</v>
      </c>
      <c r="E3103" s="23" t="s">
        <v>197</v>
      </c>
      <c r="F3103" s="10" t="s">
        <v>471</v>
      </c>
    </row>
    <row r="3104" customFormat="false" ht="15" hidden="false" customHeight="false" outlineLevel="0" collapsed="false">
      <c r="A3104" s="4" t="str">
        <f aca="false">B3104&amp;"|"&amp;C3104</f>
        <v>tdbR00000378 Arg-ACG|66</v>
      </c>
      <c r="B3104" s="4" t="s">
        <v>79</v>
      </c>
      <c r="C3104" s="4" t="s">
        <v>489</v>
      </c>
      <c r="D3104" s="4" t="n">
        <v>66</v>
      </c>
      <c r="E3104" s="17" t="s">
        <v>414</v>
      </c>
      <c r="F3104" s="18" t="s">
        <v>412</v>
      </c>
    </row>
    <row r="3105" customFormat="false" ht="15" hidden="false" customHeight="false" outlineLevel="0" collapsed="false">
      <c r="A3105" s="4" t="str">
        <f aca="false">B3105&amp;"|"&amp;C3105</f>
        <v>tdbR00000378 Arg-ACG|67</v>
      </c>
      <c r="B3105" s="4" t="s">
        <v>79</v>
      </c>
      <c r="C3105" s="4" t="s">
        <v>490</v>
      </c>
      <c r="D3105" s="4" t="n">
        <v>67</v>
      </c>
      <c r="E3105" s="17" t="s">
        <v>259</v>
      </c>
      <c r="F3105" s="18" t="s">
        <v>412</v>
      </c>
    </row>
    <row r="3106" customFormat="false" ht="15" hidden="false" customHeight="false" outlineLevel="0" collapsed="false">
      <c r="A3106" s="4" t="str">
        <f aca="false">B3106&amp;"|"&amp;C3106</f>
        <v>tdbR00000378 Arg-ACG|68</v>
      </c>
      <c r="B3106" s="4" t="s">
        <v>79</v>
      </c>
      <c r="C3106" s="4" t="s">
        <v>491</v>
      </c>
      <c r="D3106" s="4" t="n">
        <v>68</v>
      </c>
      <c r="E3106" s="17" t="s">
        <v>197</v>
      </c>
      <c r="F3106" s="18" t="s">
        <v>412</v>
      </c>
    </row>
    <row r="3107" customFormat="false" ht="15" hidden="false" customHeight="false" outlineLevel="0" collapsed="false">
      <c r="A3107" s="4" t="str">
        <f aca="false">B3107&amp;"|"&amp;C3107</f>
        <v>tdbR00000378 Arg-ACG|69</v>
      </c>
      <c r="B3107" s="4" t="s">
        <v>79</v>
      </c>
      <c r="C3107" s="4" t="s">
        <v>492</v>
      </c>
      <c r="D3107" s="4" t="n">
        <v>69</v>
      </c>
      <c r="E3107" s="17" t="s">
        <v>197</v>
      </c>
      <c r="F3107" s="18" t="s">
        <v>412</v>
      </c>
    </row>
    <row r="3108" customFormat="false" ht="15" hidden="false" customHeight="false" outlineLevel="0" collapsed="false">
      <c r="A3108" s="4" t="str">
        <f aca="false">B3108&amp;"|"&amp;C3108</f>
        <v>tdbR00000378 Arg-ACG|70</v>
      </c>
      <c r="B3108" s="4" t="s">
        <v>79</v>
      </c>
      <c r="C3108" s="4" t="s">
        <v>493</v>
      </c>
      <c r="D3108" s="4" t="n">
        <v>70</v>
      </c>
      <c r="E3108" s="17" t="s">
        <v>414</v>
      </c>
      <c r="F3108" s="18" t="s">
        <v>412</v>
      </c>
    </row>
    <row r="3109" customFormat="false" ht="15" hidden="false" customHeight="false" outlineLevel="0" collapsed="false">
      <c r="A3109" s="4" t="str">
        <f aca="false">B3109&amp;"|"&amp;C3109</f>
        <v>tdbR00000378 Arg-ACG|71</v>
      </c>
      <c r="B3109" s="4" t="s">
        <v>79</v>
      </c>
      <c r="C3109" s="4" t="s">
        <v>494</v>
      </c>
      <c r="D3109" s="4" t="n">
        <v>71</v>
      </c>
      <c r="E3109" s="17" t="s">
        <v>259</v>
      </c>
      <c r="F3109" s="18" t="s">
        <v>412</v>
      </c>
    </row>
    <row r="3110" customFormat="false" ht="15" hidden="false" customHeight="false" outlineLevel="0" collapsed="false">
      <c r="A3110" s="4" t="str">
        <f aca="false">B3110&amp;"|"&amp;C3110</f>
        <v>tdbR00000378 Arg-ACG|72</v>
      </c>
      <c r="B3110" s="4" t="s">
        <v>79</v>
      </c>
      <c r="C3110" s="4" t="s">
        <v>495</v>
      </c>
      <c r="D3110" s="4" t="n">
        <v>72</v>
      </c>
      <c r="E3110" s="17" t="s">
        <v>414</v>
      </c>
      <c r="F3110" s="18" t="s">
        <v>412</v>
      </c>
    </row>
    <row r="3111" customFormat="false" ht="15" hidden="false" customHeight="false" outlineLevel="0" collapsed="false">
      <c r="A3111" s="4" t="str">
        <f aca="false">B3111&amp;"|"&amp;C3111</f>
        <v>tdbR00000343 Gln-CUG|1</v>
      </c>
      <c r="B3111" s="4" t="s">
        <v>80</v>
      </c>
      <c r="C3111" s="4" t="s">
        <v>411</v>
      </c>
      <c r="D3111" s="4" t="n">
        <v>1</v>
      </c>
      <c r="E3111" s="17" t="s">
        <v>197</v>
      </c>
      <c r="F3111" s="18" t="s">
        <v>412</v>
      </c>
    </row>
    <row r="3112" customFormat="false" ht="15" hidden="false" customHeight="false" outlineLevel="0" collapsed="false">
      <c r="A3112" s="4" t="str">
        <f aca="false">B3112&amp;"|"&amp;C3112</f>
        <v>tdbR00000343 Gln-CUG|2</v>
      </c>
      <c r="B3112" s="4" t="s">
        <v>80</v>
      </c>
      <c r="C3112" s="4" t="s">
        <v>413</v>
      </c>
      <c r="D3112" s="4" t="n">
        <v>2</v>
      </c>
      <c r="E3112" s="17" t="s">
        <v>197</v>
      </c>
      <c r="F3112" s="18" t="s">
        <v>412</v>
      </c>
    </row>
    <row r="3113" customFormat="false" ht="15" hidden="false" customHeight="false" outlineLevel="0" collapsed="false">
      <c r="A3113" s="4" t="str">
        <f aca="false">B3113&amp;"|"&amp;C3113</f>
        <v>tdbR00000343 Gln-CUG|3</v>
      </c>
      <c r="B3113" s="4" t="s">
        <v>80</v>
      </c>
      <c r="C3113" s="4" t="s">
        <v>415</v>
      </c>
      <c r="D3113" s="4" t="n">
        <v>3</v>
      </c>
      <c r="E3113" s="17" t="s">
        <v>259</v>
      </c>
      <c r="F3113" s="18" t="s">
        <v>412</v>
      </c>
    </row>
    <row r="3114" customFormat="false" ht="15" hidden="false" customHeight="false" outlineLevel="0" collapsed="false">
      <c r="A3114" s="4" t="str">
        <f aca="false">B3114&amp;"|"&amp;C3114</f>
        <v>tdbR00000343 Gln-CUG|4</v>
      </c>
      <c r="B3114" s="4" t="s">
        <v>80</v>
      </c>
      <c r="C3114" s="4" t="s">
        <v>416</v>
      </c>
      <c r="D3114" s="4" t="n">
        <v>4</v>
      </c>
      <c r="E3114" s="17" t="s">
        <v>259</v>
      </c>
      <c r="F3114" s="18" t="s">
        <v>412</v>
      </c>
    </row>
    <row r="3115" customFormat="false" ht="15" hidden="false" customHeight="false" outlineLevel="0" collapsed="false">
      <c r="A3115" s="4" t="str">
        <f aca="false">B3115&amp;"|"&amp;C3115</f>
        <v>tdbR00000343 Gln-CUG|5</v>
      </c>
      <c r="B3115" s="4" t="s">
        <v>80</v>
      </c>
      <c r="C3115" s="4" t="s">
        <v>417</v>
      </c>
      <c r="D3115" s="4" t="n">
        <v>5</v>
      </c>
      <c r="E3115" s="17" t="s">
        <v>414</v>
      </c>
      <c r="F3115" s="18" t="s">
        <v>412</v>
      </c>
    </row>
    <row r="3116" customFormat="false" ht="15" hidden="false" customHeight="false" outlineLevel="0" collapsed="false">
      <c r="A3116" s="4" t="str">
        <f aca="false">B3116&amp;"|"&amp;C3116</f>
        <v>tdbR00000343 Gln-CUG|6</v>
      </c>
      <c r="B3116" s="4" t="s">
        <v>80</v>
      </c>
      <c r="C3116" s="4" t="s">
        <v>418</v>
      </c>
      <c r="D3116" s="4" t="n">
        <v>6</v>
      </c>
      <c r="E3116" s="17" t="s">
        <v>414</v>
      </c>
      <c r="F3116" s="18" t="s">
        <v>412</v>
      </c>
    </row>
    <row r="3117" customFormat="false" ht="15" hidden="false" customHeight="false" outlineLevel="0" collapsed="false">
      <c r="A3117" s="4" t="str">
        <f aca="false">B3117&amp;"|"&amp;C3117</f>
        <v>tdbR00000343 Gln-CUG|7</v>
      </c>
      <c r="B3117" s="4" t="s">
        <v>80</v>
      </c>
      <c r="C3117" s="4" t="s">
        <v>419</v>
      </c>
      <c r="D3117" s="4" t="n">
        <v>7</v>
      </c>
      <c r="E3117" s="17" t="s">
        <v>246</v>
      </c>
      <c r="F3117" s="18" t="s">
        <v>412</v>
      </c>
    </row>
    <row r="3118" customFormat="false" ht="15" hidden="false" customHeight="false" outlineLevel="0" collapsed="false">
      <c r="A3118" s="4" t="str">
        <f aca="false">B3118&amp;"|"&amp;C3118</f>
        <v>tdbR00000343 Gln-CUG|8</v>
      </c>
      <c r="B3118" s="4" t="s">
        <v>80</v>
      </c>
      <c r="C3118" s="4" t="s">
        <v>420</v>
      </c>
      <c r="D3118" s="4" t="n">
        <v>8</v>
      </c>
      <c r="E3118" s="3" t="s">
        <v>259</v>
      </c>
      <c r="F3118" s="4" t="s">
        <v>421</v>
      </c>
    </row>
    <row r="3119" customFormat="false" ht="15" hidden="false" customHeight="false" outlineLevel="0" collapsed="false">
      <c r="A3119" s="4" t="str">
        <f aca="false">B3119&amp;"|"&amp;C3119</f>
        <v>tdbR00000343 Gln-CUG|9</v>
      </c>
      <c r="B3119" s="4" t="s">
        <v>80</v>
      </c>
      <c r="C3119" s="4" t="s">
        <v>422</v>
      </c>
      <c r="D3119" s="4" t="n">
        <v>9</v>
      </c>
      <c r="E3119" s="3" t="s">
        <v>197</v>
      </c>
      <c r="F3119" s="4" t="s">
        <v>423</v>
      </c>
    </row>
    <row r="3120" customFormat="false" ht="15" hidden="false" customHeight="false" outlineLevel="0" collapsed="false">
      <c r="A3120" s="4" t="str">
        <f aca="false">B3120&amp;"|"&amp;C3120</f>
        <v>tdbR00000343 Gln-CUG|10</v>
      </c>
      <c r="B3120" s="4" t="s">
        <v>80</v>
      </c>
      <c r="C3120" s="4" t="s">
        <v>424</v>
      </c>
      <c r="D3120" s="4" t="n">
        <v>10</v>
      </c>
      <c r="E3120" s="8" t="s">
        <v>197</v>
      </c>
      <c r="F3120" s="7" t="s">
        <v>425</v>
      </c>
    </row>
    <row r="3121" customFormat="false" ht="15" hidden="false" customHeight="false" outlineLevel="0" collapsed="false">
      <c r="A3121" s="4" t="str">
        <f aca="false">B3121&amp;"|"&amp;C3121</f>
        <v>tdbR00000343 Gln-CUG|11</v>
      </c>
      <c r="B3121" s="4" t="s">
        <v>80</v>
      </c>
      <c r="C3121" s="4" t="s">
        <v>426</v>
      </c>
      <c r="D3121" s="4" t="n">
        <v>11</v>
      </c>
      <c r="E3121" s="8" t="s">
        <v>259</v>
      </c>
      <c r="F3121" s="7" t="s">
        <v>425</v>
      </c>
    </row>
    <row r="3122" customFormat="false" ht="15" hidden="false" customHeight="false" outlineLevel="0" collapsed="false">
      <c r="A3122" s="4" t="str">
        <f aca="false">B3122&amp;"|"&amp;C3122</f>
        <v>tdbR00000343 Gln-CUG|12</v>
      </c>
      <c r="B3122" s="4" t="s">
        <v>80</v>
      </c>
      <c r="C3122" s="4" t="s">
        <v>427</v>
      </c>
      <c r="D3122" s="4" t="n">
        <v>12</v>
      </c>
      <c r="E3122" s="8" t="s">
        <v>197</v>
      </c>
      <c r="F3122" s="7" t="s">
        <v>425</v>
      </c>
    </row>
    <row r="3123" customFormat="false" ht="15" hidden="false" customHeight="false" outlineLevel="0" collapsed="false">
      <c r="A3123" s="4" t="str">
        <f aca="false">B3123&amp;"|"&amp;C3123</f>
        <v>tdbR00000343 Gln-CUG|13</v>
      </c>
      <c r="B3123" s="4" t="s">
        <v>80</v>
      </c>
      <c r="C3123" s="4" t="s">
        <v>428</v>
      </c>
      <c r="D3123" s="4" t="n">
        <v>13</v>
      </c>
      <c r="E3123" s="8" t="s">
        <v>259</v>
      </c>
      <c r="F3123" s="7" t="s">
        <v>425</v>
      </c>
    </row>
    <row r="3124" customFormat="false" ht="15" hidden="false" customHeight="false" outlineLevel="0" collapsed="false">
      <c r="A3124" s="4" t="str">
        <f aca="false">B3124&amp;"|"&amp;C3124</f>
        <v>tdbR00000343 Gln-CUG|14</v>
      </c>
      <c r="B3124" s="4" t="s">
        <v>80</v>
      </c>
      <c r="C3124" s="4" t="s">
        <v>429</v>
      </c>
      <c r="D3124" s="4" t="n">
        <v>14</v>
      </c>
      <c r="E3124" s="19" t="s">
        <v>246</v>
      </c>
      <c r="F3124" s="20" t="s">
        <v>430</v>
      </c>
    </row>
    <row r="3125" customFormat="false" ht="15" hidden="false" customHeight="false" outlineLevel="0" collapsed="false">
      <c r="A3125" s="4" t="str">
        <f aca="false">B3125&amp;"|"&amp;C3125</f>
        <v>tdbR00000343 Gln-CUG|15</v>
      </c>
      <c r="B3125" s="4" t="s">
        <v>80</v>
      </c>
      <c r="C3125" s="4" t="s">
        <v>431</v>
      </c>
      <c r="D3125" s="4" t="n">
        <v>15</v>
      </c>
      <c r="E3125" s="19" t="s">
        <v>246</v>
      </c>
      <c r="F3125" s="20" t="s">
        <v>430</v>
      </c>
    </row>
    <row r="3126" customFormat="false" ht="15" hidden="false" customHeight="false" outlineLevel="0" collapsed="false">
      <c r="A3126" s="4" t="str">
        <f aca="false">B3126&amp;"|"&amp;C3126</f>
        <v>tdbR00000343 Gln-CUG|16</v>
      </c>
      <c r="B3126" s="4" t="s">
        <v>80</v>
      </c>
      <c r="C3126" s="4" t="s">
        <v>432</v>
      </c>
      <c r="D3126" s="4" t="n">
        <v>16</v>
      </c>
      <c r="E3126" s="19" t="s">
        <v>259</v>
      </c>
      <c r="F3126" s="20" t="s">
        <v>430</v>
      </c>
    </row>
    <row r="3127" customFormat="false" ht="15" hidden="false" customHeight="false" outlineLevel="0" collapsed="false">
      <c r="A3127" s="4" t="str">
        <f aca="false">B3127&amp;"|"&amp;C3127</f>
        <v>tdbR00000343 Gln-CUG|18</v>
      </c>
      <c r="B3127" s="4" t="s">
        <v>80</v>
      </c>
      <c r="C3127" s="4" t="s">
        <v>434</v>
      </c>
      <c r="D3127" s="4" t="n">
        <v>17</v>
      </c>
      <c r="E3127" s="19" t="s">
        <v>197</v>
      </c>
      <c r="F3127" s="20" t="s">
        <v>430</v>
      </c>
    </row>
    <row r="3128" customFormat="false" ht="15" hidden="false" customHeight="false" outlineLevel="0" collapsed="false">
      <c r="A3128" s="4" t="str">
        <f aca="false">B3128&amp;"|"&amp;C3128</f>
        <v>tdbR00000343 Gln-CUG|19</v>
      </c>
      <c r="B3128" s="4" t="s">
        <v>80</v>
      </c>
      <c r="C3128" s="4" t="s">
        <v>435</v>
      </c>
      <c r="D3128" s="4" t="n">
        <v>18</v>
      </c>
      <c r="E3128" s="19" t="s">
        <v>197</v>
      </c>
      <c r="F3128" s="20" t="s">
        <v>430</v>
      </c>
    </row>
    <row r="3129" customFormat="false" ht="15" hidden="false" customHeight="false" outlineLevel="0" collapsed="false">
      <c r="A3129" s="4" t="str">
        <f aca="false">B3129&amp;"|"&amp;C3129</f>
        <v>tdbR00000343 Gln-CUG|20</v>
      </c>
      <c r="B3129" s="4" t="s">
        <v>80</v>
      </c>
      <c r="C3129" s="4" t="s">
        <v>436</v>
      </c>
      <c r="D3129" s="4" t="n">
        <v>19</v>
      </c>
      <c r="E3129" s="19" t="s">
        <v>259</v>
      </c>
      <c r="F3129" s="20" t="s">
        <v>430</v>
      </c>
    </row>
    <row r="3130" customFormat="false" ht="15" hidden="false" customHeight="false" outlineLevel="0" collapsed="false">
      <c r="A3130" s="4" t="str">
        <f aca="false">B3130&amp;"|"&amp;C3130</f>
        <v>tdbR00000343 Gln-CUG|20a</v>
      </c>
      <c r="B3130" s="4" t="s">
        <v>80</v>
      </c>
      <c r="C3130" s="4" t="s">
        <v>437</v>
      </c>
      <c r="D3130" s="4" t="n">
        <v>20</v>
      </c>
      <c r="E3130" s="19" t="s">
        <v>259</v>
      </c>
      <c r="F3130" s="20" t="s">
        <v>430</v>
      </c>
    </row>
    <row r="3131" customFormat="false" ht="15" hidden="false" customHeight="false" outlineLevel="0" collapsed="false">
      <c r="A3131" s="4" t="str">
        <f aca="false">B3131&amp;"|"&amp;C3131</f>
        <v>tdbR00000343 Gln-CUG|21</v>
      </c>
      <c r="B3131" s="4" t="s">
        <v>80</v>
      </c>
      <c r="C3131" s="4" t="s">
        <v>438</v>
      </c>
      <c r="D3131" s="4" t="n">
        <v>21</v>
      </c>
      <c r="E3131" s="19" t="s">
        <v>246</v>
      </c>
      <c r="F3131" s="20" t="s">
        <v>430</v>
      </c>
    </row>
    <row r="3132" customFormat="false" ht="15" hidden="false" customHeight="false" outlineLevel="0" collapsed="false">
      <c r="A3132" s="4" t="str">
        <f aca="false">B3132&amp;"|"&amp;C3132</f>
        <v>tdbR00000343 Gln-CUG|22</v>
      </c>
      <c r="B3132" s="4" t="s">
        <v>80</v>
      </c>
      <c r="C3132" s="4" t="s">
        <v>439</v>
      </c>
      <c r="D3132" s="4" t="n">
        <v>22</v>
      </c>
      <c r="E3132" s="8" t="s">
        <v>197</v>
      </c>
      <c r="F3132" s="7" t="s">
        <v>425</v>
      </c>
    </row>
    <row r="3133" customFormat="false" ht="15" hidden="false" customHeight="false" outlineLevel="0" collapsed="false">
      <c r="A3133" s="4" t="str">
        <f aca="false">B3133&amp;"|"&amp;C3133</f>
        <v>tdbR00000343 Gln-CUG|23</v>
      </c>
      <c r="B3133" s="4" t="s">
        <v>80</v>
      </c>
      <c r="C3133" s="4" t="s">
        <v>440</v>
      </c>
      <c r="D3133" s="4" t="n">
        <v>23</v>
      </c>
      <c r="E3133" s="8" t="s">
        <v>414</v>
      </c>
      <c r="F3133" s="7" t="s">
        <v>425</v>
      </c>
    </row>
    <row r="3134" customFormat="false" ht="15" hidden="false" customHeight="false" outlineLevel="0" collapsed="false">
      <c r="A3134" s="4" t="str">
        <f aca="false">B3134&amp;"|"&amp;C3134</f>
        <v>tdbR00000343 Gln-CUG|24</v>
      </c>
      <c r="B3134" s="4" t="s">
        <v>80</v>
      </c>
      <c r="C3134" s="4" t="s">
        <v>441</v>
      </c>
      <c r="D3134" s="4" t="n">
        <v>24</v>
      </c>
      <c r="E3134" s="8" t="s">
        <v>246</v>
      </c>
      <c r="F3134" s="7" t="s">
        <v>425</v>
      </c>
    </row>
    <row r="3135" customFormat="false" ht="15" hidden="false" customHeight="false" outlineLevel="0" collapsed="false">
      <c r="A3135" s="4" t="str">
        <f aca="false">B3135&amp;"|"&amp;C3135</f>
        <v>tdbR00000343 Gln-CUG|25</v>
      </c>
      <c r="B3135" s="4" t="s">
        <v>80</v>
      </c>
      <c r="C3135" s="4" t="s">
        <v>442</v>
      </c>
      <c r="D3135" s="4" t="n">
        <v>25</v>
      </c>
      <c r="E3135" s="8" t="s">
        <v>414</v>
      </c>
      <c r="F3135" s="7" t="s">
        <v>425</v>
      </c>
    </row>
    <row r="3136" customFormat="false" ht="15" hidden="false" customHeight="false" outlineLevel="0" collapsed="false">
      <c r="A3136" s="4" t="str">
        <f aca="false">B3136&amp;"|"&amp;C3136</f>
        <v>tdbR00000343 Gln-CUG|26</v>
      </c>
      <c r="B3136" s="4" t="s">
        <v>80</v>
      </c>
      <c r="C3136" s="4" t="s">
        <v>443</v>
      </c>
      <c r="D3136" s="4" t="n">
        <v>26</v>
      </c>
      <c r="E3136" s="3" t="s">
        <v>259</v>
      </c>
      <c r="F3136" s="4" t="s">
        <v>444</v>
      </c>
    </row>
    <row r="3137" customFormat="false" ht="15" hidden="false" customHeight="false" outlineLevel="0" collapsed="false">
      <c r="A3137" s="4" t="str">
        <f aca="false">B3137&amp;"|"&amp;C3137</f>
        <v>tdbR00000343 Gln-CUG|27</v>
      </c>
      <c r="B3137" s="4" t="s">
        <v>80</v>
      </c>
      <c r="C3137" s="4" t="s">
        <v>445</v>
      </c>
      <c r="D3137" s="4" t="n">
        <v>27</v>
      </c>
      <c r="E3137" s="21" t="s">
        <v>414</v>
      </c>
      <c r="F3137" s="22" t="s">
        <v>446</v>
      </c>
    </row>
    <row r="3138" customFormat="false" ht="15" hidden="false" customHeight="false" outlineLevel="0" collapsed="false">
      <c r="A3138" s="4" t="str">
        <f aca="false">B3138&amp;"|"&amp;C3138</f>
        <v>tdbR00000343 Gln-CUG|28</v>
      </c>
      <c r="B3138" s="4" t="s">
        <v>80</v>
      </c>
      <c r="C3138" s="4" t="s">
        <v>447</v>
      </c>
      <c r="D3138" s="4" t="n">
        <v>28</v>
      </c>
      <c r="E3138" s="21" t="s">
        <v>259</v>
      </c>
      <c r="F3138" s="22" t="s">
        <v>446</v>
      </c>
    </row>
    <row r="3139" customFormat="false" ht="15" hidden="false" customHeight="false" outlineLevel="0" collapsed="false">
      <c r="A3139" s="4" t="str">
        <f aca="false">B3139&amp;"|"&amp;C3139</f>
        <v>tdbR00000343 Gln-CUG|29</v>
      </c>
      <c r="B3139" s="4" t="s">
        <v>80</v>
      </c>
      <c r="C3139" s="4" t="s">
        <v>448</v>
      </c>
      <c r="D3139" s="4" t="n">
        <v>29</v>
      </c>
      <c r="E3139" s="21" t="s">
        <v>197</v>
      </c>
      <c r="F3139" s="22" t="s">
        <v>446</v>
      </c>
    </row>
    <row r="3140" customFormat="false" ht="15" hidden="false" customHeight="false" outlineLevel="0" collapsed="false">
      <c r="A3140" s="4" t="str">
        <f aca="false">B3140&amp;"|"&amp;C3140</f>
        <v>tdbR00000343 Gln-CUG|30</v>
      </c>
      <c r="B3140" s="4" t="s">
        <v>80</v>
      </c>
      <c r="C3140" s="4" t="s">
        <v>449</v>
      </c>
      <c r="D3140" s="4" t="n">
        <v>30</v>
      </c>
      <c r="E3140" s="21" t="s">
        <v>197</v>
      </c>
      <c r="F3140" s="22" t="s">
        <v>446</v>
      </c>
    </row>
    <row r="3141" customFormat="false" ht="15" hidden="false" customHeight="false" outlineLevel="0" collapsed="false">
      <c r="A3141" s="4" t="str">
        <f aca="false">B3141&amp;"|"&amp;C3141</f>
        <v>tdbR00000343 Gln-CUG|31</v>
      </c>
      <c r="B3141" s="4" t="s">
        <v>80</v>
      </c>
      <c r="C3141" s="4" t="s">
        <v>450</v>
      </c>
      <c r="D3141" s="4" t="n">
        <v>31</v>
      </c>
      <c r="E3141" s="21" t="s">
        <v>246</v>
      </c>
      <c r="F3141" s="22" t="s">
        <v>446</v>
      </c>
    </row>
    <row r="3142" customFormat="false" ht="15" hidden="false" customHeight="false" outlineLevel="0" collapsed="false">
      <c r="A3142" s="4" t="str">
        <f aca="false">B3142&amp;"|"&amp;C3142</f>
        <v>tdbR00000343 Gln-CUG|32</v>
      </c>
      <c r="B3142" s="4" t="s">
        <v>80</v>
      </c>
      <c r="C3142" s="4" t="s">
        <v>451</v>
      </c>
      <c r="D3142" s="4" t="n">
        <v>32</v>
      </c>
      <c r="E3142" s="19" t="s">
        <v>414</v>
      </c>
      <c r="F3142" s="20" t="s">
        <v>452</v>
      </c>
    </row>
    <row r="3143" customFormat="false" ht="15" hidden="false" customHeight="false" outlineLevel="0" collapsed="false">
      <c r="A3143" s="4" t="str">
        <f aca="false">B3143&amp;"|"&amp;C3143</f>
        <v>tdbR00000343 Gln-CUG|33</v>
      </c>
      <c r="B3143" s="4" t="s">
        <v>80</v>
      </c>
      <c r="C3143" s="4" t="s">
        <v>453</v>
      </c>
      <c r="D3143" s="4" t="n">
        <v>33</v>
      </c>
      <c r="E3143" s="19" t="s">
        <v>259</v>
      </c>
      <c r="F3143" s="20" t="s">
        <v>452</v>
      </c>
    </row>
    <row r="3144" customFormat="false" ht="15" hidden="false" customHeight="false" outlineLevel="0" collapsed="false">
      <c r="A3144" s="4" t="str">
        <f aca="false">B3144&amp;"|"&amp;C3144</f>
        <v>tdbR00000343 Gln-CUG|34</v>
      </c>
      <c r="B3144" s="4" t="s">
        <v>80</v>
      </c>
      <c r="C3144" s="4" t="s">
        <v>454</v>
      </c>
      <c r="D3144" s="4" t="n">
        <v>34</v>
      </c>
      <c r="E3144" s="19" t="s">
        <v>414</v>
      </c>
      <c r="F3144" s="20" t="s">
        <v>452</v>
      </c>
    </row>
    <row r="3145" customFormat="false" ht="15" hidden="false" customHeight="false" outlineLevel="0" collapsed="false">
      <c r="A3145" s="4" t="str">
        <f aca="false">B3145&amp;"|"&amp;C3145</f>
        <v>tdbR00000343 Gln-CUG|35</v>
      </c>
      <c r="B3145" s="4" t="s">
        <v>80</v>
      </c>
      <c r="C3145" s="4" t="s">
        <v>455</v>
      </c>
      <c r="D3145" s="4" t="n">
        <v>35</v>
      </c>
      <c r="E3145" s="19" t="s">
        <v>259</v>
      </c>
      <c r="F3145" s="20" t="s">
        <v>452</v>
      </c>
    </row>
    <row r="3146" customFormat="false" ht="15" hidden="false" customHeight="false" outlineLevel="0" collapsed="false">
      <c r="A3146" s="4" t="str">
        <f aca="false">B3146&amp;"|"&amp;C3146</f>
        <v>tdbR00000343 Gln-CUG|36</v>
      </c>
      <c r="B3146" s="4" t="s">
        <v>80</v>
      </c>
      <c r="C3146" s="4" t="s">
        <v>456</v>
      </c>
      <c r="D3146" s="4" t="n">
        <v>36</v>
      </c>
      <c r="E3146" s="19" t="s">
        <v>197</v>
      </c>
      <c r="F3146" s="20" t="s">
        <v>452</v>
      </c>
    </row>
    <row r="3147" customFormat="false" ht="15" hidden="false" customHeight="false" outlineLevel="0" collapsed="false">
      <c r="A3147" s="4" t="str">
        <f aca="false">B3147&amp;"|"&amp;C3147</f>
        <v>tdbR00000343 Gln-CUG|37</v>
      </c>
      <c r="B3147" s="4" t="s">
        <v>80</v>
      </c>
      <c r="C3147" s="4" t="s">
        <v>457</v>
      </c>
      <c r="D3147" s="4" t="n">
        <v>37</v>
      </c>
      <c r="E3147" s="19" t="s">
        <v>246</v>
      </c>
      <c r="F3147" s="20" t="s">
        <v>452</v>
      </c>
    </row>
    <row r="3148" customFormat="false" ht="15" hidden="false" customHeight="false" outlineLevel="0" collapsed="false">
      <c r="A3148" s="4" t="str">
        <f aca="false">B3148&amp;"|"&amp;C3148</f>
        <v>tdbR00000343 Gln-CUG|38</v>
      </c>
      <c r="B3148" s="4" t="s">
        <v>80</v>
      </c>
      <c r="C3148" s="4" t="s">
        <v>458</v>
      </c>
      <c r="D3148" s="4" t="n">
        <v>38</v>
      </c>
      <c r="E3148" s="19" t="s">
        <v>246</v>
      </c>
      <c r="F3148" s="20" t="s">
        <v>452</v>
      </c>
    </row>
    <row r="3149" customFormat="false" ht="15" hidden="false" customHeight="false" outlineLevel="0" collapsed="false">
      <c r="A3149" s="4" t="str">
        <f aca="false">B3149&amp;"|"&amp;C3149</f>
        <v>tdbR00000343 Gln-CUG|39</v>
      </c>
      <c r="B3149" s="4" t="s">
        <v>80</v>
      </c>
      <c r="C3149" s="4" t="s">
        <v>459</v>
      </c>
      <c r="D3149" s="4" t="n">
        <v>39</v>
      </c>
      <c r="E3149" s="21" t="s">
        <v>259</v>
      </c>
      <c r="F3149" s="22" t="s">
        <v>446</v>
      </c>
    </row>
    <row r="3150" customFormat="false" ht="15" hidden="false" customHeight="false" outlineLevel="0" collapsed="false">
      <c r="A3150" s="4" t="str">
        <f aca="false">B3150&amp;"|"&amp;C3150</f>
        <v>tdbR00000343 Gln-CUG|40</v>
      </c>
      <c r="B3150" s="4" t="s">
        <v>80</v>
      </c>
      <c r="C3150" s="4" t="s">
        <v>460</v>
      </c>
      <c r="D3150" s="4" t="n">
        <v>40</v>
      </c>
      <c r="E3150" s="21" t="s">
        <v>414</v>
      </c>
      <c r="F3150" s="22" t="s">
        <v>446</v>
      </c>
    </row>
    <row r="3151" customFormat="false" ht="15" hidden="false" customHeight="false" outlineLevel="0" collapsed="false">
      <c r="A3151" s="4" t="str">
        <f aca="false">B3151&amp;"|"&amp;C3151</f>
        <v>tdbR00000343 Gln-CUG|41</v>
      </c>
      <c r="B3151" s="4" t="s">
        <v>80</v>
      </c>
      <c r="C3151" s="4" t="s">
        <v>461</v>
      </c>
      <c r="D3151" s="4" t="n">
        <v>41</v>
      </c>
      <c r="E3151" s="21" t="s">
        <v>414</v>
      </c>
      <c r="F3151" s="22" t="s">
        <v>446</v>
      </c>
    </row>
    <row r="3152" customFormat="false" ht="15" hidden="false" customHeight="false" outlineLevel="0" collapsed="false">
      <c r="A3152" s="4" t="str">
        <f aca="false">B3152&amp;"|"&amp;C3152</f>
        <v>tdbR00000343 Gln-CUG|42</v>
      </c>
      <c r="B3152" s="4" t="s">
        <v>80</v>
      </c>
      <c r="C3152" s="4" t="s">
        <v>462</v>
      </c>
      <c r="D3152" s="4" t="n">
        <v>42</v>
      </c>
      <c r="E3152" s="21" t="s">
        <v>246</v>
      </c>
      <c r="F3152" s="22" t="s">
        <v>446</v>
      </c>
    </row>
    <row r="3153" customFormat="false" ht="15" hidden="false" customHeight="false" outlineLevel="0" collapsed="false">
      <c r="A3153" s="4" t="str">
        <f aca="false">B3153&amp;"|"&amp;C3153</f>
        <v>tdbR00000343 Gln-CUG|43</v>
      </c>
      <c r="B3153" s="4" t="s">
        <v>80</v>
      </c>
      <c r="C3153" s="4" t="s">
        <v>463</v>
      </c>
      <c r="D3153" s="4" t="n">
        <v>43</v>
      </c>
      <c r="E3153" s="21" t="s">
        <v>197</v>
      </c>
      <c r="F3153" s="22" t="s">
        <v>446</v>
      </c>
    </row>
    <row r="3154" customFormat="false" ht="15" hidden="false" customHeight="false" outlineLevel="0" collapsed="false">
      <c r="A3154" s="4" t="str">
        <f aca="false">B3154&amp;"|"&amp;C3154</f>
        <v>tdbR00000343 Gln-CUG|44</v>
      </c>
      <c r="B3154" s="4" t="s">
        <v>80</v>
      </c>
      <c r="C3154" s="4" t="s">
        <v>464</v>
      </c>
      <c r="D3154" s="4" t="n">
        <v>44</v>
      </c>
      <c r="E3154" s="19" t="s">
        <v>414</v>
      </c>
      <c r="F3154" s="20" t="s">
        <v>465</v>
      </c>
    </row>
    <row r="3155" customFormat="false" ht="15" hidden="false" customHeight="false" outlineLevel="0" collapsed="false">
      <c r="A3155" s="4" t="str">
        <f aca="false">B3155&amp;"|"&amp;C3155</f>
        <v>tdbR00000343 Gln-CUG|45</v>
      </c>
      <c r="B3155" s="4" t="s">
        <v>80</v>
      </c>
      <c r="C3155" s="4" t="s">
        <v>466</v>
      </c>
      <c r="D3155" s="4" t="n">
        <v>45</v>
      </c>
      <c r="E3155" s="19" t="s">
        <v>197</v>
      </c>
      <c r="F3155" s="20" t="s">
        <v>465</v>
      </c>
    </row>
    <row r="3156" customFormat="false" ht="15" hidden="false" customHeight="false" outlineLevel="0" collapsed="false">
      <c r="A3156" s="4" t="str">
        <f aca="false">B3156&amp;"|"&amp;C3156</f>
        <v>tdbR00000343 Gln-CUG|46</v>
      </c>
      <c r="B3156" s="4" t="s">
        <v>80</v>
      </c>
      <c r="C3156" s="4" t="s">
        <v>467</v>
      </c>
      <c r="D3156" s="4" t="n">
        <v>46</v>
      </c>
      <c r="E3156" s="19" t="s">
        <v>246</v>
      </c>
      <c r="F3156" s="20" t="s">
        <v>465</v>
      </c>
    </row>
    <row r="3157" customFormat="false" ht="15" hidden="false" customHeight="false" outlineLevel="0" collapsed="false">
      <c r="A3157" s="4" t="str">
        <f aca="false">B3157&amp;"|"&amp;C3157</f>
        <v>tdbR00000343 Gln-CUG|48</v>
      </c>
      <c r="B3157" s="4" t="s">
        <v>80</v>
      </c>
      <c r="C3157" s="4" t="s">
        <v>469</v>
      </c>
      <c r="D3157" s="4" t="n">
        <v>47</v>
      </c>
      <c r="E3157" s="19" t="s">
        <v>259</v>
      </c>
      <c r="F3157" s="20" t="s">
        <v>465</v>
      </c>
    </row>
    <row r="3158" customFormat="false" ht="15" hidden="false" customHeight="false" outlineLevel="0" collapsed="false">
      <c r="A3158" s="4" t="str">
        <f aca="false">B3158&amp;"|"&amp;C3158</f>
        <v>tdbR00000343 Gln-CUG|49</v>
      </c>
      <c r="B3158" s="4" t="s">
        <v>80</v>
      </c>
      <c r="C3158" s="4" t="s">
        <v>470</v>
      </c>
      <c r="D3158" s="4" t="n">
        <v>48</v>
      </c>
      <c r="E3158" s="23" t="s">
        <v>414</v>
      </c>
      <c r="F3158" s="10" t="s">
        <v>471</v>
      </c>
    </row>
    <row r="3159" customFormat="false" ht="15" hidden="false" customHeight="false" outlineLevel="0" collapsed="false">
      <c r="A3159" s="4" t="str">
        <f aca="false">B3159&amp;"|"&amp;C3159</f>
        <v>tdbR00000343 Gln-CUG|50</v>
      </c>
      <c r="B3159" s="4" t="s">
        <v>80</v>
      </c>
      <c r="C3159" s="4" t="s">
        <v>472</v>
      </c>
      <c r="D3159" s="4" t="n">
        <v>49</v>
      </c>
      <c r="E3159" s="23" t="s">
        <v>414</v>
      </c>
      <c r="F3159" s="10" t="s">
        <v>471</v>
      </c>
    </row>
    <row r="3160" customFormat="false" ht="15" hidden="false" customHeight="false" outlineLevel="0" collapsed="false">
      <c r="A3160" s="4" t="str">
        <f aca="false">B3160&amp;"|"&amp;C3160</f>
        <v>tdbR00000343 Gln-CUG|51</v>
      </c>
      <c r="B3160" s="4" t="s">
        <v>80</v>
      </c>
      <c r="C3160" s="4" t="s">
        <v>473</v>
      </c>
      <c r="D3160" s="4" t="n">
        <v>50</v>
      </c>
      <c r="E3160" s="23" t="s">
        <v>197</v>
      </c>
      <c r="F3160" s="10" t="s">
        <v>471</v>
      </c>
    </row>
    <row r="3161" customFormat="false" ht="15" hidden="false" customHeight="false" outlineLevel="0" collapsed="false">
      <c r="A3161" s="4" t="str">
        <f aca="false">B3161&amp;"|"&amp;C3161</f>
        <v>tdbR00000343 Gln-CUG|52</v>
      </c>
      <c r="B3161" s="4" t="s">
        <v>80</v>
      </c>
      <c r="C3161" s="4" t="s">
        <v>474</v>
      </c>
      <c r="D3161" s="4" t="n">
        <v>51</v>
      </c>
      <c r="E3161" s="23" t="s">
        <v>246</v>
      </c>
      <c r="F3161" s="10" t="s">
        <v>471</v>
      </c>
    </row>
    <row r="3162" customFormat="false" ht="15" hidden="false" customHeight="false" outlineLevel="0" collapsed="false">
      <c r="A3162" s="4" t="str">
        <f aca="false">B3162&amp;"|"&amp;C3162</f>
        <v>tdbR00000343 Gln-CUG|53</v>
      </c>
      <c r="B3162" s="4" t="s">
        <v>80</v>
      </c>
      <c r="C3162" s="4" t="s">
        <v>475</v>
      </c>
      <c r="D3162" s="4" t="n">
        <v>52</v>
      </c>
      <c r="E3162" s="23" t="s">
        <v>197</v>
      </c>
      <c r="F3162" s="10" t="s">
        <v>471</v>
      </c>
    </row>
    <row r="3163" customFormat="false" ht="15" hidden="false" customHeight="false" outlineLevel="0" collapsed="false">
      <c r="A3163" s="4" t="str">
        <f aca="false">B3163&amp;"|"&amp;C3163</f>
        <v>tdbR00000343 Gln-CUG|54</v>
      </c>
      <c r="B3163" s="4" t="s">
        <v>80</v>
      </c>
      <c r="C3163" s="4" t="s">
        <v>476</v>
      </c>
      <c r="D3163" s="4" t="n">
        <v>53</v>
      </c>
      <c r="E3163" s="19" t="s">
        <v>259</v>
      </c>
      <c r="F3163" s="20" t="s">
        <v>477</v>
      </c>
    </row>
    <row r="3164" customFormat="false" ht="15" hidden="false" customHeight="false" outlineLevel="0" collapsed="false">
      <c r="A3164" s="4" t="str">
        <f aca="false">B3164&amp;"|"&amp;C3164</f>
        <v>tdbR00000343 Gln-CUG|55</v>
      </c>
      <c r="B3164" s="4" t="s">
        <v>80</v>
      </c>
      <c r="C3164" s="4" t="s">
        <v>478</v>
      </c>
      <c r="D3164" s="4" t="n">
        <v>54</v>
      </c>
      <c r="E3164" s="19" t="s">
        <v>259</v>
      </c>
      <c r="F3164" s="20" t="s">
        <v>477</v>
      </c>
    </row>
    <row r="3165" customFormat="false" ht="15" hidden="false" customHeight="false" outlineLevel="0" collapsed="false">
      <c r="A3165" s="4" t="str">
        <f aca="false">B3165&amp;"|"&amp;C3165</f>
        <v>tdbR00000343 Gln-CUG|56</v>
      </c>
      <c r="B3165" s="4" t="s">
        <v>80</v>
      </c>
      <c r="C3165" s="4" t="s">
        <v>479</v>
      </c>
      <c r="D3165" s="4" t="n">
        <v>55</v>
      </c>
      <c r="E3165" s="19" t="s">
        <v>414</v>
      </c>
      <c r="F3165" s="20" t="s">
        <v>477</v>
      </c>
    </row>
    <row r="3166" customFormat="false" ht="15" hidden="false" customHeight="false" outlineLevel="0" collapsed="false">
      <c r="A3166" s="4" t="str">
        <f aca="false">B3166&amp;"|"&amp;C3166</f>
        <v>tdbR00000343 Gln-CUG|57</v>
      </c>
      <c r="B3166" s="4" t="s">
        <v>80</v>
      </c>
      <c r="C3166" s="4" t="s">
        <v>480</v>
      </c>
      <c r="D3166" s="4" t="n">
        <v>56</v>
      </c>
      <c r="E3166" s="19" t="s">
        <v>246</v>
      </c>
      <c r="F3166" s="20" t="s">
        <v>477</v>
      </c>
    </row>
    <row r="3167" customFormat="false" ht="15" hidden="false" customHeight="false" outlineLevel="0" collapsed="false">
      <c r="A3167" s="4" t="str">
        <f aca="false">B3167&amp;"|"&amp;C3167</f>
        <v>tdbR00000343 Gln-CUG|58</v>
      </c>
      <c r="B3167" s="4" t="s">
        <v>80</v>
      </c>
      <c r="C3167" s="4" t="s">
        <v>481</v>
      </c>
      <c r="D3167" s="4" t="n">
        <v>57</v>
      </c>
      <c r="E3167" s="19" t="s">
        <v>246</v>
      </c>
      <c r="F3167" s="20" t="s">
        <v>477</v>
      </c>
    </row>
    <row r="3168" customFormat="false" ht="15" hidden="false" customHeight="false" outlineLevel="0" collapsed="false">
      <c r="A3168" s="4" t="str">
        <f aca="false">B3168&amp;"|"&amp;C3168</f>
        <v>tdbR00000343 Gln-CUG|59</v>
      </c>
      <c r="B3168" s="4" t="s">
        <v>80</v>
      </c>
      <c r="C3168" s="4" t="s">
        <v>482</v>
      </c>
      <c r="D3168" s="4" t="n">
        <v>58</v>
      </c>
      <c r="E3168" s="19" t="s">
        <v>246</v>
      </c>
      <c r="F3168" s="20" t="s">
        <v>477</v>
      </c>
    </row>
    <row r="3169" customFormat="false" ht="15" hidden="false" customHeight="false" outlineLevel="0" collapsed="false">
      <c r="A3169" s="4" t="str">
        <f aca="false">B3169&amp;"|"&amp;C3169</f>
        <v>tdbR00000343 Gln-CUG|60</v>
      </c>
      <c r="B3169" s="4" t="s">
        <v>80</v>
      </c>
      <c r="C3169" s="4" t="s">
        <v>483</v>
      </c>
      <c r="D3169" s="4" t="n">
        <v>59</v>
      </c>
      <c r="E3169" s="19" t="s">
        <v>259</v>
      </c>
      <c r="F3169" s="20" t="s">
        <v>477</v>
      </c>
    </row>
    <row r="3170" customFormat="false" ht="15" hidden="false" customHeight="false" outlineLevel="0" collapsed="false">
      <c r="A3170" s="4" t="str">
        <f aca="false">B3170&amp;"|"&amp;C3170</f>
        <v>tdbR00000343 Gln-CUG|61</v>
      </c>
      <c r="B3170" s="4" t="s">
        <v>80</v>
      </c>
      <c r="C3170" s="4" t="s">
        <v>484</v>
      </c>
      <c r="D3170" s="4" t="n">
        <v>60</v>
      </c>
      <c r="E3170" s="23" t="s">
        <v>414</v>
      </c>
      <c r="F3170" s="10" t="s">
        <v>471</v>
      </c>
    </row>
    <row r="3171" customFormat="false" ht="15" hidden="false" customHeight="false" outlineLevel="0" collapsed="false">
      <c r="A3171" s="4" t="str">
        <f aca="false">B3171&amp;"|"&amp;C3171</f>
        <v>tdbR00000343 Gln-CUG|62</v>
      </c>
      <c r="B3171" s="4" t="s">
        <v>80</v>
      </c>
      <c r="C3171" s="4" t="s">
        <v>485</v>
      </c>
      <c r="D3171" s="4" t="n">
        <v>61</v>
      </c>
      <c r="E3171" s="23" t="s">
        <v>259</v>
      </c>
      <c r="F3171" s="10" t="s">
        <v>471</v>
      </c>
    </row>
    <row r="3172" customFormat="false" ht="15" hidden="false" customHeight="false" outlineLevel="0" collapsed="false">
      <c r="A3172" s="4" t="str">
        <f aca="false">B3172&amp;"|"&amp;C3172</f>
        <v>tdbR00000343 Gln-CUG|63</v>
      </c>
      <c r="B3172" s="4" t="s">
        <v>80</v>
      </c>
      <c r="C3172" s="4" t="s">
        <v>486</v>
      </c>
      <c r="D3172" s="4" t="n">
        <v>62</v>
      </c>
      <c r="E3172" s="23" t="s">
        <v>414</v>
      </c>
      <c r="F3172" s="10" t="s">
        <v>471</v>
      </c>
    </row>
    <row r="3173" customFormat="false" ht="15" hidden="false" customHeight="false" outlineLevel="0" collapsed="false">
      <c r="A3173" s="4" t="str">
        <f aca="false">B3173&amp;"|"&amp;C3173</f>
        <v>tdbR00000343 Gln-CUG|64</v>
      </c>
      <c r="B3173" s="4" t="s">
        <v>80</v>
      </c>
      <c r="C3173" s="4" t="s">
        <v>487</v>
      </c>
      <c r="D3173" s="4" t="n">
        <v>63</v>
      </c>
      <c r="E3173" s="23" t="s">
        <v>197</v>
      </c>
      <c r="F3173" s="10" t="s">
        <v>471</v>
      </c>
    </row>
    <row r="3174" customFormat="false" ht="15" hidden="false" customHeight="false" outlineLevel="0" collapsed="false">
      <c r="A3174" s="4" t="str">
        <f aca="false">B3174&amp;"|"&amp;C3174</f>
        <v>tdbR00000343 Gln-CUG|65</v>
      </c>
      <c r="B3174" s="4" t="s">
        <v>80</v>
      </c>
      <c r="C3174" s="4" t="s">
        <v>488</v>
      </c>
      <c r="D3174" s="4" t="n">
        <v>64</v>
      </c>
      <c r="E3174" s="23" t="s">
        <v>197</v>
      </c>
      <c r="F3174" s="10" t="s">
        <v>471</v>
      </c>
    </row>
    <row r="3175" customFormat="false" ht="15" hidden="false" customHeight="false" outlineLevel="0" collapsed="false">
      <c r="A3175" s="4" t="str">
        <f aca="false">B3175&amp;"|"&amp;C3175</f>
        <v>tdbR00000343 Gln-CUG|66</v>
      </c>
      <c r="B3175" s="4" t="s">
        <v>80</v>
      </c>
      <c r="C3175" s="4" t="s">
        <v>489</v>
      </c>
      <c r="D3175" s="4" t="n">
        <v>65</v>
      </c>
      <c r="E3175" s="17" t="s">
        <v>259</v>
      </c>
      <c r="F3175" s="18" t="s">
        <v>412</v>
      </c>
    </row>
    <row r="3176" customFormat="false" ht="15" hidden="false" customHeight="false" outlineLevel="0" collapsed="false">
      <c r="A3176" s="4" t="str">
        <f aca="false">B3176&amp;"|"&amp;C3176</f>
        <v>tdbR00000343 Gln-CUG|67</v>
      </c>
      <c r="B3176" s="4" t="s">
        <v>80</v>
      </c>
      <c r="C3176" s="4" t="s">
        <v>490</v>
      </c>
      <c r="D3176" s="4" t="n">
        <v>66</v>
      </c>
      <c r="E3176" s="17" t="s">
        <v>197</v>
      </c>
      <c r="F3176" s="18" t="s">
        <v>412</v>
      </c>
    </row>
    <row r="3177" customFormat="false" ht="15" hidden="false" customHeight="false" outlineLevel="0" collapsed="false">
      <c r="A3177" s="4" t="str">
        <f aca="false">B3177&amp;"|"&amp;C3177</f>
        <v>tdbR00000343 Gln-CUG|68</v>
      </c>
      <c r="B3177" s="4" t="s">
        <v>80</v>
      </c>
      <c r="C3177" s="4" t="s">
        <v>491</v>
      </c>
      <c r="D3177" s="4" t="n">
        <v>67</v>
      </c>
      <c r="E3177" s="17" t="s">
        <v>197</v>
      </c>
      <c r="F3177" s="18" t="s">
        <v>412</v>
      </c>
    </row>
    <row r="3178" customFormat="false" ht="15" hidden="false" customHeight="false" outlineLevel="0" collapsed="false">
      <c r="A3178" s="4" t="str">
        <f aca="false">B3178&amp;"|"&amp;C3178</f>
        <v>tdbR00000343 Gln-CUG|69</v>
      </c>
      <c r="B3178" s="4" t="s">
        <v>80</v>
      </c>
      <c r="C3178" s="4" t="s">
        <v>492</v>
      </c>
      <c r="D3178" s="4" t="n">
        <v>68</v>
      </c>
      <c r="E3178" s="17" t="s">
        <v>246</v>
      </c>
      <c r="F3178" s="18" t="s">
        <v>412</v>
      </c>
    </row>
    <row r="3179" customFormat="false" ht="15" hidden="false" customHeight="false" outlineLevel="0" collapsed="false">
      <c r="A3179" s="4" t="str">
        <f aca="false">B3179&amp;"|"&amp;C3179</f>
        <v>tdbR00000343 Gln-CUG|70</v>
      </c>
      <c r="B3179" s="4" t="s">
        <v>80</v>
      </c>
      <c r="C3179" s="4" t="s">
        <v>493</v>
      </c>
      <c r="D3179" s="4" t="n">
        <v>69</v>
      </c>
      <c r="E3179" s="17" t="s">
        <v>246</v>
      </c>
      <c r="F3179" s="18" t="s">
        <v>412</v>
      </c>
    </row>
    <row r="3180" customFormat="false" ht="15" hidden="false" customHeight="false" outlineLevel="0" collapsed="false">
      <c r="A3180" s="4" t="str">
        <f aca="false">B3180&amp;"|"&amp;C3180</f>
        <v>tdbR00000343 Gln-CUG|71</v>
      </c>
      <c r="B3180" s="4" t="s">
        <v>80</v>
      </c>
      <c r="C3180" s="4" t="s">
        <v>494</v>
      </c>
      <c r="D3180" s="4" t="n">
        <v>70</v>
      </c>
      <c r="E3180" s="17" t="s">
        <v>414</v>
      </c>
      <c r="F3180" s="18" t="s">
        <v>412</v>
      </c>
    </row>
    <row r="3181" customFormat="false" ht="15" hidden="false" customHeight="false" outlineLevel="0" collapsed="false">
      <c r="A3181" s="4" t="str">
        <f aca="false">B3181&amp;"|"&amp;C3181</f>
        <v>tdbR00000343 Gln-CUG|72</v>
      </c>
      <c r="B3181" s="4" t="s">
        <v>80</v>
      </c>
      <c r="C3181" s="4" t="s">
        <v>495</v>
      </c>
      <c r="D3181" s="4" t="n">
        <v>71</v>
      </c>
      <c r="E3181" s="17" t="s">
        <v>414</v>
      </c>
      <c r="F3181" s="18" t="s">
        <v>412</v>
      </c>
    </row>
    <row r="3182" customFormat="false" ht="15" hidden="false" customHeight="false" outlineLevel="0" collapsed="false">
      <c r="A3182" s="4" t="str">
        <f aca="false">B3182&amp;"|"&amp;C3182</f>
        <v>tdbR00000344 Gln-JUG|1</v>
      </c>
      <c r="B3182" s="4" t="s">
        <v>81</v>
      </c>
      <c r="C3182" s="4" t="s">
        <v>411</v>
      </c>
      <c r="D3182" s="4" t="n">
        <v>1</v>
      </c>
      <c r="E3182" s="17" t="s">
        <v>197</v>
      </c>
      <c r="F3182" s="18" t="s">
        <v>412</v>
      </c>
    </row>
    <row r="3183" customFormat="false" ht="15" hidden="false" customHeight="false" outlineLevel="0" collapsed="false">
      <c r="A3183" s="4" t="str">
        <f aca="false">B3183&amp;"|"&amp;C3183</f>
        <v>tdbR00000344 Gln-JUG|2</v>
      </c>
      <c r="B3183" s="4" t="s">
        <v>81</v>
      </c>
      <c r="C3183" s="4" t="s">
        <v>413</v>
      </c>
      <c r="D3183" s="4" t="n">
        <v>2</v>
      </c>
      <c r="E3183" s="17" t="s">
        <v>197</v>
      </c>
      <c r="F3183" s="18" t="s">
        <v>412</v>
      </c>
    </row>
    <row r="3184" customFormat="false" ht="15" hidden="false" customHeight="false" outlineLevel="0" collapsed="false">
      <c r="A3184" s="4" t="str">
        <f aca="false">B3184&amp;"|"&amp;C3184</f>
        <v>tdbR00000344 Gln-JUG|3</v>
      </c>
      <c r="B3184" s="4" t="s">
        <v>81</v>
      </c>
      <c r="C3184" s="4" t="s">
        <v>415</v>
      </c>
      <c r="D3184" s="4" t="n">
        <v>3</v>
      </c>
      <c r="E3184" s="17" t="s">
        <v>259</v>
      </c>
      <c r="F3184" s="18" t="s">
        <v>412</v>
      </c>
    </row>
    <row r="3185" customFormat="false" ht="15" hidden="false" customHeight="false" outlineLevel="0" collapsed="false">
      <c r="A3185" s="4" t="str">
        <f aca="false">B3185&amp;"|"&amp;C3185</f>
        <v>tdbR00000344 Gln-JUG|4</v>
      </c>
      <c r="B3185" s="4" t="s">
        <v>81</v>
      </c>
      <c r="C3185" s="4" t="s">
        <v>416</v>
      </c>
      <c r="D3185" s="4" t="n">
        <v>4</v>
      </c>
      <c r="E3185" s="17" t="s">
        <v>414</v>
      </c>
      <c r="F3185" s="18" t="s">
        <v>412</v>
      </c>
    </row>
    <row r="3186" customFormat="false" ht="15" hidden="false" customHeight="false" outlineLevel="0" collapsed="false">
      <c r="A3186" s="4" t="str">
        <f aca="false">B3186&amp;"|"&amp;C3186</f>
        <v>tdbR00000344 Gln-JUG|5</v>
      </c>
      <c r="B3186" s="4" t="s">
        <v>81</v>
      </c>
      <c r="C3186" s="4" t="s">
        <v>417</v>
      </c>
      <c r="D3186" s="4" t="n">
        <v>5</v>
      </c>
      <c r="E3186" s="17" t="s">
        <v>414</v>
      </c>
      <c r="F3186" s="18" t="s">
        <v>412</v>
      </c>
    </row>
    <row r="3187" customFormat="false" ht="15" hidden="false" customHeight="false" outlineLevel="0" collapsed="false">
      <c r="A3187" s="4" t="str">
        <f aca="false">B3187&amp;"|"&amp;C3187</f>
        <v>tdbR00000344 Gln-JUG|6</v>
      </c>
      <c r="B3187" s="4" t="s">
        <v>81</v>
      </c>
      <c r="C3187" s="4" t="s">
        <v>418</v>
      </c>
      <c r="D3187" s="4" t="n">
        <v>6</v>
      </c>
      <c r="E3187" s="17" t="s">
        <v>414</v>
      </c>
      <c r="F3187" s="18" t="s">
        <v>412</v>
      </c>
    </row>
    <row r="3188" customFormat="false" ht="15" hidden="false" customHeight="false" outlineLevel="0" collapsed="false">
      <c r="A3188" s="4" t="str">
        <f aca="false">B3188&amp;"|"&amp;C3188</f>
        <v>tdbR00000344 Gln-JUG|7</v>
      </c>
      <c r="B3188" s="4" t="s">
        <v>81</v>
      </c>
      <c r="C3188" s="4" t="s">
        <v>419</v>
      </c>
      <c r="D3188" s="4" t="n">
        <v>7</v>
      </c>
      <c r="E3188" s="17" t="s">
        <v>246</v>
      </c>
      <c r="F3188" s="18" t="s">
        <v>412</v>
      </c>
    </row>
    <row r="3189" customFormat="false" ht="15" hidden="false" customHeight="false" outlineLevel="0" collapsed="false">
      <c r="A3189" s="4" t="str">
        <f aca="false">B3189&amp;"|"&amp;C3189</f>
        <v>tdbR00000344 Gln-JUG|8</v>
      </c>
      <c r="B3189" s="4" t="s">
        <v>81</v>
      </c>
      <c r="C3189" s="4" t="s">
        <v>420</v>
      </c>
      <c r="D3189" s="4" t="n">
        <v>8</v>
      </c>
      <c r="E3189" s="3" t="s">
        <v>259</v>
      </c>
      <c r="F3189" s="4" t="s">
        <v>421</v>
      </c>
    </row>
    <row r="3190" customFormat="false" ht="15" hidden="false" customHeight="false" outlineLevel="0" collapsed="false">
      <c r="A3190" s="4" t="str">
        <f aca="false">B3190&amp;"|"&amp;C3190</f>
        <v>tdbR00000344 Gln-JUG|9</v>
      </c>
      <c r="B3190" s="4" t="s">
        <v>81</v>
      </c>
      <c r="C3190" s="4" t="s">
        <v>422</v>
      </c>
      <c r="D3190" s="4" t="n">
        <v>9</v>
      </c>
      <c r="E3190" s="3" t="s">
        <v>197</v>
      </c>
      <c r="F3190" s="4" t="s">
        <v>423</v>
      </c>
    </row>
    <row r="3191" customFormat="false" ht="15" hidden="false" customHeight="false" outlineLevel="0" collapsed="false">
      <c r="A3191" s="4" t="str">
        <f aca="false">B3191&amp;"|"&amp;C3191</f>
        <v>tdbR00000344 Gln-JUG|10</v>
      </c>
      <c r="B3191" s="4" t="s">
        <v>81</v>
      </c>
      <c r="C3191" s="4" t="s">
        <v>424</v>
      </c>
      <c r="D3191" s="4" t="n">
        <v>10</v>
      </c>
      <c r="E3191" s="8" t="s">
        <v>197</v>
      </c>
      <c r="F3191" s="7" t="s">
        <v>425</v>
      </c>
    </row>
    <row r="3192" customFormat="false" ht="15" hidden="false" customHeight="false" outlineLevel="0" collapsed="false">
      <c r="A3192" s="4" t="str">
        <f aca="false">B3192&amp;"|"&amp;C3192</f>
        <v>tdbR00000344 Gln-JUG|11</v>
      </c>
      <c r="B3192" s="4" t="s">
        <v>81</v>
      </c>
      <c r="C3192" s="4" t="s">
        <v>426</v>
      </c>
      <c r="D3192" s="4" t="n">
        <v>11</v>
      </c>
      <c r="E3192" s="8" t="s">
        <v>259</v>
      </c>
      <c r="F3192" s="7" t="s">
        <v>425</v>
      </c>
    </row>
    <row r="3193" customFormat="false" ht="15" hidden="false" customHeight="false" outlineLevel="0" collapsed="false">
      <c r="A3193" s="4" t="str">
        <f aca="false">B3193&amp;"|"&amp;C3193</f>
        <v>tdbR00000344 Gln-JUG|12</v>
      </c>
      <c r="B3193" s="4" t="s">
        <v>81</v>
      </c>
      <c r="C3193" s="4" t="s">
        <v>427</v>
      </c>
      <c r="D3193" s="4" t="n">
        <v>12</v>
      </c>
      <c r="E3193" s="8" t="s">
        <v>197</v>
      </c>
      <c r="F3193" s="7" t="s">
        <v>425</v>
      </c>
    </row>
    <row r="3194" customFormat="false" ht="15" hidden="false" customHeight="false" outlineLevel="0" collapsed="false">
      <c r="A3194" s="4" t="str">
        <f aca="false">B3194&amp;"|"&amp;C3194</f>
        <v>tdbR00000344 Gln-JUG|13</v>
      </c>
      <c r="B3194" s="4" t="s">
        <v>81</v>
      </c>
      <c r="C3194" s="4" t="s">
        <v>428</v>
      </c>
      <c r="D3194" s="4" t="n">
        <v>13</v>
      </c>
      <c r="E3194" s="8" t="s">
        <v>259</v>
      </c>
      <c r="F3194" s="7" t="s">
        <v>425</v>
      </c>
    </row>
    <row r="3195" customFormat="false" ht="15" hidden="false" customHeight="false" outlineLevel="0" collapsed="false">
      <c r="A3195" s="4" t="str">
        <f aca="false">B3195&amp;"|"&amp;C3195</f>
        <v>tdbR00000344 Gln-JUG|14</v>
      </c>
      <c r="B3195" s="4" t="s">
        <v>81</v>
      </c>
      <c r="C3195" s="4" t="s">
        <v>429</v>
      </c>
      <c r="D3195" s="4" t="n">
        <v>14</v>
      </c>
      <c r="E3195" s="19" t="s">
        <v>246</v>
      </c>
      <c r="F3195" s="20" t="s">
        <v>430</v>
      </c>
    </row>
    <row r="3196" customFormat="false" ht="15" hidden="false" customHeight="false" outlineLevel="0" collapsed="false">
      <c r="A3196" s="4" t="str">
        <f aca="false">B3196&amp;"|"&amp;C3196</f>
        <v>tdbR00000344 Gln-JUG|15</v>
      </c>
      <c r="B3196" s="4" t="s">
        <v>81</v>
      </c>
      <c r="C3196" s="4" t="s">
        <v>431</v>
      </c>
      <c r="D3196" s="4" t="n">
        <v>15</v>
      </c>
      <c r="E3196" s="19" t="s">
        <v>246</v>
      </c>
      <c r="F3196" s="20" t="s">
        <v>430</v>
      </c>
    </row>
    <row r="3197" customFormat="false" ht="15" hidden="false" customHeight="false" outlineLevel="0" collapsed="false">
      <c r="A3197" s="4" t="str">
        <f aca="false">B3197&amp;"|"&amp;C3197</f>
        <v>tdbR00000344 Gln-JUG|16</v>
      </c>
      <c r="B3197" s="4" t="s">
        <v>81</v>
      </c>
      <c r="C3197" s="4" t="s">
        <v>432</v>
      </c>
      <c r="D3197" s="4" t="n">
        <v>16</v>
      </c>
      <c r="E3197" s="19" t="s">
        <v>259</v>
      </c>
      <c r="F3197" s="20" t="s">
        <v>430</v>
      </c>
    </row>
    <row r="3198" customFormat="false" ht="15" hidden="false" customHeight="false" outlineLevel="0" collapsed="false">
      <c r="A3198" s="4" t="str">
        <f aca="false">B3198&amp;"|"&amp;C3198</f>
        <v>tdbR00000344 Gln-JUG|18</v>
      </c>
      <c r="B3198" s="4" t="s">
        <v>81</v>
      </c>
      <c r="C3198" s="4" t="s">
        <v>434</v>
      </c>
      <c r="D3198" s="4" t="n">
        <v>17</v>
      </c>
      <c r="E3198" s="19" t="s">
        <v>197</v>
      </c>
      <c r="F3198" s="20" t="s">
        <v>430</v>
      </c>
    </row>
    <row r="3199" customFormat="false" ht="15" hidden="false" customHeight="false" outlineLevel="0" collapsed="false">
      <c r="A3199" s="4" t="str">
        <f aca="false">B3199&amp;"|"&amp;C3199</f>
        <v>tdbR00000344 Gln-JUG|19</v>
      </c>
      <c r="B3199" s="4" t="s">
        <v>81</v>
      </c>
      <c r="C3199" s="4" t="s">
        <v>435</v>
      </c>
      <c r="D3199" s="4" t="n">
        <v>18</v>
      </c>
      <c r="E3199" s="19" t="s">
        <v>197</v>
      </c>
      <c r="F3199" s="20" t="s">
        <v>430</v>
      </c>
    </row>
    <row r="3200" customFormat="false" ht="15" hidden="false" customHeight="false" outlineLevel="0" collapsed="false">
      <c r="A3200" s="4" t="str">
        <f aca="false">B3200&amp;"|"&amp;C3200</f>
        <v>tdbR00000344 Gln-JUG|20</v>
      </c>
      <c r="B3200" s="4" t="s">
        <v>81</v>
      </c>
      <c r="C3200" s="4" t="s">
        <v>436</v>
      </c>
      <c r="D3200" s="4" t="n">
        <v>19</v>
      </c>
      <c r="E3200" s="19" t="s">
        <v>259</v>
      </c>
      <c r="F3200" s="20" t="s">
        <v>430</v>
      </c>
    </row>
    <row r="3201" customFormat="false" ht="15" hidden="false" customHeight="false" outlineLevel="0" collapsed="false">
      <c r="A3201" s="4" t="str">
        <f aca="false">B3201&amp;"|"&amp;C3201</f>
        <v>tdbR00000344 Gln-JUG|20a</v>
      </c>
      <c r="B3201" s="4" t="s">
        <v>81</v>
      </c>
      <c r="C3201" s="4" t="s">
        <v>437</v>
      </c>
      <c r="D3201" s="4" t="n">
        <v>20</v>
      </c>
      <c r="E3201" s="19" t="s">
        <v>259</v>
      </c>
      <c r="F3201" s="20" t="s">
        <v>430</v>
      </c>
    </row>
    <row r="3202" customFormat="false" ht="15" hidden="false" customHeight="false" outlineLevel="0" collapsed="false">
      <c r="A3202" s="4" t="str">
        <f aca="false">B3202&amp;"|"&amp;C3202</f>
        <v>tdbR00000344 Gln-JUG|21</v>
      </c>
      <c r="B3202" s="4" t="s">
        <v>81</v>
      </c>
      <c r="C3202" s="4" t="s">
        <v>438</v>
      </c>
      <c r="D3202" s="4" t="n">
        <v>21</v>
      </c>
      <c r="E3202" s="19" t="s">
        <v>246</v>
      </c>
      <c r="F3202" s="20" t="s">
        <v>430</v>
      </c>
    </row>
    <row r="3203" customFormat="false" ht="15" hidden="false" customHeight="false" outlineLevel="0" collapsed="false">
      <c r="A3203" s="4" t="str">
        <f aca="false">B3203&amp;"|"&amp;C3203</f>
        <v>tdbR00000344 Gln-JUG|22</v>
      </c>
      <c r="B3203" s="4" t="s">
        <v>81</v>
      </c>
      <c r="C3203" s="4" t="s">
        <v>439</v>
      </c>
      <c r="D3203" s="4" t="n">
        <v>22</v>
      </c>
      <c r="E3203" s="8" t="s">
        <v>197</v>
      </c>
      <c r="F3203" s="7" t="s">
        <v>425</v>
      </c>
    </row>
    <row r="3204" customFormat="false" ht="15" hidden="false" customHeight="false" outlineLevel="0" collapsed="false">
      <c r="A3204" s="4" t="str">
        <f aca="false">B3204&amp;"|"&amp;C3204</f>
        <v>tdbR00000344 Gln-JUG|23</v>
      </c>
      <c r="B3204" s="4" t="s">
        <v>81</v>
      </c>
      <c r="C3204" s="4" t="s">
        <v>440</v>
      </c>
      <c r="D3204" s="4" t="n">
        <v>23</v>
      </c>
      <c r="E3204" s="8" t="s">
        <v>414</v>
      </c>
      <c r="F3204" s="7" t="s">
        <v>425</v>
      </c>
    </row>
    <row r="3205" customFormat="false" ht="15" hidden="false" customHeight="false" outlineLevel="0" collapsed="false">
      <c r="A3205" s="4" t="str">
        <f aca="false">B3205&amp;"|"&amp;C3205</f>
        <v>tdbR00000344 Gln-JUG|24</v>
      </c>
      <c r="B3205" s="4" t="s">
        <v>81</v>
      </c>
      <c r="C3205" s="4" t="s">
        <v>441</v>
      </c>
      <c r="D3205" s="4" t="n">
        <v>24</v>
      </c>
      <c r="E3205" s="8" t="s">
        <v>246</v>
      </c>
      <c r="F3205" s="7" t="s">
        <v>425</v>
      </c>
    </row>
    <row r="3206" customFormat="false" ht="15" hidden="false" customHeight="false" outlineLevel="0" collapsed="false">
      <c r="A3206" s="4" t="str">
        <f aca="false">B3206&amp;"|"&amp;C3206</f>
        <v>tdbR00000344 Gln-JUG|25</v>
      </c>
      <c r="B3206" s="4" t="s">
        <v>81</v>
      </c>
      <c r="C3206" s="4" t="s">
        <v>442</v>
      </c>
      <c r="D3206" s="4" t="n">
        <v>25</v>
      </c>
      <c r="E3206" s="8" t="s">
        <v>414</v>
      </c>
      <c r="F3206" s="7" t="s">
        <v>425</v>
      </c>
    </row>
    <row r="3207" customFormat="false" ht="15" hidden="false" customHeight="false" outlineLevel="0" collapsed="false">
      <c r="A3207" s="4" t="str">
        <f aca="false">B3207&amp;"|"&amp;C3207</f>
        <v>tdbR00000344 Gln-JUG|26</v>
      </c>
      <c r="B3207" s="4" t="s">
        <v>81</v>
      </c>
      <c r="C3207" s="4" t="s">
        <v>443</v>
      </c>
      <c r="D3207" s="4" t="n">
        <v>26</v>
      </c>
      <c r="E3207" s="3" t="s">
        <v>259</v>
      </c>
      <c r="F3207" s="4" t="s">
        <v>444</v>
      </c>
    </row>
    <row r="3208" customFormat="false" ht="15" hidden="false" customHeight="false" outlineLevel="0" collapsed="false">
      <c r="A3208" s="4" t="str">
        <f aca="false">B3208&amp;"|"&amp;C3208</f>
        <v>tdbR00000344 Gln-JUG|27</v>
      </c>
      <c r="B3208" s="4" t="s">
        <v>81</v>
      </c>
      <c r="C3208" s="4" t="s">
        <v>445</v>
      </c>
      <c r="D3208" s="4" t="n">
        <v>27</v>
      </c>
      <c r="E3208" s="21" t="s">
        <v>414</v>
      </c>
      <c r="F3208" s="22" t="s">
        <v>446</v>
      </c>
    </row>
    <row r="3209" customFormat="false" ht="15" hidden="false" customHeight="false" outlineLevel="0" collapsed="false">
      <c r="A3209" s="4" t="str">
        <f aca="false">B3209&amp;"|"&amp;C3209</f>
        <v>tdbR00000344 Gln-JUG|28</v>
      </c>
      <c r="B3209" s="4" t="s">
        <v>81</v>
      </c>
      <c r="C3209" s="4" t="s">
        <v>447</v>
      </c>
      <c r="D3209" s="4" t="n">
        <v>28</v>
      </c>
      <c r="E3209" s="21" t="s">
        <v>259</v>
      </c>
      <c r="F3209" s="22" t="s">
        <v>446</v>
      </c>
    </row>
    <row r="3210" customFormat="false" ht="15" hidden="false" customHeight="false" outlineLevel="0" collapsed="false">
      <c r="A3210" s="4" t="str">
        <f aca="false">B3210&amp;"|"&amp;C3210</f>
        <v>tdbR00000344 Gln-JUG|29</v>
      </c>
      <c r="B3210" s="4" t="s">
        <v>81</v>
      </c>
      <c r="C3210" s="4" t="s">
        <v>448</v>
      </c>
      <c r="D3210" s="4" t="n">
        <v>29</v>
      </c>
      <c r="E3210" s="21" t="s">
        <v>197</v>
      </c>
      <c r="F3210" s="22" t="s">
        <v>446</v>
      </c>
    </row>
    <row r="3211" customFormat="false" ht="15" hidden="false" customHeight="false" outlineLevel="0" collapsed="false">
      <c r="A3211" s="4" t="str">
        <f aca="false">B3211&amp;"|"&amp;C3211</f>
        <v>tdbR00000344 Gln-JUG|30</v>
      </c>
      <c r="B3211" s="4" t="s">
        <v>81</v>
      </c>
      <c r="C3211" s="4" t="s">
        <v>449</v>
      </c>
      <c r="D3211" s="4" t="n">
        <v>30</v>
      </c>
      <c r="E3211" s="21" t="s">
        <v>197</v>
      </c>
      <c r="F3211" s="22" t="s">
        <v>446</v>
      </c>
    </row>
    <row r="3212" customFormat="false" ht="15" hidden="false" customHeight="false" outlineLevel="0" collapsed="false">
      <c r="A3212" s="4" t="str">
        <f aca="false">B3212&amp;"|"&amp;C3212</f>
        <v>tdbR00000344 Gln-JUG|31</v>
      </c>
      <c r="B3212" s="4" t="s">
        <v>81</v>
      </c>
      <c r="C3212" s="4" t="s">
        <v>450</v>
      </c>
      <c r="D3212" s="4" t="n">
        <v>31</v>
      </c>
      <c r="E3212" s="21" t="s">
        <v>246</v>
      </c>
      <c r="F3212" s="22" t="s">
        <v>446</v>
      </c>
    </row>
    <row r="3213" customFormat="false" ht="15" hidden="false" customHeight="false" outlineLevel="0" collapsed="false">
      <c r="A3213" s="4" t="str">
        <f aca="false">B3213&amp;"|"&amp;C3213</f>
        <v>tdbR00000344 Gln-JUG|32</v>
      </c>
      <c r="B3213" s="4" t="s">
        <v>81</v>
      </c>
      <c r="C3213" s="4" t="s">
        <v>451</v>
      </c>
      <c r="D3213" s="4" t="n">
        <v>32</v>
      </c>
      <c r="E3213" s="19" t="s">
        <v>414</v>
      </c>
      <c r="F3213" s="20" t="s">
        <v>452</v>
      </c>
    </row>
    <row r="3214" customFormat="false" ht="15" hidden="false" customHeight="false" outlineLevel="0" collapsed="false">
      <c r="A3214" s="4" t="str">
        <f aca="false">B3214&amp;"|"&amp;C3214</f>
        <v>tdbR00000344 Gln-JUG|33</v>
      </c>
      <c r="B3214" s="4" t="s">
        <v>81</v>
      </c>
      <c r="C3214" s="4" t="s">
        <v>453</v>
      </c>
      <c r="D3214" s="4" t="n">
        <v>33</v>
      </c>
      <c r="E3214" s="19" t="s">
        <v>259</v>
      </c>
      <c r="F3214" s="20" t="s">
        <v>452</v>
      </c>
    </row>
    <row r="3215" customFormat="false" ht="15" hidden="false" customHeight="false" outlineLevel="0" collapsed="false">
      <c r="A3215" s="4" t="str">
        <f aca="false">B3215&amp;"|"&amp;C3215</f>
        <v>tdbR00000344 Gln-JUG|34</v>
      </c>
      <c r="B3215" s="4" t="s">
        <v>81</v>
      </c>
      <c r="C3215" s="4" t="s">
        <v>454</v>
      </c>
      <c r="D3215" s="4" t="n">
        <v>34</v>
      </c>
      <c r="E3215" s="19" t="s">
        <v>259</v>
      </c>
      <c r="F3215" s="20" t="s">
        <v>452</v>
      </c>
    </row>
    <row r="3216" customFormat="false" ht="15" hidden="false" customHeight="false" outlineLevel="0" collapsed="false">
      <c r="A3216" s="4" t="str">
        <f aca="false">B3216&amp;"|"&amp;C3216</f>
        <v>tdbR00000344 Gln-JUG|35</v>
      </c>
      <c r="B3216" s="4" t="s">
        <v>81</v>
      </c>
      <c r="C3216" s="4" t="s">
        <v>455</v>
      </c>
      <c r="D3216" s="4" t="n">
        <v>35</v>
      </c>
      <c r="E3216" s="19" t="s">
        <v>259</v>
      </c>
      <c r="F3216" s="20" t="s">
        <v>452</v>
      </c>
    </row>
    <row r="3217" customFormat="false" ht="15" hidden="false" customHeight="false" outlineLevel="0" collapsed="false">
      <c r="A3217" s="4" t="str">
        <f aca="false">B3217&amp;"|"&amp;C3217</f>
        <v>tdbR00000344 Gln-JUG|36</v>
      </c>
      <c r="B3217" s="4" t="s">
        <v>81</v>
      </c>
      <c r="C3217" s="4" t="s">
        <v>456</v>
      </c>
      <c r="D3217" s="4" t="n">
        <v>36</v>
      </c>
      <c r="E3217" s="19" t="s">
        <v>197</v>
      </c>
      <c r="F3217" s="20" t="s">
        <v>452</v>
      </c>
    </row>
    <row r="3218" customFormat="false" ht="15" hidden="false" customHeight="false" outlineLevel="0" collapsed="false">
      <c r="A3218" s="4" t="str">
        <f aca="false">B3218&amp;"|"&amp;C3218</f>
        <v>tdbR00000344 Gln-JUG|37</v>
      </c>
      <c r="B3218" s="4" t="s">
        <v>81</v>
      </c>
      <c r="C3218" s="4" t="s">
        <v>457</v>
      </c>
      <c r="D3218" s="4" t="n">
        <v>37</v>
      </c>
      <c r="E3218" s="19" t="s">
        <v>246</v>
      </c>
      <c r="F3218" s="20" t="s">
        <v>452</v>
      </c>
    </row>
    <row r="3219" customFormat="false" ht="15" hidden="false" customHeight="false" outlineLevel="0" collapsed="false">
      <c r="A3219" s="4" t="str">
        <f aca="false">B3219&amp;"|"&amp;C3219</f>
        <v>tdbR00000344 Gln-JUG|38</v>
      </c>
      <c r="B3219" s="4" t="s">
        <v>81</v>
      </c>
      <c r="C3219" s="4" t="s">
        <v>458</v>
      </c>
      <c r="D3219" s="4" t="n">
        <v>38</v>
      </c>
      <c r="E3219" s="19" t="s">
        <v>246</v>
      </c>
      <c r="F3219" s="20" t="s">
        <v>452</v>
      </c>
    </row>
    <row r="3220" customFormat="false" ht="15" hidden="false" customHeight="false" outlineLevel="0" collapsed="false">
      <c r="A3220" s="4" t="str">
        <f aca="false">B3220&amp;"|"&amp;C3220</f>
        <v>tdbR00000344 Gln-JUG|39</v>
      </c>
      <c r="B3220" s="4" t="s">
        <v>81</v>
      </c>
      <c r="C3220" s="4" t="s">
        <v>459</v>
      </c>
      <c r="D3220" s="4" t="n">
        <v>39</v>
      </c>
      <c r="E3220" s="21" t="s">
        <v>259</v>
      </c>
      <c r="F3220" s="22" t="s">
        <v>446</v>
      </c>
    </row>
    <row r="3221" customFormat="false" ht="15" hidden="false" customHeight="false" outlineLevel="0" collapsed="false">
      <c r="A3221" s="4" t="str">
        <f aca="false">B3221&amp;"|"&amp;C3221</f>
        <v>tdbR00000344 Gln-JUG|40</v>
      </c>
      <c r="B3221" s="4" t="s">
        <v>81</v>
      </c>
      <c r="C3221" s="4" t="s">
        <v>460</v>
      </c>
      <c r="D3221" s="4" t="n">
        <v>40</v>
      </c>
      <c r="E3221" s="21" t="s">
        <v>414</v>
      </c>
      <c r="F3221" s="22" t="s">
        <v>446</v>
      </c>
    </row>
    <row r="3222" customFormat="false" ht="15" hidden="false" customHeight="false" outlineLevel="0" collapsed="false">
      <c r="A3222" s="4" t="str">
        <f aca="false">B3222&amp;"|"&amp;C3222</f>
        <v>tdbR00000344 Gln-JUG|41</v>
      </c>
      <c r="B3222" s="4" t="s">
        <v>81</v>
      </c>
      <c r="C3222" s="4" t="s">
        <v>461</v>
      </c>
      <c r="D3222" s="4" t="n">
        <v>41</v>
      </c>
      <c r="E3222" s="21" t="s">
        <v>414</v>
      </c>
      <c r="F3222" s="22" t="s">
        <v>446</v>
      </c>
    </row>
    <row r="3223" customFormat="false" ht="15" hidden="false" customHeight="false" outlineLevel="0" collapsed="false">
      <c r="A3223" s="4" t="str">
        <f aca="false">B3223&amp;"|"&amp;C3223</f>
        <v>tdbR00000344 Gln-JUG|42</v>
      </c>
      <c r="B3223" s="4" t="s">
        <v>81</v>
      </c>
      <c r="C3223" s="4" t="s">
        <v>462</v>
      </c>
      <c r="D3223" s="4" t="n">
        <v>42</v>
      </c>
      <c r="E3223" s="21" t="s">
        <v>246</v>
      </c>
      <c r="F3223" s="22" t="s">
        <v>446</v>
      </c>
    </row>
    <row r="3224" customFormat="false" ht="15" hidden="false" customHeight="false" outlineLevel="0" collapsed="false">
      <c r="A3224" s="4" t="str">
        <f aca="false">B3224&amp;"|"&amp;C3224</f>
        <v>tdbR00000344 Gln-JUG|43</v>
      </c>
      <c r="B3224" s="4" t="s">
        <v>81</v>
      </c>
      <c r="C3224" s="4" t="s">
        <v>463</v>
      </c>
      <c r="D3224" s="4" t="n">
        <v>43</v>
      </c>
      <c r="E3224" s="21" t="s">
        <v>197</v>
      </c>
      <c r="F3224" s="22" t="s">
        <v>446</v>
      </c>
    </row>
    <row r="3225" customFormat="false" ht="15" hidden="false" customHeight="false" outlineLevel="0" collapsed="false">
      <c r="A3225" s="4" t="str">
        <f aca="false">B3225&amp;"|"&amp;C3225</f>
        <v>tdbR00000344 Gln-JUG|44</v>
      </c>
      <c r="B3225" s="4" t="s">
        <v>81</v>
      </c>
      <c r="C3225" s="4" t="s">
        <v>464</v>
      </c>
      <c r="D3225" s="4" t="n">
        <v>44</v>
      </c>
      <c r="E3225" s="19" t="s">
        <v>414</v>
      </c>
      <c r="F3225" s="20" t="s">
        <v>465</v>
      </c>
    </row>
    <row r="3226" customFormat="false" ht="15" hidden="false" customHeight="false" outlineLevel="0" collapsed="false">
      <c r="A3226" s="4" t="str">
        <f aca="false">B3226&amp;"|"&amp;C3226</f>
        <v>tdbR00000344 Gln-JUG|45</v>
      </c>
      <c r="B3226" s="4" t="s">
        <v>81</v>
      </c>
      <c r="C3226" s="4" t="s">
        <v>466</v>
      </c>
      <c r="D3226" s="4" t="n">
        <v>45</v>
      </c>
      <c r="E3226" s="19" t="s">
        <v>197</v>
      </c>
      <c r="F3226" s="20" t="s">
        <v>465</v>
      </c>
    </row>
    <row r="3227" customFormat="false" ht="15" hidden="false" customHeight="false" outlineLevel="0" collapsed="false">
      <c r="A3227" s="4" t="str">
        <f aca="false">B3227&amp;"|"&amp;C3227</f>
        <v>tdbR00000344 Gln-JUG|46</v>
      </c>
      <c r="B3227" s="4" t="s">
        <v>81</v>
      </c>
      <c r="C3227" s="4" t="s">
        <v>467</v>
      </c>
      <c r="D3227" s="4" t="n">
        <v>46</v>
      </c>
      <c r="E3227" s="19" t="s">
        <v>246</v>
      </c>
      <c r="F3227" s="20" t="s">
        <v>465</v>
      </c>
    </row>
    <row r="3228" customFormat="false" ht="15" hidden="false" customHeight="false" outlineLevel="0" collapsed="false">
      <c r="A3228" s="4" t="str">
        <f aca="false">B3228&amp;"|"&amp;C3228</f>
        <v>tdbR00000344 Gln-JUG|48</v>
      </c>
      <c r="B3228" s="4" t="s">
        <v>81</v>
      </c>
      <c r="C3228" s="4" t="s">
        <v>469</v>
      </c>
      <c r="D3228" s="4" t="n">
        <v>47</v>
      </c>
      <c r="E3228" s="19" t="s">
        <v>259</v>
      </c>
      <c r="F3228" s="20" t="s">
        <v>465</v>
      </c>
    </row>
    <row r="3229" customFormat="false" ht="15" hidden="false" customHeight="false" outlineLevel="0" collapsed="false">
      <c r="A3229" s="4" t="str">
        <f aca="false">B3229&amp;"|"&amp;C3229</f>
        <v>tdbR00000344 Gln-JUG|49</v>
      </c>
      <c r="B3229" s="4" t="s">
        <v>81</v>
      </c>
      <c r="C3229" s="4" t="s">
        <v>470</v>
      </c>
      <c r="D3229" s="4" t="n">
        <v>48</v>
      </c>
      <c r="E3229" s="23" t="s">
        <v>414</v>
      </c>
      <c r="F3229" s="10" t="s">
        <v>471</v>
      </c>
    </row>
    <row r="3230" customFormat="false" ht="15" hidden="false" customHeight="false" outlineLevel="0" collapsed="false">
      <c r="A3230" s="4" t="str">
        <f aca="false">B3230&amp;"|"&amp;C3230</f>
        <v>tdbR00000344 Gln-JUG|50</v>
      </c>
      <c r="B3230" s="4" t="s">
        <v>81</v>
      </c>
      <c r="C3230" s="4" t="s">
        <v>472</v>
      </c>
      <c r="D3230" s="4" t="n">
        <v>49</v>
      </c>
      <c r="E3230" s="23" t="s">
        <v>414</v>
      </c>
      <c r="F3230" s="10" t="s">
        <v>471</v>
      </c>
    </row>
    <row r="3231" customFormat="false" ht="15" hidden="false" customHeight="false" outlineLevel="0" collapsed="false">
      <c r="A3231" s="4" t="str">
        <f aca="false">B3231&amp;"|"&amp;C3231</f>
        <v>tdbR00000344 Gln-JUG|51</v>
      </c>
      <c r="B3231" s="4" t="s">
        <v>81</v>
      </c>
      <c r="C3231" s="4" t="s">
        <v>473</v>
      </c>
      <c r="D3231" s="4" t="n">
        <v>50</v>
      </c>
      <c r="E3231" s="23" t="s">
        <v>197</v>
      </c>
      <c r="F3231" s="10" t="s">
        <v>471</v>
      </c>
    </row>
    <row r="3232" customFormat="false" ht="15" hidden="false" customHeight="false" outlineLevel="0" collapsed="false">
      <c r="A3232" s="4" t="str">
        <f aca="false">B3232&amp;"|"&amp;C3232</f>
        <v>tdbR00000344 Gln-JUG|52</v>
      </c>
      <c r="B3232" s="4" t="s">
        <v>81</v>
      </c>
      <c r="C3232" s="4" t="s">
        <v>474</v>
      </c>
      <c r="D3232" s="4" t="n">
        <v>51</v>
      </c>
      <c r="E3232" s="23" t="s">
        <v>246</v>
      </c>
      <c r="F3232" s="10" t="s">
        <v>471</v>
      </c>
    </row>
    <row r="3233" customFormat="false" ht="15" hidden="false" customHeight="false" outlineLevel="0" collapsed="false">
      <c r="A3233" s="4" t="str">
        <f aca="false">B3233&amp;"|"&amp;C3233</f>
        <v>tdbR00000344 Gln-JUG|53</v>
      </c>
      <c r="B3233" s="4" t="s">
        <v>81</v>
      </c>
      <c r="C3233" s="4" t="s">
        <v>475</v>
      </c>
      <c r="D3233" s="4" t="n">
        <v>52</v>
      </c>
      <c r="E3233" s="23" t="s">
        <v>197</v>
      </c>
      <c r="F3233" s="10" t="s">
        <v>471</v>
      </c>
    </row>
    <row r="3234" customFormat="false" ht="15" hidden="false" customHeight="false" outlineLevel="0" collapsed="false">
      <c r="A3234" s="4" t="str">
        <f aca="false">B3234&amp;"|"&amp;C3234</f>
        <v>tdbR00000344 Gln-JUG|54</v>
      </c>
      <c r="B3234" s="4" t="s">
        <v>81</v>
      </c>
      <c r="C3234" s="4" t="s">
        <v>476</v>
      </c>
      <c r="D3234" s="4" t="n">
        <v>53</v>
      </c>
      <c r="E3234" s="19" t="s">
        <v>259</v>
      </c>
      <c r="F3234" s="20" t="s">
        <v>477</v>
      </c>
    </row>
    <row r="3235" customFormat="false" ht="15" hidden="false" customHeight="false" outlineLevel="0" collapsed="false">
      <c r="A3235" s="4" t="str">
        <f aca="false">B3235&amp;"|"&amp;C3235</f>
        <v>tdbR00000344 Gln-JUG|55</v>
      </c>
      <c r="B3235" s="4" t="s">
        <v>81</v>
      </c>
      <c r="C3235" s="4" t="s">
        <v>478</v>
      </c>
      <c r="D3235" s="4" t="n">
        <v>54</v>
      </c>
      <c r="E3235" s="19" t="s">
        <v>259</v>
      </c>
      <c r="F3235" s="20" t="s">
        <v>477</v>
      </c>
    </row>
    <row r="3236" customFormat="false" ht="15" hidden="false" customHeight="false" outlineLevel="0" collapsed="false">
      <c r="A3236" s="4" t="str">
        <f aca="false">B3236&amp;"|"&amp;C3236</f>
        <v>tdbR00000344 Gln-JUG|56</v>
      </c>
      <c r="B3236" s="4" t="s">
        <v>81</v>
      </c>
      <c r="C3236" s="4" t="s">
        <v>479</v>
      </c>
      <c r="D3236" s="4" t="n">
        <v>55</v>
      </c>
      <c r="E3236" s="19" t="s">
        <v>414</v>
      </c>
      <c r="F3236" s="20" t="s">
        <v>477</v>
      </c>
    </row>
    <row r="3237" customFormat="false" ht="15" hidden="false" customHeight="false" outlineLevel="0" collapsed="false">
      <c r="A3237" s="4" t="str">
        <f aca="false">B3237&amp;"|"&amp;C3237</f>
        <v>tdbR00000344 Gln-JUG|57</v>
      </c>
      <c r="B3237" s="4" t="s">
        <v>81</v>
      </c>
      <c r="C3237" s="4" t="s">
        <v>480</v>
      </c>
      <c r="D3237" s="4" t="n">
        <v>56</v>
      </c>
      <c r="E3237" s="19" t="s">
        <v>246</v>
      </c>
      <c r="F3237" s="20" t="s">
        <v>477</v>
      </c>
    </row>
    <row r="3238" customFormat="false" ht="15" hidden="false" customHeight="false" outlineLevel="0" collapsed="false">
      <c r="A3238" s="4" t="str">
        <f aca="false">B3238&amp;"|"&amp;C3238</f>
        <v>tdbR00000344 Gln-JUG|58</v>
      </c>
      <c r="B3238" s="4" t="s">
        <v>81</v>
      </c>
      <c r="C3238" s="4" t="s">
        <v>481</v>
      </c>
      <c r="D3238" s="4" t="n">
        <v>57</v>
      </c>
      <c r="E3238" s="19" t="s">
        <v>246</v>
      </c>
      <c r="F3238" s="20" t="s">
        <v>477</v>
      </c>
    </row>
    <row r="3239" customFormat="false" ht="15" hidden="false" customHeight="false" outlineLevel="0" collapsed="false">
      <c r="A3239" s="4" t="str">
        <f aca="false">B3239&amp;"|"&amp;C3239</f>
        <v>tdbR00000344 Gln-JUG|59</v>
      </c>
      <c r="B3239" s="4" t="s">
        <v>81</v>
      </c>
      <c r="C3239" s="4" t="s">
        <v>482</v>
      </c>
      <c r="D3239" s="4" t="n">
        <v>58</v>
      </c>
      <c r="E3239" s="19" t="s">
        <v>246</v>
      </c>
      <c r="F3239" s="20" t="s">
        <v>477</v>
      </c>
    </row>
    <row r="3240" customFormat="false" ht="15" hidden="false" customHeight="false" outlineLevel="0" collapsed="false">
      <c r="A3240" s="4" t="str">
        <f aca="false">B3240&amp;"|"&amp;C3240</f>
        <v>tdbR00000344 Gln-JUG|60</v>
      </c>
      <c r="B3240" s="4" t="s">
        <v>81</v>
      </c>
      <c r="C3240" s="4" t="s">
        <v>483</v>
      </c>
      <c r="D3240" s="4" t="n">
        <v>59</v>
      </c>
      <c r="E3240" s="19" t="s">
        <v>259</v>
      </c>
      <c r="F3240" s="20" t="s">
        <v>477</v>
      </c>
    </row>
    <row r="3241" customFormat="false" ht="15" hidden="false" customHeight="false" outlineLevel="0" collapsed="false">
      <c r="A3241" s="4" t="str">
        <f aca="false">B3241&amp;"|"&amp;C3241</f>
        <v>tdbR00000344 Gln-JUG|61</v>
      </c>
      <c r="B3241" s="4" t="s">
        <v>81</v>
      </c>
      <c r="C3241" s="4" t="s">
        <v>484</v>
      </c>
      <c r="D3241" s="4" t="n">
        <v>60</v>
      </c>
      <c r="E3241" s="23" t="s">
        <v>414</v>
      </c>
      <c r="F3241" s="10" t="s">
        <v>471</v>
      </c>
    </row>
    <row r="3242" customFormat="false" ht="15" hidden="false" customHeight="false" outlineLevel="0" collapsed="false">
      <c r="A3242" s="4" t="str">
        <f aca="false">B3242&amp;"|"&amp;C3242</f>
        <v>tdbR00000344 Gln-JUG|62</v>
      </c>
      <c r="B3242" s="4" t="s">
        <v>81</v>
      </c>
      <c r="C3242" s="4" t="s">
        <v>485</v>
      </c>
      <c r="D3242" s="4" t="n">
        <v>61</v>
      </c>
      <c r="E3242" s="23" t="s">
        <v>259</v>
      </c>
      <c r="F3242" s="10" t="s">
        <v>471</v>
      </c>
    </row>
    <row r="3243" customFormat="false" ht="15" hidden="false" customHeight="false" outlineLevel="0" collapsed="false">
      <c r="A3243" s="4" t="str">
        <f aca="false">B3243&amp;"|"&amp;C3243</f>
        <v>tdbR00000344 Gln-JUG|63</v>
      </c>
      <c r="B3243" s="4" t="s">
        <v>81</v>
      </c>
      <c r="C3243" s="4" t="s">
        <v>486</v>
      </c>
      <c r="D3243" s="4" t="n">
        <v>62</v>
      </c>
      <c r="E3243" s="23" t="s">
        <v>414</v>
      </c>
      <c r="F3243" s="10" t="s">
        <v>471</v>
      </c>
    </row>
    <row r="3244" customFormat="false" ht="15" hidden="false" customHeight="false" outlineLevel="0" collapsed="false">
      <c r="A3244" s="4" t="str">
        <f aca="false">B3244&amp;"|"&amp;C3244</f>
        <v>tdbR00000344 Gln-JUG|64</v>
      </c>
      <c r="B3244" s="4" t="s">
        <v>81</v>
      </c>
      <c r="C3244" s="4" t="s">
        <v>487</v>
      </c>
      <c r="D3244" s="4" t="n">
        <v>63</v>
      </c>
      <c r="E3244" s="23" t="s">
        <v>197</v>
      </c>
      <c r="F3244" s="10" t="s">
        <v>471</v>
      </c>
    </row>
    <row r="3245" customFormat="false" ht="15" hidden="false" customHeight="false" outlineLevel="0" collapsed="false">
      <c r="A3245" s="4" t="str">
        <f aca="false">B3245&amp;"|"&amp;C3245</f>
        <v>tdbR00000344 Gln-JUG|65</v>
      </c>
      <c r="B3245" s="4" t="s">
        <v>81</v>
      </c>
      <c r="C3245" s="4" t="s">
        <v>488</v>
      </c>
      <c r="D3245" s="4" t="n">
        <v>64</v>
      </c>
      <c r="E3245" s="23" t="s">
        <v>197</v>
      </c>
      <c r="F3245" s="10" t="s">
        <v>471</v>
      </c>
    </row>
    <row r="3246" customFormat="false" ht="15" hidden="false" customHeight="false" outlineLevel="0" collapsed="false">
      <c r="A3246" s="4" t="str">
        <f aca="false">B3246&amp;"|"&amp;C3246</f>
        <v>tdbR00000344 Gln-JUG|66</v>
      </c>
      <c r="B3246" s="4" t="s">
        <v>81</v>
      </c>
      <c r="C3246" s="4" t="s">
        <v>489</v>
      </c>
      <c r="D3246" s="4" t="n">
        <v>65</v>
      </c>
      <c r="E3246" s="17" t="s">
        <v>259</v>
      </c>
      <c r="F3246" s="18" t="s">
        <v>412</v>
      </c>
    </row>
    <row r="3247" customFormat="false" ht="15" hidden="false" customHeight="false" outlineLevel="0" collapsed="false">
      <c r="A3247" s="4" t="str">
        <f aca="false">B3247&amp;"|"&amp;C3247</f>
        <v>tdbR00000344 Gln-JUG|67</v>
      </c>
      <c r="B3247" s="4" t="s">
        <v>81</v>
      </c>
      <c r="C3247" s="4" t="s">
        <v>490</v>
      </c>
      <c r="D3247" s="4" t="n">
        <v>66</v>
      </c>
      <c r="E3247" s="17" t="s">
        <v>197</v>
      </c>
      <c r="F3247" s="18" t="s">
        <v>412</v>
      </c>
    </row>
    <row r="3248" customFormat="false" ht="15" hidden="false" customHeight="false" outlineLevel="0" collapsed="false">
      <c r="A3248" s="4" t="str">
        <f aca="false">B3248&amp;"|"&amp;C3248</f>
        <v>tdbR00000344 Gln-JUG|68</v>
      </c>
      <c r="B3248" s="4" t="s">
        <v>81</v>
      </c>
      <c r="C3248" s="4" t="s">
        <v>491</v>
      </c>
      <c r="D3248" s="4" t="n">
        <v>67</v>
      </c>
      <c r="E3248" s="17" t="s">
        <v>197</v>
      </c>
      <c r="F3248" s="18" t="s">
        <v>412</v>
      </c>
    </row>
    <row r="3249" customFormat="false" ht="15" hidden="false" customHeight="false" outlineLevel="0" collapsed="false">
      <c r="A3249" s="4" t="str">
        <f aca="false">B3249&amp;"|"&amp;C3249</f>
        <v>tdbR00000344 Gln-JUG|69</v>
      </c>
      <c r="B3249" s="4" t="s">
        <v>81</v>
      </c>
      <c r="C3249" s="4" t="s">
        <v>492</v>
      </c>
      <c r="D3249" s="4" t="n">
        <v>68</v>
      </c>
      <c r="E3249" s="17" t="s">
        <v>197</v>
      </c>
      <c r="F3249" s="18" t="s">
        <v>412</v>
      </c>
    </row>
    <row r="3250" customFormat="false" ht="15" hidden="false" customHeight="false" outlineLevel="0" collapsed="false">
      <c r="A3250" s="4" t="str">
        <f aca="false">B3250&amp;"|"&amp;C3250</f>
        <v>tdbR00000344 Gln-JUG|70</v>
      </c>
      <c r="B3250" s="4" t="s">
        <v>81</v>
      </c>
      <c r="C3250" s="4" t="s">
        <v>493</v>
      </c>
      <c r="D3250" s="4" t="n">
        <v>69</v>
      </c>
      <c r="E3250" s="17" t="s">
        <v>246</v>
      </c>
      <c r="F3250" s="18" t="s">
        <v>412</v>
      </c>
    </row>
    <row r="3251" customFormat="false" ht="15" hidden="false" customHeight="false" outlineLevel="0" collapsed="false">
      <c r="A3251" s="4" t="str">
        <f aca="false">B3251&amp;"|"&amp;C3251</f>
        <v>tdbR00000344 Gln-JUG|71</v>
      </c>
      <c r="B3251" s="4" t="s">
        <v>81</v>
      </c>
      <c r="C3251" s="4" t="s">
        <v>494</v>
      </c>
      <c r="D3251" s="4" t="n">
        <v>70</v>
      </c>
      <c r="E3251" s="17" t="s">
        <v>414</v>
      </c>
      <c r="F3251" s="18" t="s">
        <v>412</v>
      </c>
    </row>
    <row r="3252" customFormat="false" ht="15" hidden="false" customHeight="false" outlineLevel="0" collapsed="false">
      <c r="A3252" s="4" t="str">
        <f aca="false">B3252&amp;"|"&amp;C3252</f>
        <v>tdbR00000344 Gln-JUG|72</v>
      </c>
      <c r="B3252" s="4" t="s">
        <v>81</v>
      </c>
      <c r="C3252" s="4" t="s">
        <v>495</v>
      </c>
      <c r="D3252" s="4" t="n">
        <v>71</v>
      </c>
      <c r="E3252" s="17" t="s">
        <v>414</v>
      </c>
      <c r="F3252" s="18" t="s">
        <v>412</v>
      </c>
    </row>
    <row r="3253" customFormat="false" ht="15" hidden="false" customHeight="false" outlineLevel="0" collapsed="false">
      <c r="A3253" s="4" t="str">
        <f aca="false">B3253&amp;"|"&amp;C3253</f>
        <v>tdbR00000101 Phe-GAA|1</v>
      </c>
      <c r="B3253" s="4" t="s">
        <v>82</v>
      </c>
      <c r="C3253" s="4" t="s">
        <v>411</v>
      </c>
      <c r="D3253" s="4" t="n">
        <v>1</v>
      </c>
      <c r="E3253" s="17" t="s">
        <v>197</v>
      </c>
      <c r="F3253" s="18" t="s">
        <v>412</v>
      </c>
    </row>
    <row r="3254" customFormat="false" ht="15" hidden="false" customHeight="false" outlineLevel="0" collapsed="false">
      <c r="A3254" s="4" t="str">
        <f aca="false">B3254&amp;"|"&amp;C3254</f>
        <v>tdbR00000101 Phe-GAA|2</v>
      </c>
      <c r="B3254" s="4" t="s">
        <v>82</v>
      </c>
      <c r="C3254" s="4" t="s">
        <v>413</v>
      </c>
      <c r="D3254" s="4" t="n">
        <v>2</v>
      </c>
      <c r="E3254" s="17" t="s">
        <v>414</v>
      </c>
      <c r="F3254" s="18" t="s">
        <v>412</v>
      </c>
    </row>
    <row r="3255" customFormat="false" ht="15" hidden="false" customHeight="false" outlineLevel="0" collapsed="false">
      <c r="A3255" s="4" t="str">
        <f aca="false">B3255&amp;"|"&amp;C3255</f>
        <v>tdbR00000101 Phe-GAA|3</v>
      </c>
      <c r="B3255" s="4" t="s">
        <v>82</v>
      </c>
      <c r="C3255" s="4" t="s">
        <v>415</v>
      </c>
      <c r="D3255" s="4" t="n">
        <v>3</v>
      </c>
      <c r="E3255" s="17" t="s">
        <v>414</v>
      </c>
      <c r="F3255" s="18" t="s">
        <v>412</v>
      </c>
    </row>
    <row r="3256" customFormat="false" ht="15" hidden="false" customHeight="false" outlineLevel="0" collapsed="false">
      <c r="A3256" s="4" t="str">
        <f aca="false">B3256&amp;"|"&amp;C3256</f>
        <v>tdbR00000101 Phe-GAA|4</v>
      </c>
      <c r="B3256" s="4" t="s">
        <v>82</v>
      </c>
      <c r="C3256" s="4" t="s">
        <v>416</v>
      </c>
      <c r="D3256" s="4" t="n">
        <v>4</v>
      </c>
      <c r="E3256" s="17" t="s">
        <v>197</v>
      </c>
      <c r="F3256" s="18" t="s">
        <v>412</v>
      </c>
    </row>
    <row r="3257" customFormat="false" ht="15" hidden="false" customHeight="false" outlineLevel="0" collapsed="false">
      <c r="A3257" s="4" t="str">
        <f aca="false">B3257&amp;"|"&amp;C3257</f>
        <v>tdbR00000101 Phe-GAA|5</v>
      </c>
      <c r="B3257" s="4" t="s">
        <v>82</v>
      </c>
      <c r="C3257" s="4" t="s">
        <v>417</v>
      </c>
      <c r="D3257" s="4" t="n">
        <v>5</v>
      </c>
      <c r="E3257" s="17" t="s">
        <v>246</v>
      </c>
      <c r="F3257" s="18" t="s">
        <v>412</v>
      </c>
    </row>
    <row r="3258" customFormat="false" ht="15" hidden="false" customHeight="false" outlineLevel="0" collapsed="false">
      <c r="A3258" s="4" t="str">
        <f aca="false">B3258&amp;"|"&amp;C3258</f>
        <v>tdbR00000101 Phe-GAA|6</v>
      </c>
      <c r="B3258" s="4" t="s">
        <v>82</v>
      </c>
      <c r="C3258" s="4" t="s">
        <v>418</v>
      </c>
      <c r="D3258" s="4" t="n">
        <v>6</v>
      </c>
      <c r="E3258" s="17" t="s">
        <v>246</v>
      </c>
      <c r="F3258" s="18" t="s">
        <v>412</v>
      </c>
    </row>
    <row r="3259" customFormat="false" ht="15" hidden="false" customHeight="false" outlineLevel="0" collapsed="false">
      <c r="A3259" s="4" t="str">
        <f aca="false">B3259&amp;"|"&amp;C3259</f>
        <v>tdbR00000101 Phe-GAA|7</v>
      </c>
      <c r="B3259" s="4" t="s">
        <v>82</v>
      </c>
      <c r="C3259" s="4" t="s">
        <v>419</v>
      </c>
      <c r="D3259" s="4" t="n">
        <v>7</v>
      </c>
      <c r="E3259" s="17" t="s">
        <v>246</v>
      </c>
      <c r="F3259" s="18" t="s">
        <v>412</v>
      </c>
    </row>
    <row r="3260" customFormat="false" ht="15" hidden="false" customHeight="false" outlineLevel="0" collapsed="false">
      <c r="A3260" s="4" t="str">
        <f aca="false">B3260&amp;"|"&amp;C3260</f>
        <v>tdbR00000101 Phe-GAA|8</v>
      </c>
      <c r="B3260" s="4" t="s">
        <v>82</v>
      </c>
      <c r="C3260" s="4" t="s">
        <v>420</v>
      </c>
      <c r="D3260" s="4" t="n">
        <v>8</v>
      </c>
      <c r="E3260" s="3" t="s">
        <v>259</v>
      </c>
      <c r="F3260" s="4" t="s">
        <v>421</v>
      </c>
    </row>
    <row r="3261" customFormat="false" ht="15" hidden="false" customHeight="false" outlineLevel="0" collapsed="false">
      <c r="A3261" s="4" t="str">
        <f aca="false">B3261&amp;"|"&amp;C3261</f>
        <v>tdbR00000101 Phe-GAA|9</v>
      </c>
      <c r="B3261" s="4" t="s">
        <v>82</v>
      </c>
      <c r="C3261" s="4" t="s">
        <v>422</v>
      </c>
      <c r="D3261" s="4" t="n">
        <v>9</v>
      </c>
      <c r="E3261" s="3" t="s">
        <v>246</v>
      </c>
      <c r="F3261" s="4" t="s">
        <v>423</v>
      </c>
    </row>
    <row r="3262" customFormat="false" ht="15" hidden="false" customHeight="false" outlineLevel="0" collapsed="false">
      <c r="A3262" s="4" t="str">
        <f aca="false">B3262&amp;"|"&amp;C3262</f>
        <v>tdbR00000101 Phe-GAA|10</v>
      </c>
      <c r="B3262" s="4" t="s">
        <v>82</v>
      </c>
      <c r="C3262" s="4" t="s">
        <v>424</v>
      </c>
      <c r="D3262" s="4" t="n">
        <v>10</v>
      </c>
      <c r="E3262" s="8" t="s">
        <v>197</v>
      </c>
      <c r="F3262" s="7" t="s">
        <v>425</v>
      </c>
    </row>
    <row r="3263" customFormat="false" ht="15" hidden="false" customHeight="false" outlineLevel="0" collapsed="false">
      <c r="A3263" s="4" t="str">
        <f aca="false">B3263&amp;"|"&amp;C3263</f>
        <v>tdbR00000101 Phe-GAA|11</v>
      </c>
      <c r="B3263" s="4" t="s">
        <v>82</v>
      </c>
      <c r="C3263" s="4" t="s">
        <v>426</v>
      </c>
      <c r="D3263" s="4" t="n">
        <v>11</v>
      </c>
      <c r="E3263" s="8" t="s">
        <v>414</v>
      </c>
      <c r="F3263" s="7" t="s">
        <v>425</v>
      </c>
    </row>
    <row r="3264" customFormat="false" ht="15" hidden="false" customHeight="false" outlineLevel="0" collapsed="false">
      <c r="A3264" s="4" t="str">
        <f aca="false">B3264&amp;"|"&amp;C3264</f>
        <v>tdbR00000101 Phe-GAA|12</v>
      </c>
      <c r="B3264" s="4" t="s">
        <v>82</v>
      </c>
      <c r="C3264" s="4" t="s">
        <v>427</v>
      </c>
      <c r="D3264" s="4" t="n">
        <v>12</v>
      </c>
      <c r="E3264" s="8" t="s">
        <v>259</v>
      </c>
      <c r="F3264" s="7" t="s">
        <v>425</v>
      </c>
    </row>
    <row r="3265" customFormat="false" ht="15" hidden="false" customHeight="false" outlineLevel="0" collapsed="false">
      <c r="A3265" s="4" t="str">
        <f aca="false">B3265&amp;"|"&amp;C3265</f>
        <v>tdbR00000101 Phe-GAA|13</v>
      </c>
      <c r="B3265" s="4" t="s">
        <v>82</v>
      </c>
      <c r="C3265" s="4" t="s">
        <v>428</v>
      </c>
      <c r="D3265" s="4" t="n">
        <v>13</v>
      </c>
      <c r="E3265" s="8" t="s">
        <v>414</v>
      </c>
      <c r="F3265" s="7" t="s">
        <v>425</v>
      </c>
    </row>
    <row r="3266" customFormat="false" ht="15" hidden="false" customHeight="false" outlineLevel="0" collapsed="false">
      <c r="A3266" s="4" t="str">
        <f aca="false">B3266&amp;"|"&amp;C3266</f>
        <v>tdbR00000101 Phe-GAA|14</v>
      </c>
      <c r="B3266" s="4" t="s">
        <v>82</v>
      </c>
      <c r="C3266" s="4" t="s">
        <v>429</v>
      </c>
      <c r="D3266" s="4" t="n">
        <v>14</v>
      </c>
      <c r="E3266" s="19" t="s">
        <v>246</v>
      </c>
      <c r="F3266" s="20" t="s">
        <v>430</v>
      </c>
    </row>
    <row r="3267" customFormat="false" ht="15" hidden="false" customHeight="false" outlineLevel="0" collapsed="false">
      <c r="A3267" s="4" t="str">
        <f aca="false">B3267&amp;"|"&amp;C3267</f>
        <v>tdbR00000101 Phe-GAA|15</v>
      </c>
      <c r="B3267" s="4" t="s">
        <v>82</v>
      </c>
      <c r="C3267" s="4" t="s">
        <v>431</v>
      </c>
      <c r="D3267" s="4" t="n">
        <v>15</v>
      </c>
      <c r="E3267" s="19" t="s">
        <v>197</v>
      </c>
      <c r="F3267" s="20" t="s">
        <v>430</v>
      </c>
    </row>
    <row r="3268" customFormat="false" ht="15" hidden="false" customHeight="false" outlineLevel="0" collapsed="false">
      <c r="A3268" s="4" t="str">
        <f aca="false">B3268&amp;"|"&amp;C3268</f>
        <v>tdbR00000101 Phe-GAA|16</v>
      </c>
      <c r="B3268" s="4" t="s">
        <v>82</v>
      </c>
      <c r="C3268" s="4" t="s">
        <v>432</v>
      </c>
      <c r="D3268" s="4" t="n">
        <v>16</v>
      </c>
      <c r="E3268" s="19" t="s">
        <v>259</v>
      </c>
      <c r="F3268" s="20" t="s">
        <v>430</v>
      </c>
    </row>
    <row r="3269" customFormat="false" ht="15" hidden="false" customHeight="false" outlineLevel="0" collapsed="false">
      <c r="A3269" s="4" t="str">
        <f aca="false">B3269&amp;"|"&amp;C3269</f>
        <v>tdbR00000101 Phe-GAA|17</v>
      </c>
      <c r="B3269" s="4" t="s">
        <v>82</v>
      </c>
      <c r="C3269" s="4" t="s">
        <v>433</v>
      </c>
      <c r="D3269" s="4" t="n">
        <v>17</v>
      </c>
      <c r="E3269" s="19" t="s">
        <v>259</v>
      </c>
      <c r="F3269" s="20" t="s">
        <v>430</v>
      </c>
    </row>
    <row r="3270" customFormat="false" ht="15" hidden="false" customHeight="false" outlineLevel="0" collapsed="false">
      <c r="A3270" s="4" t="str">
        <f aca="false">B3270&amp;"|"&amp;C3270</f>
        <v>tdbR00000101 Phe-GAA|18</v>
      </c>
      <c r="B3270" s="4" t="s">
        <v>82</v>
      </c>
      <c r="C3270" s="4" t="s">
        <v>434</v>
      </c>
      <c r="D3270" s="4" t="n">
        <v>18</v>
      </c>
      <c r="E3270" s="19" t="s">
        <v>197</v>
      </c>
      <c r="F3270" s="20" t="s">
        <v>430</v>
      </c>
    </row>
    <row r="3271" customFormat="false" ht="15" hidden="false" customHeight="false" outlineLevel="0" collapsed="false">
      <c r="A3271" s="4" t="str">
        <f aca="false">B3271&amp;"|"&amp;C3271</f>
        <v>tdbR00000101 Phe-GAA|19</v>
      </c>
      <c r="B3271" s="4" t="s">
        <v>82</v>
      </c>
      <c r="C3271" s="4" t="s">
        <v>435</v>
      </c>
      <c r="D3271" s="4" t="n">
        <v>19</v>
      </c>
      <c r="E3271" s="19" t="s">
        <v>197</v>
      </c>
      <c r="F3271" s="20" t="s">
        <v>430</v>
      </c>
    </row>
    <row r="3272" customFormat="false" ht="15" hidden="false" customHeight="false" outlineLevel="0" collapsed="false">
      <c r="A3272" s="4" t="str">
        <f aca="false">B3272&amp;"|"&amp;C3272</f>
        <v>tdbR00000101 Phe-GAA|20</v>
      </c>
      <c r="B3272" s="4" t="s">
        <v>82</v>
      </c>
      <c r="C3272" s="4" t="s">
        <v>436</v>
      </c>
      <c r="D3272" s="4" t="n">
        <v>20</v>
      </c>
      <c r="E3272" s="19" t="s">
        <v>197</v>
      </c>
      <c r="F3272" s="20" t="s">
        <v>430</v>
      </c>
    </row>
    <row r="3273" customFormat="false" ht="15" hidden="false" customHeight="false" outlineLevel="0" collapsed="false">
      <c r="A3273" s="4" t="str">
        <f aca="false">B3273&amp;"|"&amp;C3273</f>
        <v>tdbR00000101 Phe-GAA|21</v>
      </c>
      <c r="B3273" s="4" t="s">
        <v>82</v>
      </c>
      <c r="C3273" s="4" t="s">
        <v>438</v>
      </c>
      <c r="D3273" s="4" t="n">
        <v>21</v>
      </c>
      <c r="E3273" s="19" t="s">
        <v>246</v>
      </c>
      <c r="F3273" s="20" t="s">
        <v>430</v>
      </c>
    </row>
    <row r="3274" customFormat="false" ht="15" hidden="false" customHeight="false" outlineLevel="0" collapsed="false">
      <c r="A3274" s="4" t="str">
        <f aca="false">B3274&amp;"|"&amp;C3274</f>
        <v>tdbR00000101 Phe-GAA|22</v>
      </c>
      <c r="B3274" s="4" t="s">
        <v>82</v>
      </c>
      <c r="C3274" s="4" t="s">
        <v>439</v>
      </c>
      <c r="D3274" s="4" t="n">
        <v>22</v>
      </c>
      <c r="E3274" s="8" t="s">
        <v>197</v>
      </c>
      <c r="F3274" s="7" t="s">
        <v>425</v>
      </c>
    </row>
    <row r="3275" customFormat="false" ht="15" hidden="false" customHeight="false" outlineLevel="0" collapsed="false">
      <c r="A3275" s="4" t="str">
        <f aca="false">B3275&amp;"|"&amp;C3275</f>
        <v>tdbR00000101 Phe-GAA|23</v>
      </c>
      <c r="B3275" s="4" t="s">
        <v>82</v>
      </c>
      <c r="C3275" s="4" t="s">
        <v>440</v>
      </c>
      <c r="D3275" s="4" t="n">
        <v>23</v>
      </c>
      <c r="E3275" s="8" t="s">
        <v>246</v>
      </c>
      <c r="F3275" s="7" t="s">
        <v>425</v>
      </c>
    </row>
    <row r="3276" customFormat="false" ht="15" hidden="false" customHeight="false" outlineLevel="0" collapsed="false">
      <c r="A3276" s="4" t="str">
        <f aca="false">B3276&amp;"|"&amp;C3276</f>
        <v>tdbR00000101 Phe-GAA|24</v>
      </c>
      <c r="B3276" s="4" t="s">
        <v>82</v>
      </c>
      <c r="C3276" s="4" t="s">
        <v>441</v>
      </c>
      <c r="D3276" s="4" t="n">
        <v>24</v>
      </c>
      <c r="E3276" s="8" t="s">
        <v>197</v>
      </c>
      <c r="F3276" s="7" t="s">
        <v>425</v>
      </c>
    </row>
    <row r="3277" customFormat="false" ht="15" hidden="false" customHeight="false" outlineLevel="0" collapsed="false">
      <c r="A3277" s="4" t="str">
        <f aca="false">B3277&amp;"|"&amp;C3277</f>
        <v>tdbR00000101 Phe-GAA|25</v>
      </c>
      <c r="B3277" s="4" t="s">
        <v>82</v>
      </c>
      <c r="C3277" s="4" t="s">
        <v>442</v>
      </c>
      <c r="D3277" s="4" t="n">
        <v>25</v>
      </c>
      <c r="E3277" s="8" t="s">
        <v>414</v>
      </c>
      <c r="F3277" s="7" t="s">
        <v>425</v>
      </c>
    </row>
    <row r="3278" customFormat="false" ht="15" hidden="false" customHeight="false" outlineLevel="0" collapsed="false">
      <c r="A3278" s="4" t="str">
        <f aca="false">B3278&amp;"|"&amp;C3278</f>
        <v>tdbR00000101 Phe-GAA|26</v>
      </c>
      <c r="B3278" s="4" t="s">
        <v>82</v>
      </c>
      <c r="C3278" s="4" t="s">
        <v>443</v>
      </c>
      <c r="D3278" s="4" t="n">
        <v>26</v>
      </c>
      <c r="E3278" s="3" t="s">
        <v>197</v>
      </c>
      <c r="F3278" s="4" t="s">
        <v>444</v>
      </c>
    </row>
    <row r="3279" customFormat="false" ht="15" hidden="false" customHeight="false" outlineLevel="0" collapsed="false">
      <c r="A3279" s="4" t="str">
        <f aca="false">B3279&amp;"|"&amp;C3279</f>
        <v>tdbR00000101 Phe-GAA|27</v>
      </c>
      <c r="B3279" s="4" t="s">
        <v>82</v>
      </c>
      <c r="C3279" s="4" t="s">
        <v>445</v>
      </c>
      <c r="D3279" s="4" t="n">
        <v>27</v>
      </c>
      <c r="E3279" s="21" t="s">
        <v>259</v>
      </c>
      <c r="F3279" s="22" t="s">
        <v>446</v>
      </c>
    </row>
    <row r="3280" customFormat="false" ht="15" hidden="false" customHeight="false" outlineLevel="0" collapsed="false">
      <c r="A3280" s="4" t="str">
        <f aca="false">B3280&amp;"|"&amp;C3280</f>
        <v>tdbR00000101 Phe-GAA|28</v>
      </c>
      <c r="B3280" s="4" t="s">
        <v>82</v>
      </c>
      <c r="C3280" s="4" t="s">
        <v>447</v>
      </c>
      <c r="D3280" s="4" t="n">
        <v>28</v>
      </c>
      <c r="E3280" s="21" t="s">
        <v>259</v>
      </c>
      <c r="F3280" s="22" t="s">
        <v>446</v>
      </c>
    </row>
    <row r="3281" customFormat="false" ht="15" hidden="false" customHeight="false" outlineLevel="0" collapsed="false">
      <c r="A3281" s="4" t="str">
        <f aca="false">B3281&amp;"|"&amp;C3281</f>
        <v>tdbR00000101 Phe-GAA|29</v>
      </c>
      <c r="B3281" s="4" t="s">
        <v>82</v>
      </c>
      <c r="C3281" s="4" t="s">
        <v>448</v>
      </c>
      <c r="D3281" s="4" t="n">
        <v>29</v>
      </c>
      <c r="E3281" s="21" t="s">
        <v>246</v>
      </c>
      <c r="F3281" s="22" t="s">
        <v>446</v>
      </c>
    </row>
    <row r="3282" customFormat="false" ht="15" hidden="false" customHeight="false" outlineLevel="0" collapsed="false">
      <c r="A3282" s="4" t="str">
        <f aca="false">B3282&amp;"|"&amp;C3282</f>
        <v>tdbR00000101 Phe-GAA|30</v>
      </c>
      <c r="B3282" s="4" t="s">
        <v>82</v>
      </c>
      <c r="C3282" s="4" t="s">
        <v>449</v>
      </c>
      <c r="D3282" s="4" t="n">
        <v>30</v>
      </c>
      <c r="E3282" s="21" t="s">
        <v>197</v>
      </c>
      <c r="F3282" s="22" t="s">
        <v>446</v>
      </c>
    </row>
    <row r="3283" customFormat="false" ht="15" hidden="false" customHeight="false" outlineLevel="0" collapsed="false">
      <c r="A3283" s="4" t="str">
        <f aca="false">B3283&amp;"|"&amp;C3283</f>
        <v>tdbR00000101 Phe-GAA|31</v>
      </c>
      <c r="B3283" s="4" t="s">
        <v>82</v>
      </c>
      <c r="C3283" s="4" t="s">
        <v>450</v>
      </c>
      <c r="D3283" s="4" t="n">
        <v>31</v>
      </c>
      <c r="E3283" s="21" t="s">
        <v>246</v>
      </c>
      <c r="F3283" s="22" t="s">
        <v>446</v>
      </c>
    </row>
    <row r="3284" customFormat="false" ht="15" hidden="false" customHeight="false" outlineLevel="0" collapsed="false">
      <c r="A3284" s="4" t="str">
        <f aca="false">B3284&amp;"|"&amp;C3284</f>
        <v>tdbR00000101 Phe-GAA|32</v>
      </c>
      <c r="B3284" s="4" t="s">
        <v>82</v>
      </c>
      <c r="C3284" s="4" t="s">
        <v>451</v>
      </c>
      <c r="D3284" s="4" t="n">
        <v>32</v>
      </c>
      <c r="E3284" s="19" t="s">
        <v>414</v>
      </c>
      <c r="F3284" s="20" t="s">
        <v>452</v>
      </c>
    </row>
    <row r="3285" customFormat="false" ht="15" hidden="false" customHeight="false" outlineLevel="0" collapsed="false">
      <c r="A3285" s="4" t="str">
        <f aca="false">B3285&amp;"|"&amp;C3285</f>
        <v>tdbR00000101 Phe-GAA|33</v>
      </c>
      <c r="B3285" s="4" t="s">
        <v>82</v>
      </c>
      <c r="C3285" s="4" t="s">
        <v>453</v>
      </c>
      <c r="D3285" s="4" t="n">
        <v>33</v>
      </c>
      <c r="E3285" s="19" t="s">
        <v>259</v>
      </c>
      <c r="F3285" s="20" t="s">
        <v>452</v>
      </c>
    </row>
    <row r="3286" customFormat="false" ht="15" hidden="false" customHeight="false" outlineLevel="0" collapsed="false">
      <c r="A3286" s="4" t="str">
        <f aca="false">B3286&amp;"|"&amp;C3286</f>
        <v>tdbR00000101 Phe-GAA|34</v>
      </c>
      <c r="B3286" s="4" t="s">
        <v>82</v>
      </c>
      <c r="C3286" s="4" t="s">
        <v>454</v>
      </c>
      <c r="D3286" s="4" t="n">
        <v>34</v>
      </c>
      <c r="E3286" s="19" t="s">
        <v>197</v>
      </c>
      <c r="F3286" s="20" t="s">
        <v>452</v>
      </c>
    </row>
    <row r="3287" customFormat="false" ht="15" hidden="false" customHeight="false" outlineLevel="0" collapsed="false">
      <c r="A3287" s="4" t="str">
        <f aca="false">B3287&amp;"|"&amp;C3287</f>
        <v>tdbR00000101 Phe-GAA|35</v>
      </c>
      <c r="B3287" s="4" t="s">
        <v>82</v>
      </c>
      <c r="C3287" s="4" t="s">
        <v>455</v>
      </c>
      <c r="D3287" s="4" t="n">
        <v>35</v>
      </c>
      <c r="E3287" s="19" t="s">
        <v>246</v>
      </c>
      <c r="F3287" s="20" t="s">
        <v>452</v>
      </c>
    </row>
    <row r="3288" customFormat="false" ht="15" hidden="false" customHeight="false" outlineLevel="0" collapsed="false">
      <c r="A3288" s="4" t="str">
        <f aca="false">B3288&amp;"|"&amp;C3288</f>
        <v>tdbR00000101 Phe-GAA|36</v>
      </c>
      <c r="B3288" s="4" t="s">
        <v>82</v>
      </c>
      <c r="C3288" s="4" t="s">
        <v>456</v>
      </c>
      <c r="D3288" s="4" t="n">
        <v>36</v>
      </c>
      <c r="E3288" s="19" t="s">
        <v>246</v>
      </c>
      <c r="F3288" s="20" t="s">
        <v>452</v>
      </c>
    </row>
    <row r="3289" customFormat="false" ht="15" hidden="false" customHeight="false" outlineLevel="0" collapsed="false">
      <c r="A3289" s="4" t="str">
        <f aca="false">B3289&amp;"|"&amp;C3289</f>
        <v>tdbR00000101 Phe-GAA|37</v>
      </c>
      <c r="B3289" s="4" t="s">
        <v>82</v>
      </c>
      <c r="C3289" s="4" t="s">
        <v>457</v>
      </c>
      <c r="D3289" s="4" t="n">
        <v>37</v>
      </c>
      <c r="E3289" s="19" t="s">
        <v>197</v>
      </c>
      <c r="F3289" s="20" t="s">
        <v>452</v>
      </c>
    </row>
    <row r="3290" customFormat="false" ht="15" hidden="false" customHeight="false" outlineLevel="0" collapsed="false">
      <c r="A3290" s="4" t="str">
        <f aca="false">B3290&amp;"|"&amp;C3290</f>
        <v>tdbR00000101 Phe-GAA|38</v>
      </c>
      <c r="B3290" s="4" t="s">
        <v>82</v>
      </c>
      <c r="C3290" s="4" t="s">
        <v>458</v>
      </c>
      <c r="D3290" s="4" t="n">
        <v>38</v>
      </c>
      <c r="E3290" s="19" t="s">
        <v>246</v>
      </c>
      <c r="F3290" s="20" t="s">
        <v>452</v>
      </c>
    </row>
    <row r="3291" customFormat="false" ht="15" hidden="false" customHeight="false" outlineLevel="0" collapsed="false">
      <c r="A3291" s="4" t="str">
        <f aca="false">B3291&amp;"|"&amp;C3291</f>
        <v>tdbR00000101 Phe-GAA|39</v>
      </c>
      <c r="B3291" s="4" t="s">
        <v>82</v>
      </c>
      <c r="C3291" s="4" t="s">
        <v>459</v>
      </c>
      <c r="D3291" s="4" t="n">
        <v>39</v>
      </c>
      <c r="E3291" s="21" t="s">
        <v>259</v>
      </c>
      <c r="F3291" s="22" t="s">
        <v>446</v>
      </c>
    </row>
    <row r="3292" customFormat="false" ht="15" hidden="false" customHeight="false" outlineLevel="0" collapsed="false">
      <c r="A3292" s="4" t="str">
        <f aca="false">B3292&amp;"|"&amp;C3292</f>
        <v>tdbR00000101 Phe-GAA|40</v>
      </c>
      <c r="B3292" s="4" t="s">
        <v>82</v>
      </c>
      <c r="C3292" s="4" t="s">
        <v>460</v>
      </c>
      <c r="D3292" s="4" t="n">
        <v>40</v>
      </c>
      <c r="E3292" s="21" t="s">
        <v>414</v>
      </c>
      <c r="F3292" s="22" t="s">
        <v>446</v>
      </c>
    </row>
    <row r="3293" customFormat="false" ht="15" hidden="false" customHeight="false" outlineLevel="0" collapsed="false">
      <c r="A3293" s="4" t="str">
        <f aca="false">B3293&amp;"|"&amp;C3293</f>
        <v>tdbR00000101 Phe-GAA|41</v>
      </c>
      <c r="B3293" s="4" t="s">
        <v>82</v>
      </c>
      <c r="C3293" s="4" t="s">
        <v>461</v>
      </c>
      <c r="D3293" s="4" t="n">
        <v>41</v>
      </c>
      <c r="E3293" s="21" t="s">
        <v>259</v>
      </c>
      <c r="F3293" s="22" t="s">
        <v>446</v>
      </c>
    </row>
    <row r="3294" customFormat="false" ht="15" hidden="false" customHeight="false" outlineLevel="0" collapsed="false">
      <c r="A3294" s="4" t="str">
        <f aca="false">B3294&amp;"|"&amp;C3294</f>
        <v>tdbR00000101 Phe-GAA|42</v>
      </c>
      <c r="B3294" s="4" t="s">
        <v>82</v>
      </c>
      <c r="C3294" s="4" t="s">
        <v>462</v>
      </c>
      <c r="D3294" s="4" t="n">
        <v>42</v>
      </c>
      <c r="E3294" s="21" t="s">
        <v>246</v>
      </c>
      <c r="F3294" s="22" t="s">
        <v>446</v>
      </c>
    </row>
    <row r="3295" customFormat="false" ht="15" hidden="false" customHeight="false" outlineLevel="0" collapsed="false">
      <c r="A3295" s="4" t="str">
        <f aca="false">B3295&amp;"|"&amp;C3295</f>
        <v>tdbR00000101 Phe-GAA|43</v>
      </c>
      <c r="B3295" s="4" t="s">
        <v>82</v>
      </c>
      <c r="C3295" s="4" t="s">
        <v>463</v>
      </c>
      <c r="D3295" s="4" t="n">
        <v>43</v>
      </c>
      <c r="E3295" s="21" t="s">
        <v>246</v>
      </c>
      <c r="F3295" s="22" t="s">
        <v>446</v>
      </c>
    </row>
    <row r="3296" customFormat="false" ht="15" hidden="false" customHeight="false" outlineLevel="0" collapsed="false">
      <c r="A3296" s="4" t="str">
        <f aca="false">B3296&amp;"|"&amp;C3296</f>
        <v>tdbR00000101 Phe-GAA|44</v>
      </c>
      <c r="B3296" s="4" t="s">
        <v>82</v>
      </c>
      <c r="C3296" s="4" t="s">
        <v>464</v>
      </c>
      <c r="D3296" s="4" t="n">
        <v>44</v>
      </c>
      <c r="E3296" s="19" t="s">
        <v>246</v>
      </c>
      <c r="F3296" s="20" t="s">
        <v>465</v>
      </c>
    </row>
    <row r="3297" customFormat="false" ht="15" hidden="false" customHeight="false" outlineLevel="0" collapsed="false">
      <c r="A3297" s="4" t="str">
        <f aca="false">B3297&amp;"|"&amp;C3297</f>
        <v>tdbR00000101 Phe-GAA|45</v>
      </c>
      <c r="B3297" s="4" t="s">
        <v>82</v>
      </c>
      <c r="C3297" s="4" t="s">
        <v>466</v>
      </c>
      <c r="D3297" s="4" t="n">
        <v>45</v>
      </c>
      <c r="E3297" s="19" t="s">
        <v>197</v>
      </c>
      <c r="F3297" s="20" t="s">
        <v>465</v>
      </c>
    </row>
    <row r="3298" customFormat="false" ht="15" hidden="false" customHeight="false" outlineLevel="0" collapsed="false">
      <c r="A3298" s="4" t="str">
        <f aca="false">B3298&amp;"|"&amp;C3298</f>
        <v>tdbR00000101 Phe-GAA|46</v>
      </c>
      <c r="B3298" s="4" t="s">
        <v>82</v>
      </c>
      <c r="C3298" s="4" t="s">
        <v>467</v>
      </c>
      <c r="D3298" s="4" t="n">
        <v>46</v>
      </c>
      <c r="E3298" s="19" t="s">
        <v>197</v>
      </c>
      <c r="F3298" s="20" t="s">
        <v>465</v>
      </c>
    </row>
    <row r="3299" customFormat="false" ht="15" hidden="false" customHeight="false" outlineLevel="0" collapsed="false">
      <c r="A3299" s="4" t="str">
        <f aca="false">B3299&amp;"|"&amp;C3299</f>
        <v>tdbR00000101 Phe-GAA|47</v>
      </c>
      <c r="B3299" s="4" t="s">
        <v>82</v>
      </c>
      <c r="C3299" s="4" t="s">
        <v>468</v>
      </c>
      <c r="D3299" s="4" t="n">
        <v>47</v>
      </c>
      <c r="E3299" s="19" t="s">
        <v>259</v>
      </c>
      <c r="F3299" s="20" t="s">
        <v>465</v>
      </c>
    </row>
    <row r="3300" customFormat="false" ht="15" hidden="false" customHeight="false" outlineLevel="0" collapsed="false">
      <c r="A3300" s="4" t="str">
        <f aca="false">B3300&amp;"|"&amp;C3300</f>
        <v>tdbR00000101 Phe-GAA|48</v>
      </c>
      <c r="B3300" s="4" t="s">
        <v>82</v>
      </c>
      <c r="C3300" s="4" t="s">
        <v>469</v>
      </c>
      <c r="D3300" s="4" t="n">
        <v>48</v>
      </c>
      <c r="E3300" s="19" t="s">
        <v>414</v>
      </c>
      <c r="F3300" s="20" t="s">
        <v>465</v>
      </c>
    </row>
    <row r="3301" customFormat="false" ht="15" hidden="false" customHeight="false" outlineLevel="0" collapsed="false">
      <c r="A3301" s="4" t="str">
        <f aca="false">B3301&amp;"|"&amp;C3301</f>
        <v>tdbR00000101 Phe-GAA|49</v>
      </c>
      <c r="B3301" s="4" t="s">
        <v>82</v>
      </c>
      <c r="C3301" s="4" t="s">
        <v>470</v>
      </c>
      <c r="D3301" s="4" t="n">
        <v>49</v>
      </c>
      <c r="E3301" s="23" t="s">
        <v>414</v>
      </c>
      <c r="F3301" s="10" t="s">
        <v>471</v>
      </c>
    </row>
    <row r="3302" customFormat="false" ht="15" hidden="false" customHeight="false" outlineLevel="0" collapsed="false">
      <c r="A3302" s="4" t="str">
        <f aca="false">B3302&amp;"|"&amp;C3302</f>
        <v>tdbR00000101 Phe-GAA|50</v>
      </c>
      <c r="B3302" s="4" t="s">
        <v>82</v>
      </c>
      <c r="C3302" s="4" t="s">
        <v>472</v>
      </c>
      <c r="D3302" s="4" t="n">
        <v>50</v>
      </c>
      <c r="E3302" s="23" t="s">
        <v>414</v>
      </c>
      <c r="F3302" s="10" t="s">
        <v>471</v>
      </c>
    </row>
    <row r="3303" customFormat="false" ht="15" hidden="false" customHeight="false" outlineLevel="0" collapsed="false">
      <c r="A3303" s="4" t="str">
        <f aca="false">B3303&amp;"|"&amp;C3303</f>
        <v>tdbR00000101 Phe-GAA|51</v>
      </c>
      <c r="B3303" s="4" t="s">
        <v>82</v>
      </c>
      <c r="C3303" s="4" t="s">
        <v>473</v>
      </c>
      <c r="D3303" s="4" t="n">
        <v>51</v>
      </c>
      <c r="E3303" s="23" t="s">
        <v>259</v>
      </c>
      <c r="F3303" s="10" t="s">
        <v>471</v>
      </c>
    </row>
    <row r="3304" customFormat="false" ht="15" hidden="false" customHeight="false" outlineLevel="0" collapsed="false">
      <c r="A3304" s="4" t="str">
        <f aca="false">B3304&amp;"|"&amp;C3304</f>
        <v>tdbR00000101 Phe-GAA|52</v>
      </c>
      <c r="B3304" s="4" t="s">
        <v>82</v>
      </c>
      <c r="C3304" s="4" t="s">
        <v>474</v>
      </c>
      <c r="D3304" s="4" t="n">
        <v>52</v>
      </c>
      <c r="E3304" s="23" t="s">
        <v>197</v>
      </c>
      <c r="F3304" s="10" t="s">
        <v>471</v>
      </c>
    </row>
    <row r="3305" customFormat="false" ht="15" hidden="false" customHeight="false" outlineLevel="0" collapsed="false">
      <c r="A3305" s="4" t="str">
        <f aca="false">B3305&amp;"|"&amp;C3305</f>
        <v>tdbR00000101 Phe-GAA|53</v>
      </c>
      <c r="B3305" s="4" t="s">
        <v>82</v>
      </c>
      <c r="C3305" s="4" t="s">
        <v>475</v>
      </c>
      <c r="D3305" s="4" t="n">
        <v>53</v>
      </c>
      <c r="E3305" s="23" t="s">
        <v>197</v>
      </c>
      <c r="F3305" s="10" t="s">
        <v>471</v>
      </c>
    </row>
    <row r="3306" customFormat="false" ht="15" hidden="false" customHeight="false" outlineLevel="0" collapsed="false">
      <c r="A3306" s="4" t="str">
        <f aca="false">B3306&amp;"|"&amp;C3306</f>
        <v>tdbR00000101 Phe-GAA|54</v>
      </c>
      <c r="B3306" s="4" t="s">
        <v>82</v>
      </c>
      <c r="C3306" s="4" t="s">
        <v>476</v>
      </c>
      <c r="D3306" s="4" t="n">
        <v>54</v>
      </c>
      <c r="E3306" s="19" t="s">
        <v>259</v>
      </c>
      <c r="F3306" s="20" t="s">
        <v>477</v>
      </c>
    </row>
    <row r="3307" customFormat="false" ht="15" hidden="false" customHeight="false" outlineLevel="0" collapsed="false">
      <c r="A3307" s="4" t="str">
        <f aca="false">B3307&amp;"|"&amp;C3307</f>
        <v>tdbR00000101 Phe-GAA|55</v>
      </c>
      <c r="B3307" s="4" t="s">
        <v>82</v>
      </c>
      <c r="C3307" s="4" t="s">
        <v>478</v>
      </c>
      <c r="D3307" s="4" t="n">
        <v>55</v>
      </c>
      <c r="E3307" s="19" t="s">
        <v>259</v>
      </c>
      <c r="F3307" s="20" t="s">
        <v>477</v>
      </c>
    </row>
    <row r="3308" customFormat="false" ht="15" hidden="false" customHeight="false" outlineLevel="0" collapsed="false">
      <c r="A3308" s="4" t="str">
        <f aca="false">B3308&amp;"|"&amp;C3308</f>
        <v>tdbR00000101 Phe-GAA|56</v>
      </c>
      <c r="B3308" s="4" t="s">
        <v>82</v>
      </c>
      <c r="C3308" s="4" t="s">
        <v>479</v>
      </c>
      <c r="D3308" s="4" t="n">
        <v>56</v>
      </c>
      <c r="E3308" s="19" t="s">
        <v>414</v>
      </c>
      <c r="F3308" s="20" t="s">
        <v>477</v>
      </c>
    </row>
    <row r="3309" customFormat="false" ht="15" hidden="false" customHeight="false" outlineLevel="0" collapsed="false">
      <c r="A3309" s="4" t="str">
        <f aca="false">B3309&amp;"|"&amp;C3309</f>
        <v>tdbR00000101 Phe-GAA|57</v>
      </c>
      <c r="B3309" s="4" t="s">
        <v>82</v>
      </c>
      <c r="C3309" s="4" t="s">
        <v>480</v>
      </c>
      <c r="D3309" s="4" t="n">
        <v>57</v>
      </c>
      <c r="E3309" s="19" t="s">
        <v>197</v>
      </c>
      <c r="F3309" s="20" t="s">
        <v>477</v>
      </c>
    </row>
    <row r="3310" customFormat="false" ht="15" hidden="false" customHeight="false" outlineLevel="0" collapsed="false">
      <c r="A3310" s="4" t="str">
        <f aca="false">B3310&amp;"|"&amp;C3310</f>
        <v>tdbR00000101 Phe-GAA|58</v>
      </c>
      <c r="B3310" s="4" t="s">
        <v>82</v>
      </c>
      <c r="C3310" s="4" t="s">
        <v>481</v>
      </c>
      <c r="D3310" s="4" t="n">
        <v>58</v>
      </c>
      <c r="E3310" s="19" t="s">
        <v>246</v>
      </c>
      <c r="F3310" s="20" t="s">
        <v>477</v>
      </c>
    </row>
    <row r="3311" customFormat="false" ht="15" hidden="false" customHeight="false" outlineLevel="0" collapsed="false">
      <c r="A3311" s="4" t="str">
        <f aca="false">B3311&amp;"|"&amp;C3311</f>
        <v>tdbR00000101 Phe-GAA|59</v>
      </c>
      <c r="B3311" s="4" t="s">
        <v>82</v>
      </c>
      <c r="C3311" s="4" t="s">
        <v>482</v>
      </c>
      <c r="D3311" s="4" t="n">
        <v>59</v>
      </c>
      <c r="E3311" s="19" t="s">
        <v>259</v>
      </c>
      <c r="F3311" s="20" t="s">
        <v>477</v>
      </c>
    </row>
    <row r="3312" customFormat="false" ht="15" hidden="false" customHeight="false" outlineLevel="0" collapsed="false">
      <c r="A3312" s="4" t="str">
        <f aca="false">B3312&amp;"|"&amp;C3312</f>
        <v>tdbR00000101 Phe-GAA|60</v>
      </c>
      <c r="B3312" s="4" t="s">
        <v>82</v>
      </c>
      <c r="C3312" s="4" t="s">
        <v>483</v>
      </c>
      <c r="D3312" s="4" t="n">
        <v>60</v>
      </c>
      <c r="E3312" s="19" t="s">
        <v>414</v>
      </c>
      <c r="F3312" s="20" t="s">
        <v>477</v>
      </c>
    </row>
    <row r="3313" customFormat="false" ht="15" hidden="false" customHeight="false" outlineLevel="0" collapsed="false">
      <c r="A3313" s="4" t="str">
        <f aca="false">B3313&amp;"|"&amp;C3313</f>
        <v>tdbR00000101 Phe-GAA|61</v>
      </c>
      <c r="B3313" s="4" t="s">
        <v>82</v>
      </c>
      <c r="C3313" s="4" t="s">
        <v>484</v>
      </c>
      <c r="D3313" s="4" t="n">
        <v>61</v>
      </c>
      <c r="E3313" s="23" t="s">
        <v>414</v>
      </c>
      <c r="F3313" s="10" t="s">
        <v>471</v>
      </c>
    </row>
    <row r="3314" customFormat="false" ht="15" hidden="false" customHeight="false" outlineLevel="0" collapsed="false">
      <c r="A3314" s="4" t="str">
        <f aca="false">B3314&amp;"|"&amp;C3314</f>
        <v>tdbR00000101 Phe-GAA|62</v>
      </c>
      <c r="B3314" s="4" t="s">
        <v>82</v>
      </c>
      <c r="C3314" s="4" t="s">
        <v>485</v>
      </c>
      <c r="D3314" s="4" t="n">
        <v>62</v>
      </c>
      <c r="E3314" s="23" t="s">
        <v>414</v>
      </c>
      <c r="F3314" s="10" t="s">
        <v>471</v>
      </c>
    </row>
    <row r="3315" customFormat="false" ht="15" hidden="false" customHeight="false" outlineLevel="0" collapsed="false">
      <c r="A3315" s="4" t="str">
        <f aca="false">B3315&amp;"|"&amp;C3315</f>
        <v>tdbR00000101 Phe-GAA|63</v>
      </c>
      <c r="B3315" s="4" t="s">
        <v>82</v>
      </c>
      <c r="C3315" s="4" t="s">
        <v>486</v>
      </c>
      <c r="D3315" s="4" t="n">
        <v>63</v>
      </c>
      <c r="E3315" s="23" t="s">
        <v>197</v>
      </c>
      <c r="F3315" s="10" t="s">
        <v>471</v>
      </c>
    </row>
    <row r="3316" customFormat="false" ht="15" hidden="false" customHeight="false" outlineLevel="0" collapsed="false">
      <c r="A3316" s="4" t="str">
        <f aca="false">B3316&amp;"|"&amp;C3316</f>
        <v>tdbR00000101 Phe-GAA|64</v>
      </c>
      <c r="B3316" s="4" t="s">
        <v>82</v>
      </c>
      <c r="C3316" s="4" t="s">
        <v>487</v>
      </c>
      <c r="D3316" s="4" t="n">
        <v>64</v>
      </c>
      <c r="E3316" s="23" t="s">
        <v>197</v>
      </c>
      <c r="F3316" s="10" t="s">
        <v>471</v>
      </c>
    </row>
    <row r="3317" customFormat="false" ht="15" hidden="false" customHeight="false" outlineLevel="0" collapsed="false">
      <c r="A3317" s="4" t="str">
        <f aca="false">B3317&amp;"|"&amp;C3317</f>
        <v>tdbR00000101 Phe-GAA|65</v>
      </c>
      <c r="B3317" s="4" t="s">
        <v>82</v>
      </c>
      <c r="C3317" s="4" t="s">
        <v>488</v>
      </c>
      <c r="D3317" s="4" t="n">
        <v>65</v>
      </c>
      <c r="E3317" s="23" t="s">
        <v>197</v>
      </c>
      <c r="F3317" s="10" t="s">
        <v>471</v>
      </c>
    </row>
    <row r="3318" customFormat="false" ht="15" hidden="false" customHeight="false" outlineLevel="0" collapsed="false">
      <c r="A3318" s="4" t="str">
        <f aca="false">B3318&amp;"|"&amp;C3318</f>
        <v>tdbR00000101 Phe-GAA|66</v>
      </c>
      <c r="B3318" s="4" t="s">
        <v>82</v>
      </c>
      <c r="C3318" s="4" t="s">
        <v>489</v>
      </c>
      <c r="D3318" s="4" t="n">
        <v>66</v>
      </c>
      <c r="E3318" s="17" t="s">
        <v>259</v>
      </c>
      <c r="F3318" s="18" t="s">
        <v>412</v>
      </c>
    </row>
    <row r="3319" customFormat="false" ht="15" hidden="false" customHeight="false" outlineLevel="0" collapsed="false">
      <c r="A3319" s="4" t="str">
        <f aca="false">B3319&amp;"|"&amp;C3319</f>
        <v>tdbR00000101 Phe-GAA|67</v>
      </c>
      <c r="B3319" s="4" t="s">
        <v>82</v>
      </c>
      <c r="C3319" s="4" t="s">
        <v>490</v>
      </c>
      <c r="D3319" s="4" t="n">
        <v>67</v>
      </c>
      <c r="E3319" s="17" t="s">
        <v>259</v>
      </c>
      <c r="F3319" s="18" t="s">
        <v>412</v>
      </c>
    </row>
    <row r="3320" customFormat="false" ht="15" hidden="false" customHeight="false" outlineLevel="0" collapsed="false">
      <c r="A3320" s="4" t="str">
        <f aca="false">B3320&amp;"|"&amp;C3320</f>
        <v>tdbR00000101 Phe-GAA|68</v>
      </c>
      <c r="B3320" s="4" t="s">
        <v>82</v>
      </c>
      <c r="C3320" s="4" t="s">
        <v>491</v>
      </c>
      <c r="D3320" s="4" t="n">
        <v>68</v>
      </c>
      <c r="E3320" s="17" t="s">
        <v>259</v>
      </c>
      <c r="F3320" s="18" t="s">
        <v>412</v>
      </c>
    </row>
    <row r="3321" customFormat="false" ht="15" hidden="false" customHeight="false" outlineLevel="0" collapsed="false">
      <c r="A3321" s="4" t="str">
        <f aca="false">B3321&amp;"|"&amp;C3321</f>
        <v>tdbR00000101 Phe-GAA|69</v>
      </c>
      <c r="B3321" s="4" t="s">
        <v>82</v>
      </c>
      <c r="C3321" s="4" t="s">
        <v>492</v>
      </c>
      <c r="D3321" s="4" t="n">
        <v>69</v>
      </c>
      <c r="E3321" s="17" t="s">
        <v>414</v>
      </c>
      <c r="F3321" s="18" t="s">
        <v>412</v>
      </c>
    </row>
    <row r="3322" customFormat="false" ht="15" hidden="false" customHeight="false" outlineLevel="0" collapsed="false">
      <c r="A3322" s="4" t="str">
        <f aca="false">B3322&amp;"|"&amp;C3322</f>
        <v>tdbR00000101 Phe-GAA|70</v>
      </c>
      <c r="B3322" s="4" t="s">
        <v>82</v>
      </c>
      <c r="C3322" s="4" t="s">
        <v>493</v>
      </c>
      <c r="D3322" s="4" t="n">
        <v>70</v>
      </c>
      <c r="E3322" s="17" t="s">
        <v>197</v>
      </c>
      <c r="F3322" s="18" t="s">
        <v>412</v>
      </c>
    </row>
    <row r="3323" customFormat="false" ht="15" hidden="false" customHeight="false" outlineLevel="0" collapsed="false">
      <c r="A3323" s="4" t="str">
        <f aca="false">B3323&amp;"|"&amp;C3323</f>
        <v>tdbR00000101 Phe-GAA|71</v>
      </c>
      <c r="B3323" s="4" t="s">
        <v>82</v>
      </c>
      <c r="C3323" s="4" t="s">
        <v>494</v>
      </c>
      <c r="D3323" s="4" t="n">
        <v>71</v>
      </c>
      <c r="E3323" s="17" t="s">
        <v>197</v>
      </c>
      <c r="F3323" s="18" t="s">
        <v>412</v>
      </c>
    </row>
    <row r="3324" customFormat="false" ht="15" hidden="false" customHeight="false" outlineLevel="0" collapsed="false">
      <c r="A3324" s="4" t="str">
        <f aca="false">B3324&amp;"|"&amp;C3324</f>
        <v>tdbR00000101 Phe-GAA|72</v>
      </c>
      <c r="B3324" s="4" t="s">
        <v>82</v>
      </c>
      <c r="C3324" s="4" t="s">
        <v>495</v>
      </c>
      <c r="D3324" s="4" t="n">
        <v>72</v>
      </c>
      <c r="E3324" s="17" t="s">
        <v>414</v>
      </c>
      <c r="F3324" s="18" t="s">
        <v>412</v>
      </c>
    </row>
    <row r="3325" customFormat="false" ht="15" hidden="false" customHeight="false" outlineLevel="0" collapsed="false">
      <c r="A3325" s="4" t="str">
        <f aca="false">B3325&amp;"|"&amp;C3325</f>
        <v>tdbR00000537 Ile-CAU|1</v>
      </c>
      <c r="B3325" s="4" t="s">
        <v>83</v>
      </c>
      <c r="C3325" s="4" t="s">
        <v>411</v>
      </c>
      <c r="D3325" s="4" t="n">
        <v>1</v>
      </c>
      <c r="E3325" s="17" t="s">
        <v>246</v>
      </c>
      <c r="F3325" s="18" t="s">
        <v>412</v>
      </c>
    </row>
    <row r="3326" customFormat="false" ht="15" hidden="false" customHeight="false" outlineLevel="0" collapsed="false">
      <c r="A3326" s="4" t="str">
        <f aca="false">B3326&amp;"|"&amp;C3326</f>
        <v>tdbR00000537 Ile-CAU|2</v>
      </c>
      <c r="B3326" s="4" t="s">
        <v>83</v>
      </c>
      <c r="C3326" s="4" t="s">
        <v>413</v>
      </c>
      <c r="D3326" s="4" t="n">
        <v>2</v>
      </c>
      <c r="E3326" s="17" t="s">
        <v>197</v>
      </c>
      <c r="F3326" s="18" t="s">
        <v>412</v>
      </c>
    </row>
    <row r="3327" customFormat="false" ht="15" hidden="false" customHeight="false" outlineLevel="0" collapsed="false">
      <c r="A3327" s="4" t="str">
        <f aca="false">B3327&amp;"|"&amp;C3327</f>
        <v>tdbR00000537 Ile-CAU|3</v>
      </c>
      <c r="B3327" s="4" t="s">
        <v>83</v>
      </c>
      <c r="C3327" s="4" t="s">
        <v>415</v>
      </c>
      <c r="D3327" s="4" t="n">
        <v>3</v>
      </c>
      <c r="E3327" s="17" t="s">
        <v>414</v>
      </c>
      <c r="F3327" s="18" t="s">
        <v>412</v>
      </c>
    </row>
    <row r="3328" customFormat="false" ht="15" hidden="false" customHeight="false" outlineLevel="0" collapsed="false">
      <c r="A3328" s="4" t="str">
        <f aca="false">B3328&amp;"|"&amp;C3328</f>
        <v>tdbR00000537 Ile-CAU|4</v>
      </c>
      <c r="B3328" s="4" t="s">
        <v>83</v>
      </c>
      <c r="C3328" s="4" t="s">
        <v>416</v>
      </c>
      <c r="D3328" s="4" t="n">
        <v>4</v>
      </c>
      <c r="E3328" s="17" t="s">
        <v>246</v>
      </c>
      <c r="F3328" s="18" t="s">
        <v>412</v>
      </c>
    </row>
    <row r="3329" customFormat="false" ht="15" hidden="false" customHeight="false" outlineLevel="0" collapsed="false">
      <c r="A3329" s="4" t="str">
        <f aca="false">B3329&amp;"|"&amp;C3329</f>
        <v>tdbR00000537 Ile-CAU|5</v>
      </c>
      <c r="B3329" s="4" t="s">
        <v>83</v>
      </c>
      <c r="C3329" s="4" t="s">
        <v>417</v>
      </c>
      <c r="D3329" s="4" t="n">
        <v>5</v>
      </c>
      <c r="E3329" s="17" t="s">
        <v>197</v>
      </c>
      <c r="F3329" s="18" t="s">
        <v>412</v>
      </c>
    </row>
    <row r="3330" customFormat="false" ht="15" hidden="false" customHeight="false" outlineLevel="0" collapsed="false">
      <c r="A3330" s="4" t="str">
        <f aca="false">B3330&amp;"|"&amp;C3330</f>
        <v>tdbR00000537 Ile-CAU|6</v>
      </c>
      <c r="B3330" s="4" t="s">
        <v>83</v>
      </c>
      <c r="C3330" s="4" t="s">
        <v>418</v>
      </c>
      <c r="D3330" s="4" t="n">
        <v>6</v>
      </c>
      <c r="E3330" s="17" t="s">
        <v>246</v>
      </c>
      <c r="F3330" s="18" t="s">
        <v>412</v>
      </c>
    </row>
    <row r="3331" customFormat="false" ht="15" hidden="false" customHeight="false" outlineLevel="0" collapsed="false">
      <c r="A3331" s="4" t="str">
        <f aca="false">B3331&amp;"|"&amp;C3331</f>
        <v>tdbR00000537 Ile-CAU|7</v>
      </c>
      <c r="B3331" s="4" t="s">
        <v>83</v>
      </c>
      <c r="C3331" s="4" t="s">
        <v>419</v>
      </c>
      <c r="D3331" s="4" t="n">
        <v>7</v>
      </c>
      <c r="E3331" s="17" t="s">
        <v>197</v>
      </c>
      <c r="F3331" s="18" t="s">
        <v>412</v>
      </c>
    </row>
    <row r="3332" customFormat="false" ht="15" hidden="false" customHeight="false" outlineLevel="0" collapsed="false">
      <c r="A3332" s="4" t="str">
        <f aca="false">B3332&amp;"|"&amp;C3332</f>
        <v>tdbR00000537 Ile-CAU|8</v>
      </c>
      <c r="B3332" s="4" t="s">
        <v>83</v>
      </c>
      <c r="C3332" s="4" t="s">
        <v>420</v>
      </c>
      <c r="D3332" s="4" t="n">
        <v>8</v>
      </c>
      <c r="E3332" s="3" t="s">
        <v>259</v>
      </c>
      <c r="F3332" s="4" t="s">
        <v>421</v>
      </c>
    </row>
    <row r="3333" customFormat="false" ht="15" hidden="false" customHeight="false" outlineLevel="0" collapsed="false">
      <c r="A3333" s="4" t="str">
        <f aca="false">B3333&amp;"|"&amp;C3333</f>
        <v>tdbR00000537 Ile-CAU|9</v>
      </c>
      <c r="B3333" s="4" t="s">
        <v>83</v>
      </c>
      <c r="C3333" s="4" t="s">
        <v>422</v>
      </c>
      <c r="D3333" s="4" t="n">
        <v>9</v>
      </c>
      <c r="E3333" s="3" t="s">
        <v>197</v>
      </c>
      <c r="F3333" s="4" t="s">
        <v>423</v>
      </c>
    </row>
    <row r="3334" customFormat="false" ht="15" hidden="false" customHeight="false" outlineLevel="0" collapsed="false">
      <c r="A3334" s="4" t="str">
        <f aca="false">B3334&amp;"|"&amp;C3334</f>
        <v>tdbR00000537 Ile-CAU|10</v>
      </c>
      <c r="B3334" s="4" t="s">
        <v>83</v>
      </c>
      <c r="C3334" s="4" t="s">
        <v>424</v>
      </c>
      <c r="D3334" s="4" t="n">
        <v>10</v>
      </c>
      <c r="E3334" s="8" t="s">
        <v>197</v>
      </c>
      <c r="F3334" s="7" t="s">
        <v>425</v>
      </c>
    </row>
    <row r="3335" customFormat="false" ht="15" hidden="false" customHeight="false" outlineLevel="0" collapsed="false">
      <c r="A3335" s="4" t="str">
        <f aca="false">B3335&amp;"|"&amp;C3335</f>
        <v>tdbR00000537 Ile-CAU|11</v>
      </c>
      <c r="B3335" s="4" t="s">
        <v>83</v>
      </c>
      <c r="C3335" s="4" t="s">
        <v>426</v>
      </c>
      <c r="D3335" s="4" t="n">
        <v>11</v>
      </c>
      <c r="E3335" s="8" t="s">
        <v>414</v>
      </c>
      <c r="F3335" s="7" t="s">
        <v>425</v>
      </c>
    </row>
    <row r="3336" customFormat="false" ht="15" hidden="false" customHeight="false" outlineLevel="0" collapsed="false">
      <c r="A3336" s="4" t="str">
        <f aca="false">B3336&amp;"|"&amp;C3336</f>
        <v>tdbR00000537 Ile-CAU|12</v>
      </c>
      <c r="B3336" s="4" t="s">
        <v>83</v>
      </c>
      <c r="C3336" s="4" t="s">
        <v>427</v>
      </c>
      <c r="D3336" s="4" t="n">
        <v>12</v>
      </c>
      <c r="E3336" s="8" t="s">
        <v>197</v>
      </c>
      <c r="F3336" s="7" t="s">
        <v>425</v>
      </c>
    </row>
    <row r="3337" customFormat="false" ht="15" hidden="false" customHeight="false" outlineLevel="0" collapsed="false">
      <c r="A3337" s="4" t="str">
        <f aca="false">B3337&amp;"|"&amp;C3337</f>
        <v>tdbR00000537 Ile-CAU|13</v>
      </c>
      <c r="B3337" s="4" t="s">
        <v>83</v>
      </c>
      <c r="C3337" s="4" t="s">
        <v>428</v>
      </c>
      <c r="D3337" s="4" t="n">
        <v>13</v>
      </c>
      <c r="E3337" s="8" t="s">
        <v>414</v>
      </c>
      <c r="F3337" s="7" t="s">
        <v>425</v>
      </c>
    </row>
    <row r="3338" customFormat="false" ht="15" hidden="false" customHeight="false" outlineLevel="0" collapsed="false">
      <c r="A3338" s="4" t="str">
        <f aca="false">B3338&amp;"|"&amp;C3338</f>
        <v>tdbR00000537 Ile-CAU|14</v>
      </c>
      <c r="B3338" s="4" t="s">
        <v>83</v>
      </c>
      <c r="C3338" s="4" t="s">
        <v>429</v>
      </c>
      <c r="D3338" s="4" t="n">
        <v>14</v>
      </c>
      <c r="E3338" s="19" t="s">
        <v>246</v>
      </c>
      <c r="F3338" s="20" t="s">
        <v>430</v>
      </c>
    </row>
    <row r="3339" customFormat="false" ht="15" hidden="false" customHeight="false" outlineLevel="0" collapsed="false">
      <c r="A3339" s="4" t="str">
        <f aca="false">B3339&amp;"|"&amp;C3339</f>
        <v>tdbR00000537 Ile-CAU|15</v>
      </c>
      <c r="B3339" s="4" t="s">
        <v>83</v>
      </c>
      <c r="C3339" s="4" t="s">
        <v>431</v>
      </c>
      <c r="D3339" s="4" t="n">
        <v>15</v>
      </c>
      <c r="E3339" s="19" t="s">
        <v>197</v>
      </c>
      <c r="F3339" s="20" t="s">
        <v>430</v>
      </c>
    </row>
    <row r="3340" customFormat="false" ht="15" hidden="false" customHeight="false" outlineLevel="0" collapsed="false">
      <c r="A3340" s="4" t="str">
        <f aca="false">B3340&amp;"|"&amp;C3340</f>
        <v>tdbR00000537 Ile-CAU|16</v>
      </c>
      <c r="B3340" s="4" t="s">
        <v>83</v>
      </c>
      <c r="C3340" s="4" t="s">
        <v>432</v>
      </c>
      <c r="D3340" s="4" t="n">
        <v>16</v>
      </c>
      <c r="E3340" s="19" t="s">
        <v>414</v>
      </c>
      <c r="F3340" s="20" t="s">
        <v>430</v>
      </c>
    </row>
    <row r="3341" customFormat="false" ht="15" hidden="false" customHeight="false" outlineLevel="0" collapsed="false">
      <c r="A3341" s="4" t="str">
        <f aca="false">B3341&amp;"|"&amp;C3341</f>
        <v>tdbR00000537 Ile-CAU|18</v>
      </c>
      <c r="B3341" s="4" t="s">
        <v>83</v>
      </c>
      <c r="C3341" s="4" t="s">
        <v>434</v>
      </c>
      <c r="D3341" s="4" t="n">
        <v>17</v>
      </c>
      <c r="E3341" s="19" t="s">
        <v>197</v>
      </c>
      <c r="F3341" s="20" t="s">
        <v>430</v>
      </c>
    </row>
    <row r="3342" customFormat="false" ht="15" hidden="false" customHeight="false" outlineLevel="0" collapsed="false">
      <c r="A3342" s="4" t="str">
        <f aca="false">B3342&amp;"|"&amp;C3342</f>
        <v>tdbR00000537 Ile-CAU|19</v>
      </c>
      <c r="B3342" s="4" t="s">
        <v>83</v>
      </c>
      <c r="C3342" s="4" t="s">
        <v>435</v>
      </c>
      <c r="D3342" s="4" t="n">
        <v>18</v>
      </c>
      <c r="E3342" s="19" t="s">
        <v>197</v>
      </c>
      <c r="F3342" s="20" t="s">
        <v>430</v>
      </c>
    </row>
    <row r="3343" customFormat="false" ht="15" hidden="false" customHeight="false" outlineLevel="0" collapsed="false">
      <c r="A3343" s="4" t="str">
        <f aca="false">B3343&amp;"|"&amp;C3343</f>
        <v>tdbR00000537 Ile-CAU|20</v>
      </c>
      <c r="B3343" s="4" t="s">
        <v>83</v>
      </c>
      <c r="C3343" s="4" t="s">
        <v>436</v>
      </c>
      <c r="D3343" s="4" t="n">
        <v>19</v>
      </c>
      <c r="E3343" s="19" t="s">
        <v>246</v>
      </c>
      <c r="F3343" s="20" t="s">
        <v>430</v>
      </c>
    </row>
    <row r="3344" customFormat="false" ht="15" hidden="false" customHeight="false" outlineLevel="0" collapsed="false">
      <c r="A3344" s="4" t="str">
        <f aca="false">B3344&amp;"|"&amp;C3344</f>
        <v>tdbR00000537 Ile-CAU|21</v>
      </c>
      <c r="B3344" s="4" t="s">
        <v>83</v>
      </c>
      <c r="C3344" s="4" t="s">
        <v>438</v>
      </c>
      <c r="D3344" s="4" t="n">
        <v>20</v>
      </c>
      <c r="E3344" s="19" t="s">
        <v>246</v>
      </c>
      <c r="F3344" s="20" t="s">
        <v>430</v>
      </c>
    </row>
    <row r="3345" customFormat="false" ht="15" hidden="false" customHeight="false" outlineLevel="0" collapsed="false">
      <c r="A3345" s="4" t="str">
        <f aca="false">B3345&amp;"|"&amp;C3345</f>
        <v>tdbR00000537 Ile-CAU|22</v>
      </c>
      <c r="B3345" s="4" t="s">
        <v>83</v>
      </c>
      <c r="C3345" s="4" t="s">
        <v>439</v>
      </c>
      <c r="D3345" s="4" t="n">
        <v>21</v>
      </c>
      <c r="E3345" s="8" t="s">
        <v>197</v>
      </c>
      <c r="F3345" s="7" t="s">
        <v>425</v>
      </c>
    </row>
    <row r="3346" customFormat="false" ht="15" hidden="false" customHeight="false" outlineLevel="0" collapsed="false">
      <c r="A3346" s="4" t="str">
        <f aca="false">B3346&amp;"|"&amp;C3346</f>
        <v>tdbR00000537 Ile-CAU|23</v>
      </c>
      <c r="B3346" s="4" t="s">
        <v>83</v>
      </c>
      <c r="C3346" s="4" t="s">
        <v>440</v>
      </c>
      <c r="D3346" s="4" t="n">
        <v>22</v>
      </c>
      <c r="E3346" s="8" t="s">
        <v>414</v>
      </c>
      <c r="F3346" s="7" t="s">
        <v>425</v>
      </c>
    </row>
    <row r="3347" customFormat="false" ht="15" hidden="false" customHeight="false" outlineLevel="0" collapsed="false">
      <c r="A3347" s="4" t="str">
        <f aca="false">B3347&amp;"|"&amp;C3347</f>
        <v>tdbR00000537 Ile-CAU|24</v>
      </c>
      <c r="B3347" s="4" t="s">
        <v>83</v>
      </c>
      <c r="C3347" s="4" t="s">
        <v>441</v>
      </c>
      <c r="D3347" s="4" t="n">
        <v>23</v>
      </c>
      <c r="E3347" s="8" t="s">
        <v>197</v>
      </c>
      <c r="F3347" s="7" t="s">
        <v>425</v>
      </c>
    </row>
    <row r="3348" customFormat="false" ht="15" hidden="false" customHeight="false" outlineLevel="0" collapsed="false">
      <c r="A3348" s="4" t="str">
        <f aca="false">B3348&amp;"|"&amp;C3348</f>
        <v>tdbR00000537 Ile-CAU|25</v>
      </c>
      <c r="B3348" s="4" t="s">
        <v>83</v>
      </c>
      <c r="C3348" s="4" t="s">
        <v>442</v>
      </c>
      <c r="D3348" s="4" t="n">
        <v>24</v>
      </c>
      <c r="E3348" s="8" t="s">
        <v>259</v>
      </c>
      <c r="F3348" s="7" t="s">
        <v>425</v>
      </c>
    </row>
    <row r="3349" customFormat="false" ht="15" hidden="false" customHeight="false" outlineLevel="0" collapsed="false">
      <c r="A3349" s="4" t="str">
        <f aca="false">B3349&amp;"|"&amp;C3349</f>
        <v>tdbR00000537 Ile-CAU|26</v>
      </c>
      <c r="B3349" s="4" t="s">
        <v>83</v>
      </c>
      <c r="C3349" s="4" t="s">
        <v>443</v>
      </c>
      <c r="D3349" s="4" t="n">
        <v>25</v>
      </c>
      <c r="E3349" s="3" t="s">
        <v>197</v>
      </c>
      <c r="F3349" s="4" t="s">
        <v>444</v>
      </c>
    </row>
    <row r="3350" customFormat="false" ht="15" hidden="false" customHeight="false" outlineLevel="0" collapsed="false">
      <c r="A3350" s="4" t="str">
        <f aca="false">B3350&amp;"|"&amp;C3350</f>
        <v>tdbR00000537 Ile-CAU|27</v>
      </c>
      <c r="B3350" s="4" t="s">
        <v>83</v>
      </c>
      <c r="C3350" s="4" t="s">
        <v>445</v>
      </c>
      <c r="D3350" s="4" t="n">
        <v>26</v>
      </c>
      <c r="E3350" s="21" t="s">
        <v>414</v>
      </c>
      <c r="F3350" s="22" t="s">
        <v>446</v>
      </c>
    </row>
    <row r="3351" customFormat="false" ht="15" hidden="false" customHeight="false" outlineLevel="0" collapsed="false">
      <c r="A3351" s="4" t="str">
        <f aca="false">B3351&amp;"|"&amp;C3351</f>
        <v>tdbR00000537 Ile-CAU|28</v>
      </c>
      <c r="B3351" s="4" t="s">
        <v>83</v>
      </c>
      <c r="C3351" s="4" t="s">
        <v>447</v>
      </c>
      <c r="D3351" s="4" t="n">
        <v>27</v>
      </c>
      <c r="E3351" s="21" t="s">
        <v>259</v>
      </c>
      <c r="F3351" s="22" t="s">
        <v>446</v>
      </c>
    </row>
    <row r="3352" customFormat="false" ht="15" hidden="false" customHeight="false" outlineLevel="0" collapsed="false">
      <c r="A3352" s="4" t="str">
        <f aca="false">B3352&amp;"|"&amp;C3352</f>
        <v>tdbR00000537 Ile-CAU|29</v>
      </c>
      <c r="B3352" s="4" t="s">
        <v>83</v>
      </c>
      <c r="C3352" s="4" t="s">
        <v>448</v>
      </c>
      <c r="D3352" s="4" t="n">
        <v>28</v>
      </c>
      <c r="E3352" s="21" t="s">
        <v>197</v>
      </c>
      <c r="F3352" s="22" t="s">
        <v>446</v>
      </c>
    </row>
    <row r="3353" customFormat="false" ht="15" hidden="false" customHeight="false" outlineLevel="0" collapsed="false">
      <c r="A3353" s="4" t="str">
        <f aca="false">B3353&amp;"|"&amp;C3353</f>
        <v>tdbR00000537 Ile-CAU|30</v>
      </c>
      <c r="B3353" s="4" t="s">
        <v>83</v>
      </c>
      <c r="C3353" s="4" t="s">
        <v>449</v>
      </c>
      <c r="D3353" s="4" t="n">
        <v>29</v>
      </c>
      <c r="E3353" s="21" t="s">
        <v>197</v>
      </c>
      <c r="F3353" s="22" t="s">
        <v>446</v>
      </c>
    </row>
    <row r="3354" customFormat="false" ht="15" hidden="false" customHeight="false" outlineLevel="0" collapsed="false">
      <c r="A3354" s="4" t="str">
        <f aca="false">B3354&amp;"|"&amp;C3354</f>
        <v>tdbR00000537 Ile-CAU|31</v>
      </c>
      <c r="B3354" s="4" t="s">
        <v>83</v>
      </c>
      <c r="C3354" s="4" t="s">
        <v>450</v>
      </c>
      <c r="D3354" s="4" t="n">
        <v>30</v>
      </c>
      <c r="E3354" s="21" t="s">
        <v>197</v>
      </c>
      <c r="F3354" s="22" t="s">
        <v>446</v>
      </c>
    </row>
    <row r="3355" customFormat="false" ht="15" hidden="false" customHeight="false" outlineLevel="0" collapsed="false">
      <c r="A3355" s="4" t="str">
        <f aca="false">B3355&amp;"|"&amp;C3355</f>
        <v>tdbR00000537 Ile-CAU|32</v>
      </c>
      <c r="B3355" s="4" t="s">
        <v>83</v>
      </c>
      <c r="C3355" s="4" t="s">
        <v>451</v>
      </c>
      <c r="D3355" s="4" t="n">
        <v>31</v>
      </c>
      <c r="E3355" s="19" t="s">
        <v>414</v>
      </c>
      <c r="F3355" s="20" t="s">
        <v>452</v>
      </c>
    </row>
    <row r="3356" customFormat="false" ht="15" hidden="false" customHeight="false" outlineLevel="0" collapsed="false">
      <c r="A3356" s="4" t="str">
        <f aca="false">B3356&amp;"|"&amp;C3356</f>
        <v>tdbR00000537 Ile-CAU|33</v>
      </c>
      <c r="B3356" s="4" t="s">
        <v>83</v>
      </c>
      <c r="C3356" s="4" t="s">
        <v>453</v>
      </c>
      <c r="D3356" s="4" t="n">
        <v>32</v>
      </c>
      <c r="E3356" s="19" t="s">
        <v>414</v>
      </c>
      <c r="F3356" s="20" t="s">
        <v>452</v>
      </c>
    </row>
    <row r="3357" customFormat="false" ht="15" hidden="false" customHeight="false" outlineLevel="0" collapsed="false">
      <c r="A3357" s="4" t="str">
        <f aca="false">B3357&amp;"|"&amp;C3357</f>
        <v>tdbR00000537 Ile-CAU|34</v>
      </c>
      <c r="B3357" s="4" t="s">
        <v>83</v>
      </c>
      <c r="C3357" s="4" t="s">
        <v>454</v>
      </c>
      <c r="D3357" s="4" t="n">
        <v>33</v>
      </c>
      <c r="E3357" s="19" t="s">
        <v>414</v>
      </c>
      <c r="F3357" s="20" t="s">
        <v>452</v>
      </c>
    </row>
    <row r="3358" customFormat="false" ht="15" hidden="false" customHeight="false" outlineLevel="0" collapsed="false">
      <c r="A3358" s="4" t="str">
        <f aca="false">B3358&amp;"|"&amp;C3358</f>
        <v>tdbR00000537 Ile-CAU|35</v>
      </c>
      <c r="B3358" s="4" t="s">
        <v>83</v>
      </c>
      <c r="C3358" s="4" t="s">
        <v>455</v>
      </c>
      <c r="D3358" s="4" t="n">
        <v>34</v>
      </c>
      <c r="E3358" s="19" t="s">
        <v>246</v>
      </c>
      <c r="F3358" s="20" t="s">
        <v>452</v>
      </c>
    </row>
    <row r="3359" customFormat="false" ht="15" hidden="false" customHeight="false" outlineLevel="0" collapsed="false">
      <c r="A3359" s="4" t="str">
        <f aca="false">B3359&amp;"|"&amp;C3359</f>
        <v>tdbR00000537 Ile-CAU|36</v>
      </c>
      <c r="B3359" s="4" t="s">
        <v>83</v>
      </c>
      <c r="C3359" s="4" t="s">
        <v>456</v>
      </c>
      <c r="D3359" s="4" t="n">
        <v>35</v>
      </c>
      <c r="E3359" s="19" t="s">
        <v>259</v>
      </c>
      <c r="F3359" s="20" t="s">
        <v>452</v>
      </c>
    </row>
    <row r="3360" customFormat="false" ht="15" hidden="false" customHeight="false" outlineLevel="0" collapsed="false">
      <c r="A3360" s="4" t="str">
        <f aca="false">B3360&amp;"|"&amp;C3360</f>
        <v>tdbR00000537 Ile-CAU|37</v>
      </c>
      <c r="B3360" s="4" t="s">
        <v>83</v>
      </c>
      <c r="C3360" s="4" t="s">
        <v>457</v>
      </c>
      <c r="D3360" s="4" t="n">
        <v>36</v>
      </c>
      <c r="E3360" s="19" t="s">
        <v>246</v>
      </c>
      <c r="F3360" s="20" t="s">
        <v>452</v>
      </c>
    </row>
    <row r="3361" customFormat="false" ht="15" hidden="false" customHeight="false" outlineLevel="0" collapsed="false">
      <c r="A3361" s="4" t="str">
        <f aca="false">B3361&amp;"|"&amp;C3361</f>
        <v>tdbR00000537 Ile-CAU|38</v>
      </c>
      <c r="B3361" s="4" t="s">
        <v>83</v>
      </c>
      <c r="C3361" s="4" t="s">
        <v>458</v>
      </c>
      <c r="D3361" s="4" t="n">
        <v>37</v>
      </c>
      <c r="E3361" s="19" t="s">
        <v>246</v>
      </c>
      <c r="F3361" s="20" t="s">
        <v>452</v>
      </c>
    </row>
    <row r="3362" customFormat="false" ht="15" hidden="false" customHeight="false" outlineLevel="0" collapsed="false">
      <c r="A3362" s="4" t="str">
        <f aca="false">B3362&amp;"|"&amp;C3362</f>
        <v>tdbR00000537 Ile-CAU|39</v>
      </c>
      <c r="B3362" s="4" t="s">
        <v>83</v>
      </c>
      <c r="C3362" s="4" t="s">
        <v>459</v>
      </c>
      <c r="D3362" s="4" t="n">
        <v>38</v>
      </c>
      <c r="E3362" s="21" t="s">
        <v>414</v>
      </c>
      <c r="F3362" s="22" t="s">
        <v>446</v>
      </c>
    </row>
    <row r="3363" customFormat="false" ht="15" hidden="false" customHeight="false" outlineLevel="0" collapsed="false">
      <c r="A3363" s="4" t="str">
        <f aca="false">B3363&amp;"|"&amp;C3363</f>
        <v>tdbR00000537 Ile-CAU|40</v>
      </c>
      <c r="B3363" s="4" t="s">
        <v>83</v>
      </c>
      <c r="C3363" s="4" t="s">
        <v>460</v>
      </c>
      <c r="D3363" s="4" t="n">
        <v>39</v>
      </c>
      <c r="E3363" s="21" t="s">
        <v>414</v>
      </c>
      <c r="F3363" s="22" t="s">
        <v>446</v>
      </c>
    </row>
    <row r="3364" customFormat="false" ht="15" hidden="false" customHeight="false" outlineLevel="0" collapsed="false">
      <c r="A3364" s="4" t="str">
        <f aca="false">B3364&amp;"|"&amp;C3364</f>
        <v>tdbR00000537 Ile-CAU|41</v>
      </c>
      <c r="B3364" s="4" t="s">
        <v>83</v>
      </c>
      <c r="C3364" s="4" t="s">
        <v>461</v>
      </c>
      <c r="D3364" s="4" t="n">
        <v>40</v>
      </c>
      <c r="E3364" s="21" t="s">
        <v>414</v>
      </c>
      <c r="F3364" s="22" t="s">
        <v>446</v>
      </c>
    </row>
    <row r="3365" customFormat="false" ht="15" hidden="false" customHeight="false" outlineLevel="0" collapsed="false">
      <c r="A3365" s="4" t="str">
        <f aca="false">B3365&amp;"|"&amp;C3365</f>
        <v>tdbR00000537 Ile-CAU|42</v>
      </c>
      <c r="B3365" s="4" t="s">
        <v>83</v>
      </c>
      <c r="C3365" s="4" t="s">
        <v>462</v>
      </c>
      <c r="D3365" s="4" t="n">
        <v>41</v>
      </c>
      <c r="E3365" s="21" t="s">
        <v>246</v>
      </c>
      <c r="F3365" s="22" t="s">
        <v>446</v>
      </c>
    </row>
    <row r="3366" customFormat="false" ht="15" hidden="false" customHeight="false" outlineLevel="0" collapsed="false">
      <c r="A3366" s="4" t="str">
        <f aca="false">B3366&amp;"|"&amp;C3366</f>
        <v>tdbR00000537 Ile-CAU|43</v>
      </c>
      <c r="B3366" s="4" t="s">
        <v>83</v>
      </c>
      <c r="C3366" s="4" t="s">
        <v>463</v>
      </c>
      <c r="D3366" s="4" t="n">
        <v>42</v>
      </c>
      <c r="E3366" s="21" t="s">
        <v>197</v>
      </c>
      <c r="F3366" s="22" t="s">
        <v>446</v>
      </c>
    </row>
    <row r="3367" customFormat="false" ht="15" hidden="false" customHeight="false" outlineLevel="0" collapsed="false">
      <c r="A3367" s="4" t="str">
        <f aca="false">B3367&amp;"|"&amp;C3367</f>
        <v>tdbR00000537 Ile-CAU|44</v>
      </c>
      <c r="B3367" s="4" t="s">
        <v>83</v>
      </c>
      <c r="C3367" s="4" t="s">
        <v>464</v>
      </c>
      <c r="D3367" s="4" t="n">
        <v>43</v>
      </c>
      <c r="E3367" s="19" t="s">
        <v>246</v>
      </c>
      <c r="F3367" s="20" t="s">
        <v>465</v>
      </c>
    </row>
    <row r="3368" customFormat="false" ht="15" hidden="false" customHeight="false" outlineLevel="0" collapsed="false">
      <c r="A3368" s="4" t="str">
        <f aca="false">B3368&amp;"|"&amp;C3368</f>
        <v>tdbR00000537 Ile-CAU|45</v>
      </c>
      <c r="B3368" s="4" t="s">
        <v>83</v>
      </c>
      <c r="C3368" s="4" t="s">
        <v>466</v>
      </c>
      <c r="D3368" s="4" t="n">
        <v>44</v>
      </c>
      <c r="E3368" s="19" t="s">
        <v>197</v>
      </c>
      <c r="F3368" s="20" t="s">
        <v>465</v>
      </c>
    </row>
    <row r="3369" customFormat="false" ht="15" hidden="false" customHeight="false" outlineLevel="0" collapsed="false">
      <c r="A3369" s="4" t="str">
        <f aca="false">B3369&amp;"|"&amp;C3369</f>
        <v>tdbR00000537 Ile-CAU|46</v>
      </c>
      <c r="B3369" s="4" t="s">
        <v>83</v>
      </c>
      <c r="C3369" s="4" t="s">
        <v>467</v>
      </c>
      <c r="D3369" s="4" t="n">
        <v>45</v>
      </c>
      <c r="E3369" s="19" t="s">
        <v>197</v>
      </c>
      <c r="F3369" s="20" t="s">
        <v>465</v>
      </c>
    </row>
    <row r="3370" customFormat="false" ht="15" hidden="false" customHeight="false" outlineLevel="0" collapsed="false">
      <c r="A3370" s="4" t="str">
        <f aca="false">B3370&amp;"|"&amp;C3370</f>
        <v>tdbR00000537 Ile-CAU|47</v>
      </c>
      <c r="B3370" s="4" t="s">
        <v>83</v>
      </c>
      <c r="C3370" s="4" t="s">
        <v>468</v>
      </c>
      <c r="D3370" s="4" t="n">
        <v>46</v>
      </c>
      <c r="E3370" s="19" t="s">
        <v>259</v>
      </c>
      <c r="F3370" s="20" t="s">
        <v>465</v>
      </c>
    </row>
    <row r="3371" customFormat="false" ht="15" hidden="false" customHeight="false" outlineLevel="0" collapsed="false">
      <c r="A3371" s="4" t="str">
        <f aca="false">B3371&amp;"|"&amp;C3371</f>
        <v>tdbR00000537 Ile-CAU|48</v>
      </c>
      <c r="B3371" s="4" t="s">
        <v>83</v>
      </c>
      <c r="C3371" s="4" t="s">
        <v>469</v>
      </c>
      <c r="D3371" s="4" t="n">
        <v>47</v>
      </c>
      <c r="E3371" s="19" t="s">
        <v>414</v>
      </c>
      <c r="F3371" s="20" t="s">
        <v>465</v>
      </c>
    </row>
    <row r="3372" customFormat="false" ht="15" hidden="false" customHeight="false" outlineLevel="0" collapsed="false">
      <c r="A3372" s="4" t="str">
        <f aca="false">B3372&amp;"|"&amp;C3372</f>
        <v>tdbR00000537 Ile-CAU|49</v>
      </c>
      <c r="B3372" s="4" t="s">
        <v>83</v>
      </c>
      <c r="C3372" s="4" t="s">
        <v>470</v>
      </c>
      <c r="D3372" s="4" t="n">
        <v>48</v>
      </c>
      <c r="E3372" s="23" t="s">
        <v>197</v>
      </c>
      <c r="F3372" s="10" t="s">
        <v>471</v>
      </c>
    </row>
    <row r="3373" customFormat="false" ht="15" hidden="false" customHeight="false" outlineLevel="0" collapsed="false">
      <c r="A3373" s="4" t="str">
        <f aca="false">B3373&amp;"|"&amp;C3373</f>
        <v>tdbR00000537 Ile-CAU|50</v>
      </c>
      <c r="B3373" s="4" t="s">
        <v>83</v>
      </c>
      <c r="C3373" s="4" t="s">
        <v>472</v>
      </c>
      <c r="D3373" s="4" t="n">
        <v>49</v>
      </c>
      <c r="E3373" s="23" t="s">
        <v>246</v>
      </c>
      <c r="F3373" s="10" t="s">
        <v>471</v>
      </c>
    </row>
    <row r="3374" customFormat="false" ht="15" hidden="false" customHeight="false" outlineLevel="0" collapsed="false">
      <c r="A3374" s="4" t="str">
        <f aca="false">B3374&amp;"|"&amp;C3374</f>
        <v>tdbR00000537 Ile-CAU|51</v>
      </c>
      <c r="B3374" s="4" t="s">
        <v>83</v>
      </c>
      <c r="C3374" s="4" t="s">
        <v>473</v>
      </c>
      <c r="D3374" s="4" t="n">
        <v>50</v>
      </c>
      <c r="E3374" s="23" t="s">
        <v>259</v>
      </c>
      <c r="F3374" s="10" t="s">
        <v>471</v>
      </c>
    </row>
    <row r="3375" customFormat="false" ht="15" hidden="false" customHeight="false" outlineLevel="0" collapsed="false">
      <c r="A3375" s="4" t="str">
        <f aca="false">B3375&amp;"|"&amp;C3375</f>
        <v>tdbR00000537 Ile-CAU|52</v>
      </c>
      <c r="B3375" s="4" t="s">
        <v>83</v>
      </c>
      <c r="C3375" s="4" t="s">
        <v>474</v>
      </c>
      <c r="D3375" s="4" t="n">
        <v>51</v>
      </c>
      <c r="E3375" s="23" t="s">
        <v>197</v>
      </c>
      <c r="F3375" s="10" t="s">
        <v>471</v>
      </c>
    </row>
    <row r="3376" customFormat="false" ht="15" hidden="false" customHeight="false" outlineLevel="0" collapsed="false">
      <c r="A3376" s="4" t="str">
        <f aca="false">B3376&amp;"|"&amp;C3376</f>
        <v>tdbR00000537 Ile-CAU|53</v>
      </c>
      <c r="B3376" s="4" t="s">
        <v>83</v>
      </c>
      <c r="C3376" s="4" t="s">
        <v>475</v>
      </c>
      <c r="D3376" s="4" t="n">
        <v>52</v>
      </c>
      <c r="E3376" s="23" t="s">
        <v>197</v>
      </c>
      <c r="F3376" s="10" t="s">
        <v>471</v>
      </c>
    </row>
    <row r="3377" customFormat="false" ht="15" hidden="false" customHeight="false" outlineLevel="0" collapsed="false">
      <c r="A3377" s="4" t="str">
        <f aca="false">B3377&amp;"|"&amp;C3377</f>
        <v>tdbR00000537 Ile-CAU|54</v>
      </c>
      <c r="B3377" s="4" t="s">
        <v>83</v>
      </c>
      <c r="C3377" s="4" t="s">
        <v>476</v>
      </c>
      <c r="D3377" s="4" t="n">
        <v>53</v>
      </c>
      <c r="E3377" s="19" t="s">
        <v>246</v>
      </c>
      <c r="F3377" s="20" t="s">
        <v>477</v>
      </c>
    </row>
    <row r="3378" customFormat="false" ht="15" hidden="false" customHeight="false" outlineLevel="0" collapsed="false">
      <c r="A3378" s="4" t="str">
        <f aca="false">B3378&amp;"|"&amp;C3378</f>
        <v>tdbR00000537 Ile-CAU|55</v>
      </c>
      <c r="B3378" s="4" t="s">
        <v>83</v>
      </c>
      <c r="C3378" s="4" t="s">
        <v>478</v>
      </c>
      <c r="D3378" s="4" t="n">
        <v>54</v>
      </c>
      <c r="E3378" s="19" t="s">
        <v>259</v>
      </c>
      <c r="F3378" s="20" t="s">
        <v>477</v>
      </c>
    </row>
    <row r="3379" customFormat="false" ht="15" hidden="false" customHeight="false" outlineLevel="0" collapsed="false">
      <c r="A3379" s="4" t="str">
        <f aca="false">B3379&amp;"|"&amp;C3379</f>
        <v>tdbR00000537 Ile-CAU|56</v>
      </c>
      <c r="B3379" s="4" t="s">
        <v>83</v>
      </c>
      <c r="C3379" s="4" t="s">
        <v>479</v>
      </c>
      <c r="D3379" s="4" t="n">
        <v>55</v>
      </c>
      <c r="E3379" s="19" t="s">
        <v>414</v>
      </c>
      <c r="F3379" s="20" t="s">
        <v>477</v>
      </c>
    </row>
    <row r="3380" customFormat="false" ht="15" hidden="false" customHeight="false" outlineLevel="0" collapsed="false">
      <c r="A3380" s="4" t="str">
        <f aca="false">B3380&amp;"|"&amp;C3380</f>
        <v>tdbR00000537 Ile-CAU|57</v>
      </c>
      <c r="B3380" s="4" t="s">
        <v>83</v>
      </c>
      <c r="C3380" s="4" t="s">
        <v>480</v>
      </c>
      <c r="D3380" s="4" t="n">
        <v>56</v>
      </c>
      <c r="E3380" s="19" t="s">
        <v>197</v>
      </c>
      <c r="F3380" s="20" t="s">
        <v>477</v>
      </c>
    </row>
    <row r="3381" customFormat="false" ht="15" hidden="false" customHeight="false" outlineLevel="0" collapsed="false">
      <c r="A3381" s="4" t="str">
        <f aca="false">B3381&amp;"|"&amp;C3381</f>
        <v>tdbR00000537 Ile-CAU|58</v>
      </c>
      <c r="B3381" s="4" t="s">
        <v>83</v>
      </c>
      <c r="C3381" s="4" t="s">
        <v>481</v>
      </c>
      <c r="D3381" s="4" t="n">
        <v>57</v>
      </c>
      <c r="E3381" s="19" t="s">
        <v>246</v>
      </c>
      <c r="F3381" s="20" t="s">
        <v>477</v>
      </c>
    </row>
    <row r="3382" customFormat="false" ht="15" hidden="false" customHeight="false" outlineLevel="0" collapsed="false">
      <c r="A3382" s="4" t="str">
        <f aca="false">B3382&amp;"|"&amp;C3382</f>
        <v>tdbR00000537 Ile-CAU|59</v>
      </c>
      <c r="B3382" s="4" t="s">
        <v>83</v>
      </c>
      <c r="C3382" s="4" t="s">
        <v>482</v>
      </c>
      <c r="D3382" s="4" t="n">
        <v>58</v>
      </c>
      <c r="E3382" s="19" t="s">
        <v>246</v>
      </c>
      <c r="F3382" s="20" t="s">
        <v>477</v>
      </c>
    </row>
    <row r="3383" customFormat="false" ht="15" hidden="false" customHeight="false" outlineLevel="0" collapsed="false">
      <c r="A3383" s="4" t="str">
        <f aca="false">B3383&amp;"|"&amp;C3383</f>
        <v>tdbR00000537 Ile-CAU|60</v>
      </c>
      <c r="B3383" s="4" t="s">
        <v>83</v>
      </c>
      <c r="C3383" s="4" t="s">
        <v>483</v>
      </c>
      <c r="D3383" s="4" t="n">
        <v>59</v>
      </c>
      <c r="E3383" s="19" t="s">
        <v>246</v>
      </c>
      <c r="F3383" s="20" t="s">
        <v>477</v>
      </c>
    </row>
    <row r="3384" customFormat="false" ht="15" hidden="false" customHeight="false" outlineLevel="0" collapsed="false">
      <c r="A3384" s="4" t="str">
        <f aca="false">B3384&amp;"|"&amp;C3384</f>
        <v>tdbR00000537 Ile-CAU|61</v>
      </c>
      <c r="B3384" s="4" t="s">
        <v>83</v>
      </c>
      <c r="C3384" s="4" t="s">
        <v>484</v>
      </c>
      <c r="D3384" s="4" t="n">
        <v>60</v>
      </c>
      <c r="E3384" s="23" t="s">
        <v>414</v>
      </c>
      <c r="F3384" s="10" t="s">
        <v>471</v>
      </c>
    </row>
    <row r="3385" customFormat="false" ht="15" hidden="false" customHeight="false" outlineLevel="0" collapsed="false">
      <c r="A3385" s="4" t="str">
        <f aca="false">B3385&amp;"|"&amp;C3385</f>
        <v>tdbR00000537 Ile-CAU|62</v>
      </c>
      <c r="B3385" s="4" t="s">
        <v>83</v>
      </c>
      <c r="C3385" s="4" t="s">
        <v>485</v>
      </c>
      <c r="D3385" s="4" t="n">
        <v>61</v>
      </c>
      <c r="E3385" s="23" t="s">
        <v>414</v>
      </c>
      <c r="F3385" s="10" t="s">
        <v>471</v>
      </c>
    </row>
    <row r="3386" customFormat="false" ht="15" hidden="false" customHeight="false" outlineLevel="0" collapsed="false">
      <c r="A3386" s="4" t="str">
        <f aca="false">B3386&amp;"|"&amp;C3386</f>
        <v>tdbR00000537 Ile-CAU|63</v>
      </c>
      <c r="B3386" s="4" t="s">
        <v>83</v>
      </c>
      <c r="C3386" s="4" t="s">
        <v>486</v>
      </c>
      <c r="D3386" s="4" t="n">
        <v>62</v>
      </c>
      <c r="E3386" s="23" t="s">
        <v>246</v>
      </c>
      <c r="F3386" s="10" t="s">
        <v>471</v>
      </c>
    </row>
    <row r="3387" customFormat="false" ht="15" hidden="false" customHeight="false" outlineLevel="0" collapsed="false">
      <c r="A3387" s="4" t="str">
        <f aca="false">B3387&amp;"|"&amp;C3387</f>
        <v>tdbR00000537 Ile-CAU|64</v>
      </c>
      <c r="B3387" s="4" t="s">
        <v>83</v>
      </c>
      <c r="C3387" s="4" t="s">
        <v>487</v>
      </c>
      <c r="D3387" s="4" t="n">
        <v>63</v>
      </c>
      <c r="E3387" s="23" t="s">
        <v>259</v>
      </c>
      <c r="F3387" s="10" t="s">
        <v>471</v>
      </c>
    </row>
    <row r="3388" customFormat="false" ht="15" hidden="false" customHeight="false" outlineLevel="0" collapsed="false">
      <c r="A3388" s="4" t="str">
        <f aca="false">B3388&amp;"|"&amp;C3388</f>
        <v>tdbR00000537 Ile-CAU|65</v>
      </c>
      <c r="B3388" s="4" t="s">
        <v>83</v>
      </c>
      <c r="C3388" s="4" t="s">
        <v>488</v>
      </c>
      <c r="D3388" s="4" t="n">
        <v>64</v>
      </c>
      <c r="E3388" s="23" t="s">
        <v>414</v>
      </c>
      <c r="F3388" s="10" t="s">
        <v>471</v>
      </c>
    </row>
    <row r="3389" customFormat="false" ht="15" hidden="false" customHeight="false" outlineLevel="0" collapsed="false">
      <c r="A3389" s="4" t="str">
        <f aca="false">B3389&amp;"|"&amp;C3389</f>
        <v>tdbR00000537 Ile-CAU|66</v>
      </c>
      <c r="B3389" s="4" t="s">
        <v>83</v>
      </c>
      <c r="C3389" s="4" t="s">
        <v>489</v>
      </c>
      <c r="D3389" s="4" t="n">
        <v>65</v>
      </c>
      <c r="E3389" s="17" t="s">
        <v>414</v>
      </c>
      <c r="F3389" s="18" t="s">
        <v>412</v>
      </c>
    </row>
    <row r="3390" customFormat="false" ht="15" hidden="false" customHeight="false" outlineLevel="0" collapsed="false">
      <c r="A3390" s="4" t="str">
        <f aca="false">B3390&amp;"|"&amp;C3390</f>
        <v>tdbR00000537 Ile-CAU|67</v>
      </c>
      <c r="B3390" s="4" t="s">
        <v>83</v>
      </c>
      <c r="C3390" s="4" t="s">
        <v>490</v>
      </c>
      <c r="D3390" s="4" t="n">
        <v>66</v>
      </c>
      <c r="E3390" s="17" t="s">
        <v>259</v>
      </c>
      <c r="F3390" s="18" t="s">
        <v>412</v>
      </c>
    </row>
    <row r="3391" customFormat="false" ht="15" hidden="false" customHeight="false" outlineLevel="0" collapsed="false">
      <c r="A3391" s="4" t="str">
        <f aca="false">B3391&amp;"|"&amp;C3391</f>
        <v>tdbR00000537 Ile-CAU|68</v>
      </c>
      <c r="B3391" s="4" t="s">
        <v>83</v>
      </c>
      <c r="C3391" s="4" t="s">
        <v>491</v>
      </c>
      <c r="D3391" s="4" t="n">
        <v>67</v>
      </c>
      <c r="E3391" s="17" t="s">
        <v>414</v>
      </c>
      <c r="F3391" s="18" t="s">
        <v>412</v>
      </c>
    </row>
    <row r="3392" customFormat="false" ht="15" hidden="false" customHeight="false" outlineLevel="0" collapsed="false">
      <c r="A3392" s="4" t="str">
        <f aca="false">B3392&amp;"|"&amp;C3392</f>
        <v>tdbR00000537 Ile-CAU|69</v>
      </c>
      <c r="B3392" s="4" t="s">
        <v>83</v>
      </c>
      <c r="C3392" s="4" t="s">
        <v>492</v>
      </c>
      <c r="D3392" s="4" t="n">
        <v>68</v>
      </c>
      <c r="E3392" s="17" t="s">
        <v>259</v>
      </c>
      <c r="F3392" s="18" t="s">
        <v>412</v>
      </c>
    </row>
    <row r="3393" customFormat="false" ht="15" hidden="false" customHeight="false" outlineLevel="0" collapsed="false">
      <c r="A3393" s="4" t="str">
        <f aca="false">B3393&amp;"|"&amp;C3393</f>
        <v>tdbR00000537 Ile-CAU|70</v>
      </c>
      <c r="B3393" s="4" t="s">
        <v>83</v>
      </c>
      <c r="C3393" s="4" t="s">
        <v>493</v>
      </c>
      <c r="D3393" s="4" t="n">
        <v>69</v>
      </c>
      <c r="E3393" s="17" t="s">
        <v>197</v>
      </c>
      <c r="F3393" s="18" t="s">
        <v>412</v>
      </c>
    </row>
    <row r="3394" customFormat="false" ht="15" hidden="false" customHeight="false" outlineLevel="0" collapsed="false">
      <c r="A3394" s="4" t="str">
        <f aca="false">B3394&amp;"|"&amp;C3394</f>
        <v>tdbR00000537 Ile-CAU|71</v>
      </c>
      <c r="B3394" s="4" t="s">
        <v>83</v>
      </c>
      <c r="C3394" s="4" t="s">
        <v>494</v>
      </c>
      <c r="D3394" s="4" t="n">
        <v>70</v>
      </c>
      <c r="E3394" s="17" t="s">
        <v>414</v>
      </c>
      <c r="F3394" s="18" t="s">
        <v>412</v>
      </c>
    </row>
    <row r="3395" customFormat="false" ht="15" hidden="false" customHeight="false" outlineLevel="0" collapsed="false">
      <c r="A3395" s="4" t="str">
        <f aca="false">B3395&amp;"|"&amp;C3395</f>
        <v>tdbR00000537 Ile-CAU|72</v>
      </c>
      <c r="B3395" s="4" t="s">
        <v>83</v>
      </c>
      <c r="C3395" s="4" t="s">
        <v>495</v>
      </c>
      <c r="D3395" s="4" t="n">
        <v>71</v>
      </c>
      <c r="E3395" s="17" t="s">
        <v>259</v>
      </c>
      <c r="F3395" s="18" t="s">
        <v>412</v>
      </c>
    </row>
    <row r="3396" customFormat="false" ht="15" hidden="false" customHeight="false" outlineLevel="0" collapsed="false">
      <c r="A3396" s="4" t="str">
        <f aca="false">B3396&amp;"|"&amp;C3396</f>
        <v>tdbR00000039 Asp-GUC|1</v>
      </c>
      <c r="B3396" s="4" t="s">
        <v>84</v>
      </c>
      <c r="C3396" s="4" t="s">
        <v>411</v>
      </c>
      <c r="D3396" s="4" t="n">
        <v>1</v>
      </c>
      <c r="E3396" s="17" t="s">
        <v>259</v>
      </c>
      <c r="F3396" s="18" t="s">
        <v>412</v>
      </c>
    </row>
    <row r="3397" customFormat="false" ht="15" hidden="false" customHeight="false" outlineLevel="0" collapsed="false">
      <c r="A3397" s="4" t="str">
        <f aca="false">B3397&amp;"|"&amp;C3397</f>
        <v>tdbR00000039 Asp-GUC|2</v>
      </c>
      <c r="B3397" s="4" t="s">
        <v>84</v>
      </c>
      <c r="C3397" s="4" t="s">
        <v>413</v>
      </c>
      <c r="D3397" s="4" t="n">
        <v>2</v>
      </c>
      <c r="E3397" s="17" t="s">
        <v>414</v>
      </c>
      <c r="F3397" s="18" t="s">
        <v>412</v>
      </c>
    </row>
    <row r="3398" customFormat="false" ht="15" hidden="false" customHeight="false" outlineLevel="0" collapsed="false">
      <c r="A3398" s="4" t="str">
        <f aca="false">B3398&amp;"|"&amp;C3398</f>
        <v>tdbR00000039 Asp-GUC|3</v>
      </c>
      <c r="B3398" s="4" t="s">
        <v>84</v>
      </c>
      <c r="C3398" s="4" t="s">
        <v>415</v>
      </c>
      <c r="D3398" s="4" t="n">
        <v>3</v>
      </c>
      <c r="E3398" s="17" t="s">
        <v>414</v>
      </c>
      <c r="F3398" s="18" t="s">
        <v>412</v>
      </c>
    </row>
    <row r="3399" customFormat="false" ht="15" hidden="false" customHeight="false" outlineLevel="0" collapsed="false">
      <c r="A3399" s="4" t="str">
        <f aca="false">B3399&amp;"|"&amp;C3399</f>
        <v>tdbR00000039 Asp-GUC|4</v>
      </c>
      <c r="B3399" s="4" t="s">
        <v>84</v>
      </c>
      <c r="C3399" s="4" t="s">
        <v>416</v>
      </c>
      <c r="D3399" s="4" t="n">
        <v>4</v>
      </c>
      <c r="E3399" s="17" t="s">
        <v>414</v>
      </c>
      <c r="F3399" s="18" t="s">
        <v>412</v>
      </c>
    </row>
    <row r="3400" customFormat="false" ht="15" hidden="false" customHeight="false" outlineLevel="0" collapsed="false">
      <c r="A3400" s="4" t="str">
        <f aca="false">B3400&amp;"|"&amp;C3400</f>
        <v>tdbR00000039 Asp-GUC|5</v>
      </c>
      <c r="B3400" s="4" t="s">
        <v>84</v>
      </c>
      <c r="C3400" s="4" t="s">
        <v>417</v>
      </c>
      <c r="D3400" s="4" t="n">
        <v>5</v>
      </c>
      <c r="E3400" s="17" t="s">
        <v>197</v>
      </c>
      <c r="F3400" s="18" t="s">
        <v>412</v>
      </c>
    </row>
    <row r="3401" customFormat="false" ht="15" hidden="false" customHeight="false" outlineLevel="0" collapsed="false">
      <c r="A3401" s="4" t="str">
        <f aca="false">B3401&amp;"|"&amp;C3401</f>
        <v>tdbR00000039 Asp-GUC|6</v>
      </c>
      <c r="B3401" s="4" t="s">
        <v>84</v>
      </c>
      <c r="C3401" s="4" t="s">
        <v>418</v>
      </c>
      <c r="D3401" s="4" t="n">
        <v>6</v>
      </c>
      <c r="E3401" s="17" t="s">
        <v>259</v>
      </c>
      <c r="F3401" s="18" t="s">
        <v>412</v>
      </c>
    </row>
    <row r="3402" customFormat="false" ht="15" hidden="false" customHeight="false" outlineLevel="0" collapsed="false">
      <c r="A3402" s="4" t="str">
        <f aca="false">B3402&amp;"|"&amp;C3402</f>
        <v>tdbR00000039 Asp-GUC|7</v>
      </c>
      <c r="B3402" s="4" t="s">
        <v>84</v>
      </c>
      <c r="C3402" s="4" t="s">
        <v>419</v>
      </c>
      <c r="D3402" s="4" t="n">
        <v>7</v>
      </c>
      <c r="E3402" s="17" t="s">
        <v>414</v>
      </c>
      <c r="F3402" s="18" t="s">
        <v>412</v>
      </c>
    </row>
    <row r="3403" customFormat="false" ht="15" hidden="false" customHeight="false" outlineLevel="0" collapsed="false">
      <c r="A3403" s="4" t="str">
        <f aca="false">B3403&amp;"|"&amp;C3403</f>
        <v>tdbR00000039 Asp-GUC|8</v>
      </c>
      <c r="B3403" s="4" t="s">
        <v>84</v>
      </c>
      <c r="C3403" s="4" t="s">
        <v>420</v>
      </c>
      <c r="D3403" s="4" t="n">
        <v>8</v>
      </c>
      <c r="E3403" s="3" t="s">
        <v>259</v>
      </c>
      <c r="F3403" s="4" t="s">
        <v>421</v>
      </c>
    </row>
    <row r="3404" customFormat="false" ht="15" hidden="false" customHeight="false" outlineLevel="0" collapsed="false">
      <c r="A3404" s="4" t="str">
        <f aca="false">B3404&amp;"|"&amp;C3404</f>
        <v>tdbR00000039 Asp-GUC|9</v>
      </c>
      <c r="B3404" s="4" t="s">
        <v>84</v>
      </c>
      <c r="C3404" s="4" t="s">
        <v>422</v>
      </c>
      <c r="D3404" s="4" t="n">
        <v>9</v>
      </c>
      <c r="E3404" s="3" t="s">
        <v>246</v>
      </c>
      <c r="F3404" s="4" t="s">
        <v>423</v>
      </c>
    </row>
    <row r="3405" customFormat="false" ht="15" hidden="false" customHeight="false" outlineLevel="0" collapsed="false">
      <c r="A3405" s="4" t="str">
        <f aca="false">B3405&amp;"|"&amp;C3405</f>
        <v>tdbR00000039 Asp-GUC|10</v>
      </c>
      <c r="B3405" s="4" t="s">
        <v>84</v>
      </c>
      <c r="C3405" s="4" t="s">
        <v>424</v>
      </c>
      <c r="D3405" s="4" t="n">
        <v>10</v>
      </c>
      <c r="E3405" s="8" t="s">
        <v>197</v>
      </c>
      <c r="F3405" s="7" t="s">
        <v>425</v>
      </c>
    </row>
    <row r="3406" customFormat="false" ht="15" hidden="false" customHeight="false" outlineLevel="0" collapsed="false">
      <c r="A3406" s="4" t="str">
        <f aca="false">B3406&amp;"|"&amp;C3406</f>
        <v>tdbR00000039 Asp-GUC|11</v>
      </c>
      <c r="B3406" s="4" t="s">
        <v>84</v>
      </c>
      <c r="C3406" s="4" t="s">
        <v>426</v>
      </c>
      <c r="D3406" s="4" t="n">
        <v>11</v>
      </c>
      <c r="E3406" s="8" t="s">
        <v>259</v>
      </c>
      <c r="F3406" s="7" t="s">
        <v>425</v>
      </c>
    </row>
    <row r="3407" customFormat="false" ht="15" hidden="false" customHeight="false" outlineLevel="0" collapsed="false">
      <c r="A3407" s="4" t="str">
        <f aca="false">B3407&amp;"|"&amp;C3407</f>
        <v>tdbR00000039 Asp-GUC|12</v>
      </c>
      <c r="B3407" s="4" t="s">
        <v>84</v>
      </c>
      <c r="C3407" s="4" t="s">
        <v>427</v>
      </c>
      <c r="D3407" s="4" t="n">
        <v>12</v>
      </c>
      <c r="E3407" s="8" t="s">
        <v>246</v>
      </c>
      <c r="F3407" s="7" t="s">
        <v>425</v>
      </c>
    </row>
    <row r="3408" customFormat="false" ht="15" hidden="false" customHeight="false" outlineLevel="0" collapsed="false">
      <c r="A3408" s="4" t="str">
        <f aca="false">B3408&amp;"|"&amp;C3408</f>
        <v>tdbR00000039 Asp-GUC|13</v>
      </c>
      <c r="B3408" s="4" t="s">
        <v>84</v>
      </c>
      <c r="C3408" s="4" t="s">
        <v>428</v>
      </c>
      <c r="D3408" s="4" t="n">
        <v>13</v>
      </c>
      <c r="E3408" s="8" t="s">
        <v>259</v>
      </c>
      <c r="F3408" s="7" t="s">
        <v>425</v>
      </c>
    </row>
    <row r="3409" customFormat="false" ht="15" hidden="false" customHeight="false" outlineLevel="0" collapsed="false">
      <c r="A3409" s="4" t="str">
        <f aca="false">B3409&amp;"|"&amp;C3409</f>
        <v>tdbR00000039 Asp-GUC|14</v>
      </c>
      <c r="B3409" s="4" t="s">
        <v>84</v>
      </c>
      <c r="C3409" s="4" t="s">
        <v>429</v>
      </c>
      <c r="D3409" s="4" t="n">
        <v>14</v>
      </c>
      <c r="E3409" s="19" t="s">
        <v>246</v>
      </c>
      <c r="F3409" s="20" t="s">
        <v>430</v>
      </c>
    </row>
    <row r="3410" customFormat="false" ht="15" hidden="false" customHeight="false" outlineLevel="0" collapsed="false">
      <c r="A3410" s="4" t="str">
        <f aca="false">B3410&amp;"|"&amp;C3410</f>
        <v>tdbR00000039 Asp-GUC|15</v>
      </c>
      <c r="B3410" s="4" t="s">
        <v>84</v>
      </c>
      <c r="C3410" s="4" t="s">
        <v>431</v>
      </c>
      <c r="D3410" s="4" t="n">
        <v>15</v>
      </c>
      <c r="E3410" s="19" t="s">
        <v>197</v>
      </c>
      <c r="F3410" s="20" t="s">
        <v>430</v>
      </c>
    </row>
    <row r="3411" customFormat="false" ht="15" hidden="false" customHeight="false" outlineLevel="0" collapsed="false">
      <c r="A3411" s="4" t="str">
        <f aca="false">B3411&amp;"|"&amp;C3411</f>
        <v>tdbR00000039 Asp-GUC|16</v>
      </c>
      <c r="B3411" s="4" t="s">
        <v>84</v>
      </c>
      <c r="C3411" s="4" t="s">
        <v>432</v>
      </c>
      <c r="D3411" s="4" t="n">
        <v>16</v>
      </c>
      <c r="E3411" s="19" t="s">
        <v>259</v>
      </c>
      <c r="F3411" s="20" t="s">
        <v>430</v>
      </c>
    </row>
    <row r="3412" customFormat="false" ht="15" hidden="false" customHeight="false" outlineLevel="0" collapsed="false">
      <c r="A3412" s="4" t="str">
        <f aca="false">B3412&amp;"|"&amp;C3412</f>
        <v>tdbR00000039 Asp-GUC|18</v>
      </c>
      <c r="B3412" s="4" t="s">
        <v>84</v>
      </c>
      <c r="C3412" s="4" t="s">
        <v>434</v>
      </c>
      <c r="D3412" s="4" t="n">
        <v>17</v>
      </c>
      <c r="E3412" s="19" t="s">
        <v>197</v>
      </c>
      <c r="F3412" s="20" t="s">
        <v>430</v>
      </c>
    </row>
    <row r="3413" customFormat="false" ht="15" hidden="false" customHeight="false" outlineLevel="0" collapsed="false">
      <c r="A3413" s="4" t="str">
        <f aca="false">B3413&amp;"|"&amp;C3413</f>
        <v>tdbR00000039 Asp-GUC|19</v>
      </c>
      <c r="B3413" s="4" t="s">
        <v>84</v>
      </c>
      <c r="C3413" s="4" t="s">
        <v>435</v>
      </c>
      <c r="D3413" s="4" t="n">
        <v>18</v>
      </c>
      <c r="E3413" s="19" t="s">
        <v>197</v>
      </c>
      <c r="F3413" s="20" t="s">
        <v>430</v>
      </c>
    </row>
    <row r="3414" customFormat="false" ht="15" hidden="false" customHeight="false" outlineLevel="0" collapsed="false">
      <c r="A3414" s="4" t="str">
        <f aca="false">B3414&amp;"|"&amp;C3414</f>
        <v>tdbR00000039 Asp-GUC|20</v>
      </c>
      <c r="B3414" s="4" t="s">
        <v>84</v>
      </c>
      <c r="C3414" s="4" t="s">
        <v>436</v>
      </c>
      <c r="D3414" s="4" t="n">
        <v>19</v>
      </c>
      <c r="E3414" s="19" t="s">
        <v>259</v>
      </c>
      <c r="F3414" s="20" t="s">
        <v>430</v>
      </c>
    </row>
    <row r="3415" customFormat="false" ht="15" hidden="false" customHeight="false" outlineLevel="0" collapsed="false">
      <c r="A3415" s="4" t="str">
        <f aca="false">B3415&amp;"|"&amp;C3415</f>
        <v>tdbR00000039 Asp-GUC|20a</v>
      </c>
      <c r="B3415" s="4" t="s">
        <v>84</v>
      </c>
      <c r="C3415" s="4" t="s">
        <v>437</v>
      </c>
      <c r="D3415" s="4" t="n">
        <v>20</v>
      </c>
      <c r="E3415" s="19" t="s">
        <v>197</v>
      </c>
      <c r="F3415" s="20" t="s">
        <v>430</v>
      </c>
    </row>
    <row r="3416" customFormat="false" ht="15" hidden="false" customHeight="false" outlineLevel="0" collapsed="false">
      <c r="A3416" s="4" t="str">
        <f aca="false">B3416&amp;"|"&amp;C3416</f>
        <v>tdbR00000039 Asp-GUC|21</v>
      </c>
      <c r="B3416" s="4" t="s">
        <v>84</v>
      </c>
      <c r="C3416" s="4" t="s">
        <v>438</v>
      </c>
      <c r="D3416" s="4" t="n">
        <v>21</v>
      </c>
      <c r="E3416" s="19" t="s">
        <v>246</v>
      </c>
      <c r="F3416" s="20" t="s">
        <v>430</v>
      </c>
    </row>
    <row r="3417" customFormat="false" ht="15" hidden="false" customHeight="false" outlineLevel="0" collapsed="false">
      <c r="A3417" s="4" t="str">
        <f aca="false">B3417&amp;"|"&amp;C3417</f>
        <v>tdbR00000039 Asp-GUC|22</v>
      </c>
      <c r="B3417" s="4" t="s">
        <v>84</v>
      </c>
      <c r="C3417" s="4" t="s">
        <v>439</v>
      </c>
      <c r="D3417" s="4" t="n">
        <v>22</v>
      </c>
      <c r="E3417" s="8" t="s">
        <v>197</v>
      </c>
      <c r="F3417" s="7" t="s">
        <v>425</v>
      </c>
    </row>
    <row r="3418" customFormat="false" ht="15" hidden="false" customHeight="false" outlineLevel="0" collapsed="false">
      <c r="A3418" s="4" t="str">
        <f aca="false">B3418&amp;"|"&amp;C3418</f>
        <v>tdbR00000039 Asp-GUC|23</v>
      </c>
      <c r="B3418" s="4" t="s">
        <v>84</v>
      </c>
      <c r="C3418" s="4" t="s">
        <v>440</v>
      </c>
      <c r="D3418" s="4" t="n">
        <v>23</v>
      </c>
      <c r="E3418" s="8" t="s">
        <v>259</v>
      </c>
      <c r="F3418" s="7" t="s">
        <v>425</v>
      </c>
    </row>
    <row r="3419" customFormat="false" ht="15" hidden="false" customHeight="false" outlineLevel="0" collapsed="false">
      <c r="A3419" s="4" t="str">
        <f aca="false">B3419&amp;"|"&amp;C3419</f>
        <v>tdbR00000039 Asp-GUC|24</v>
      </c>
      <c r="B3419" s="4" t="s">
        <v>84</v>
      </c>
      <c r="C3419" s="4" t="s">
        <v>441</v>
      </c>
      <c r="D3419" s="4" t="n">
        <v>24</v>
      </c>
      <c r="E3419" s="8" t="s">
        <v>246</v>
      </c>
      <c r="F3419" s="7" t="s">
        <v>425</v>
      </c>
    </row>
    <row r="3420" customFormat="false" ht="15" hidden="false" customHeight="false" outlineLevel="0" collapsed="false">
      <c r="A3420" s="4" t="str">
        <f aca="false">B3420&amp;"|"&amp;C3420</f>
        <v>tdbR00000039 Asp-GUC|25</v>
      </c>
      <c r="B3420" s="4" t="s">
        <v>84</v>
      </c>
      <c r="C3420" s="4" t="s">
        <v>442</v>
      </c>
      <c r="D3420" s="4" t="n">
        <v>25</v>
      </c>
      <c r="E3420" s="8" t="s">
        <v>259</v>
      </c>
      <c r="F3420" s="7" t="s">
        <v>425</v>
      </c>
    </row>
    <row r="3421" customFormat="false" ht="15" hidden="false" customHeight="false" outlineLevel="0" collapsed="false">
      <c r="A3421" s="4" t="str">
        <f aca="false">B3421&amp;"|"&amp;C3421</f>
        <v>tdbR00000039 Asp-GUC|26</v>
      </c>
      <c r="B3421" s="4" t="s">
        <v>84</v>
      </c>
      <c r="C3421" s="4" t="s">
        <v>443</v>
      </c>
      <c r="D3421" s="4" t="n">
        <v>26</v>
      </c>
      <c r="E3421" s="3" t="s">
        <v>246</v>
      </c>
      <c r="F3421" s="4" t="s">
        <v>444</v>
      </c>
    </row>
    <row r="3422" customFormat="false" ht="15" hidden="false" customHeight="false" outlineLevel="0" collapsed="false">
      <c r="A3422" s="4" t="str">
        <f aca="false">B3422&amp;"|"&amp;C3422</f>
        <v>tdbR00000039 Asp-GUC|27</v>
      </c>
      <c r="B3422" s="4" t="s">
        <v>84</v>
      </c>
      <c r="C3422" s="4" t="s">
        <v>445</v>
      </c>
      <c r="D3422" s="4" t="n">
        <v>27</v>
      </c>
      <c r="E3422" s="21" t="s">
        <v>259</v>
      </c>
      <c r="F3422" s="22" t="s">
        <v>446</v>
      </c>
    </row>
    <row r="3423" customFormat="false" ht="15" hidden="false" customHeight="false" outlineLevel="0" collapsed="false">
      <c r="A3423" s="4" t="str">
        <f aca="false">B3423&amp;"|"&amp;C3423</f>
        <v>tdbR00000039 Asp-GUC|28</v>
      </c>
      <c r="B3423" s="4" t="s">
        <v>84</v>
      </c>
      <c r="C3423" s="4" t="s">
        <v>447</v>
      </c>
      <c r="D3423" s="4" t="n">
        <v>28</v>
      </c>
      <c r="E3423" s="21" t="s">
        <v>414</v>
      </c>
      <c r="F3423" s="22" t="s">
        <v>446</v>
      </c>
    </row>
    <row r="3424" customFormat="false" ht="15" hidden="false" customHeight="false" outlineLevel="0" collapsed="false">
      <c r="A3424" s="4" t="str">
        <f aca="false">B3424&amp;"|"&amp;C3424</f>
        <v>tdbR00000039 Asp-GUC|29</v>
      </c>
      <c r="B3424" s="4" t="s">
        <v>84</v>
      </c>
      <c r="C3424" s="4" t="s">
        <v>448</v>
      </c>
      <c r="D3424" s="4" t="n">
        <v>29</v>
      </c>
      <c r="E3424" s="21" t="s">
        <v>414</v>
      </c>
      <c r="F3424" s="22" t="s">
        <v>446</v>
      </c>
    </row>
    <row r="3425" customFormat="false" ht="15" hidden="false" customHeight="false" outlineLevel="0" collapsed="false">
      <c r="A3425" s="4" t="str">
        <f aca="false">B3425&amp;"|"&amp;C3425</f>
        <v>tdbR00000039 Asp-GUC|30</v>
      </c>
      <c r="B3425" s="4" t="s">
        <v>84</v>
      </c>
      <c r="C3425" s="4" t="s">
        <v>449</v>
      </c>
      <c r="D3425" s="4" t="n">
        <v>30</v>
      </c>
      <c r="E3425" s="21" t="s">
        <v>197</v>
      </c>
      <c r="F3425" s="22" t="s">
        <v>446</v>
      </c>
    </row>
    <row r="3426" customFormat="false" ht="15" hidden="false" customHeight="false" outlineLevel="0" collapsed="false">
      <c r="A3426" s="4" t="str">
        <f aca="false">B3426&amp;"|"&amp;C3426</f>
        <v>tdbR00000039 Asp-GUC|31</v>
      </c>
      <c r="B3426" s="4" t="s">
        <v>84</v>
      </c>
      <c r="C3426" s="4" t="s">
        <v>450</v>
      </c>
      <c r="D3426" s="4" t="n">
        <v>31</v>
      </c>
      <c r="E3426" s="21" t="s">
        <v>414</v>
      </c>
      <c r="F3426" s="22" t="s">
        <v>446</v>
      </c>
    </row>
    <row r="3427" customFormat="false" ht="15" hidden="false" customHeight="false" outlineLevel="0" collapsed="false">
      <c r="A3427" s="4" t="str">
        <f aca="false">B3427&amp;"|"&amp;C3427</f>
        <v>tdbR00000039 Asp-GUC|32</v>
      </c>
      <c r="B3427" s="4" t="s">
        <v>84</v>
      </c>
      <c r="C3427" s="4" t="s">
        <v>451</v>
      </c>
      <c r="D3427" s="4" t="n">
        <v>32</v>
      </c>
      <c r="E3427" s="19" t="s">
        <v>414</v>
      </c>
      <c r="F3427" s="20" t="s">
        <v>452</v>
      </c>
    </row>
    <row r="3428" customFormat="false" ht="15" hidden="false" customHeight="false" outlineLevel="0" collapsed="false">
      <c r="A3428" s="4" t="str">
        <f aca="false">B3428&amp;"|"&amp;C3428</f>
        <v>tdbR00000039 Asp-GUC|33</v>
      </c>
      <c r="B3428" s="4" t="s">
        <v>84</v>
      </c>
      <c r="C3428" s="4" t="s">
        <v>453</v>
      </c>
      <c r="D3428" s="4" t="n">
        <v>33</v>
      </c>
      <c r="E3428" s="19" t="s">
        <v>259</v>
      </c>
      <c r="F3428" s="20" t="s">
        <v>452</v>
      </c>
    </row>
    <row r="3429" customFormat="false" ht="15" hidden="false" customHeight="false" outlineLevel="0" collapsed="false">
      <c r="A3429" s="4" t="str">
        <f aca="false">B3429&amp;"|"&amp;C3429</f>
        <v>tdbR00000039 Asp-GUC|34</v>
      </c>
      <c r="B3429" s="4" t="s">
        <v>84</v>
      </c>
      <c r="C3429" s="4" t="s">
        <v>454</v>
      </c>
      <c r="D3429" s="4" t="n">
        <v>34</v>
      </c>
      <c r="E3429" s="19" t="s">
        <v>197</v>
      </c>
      <c r="F3429" s="20" t="s">
        <v>452</v>
      </c>
    </row>
    <row r="3430" customFormat="false" ht="15" hidden="false" customHeight="false" outlineLevel="0" collapsed="false">
      <c r="A3430" s="4" t="str">
        <f aca="false">B3430&amp;"|"&amp;C3430</f>
        <v>tdbR00000039 Asp-GUC|35</v>
      </c>
      <c r="B3430" s="4" t="s">
        <v>84</v>
      </c>
      <c r="C3430" s="4" t="s">
        <v>455</v>
      </c>
      <c r="D3430" s="4" t="n">
        <v>35</v>
      </c>
      <c r="E3430" s="19" t="s">
        <v>259</v>
      </c>
      <c r="F3430" s="20" t="s">
        <v>452</v>
      </c>
    </row>
    <row r="3431" customFormat="false" ht="15" hidden="false" customHeight="false" outlineLevel="0" collapsed="false">
      <c r="A3431" s="4" t="str">
        <f aca="false">B3431&amp;"|"&amp;C3431</f>
        <v>tdbR00000039 Asp-GUC|36</v>
      </c>
      <c r="B3431" s="4" t="s">
        <v>84</v>
      </c>
      <c r="C3431" s="4" t="s">
        <v>456</v>
      </c>
      <c r="D3431" s="4" t="n">
        <v>36</v>
      </c>
      <c r="E3431" s="19" t="s">
        <v>414</v>
      </c>
      <c r="F3431" s="20" t="s">
        <v>452</v>
      </c>
    </row>
    <row r="3432" customFormat="false" ht="15" hidden="false" customHeight="false" outlineLevel="0" collapsed="false">
      <c r="A3432" s="4" t="str">
        <f aca="false">B3432&amp;"|"&amp;C3432</f>
        <v>tdbR00000039 Asp-GUC|37</v>
      </c>
      <c r="B3432" s="4" t="s">
        <v>84</v>
      </c>
      <c r="C3432" s="4" t="s">
        <v>457</v>
      </c>
      <c r="D3432" s="4" t="n">
        <v>37</v>
      </c>
      <c r="E3432" s="19" t="s">
        <v>246</v>
      </c>
      <c r="F3432" s="20" t="s">
        <v>452</v>
      </c>
    </row>
    <row r="3433" customFormat="false" ht="15" hidden="false" customHeight="false" outlineLevel="0" collapsed="false">
      <c r="A3433" s="4" t="str">
        <f aca="false">B3433&amp;"|"&amp;C3433</f>
        <v>tdbR00000039 Asp-GUC|38</v>
      </c>
      <c r="B3433" s="4" t="s">
        <v>84</v>
      </c>
      <c r="C3433" s="4" t="s">
        <v>458</v>
      </c>
      <c r="D3433" s="4" t="n">
        <v>38</v>
      </c>
      <c r="E3433" s="19" t="s">
        <v>414</v>
      </c>
      <c r="F3433" s="20" t="s">
        <v>452</v>
      </c>
    </row>
    <row r="3434" customFormat="false" ht="15" hidden="false" customHeight="false" outlineLevel="0" collapsed="false">
      <c r="A3434" s="4" t="str">
        <f aca="false">B3434&amp;"|"&amp;C3434</f>
        <v>tdbR00000039 Asp-GUC|39</v>
      </c>
      <c r="B3434" s="4" t="s">
        <v>84</v>
      </c>
      <c r="C3434" s="4" t="s">
        <v>459</v>
      </c>
      <c r="D3434" s="4" t="n">
        <v>39</v>
      </c>
      <c r="E3434" s="21" t="s">
        <v>197</v>
      </c>
      <c r="F3434" s="22" t="s">
        <v>446</v>
      </c>
    </row>
    <row r="3435" customFormat="false" ht="15" hidden="false" customHeight="false" outlineLevel="0" collapsed="false">
      <c r="A3435" s="4" t="str">
        <f aca="false">B3435&amp;"|"&amp;C3435</f>
        <v>tdbR00000039 Asp-GUC|40</v>
      </c>
      <c r="B3435" s="4" t="s">
        <v>84</v>
      </c>
      <c r="C3435" s="4" t="s">
        <v>460</v>
      </c>
      <c r="D3435" s="4" t="n">
        <v>40</v>
      </c>
      <c r="E3435" s="21" t="s">
        <v>414</v>
      </c>
      <c r="F3435" s="22" t="s">
        <v>446</v>
      </c>
    </row>
    <row r="3436" customFormat="false" ht="15" hidden="false" customHeight="false" outlineLevel="0" collapsed="false">
      <c r="A3436" s="4" t="str">
        <f aca="false">B3436&amp;"|"&amp;C3436</f>
        <v>tdbR00000039 Asp-GUC|41</v>
      </c>
      <c r="B3436" s="4" t="s">
        <v>84</v>
      </c>
      <c r="C3436" s="4" t="s">
        <v>461</v>
      </c>
      <c r="D3436" s="4" t="n">
        <v>41</v>
      </c>
      <c r="E3436" s="21" t="s">
        <v>197</v>
      </c>
      <c r="F3436" s="22" t="s">
        <v>446</v>
      </c>
    </row>
    <row r="3437" customFormat="false" ht="15" hidden="false" customHeight="false" outlineLevel="0" collapsed="false">
      <c r="A3437" s="4" t="str">
        <f aca="false">B3437&amp;"|"&amp;C3437</f>
        <v>tdbR00000039 Asp-GUC|42</v>
      </c>
      <c r="B3437" s="4" t="s">
        <v>84</v>
      </c>
      <c r="C3437" s="4" t="s">
        <v>462</v>
      </c>
      <c r="D3437" s="4" t="n">
        <v>42</v>
      </c>
      <c r="E3437" s="21" t="s">
        <v>197</v>
      </c>
      <c r="F3437" s="22" t="s">
        <v>446</v>
      </c>
    </row>
    <row r="3438" customFormat="false" ht="15" hidden="false" customHeight="false" outlineLevel="0" collapsed="false">
      <c r="A3438" s="4" t="str">
        <f aca="false">B3438&amp;"|"&amp;C3438</f>
        <v>tdbR00000039 Asp-GUC|43</v>
      </c>
      <c r="B3438" s="4" t="s">
        <v>84</v>
      </c>
      <c r="C3438" s="4" t="s">
        <v>463</v>
      </c>
      <c r="D3438" s="4" t="n">
        <v>43</v>
      </c>
      <c r="E3438" s="21" t="s">
        <v>197</v>
      </c>
      <c r="F3438" s="22" t="s">
        <v>446</v>
      </c>
    </row>
    <row r="3439" customFormat="false" ht="15" hidden="false" customHeight="false" outlineLevel="0" collapsed="false">
      <c r="A3439" s="4" t="str">
        <f aca="false">B3439&amp;"|"&amp;C3439</f>
        <v>tdbR00000039 Asp-GUC|44</v>
      </c>
      <c r="B3439" s="4" t="s">
        <v>84</v>
      </c>
      <c r="C3439" s="4" t="s">
        <v>464</v>
      </c>
      <c r="D3439" s="4" t="n">
        <v>44</v>
      </c>
      <c r="E3439" s="19" t="s">
        <v>246</v>
      </c>
      <c r="F3439" s="20" t="s">
        <v>465</v>
      </c>
    </row>
    <row r="3440" customFormat="false" ht="15" hidden="false" customHeight="false" outlineLevel="0" collapsed="false">
      <c r="A3440" s="4" t="str">
        <f aca="false">B3440&amp;"|"&amp;C3440</f>
        <v>tdbR00000039 Asp-GUC|45</v>
      </c>
      <c r="B3440" s="4" t="s">
        <v>84</v>
      </c>
      <c r="C3440" s="4" t="s">
        <v>466</v>
      </c>
      <c r="D3440" s="4" t="n">
        <v>45</v>
      </c>
      <c r="E3440" s="19" t="s">
        <v>197</v>
      </c>
      <c r="F3440" s="20" t="s">
        <v>465</v>
      </c>
    </row>
    <row r="3441" customFormat="false" ht="15" hidden="false" customHeight="false" outlineLevel="0" collapsed="false">
      <c r="A3441" s="4" t="str">
        <f aca="false">B3441&amp;"|"&amp;C3441</f>
        <v>tdbR00000039 Asp-GUC|46</v>
      </c>
      <c r="B3441" s="4" t="s">
        <v>84</v>
      </c>
      <c r="C3441" s="4" t="s">
        <v>467</v>
      </c>
      <c r="D3441" s="4" t="n">
        <v>46</v>
      </c>
      <c r="E3441" s="19" t="s">
        <v>197</v>
      </c>
      <c r="F3441" s="20" t="s">
        <v>465</v>
      </c>
    </row>
    <row r="3442" customFormat="false" ht="15" hidden="false" customHeight="false" outlineLevel="0" collapsed="false">
      <c r="A3442" s="4" t="str">
        <f aca="false">B3442&amp;"|"&amp;C3442</f>
        <v>tdbR00000039 Asp-GUC|47</v>
      </c>
      <c r="B3442" s="4" t="s">
        <v>84</v>
      </c>
      <c r="C3442" s="4" t="s">
        <v>468</v>
      </c>
      <c r="D3442" s="4" t="n">
        <v>47</v>
      </c>
      <c r="E3442" s="19" t="s">
        <v>246</v>
      </c>
      <c r="F3442" s="20" t="s">
        <v>465</v>
      </c>
    </row>
    <row r="3443" customFormat="false" ht="15" hidden="false" customHeight="false" outlineLevel="0" collapsed="false">
      <c r="A3443" s="4" t="str">
        <f aca="false">B3443&amp;"|"&amp;C3443</f>
        <v>tdbR00000039 Asp-GUC|48</v>
      </c>
      <c r="B3443" s="4" t="s">
        <v>84</v>
      </c>
      <c r="C3443" s="4" t="s">
        <v>469</v>
      </c>
      <c r="D3443" s="4" t="n">
        <v>48</v>
      </c>
      <c r="E3443" s="19" t="s">
        <v>414</v>
      </c>
      <c r="F3443" s="20" t="s">
        <v>465</v>
      </c>
    </row>
    <row r="3444" customFormat="false" ht="15" hidden="false" customHeight="false" outlineLevel="0" collapsed="false">
      <c r="A3444" s="4" t="str">
        <f aca="false">B3444&amp;"|"&amp;C3444</f>
        <v>tdbR00000039 Asp-GUC|49</v>
      </c>
      <c r="B3444" s="4" t="s">
        <v>84</v>
      </c>
      <c r="C3444" s="4" t="s">
        <v>470</v>
      </c>
      <c r="D3444" s="4" t="n">
        <v>49</v>
      </c>
      <c r="E3444" s="23" t="s">
        <v>414</v>
      </c>
      <c r="F3444" s="10" t="s">
        <v>471</v>
      </c>
    </row>
    <row r="3445" customFormat="false" ht="15" hidden="false" customHeight="false" outlineLevel="0" collapsed="false">
      <c r="A3445" s="4" t="str">
        <f aca="false">B3445&amp;"|"&amp;C3445</f>
        <v>tdbR00000039 Asp-GUC|50</v>
      </c>
      <c r="B3445" s="4" t="s">
        <v>84</v>
      </c>
      <c r="C3445" s="4" t="s">
        <v>472</v>
      </c>
      <c r="D3445" s="4" t="n">
        <v>50</v>
      </c>
      <c r="E3445" s="23" t="s">
        <v>197</v>
      </c>
      <c r="F3445" s="10" t="s">
        <v>471</v>
      </c>
    </row>
    <row r="3446" customFormat="false" ht="15" hidden="false" customHeight="false" outlineLevel="0" collapsed="false">
      <c r="A3446" s="4" t="str">
        <f aca="false">B3446&amp;"|"&amp;C3446</f>
        <v>tdbR00000039 Asp-GUC|51</v>
      </c>
      <c r="B3446" s="4" t="s">
        <v>84</v>
      </c>
      <c r="C3446" s="4" t="s">
        <v>473</v>
      </c>
      <c r="D3446" s="4" t="n">
        <v>51</v>
      </c>
      <c r="E3446" s="23" t="s">
        <v>197</v>
      </c>
      <c r="F3446" s="10" t="s">
        <v>471</v>
      </c>
    </row>
    <row r="3447" customFormat="false" ht="15" hidden="false" customHeight="false" outlineLevel="0" collapsed="false">
      <c r="A3447" s="4" t="str">
        <f aca="false">B3447&amp;"|"&amp;C3447</f>
        <v>tdbR00000039 Asp-GUC|52</v>
      </c>
      <c r="B3447" s="4" t="s">
        <v>84</v>
      </c>
      <c r="C3447" s="4" t="s">
        <v>474</v>
      </c>
      <c r="D3447" s="4" t="n">
        <v>52</v>
      </c>
      <c r="E3447" s="23" t="s">
        <v>197</v>
      </c>
      <c r="F3447" s="10" t="s">
        <v>471</v>
      </c>
    </row>
    <row r="3448" customFormat="false" ht="15" hidden="false" customHeight="false" outlineLevel="0" collapsed="false">
      <c r="A3448" s="4" t="str">
        <f aca="false">B3448&amp;"|"&amp;C3448</f>
        <v>tdbR00000039 Asp-GUC|53</v>
      </c>
      <c r="B3448" s="4" t="s">
        <v>84</v>
      </c>
      <c r="C3448" s="4" t="s">
        <v>475</v>
      </c>
      <c r="D3448" s="4" t="n">
        <v>53</v>
      </c>
      <c r="E3448" s="23" t="s">
        <v>197</v>
      </c>
      <c r="F3448" s="10" t="s">
        <v>471</v>
      </c>
    </row>
    <row r="3449" customFormat="false" ht="15" hidden="false" customHeight="false" outlineLevel="0" collapsed="false">
      <c r="A3449" s="4" t="str">
        <f aca="false">B3449&amp;"|"&amp;C3449</f>
        <v>tdbR00000039 Asp-GUC|54</v>
      </c>
      <c r="B3449" s="4" t="s">
        <v>84</v>
      </c>
      <c r="C3449" s="4" t="s">
        <v>476</v>
      </c>
      <c r="D3449" s="4" t="n">
        <v>54</v>
      </c>
      <c r="E3449" s="19" t="s">
        <v>259</v>
      </c>
      <c r="F3449" s="20" t="s">
        <v>477</v>
      </c>
    </row>
    <row r="3450" customFormat="false" ht="15" hidden="false" customHeight="false" outlineLevel="0" collapsed="false">
      <c r="A3450" s="4" t="str">
        <f aca="false">B3450&amp;"|"&amp;C3450</f>
        <v>tdbR00000039 Asp-GUC|55</v>
      </c>
      <c r="B3450" s="4" t="s">
        <v>84</v>
      </c>
      <c r="C3450" s="4" t="s">
        <v>478</v>
      </c>
      <c r="D3450" s="4" t="n">
        <v>55</v>
      </c>
      <c r="E3450" s="19" t="s">
        <v>259</v>
      </c>
      <c r="F3450" s="20" t="s">
        <v>477</v>
      </c>
    </row>
    <row r="3451" customFormat="false" ht="15" hidden="false" customHeight="false" outlineLevel="0" collapsed="false">
      <c r="A3451" s="4" t="str">
        <f aca="false">B3451&amp;"|"&amp;C3451</f>
        <v>tdbR00000039 Asp-GUC|56</v>
      </c>
      <c r="B3451" s="4" t="s">
        <v>84</v>
      </c>
      <c r="C3451" s="4" t="s">
        <v>479</v>
      </c>
      <c r="D3451" s="4" t="n">
        <v>56</v>
      </c>
      <c r="E3451" s="19" t="s">
        <v>414</v>
      </c>
      <c r="F3451" s="20" t="s">
        <v>477</v>
      </c>
    </row>
    <row r="3452" customFormat="false" ht="15" hidden="false" customHeight="false" outlineLevel="0" collapsed="false">
      <c r="A3452" s="4" t="str">
        <f aca="false">B3452&amp;"|"&amp;C3452</f>
        <v>tdbR00000039 Asp-GUC|57</v>
      </c>
      <c r="B3452" s="4" t="s">
        <v>84</v>
      </c>
      <c r="C3452" s="4" t="s">
        <v>480</v>
      </c>
      <c r="D3452" s="4" t="n">
        <v>57</v>
      </c>
      <c r="E3452" s="19" t="s">
        <v>197</v>
      </c>
      <c r="F3452" s="20" t="s">
        <v>477</v>
      </c>
    </row>
    <row r="3453" customFormat="false" ht="15" hidden="false" customHeight="false" outlineLevel="0" collapsed="false">
      <c r="A3453" s="4" t="str">
        <f aca="false">B3453&amp;"|"&amp;C3453</f>
        <v>tdbR00000039 Asp-GUC|58</v>
      </c>
      <c r="B3453" s="4" t="s">
        <v>84</v>
      </c>
      <c r="C3453" s="4" t="s">
        <v>481</v>
      </c>
      <c r="D3453" s="4" t="n">
        <v>58</v>
      </c>
      <c r="E3453" s="19" t="s">
        <v>246</v>
      </c>
      <c r="F3453" s="20" t="s">
        <v>477</v>
      </c>
    </row>
    <row r="3454" customFormat="false" ht="15" hidden="false" customHeight="false" outlineLevel="0" collapsed="false">
      <c r="A3454" s="4" t="str">
        <f aca="false">B3454&amp;"|"&amp;C3454</f>
        <v>tdbR00000039 Asp-GUC|59</v>
      </c>
      <c r="B3454" s="4" t="s">
        <v>84</v>
      </c>
      <c r="C3454" s="4" t="s">
        <v>482</v>
      </c>
      <c r="D3454" s="4" t="n">
        <v>59</v>
      </c>
      <c r="E3454" s="19" t="s">
        <v>246</v>
      </c>
      <c r="F3454" s="20" t="s">
        <v>477</v>
      </c>
    </row>
    <row r="3455" customFormat="false" ht="15" hidden="false" customHeight="false" outlineLevel="0" collapsed="false">
      <c r="A3455" s="4" t="str">
        <f aca="false">B3455&amp;"|"&amp;C3455</f>
        <v>tdbR00000039 Asp-GUC|60</v>
      </c>
      <c r="B3455" s="4" t="s">
        <v>84</v>
      </c>
      <c r="C3455" s="4" t="s">
        <v>483</v>
      </c>
      <c r="D3455" s="4" t="n">
        <v>60</v>
      </c>
      <c r="E3455" s="19" t="s">
        <v>259</v>
      </c>
      <c r="F3455" s="20" t="s">
        <v>477</v>
      </c>
    </row>
    <row r="3456" customFormat="false" ht="15" hidden="false" customHeight="false" outlineLevel="0" collapsed="false">
      <c r="A3456" s="4" t="str">
        <f aca="false">B3456&amp;"|"&amp;C3456</f>
        <v>tdbR00000039 Asp-GUC|61</v>
      </c>
      <c r="B3456" s="4" t="s">
        <v>84</v>
      </c>
      <c r="C3456" s="4" t="s">
        <v>484</v>
      </c>
      <c r="D3456" s="4" t="n">
        <v>61</v>
      </c>
      <c r="E3456" s="23" t="s">
        <v>414</v>
      </c>
      <c r="F3456" s="10" t="s">
        <v>471</v>
      </c>
    </row>
    <row r="3457" customFormat="false" ht="15" hidden="false" customHeight="false" outlineLevel="0" collapsed="false">
      <c r="A3457" s="4" t="str">
        <f aca="false">B3457&amp;"|"&amp;C3457</f>
        <v>tdbR00000039 Asp-GUC|62</v>
      </c>
      <c r="B3457" s="4" t="s">
        <v>84</v>
      </c>
      <c r="C3457" s="4" t="s">
        <v>485</v>
      </c>
      <c r="D3457" s="4" t="n">
        <v>62</v>
      </c>
      <c r="E3457" s="23" t="s">
        <v>414</v>
      </c>
      <c r="F3457" s="10" t="s">
        <v>471</v>
      </c>
    </row>
    <row r="3458" customFormat="false" ht="15" hidden="false" customHeight="false" outlineLevel="0" collapsed="false">
      <c r="A3458" s="4" t="str">
        <f aca="false">B3458&amp;"|"&amp;C3458</f>
        <v>tdbR00000039 Asp-GUC|63</v>
      </c>
      <c r="B3458" s="4" t="s">
        <v>84</v>
      </c>
      <c r="C3458" s="4" t="s">
        <v>486</v>
      </c>
      <c r="D3458" s="4" t="n">
        <v>63</v>
      </c>
      <c r="E3458" s="23" t="s">
        <v>414</v>
      </c>
      <c r="F3458" s="10" t="s">
        <v>471</v>
      </c>
    </row>
    <row r="3459" customFormat="false" ht="15" hidden="false" customHeight="false" outlineLevel="0" collapsed="false">
      <c r="A3459" s="4" t="str">
        <f aca="false">B3459&amp;"|"&amp;C3459</f>
        <v>tdbR00000039 Asp-GUC|64</v>
      </c>
      <c r="B3459" s="4" t="s">
        <v>84</v>
      </c>
      <c r="C3459" s="4" t="s">
        <v>487</v>
      </c>
      <c r="D3459" s="4" t="n">
        <v>64</v>
      </c>
      <c r="E3459" s="23" t="s">
        <v>414</v>
      </c>
      <c r="F3459" s="10" t="s">
        <v>471</v>
      </c>
    </row>
    <row r="3460" customFormat="false" ht="15" hidden="false" customHeight="false" outlineLevel="0" collapsed="false">
      <c r="A3460" s="4" t="str">
        <f aca="false">B3460&amp;"|"&amp;C3460</f>
        <v>tdbR00000039 Asp-GUC|65</v>
      </c>
      <c r="B3460" s="4" t="s">
        <v>84</v>
      </c>
      <c r="C3460" s="4" t="s">
        <v>488</v>
      </c>
      <c r="D3460" s="4" t="n">
        <v>65</v>
      </c>
      <c r="E3460" s="23" t="s">
        <v>197</v>
      </c>
      <c r="F3460" s="10" t="s">
        <v>471</v>
      </c>
    </row>
    <row r="3461" customFormat="false" ht="15" hidden="false" customHeight="false" outlineLevel="0" collapsed="false">
      <c r="A3461" s="4" t="str">
        <f aca="false">B3461&amp;"|"&amp;C3461</f>
        <v>tdbR00000039 Asp-GUC|66</v>
      </c>
      <c r="B3461" s="4" t="s">
        <v>84</v>
      </c>
      <c r="C3461" s="4" t="s">
        <v>489</v>
      </c>
      <c r="D3461" s="4" t="n">
        <v>66</v>
      </c>
      <c r="E3461" s="17" t="s">
        <v>197</v>
      </c>
      <c r="F3461" s="18" t="s">
        <v>412</v>
      </c>
    </row>
    <row r="3462" customFormat="false" ht="15" hidden="false" customHeight="false" outlineLevel="0" collapsed="false">
      <c r="A3462" s="4" t="str">
        <f aca="false">B3462&amp;"|"&amp;C3462</f>
        <v>tdbR00000039 Asp-GUC|67</v>
      </c>
      <c r="B3462" s="4" t="s">
        <v>84</v>
      </c>
      <c r="C3462" s="4" t="s">
        <v>490</v>
      </c>
      <c r="D3462" s="4" t="n">
        <v>67</v>
      </c>
      <c r="E3462" s="17" t="s">
        <v>246</v>
      </c>
      <c r="F3462" s="18" t="s">
        <v>412</v>
      </c>
    </row>
    <row r="3463" customFormat="false" ht="15" hidden="false" customHeight="false" outlineLevel="0" collapsed="false">
      <c r="A3463" s="4" t="str">
        <f aca="false">B3463&amp;"|"&amp;C3463</f>
        <v>tdbR00000039 Asp-GUC|68</v>
      </c>
      <c r="B3463" s="4" t="s">
        <v>84</v>
      </c>
      <c r="C3463" s="4" t="s">
        <v>491</v>
      </c>
      <c r="D3463" s="4" t="n">
        <v>68</v>
      </c>
      <c r="E3463" s="17" t="s">
        <v>414</v>
      </c>
      <c r="F3463" s="18" t="s">
        <v>412</v>
      </c>
    </row>
    <row r="3464" customFormat="false" ht="15" hidden="false" customHeight="false" outlineLevel="0" collapsed="false">
      <c r="A3464" s="4" t="str">
        <f aca="false">B3464&amp;"|"&amp;C3464</f>
        <v>tdbR00000039 Asp-GUC|69</v>
      </c>
      <c r="B3464" s="4" t="s">
        <v>84</v>
      </c>
      <c r="C3464" s="4" t="s">
        <v>492</v>
      </c>
      <c r="D3464" s="4" t="n">
        <v>69</v>
      </c>
      <c r="E3464" s="17" t="s">
        <v>197</v>
      </c>
      <c r="F3464" s="18" t="s">
        <v>412</v>
      </c>
    </row>
    <row r="3465" customFormat="false" ht="15" hidden="false" customHeight="false" outlineLevel="0" collapsed="false">
      <c r="A3465" s="4" t="str">
        <f aca="false">B3465&amp;"|"&amp;C3465</f>
        <v>tdbR00000039 Asp-GUC|70</v>
      </c>
      <c r="B3465" s="4" t="s">
        <v>84</v>
      </c>
      <c r="C3465" s="4" t="s">
        <v>493</v>
      </c>
      <c r="D3465" s="4" t="n">
        <v>70</v>
      </c>
      <c r="E3465" s="17" t="s">
        <v>197</v>
      </c>
      <c r="F3465" s="18" t="s">
        <v>412</v>
      </c>
    </row>
    <row r="3466" customFormat="false" ht="15" hidden="false" customHeight="false" outlineLevel="0" collapsed="false">
      <c r="A3466" s="4" t="str">
        <f aca="false">B3466&amp;"|"&amp;C3466</f>
        <v>tdbR00000039 Asp-GUC|71</v>
      </c>
      <c r="B3466" s="4" t="s">
        <v>84</v>
      </c>
      <c r="C3466" s="4" t="s">
        <v>494</v>
      </c>
      <c r="D3466" s="4" t="n">
        <v>71</v>
      </c>
      <c r="E3466" s="17" t="s">
        <v>197</v>
      </c>
      <c r="F3466" s="18" t="s">
        <v>412</v>
      </c>
    </row>
    <row r="3467" customFormat="false" ht="15" hidden="false" customHeight="false" outlineLevel="0" collapsed="false">
      <c r="A3467" s="4" t="str">
        <f aca="false">B3467&amp;"|"&amp;C3467</f>
        <v>tdbR00000039 Asp-GUC|72</v>
      </c>
      <c r="B3467" s="4" t="s">
        <v>84</v>
      </c>
      <c r="C3467" s="4" t="s">
        <v>495</v>
      </c>
      <c r="D3467" s="4" t="n">
        <v>72</v>
      </c>
      <c r="E3467" s="17" t="s">
        <v>246</v>
      </c>
      <c r="F3467" s="18" t="s">
        <v>412</v>
      </c>
    </row>
    <row r="3468" customFormat="false" ht="15" hidden="false" customHeight="false" outlineLevel="0" collapsed="false">
      <c r="A3468" s="4" t="str">
        <f aca="false">B3468&amp;"|"&amp;C3468</f>
        <v>tdbR00000532 Ile-CAU|1</v>
      </c>
      <c r="B3468" s="4" t="s">
        <v>85</v>
      </c>
      <c r="C3468" s="4" t="s">
        <v>411</v>
      </c>
      <c r="D3468" s="4" t="n">
        <v>1</v>
      </c>
      <c r="E3468" s="17" t="s">
        <v>246</v>
      </c>
      <c r="F3468" s="18" t="s">
        <v>412</v>
      </c>
    </row>
    <row r="3469" customFormat="false" ht="15" hidden="false" customHeight="false" outlineLevel="0" collapsed="false">
      <c r="A3469" s="4" t="str">
        <f aca="false">B3469&amp;"|"&amp;C3469</f>
        <v>tdbR00000532 Ile-CAU|2</v>
      </c>
      <c r="B3469" s="4" t="s">
        <v>85</v>
      </c>
      <c r="C3469" s="4" t="s">
        <v>413</v>
      </c>
      <c r="D3469" s="4" t="n">
        <v>2</v>
      </c>
      <c r="E3469" s="17" t="s">
        <v>197</v>
      </c>
      <c r="F3469" s="18" t="s">
        <v>412</v>
      </c>
    </row>
    <row r="3470" customFormat="false" ht="15" hidden="false" customHeight="false" outlineLevel="0" collapsed="false">
      <c r="A3470" s="4" t="str">
        <f aca="false">B3470&amp;"|"&amp;C3470</f>
        <v>tdbR00000532 Ile-CAU|3</v>
      </c>
      <c r="B3470" s="4" t="s">
        <v>85</v>
      </c>
      <c r="C3470" s="4" t="s">
        <v>415</v>
      </c>
      <c r="D3470" s="4" t="n">
        <v>3</v>
      </c>
      <c r="E3470" s="17" t="s">
        <v>414</v>
      </c>
      <c r="F3470" s="18" t="s">
        <v>412</v>
      </c>
    </row>
    <row r="3471" customFormat="false" ht="15" hidden="false" customHeight="false" outlineLevel="0" collapsed="false">
      <c r="A3471" s="4" t="str">
        <f aca="false">B3471&amp;"|"&amp;C3471</f>
        <v>tdbR00000532 Ile-CAU|4</v>
      </c>
      <c r="B3471" s="4" t="s">
        <v>85</v>
      </c>
      <c r="C3471" s="4" t="s">
        <v>416</v>
      </c>
      <c r="D3471" s="4" t="n">
        <v>4</v>
      </c>
      <c r="E3471" s="17" t="s">
        <v>246</v>
      </c>
      <c r="F3471" s="18" t="s">
        <v>412</v>
      </c>
    </row>
    <row r="3472" customFormat="false" ht="15" hidden="false" customHeight="false" outlineLevel="0" collapsed="false">
      <c r="A3472" s="4" t="str">
        <f aca="false">B3472&amp;"|"&amp;C3472</f>
        <v>tdbR00000532 Ile-CAU|5</v>
      </c>
      <c r="B3472" s="4" t="s">
        <v>85</v>
      </c>
      <c r="C3472" s="4" t="s">
        <v>417</v>
      </c>
      <c r="D3472" s="4" t="n">
        <v>5</v>
      </c>
      <c r="E3472" s="17" t="s">
        <v>197</v>
      </c>
      <c r="F3472" s="18" t="s">
        <v>412</v>
      </c>
    </row>
    <row r="3473" customFormat="false" ht="15" hidden="false" customHeight="false" outlineLevel="0" collapsed="false">
      <c r="A3473" s="4" t="str">
        <f aca="false">B3473&amp;"|"&amp;C3473</f>
        <v>tdbR00000532 Ile-CAU|6</v>
      </c>
      <c r="B3473" s="4" t="s">
        <v>85</v>
      </c>
      <c r="C3473" s="4" t="s">
        <v>418</v>
      </c>
      <c r="D3473" s="4" t="n">
        <v>6</v>
      </c>
      <c r="E3473" s="17" t="s">
        <v>246</v>
      </c>
      <c r="F3473" s="18" t="s">
        <v>412</v>
      </c>
    </row>
    <row r="3474" customFormat="false" ht="15" hidden="false" customHeight="false" outlineLevel="0" collapsed="false">
      <c r="A3474" s="4" t="str">
        <f aca="false">B3474&amp;"|"&amp;C3474</f>
        <v>tdbR00000532 Ile-CAU|7</v>
      </c>
      <c r="B3474" s="4" t="s">
        <v>85</v>
      </c>
      <c r="C3474" s="4" t="s">
        <v>419</v>
      </c>
      <c r="D3474" s="4" t="n">
        <v>7</v>
      </c>
      <c r="E3474" s="17" t="s">
        <v>197</v>
      </c>
      <c r="F3474" s="18" t="s">
        <v>412</v>
      </c>
    </row>
    <row r="3475" customFormat="false" ht="15" hidden="false" customHeight="false" outlineLevel="0" collapsed="false">
      <c r="A3475" s="4" t="str">
        <f aca="false">B3475&amp;"|"&amp;C3475</f>
        <v>tdbR00000532 Ile-CAU|8</v>
      </c>
      <c r="B3475" s="4" t="s">
        <v>85</v>
      </c>
      <c r="C3475" s="4" t="s">
        <v>420</v>
      </c>
      <c r="D3475" s="4" t="n">
        <v>8</v>
      </c>
      <c r="E3475" s="3" t="s">
        <v>259</v>
      </c>
      <c r="F3475" s="4" t="s">
        <v>421</v>
      </c>
    </row>
    <row r="3476" customFormat="false" ht="15" hidden="false" customHeight="false" outlineLevel="0" collapsed="false">
      <c r="A3476" s="4" t="str">
        <f aca="false">B3476&amp;"|"&amp;C3476</f>
        <v>tdbR00000532 Ile-CAU|9</v>
      </c>
      <c r="B3476" s="4" t="s">
        <v>85</v>
      </c>
      <c r="C3476" s="4" t="s">
        <v>422</v>
      </c>
      <c r="D3476" s="4" t="n">
        <v>9</v>
      </c>
      <c r="E3476" s="3" t="s">
        <v>197</v>
      </c>
      <c r="F3476" s="4" t="s">
        <v>423</v>
      </c>
    </row>
    <row r="3477" customFormat="false" ht="15" hidden="false" customHeight="false" outlineLevel="0" collapsed="false">
      <c r="A3477" s="4" t="str">
        <f aca="false">B3477&amp;"|"&amp;C3477</f>
        <v>tdbR00000532 Ile-CAU|10</v>
      </c>
      <c r="B3477" s="4" t="s">
        <v>85</v>
      </c>
      <c r="C3477" s="4" t="s">
        <v>424</v>
      </c>
      <c r="D3477" s="4" t="n">
        <v>10</v>
      </c>
      <c r="E3477" s="8" t="s">
        <v>197</v>
      </c>
      <c r="F3477" s="7" t="s">
        <v>425</v>
      </c>
    </row>
    <row r="3478" customFormat="false" ht="15" hidden="false" customHeight="false" outlineLevel="0" collapsed="false">
      <c r="A3478" s="4" t="str">
        <f aca="false">B3478&amp;"|"&amp;C3478</f>
        <v>tdbR00000532 Ile-CAU|11</v>
      </c>
      <c r="B3478" s="4" t="s">
        <v>85</v>
      </c>
      <c r="C3478" s="4" t="s">
        <v>426</v>
      </c>
      <c r="D3478" s="4" t="n">
        <v>11</v>
      </c>
      <c r="E3478" s="8" t="s">
        <v>414</v>
      </c>
      <c r="F3478" s="7" t="s">
        <v>425</v>
      </c>
    </row>
    <row r="3479" customFormat="false" ht="15" hidden="false" customHeight="false" outlineLevel="0" collapsed="false">
      <c r="A3479" s="4" t="str">
        <f aca="false">B3479&amp;"|"&amp;C3479</f>
        <v>tdbR00000532 Ile-CAU|12</v>
      </c>
      <c r="B3479" s="4" t="s">
        <v>85</v>
      </c>
      <c r="C3479" s="4" t="s">
        <v>427</v>
      </c>
      <c r="D3479" s="4" t="n">
        <v>12</v>
      </c>
      <c r="E3479" s="8" t="s">
        <v>197</v>
      </c>
      <c r="F3479" s="7" t="s">
        <v>425</v>
      </c>
    </row>
    <row r="3480" customFormat="false" ht="15" hidden="false" customHeight="false" outlineLevel="0" collapsed="false">
      <c r="A3480" s="4" t="str">
        <f aca="false">B3480&amp;"|"&amp;C3480</f>
        <v>tdbR00000532 Ile-CAU|13</v>
      </c>
      <c r="B3480" s="4" t="s">
        <v>85</v>
      </c>
      <c r="C3480" s="4" t="s">
        <v>428</v>
      </c>
      <c r="D3480" s="4" t="n">
        <v>13</v>
      </c>
      <c r="E3480" s="8" t="s">
        <v>414</v>
      </c>
      <c r="F3480" s="7" t="s">
        <v>425</v>
      </c>
    </row>
    <row r="3481" customFormat="false" ht="15" hidden="false" customHeight="false" outlineLevel="0" collapsed="false">
      <c r="A3481" s="4" t="str">
        <f aca="false">B3481&amp;"|"&amp;C3481</f>
        <v>tdbR00000532 Ile-CAU|14</v>
      </c>
      <c r="B3481" s="4" t="s">
        <v>85</v>
      </c>
      <c r="C3481" s="4" t="s">
        <v>429</v>
      </c>
      <c r="D3481" s="4" t="n">
        <v>14</v>
      </c>
      <c r="E3481" s="19" t="s">
        <v>246</v>
      </c>
      <c r="F3481" s="20" t="s">
        <v>430</v>
      </c>
    </row>
    <row r="3482" customFormat="false" ht="15" hidden="false" customHeight="false" outlineLevel="0" collapsed="false">
      <c r="A3482" s="4" t="str">
        <f aca="false">B3482&amp;"|"&amp;C3482</f>
        <v>tdbR00000532 Ile-CAU|15</v>
      </c>
      <c r="B3482" s="4" t="s">
        <v>85</v>
      </c>
      <c r="C3482" s="4" t="s">
        <v>431</v>
      </c>
      <c r="D3482" s="4" t="n">
        <v>15</v>
      </c>
      <c r="E3482" s="19" t="s">
        <v>197</v>
      </c>
      <c r="F3482" s="20" t="s">
        <v>430</v>
      </c>
    </row>
    <row r="3483" customFormat="false" ht="15" hidden="false" customHeight="false" outlineLevel="0" collapsed="false">
      <c r="A3483" s="4" t="str">
        <f aca="false">B3483&amp;"|"&amp;C3483</f>
        <v>tdbR00000532 Ile-CAU|16</v>
      </c>
      <c r="B3483" s="4" t="s">
        <v>85</v>
      </c>
      <c r="C3483" s="4" t="s">
        <v>432</v>
      </c>
      <c r="D3483" s="4" t="n">
        <v>16</v>
      </c>
      <c r="E3483" s="19" t="s">
        <v>414</v>
      </c>
      <c r="F3483" s="20" t="s">
        <v>430</v>
      </c>
    </row>
    <row r="3484" customFormat="false" ht="15" hidden="false" customHeight="false" outlineLevel="0" collapsed="false">
      <c r="A3484" s="4" t="str">
        <f aca="false">B3484&amp;"|"&amp;C3484</f>
        <v>tdbR00000532 Ile-CAU|18</v>
      </c>
      <c r="B3484" s="4" t="s">
        <v>85</v>
      </c>
      <c r="C3484" s="4" t="s">
        <v>434</v>
      </c>
      <c r="D3484" s="4" t="n">
        <v>17</v>
      </c>
      <c r="E3484" s="19" t="s">
        <v>197</v>
      </c>
      <c r="F3484" s="20" t="s">
        <v>430</v>
      </c>
    </row>
    <row r="3485" customFormat="false" ht="15" hidden="false" customHeight="false" outlineLevel="0" collapsed="false">
      <c r="A3485" s="4" t="str">
        <f aca="false">B3485&amp;"|"&amp;C3485</f>
        <v>tdbR00000532 Ile-CAU|19</v>
      </c>
      <c r="B3485" s="4" t="s">
        <v>85</v>
      </c>
      <c r="C3485" s="4" t="s">
        <v>435</v>
      </c>
      <c r="D3485" s="4" t="n">
        <v>18</v>
      </c>
      <c r="E3485" s="19" t="s">
        <v>197</v>
      </c>
      <c r="F3485" s="20" t="s">
        <v>430</v>
      </c>
    </row>
    <row r="3486" customFormat="false" ht="15" hidden="false" customHeight="false" outlineLevel="0" collapsed="false">
      <c r="A3486" s="4" t="str">
        <f aca="false">B3486&amp;"|"&amp;C3486</f>
        <v>tdbR00000532 Ile-CAU|20</v>
      </c>
      <c r="B3486" s="4" t="s">
        <v>85</v>
      </c>
      <c r="C3486" s="4" t="s">
        <v>436</v>
      </c>
      <c r="D3486" s="4" t="n">
        <v>19</v>
      </c>
      <c r="E3486" s="19" t="s">
        <v>246</v>
      </c>
      <c r="F3486" s="20" t="s">
        <v>430</v>
      </c>
    </row>
    <row r="3487" customFormat="false" ht="15" hidden="false" customHeight="false" outlineLevel="0" collapsed="false">
      <c r="A3487" s="4" t="str">
        <f aca="false">B3487&amp;"|"&amp;C3487</f>
        <v>tdbR00000532 Ile-CAU|21</v>
      </c>
      <c r="B3487" s="4" t="s">
        <v>85</v>
      </c>
      <c r="C3487" s="4" t="s">
        <v>438</v>
      </c>
      <c r="D3487" s="4" t="n">
        <v>20</v>
      </c>
      <c r="E3487" s="19" t="s">
        <v>246</v>
      </c>
      <c r="F3487" s="20" t="s">
        <v>430</v>
      </c>
    </row>
    <row r="3488" customFormat="false" ht="15" hidden="false" customHeight="false" outlineLevel="0" collapsed="false">
      <c r="A3488" s="4" t="str">
        <f aca="false">B3488&amp;"|"&amp;C3488</f>
        <v>tdbR00000532 Ile-CAU|22</v>
      </c>
      <c r="B3488" s="4" t="s">
        <v>85</v>
      </c>
      <c r="C3488" s="4" t="s">
        <v>439</v>
      </c>
      <c r="D3488" s="4" t="n">
        <v>21</v>
      </c>
      <c r="E3488" s="8" t="s">
        <v>197</v>
      </c>
      <c r="F3488" s="7" t="s">
        <v>425</v>
      </c>
    </row>
    <row r="3489" customFormat="false" ht="15" hidden="false" customHeight="false" outlineLevel="0" collapsed="false">
      <c r="A3489" s="4" t="str">
        <f aca="false">B3489&amp;"|"&amp;C3489</f>
        <v>tdbR00000532 Ile-CAU|23</v>
      </c>
      <c r="B3489" s="4" t="s">
        <v>85</v>
      </c>
      <c r="C3489" s="4" t="s">
        <v>440</v>
      </c>
      <c r="D3489" s="4" t="n">
        <v>22</v>
      </c>
      <c r="E3489" s="8" t="s">
        <v>414</v>
      </c>
      <c r="F3489" s="7" t="s">
        <v>425</v>
      </c>
    </row>
    <row r="3490" customFormat="false" ht="15" hidden="false" customHeight="false" outlineLevel="0" collapsed="false">
      <c r="A3490" s="4" t="str">
        <f aca="false">B3490&amp;"|"&amp;C3490</f>
        <v>tdbR00000532 Ile-CAU|24</v>
      </c>
      <c r="B3490" s="4" t="s">
        <v>85</v>
      </c>
      <c r="C3490" s="4" t="s">
        <v>441</v>
      </c>
      <c r="D3490" s="4" t="n">
        <v>23</v>
      </c>
      <c r="E3490" s="8" t="s">
        <v>197</v>
      </c>
      <c r="F3490" s="7" t="s">
        <v>425</v>
      </c>
    </row>
    <row r="3491" customFormat="false" ht="15" hidden="false" customHeight="false" outlineLevel="0" collapsed="false">
      <c r="A3491" s="4" t="str">
        <f aca="false">B3491&amp;"|"&amp;C3491</f>
        <v>tdbR00000532 Ile-CAU|25</v>
      </c>
      <c r="B3491" s="4" t="s">
        <v>85</v>
      </c>
      <c r="C3491" s="4" t="s">
        <v>442</v>
      </c>
      <c r="D3491" s="4" t="n">
        <v>24</v>
      </c>
      <c r="E3491" s="8" t="s">
        <v>259</v>
      </c>
      <c r="F3491" s="7" t="s">
        <v>425</v>
      </c>
    </row>
    <row r="3492" customFormat="false" ht="15" hidden="false" customHeight="false" outlineLevel="0" collapsed="false">
      <c r="A3492" s="4" t="str">
        <f aca="false">B3492&amp;"|"&amp;C3492</f>
        <v>tdbR00000532 Ile-CAU|26</v>
      </c>
      <c r="B3492" s="4" t="s">
        <v>85</v>
      </c>
      <c r="C3492" s="4" t="s">
        <v>443</v>
      </c>
      <c r="D3492" s="4" t="n">
        <v>25</v>
      </c>
      <c r="E3492" s="3" t="s">
        <v>197</v>
      </c>
      <c r="F3492" s="4" t="s">
        <v>444</v>
      </c>
    </row>
    <row r="3493" customFormat="false" ht="15" hidden="false" customHeight="false" outlineLevel="0" collapsed="false">
      <c r="A3493" s="4" t="str">
        <f aca="false">B3493&amp;"|"&amp;C3493</f>
        <v>tdbR00000532 Ile-CAU|27</v>
      </c>
      <c r="B3493" s="4" t="s">
        <v>85</v>
      </c>
      <c r="C3493" s="4" t="s">
        <v>445</v>
      </c>
      <c r="D3493" s="4" t="n">
        <v>26</v>
      </c>
      <c r="E3493" s="21" t="s">
        <v>414</v>
      </c>
      <c r="F3493" s="22" t="s">
        <v>446</v>
      </c>
    </row>
    <row r="3494" customFormat="false" ht="15" hidden="false" customHeight="false" outlineLevel="0" collapsed="false">
      <c r="A3494" s="4" t="str">
        <f aca="false">B3494&amp;"|"&amp;C3494</f>
        <v>tdbR00000532 Ile-CAU|28</v>
      </c>
      <c r="B3494" s="4" t="s">
        <v>85</v>
      </c>
      <c r="C3494" s="4" t="s">
        <v>447</v>
      </c>
      <c r="D3494" s="4" t="n">
        <v>27</v>
      </c>
      <c r="E3494" s="21" t="s">
        <v>259</v>
      </c>
      <c r="F3494" s="22" t="s">
        <v>446</v>
      </c>
    </row>
    <row r="3495" customFormat="false" ht="15" hidden="false" customHeight="false" outlineLevel="0" collapsed="false">
      <c r="A3495" s="4" t="str">
        <f aca="false">B3495&amp;"|"&amp;C3495</f>
        <v>tdbR00000532 Ile-CAU|29</v>
      </c>
      <c r="B3495" s="4" t="s">
        <v>85</v>
      </c>
      <c r="C3495" s="4" t="s">
        <v>448</v>
      </c>
      <c r="D3495" s="4" t="n">
        <v>28</v>
      </c>
      <c r="E3495" s="21" t="s">
        <v>197</v>
      </c>
      <c r="F3495" s="22" t="s">
        <v>446</v>
      </c>
    </row>
    <row r="3496" customFormat="false" ht="15" hidden="false" customHeight="false" outlineLevel="0" collapsed="false">
      <c r="A3496" s="4" t="str">
        <f aca="false">B3496&amp;"|"&amp;C3496</f>
        <v>tdbR00000532 Ile-CAU|30</v>
      </c>
      <c r="B3496" s="4" t="s">
        <v>85</v>
      </c>
      <c r="C3496" s="4" t="s">
        <v>449</v>
      </c>
      <c r="D3496" s="4" t="n">
        <v>29</v>
      </c>
      <c r="E3496" s="21" t="s">
        <v>197</v>
      </c>
      <c r="F3496" s="22" t="s">
        <v>446</v>
      </c>
    </row>
    <row r="3497" customFormat="false" ht="15" hidden="false" customHeight="false" outlineLevel="0" collapsed="false">
      <c r="A3497" s="4" t="str">
        <f aca="false">B3497&amp;"|"&amp;C3497</f>
        <v>tdbR00000532 Ile-CAU|31</v>
      </c>
      <c r="B3497" s="4" t="s">
        <v>85</v>
      </c>
      <c r="C3497" s="4" t="s">
        <v>450</v>
      </c>
      <c r="D3497" s="4" t="n">
        <v>30</v>
      </c>
      <c r="E3497" s="21" t="s">
        <v>197</v>
      </c>
      <c r="F3497" s="22" t="s">
        <v>446</v>
      </c>
    </row>
    <row r="3498" customFormat="false" ht="15" hidden="false" customHeight="false" outlineLevel="0" collapsed="false">
      <c r="A3498" s="4" t="str">
        <f aca="false">B3498&amp;"|"&amp;C3498</f>
        <v>tdbR00000532 Ile-CAU|32</v>
      </c>
      <c r="B3498" s="4" t="s">
        <v>85</v>
      </c>
      <c r="C3498" s="4" t="s">
        <v>451</v>
      </c>
      <c r="D3498" s="4" t="n">
        <v>31</v>
      </c>
      <c r="E3498" s="19" t="s">
        <v>414</v>
      </c>
      <c r="F3498" s="20" t="s">
        <v>452</v>
      </c>
    </row>
    <row r="3499" customFormat="false" ht="15" hidden="false" customHeight="false" outlineLevel="0" collapsed="false">
      <c r="A3499" s="4" t="str">
        <f aca="false">B3499&amp;"|"&amp;C3499</f>
        <v>tdbR00000532 Ile-CAU|33</v>
      </c>
      <c r="B3499" s="4" t="s">
        <v>85</v>
      </c>
      <c r="C3499" s="4" t="s">
        <v>453</v>
      </c>
      <c r="D3499" s="4" t="n">
        <v>32</v>
      </c>
      <c r="E3499" s="19" t="s">
        <v>414</v>
      </c>
      <c r="F3499" s="20" t="s">
        <v>452</v>
      </c>
    </row>
    <row r="3500" customFormat="false" ht="15" hidden="false" customHeight="false" outlineLevel="0" collapsed="false">
      <c r="A3500" s="4" t="str">
        <f aca="false">B3500&amp;"|"&amp;C3500</f>
        <v>tdbR00000532 Ile-CAU|34</v>
      </c>
      <c r="B3500" s="4" t="s">
        <v>85</v>
      </c>
      <c r="C3500" s="4" t="s">
        <v>454</v>
      </c>
      <c r="D3500" s="4" t="n">
        <v>33</v>
      </c>
      <c r="E3500" s="19" t="s">
        <v>414</v>
      </c>
      <c r="F3500" s="20" t="s">
        <v>452</v>
      </c>
    </row>
    <row r="3501" customFormat="false" ht="15" hidden="false" customHeight="false" outlineLevel="0" collapsed="false">
      <c r="A3501" s="4" t="str">
        <f aca="false">B3501&amp;"|"&amp;C3501</f>
        <v>tdbR00000532 Ile-CAU|35</v>
      </c>
      <c r="B3501" s="4" t="s">
        <v>85</v>
      </c>
      <c r="C3501" s="4" t="s">
        <v>455</v>
      </c>
      <c r="D3501" s="4" t="n">
        <v>34</v>
      </c>
      <c r="E3501" s="19" t="s">
        <v>246</v>
      </c>
      <c r="F3501" s="20" t="s">
        <v>452</v>
      </c>
    </row>
    <row r="3502" customFormat="false" ht="15" hidden="false" customHeight="false" outlineLevel="0" collapsed="false">
      <c r="A3502" s="4" t="str">
        <f aca="false">B3502&amp;"|"&amp;C3502</f>
        <v>tdbR00000532 Ile-CAU|36</v>
      </c>
      <c r="B3502" s="4" t="s">
        <v>85</v>
      </c>
      <c r="C3502" s="4" t="s">
        <v>456</v>
      </c>
      <c r="D3502" s="4" t="n">
        <v>35</v>
      </c>
      <c r="E3502" s="19" t="s">
        <v>259</v>
      </c>
      <c r="F3502" s="20" t="s">
        <v>452</v>
      </c>
    </row>
    <row r="3503" customFormat="false" ht="15" hidden="false" customHeight="false" outlineLevel="0" collapsed="false">
      <c r="A3503" s="4" t="str">
        <f aca="false">B3503&amp;"|"&amp;C3503</f>
        <v>tdbR00000532 Ile-CAU|37</v>
      </c>
      <c r="B3503" s="4" t="s">
        <v>85</v>
      </c>
      <c r="C3503" s="4" t="s">
        <v>457</v>
      </c>
      <c r="D3503" s="4" t="n">
        <v>36</v>
      </c>
      <c r="E3503" s="19" t="s">
        <v>246</v>
      </c>
      <c r="F3503" s="20" t="s">
        <v>452</v>
      </c>
    </row>
    <row r="3504" customFormat="false" ht="15" hidden="false" customHeight="false" outlineLevel="0" collapsed="false">
      <c r="A3504" s="4" t="str">
        <f aca="false">B3504&amp;"|"&amp;C3504</f>
        <v>tdbR00000532 Ile-CAU|38</v>
      </c>
      <c r="B3504" s="4" t="s">
        <v>85</v>
      </c>
      <c r="C3504" s="4" t="s">
        <v>458</v>
      </c>
      <c r="D3504" s="4" t="n">
        <v>37</v>
      </c>
      <c r="E3504" s="19" t="s">
        <v>246</v>
      </c>
      <c r="F3504" s="20" t="s">
        <v>452</v>
      </c>
    </row>
    <row r="3505" customFormat="false" ht="15" hidden="false" customHeight="false" outlineLevel="0" collapsed="false">
      <c r="A3505" s="4" t="str">
        <f aca="false">B3505&amp;"|"&amp;C3505</f>
        <v>tdbR00000532 Ile-CAU|39</v>
      </c>
      <c r="B3505" s="4" t="s">
        <v>85</v>
      </c>
      <c r="C3505" s="4" t="s">
        <v>459</v>
      </c>
      <c r="D3505" s="4" t="n">
        <v>38</v>
      </c>
      <c r="E3505" s="21" t="s">
        <v>414</v>
      </c>
      <c r="F3505" s="22" t="s">
        <v>446</v>
      </c>
    </row>
    <row r="3506" customFormat="false" ht="15" hidden="false" customHeight="false" outlineLevel="0" collapsed="false">
      <c r="A3506" s="4" t="str">
        <f aca="false">B3506&amp;"|"&amp;C3506</f>
        <v>tdbR00000532 Ile-CAU|40</v>
      </c>
      <c r="B3506" s="4" t="s">
        <v>85</v>
      </c>
      <c r="C3506" s="4" t="s">
        <v>460</v>
      </c>
      <c r="D3506" s="4" t="n">
        <v>39</v>
      </c>
      <c r="E3506" s="21" t="s">
        <v>414</v>
      </c>
      <c r="F3506" s="22" t="s">
        <v>446</v>
      </c>
    </row>
    <row r="3507" customFormat="false" ht="15" hidden="false" customHeight="false" outlineLevel="0" collapsed="false">
      <c r="A3507" s="4" t="str">
        <f aca="false">B3507&amp;"|"&amp;C3507</f>
        <v>tdbR00000532 Ile-CAU|41</v>
      </c>
      <c r="B3507" s="4" t="s">
        <v>85</v>
      </c>
      <c r="C3507" s="4" t="s">
        <v>461</v>
      </c>
      <c r="D3507" s="4" t="n">
        <v>40</v>
      </c>
      <c r="E3507" s="21" t="s">
        <v>414</v>
      </c>
      <c r="F3507" s="22" t="s">
        <v>446</v>
      </c>
    </row>
    <row r="3508" customFormat="false" ht="15" hidden="false" customHeight="false" outlineLevel="0" collapsed="false">
      <c r="A3508" s="4" t="str">
        <f aca="false">B3508&amp;"|"&amp;C3508</f>
        <v>tdbR00000532 Ile-CAU|42</v>
      </c>
      <c r="B3508" s="4" t="s">
        <v>85</v>
      </c>
      <c r="C3508" s="4" t="s">
        <v>462</v>
      </c>
      <c r="D3508" s="4" t="n">
        <v>41</v>
      </c>
      <c r="E3508" s="21" t="s">
        <v>246</v>
      </c>
      <c r="F3508" s="22" t="s">
        <v>446</v>
      </c>
    </row>
    <row r="3509" customFormat="false" ht="15" hidden="false" customHeight="false" outlineLevel="0" collapsed="false">
      <c r="A3509" s="4" t="str">
        <f aca="false">B3509&amp;"|"&amp;C3509</f>
        <v>tdbR00000532 Ile-CAU|43</v>
      </c>
      <c r="B3509" s="4" t="s">
        <v>85</v>
      </c>
      <c r="C3509" s="4" t="s">
        <v>463</v>
      </c>
      <c r="D3509" s="4" t="n">
        <v>42</v>
      </c>
      <c r="E3509" s="21" t="s">
        <v>197</v>
      </c>
      <c r="F3509" s="22" t="s">
        <v>446</v>
      </c>
    </row>
    <row r="3510" customFormat="false" ht="15" hidden="false" customHeight="false" outlineLevel="0" collapsed="false">
      <c r="A3510" s="4" t="str">
        <f aca="false">B3510&amp;"|"&amp;C3510</f>
        <v>tdbR00000532 Ile-CAU|44</v>
      </c>
      <c r="B3510" s="4" t="s">
        <v>85</v>
      </c>
      <c r="C3510" s="4" t="s">
        <v>464</v>
      </c>
      <c r="D3510" s="4" t="n">
        <v>43</v>
      </c>
      <c r="E3510" s="19" t="s">
        <v>246</v>
      </c>
      <c r="F3510" s="20" t="s">
        <v>465</v>
      </c>
    </row>
    <row r="3511" customFormat="false" ht="15" hidden="false" customHeight="false" outlineLevel="0" collapsed="false">
      <c r="A3511" s="4" t="str">
        <f aca="false">B3511&amp;"|"&amp;C3511</f>
        <v>tdbR00000532 Ile-CAU|45</v>
      </c>
      <c r="B3511" s="4" t="s">
        <v>85</v>
      </c>
      <c r="C3511" s="4" t="s">
        <v>466</v>
      </c>
      <c r="D3511" s="4" t="n">
        <v>44</v>
      </c>
      <c r="E3511" s="19" t="s">
        <v>197</v>
      </c>
      <c r="F3511" s="20" t="s">
        <v>465</v>
      </c>
    </row>
    <row r="3512" customFormat="false" ht="15" hidden="false" customHeight="false" outlineLevel="0" collapsed="false">
      <c r="A3512" s="4" t="str">
        <f aca="false">B3512&amp;"|"&amp;C3512</f>
        <v>tdbR00000532 Ile-CAU|46</v>
      </c>
      <c r="B3512" s="4" t="s">
        <v>85</v>
      </c>
      <c r="C3512" s="4" t="s">
        <v>467</v>
      </c>
      <c r="D3512" s="4" t="n">
        <v>45</v>
      </c>
      <c r="E3512" s="19" t="s">
        <v>197</v>
      </c>
      <c r="F3512" s="20" t="s">
        <v>465</v>
      </c>
    </row>
    <row r="3513" customFormat="false" ht="15" hidden="false" customHeight="false" outlineLevel="0" collapsed="false">
      <c r="A3513" s="4" t="str">
        <f aca="false">B3513&amp;"|"&amp;C3513</f>
        <v>tdbR00000532 Ile-CAU|47</v>
      </c>
      <c r="B3513" s="4" t="s">
        <v>85</v>
      </c>
      <c r="C3513" s="4" t="s">
        <v>468</v>
      </c>
      <c r="D3513" s="4" t="n">
        <v>46</v>
      </c>
      <c r="E3513" s="19" t="s">
        <v>259</v>
      </c>
      <c r="F3513" s="20" t="s">
        <v>465</v>
      </c>
    </row>
    <row r="3514" customFormat="false" ht="15" hidden="false" customHeight="false" outlineLevel="0" collapsed="false">
      <c r="A3514" s="4" t="str">
        <f aca="false">B3514&amp;"|"&amp;C3514</f>
        <v>tdbR00000532 Ile-CAU|48</v>
      </c>
      <c r="B3514" s="4" t="s">
        <v>85</v>
      </c>
      <c r="C3514" s="4" t="s">
        <v>469</v>
      </c>
      <c r="D3514" s="4" t="n">
        <v>47</v>
      </c>
      <c r="E3514" s="19" t="s">
        <v>414</v>
      </c>
      <c r="F3514" s="20" t="s">
        <v>465</v>
      </c>
    </row>
    <row r="3515" customFormat="false" ht="15" hidden="false" customHeight="false" outlineLevel="0" collapsed="false">
      <c r="A3515" s="4" t="str">
        <f aca="false">B3515&amp;"|"&amp;C3515</f>
        <v>tdbR00000532 Ile-CAU|49</v>
      </c>
      <c r="B3515" s="4" t="s">
        <v>85</v>
      </c>
      <c r="C3515" s="4" t="s">
        <v>470</v>
      </c>
      <c r="D3515" s="4" t="n">
        <v>48</v>
      </c>
      <c r="E3515" s="23" t="s">
        <v>197</v>
      </c>
      <c r="F3515" s="10" t="s">
        <v>471</v>
      </c>
    </row>
    <row r="3516" customFormat="false" ht="15" hidden="false" customHeight="false" outlineLevel="0" collapsed="false">
      <c r="A3516" s="4" t="str">
        <f aca="false">B3516&amp;"|"&amp;C3516</f>
        <v>tdbR00000532 Ile-CAU|50</v>
      </c>
      <c r="B3516" s="4" t="s">
        <v>85</v>
      </c>
      <c r="C3516" s="4" t="s">
        <v>472</v>
      </c>
      <c r="D3516" s="4" t="n">
        <v>49</v>
      </c>
      <c r="E3516" s="23" t="s">
        <v>246</v>
      </c>
      <c r="F3516" s="10" t="s">
        <v>471</v>
      </c>
    </row>
    <row r="3517" customFormat="false" ht="15" hidden="false" customHeight="false" outlineLevel="0" collapsed="false">
      <c r="A3517" s="4" t="str">
        <f aca="false">B3517&amp;"|"&amp;C3517</f>
        <v>tdbR00000532 Ile-CAU|51</v>
      </c>
      <c r="B3517" s="4" t="s">
        <v>85</v>
      </c>
      <c r="C3517" s="4" t="s">
        <v>473</v>
      </c>
      <c r="D3517" s="4" t="n">
        <v>50</v>
      </c>
      <c r="E3517" s="23" t="s">
        <v>259</v>
      </c>
      <c r="F3517" s="10" t="s">
        <v>471</v>
      </c>
    </row>
    <row r="3518" customFormat="false" ht="15" hidden="false" customHeight="false" outlineLevel="0" collapsed="false">
      <c r="A3518" s="4" t="str">
        <f aca="false">B3518&amp;"|"&amp;C3518</f>
        <v>tdbR00000532 Ile-CAU|52</v>
      </c>
      <c r="B3518" s="4" t="s">
        <v>85</v>
      </c>
      <c r="C3518" s="4" t="s">
        <v>474</v>
      </c>
      <c r="D3518" s="4" t="n">
        <v>51</v>
      </c>
      <c r="E3518" s="23" t="s">
        <v>197</v>
      </c>
      <c r="F3518" s="10" t="s">
        <v>471</v>
      </c>
    </row>
    <row r="3519" customFormat="false" ht="15" hidden="false" customHeight="false" outlineLevel="0" collapsed="false">
      <c r="A3519" s="4" t="str">
        <f aca="false">B3519&amp;"|"&amp;C3519</f>
        <v>tdbR00000532 Ile-CAU|53</v>
      </c>
      <c r="B3519" s="4" t="s">
        <v>85</v>
      </c>
      <c r="C3519" s="4" t="s">
        <v>475</v>
      </c>
      <c r="D3519" s="4" t="n">
        <v>52</v>
      </c>
      <c r="E3519" s="23" t="s">
        <v>197</v>
      </c>
      <c r="F3519" s="10" t="s">
        <v>471</v>
      </c>
    </row>
    <row r="3520" customFormat="false" ht="15" hidden="false" customHeight="false" outlineLevel="0" collapsed="false">
      <c r="A3520" s="4" t="str">
        <f aca="false">B3520&amp;"|"&amp;C3520</f>
        <v>tdbR00000532 Ile-CAU|54</v>
      </c>
      <c r="B3520" s="4" t="s">
        <v>85</v>
      </c>
      <c r="C3520" s="4" t="s">
        <v>476</v>
      </c>
      <c r="D3520" s="4" t="n">
        <v>53</v>
      </c>
      <c r="E3520" s="19" t="s">
        <v>246</v>
      </c>
      <c r="F3520" s="20" t="s">
        <v>477</v>
      </c>
    </row>
    <row r="3521" customFormat="false" ht="15" hidden="false" customHeight="false" outlineLevel="0" collapsed="false">
      <c r="A3521" s="4" t="str">
        <f aca="false">B3521&amp;"|"&amp;C3521</f>
        <v>tdbR00000532 Ile-CAU|55</v>
      </c>
      <c r="B3521" s="4" t="s">
        <v>85</v>
      </c>
      <c r="C3521" s="4" t="s">
        <v>478</v>
      </c>
      <c r="D3521" s="4" t="n">
        <v>54</v>
      </c>
      <c r="E3521" s="19" t="s">
        <v>259</v>
      </c>
      <c r="F3521" s="20" t="s">
        <v>477</v>
      </c>
    </row>
    <row r="3522" customFormat="false" ht="15" hidden="false" customHeight="false" outlineLevel="0" collapsed="false">
      <c r="A3522" s="4" t="str">
        <f aca="false">B3522&amp;"|"&amp;C3522</f>
        <v>tdbR00000532 Ile-CAU|56</v>
      </c>
      <c r="B3522" s="4" t="s">
        <v>85</v>
      </c>
      <c r="C3522" s="4" t="s">
        <v>479</v>
      </c>
      <c r="D3522" s="4" t="n">
        <v>55</v>
      </c>
      <c r="E3522" s="19" t="s">
        <v>414</v>
      </c>
      <c r="F3522" s="20" t="s">
        <v>477</v>
      </c>
    </row>
    <row r="3523" customFormat="false" ht="15" hidden="false" customHeight="false" outlineLevel="0" collapsed="false">
      <c r="A3523" s="4" t="str">
        <f aca="false">B3523&amp;"|"&amp;C3523</f>
        <v>tdbR00000532 Ile-CAU|57</v>
      </c>
      <c r="B3523" s="4" t="s">
        <v>85</v>
      </c>
      <c r="C3523" s="4" t="s">
        <v>480</v>
      </c>
      <c r="D3523" s="4" t="n">
        <v>56</v>
      </c>
      <c r="E3523" s="19" t="s">
        <v>197</v>
      </c>
      <c r="F3523" s="20" t="s">
        <v>477</v>
      </c>
    </row>
    <row r="3524" customFormat="false" ht="15" hidden="false" customHeight="false" outlineLevel="0" collapsed="false">
      <c r="A3524" s="4" t="str">
        <f aca="false">B3524&amp;"|"&amp;C3524</f>
        <v>tdbR00000532 Ile-CAU|58</v>
      </c>
      <c r="B3524" s="4" t="s">
        <v>85</v>
      </c>
      <c r="C3524" s="4" t="s">
        <v>481</v>
      </c>
      <c r="D3524" s="4" t="n">
        <v>57</v>
      </c>
      <c r="E3524" s="19" t="s">
        <v>246</v>
      </c>
      <c r="F3524" s="20" t="s">
        <v>477</v>
      </c>
    </row>
    <row r="3525" customFormat="false" ht="15" hidden="false" customHeight="false" outlineLevel="0" collapsed="false">
      <c r="A3525" s="4" t="str">
        <f aca="false">B3525&amp;"|"&amp;C3525</f>
        <v>tdbR00000532 Ile-CAU|59</v>
      </c>
      <c r="B3525" s="4" t="s">
        <v>85</v>
      </c>
      <c r="C3525" s="4" t="s">
        <v>482</v>
      </c>
      <c r="D3525" s="4" t="n">
        <v>58</v>
      </c>
      <c r="E3525" s="19" t="s">
        <v>246</v>
      </c>
      <c r="F3525" s="20" t="s">
        <v>477</v>
      </c>
    </row>
    <row r="3526" customFormat="false" ht="15" hidden="false" customHeight="false" outlineLevel="0" collapsed="false">
      <c r="A3526" s="4" t="str">
        <f aca="false">B3526&amp;"|"&amp;C3526</f>
        <v>tdbR00000532 Ile-CAU|60</v>
      </c>
      <c r="B3526" s="4" t="s">
        <v>85</v>
      </c>
      <c r="C3526" s="4" t="s">
        <v>483</v>
      </c>
      <c r="D3526" s="4" t="n">
        <v>59</v>
      </c>
      <c r="E3526" s="19" t="s">
        <v>246</v>
      </c>
      <c r="F3526" s="20" t="s">
        <v>477</v>
      </c>
    </row>
    <row r="3527" customFormat="false" ht="15" hidden="false" customHeight="false" outlineLevel="0" collapsed="false">
      <c r="A3527" s="4" t="str">
        <f aca="false">B3527&amp;"|"&amp;C3527</f>
        <v>tdbR00000532 Ile-CAU|61</v>
      </c>
      <c r="B3527" s="4" t="s">
        <v>85</v>
      </c>
      <c r="C3527" s="4" t="s">
        <v>484</v>
      </c>
      <c r="D3527" s="4" t="n">
        <v>60</v>
      </c>
      <c r="E3527" s="23" t="s">
        <v>414</v>
      </c>
      <c r="F3527" s="10" t="s">
        <v>471</v>
      </c>
    </row>
    <row r="3528" customFormat="false" ht="15" hidden="false" customHeight="false" outlineLevel="0" collapsed="false">
      <c r="A3528" s="4" t="str">
        <f aca="false">B3528&amp;"|"&amp;C3528</f>
        <v>tdbR00000532 Ile-CAU|62</v>
      </c>
      <c r="B3528" s="4" t="s">
        <v>85</v>
      </c>
      <c r="C3528" s="4" t="s">
        <v>485</v>
      </c>
      <c r="D3528" s="4" t="n">
        <v>61</v>
      </c>
      <c r="E3528" s="23" t="s">
        <v>414</v>
      </c>
      <c r="F3528" s="10" t="s">
        <v>471</v>
      </c>
    </row>
    <row r="3529" customFormat="false" ht="15" hidden="false" customHeight="false" outlineLevel="0" collapsed="false">
      <c r="A3529" s="4" t="str">
        <f aca="false">B3529&amp;"|"&amp;C3529</f>
        <v>tdbR00000532 Ile-CAU|63</v>
      </c>
      <c r="B3529" s="4" t="s">
        <v>85</v>
      </c>
      <c r="C3529" s="4" t="s">
        <v>486</v>
      </c>
      <c r="D3529" s="4" t="n">
        <v>62</v>
      </c>
      <c r="E3529" s="23" t="s">
        <v>246</v>
      </c>
      <c r="F3529" s="10" t="s">
        <v>471</v>
      </c>
    </row>
    <row r="3530" customFormat="false" ht="15" hidden="false" customHeight="false" outlineLevel="0" collapsed="false">
      <c r="A3530" s="4" t="str">
        <f aca="false">B3530&amp;"|"&amp;C3530</f>
        <v>tdbR00000532 Ile-CAU|64</v>
      </c>
      <c r="B3530" s="4" t="s">
        <v>85</v>
      </c>
      <c r="C3530" s="4" t="s">
        <v>487</v>
      </c>
      <c r="D3530" s="4" t="n">
        <v>63</v>
      </c>
      <c r="E3530" s="23" t="s">
        <v>259</v>
      </c>
      <c r="F3530" s="10" t="s">
        <v>471</v>
      </c>
    </row>
    <row r="3531" customFormat="false" ht="15" hidden="false" customHeight="false" outlineLevel="0" collapsed="false">
      <c r="A3531" s="4" t="str">
        <f aca="false">B3531&amp;"|"&amp;C3531</f>
        <v>tdbR00000532 Ile-CAU|65</v>
      </c>
      <c r="B3531" s="4" t="s">
        <v>85</v>
      </c>
      <c r="C3531" s="4" t="s">
        <v>488</v>
      </c>
      <c r="D3531" s="4" t="n">
        <v>64</v>
      </c>
      <c r="E3531" s="23" t="s">
        <v>414</v>
      </c>
      <c r="F3531" s="10" t="s">
        <v>471</v>
      </c>
    </row>
    <row r="3532" customFormat="false" ht="15" hidden="false" customHeight="false" outlineLevel="0" collapsed="false">
      <c r="A3532" s="4" t="str">
        <f aca="false">B3532&amp;"|"&amp;C3532</f>
        <v>tdbR00000532 Ile-CAU|66</v>
      </c>
      <c r="B3532" s="4" t="s">
        <v>85</v>
      </c>
      <c r="C3532" s="4" t="s">
        <v>489</v>
      </c>
      <c r="D3532" s="4" t="n">
        <v>65</v>
      </c>
      <c r="E3532" s="17" t="s">
        <v>414</v>
      </c>
      <c r="F3532" s="18" t="s">
        <v>412</v>
      </c>
    </row>
    <row r="3533" customFormat="false" ht="15" hidden="false" customHeight="false" outlineLevel="0" collapsed="false">
      <c r="A3533" s="4" t="str">
        <f aca="false">B3533&amp;"|"&amp;C3533</f>
        <v>tdbR00000532 Ile-CAU|67</v>
      </c>
      <c r="B3533" s="4" t="s">
        <v>85</v>
      </c>
      <c r="C3533" s="4" t="s">
        <v>490</v>
      </c>
      <c r="D3533" s="4" t="n">
        <v>66</v>
      </c>
      <c r="E3533" s="17" t="s">
        <v>259</v>
      </c>
      <c r="F3533" s="18" t="s">
        <v>412</v>
      </c>
    </row>
    <row r="3534" customFormat="false" ht="15" hidden="false" customHeight="false" outlineLevel="0" collapsed="false">
      <c r="A3534" s="4" t="str">
        <f aca="false">B3534&amp;"|"&amp;C3534</f>
        <v>tdbR00000532 Ile-CAU|68</v>
      </c>
      <c r="B3534" s="4" t="s">
        <v>85</v>
      </c>
      <c r="C3534" s="4" t="s">
        <v>491</v>
      </c>
      <c r="D3534" s="4" t="n">
        <v>67</v>
      </c>
      <c r="E3534" s="17" t="s">
        <v>414</v>
      </c>
      <c r="F3534" s="18" t="s">
        <v>412</v>
      </c>
    </row>
    <row r="3535" customFormat="false" ht="15" hidden="false" customHeight="false" outlineLevel="0" collapsed="false">
      <c r="A3535" s="4" t="str">
        <f aca="false">B3535&amp;"|"&amp;C3535</f>
        <v>tdbR00000532 Ile-CAU|69</v>
      </c>
      <c r="B3535" s="4" t="s">
        <v>85</v>
      </c>
      <c r="C3535" s="4" t="s">
        <v>492</v>
      </c>
      <c r="D3535" s="4" t="n">
        <v>68</v>
      </c>
      <c r="E3535" s="17" t="s">
        <v>259</v>
      </c>
      <c r="F3535" s="18" t="s">
        <v>412</v>
      </c>
    </row>
    <row r="3536" customFormat="false" ht="15" hidden="false" customHeight="false" outlineLevel="0" collapsed="false">
      <c r="A3536" s="4" t="str">
        <f aca="false">B3536&amp;"|"&amp;C3536</f>
        <v>tdbR00000532 Ile-CAU|70</v>
      </c>
      <c r="B3536" s="4" t="s">
        <v>85</v>
      </c>
      <c r="C3536" s="4" t="s">
        <v>493</v>
      </c>
      <c r="D3536" s="4" t="n">
        <v>69</v>
      </c>
      <c r="E3536" s="17" t="s">
        <v>197</v>
      </c>
      <c r="F3536" s="18" t="s">
        <v>412</v>
      </c>
    </row>
    <row r="3537" customFormat="false" ht="15" hidden="false" customHeight="false" outlineLevel="0" collapsed="false">
      <c r="A3537" s="4" t="str">
        <f aca="false">B3537&amp;"|"&amp;C3537</f>
        <v>tdbR00000532 Ile-CAU|71</v>
      </c>
      <c r="B3537" s="4" t="s">
        <v>85</v>
      </c>
      <c r="C3537" s="4" t="s">
        <v>494</v>
      </c>
      <c r="D3537" s="4" t="n">
        <v>70</v>
      </c>
      <c r="E3537" s="17" t="s">
        <v>414</v>
      </c>
      <c r="F3537" s="18" t="s">
        <v>412</v>
      </c>
    </row>
    <row r="3538" customFormat="false" ht="15" hidden="false" customHeight="false" outlineLevel="0" collapsed="false">
      <c r="A3538" s="4" t="str">
        <f aca="false">B3538&amp;"|"&amp;C3538</f>
        <v>tdbR00000532 Ile-CAU|72</v>
      </c>
      <c r="B3538" s="4" t="s">
        <v>85</v>
      </c>
      <c r="C3538" s="4" t="s">
        <v>495</v>
      </c>
      <c r="D3538" s="4" t="n">
        <v>71</v>
      </c>
      <c r="E3538" s="17" t="s">
        <v>259</v>
      </c>
      <c r="F3538" s="18" t="s">
        <v>412</v>
      </c>
    </row>
    <row r="3539" customFormat="false" ht="15" hidden="false" customHeight="false" outlineLevel="0" collapsed="false">
      <c r="A3539" s="4" t="str">
        <f aca="false">B3539&amp;"|"&amp;C3539</f>
        <v>tdbR00000200 Lys-UUU|1</v>
      </c>
      <c r="B3539" s="4" t="s">
        <v>86</v>
      </c>
      <c r="C3539" s="4" t="s">
        <v>411</v>
      </c>
      <c r="D3539" s="4" t="n">
        <v>1</v>
      </c>
      <c r="E3539" s="17" t="s">
        <v>197</v>
      </c>
      <c r="F3539" s="18" t="s">
        <v>412</v>
      </c>
    </row>
    <row r="3540" customFormat="false" ht="15" hidden="false" customHeight="false" outlineLevel="0" collapsed="false">
      <c r="A3540" s="4" t="str">
        <f aca="false">B3540&amp;"|"&amp;C3540</f>
        <v>tdbR00000200 Lys-UUU|2</v>
      </c>
      <c r="B3540" s="4" t="s">
        <v>86</v>
      </c>
      <c r="C3540" s="4" t="s">
        <v>413</v>
      </c>
      <c r="D3540" s="4" t="n">
        <v>2</v>
      </c>
      <c r="E3540" s="17" t="s">
        <v>414</v>
      </c>
      <c r="F3540" s="18" t="s">
        <v>412</v>
      </c>
    </row>
    <row r="3541" customFormat="false" ht="15" hidden="false" customHeight="false" outlineLevel="0" collapsed="false">
      <c r="A3541" s="4" t="str">
        <f aca="false">B3541&amp;"|"&amp;C3541</f>
        <v>tdbR00000200 Lys-UUU|3</v>
      </c>
      <c r="B3541" s="4" t="s">
        <v>86</v>
      </c>
      <c r="C3541" s="4" t="s">
        <v>415</v>
      </c>
      <c r="D3541" s="4" t="n">
        <v>3</v>
      </c>
      <c r="E3541" s="17" t="s">
        <v>414</v>
      </c>
      <c r="F3541" s="18" t="s">
        <v>412</v>
      </c>
    </row>
    <row r="3542" customFormat="false" ht="15" hidden="false" customHeight="false" outlineLevel="0" collapsed="false">
      <c r="A3542" s="4" t="str">
        <f aca="false">B3542&amp;"|"&amp;C3542</f>
        <v>tdbR00000200 Lys-UUU|4</v>
      </c>
      <c r="B3542" s="4" t="s">
        <v>86</v>
      </c>
      <c r="C3542" s="4" t="s">
        <v>416</v>
      </c>
      <c r="D3542" s="4" t="n">
        <v>4</v>
      </c>
      <c r="E3542" s="17" t="s">
        <v>414</v>
      </c>
      <c r="F3542" s="18" t="s">
        <v>412</v>
      </c>
    </row>
    <row r="3543" customFormat="false" ht="15" hidden="false" customHeight="false" outlineLevel="0" collapsed="false">
      <c r="A3543" s="4" t="str">
        <f aca="false">B3543&amp;"|"&amp;C3543</f>
        <v>tdbR00000200 Lys-UUU|5</v>
      </c>
      <c r="B3543" s="4" t="s">
        <v>86</v>
      </c>
      <c r="C3543" s="4" t="s">
        <v>417</v>
      </c>
      <c r="D3543" s="4" t="n">
        <v>5</v>
      </c>
      <c r="E3543" s="17" t="s">
        <v>197</v>
      </c>
      <c r="F3543" s="18" t="s">
        <v>412</v>
      </c>
    </row>
    <row r="3544" customFormat="false" ht="15" hidden="false" customHeight="false" outlineLevel="0" collapsed="false">
      <c r="A3544" s="4" t="str">
        <f aca="false">B3544&amp;"|"&amp;C3544</f>
        <v>tdbR00000200 Lys-UUU|6</v>
      </c>
      <c r="B3544" s="4" t="s">
        <v>86</v>
      </c>
      <c r="C3544" s="4" t="s">
        <v>418</v>
      </c>
      <c r="D3544" s="4" t="n">
        <v>6</v>
      </c>
      <c r="E3544" s="17" t="s">
        <v>197</v>
      </c>
      <c r="F3544" s="18" t="s">
        <v>412</v>
      </c>
    </row>
    <row r="3545" customFormat="false" ht="15" hidden="false" customHeight="false" outlineLevel="0" collapsed="false">
      <c r="A3545" s="4" t="str">
        <f aca="false">B3545&amp;"|"&amp;C3545</f>
        <v>tdbR00000200 Lys-UUU|7</v>
      </c>
      <c r="B3545" s="4" t="s">
        <v>86</v>
      </c>
      <c r="C3545" s="4" t="s">
        <v>419</v>
      </c>
      <c r="D3545" s="4" t="n">
        <v>7</v>
      </c>
      <c r="E3545" s="17" t="s">
        <v>246</v>
      </c>
      <c r="F3545" s="18" t="s">
        <v>412</v>
      </c>
    </row>
    <row r="3546" customFormat="false" ht="15" hidden="false" customHeight="false" outlineLevel="0" collapsed="false">
      <c r="A3546" s="4" t="str">
        <f aca="false">B3546&amp;"|"&amp;C3546</f>
        <v>tdbR00000200 Lys-UUU|8</v>
      </c>
      <c r="B3546" s="4" t="s">
        <v>86</v>
      </c>
      <c r="C3546" s="4" t="s">
        <v>420</v>
      </c>
      <c r="D3546" s="4" t="n">
        <v>8</v>
      </c>
      <c r="E3546" s="3" t="s">
        <v>259</v>
      </c>
      <c r="F3546" s="4" t="s">
        <v>421</v>
      </c>
    </row>
    <row r="3547" customFormat="false" ht="15" hidden="false" customHeight="false" outlineLevel="0" collapsed="false">
      <c r="A3547" s="4" t="str">
        <f aca="false">B3547&amp;"|"&amp;C3547</f>
        <v>tdbR00000200 Lys-UUU|9</v>
      </c>
      <c r="B3547" s="4" t="s">
        <v>86</v>
      </c>
      <c r="C3547" s="4" t="s">
        <v>422</v>
      </c>
      <c r="D3547" s="4" t="n">
        <v>9</v>
      </c>
      <c r="E3547" s="3" t="s">
        <v>246</v>
      </c>
      <c r="F3547" s="4" t="s">
        <v>423</v>
      </c>
    </row>
    <row r="3548" customFormat="false" ht="15" hidden="false" customHeight="false" outlineLevel="0" collapsed="false">
      <c r="A3548" s="4" t="str">
        <f aca="false">B3548&amp;"|"&amp;C3548</f>
        <v>tdbR00000200 Lys-UUU|10</v>
      </c>
      <c r="B3548" s="4" t="s">
        <v>86</v>
      </c>
      <c r="C3548" s="4" t="s">
        <v>424</v>
      </c>
      <c r="D3548" s="4" t="n">
        <v>10</v>
      </c>
      <c r="E3548" s="8" t="s">
        <v>197</v>
      </c>
      <c r="F3548" s="7" t="s">
        <v>425</v>
      </c>
    </row>
    <row r="3549" customFormat="false" ht="15" hidden="false" customHeight="false" outlineLevel="0" collapsed="false">
      <c r="A3549" s="4" t="str">
        <f aca="false">B3549&amp;"|"&amp;C3549</f>
        <v>tdbR00000200 Lys-UUU|11</v>
      </c>
      <c r="B3549" s="4" t="s">
        <v>86</v>
      </c>
      <c r="C3549" s="4" t="s">
        <v>426</v>
      </c>
      <c r="D3549" s="4" t="n">
        <v>11</v>
      </c>
      <c r="E3549" s="8" t="s">
        <v>414</v>
      </c>
      <c r="F3549" s="7" t="s">
        <v>425</v>
      </c>
    </row>
    <row r="3550" customFormat="false" ht="15" hidden="false" customHeight="false" outlineLevel="0" collapsed="false">
      <c r="A3550" s="4" t="str">
        <f aca="false">B3550&amp;"|"&amp;C3550</f>
        <v>tdbR00000200 Lys-UUU|12</v>
      </c>
      <c r="B3550" s="4" t="s">
        <v>86</v>
      </c>
      <c r="C3550" s="4" t="s">
        <v>427</v>
      </c>
      <c r="D3550" s="4" t="n">
        <v>12</v>
      </c>
      <c r="E3550" s="8" t="s">
        <v>259</v>
      </c>
      <c r="F3550" s="7" t="s">
        <v>425</v>
      </c>
    </row>
    <row r="3551" customFormat="false" ht="15" hidden="false" customHeight="false" outlineLevel="0" collapsed="false">
      <c r="A3551" s="4" t="str">
        <f aca="false">B3551&amp;"|"&amp;C3551</f>
        <v>tdbR00000200 Lys-UUU|13</v>
      </c>
      <c r="B3551" s="4" t="s">
        <v>86</v>
      </c>
      <c r="C3551" s="4" t="s">
        <v>428</v>
      </c>
      <c r="D3551" s="4" t="n">
        <v>13</v>
      </c>
      <c r="E3551" s="8" t="s">
        <v>414</v>
      </c>
      <c r="F3551" s="7" t="s">
        <v>425</v>
      </c>
    </row>
    <row r="3552" customFormat="false" ht="15" hidden="false" customHeight="false" outlineLevel="0" collapsed="false">
      <c r="A3552" s="4" t="str">
        <f aca="false">B3552&amp;"|"&amp;C3552</f>
        <v>tdbR00000200 Lys-UUU|14</v>
      </c>
      <c r="B3552" s="4" t="s">
        <v>86</v>
      </c>
      <c r="C3552" s="4" t="s">
        <v>429</v>
      </c>
      <c r="D3552" s="4" t="n">
        <v>14</v>
      </c>
      <c r="E3552" s="19" t="s">
        <v>246</v>
      </c>
      <c r="F3552" s="20" t="s">
        <v>430</v>
      </c>
    </row>
    <row r="3553" customFormat="false" ht="15" hidden="false" customHeight="false" outlineLevel="0" collapsed="false">
      <c r="A3553" s="4" t="str">
        <f aca="false">B3553&amp;"|"&amp;C3553</f>
        <v>tdbR00000200 Lys-UUU|15</v>
      </c>
      <c r="B3553" s="4" t="s">
        <v>86</v>
      </c>
      <c r="C3553" s="4" t="s">
        <v>431</v>
      </c>
      <c r="D3553" s="4" t="n">
        <v>15</v>
      </c>
      <c r="E3553" s="19" t="s">
        <v>197</v>
      </c>
      <c r="F3553" s="20" t="s">
        <v>430</v>
      </c>
    </row>
    <row r="3554" customFormat="false" ht="15" hidden="false" customHeight="false" outlineLevel="0" collapsed="false">
      <c r="A3554" s="4" t="str">
        <f aca="false">B3554&amp;"|"&amp;C3554</f>
        <v>tdbR00000200 Lys-UUU|16</v>
      </c>
      <c r="B3554" s="4" t="s">
        <v>86</v>
      </c>
      <c r="C3554" s="4" t="s">
        <v>432</v>
      </c>
      <c r="D3554" s="4" t="n">
        <v>16</v>
      </c>
      <c r="E3554" s="19" t="s">
        <v>259</v>
      </c>
      <c r="F3554" s="20" t="s">
        <v>430</v>
      </c>
    </row>
    <row r="3555" customFormat="false" ht="15" hidden="false" customHeight="false" outlineLevel="0" collapsed="false">
      <c r="A3555" s="4" t="str">
        <f aca="false">B3555&amp;"|"&amp;C3555</f>
        <v>tdbR00000200 Lys-UUU|17</v>
      </c>
      <c r="B3555" s="4" t="s">
        <v>86</v>
      </c>
      <c r="C3555" s="4" t="s">
        <v>433</v>
      </c>
      <c r="D3555" s="4" t="n">
        <v>17</v>
      </c>
      <c r="E3555" s="19" t="s">
        <v>414</v>
      </c>
      <c r="F3555" s="20" t="s">
        <v>430</v>
      </c>
    </row>
    <row r="3556" customFormat="false" ht="15" hidden="false" customHeight="false" outlineLevel="0" collapsed="false">
      <c r="A3556" s="4" t="str">
        <f aca="false">B3556&amp;"|"&amp;C3556</f>
        <v>tdbR00000200 Lys-UUU|18</v>
      </c>
      <c r="B3556" s="4" t="s">
        <v>86</v>
      </c>
      <c r="C3556" s="4" t="s">
        <v>434</v>
      </c>
      <c r="D3556" s="4" t="n">
        <v>18</v>
      </c>
      <c r="E3556" s="19" t="s">
        <v>197</v>
      </c>
      <c r="F3556" s="20" t="s">
        <v>430</v>
      </c>
    </row>
    <row r="3557" customFormat="false" ht="15" hidden="false" customHeight="false" outlineLevel="0" collapsed="false">
      <c r="A3557" s="4" t="str">
        <f aca="false">B3557&amp;"|"&amp;C3557</f>
        <v>tdbR00000200 Lys-UUU|19</v>
      </c>
      <c r="B3557" s="4" t="s">
        <v>86</v>
      </c>
      <c r="C3557" s="4" t="s">
        <v>435</v>
      </c>
      <c r="D3557" s="4" t="n">
        <v>19</v>
      </c>
      <c r="E3557" s="19" t="s">
        <v>197</v>
      </c>
      <c r="F3557" s="20" t="s">
        <v>430</v>
      </c>
    </row>
    <row r="3558" customFormat="false" ht="15" hidden="false" customHeight="false" outlineLevel="0" collapsed="false">
      <c r="A3558" s="4" t="str">
        <f aca="false">B3558&amp;"|"&amp;C3558</f>
        <v>tdbR00000200 Lys-UUU|20</v>
      </c>
      <c r="B3558" s="4" t="s">
        <v>86</v>
      </c>
      <c r="C3558" s="4" t="s">
        <v>436</v>
      </c>
      <c r="D3558" s="4" t="n">
        <v>20</v>
      </c>
      <c r="E3558" s="19" t="s">
        <v>259</v>
      </c>
      <c r="F3558" s="20" t="s">
        <v>430</v>
      </c>
    </row>
    <row r="3559" customFormat="false" ht="15" hidden="false" customHeight="false" outlineLevel="0" collapsed="false">
      <c r="A3559" s="4" t="str">
        <f aca="false">B3559&amp;"|"&amp;C3559</f>
        <v>tdbR00000200 Lys-UUU|21</v>
      </c>
      <c r="B3559" s="4" t="s">
        <v>86</v>
      </c>
      <c r="C3559" s="4" t="s">
        <v>438</v>
      </c>
      <c r="D3559" s="4" t="n">
        <v>21</v>
      </c>
      <c r="E3559" s="19" t="s">
        <v>246</v>
      </c>
      <c r="F3559" s="20" t="s">
        <v>430</v>
      </c>
    </row>
    <row r="3560" customFormat="false" ht="15" hidden="false" customHeight="false" outlineLevel="0" collapsed="false">
      <c r="A3560" s="4" t="str">
        <f aca="false">B3560&amp;"|"&amp;C3560</f>
        <v>tdbR00000200 Lys-UUU|22</v>
      </c>
      <c r="B3560" s="4" t="s">
        <v>86</v>
      </c>
      <c r="C3560" s="4" t="s">
        <v>439</v>
      </c>
      <c r="D3560" s="4" t="n">
        <v>22</v>
      </c>
      <c r="E3560" s="8" t="s">
        <v>197</v>
      </c>
      <c r="F3560" s="7" t="s">
        <v>425</v>
      </c>
    </row>
    <row r="3561" customFormat="false" ht="15" hidden="false" customHeight="false" outlineLevel="0" collapsed="false">
      <c r="A3561" s="4" t="str">
        <f aca="false">B3561&amp;"|"&amp;C3561</f>
        <v>tdbR00000200 Lys-UUU|23</v>
      </c>
      <c r="B3561" s="4" t="s">
        <v>86</v>
      </c>
      <c r="C3561" s="4" t="s">
        <v>440</v>
      </c>
      <c r="D3561" s="4" t="n">
        <v>23</v>
      </c>
      <c r="E3561" s="8" t="s">
        <v>246</v>
      </c>
      <c r="F3561" s="7" t="s">
        <v>425</v>
      </c>
    </row>
    <row r="3562" customFormat="false" ht="15" hidden="false" customHeight="false" outlineLevel="0" collapsed="false">
      <c r="A3562" s="4" t="str">
        <f aca="false">B3562&amp;"|"&amp;C3562</f>
        <v>tdbR00000200 Lys-UUU|24</v>
      </c>
      <c r="B3562" s="4" t="s">
        <v>86</v>
      </c>
      <c r="C3562" s="4" t="s">
        <v>441</v>
      </c>
      <c r="D3562" s="4" t="n">
        <v>24</v>
      </c>
      <c r="E3562" s="8" t="s">
        <v>197</v>
      </c>
      <c r="F3562" s="7" t="s">
        <v>425</v>
      </c>
    </row>
    <row r="3563" customFormat="false" ht="15" hidden="false" customHeight="false" outlineLevel="0" collapsed="false">
      <c r="A3563" s="4" t="str">
        <f aca="false">B3563&amp;"|"&amp;C3563</f>
        <v>tdbR00000200 Lys-UUU|25</v>
      </c>
      <c r="B3563" s="4" t="s">
        <v>86</v>
      </c>
      <c r="C3563" s="4" t="s">
        <v>442</v>
      </c>
      <c r="D3563" s="4" t="n">
        <v>25</v>
      </c>
      <c r="E3563" s="8" t="s">
        <v>414</v>
      </c>
      <c r="F3563" s="7" t="s">
        <v>425</v>
      </c>
    </row>
    <row r="3564" customFormat="false" ht="15" hidden="false" customHeight="false" outlineLevel="0" collapsed="false">
      <c r="A3564" s="4" t="str">
        <f aca="false">B3564&amp;"|"&amp;C3564</f>
        <v>tdbR00000200 Lys-UUU|26</v>
      </c>
      <c r="B3564" s="4" t="s">
        <v>86</v>
      </c>
      <c r="C3564" s="4" t="s">
        <v>443</v>
      </c>
      <c r="D3564" s="4" t="n">
        <v>26</v>
      </c>
      <c r="E3564" s="3" t="s">
        <v>246</v>
      </c>
      <c r="F3564" s="4" t="s">
        <v>444</v>
      </c>
    </row>
    <row r="3565" customFormat="false" ht="15" hidden="false" customHeight="false" outlineLevel="0" collapsed="false">
      <c r="A3565" s="4" t="str">
        <f aca="false">B3565&amp;"|"&amp;C3565</f>
        <v>tdbR00000200 Lys-UUU|27</v>
      </c>
      <c r="B3565" s="4" t="s">
        <v>86</v>
      </c>
      <c r="C3565" s="4" t="s">
        <v>445</v>
      </c>
      <c r="D3565" s="4" t="n">
        <v>27</v>
      </c>
      <c r="E3565" s="21" t="s">
        <v>259</v>
      </c>
      <c r="F3565" s="22" t="s">
        <v>446</v>
      </c>
    </row>
    <row r="3566" customFormat="false" ht="15" hidden="false" customHeight="false" outlineLevel="0" collapsed="false">
      <c r="A3566" s="4" t="str">
        <f aca="false">B3566&amp;"|"&amp;C3566</f>
        <v>tdbR00000200 Lys-UUU|28</v>
      </c>
      <c r="B3566" s="4" t="s">
        <v>86</v>
      </c>
      <c r="C3566" s="4" t="s">
        <v>447</v>
      </c>
      <c r="D3566" s="4" t="n">
        <v>28</v>
      </c>
      <c r="E3566" s="21" t="s">
        <v>414</v>
      </c>
      <c r="F3566" s="22" t="s">
        <v>446</v>
      </c>
    </row>
    <row r="3567" customFormat="false" ht="15" hidden="false" customHeight="false" outlineLevel="0" collapsed="false">
      <c r="A3567" s="4" t="str">
        <f aca="false">B3567&amp;"|"&amp;C3567</f>
        <v>tdbR00000200 Lys-UUU|29</v>
      </c>
      <c r="B3567" s="4" t="s">
        <v>86</v>
      </c>
      <c r="C3567" s="4" t="s">
        <v>448</v>
      </c>
      <c r="D3567" s="4" t="n">
        <v>29</v>
      </c>
      <c r="E3567" s="21" t="s">
        <v>246</v>
      </c>
      <c r="F3567" s="22" t="s">
        <v>446</v>
      </c>
    </row>
    <row r="3568" customFormat="false" ht="15" hidden="false" customHeight="false" outlineLevel="0" collapsed="false">
      <c r="A3568" s="4" t="str">
        <f aca="false">B3568&amp;"|"&amp;C3568</f>
        <v>tdbR00000200 Lys-UUU|30</v>
      </c>
      <c r="B3568" s="4" t="s">
        <v>86</v>
      </c>
      <c r="C3568" s="4" t="s">
        <v>449</v>
      </c>
      <c r="D3568" s="4" t="n">
        <v>30</v>
      </c>
      <c r="E3568" s="21" t="s">
        <v>197</v>
      </c>
      <c r="F3568" s="22" t="s">
        <v>446</v>
      </c>
    </row>
    <row r="3569" customFormat="false" ht="15" hidden="false" customHeight="false" outlineLevel="0" collapsed="false">
      <c r="A3569" s="4" t="str">
        <f aca="false">B3569&amp;"|"&amp;C3569</f>
        <v>tdbR00000200 Lys-UUU|31</v>
      </c>
      <c r="B3569" s="4" t="s">
        <v>86</v>
      </c>
      <c r="C3569" s="4" t="s">
        <v>450</v>
      </c>
      <c r="D3569" s="4" t="n">
        <v>31</v>
      </c>
      <c r="E3569" s="21" t="s">
        <v>246</v>
      </c>
      <c r="F3569" s="22" t="s">
        <v>446</v>
      </c>
    </row>
    <row r="3570" customFormat="false" ht="15" hidden="false" customHeight="false" outlineLevel="0" collapsed="false">
      <c r="A3570" s="4" t="str">
        <f aca="false">B3570&amp;"|"&amp;C3570</f>
        <v>tdbR00000200 Lys-UUU|32</v>
      </c>
      <c r="B3570" s="4" t="s">
        <v>86</v>
      </c>
      <c r="C3570" s="4" t="s">
        <v>451</v>
      </c>
      <c r="D3570" s="4" t="n">
        <v>32</v>
      </c>
      <c r="E3570" s="19" t="s">
        <v>414</v>
      </c>
      <c r="F3570" s="20" t="s">
        <v>452</v>
      </c>
    </row>
    <row r="3571" customFormat="false" ht="15" hidden="false" customHeight="false" outlineLevel="0" collapsed="false">
      <c r="A3571" s="4" t="str">
        <f aca="false">B3571&amp;"|"&amp;C3571</f>
        <v>tdbR00000200 Lys-UUU|33</v>
      </c>
      <c r="B3571" s="4" t="s">
        <v>86</v>
      </c>
      <c r="C3571" s="4" t="s">
        <v>453</v>
      </c>
      <c r="D3571" s="4" t="n">
        <v>33</v>
      </c>
      <c r="E3571" s="19" t="s">
        <v>259</v>
      </c>
      <c r="F3571" s="20" t="s">
        <v>452</v>
      </c>
    </row>
    <row r="3572" customFormat="false" ht="15" hidden="false" customHeight="false" outlineLevel="0" collapsed="false">
      <c r="A3572" s="4" t="str">
        <f aca="false">B3572&amp;"|"&amp;C3572</f>
        <v>tdbR00000200 Lys-UUU|34</v>
      </c>
      <c r="B3572" s="4" t="s">
        <v>86</v>
      </c>
      <c r="C3572" s="4" t="s">
        <v>454</v>
      </c>
      <c r="D3572" s="4" t="n">
        <v>34</v>
      </c>
      <c r="E3572" s="19" t="s">
        <v>259</v>
      </c>
      <c r="F3572" s="20" t="s">
        <v>452</v>
      </c>
    </row>
    <row r="3573" customFormat="false" ht="15" hidden="false" customHeight="false" outlineLevel="0" collapsed="false">
      <c r="A3573" s="4" t="str">
        <f aca="false">B3573&amp;"|"&amp;C3573</f>
        <v>tdbR00000200 Lys-UUU|35</v>
      </c>
      <c r="B3573" s="4" t="s">
        <v>86</v>
      </c>
      <c r="C3573" s="4" t="s">
        <v>455</v>
      </c>
      <c r="D3573" s="4" t="n">
        <v>35</v>
      </c>
      <c r="E3573" s="19" t="s">
        <v>259</v>
      </c>
      <c r="F3573" s="20" t="s">
        <v>452</v>
      </c>
    </row>
    <row r="3574" customFormat="false" ht="15" hidden="false" customHeight="false" outlineLevel="0" collapsed="false">
      <c r="A3574" s="4" t="str">
        <f aca="false">B3574&amp;"|"&amp;C3574</f>
        <v>tdbR00000200 Lys-UUU|36</v>
      </c>
      <c r="B3574" s="4" t="s">
        <v>86</v>
      </c>
      <c r="C3574" s="4" t="s">
        <v>456</v>
      </c>
      <c r="D3574" s="4" t="n">
        <v>36</v>
      </c>
      <c r="E3574" s="19" t="s">
        <v>259</v>
      </c>
      <c r="F3574" s="20" t="s">
        <v>452</v>
      </c>
    </row>
    <row r="3575" customFormat="false" ht="15" hidden="false" customHeight="false" outlineLevel="0" collapsed="false">
      <c r="A3575" s="4" t="str">
        <f aca="false">B3575&amp;"|"&amp;C3575</f>
        <v>tdbR00000200 Lys-UUU|37</v>
      </c>
      <c r="B3575" s="4" t="s">
        <v>86</v>
      </c>
      <c r="C3575" s="4" t="s">
        <v>457</v>
      </c>
      <c r="D3575" s="4" t="n">
        <v>37</v>
      </c>
      <c r="E3575" s="19" t="s">
        <v>246</v>
      </c>
      <c r="F3575" s="20" t="s">
        <v>452</v>
      </c>
    </row>
    <row r="3576" customFormat="false" ht="15" hidden="false" customHeight="false" outlineLevel="0" collapsed="false">
      <c r="A3576" s="4" t="str">
        <f aca="false">B3576&amp;"|"&amp;C3576</f>
        <v>tdbR00000200 Lys-UUU|38</v>
      </c>
      <c r="B3576" s="4" t="s">
        <v>86</v>
      </c>
      <c r="C3576" s="4" t="s">
        <v>458</v>
      </c>
      <c r="D3576" s="4" t="n">
        <v>38</v>
      </c>
      <c r="E3576" s="19" t="s">
        <v>246</v>
      </c>
      <c r="F3576" s="20" t="s">
        <v>452</v>
      </c>
    </row>
    <row r="3577" customFormat="false" ht="15" hidden="false" customHeight="false" outlineLevel="0" collapsed="false">
      <c r="A3577" s="4" t="str">
        <f aca="false">B3577&amp;"|"&amp;C3577</f>
        <v>tdbR00000200 Lys-UUU|39</v>
      </c>
      <c r="B3577" s="4" t="s">
        <v>86</v>
      </c>
      <c r="C3577" s="4" t="s">
        <v>459</v>
      </c>
      <c r="D3577" s="4" t="n">
        <v>39</v>
      </c>
      <c r="E3577" s="21" t="s">
        <v>259</v>
      </c>
      <c r="F3577" s="22" t="s">
        <v>446</v>
      </c>
    </row>
    <row r="3578" customFormat="false" ht="15" hidden="false" customHeight="false" outlineLevel="0" collapsed="false">
      <c r="A3578" s="4" t="str">
        <f aca="false">B3578&amp;"|"&amp;C3578</f>
        <v>tdbR00000200 Lys-UUU|40</v>
      </c>
      <c r="B3578" s="4" t="s">
        <v>86</v>
      </c>
      <c r="C3578" s="4" t="s">
        <v>460</v>
      </c>
      <c r="D3578" s="4" t="n">
        <v>40</v>
      </c>
      <c r="E3578" s="21" t="s">
        <v>414</v>
      </c>
      <c r="F3578" s="22" t="s">
        <v>446</v>
      </c>
    </row>
    <row r="3579" customFormat="false" ht="15" hidden="false" customHeight="false" outlineLevel="0" collapsed="false">
      <c r="A3579" s="4" t="str">
        <f aca="false">B3579&amp;"|"&amp;C3579</f>
        <v>tdbR00000200 Lys-UUU|41</v>
      </c>
      <c r="B3579" s="4" t="s">
        <v>86</v>
      </c>
      <c r="C3579" s="4" t="s">
        <v>461</v>
      </c>
      <c r="D3579" s="4" t="n">
        <v>41</v>
      </c>
      <c r="E3579" s="21" t="s">
        <v>259</v>
      </c>
      <c r="F3579" s="22" t="s">
        <v>446</v>
      </c>
    </row>
    <row r="3580" customFormat="false" ht="15" hidden="false" customHeight="false" outlineLevel="0" collapsed="false">
      <c r="A3580" s="4" t="str">
        <f aca="false">B3580&amp;"|"&amp;C3580</f>
        <v>tdbR00000200 Lys-UUU|42</v>
      </c>
      <c r="B3580" s="4" t="s">
        <v>86</v>
      </c>
      <c r="C3580" s="4" t="s">
        <v>462</v>
      </c>
      <c r="D3580" s="4" t="n">
        <v>42</v>
      </c>
      <c r="E3580" s="21" t="s">
        <v>197</v>
      </c>
      <c r="F3580" s="22" t="s">
        <v>446</v>
      </c>
    </row>
    <row r="3581" customFormat="false" ht="15" hidden="false" customHeight="false" outlineLevel="0" collapsed="false">
      <c r="A3581" s="4" t="str">
        <f aca="false">B3581&amp;"|"&amp;C3581</f>
        <v>tdbR00000200 Lys-UUU|43</v>
      </c>
      <c r="B3581" s="4" t="s">
        <v>86</v>
      </c>
      <c r="C3581" s="4" t="s">
        <v>463</v>
      </c>
      <c r="D3581" s="4" t="n">
        <v>43</v>
      </c>
      <c r="E3581" s="21" t="s">
        <v>246</v>
      </c>
      <c r="F3581" s="22" t="s">
        <v>446</v>
      </c>
    </row>
    <row r="3582" customFormat="false" ht="15" hidden="false" customHeight="false" outlineLevel="0" collapsed="false">
      <c r="A3582" s="4" t="str">
        <f aca="false">B3582&amp;"|"&amp;C3582</f>
        <v>tdbR00000200 Lys-UUU|44</v>
      </c>
      <c r="B3582" s="4" t="s">
        <v>86</v>
      </c>
      <c r="C3582" s="4" t="s">
        <v>464</v>
      </c>
      <c r="D3582" s="4" t="n">
        <v>44</v>
      </c>
      <c r="E3582" s="19" t="s">
        <v>197</v>
      </c>
      <c r="F3582" s="20" t="s">
        <v>465</v>
      </c>
    </row>
    <row r="3583" customFormat="false" ht="15" hidden="false" customHeight="false" outlineLevel="0" collapsed="false">
      <c r="A3583" s="4" t="str">
        <f aca="false">B3583&amp;"|"&amp;C3583</f>
        <v>tdbR00000200 Lys-UUU|45</v>
      </c>
      <c r="B3583" s="4" t="s">
        <v>86</v>
      </c>
      <c r="C3583" s="4" t="s">
        <v>466</v>
      </c>
      <c r="D3583" s="4" t="n">
        <v>45</v>
      </c>
      <c r="E3583" s="19" t="s">
        <v>197</v>
      </c>
      <c r="F3583" s="20" t="s">
        <v>465</v>
      </c>
    </row>
    <row r="3584" customFormat="false" ht="15" hidden="false" customHeight="false" outlineLevel="0" collapsed="false">
      <c r="A3584" s="4" t="str">
        <f aca="false">B3584&amp;"|"&amp;C3584</f>
        <v>tdbR00000200 Lys-UUU|46</v>
      </c>
      <c r="B3584" s="4" t="s">
        <v>86</v>
      </c>
      <c r="C3584" s="4" t="s">
        <v>467</v>
      </c>
      <c r="D3584" s="4" t="n">
        <v>46</v>
      </c>
      <c r="E3584" s="19" t="s">
        <v>197</v>
      </c>
      <c r="F3584" s="20" t="s">
        <v>465</v>
      </c>
    </row>
    <row r="3585" customFormat="false" ht="15" hidden="false" customHeight="false" outlineLevel="0" collapsed="false">
      <c r="A3585" s="4" t="str">
        <f aca="false">B3585&amp;"|"&amp;C3585</f>
        <v>tdbR00000200 Lys-UUU|47</v>
      </c>
      <c r="B3585" s="4" t="s">
        <v>86</v>
      </c>
      <c r="C3585" s="4" t="s">
        <v>468</v>
      </c>
      <c r="D3585" s="4" t="n">
        <v>47</v>
      </c>
      <c r="E3585" s="19" t="s">
        <v>259</v>
      </c>
      <c r="F3585" s="20" t="s">
        <v>465</v>
      </c>
    </row>
    <row r="3586" customFormat="false" ht="15" hidden="false" customHeight="false" outlineLevel="0" collapsed="false">
      <c r="A3586" s="4" t="str">
        <f aca="false">B3586&amp;"|"&amp;C3586</f>
        <v>tdbR00000200 Lys-UUU|48</v>
      </c>
      <c r="B3586" s="4" t="s">
        <v>86</v>
      </c>
      <c r="C3586" s="4" t="s">
        <v>469</v>
      </c>
      <c r="D3586" s="4" t="n">
        <v>48</v>
      </c>
      <c r="E3586" s="19" t="s">
        <v>414</v>
      </c>
      <c r="F3586" s="20" t="s">
        <v>465</v>
      </c>
    </row>
    <row r="3587" customFormat="false" ht="15" hidden="false" customHeight="false" outlineLevel="0" collapsed="false">
      <c r="A3587" s="4" t="str">
        <f aca="false">B3587&amp;"|"&amp;C3587</f>
        <v>tdbR00000200 Lys-UUU|49</v>
      </c>
      <c r="B3587" s="4" t="s">
        <v>86</v>
      </c>
      <c r="C3587" s="4" t="s">
        <v>470</v>
      </c>
      <c r="D3587" s="4" t="n">
        <v>49</v>
      </c>
      <c r="E3587" s="23" t="s">
        <v>414</v>
      </c>
      <c r="F3587" s="10" t="s">
        <v>471</v>
      </c>
    </row>
    <row r="3588" customFormat="false" ht="15" hidden="false" customHeight="false" outlineLevel="0" collapsed="false">
      <c r="A3588" s="4" t="str">
        <f aca="false">B3588&amp;"|"&amp;C3588</f>
        <v>tdbR00000200 Lys-UUU|50</v>
      </c>
      <c r="B3588" s="4" t="s">
        <v>86</v>
      </c>
      <c r="C3588" s="4" t="s">
        <v>472</v>
      </c>
      <c r="D3588" s="4" t="n">
        <v>50</v>
      </c>
      <c r="E3588" s="23" t="s">
        <v>246</v>
      </c>
      <c r="F3588" s="10" t="s">
        <v>471</v>
      </c>
    </row>
    <row r="3589" customFormat="false" ht="15" hidden="false" customHeight="false" outlineLevel="0" collapsed="false">
      <c r="A3589" s="4" t="str">
        <f aca="false">B3589&amp;"|"&amp;C3589</f>
        <v>tdbR00000200 Lys-UUU|51</v>
      </c>
      <c r="B3589" s="4" t="s">
        <v>86</v>
      </c>
      <c r="C3589" s="4" t="s">
        <v>473</v>
      </c>
      <c r="D3589" s="4" t="n">
        <v>51</v>
      </c>
      <c r="E3589" s="23" t="s">
        <v>197</v>
      </c>
      <c r="F3589" s="10" t="s">
        <v>471</v>
      </c>
    </row>
    <row r="3590" customFormat="false" ht="15" hidden="false" customHeight="false" outlineLevel="0" collapsed="false">
      <c r="A3590" s="4" t="str">
        <f aca="false">B3590&amp;"|"&amp;C3590</f>
        <v>tdbR00000200 Lys-UUU|52</v>
      </c>
      <c r="B3590" s="4" t="s">
        <v>86</v>
      </c>
      <c r="C3590" s="4" t="s">
        <v>474</v>
      </c>
      <c r="D3590" s="4" t="n">
        <v>52</v>
      </c>
      <c r="E3590" s="23" t="s">
        <v>197</v>
      </c>
      <c r="F3590" s="10" t="s">
        <v>471</v>
      </c>
    </row>
    <row r="3591" customFormat="false" ht="15" hidden="false" customHeight="false" outlineLevel="0" collapsed="false">
      <c r="A3591" s="4" t="str">
        <f aca="false">B3591&amp;"|"&amp;C3591</f>
        <v>tdbR00000200 Lys-UUU|53</v>
      </c>
      <c r="B3591" s="4" t="s">
        <v>86</v>
      </c>
      <c r="C3591" s="4" t="s">
        <v>475</v>
      </c>
      <c r="D3591" s="4" t="n">
        <v>53</v>
      </c>
      <c r="E3591" s="23" t="s">
        <v>197</v>
      </c>
      <c r="F3591" s="10" t="s">
        <v>471</v>
      </c>
    </row>
    <row r="3592" customFormat="false" ht="15" hidden="false" customHeight="false" outlineLevel="0" collapsed="false">
      <c r="A3592" s="4" t="str">
        <f aca="false">B3592&amp;"|"&amp;C3592</f>
        <v>tdbR00000200 Lys-UUU|54</v>
      </c>
      <c r="B3592" s="4" t="s">
        <v>86</v>
      </c>
      <c r="C3592" s="4" t="s">
        <v>476</v>
      </c>
      <c r="D3592" s="4" t="n">
        <v>54</v>
      </c>
      <c r="E3592" s="19" t="s">
        <v>259</v>
      </c>
      <c r="F3592" s="20" t="s">
        <v>477</v>
      </c>
    </row>
    <row r="3593" customFormat="false" ht="15" hidden="false" customHeight="false" outlineLevel="0" collapsed="false">
      <c r="A3593" s="4" t="str">
        <f aca="false">B3593&amp;"|"&amp;C3593</f>
        <v>tdbR00000200 Lys-UUU|55</v>
      </c>
      <c r="B3593" s="4" t="s">
        <v>86</v>
      </c>
      <c r="C3593" s="4" t="s">
        <v>478</v>
      </c>
      <c r="D3593" s="4" t="n">
        <v>55</v>
      </c>
      <c r="E3593" s="19" t="s">
        <v>259</v>
      </c>
      <c r="F3593" s="20" t="s">
        <v>477</v>
      </c>
    </row>
    <row r="3594" customFormat="false" ht="15" hidden="false" customHeight="false" outlineLevel="0" collapsed="false">
      <c r="A3594" s="4" t="str">
        <f aca="false">B3594&amp;"|"&amp;C3594</f>
        <v>tdbR00000200 Lys-UUU|56</v>
      </c>
      <c r="B3594" s="4" t="s">
        <v>86</v>
      </c>
      <c r="C3594" s="4" t="s">
        <v>479</v>
      </c>
      <c r="D3594" s="4" t="n">
        <v>56</v>
      </c>
      <c r="E3594" s="19" t="s">
        <v>414</v>
      </c>
      <c r="F3594" s="20" t="s">
        <v>477</v>
      </c>
    </row>
    <row r="3595" customFormat="false" ht="15" hidden="false" customHeight="false" outlineLevel="0" collapsed="false">
      <c r="A3595" s="4" t="str">
        <f aca="false">B3595&amp;"|"&amp;C3595</f>
        <v>tdbR00000200 Lys-UUU|57</v>
      </c>
      <c r="B3595" s="4" t="s">
        <v>86</v>
      </c>
      <c r="C3595" s="4" t="s">
        <v>480</v>
      </c>
      <c r="D3595" s="4" t="n">
        <v>57</v>
      </c>
      <c r="E3595" s="19" t="s">
        <v>246</v>
      </c>
      <c r="F3595" s="20" t="s">
        <v>477</v>
      </c>
    </row>
    <row r="3596" customFormat="false" ht="15" hidden="false" customHeight="false" outlineLevel="0" collapsed="false">
      <c r="A3596" s="4" t="str">
        <f aca="false">B3596&amp;"|"&amp;C3596</f>
        <v>tdbR00000200 Lys-UUU|58</v>
      </c>
      <c r="B3596" s="4" t="s">
        <v>86</v>
      </c>
      <c r="C3596" s="4" t="s">
        <v>481</v>
      </c>
      <c r="D3596" s="4" t="n">
        <v>58</v>
      </c>
      <c r="E3596" s="19" t="s">
        <v>246</v>
      </c>
      <c r="F3596" s="20" t="s">
        <v>477</v>
      </c>
    </row>
    <row r="3597" customFormat="false" ht="15" hidden="false" customHeight="false" outlineLevel="0" collapsed="false">
      <c r="A3597" s="4" t="str">
        <f aca="false">B3597&amp;"|"&amp;C3597</f>
        <v>tdbR00000200 Lys-UUU|59</v>
      </c>
      <c r="B3597" s="4" t="s">
        <v>86</v>
      </c>
      <c r="C3597" s="4" t="s">
        <v>482</v>
      </c>
      <c r="D3597" s="4" t="n">
        <v>59</v>
      </c>
      <c r="E3597" s="19" t="s">
        <v>197</v>
      </c>
      <c r="F3597" s="20" t="s">
        <v>477</v>
      </c>
    </row>
    <row r="3598" customFormat="false" ht="15" hidden="false" customHeight="false" outlineLevel="0" collapsed="false">
      <c r="A3598" s="4" t="str">
        <f aca="false">B3598&amp;"|"&amp;C3598</f>
        <v>tdbR00000200 Lys-UUU|60</v>
      </c>
      <c r="B3598" s="4" t="s">
        <v>86</v>
      </c>
      <c r="C3598" s="4" t="s">
        <v>483</v>
      </c>
      <c r="D3598" s="4" t="n">
        <v>60</v>
      </c>
      <c r="E3598" s="19" t="s">
        <v>259</v>
      </c>
      <c r="F3598" s="20" t="s">
        <v>477</v>
      </c>
    </row>
    <row r="3599" customFormat="false" ht="15" hidden="false" customHeight="false" outlineLevel="0" collapsed="false">
      <c r="A3599" s="4" t="str">
        <f aca="false">B3599&amp;"|"&amp;C3599</f>
        <v>tdbR00000200 Lys-UUU|61</v>
      </c>
      <c r="B3599" s="4" t="s">
        <v>86</v>
      </c>
      <c r="C3599" s="4" t="s">
        <v>484</v>
      </c>
      <c r="D3599" s="4" t="n">
        <v>61</v>
      </c>
      <c r="E3599" s="23" t="s">
        <v>414</v>
      </c>
      <c r="F3599" s="10" t="s">
        <v>471</v>
      </c>
    </row>
    <row r="3600" customFormat="false" ht="15" hidden="false" customHeight="false" outlineLevel="0" collapsed="false">
      <c r="A3600" s="4" t="str">
        <f aca="false">B3600&amp;"|"&amp;C3600</f>
        <v>tdbR00000200 Lys-UUU|62</v>
      </c>
      <c r="B3600" s="4" t="s">
        <v>86</v>
      </c>
      <c r="C3600" s="4" t="s">
        <v>485</v>
      </c>
      <c r="D3600" s="4" t="n">
        <v>62</v>
      </c>
      <c r="E3600" s="23" t="s">
        <v>414</v>
      </c>
      <c r="F3600" s="10" t="s">
        <v>471</v>
      </c>
    </row>
    <row r="3601" customFormat="false" ht="15" hidden="false" customHeight="false" outlineLevel="0" collapsed="false">
      <c r="A3601" s="4" t="str">
        <f aca="false">B3601&amp;"|"&amp;C3601</f>
        <v>tdbR00000200 Lys-UUU|63</v>
      </c>
      <c r="B3601" s="4" t="s">
        <v>86</v>
      </c>
      <c r="C3601" s="4" t="s">
        <v>486</v>
      </c>
      <c r="D3601" s="4" t="n">
        <v>63</v>
      </c>
      <c r="E3601" s="23" t="s">
        <v>414</v>
      </c>
      <c r="F3601" s="10" t="s">
        <v>471</v>
      </c>
    </row>
    <row r="3602" customFormat="false" ht="15" hidden="false" customHeight="false" outlineLevel="0" collapsed="false">
      <c r="A3602" s="4" t="str">
        <f aca="false">B3602&amp;"|"&amp;C3602</f>
        <v>tdbR00000200 Lys-UUU|64</v>
      </c>
      <c r="B3602" s="4" t="s">
        <v>86</v>
      </c>
      <c r="C3602" s="4" t="s">
        <v>487</v>
      </c>
      <c r="D3602" s="4" t="n">
        <v>64</v>
      </c>
      <c r="E3602" s="23" t="s">
        <v>259</v>
      </c>
      <c r="F3602" s="10" t="s">
        <v>471</v>
      </c>
    </row>
    <row r="3603" customFormat="false" ht="15" hidden="false" customHeight="false" outlineLevel="0" collapsed="false">
      <c r="A3603" s="4" t="str">
        <f aca="false">B3603&amp;"|"&amp;C3603</f>
        <v>tdbR00000200 Lys-UUU|65</v>
      </c>
      <c r="B3603" s="4" t="s">
        <v>86</v>
      </c>
      <c r="C3603" s="4" t="s">
        <v>488</v>
      </c>
      <c r="D3603" s="4" t="n">
        <v>65</v>
      </c>
      <c r="E3603" s="23" t="s">
        <v>197</v>
      </c>
      <c r="F3603" s="10" t="s">
        <v>471</v>
      </c>
    </row>
    <row r="3604" customFormat="false" ht="15" hidden="false" customHeight="false" outlineLevel="0" collapsed="false">
      <c r="A3604" s="4" t="str">
        <f aca="false">B3604&amp;"|"&amp;C3604</f>
        <v>tdbR00000200 Lys-UUU|66</v>
      </c>
      <c r="B3604" s="4" t="s">
        <v>86</v>
      </c>
      <c r="C3604" s="4" t="s">
        <v>489</v>
      </c>
      <c r="D3604" s="4" t="n">
        <v>66</v>
      </c>
      <c r="E3604" s="17" t="s">
        <v>259</v>
      </c>
      <c r="F3604" s="18" t="s">
        <v>412</v>
      </c>
    </row>
    <row r="3605" customFormat="false" ht="15" hidden="false" customHeight="false" outlineLevel="0" collapsed="false">
      <c r="A3605" s="4" t="str">
        <f aca="false">B3605&amp;"|"&amp;C3605</f>
        <v>tdbR00000200 Lys-UUU|67</v>
      </c>
      <c r="B3605" s="4" t="s">
        <v>86</v>
      </c>
      <c r="C3605" s="4" t="s">
        <v>490</v>
      </c>
      <c r="D3605" s="4" t="n">
        <v>67</v>
      </c>
      <c r="E3605" s="17" t="s">
        <v>259</v>
      </c>
      <c r="F3605" s="18" t="s">
        <v>412</v>
      </c>
    </row>
    <row r="3606" customFormat="false" ht="15" hidden="false" customHeight="false" outlineLevel="0" collapsed="false">
      <c r="A3606" s="4" t="str">
        <f aca="false">B3606&amp;"|"&amp;C3606</f>
        <v>tdbR00000200 Lys-UUU|68</v>
      </c>
      <c r="B3606" s="4" t="s">
        <v>86</v>
      </c>
      <c r="C3606" s="4" t="s">
        <v>491</v>
      </c>
      <c r="D3606" s="4" t="n">
        <v>68</v>
      </c>
      <c r="E3606" s="17" t="s">
        <v>414</v>
      </c>
      <c r="F3606" s="18" t="s">
        <v>412</v>
      </c>
    </row>
    <row r="3607" customFormat="false" ht="15" hidden="false" customHeight="false" outlineLevel="0" collapsed="false">
      <c r="A3607" s="4" t="str">
        <f aca="false">B3607&amp;"|"&amp;C3607</f>
        <v>tdbR00000200 Lys-UUU|69</v>
      </c>
      <c r="B3607" s="4" t="s">
        <v>86</v>
      </c>
      <c r="C3607" s="4" t="s">
        <v>492</v>
      </c>
      <c r="D3607" s="4" t="n">
        <v>69</v>
      </c>
      <c r="E3607" s="17" t="s">
        <v>197</v>
      </c>
      <c r="F3607" s="18" t="s">
        <v>412</v>
      </c>
    </row>
    <row r="3608" customFormat="false" ht="15" hidden="false" customHeight="false" outlineLevel="0" collapsed="false">
      <c r="A3608" s="4" t="str">
        <f aca="false">B3608&amp;"|"&amp;C3608</f>
        <v>tdbR00000200 Lys-UUU|70</v>
      </c>
      <c r="B3608" s="4" t="s">
        <v>86</v>
      </c>
      <c r="C3608" s="4" t="s">
        <v>493</v>
      </c>
      <c r="D3608" s="4" t="n">
        <v>70</v>
      </c>
      <c r="E3608" s="17" t="s">
        <v>197</v>
      </c>
      <c r="F3608" s="18" t="s">
        <v>412</v>
      </c>
    </row>
    <row r="3609" customFormat="false" ht="15" hidden="false" customHeight="false" outlineLevel="0" collapsed="false">
      <c r="A3609" s="4" t="str">
        <f aca="false">B3609&amp;"|"&amp;C3609</f>
        <v>tdbR00000200 Lys-UUU|71</v>
      </c>
      <c r="B3609" s="4" t="s">
        <v>86</v>
      </c>
      <c r="C3609" s="4" t="s">
        <v>494</v>
      </c>
      <c r="D3609" s="4" t="n">
        <v>71</v>
      </c>
      <c r="E3609" s="17" t="s">
        <v>197</v>
      </c>
      <c r="F3609" s="18" t="s">
        <v>412</v>
      </c>
    </row>
    <row r="3610" customFormat="false" ht="15" hidden="false" customHeight="false" outlineLevel="0" collapsed="false">
      <c r="A3610" s="4" t="str">
        <f aca="false">B3610&amp;"|"&amp;C3610</f>
        <v>tdbR00000200 Lys-UUU|72</v>
      </c>
      <c r="B3610" s="4" t="s">
        <v>86</v>
      </c>
      <c r="C3610" s="4" t="s">
        <v>495</v>
      </c>
      <c r="D3610" s="4" t="n">
        <v>72</v>
      </c>
      <c r="E3610" s="17" t="s">
        <v>414</v>
      </c>
      <c r="F3610" s="18" t="s">
        <v>412</v>
      </c>
    </row>
    <row r="3611" customFormat="false" ht="15" hidden="false" customHeight="false" outlineLevel="0" collapsed="false">
      <c r="A3611" s="4" t="str">
        <f aca="false">B3611&amp;"|"&amp;C3611</f>
        <v>tdbR00000198 Lys-CUU|1</v>
      </c>
      <c r="B3611" s="4" t="s">
        <v>87</v>
      </c>
      <c r="C3611" s="4" t="s">
        <v>411</v>
      </c>
      <c r="D3611" s="4" t="n">
        <v>1</v>
      </c>
      <c r="E3611" s="17" t="s">
        <v>197</v>
      </c>
      <c r="F3611" s="18" t="s">
        <v>412</v>
      </c>
    </row>
    <row r="3612" customFormat="false" ht="15" hidden="false" customHeight="false" outlineLevel="0" collapsed="false">
      <c r="A3612" s="4" t="str">
        <f aca="false">B3612&amp;"|"&amp;C3612</f>
        <v>tdbR00000198 Lys-CUU|2</v>
      </c>
      <c r="B3612" s="4" t="s">
        <v>87</v>
      </c>
      <c r="C3612" s="4" t="s">
        <v>413</v>
      </c>
      <c r="D3612" s="4" t="n">
        <v>2</v>
      </c>
      <c r="E3612" s="17" t="s">
        <v>414</v>
      </c>
      <c r="F3612" s="18" t="s">
        <v>412</v>
      </c>
    </row>
    <row r="3613" customFormat="false" ht="15" hidden="false" customHeight="false" outlineLevel="0" collapsed="false">
      <c r="A3613" s="4" t="str">
        <f aca="false">B3613&amp;"|"&amp;C3613</f>
        <v>tdbR00000198 Lys-CUU|3</v>
      </c>
      <c r="B3613" s="4" t="s">
        <v>87</v>
      </c>
      <c r="C3613" s="4" t="s">
        <v>415</v>
      </c>
      <c r="D3613" s="4" t="n">
        <v>3</v>
      </c>
      <c r="E3613" s="17" t="s">
        <v>414</v>
      </c>
      <c r="F3613" s="18" t="s">
        <v>412</v>
      </c>
    </row>
    <row r="3614" customFormat="false" ht="15" hidden="false" customHeight="false" outlineLevel="0" collapsed="false">
      <c r="A3614" s="4" t="str">
        <f aca="false">B3614&amp;"|"&amp;C3614</f>
        <v>tdbR00000198 Lys-CUU|4</v>
      </c>
      <c r="B3614" s="4" t="s">
        <v>87</v>
      </c>
      <c r="C3614" s="4" t="s">
        <v>416</v>
      </c>
      <c r="D3614" s="4" t="n">
        <v>4</v>
      </c>
      <c r="E3614" s="17" t="s">
        <v>414</v>
      </c>
      <c r="F3614" s="18" t="s">
        <v>412</v>
      </c>
    </row>
    <row r="3615" customFormat="false" ht="15" hidden="false" customHeight="false" outlineLevel="0" collapsed="false">
      <c r="A3615" s="4" t="str">
        <f aca="false">B3615&amp;"|"&amp;C3615</f>
        <v>tdbR00000198 Lys-CUU|5</v>
      </c>
      <c r="B3615" s="4" t="s">
        <v>87</v>
      </c>
      <c r="C3615" s="4" t="s">
        <v>417</v>
      </c>
      <c r="D3615" s="4" t="n">
        <v>5</v>
      </c>
      <c r="E3615" s="17" t="s">
        <v>197</v>
      </c>
      <c r="F3615" s="18" t="s">
        <v>412</v>
      </c>
    </row>
    <row r="3616" customFormat="false" ht="15" hidden="false" customHeight="false" outlineLevel="0" collapsed="false">
      <c r="A3616" s="4" t="str">
        <f aca="false">B3616&amp;"|"&amp;C3616</f>
        <v>tdbR00000198 Lys-CUU|6</v>
      </c>
      <c r="B3616" s="4" t="s">
        <v>87</v>
      </c>
      <c r="C3616" s="4" t="s">
        <v>418</v>
      </c>
      <c r="D3616" s="4" t="n">
        <v>6</v>
      </c>
      <c r="E3616" s="17" t="s">
        <v>197</v>
      </c>
      <c r="F3616" s="18" t="s">
        <v>412</v>
      </c>
    </row>
    <row r="3617" customFormat="false" ht="15" hidden="false" customHeight="false" outlineLevel="0" collapsed="false">
      <c r="A3617" s="4" t="str">
        <f aca="false">B3617&amp;"|"&amp;C3617</f>
        <v>tdbR00000198 Lys-CUU|7</v>
      </c>
      <c r="B3617" s="4" t="s">
        <v>87</v>
      </c>
      <c r="C3617" s="4" t="s">
        <v>419</v>
      </c>
      <c r="D3617" s="4" t="n">
        <v>7</v>
      </c>
      <c r="E3617" s="17" t="s">
        <v>414</v>
      </c>
      <c r="F3617" s="18" t="s">
        <v>412</v>
      </c>
    </row>
    <row r="3618" customFormat="false" ht="15" hidden="false" customHeight="false" outlineLevel="0" collapsed="false">
      <c r="A3618" s="4" t="str">
        <f aca="false">B3618&amp;"|"&amp;C3618</f>
        <v>tdbR00000198 Lys-CUU|8</v>
      </c>
      <c r="B3618" s="4" t="s">
        <v>87</v>
      </c>
      <c r="C3618" s="4" t="s">
        <v>420</v>
      </c>
      <c r="D3618" s="4" t="n">
        <v>8</v>
      </c>
      <c r="E3618" s="3" t="s">
        <v>259</v>
      </c>
      <c r="F3618" s="4" t="s">
        <v>421</v>
      </c>
    </row>
    <row r="3619" customFormat="false" ht="15" hidden="false" customHeight="false" outlineLevel="0" collapsed="false">
      <c r="A3619" s="4" t="str">
        <f aca="false">B3619&amp;"|"&amp;C3619</f>
        <v>tdbR00000198 Lys-CUU|9</v>
      </c>
      <c r="B3619" s="4" t="s">
        <v>87</v>
      </c>
      <c r="C3619" s="4" t="s">
        <v>422</v>
      </c>
      <c r="D3619" s="4" t="n">
        <v>9</v>
      </c>
      <c r="E3619" s="3" t="s">
        <v>246</v>
      </c>
      <c r="F3619" s="4" t="s">
        <v>423</v>
      </c>
    </row>
    <row r="3620" customFormat="false" ht="15" hidden="false" customHeight="false" outlineLevel="0" collapsed="false">
      <c r="A3620" s="4" t="str">
        <f aca="false">B3620&amp;"|"&amp;C3620</f>
        <v>tdbR00000198 Lys-CUU|10</v>
      </c>
      <c r="B3620" s="4" t="s">
        <v>87</v>
      </c>
      <c r="C3620" s="4" t="s">
        <v>424</v>
      </c>
      <c r="D3620" s="4" t="n">
        <v>10</v>
      </c>
      <c r="E3620" s="8" t="s">
        <v>197</v>
      </c>
      <c r="F3620" s="7" t="s">
        <v>425</v>
      </c>
    </row>
    <row r="3621" customFormat="false" ht="15" hidden="false" customHeight="false" outlineLevel="0" collapsed="false">
      <c r="A3621" s="4" t="str">
        <f aca="false">B3621&amp;"|"&amp;C3621</f>
        <v>tdbR00000198 Lys-CUU|11</v>
      </c>
      <c r="B3621" s="4" t="s">
        <v>87</v>
      </c>
      <c r="C3621" s="4" t="s">
        <v>426</v>
      </c>
      <c r="D3621" s="4" t="n">
        <v>11</v>
      </c>
      <c r="E3621" s="8" t="s">
        <v>414</v>
      </c>
      <c r="F3621" s="7" t="s">
        <v>425</v>
      </c>
    </row>
    <row r="3622" customFormat="false" ht="15" hidden="false" customHeight="false" outlineLevel="0" collapsed="false">
      <c r="A3622" s="4" t="str">
        <f aca="false">B3622&amp;"|"&amp;C3622</f>
        <v>tdbR00000198 Lys-CUU|12</v>
      </c>
      <c r="B3622" s="4" t="s">
        <v>87</v>
      </c>
      <c r="C3622" s="4" t="s">
        <v>427</v>
      </c>
      <c r="D3622" s="4" t="n">
        <v>12</v>
      </c>
      <c r="E3622" s="8" t="s">
        <v>259</v>
      </c>
      <c r="F3622" s="7" t="s">
        <v>425</v>
      </c>
    </row>
    <row r="3623" customFormat="false" ht="15" hidden="false" customHeight="false" outlineLevel="0" collapsed="false">
      <c r="A3623" s="4" t="str">
        <f aca="false">B3623&amp;"|"&amp;C3623</f>
        <v>tdbR00000198 Lys-CUU|13</v>
      </c>
      <c r="B3623" s="4" t="s">
        <v>87</v>
      </c>
      <c r="C3623" s="4" t="s">
        <v>428</v>
      </c>
      <c r="D3623" s="4" t="n">
        <v>13</v>
      </c>
      <c r="E3623" s="8" t="s">
        <v>414</v>
      </c>
      <c r="F3623" s="7" t="s">
        <v>425</v>
      </c>
    </row>
    <row r="3624" customFormat="false" ht="15" hidden="false" customHeight="false" outlineLevel="0" collapsed="false">
      <c r="A3624" s="4" t="str">
        <f aca="false">B3624&amp;"|"&amp;C3624</f>
        <v>tdbR00000198 Lys-CUU|14</v>
      </c>
      <c r="B3624" s="4" t="s">
        <v>87</v>
      </c>
      <c r="C3624" s="4" t="s">
        <v>429</v>
      </c>
      <c r="D3624" s="4" t="n">
        <v>14</v>
      </c>
      <c r="E3624" s="19" t="s">
        <v>246</v>
      </c>
      <c r="F3624" s="20" t="s">
        <v>430</v>
      </c>
    </row>
    <row r="3625" customFormat="false" ht="15" hidden="false" customHeight="false" outlineLevel="0" collapsed="false">
      <c r="A3625" s="4" t="str">
        <f aca="false">B3625&amp;"|"&amp;C3625</f>
        <v>tdbR00000198 Lys-CUU|15</v>
      </c>
      <c r="B3625" s="4" t="s">
        <v>87</v>
      </c>
      <c r="C3625" s="4" t="s">
        <v>431</v>
      </c>
      <c r="D3625" s="4" t="n">
        <v>15</v>
      </c>
      <c r="E3625" s="19" t="s">
        <v>197</v>
      </c>
      <c r="F3625" s="20" t="s">
        <v>430</v>
      </c>
    </row>
    <row r="3626" customFormat="false" ht="15" hidden="false" customHeight="false" outlineLevel="0" collapsed="false">
      <c r="A3626" s="4" t="str">
        <f aca="false">B3626&amp;"|"&amp;C3626</f>
        <v>tdbR00000198 Lys-CUU|16</v>
      </c>
      <c r="B3626" s="4" t="s">
        <v>87</v>
      </c>
      <c r="C3626" s="4" t="s">
        <v>432</v>
      </c>
      <c r="D3626" s="4" t="n">
        <v>16</v>
      </c>
      <c r="E3626" s="19" t="s">
        <v>259</v>
      </c>
      <c r="F3626" s="20" t="s">
        <v>430</v>
      </c>
    </row>
    <row r="3627" customFormat="false" ht="15" hidden="false" customHeight="false" outlineLevel="0" collapsed="false">
      <c r="A3627" s="4" t="str">
        <f aca="false">B3627&amp;"|"&amp;C3627</f>
        <v>tdbR00000198 Lys-CUU|17</v>
      </c>
      <c r="B3627" s="4" t="s">
        <v>87</v>
      </c>
      <c r="C3627" s="4" t="s">
        <v>433</v>
      </c>
      <c r="D3627" s="4" t="n">
        <v>17</v>
      </c>
      <c r="E3627" s="19" t="s">
        <v>414</v>
      </c>
      <c r="F3627" s="20" t="s">
        <v>430</v>
      </c>
    </row>
    <row r="3628" customFormat="false" ht="15" hidden="false" customHeight="false" outlineLevel="0" collapsed="false">
      <c r="A3628" s="4" t="str">
        <f aca="false">B3628&amp;"|"&amp;C3628</f>
        <v>tdbR00000198 Lys-CUU|18</v>
      </c>
      <c r="B3628" s="4" t="s">
        <v>87</v>
      </c>
      <c r="C3628" s="4" t="s">
        <v>434</v>
      </c>
      <c r="D3628" s="4" t="n">
        <v>18</v>
      </c>
      <c r="E3628" s="19" t="s">
        <v>197</v>
      </c>
      <c r="F3628" s="20" t="s">
        <v>430</v>
      </c>
    </row>
    <row r="3629" customFormat="false" ht="15" hidden="false" customHeight="false" outlineLevel="0" collapsed="false">
      <c r="A3629" s="4" t="str">
        <f aca="false">B3629&amp;"|"&amp;C3629</f>
        <v>tdbR00000198 Lys-CUU|19</v>
      </c>
      <c r="B3629" s="4" t="s">
        <v>87</v>
      </c>
      <c r="C3629" s="4" t="s">
        <v>435</v>
      </c>
      <c r="D3629" s="4" t="n">
        <v>19</v>
      </c>
      <c r="E3629" s="19" t="s">
        <v>197</v>
      </c>
      <c r="F3629" s="20" t="s">
        <v>430</v>
      </c>
    </row>
    <row r="3630" customFormat="false" ht="15" hidden="false" customHeight="false" outlineLevel="0" collapsed="false">
      <c r="A3630" s="4" t="str">
        <f aca="false">B3630&amp;"|"&amp;C3630</f>
        <v>tdbR00000198 Lys-CUU|20</v>
      </c>
      <c r="B3630" s="4" t="s">
        <v>87</v>
      </c>
      <c r="C3630" s="4" t="s">
        <v>436</v>
      </c>
      <c r="D3630" s="4" t="n">
        <v>20</v>
      </c>
      <c r="E3630" s="19" t="s">
        <v>259</v>
      </c>
      <c r="F3630" s="20" t="s">
        <v>430</v>
      </c>
    </row>
    <row r="3631" customFormat="false" ht="15" hidden="false" customHeight="false" outlineLevel="0" collapsed="false">
      <c r="A3631" s="4" t="str">
        <f aca="false">B3631&amp;"|"&amp;C3631</f>
        <v>tdbR00000198 Lys-CUU|21</v>
      </c>
      <c r="B3631" s="4" t="s">
        <v>87</v>
      </c>
      <c r="C3631" s="4" t="s">
        <v>438</v>
      </c>
      <c r="D3631" s="4" t="n">
        <v>21</v>
      </c>
      <c r="E3631" s="19" t="s">
        <v>246</v>
      </c>
      <c r="F3631" s="20" t="s">
        <v>430</v>
      </c>
    </row>
    <row r="3632" customFormat="false" ht="15" hidden="false" customHeight="false" outlineLevel="0" collapsed="false">
      <c r="A3632" s="4" t="str">
        <f aca="false">B3632&amp;"|"&amp;C3632</f>
        <v>tdbR00000198 Lys-CUU|22</v>
      </c>
      <c r="B3632" s="4" t="s">
        <v>87</v>
      </c>
      <c r="C3632" s="4" t="s">
        <v>439</v>
      </c>
      <c r="D3632" s="4" t="n">
        <v>22</v>
      </c>
      <c r="E3632" s="8" t="s">
        <v>197</v>
      </c>
      <c r="F3632" s="7" t="s">
        <v>425</v>
      </c>
    </row>
    <row r="3633" customFormat="false" ht="15" hidden="false" customHeight="false" outlineLevel="0" collapsed="false">
      <c r="A3633" s="4" t="str">
        <f aca="false">B3633&amp;"|"&amp;C3633</f>
        <v>tdbR00000198 Lys-CUU|23</v>
      </c>
      <c r="B3633" s="4" t="s">
        <v>87</v>
      </c>
      <c r="C3633" s="4" t="s">
        <v>440</v>
      </c>
      <c r="D3633" s="4" t="n">
        <v>23</v>
      </c>
      <c r="E3633" s="8" t="s">
        <v>246</v>
      </c>
      <c r="F3633" s="7" t="s">
        <v>425</v>
      </c>
    </row>
    <row r="3634" customFormat="false" ht="15" hidden="false" customHeight="false" outlineLevel="0" collapsed="false">
      <c r="A3634" s="4" t="str">
        <f aca="false">B3634&amp;"|"&amp;C3634</f>
        <v>tdbR00000198 Lys-CUU|24</v>
      </c>
      <c r="B3634" s="4" t="s">
        <v>87</v>
      </c>
      <c r="C3634" s="4" t="s">
        <v>441</v>
      </c>
      <c r="D3634" s="4" t="n">
        <v>24</v>
      </c>
      <c r="E3634" s="8" t="s">
        <v>197</v>
      </c>
      <c r="F3634" s="7" t="s">
        <v>425</v>
      </c>
    </row>
    <row r="3635" customFormat="false" ht="15" hidden="false" customHeight="false" outlineLevel="0" collapsed="false">
      <c r="A3635" s="4" t="str">
        <f aca="false">B3635&amp;"|"&amp;C3635</f>
        <v>tdbR00000198 Lys-CUU|25</v>
      </c>
      <c r="B3635" s="4" t="s">
        <v>87</v>
      </c>
      <c r="C3635" s="4" t="s">
        <v>442</v>
      </c>
      <c r="D3635" s="4" t="n">
        <v>25</v>
      </c>
      <c r="E3635" s="8" t="s">
        <v>414</v>
      </c>
      <c r="F3635" s="7" t="s">
        <v>425</v>
      </c>
    </row>
    <row r="3636" customFormat="false" ht="15" hidden="false" customHeight="false" outlineLevel="0" collapsed="false">
      <c r="A3636" s="4" t="str">
        <f aca="false">B3636&amp;"|"&amp;C3636</f>
        <v>tdbR00000198 Lys-CUU|26</v>
      </c>
      <c r="B3636" s="4" t="s">
        <v>87</v>
      </c>
      <c r="C3636" s="4" t="s">
        <v>443</v>
      </c>
      <c r="D3636" s="4" t="n">
        <v>26</v>
      </c>
      <c r="E3636" s="3" t="s">
        <v>246</v>
      </c>
      <c r="F3636" s="4" t="s">
        <v>444</v>
      </c>
    </row>
    <row r="3637" customFormat="false" ht="15" hidden="false" customHeight="false" outlineLevel="0" collapsed="false">
      <c r="A3637" s="4" t="str">
        <f aca="false">B3637&amp;"|"&amp;C3637</f>
        <v>tdbR00000198 Lys-CUU|27</v>
      </c>
      <c r="B3637" s="4" t="s">
        <v>87</v>
      </c>
      <c r="C3637" s="4" t="s">
        <v>445</v>
      </c>
      <c r="D3637" s="4" t="n">
        <v>27</v>
      </c>
      <c r="E3637" s="21" t="s">
        <v>259</v>
      </c>
      <c r="F3637" s="22" t="s">
        <v>446</v>
      </c>
    </row>
    <row r="3638" customFormat="false" ht="15" hidden="false" customHeight="false" outlineLevel="0" collapsed="false">
      <c r="A3638" s="4" t="str">
        <f aca="false">B3638&amp;"|"&amp;C3638</f>
        <v>tdbR00000198 Lys-CUU|28</v>
      </c>
      <c r="B3638" s="4" t="s">
        <v>87</v>
      </c>
      <c r="C3638" s="4" t="s">
        <v>447</v>
      </c>
      <c r="D3638" s="4" t="n">
        <v>28</v>
      </c>
      <c r="E3638" s="21" t="s">
        <v>197</v>
      </c>
      <c r="F3638" s="22" t="s">
        <v>446</v>
      </c>
    </row>
    <row r="3639" customFormat="false" ht="15" hidden="false" customHeight="false" outlineLevel="0" collapsed="false">
      <c r="A3639" s="4" t="str">
        <f aca="false">B3639&amp;"|"&amp;C3639</f>
        <v>tdbR00000198 Lys-CUU|29</v>
      </c>
      <c r="B3639" s="4" t="s">
        <v>87</v>
      </c>
      <c r="C3639" s="4" t="s">
        <v>448</v>
      </c>
      <c r="D3639" s="4" t="n">
        <v>29</v>
      </c>
      <c r="E3639" s="21" t="s">
        <v>197</v>
      </c>
      <c r="F3639" s="22" t="s">
        <v>446</v>
      </c>
    </row>
    <row r="3640" customFormat="false" ht="15" hidden="false" customHeight="false" outlineLevel="0" collapsed="false">
      <c r="A3640" s="4" t="str">
        <f aca="false">B3640&amp;"|"&amp;C3640</f>
        <v>tdbR00000198 Lys-CUU|30</v>
      </c>
      <c r="B3640" s="4" t="s">
        <v>87</v>
      </c>
      <c r="C3640" s="4" t="s">
        <v>449</v>
      </c>
      <c r="D3640" s="4" t="n">
        <v>30</v>
      </c>
      <c r="E3640" s="21" t="s">
        <v>197</v>
      </c>
      <c r="F3640" s="22" t="s">
        <v>446</v>
      </c>
    </row>
    <row r="3641" customFormat="false" ht="15" hidden="false" customHeight="false" outlineLevel="0" collapsed="false">
      <c r="A3641" s="4" t="str">
        <f aca="false">B3641&amp;"|"&amp;C3641</f>
        <v>tdbR00000198 Lys-CUU|31</v>
      </c>
      <c r="B3641" s="4" t="s">
        <v>87</v>
      </c>
      <c r="C3641" s="4" t="s">
        <v>450</v>
      </c>
      <c r="D3641" s="4" t="n">
        <v>31</v>
      </c>
      <c r="E3641" s="21" t="s">
        <v>246</v>
      </c>
      <c r="F3641" s="22" t="s">
        <v>446</v>
      </c>
    </row>
    <row r="3642" customFormat="false" ht="15" hidden="false" customHeight="false" outlineLevel="0" collapsed="false">
      <c r="A3642" s="4" t="str">
        <f aca="false">B3642&amp;"|"&amp;C3642</f>
        <v>tdbR00000198 Lys-CUU|32</v>
      </c>
      <c r="B3642" s="4" t="s">
        <v>87</v>
      </c>
      <c r="C3642" s="4" t="s">
        <v>451</v>
      </c>
      <c r="D3642" s="4" t="n">
        <v>32</v>
      </c>
      <c r="E3642" s="19" t="s">
        <v>414</v>
      </c>
      <c r="F3642" s="20" t="s">
        <v>452</v>
      </c>
    </row>
    <row r="3643" customFormat="false" ht="15" hidden="false" customHeight="false" outlineLevel="0" collapsed="false">
      <c r="A3643" s="4" t="str">
        <f aca="false">B3643&amp;"|"&amp;C3643</f>
        <v>tdbR00000198 Lys-CUU|33</v>
      </c>
      <c r="B3643" s="4" t="s">
        <v>87</v>
      </c>
      <c r="C3643" s="4" t="s">
        <v>453</v>
      </c>
      <c r="D3643" s="4" t="n">
        <v>33</v>
      </c>
      <c r="E3643" s="19" t="s">
        <v>259</v>
      </c>
      <c r="F3643" s="20" t="s">
        <v>452</v>
      </c>
    </row>
    <row r="3644" customFormat="false" ht="15" hidden="false" customHeight="false" outlineLevel="0" collapsed="false">
      <c r="A3644" s="4" t="str">
        <f aca="false">B3644&amp;"|"&amp;C3644</f>
        <v>tdbR00000198 Lys-CUU|34</v>
      </c>
      <c r="B3644" s="4" t="s">
        <v>87</v>
      </c>
      <c r="C3644" s="4" t="s">
        <v>454</v>
      </c>
      <c r="D3644" s="4" t="n">
        <v>34</v>
      </c>
      <c r="E3644" s="19" t="s">
        <v>414</v>
      </c>
      <c r="F3644" s="20" t="s">
        <v>452</v>
      </c>
    </row>
    <row r="3645" customFormat="false" ht="15" hidden="false" customHeight="false" outlineLevel="0" collapsed="false">
      <c r="A3645" s="4" t="str">
        <f aca="false">B3645&amp;"|"&amp;C3645</f>
        <v>tdbR00000198 Lys-CUU|35</v>
      </c>
      <c r="B3645" s="4" t="s">
        <v>87</v>
      </c>
      <c r="C3645" s="4" t="s">
        <v>455</v>
      </c>
      <c r="D3645" s="4" t="n">
        <v>35</v>
      </c>
      <c r="E3645" s="19" t="s">
        <v>259</v>
      </c>
      <c r="F3645" s="20" t="s">
        <v>452</v>
      </c>
    </row>
    <row r="3646" customFormat="false" ht="15" hidden="false" customHeight="false" outlineLevel="0" collapsed="false">
      <c r="A3646" s="4" t="str">
        <f aca="false">B3646&amp;"|"&amp;C3646</f>
        <v>tdbR00000198 Lys-CUU|36</v>
      </c>
      <c r="B3646" s="4" t="s">
        <v>87</v>
      </c>
      <c r="C3646" s="4" t="s">
        <v>456</v>
      </c>
      <c r="D3646" s="4" t="n">
        <v>36</v>
      </c>
      <c r="E3646" s="19" t="s">
        <v>259</v>
      </c>
      <c r="F3646" s="20" t="s">
        <v>452</v>
      </c>
    </row>
    <row r="3647" customFormat="false" ht="15" hidden="false" customHeight="false" outlineLevel="0" collapsed="false">
      <c r="A3647" s="4" t="str">
        <f aca="false">B3647&amp;"|"&amp;C3647</f>
        <v>tdbR00000198 Lys-CUU|37</v>
      </c>
      <c r="B3647" s="4" t="s">
        <v>87</v>
      </c>
      <c r="C3647" s="4" t="s">
        <v>457</v>
      </c>
      <c r="D3647" s="4" t="n">
        <v>37</v>
      </c>
      <c r="E3647" s="19" t="s">
        <v>246</v>
      </c>
      <c r="F3647" s="20" t="s">
        <v>452</v>
      </c>
    </row>
    <row r="3648" customFormat="false" ht="15" hidden="false" customHeight="false" outlineLevel="0" collapsed="false">
      <c r="A3648" s="4" t="str">
        <f aca="false">B3648&amp;"|"&amp;C3648</f>
        <v>tdbR00000198 Lys-CUU|38</v>
      </c>
      <c r="B3648" s="4" t="s">
        <v>87</v>
      </c>
      <c r="C3648" s="4" t="s">
        <v>458</v>
      </c>
      <c r="D3648" s="4" t="n">
        <v>38</v>
      </c>
      <c r="E3648" s="19" t="s">
        <v>246</v>
      </c>
      <c r="F3648" s="20" t="s">
        <v>452</v>
      </c>
    </row>
    <row r="3649" customFormat="false" ht="15" hidden="false" customHeight="false" outlineLevel="0" collapsed="false">
      <c r="A3649" s="4" t="str">
        <f aca="false">B3649&amp;"|"&amp;C3649</f>
        <v>tdbR00000198 Lys-CUU|39</v>
      </c>
      <c r="B3649" s="4" t="s">
        <v>87</v>
      </c>
      <c r="C3649" s="4" t="s">
        <v>459</v>
      </c>
      <c r="D3649" s="4" t="n">
        <v>39</v>
      </c>
      <c r="E3649" s="21" t="s">
        <v>259</v>
      </c>
      <c r="F3649" s="22" t="s">
        <v>446</v>
      </c>
    </row>
    <row r="3650" customFormat="false" ht="15" hidden="false" customHeight="false" outlineLevel="0" collapsed="false">
      <c r="A3650" s="4" t="str">
        <f aca="false">B3650&amp;"|"&amp;C3650</f>
        <v>tdbR00000198 Lys-CUU|40</v>
      </c>
      <c r="B3650" s="4" t="s">
        <v>87</v>
      </c>
      <c r="C3650" s="4" t="s">
        <v>460</v>
      </c>
      <c r="D3650" s="4" t="n">
        <v>40</v>
      </c>
      <c r="E3650" s="21" t="s">
        <v>414</v>
      </c>
      <c r="F3650" s="22" t="s">
        <v>446</v>
      </c>
    </row>
    <row r="3651" customFormat="false" ht="15" hidden="false" customHeight="false" outlineLevel="0" collapsed="false">
      <c r="A3651" s="4" t="str">
        <f aca="false">B3651&amp;"|"&amp;C3651</f>
        <v>tdbR00000198 Lys-CUU|41</v>
      </c>
      <c r="B3651" s="4" t="s">
        <v>87</v>
      </c>
      <c r="C3651" s="4" t="s">
        <v>461</v>
      </c>
      <c r="D3651" s="4" t="n">
        <v>41</v>
      </c>
      <c r="E3651" s="21" t="s">
        <v>414</v>
      </c>
      <c r="F3651" s="22" t="s">
        <v>446</v>
      </c>
    </row>
    <row r="3652" customFormat="false" ht="15" hidden="false" customHeight="false" outlineLevel="0" collapsed="false">
      <c r="A3652" s="4" t="str">
        <f aca="false">B3652&amp;"|"&amp;C3652</f>
        <v>tdbR00000198 Lys-CUU|42</v>
      </c>
      <c r="B3652" s="4" t="s">
        <v>87</v>
      </c>
      <c r="C3652" s="4" t="s">
        <v>462</v>
      </c>
      <c r="D3652" s="4" t="n">
        <v>42</v>
      </c>
      <c r="E3652" s="21" t="s">
        <v>414</v>
      </c>
      <c r="F3652" s="22" t="s">
        <v>446</v>
      </c>
    </row>
    <row r="3653" customFormat="false" ht="15" hidden="false" customHeight="false" outlineLevel="0" collapsed="false">
      <c r="A3653" s="4" t="str">
        <f aca="false">B3653&amp;"|"&amp;C3653</f>
        <v>tdbR00000198 Lys-CUU|43</v>
      </c>
      <c r="B3653" s="4" t="s">
        <v>87</v>
      </c>
      <c r="C3653" s="4" t="s">
        <v>463</v>
      </c>
      <c r="D3653" s="4" t="n">
        <v>43</v>
      </c>
      <c r="E3653" s="21" t="s">
        <v>246</v>
      </c>
      <c r="F3653" s="22" t="s">
        <v>446</v>
      </c>
    </row>
    <row r="3654" customFormat="false" ht="15" hidden="false" customHeight="false" outlineLevel="0" collapsed="false">
      <c r="A3654" s="4" t="str">
        <f aca="false">B3654&amp;"|"&amp;C3654</f>
        <v>tdbR00000198 Lys-CUU|44</v>
      </c>
      <c r="B3654" s="4" t="s">
        <v>87</v>
      </c>
      <c r="C3654" s="4" t="s">
        <v>464</v>
      </c>
      <c r="D3654" s="4" t="n">
        <v>44</v>
      </c>
      <c r="E3654" s="19" t="s">
        <v>197</v>
      </c>
      <c r="F3654" s="20" t="s">
        <v>465</v>
      </c>
    </row>
    <row r="3655" customFormat="false" ht="15" hidden="false" customHeight="false" outlineLevel="0" collapsed="false">
      <c r="A3655" s="4" t="str">
        <f aca="false">B3655&amp;"|"&amp;C3655</f>
        <v>tdbR00000198 Lys-CUU|45</v>
      </c>
      <c r="B3655" s="4" t="s">
        <v>87</v>
      </c>
      <c r="C3655" s="4" t="s">
        <v>466</v>
      </c>
      <c r="D3655" s="4" t="n">
        <v>45</v>
      </c>
      <c r="E3655" s="19" t="s">
        <v>197</v>
      </c>
      <c r="F3655" s="20" t="s">
        <v>465</v>
      </c>
    </row>
    <row r="3656" customFormat="false" ht="15" hidden="false" customHeight="false" outlineLevel="0" collapsed="false">
      <c r="A3656" s="4" t="str">
        <f aca="false">B3656&amp;"|"&amp;C3656</f>
        <v>tdbR00000198 Lys-CUU|46</v>
      </c>
      <c r="B3656" s="4" t="s">
        <v>87</v>
      </c>
      <c r="C3656" s="4" t="s">
        <v>467</v>
      </c>
      <c r="D3656" s="4" t="n">
        <v>46</v>
      </c>
      <c r="E3656" s="19" t="s">
        <v>197</v>
      </c>
      <c r="F3656" s="20" t="s">
        <v>465</v>
      </c>
    </row>
    <row r="3657" customFormat="false" ht="15" hidden="false" customHeight="false" outlineLevel="0" collapsed="false">
      <c r="A3657" s="4" t="str">
        <f aca="false">B3657&amp;"|"&amp;C3657</f>
        <v>tdbR00000198 Lys-CUU|47</v>
      </c>
      <c r="B3657" s="4" t="s">
        <v>87</v>
      </c>
      <c r="C3657" s="4" t="s">
        <v>468</v>
      </c>
      <c r="D3657" s="4" t="n">
        <v>47</v>
      </c>
      <c r="E3657" s="19" t="s">
        <v>259</v>
      </c>
      <c r="F3657" s="20" t="s">
        <v>465</v>
      </c>
    </row>
    <row r="3658" customFormat="false" ht="15" hidden="false" customHeight="false" outlineLevel="0" collapsed="false">
      <c r="A3658" s="4" t="str">
        <f aca="false">B3658&amp;"|"&amp;C3658</f>
        <v>tdbR00000198 Lys-CUU|48</v>
      </c>
      <c r="B3658" s="4" t="s">
        <v>87</v>
      </c>
      <c r="C3658" s="4" t="s">
        <v>469</v>
      </c>
      <c r="D3658" s="4" t="n">
        <v>48</v>
      </c>
      <c r="E3658" s="19" t="s">
        <v>414</v>
      </c>
      <c r="F3658" s="20" t="s">
        <v>465</v>
      </c>
    </row>
    <row r="3659" customFormat="false" ht="15" hidden="false" customHeight="false" outlineLevel="0" collapsed="false">
      <c r="A3659" s="4" t="str">
        <f aca="false">B3659&amp;"|"&amp;C3659</f>
        <v>tdbR00000198 Lys-CUU|49</v>
      </c>
      <c r="B3659" s="4" t="s">
        <v>87</v>
      </c>
      <c r="C3659" s="4" t="s">
        <v>470</v>
      </c>
      <c r="D3659" s="4" t="n">
        <v>49</v>
      </c>
      <c r="E3659" s="23" t="s">
        <v>197</v>
      </c>
      <c r="F3659" s="10" t="s">
        <v>471</v>
      </c>
    </row>
    <row r="3660" customFormat="false" ht="15" hidden="false" customHeight="false" outlineLevel="0" collapsed="false">
      <c r="A3660" s="4" t="str">
        <f aca="false">B3660&amp;"|"&amp;C3660</f>
        <v>tdbR00000198 Lys-CUU|50</v>
      </c>
      <c r="B3660" s="4" t="s">
        <v>87</v>
      </c>
      <c r="C3660" s="4" t="s">
        <v>472</v>
      </c>
      <c r="D3660" s="4" t="n">
        <v>50</v>
      </c>
      <c r="E3660" s="23" t="s">
        <v>259</v>
      </c>
      <c r="F3660" s="10" t="s">
        <v>471</v>
      </c>
    </row>
    <row r="3661" customFormat="false" ht="15" hidden="false" customHeight="false" outlineLevel="0" collapsed="false">
      <c r="A3661" s="4" t="str">
        <f aca="false">B3661&amp;"|"&amp;C3661</f>
        <v>tdbR00000198 Lys-CUU|51</v>
      </c>
      <c r="B3661" s="4" t="s">
        <v>87</v>
      </c>
      <c r="C3661" s="4" t="s">
        <v>473</v>
      </c>
      <c r="D3661" s="4" t="n">
        <v>51</v>
      </c>
      <c r="E3661" s="23" t="s">
        <v>197</v>
      </c>
      <c r="F3661" s="10" t="s">
        <v>471</v>
      </c>
    </row>
    <row r="3662" customFormat="false" ht="15" hidden="false" customHeight="false" outlineLevel="0" collapsed="false">
      <c r="A3662" s="4" t="str">
        <f aca="false">B3662&amp;"|"&amp;C3662</f>
        <v>tdbR00000198 Lys-CUU|52</v>
      </c>
      <c r="B3662" s="4" t="s">
        <v>87</v>
      </c>
      <c r="C3662" s="4" t="s">
        <v>474</v>
      </c>
      <c r="D3662" s="4" t="n">
        <v>52</v>
      </c>
      <c r="E3662" s="23" t="s">
        <v>197</v>
      </c>
      <c r="F3662" s="10" t="s">
        <v>471</v>
      </c>
    </row>
    <row r="3663" customFormat="false" ht="15" hidden="false" customHeight="false" outlineLevel="0" collapsed="false">
      <c r="A3663" s="4" t="str">
        <f aca="false">B3663&amp;"|"&amp;C3663</f>
        <v>tdbR00000198 Lys-CUU|53</v>
      </c>
      <c r="B3663" s="4" t="s">
        <v>87</v>
      </c>
      <c r="C3663" s="4" t="s">
        <v>475</v>
      </c>
      <c r="D3663" s="4" t="n">
        <v>53</v>
      </c>
      <c r="E3663" s="23" t="s">
        <v>197</v>
      </c>
      <c r="F3663" s="10" t="s">
        <v>471</v>
      </c>
    </row>
    <row r="3664" customFormat="false" ht="15" hidden="false" customHeight="false" outlineLevel="0" collapsed="false">
      <c r="A3664" s="4" t="str">
        <f aca="false">B3664&amp;"|"&amp;C3664</f>
        <v>tdbR00000198 Lys-CUU|54</v>
      </c>
      <c r="B3664" s="4" t="s">
        <v>87</v>
      </c>
      <c r="C3664" s="4" t="s">
        <v>476</v>
      </c>
      <c r="D3664" s="4" t="n">
        <v>54</v>
      </c>
      <c r="E3664" s="19" t="s">
        <v>259</v>
      </c>
      <c r="F3664" s="20" t="s">
        <v>477</v>
      </c>
    </row>
    <row r="3665" customFormat="false" ht="15" hidden="false" customHeight="false" outlineLevel="0" collapsed="false">
      <c r="A3665" s="4" t="str">
        <f aca="false">B3665&amp;"|"&amp;C3665</f>
        <v>tdbR00000198 Lys-CUU|55</v>
      </c>
      <c r="B3665" s="4" t="s">
        <v>87</v>
      </c>
      <c r="C3665" s="4" t="s">
        <v>478</v>
      </c>
      <c r="D3665" s="4" t="n">
        <v>55</v>
      </c>
      <c r="E3665" s="19" t="s">
        <v>259</v>
      </c>
      <c r="F3665" s="20" t="s">
        <v>477</v>
      </c>
    </row>
    <row r="3666" customFormat="false" ht="15" hidden="false" customHeight="false" outlineLevel="0" collapsed="false">
      <c r="A3666" s="4" t="str">
        <f aca="false">B3666&amp;"|"&amp;C3666</f>
        <v>tdbR00000198 Lys-CUU|56</v>
      </c>
      <c r="B3666" s="4" t="s">
        <v>87</v>
      </c>
      <c r="C3666" s="4" t="s">
        <v>479</v>
      </c>
      <c r="D3666" s="4" t="n">
        <v>56</v>
      </c>
      <c r="E3666" s="19" t="s">
        <v>414</v>
      </c>
      <c r="F3666" s="20" t="s">
        <v>477</v>
      </c>
    </row>
    <row r="3667" customFormat="false" ht="15" hidden="false" customHeight="false" outlineLevel="0" collapsed="false">
      <c r="A3667" s="4" t="str">
        <f aca="false">B3667&amp;"|"&amp;C3667</f>
        <v>tdbR00000198 Lys-CUU|57</v>
      </c>
      <c r="B3667" s="4" t="s">
        <v>87</v>
      </c>
      <c r="C3667" s="4" t="s">
        <v>480</v>
      </c>
      <c r="D3667" s="4" t="n">
        <v>57</v>
      </c>
      <c r="E3667" s="19" t="s">
        <v>197</v>
      </c>
      <c r="F3667" s="20" t="s">
        <v>477</v>
      </c>
    </row>
    <row r="3668" customFormat="false" ht="15" hidden="false" customHeight="false" outlineLevel="0" collapsed="false">
      <c r="A3668" s="4" t="str">
        <f aca="false">B3668&amp;"|"&amp;C3668</f>
        <v>tdbR00000198 Lys-CUU|58</v>
      </c>
      <c r="B3668" s="4" t="s">
        <v>87</v>
      </c>
      <c r="C3668" s="4" t="s">
        <v>481</v>
      </c>
      <c r="D3668" s="4" t="n">
        <v>58</v>
      </c>
      <c r="E3668" s="19" t="s">
        <v>246</v>
      </c>
      <c r="F3668" s="20" t="s">
        <v>477</v>
      </c>
    </row>
    <row r="3669" customFormat="false" ht="15" hidden="false" customHeight="false" outlineLevel="0" collapsed="false">
      <c r="A3669" s="4" t="str">
        <f aca="false">B3669&amp;"|"&amp;C3669</f>
        <v>tdbR00000198 Lys-CUU|59</v>
      </c>
      <c r="B3669" s="4" t="s">
        <v>87</v>
      </c>
      <c r="C3669" s="4" t="s">
        <v>482</v>
      </c>
      <c r="D3669" s="4" t="n">
        <v>59</v>
      </c>
      <c r="E3669" s="19" t="s">
        <v>197</v>
      </c>
      <c r="F3669" s="20" t="s">
        <v>477</v>
      </c>
    </row>
    <row r="3670" customFormat="false" ht="15" hidden="false" customHeight="false" outlineLevel="0" collapsed="false">
      <c r="A3670" s="4" t="str">
        <f aca="false">B3670&amp;"|"&amp;C3670</f>
        <v>tdbR00000198 Lys-CUU|60</v>
      </c>
      <c r="B3670" s="4" t="s">
        <v>87</v>
      </c>
      <c r="C3670" s="4" t="s">
        <v>483</v>
      </c>
      <c r="D3670" s="4" t="n">
        <v>60</v>
      </c>
      <c r="E3670" s="19" t="s">
        <v>414</v>
      </c>
      <c r="F3670" s="20" t="s">
        <v>477</v>
      </c>
    </row>
    <row r="3671" customFormat="false" ht="15" hidden="false" customHeight="false" outlineLevel="0" collapsed="false">
      <c r="A3671" s="4" t="str">
        <f aca="false">B3671&amp;"|"&amp;C3671</f>
        <v>tdbR00000198 Lys-CUU|61</v>
      </c>
      <c r="B3671" s="4" t="s">
        <v>87</v>
      </c>
      <c r="C3671" s="4" t="s">
        <v>484</v>
      </c>
      <c r="D3671" s="4" t="n">
        <v>61</v>
      </c>
      <c r="E3671" s="23" t="s">
        <v>414</v>
      </c>
      <c r="F3671" s="10" t="s">
        <v>471</v>
      </c>
    </row>
    <row r="3672" customFormat="false" ht="15" hidden="false" customHeight="false" outlineLevel="0" collapsed="false">
      <c r="A3672" s="4" t="str">
        <f aca="false">B3672&amp;"|"&amp;C3672</f>
        <v>tdbR00000198 Lys-CUU|62</v>
      </c>
      <c r="B3672" s="4" t="s">
        <v>87</v>
      </c>
      <c r="C3672" s="4" t="s">
        <v>485</v>
      </c>
      <c r="D3672" s="4" t="n">
        <v>62</v>
      </c>
      <c r="E3672" s="23" t="s">
        <v>414</v>
      </c>
      <c r="F3672" s="10" t="s">
        <v>471</v>
      </c>
    </row>
    <row r="3673" customFormat="false" ht="15" hidden="false" customHeight="false" outlineLevel="0" collapsed="false">
      <c r="A3673" s="4" t="str">
        <f aca="false">B3673&amp;"|"&amp;C3673</f>
        <v>tdbR00000198 Lys-CUU|63</v>
      </c>
      <c r="B3673" s="4" t="s">
        <v>87</v>
      </c>
      <c r="C3673" s="4" t="s">
        <v>486</v>
      </c>
      <c r="D3673" s="4" t="n">
        <v>63</v>
      </c>
      <c r="E3673" s="23" t="s">
        <v>414</v>
      </c>
      <c r="F3673" s="10" t="s">
        <v>471</v>
      </c>
    </row>
    <row r="3674" customFormat="false" ht="15" hidden="false" customHeight="false" outlineLevel="0" collapsed="false">
      <c r="A3674" s="4" t="str">
        <f aca="false">B3674&amp;"|"&amp;C3674</f>
        <v>tdbR00000198 Lys-CUU|64</v>
      </c>
      <c r="B3674" s="4" t="s">
        <v>87</v>
      </c>
      <c r="C3674" s="4" t="s">
        <v>487</v>
      </c>
      <c r="D3674" s="4" t="n">
        <v>64</v>
      </c>
      <c r="E3674" s="23" t="s">
        <v>246</v>
      </c>
      <c r="F3674" s="10" t="s">
        <v>471</v>
      </c>
    </row>
    <row r="3675" customFormat="false" ht="15" hidden="false" customHeight="false" outlineLevel="0" collapsed="false">
      <c r="A3675" s="4" t="str">
        <f aca="false">B3675&amp;"|"&amp;C3675</f>
        <v>tdbR00000198 Lys-CUU|65</v>
      </c>
      <c r="B3675" s="4" t="s">
        <v>87</v>
      </c>
      <c r="C3675" s="4" t="s">
        <v>488</v>
      </c>
      <c r="D3675" s="4" t="n">
        <v>65</v>
      </c>
      <c r="E3675" s="23" t="s">
        <v>414</v>
      </c>
      <c r="F3675" s="10" t="s">
        <v>471</v>
      </c>
    </row>
    <row r="3676" customFormat="false" ht="15" hidden="false" customHeight="false" outlineLevel="0" collapsed="false">
      <c r="A3676" s="4" t="str">
        <f aca="false">B3676&amp;"|"&amp;C3676</f>
        <v>tdbR00000198 Lys-CUU|66</v>
      </c>
      <c r="B3676" s="4" t="s">
        <v>87</v>
      </c>
      <c r="C3676" s="4" t="s">
        <v>489</v>
      </c>
      <c r="D3676" s="4" t="n">
        <v>66</v>
      </c>
      <c r="E3676" s="17" t="s">
        <v>197</v>
      </c>
      <c r="F3676" s="18" t="s">
        <v>412</v>
      </c>
    </row>
    <row r="3677" customFormat="false" ht="15" hidden="false" customHeight="false" outlineLevel="0" collapsed="false">
      <c r="A3677" s="4" t="str">
        <f aca="false">B3677&amp;"|"&amp;C3677</f>
        <v>tdbR00000198 Lys-CUU|67</v>
      </c>
      <c r="B3677" s="4" t="s">
        <v>87</v>
      </c>
      <c r="C3677" s="4" t="s">
        <v>490</v>
      </c>
      <c r="D3677" s="4" t="n">
        <v>67</v>
      </c>
      <c r="E3677" s="17" t="s">
        <v>259</v>
      </c>
      <c r="F3677" s="18" t="s">
        <v>412</v>
      </c>
    </row>
    <row r="3678" customFormat="false" ht="15" hidden="false" customHeight="false" outlineLevel="0" collapsed="false">
      <c r="A3678" s="4" t="str">
        <f aca="false">B3678&amp;"|"&amp;C3678</f>
        <v>tdbR00000198 Lys-CUU|68</v>
      </c>
      <c r="B3678" s="4" t="s">
        <v>87</v>
      </c>
      <c r="C3678" s="4" t="s">
        <v>491</v>
      </c>
      <c r="D3678" s="4" t="n">
        <v>68</v>
      </c>
      <c r="E3678" s="17" t="s">
        <v>259</v>
      </c>
      <c r="F3678" s="18" t="s">
        <v>412</v>
      </c>
    </row>
    <row r="3679" customFormat="false" ht="15" hidden="false" customHeight="false" outlineLevel="0" collapsed="false">
      <c r="A3679" s="4" t="str">
        <f aca="false">B3679&amp;"|"&amp;C3679</f>
        <v>tdbR00000198 Lys-CUU|69</v>
      </c>
      <c r="B3679" s="4" t="s">
        <v>87</v>
      </c>
      <c r="C3679" s="4" t="s">
        <v>492</v>
      </c>
      <c r="D3679" s="4" t="n">
        <v>69</v>
      </c>
      <c r="E3679" s="17" t="s">
        <v>197</v>
      </c>
      <c r="F3679" s="18" t="s">
        <v>412</v>
      </c>
    </row>
    <row r="3680" customFormat="false" ht="15" hidden="false" customHeight="false" outlineLevel="0" collapsed="false">
      <c r="A3680" s="4" t="str">
        <f aca="false">B3680&amp;"|"&amp;C3680</f>
        <v>tdbR00000198 Lys-CUU|70</v>
      </c>
      <c r="B3680" s="4" t="s">
        <v>87</v>
      </c>
      <c r="C3680" s="4" t="s">
        <v>493</v>
      </c>
      <c r="D3680" s="4" t="n">
        <v>70</v>
      </c>
      <c r="E3680" s="17" t="s">
        <v>197</v>
      </c>
      <c r="F3680" s="18" t="s">
        <v>412</v>
      </c>
    </row>
    <row r="3681" customFormat="false" ht="15" hidden="false" customHeight="false" outlineLevel="0" collapsed="false">
      <c r="A3681" s="4" t="str">
        <f aca="false">B3681&amp;"|"&amp;C3681</f>
        <v>tdbR00000198 Lys-CUU|71</v>
      </c>
      <c r="B3681" s="4" t="s">
        <v>87</v>
      </c>
      <c r="C3681" s="4" t="s">
        <v>494</v>
      </c>
      <c r="D3681" s="4" t="n">
        <v>71</v>
      </c>
      <c r="E3681" s="17" t="s">
        <v>197</v>
      </c>
      <c r="F3681" s="18" t="s">
        <v>412</v>
      </c>
    </row>
    <row r="3682" customFormat="false" ht="15" hidden="false" customHeight="false" outlineLevel="0" collapsed="false">
      <c r="A3682" s="4" t="str">
        <f aca="false">B3682&amp;"|"&amp;C3682</f>
        <v>tdbR00000198 Lys-CUU|72</v>
      </c>
      <c r="B3682" s="4" t="s">
        <v>87</v>
      </c>
      <c r="C3682" s="4" t="s">
        <v>495</v>
      </c>
      <c r="D3682" s="4" t="n">
        <v>72</v>
      </c>
      <c r="E3682" s="17" t="s">
        <v>414</v>
      </c>
      <c r="F3682" s="18" t="s">
        <v>412</v>
      </c>
    </row>
    <row r="3683" customFormat="false" ht="15" hidden="false" customHeight="false" outlineLevel="0" collapsed="false">
      <c r="A3683" s="4" t="str">
        <f aca="false">B3683&amp;"|"&amp;C3683</f>
        <v>tdbR00000199 Lys-CUU|1</v>
      </c>
      <c r="B3683" s="4" t="s">
        <v>88</v>
      </c>
      <c r="C3683" s="4" t="s">
        <v>411</v>
      </c>
      <c r="D3683" s="4" t="n">
        <v>1</v>
      </c>
      <c r="E3683" s="17" t="s">
        <v>197</v>
      </c>
      <c r="F3683" s="18" t="s">
        <v>412</v>
      </c>
    </row>
    <row r="3684" customFormat="false" ht="15" hidden="false" customHeight="false" outlineLevel="0" collapsed="false">
      <c r="A3684" s="4" t="str">
        <f aca="false">B3684&amp;"|"&amp;C3684</f>
        <v>tdbR00000199 Lys-CUU|2</v>
      </c>
      <c r="B3684" s="4" t="s">
        <v>88</v>
      </c>
      <c r="C3684" s="4" t="s">
        <v>413</v>
      </c>
      <c r="D3684" s="4" t="n">
        <v>2</v>
      </c>
      <c r="E3684" s="17" t="s">
        <v>414</v>
      </c>
      <c r="F3684" s="18" t="s">
        <v>412</v>
      </c>
    </row>
    <row r="3685" customFormat="false" ht="15" hidden="false" customHeight="false" outlineLevel="0" collapsed="false">
      <c r="A3685" s="4" t="str">
        <f aca="false">B3685&amp;"|"&amp;C3685</f>
        <v>tdbR00000199 Lys-CUU|3</v>
      </c>
      <c r="B3685" s="4" t="s">
        <v>88</v>
      </c>
      <c r="C3685" s="4" t="s">
        <v>415</v>
      </c>
      <c r="D3685" s="4" t="n">
        <v>3</v>
      </c>
      <c r="E3685" s="17" t="s">
        <v>414</v>
      </c>
      <c r="F3685" s="18" t="s">
        <v>412</v>
      </c>
    </row>
    <row r="3686" customFormat="false" ht="15" hidden="false" customHeight="false" outlineLevel="0" collapsed="false">
      <c r="A3686" s="4" t="str">
        <f aca="false">B3686&amp;"|"&amp;C3686</f>
        <v>tdbR00000199 Lys-CUU|4</v>
      </c>
      <c r="B3686" s="4" t="s">
        <v>88</v>
      </c>
      <c r="C3686" s="4" t="s">
        <v>416</v>
      </c>
      <c r="D3686" s="4" t="n">
        <v>4</v>
      </c>
      <c r="E3686" s="17" t="s">
        <v>414</v>
      </c>
      <c r="F3686" s="18" t="s">
        <v>412</v>
      </c>
    </row>
    <row r="3687" customFormat="false" ht="15" hidden="false" customHeight="false" outlineLevel="0" collapsed="false">
      <c r="A3687" s="4" t="str">
        <f aca="false">B3687&amp;"|"&amp;C3687</f>
        <v>tdbR00000199 Lys-CUU|5</v>
      </c>
      <c r="B3687" s="4" t="s">
        <v>88</v>
      </c>
      <c r="C3687" s="4" t="s">
        <v>417</v>
      </c>
      <c r="D3687" s="4" t="n">
        <v>5</v>
      </c>
      <c r="E3687" s="17" t="s">
        <v>197</v>
      </c>
      <c r="F3687" s="18" t="s">
        <v>412</v>
      </c>
    </row>
    <row r="3688" customFormat="false" ht="15" hidden="false" customHeight="false" outlineLevel="0" collapsed="false">
      <c r="A3688" s="4" t="str">
        <f aca="false">B3688&amp;"|"&amp;C3688</f>
        <v>tdbR00000199 Lys-CUU|6</v>
      </c>
      <c r="B3688" s="4" t="s">
        <v>88</v>
      </c>
      <c r="C3688" s="4" t="s">
        <v>418</v>
      </c>
      <c r="D3688" s="4" t="n">
        <v>6</v>
      </c>
      <c r="E3688" s="17" t="s">
        <v>197</v>
      </c>
      <c r="F3688" s="18" t="s">
        <v>412</v>
      </c>
    </row>
    <row r="3689" customFormat="false" ht="15" hidden="false" customHeight="false" outlineLevel="0" collapsed="false">
      <c r="A3689" s="4" t="str">
        <f aca="false">B3689&amp;"|"&amp;C3689</f>
        <v>tdbR00000199 Lys-CUU|7</v>
      </c>
      <c r="B3689" s="4" t="s">
        <v>88</v>
      </c>
      <c r="C3689" s="4" t="s">
        <v>419</v>
      </c>
      <c r="D3689" s="4" t="n">
        <v>7</v>
      </c>
      <c r="E3689" s="17" t="s">
        <v>414</v>
      </c>
      <c r="F3689" s="18" t="s">
        <v>412</v>
      </c>
    </row>
    <row r="3690" customFormat="false" ht="15" hidden="false" customHeight="false" outlineLevel="0" collapsed="false">
      <c r="A3690" s="4" t="str">
        <f aca="false">B3690&amp;"|"&amp;C3690</f>
        <v>tdbR00000199 Lys-CUU|8</v>
      </c>
      <c r="B3690" s="4" t="s">
        <v>88</v>
      </c>
      <c r="C3690" s="4" t="s">
        <v>420</v>
      </c>
      <c r="D3690" s="4" t="n">
        <v>8</v>
      </c>
      <c r="E3690" s="3" t="s">
        <v>259</v>
      </c>
      <c r="F3690" s="4" t="s">
        <v>421</v>
      </c>
    </row>
    <row r="3691" customFormat="false" ht="15" hidden="false" customHeight="false" outlineLevel="0" collapsed="false">
      <c r="A3691" s="4" t="str">
        <f aca="false">B3691&amp;"|"&amp;C3691</f>
        <v>tdbR00000199 Lys-CUU|9</v>
      </c>
      <c r="B3691" s="4" t="s">
        <v>88</v>
      </c>
      <c r="C3691" s="4" t="s">
        <v>422</v>
      </c>
      <c r="D3691" s="4" t="n">
        <v>9</v>
      </c>
      <c r="E3691" s="3" t="s">
        <v>246</v>
      </c>
      <c r="F3691" s="4" t="s">
        <v>423</v>
      </c>
    </row>
    <row r="3692" customFormat="false" ht="15" hidden="false" customHeight="false" outlineLevel="0" collapsed="false">
      <c r="A3692" s="4" t="str">
        <f aca="false">B3692&amp;"|"&amp;C3692</f>
        <v>tdbR00000199 Lys-CUU|10</v>
      </c>
      <c r="B3692" s="4" t="s">
        <v>88</v>
      </c>
      <c r="C3692" s="4" t="s">
        <v>424</v>
      </c>
      <c r="D3692" s="4" t="n">
        <v>10</v>
      </c>
      <c r="E3692" s="8" t="s">
        <v>197</v>
      </c>
      <c r="F3692" s="7" t="s">
        <v>425</v>
      </c>
    </row>
    <row r="3693" customFormat="false" ht="15" hidden="false" customHeight="false" outlineLevel="0" collapsed="false">
      <c r="A3693" s="4" t="str">
        <f aca="false">B3693&amp;"|"&amp;C3693</f>
        <v>tdbR00000199 Lys-CUU|11</v>
      </c>
      <c r="B3693" s="4" t="s">
        <v>88</v>
      </c>
      <c r="C3693" s="4" t="s">
        <v>426</v>
      </c>
      <c r="D3693" s="4" t="n">
        <v>11</v>
      </c>
      <c r="E3693" s="8" t="s">
        <v>414</v>
      </c>
      <c r="F3693" s="7" t="s">
        <v>425</v>
      </c>
    </row>
    <row r="3694" customFormat="false" ht="15" hidden="false" customHeight="false" outlineLevel="0" collapsed="false">
      <c r="A3694" s="4" t="str">
        <f aca="false">B3694&amp;"|"&amp;C3694</f>
        <v>tdbR00000199 Lys-CUU|12</v>
      </c>
      <c r="B3694" s="4" t="s">
        <v>88</v>
      </c>
      <c r="C3694" s="4" t="s">
        <v>427</v>
      </c>
      <c r="D3694" s="4" t="n">
        <v>12</v>
      </c>
      <c r="E3694" s="8" t="s">
        <v>259</v>
      </c>
      <c r="F3694" s="7" t="s">
        <v>425</v>
      </c>
    </row>
    <row r="3695" customFormat="false" ht="15" hidden="false" customHeight="false" outlineLevel="0" collapsed="false">
      <c r="A3695" s="4" t="str">
        <f aca="false">B3695&amp;"|"&amp;C3695</f>
        <v>tdbR00000199 Lys-CUU|13</v>
      </c>
      <c r="B3695" s="4" t="s">
        <v>88</v>
      </c>
      <c r="C3695" s="4" t="s">
        <v>428</v>
      </c>
      <c r="D3695" s="4" t="n">
        <v>13</v>
      </c>
      <c r="E3695" s="8" t="s">
        <v>414</v>
      </c>
      <c r="F3695" s="7" t="s">
        <v>425</v>
      </c>
    </row>
    <row r="3696" customFormat="false" ht="15" hidden="false" customHeight="false" outlineLevel="0" collapsed="false">
      <c r="A3696" s="4" t="str">
        <f aca="false">B3696&amp;"|"&amp;C3696</f>
        <v>tdbR00000199 Lys-CUU|14</v>
      </c>
      <c r="B3696" s="4" t="s">
        <v>88</v>
      </c>
      <c r="C3696" s="4" t="s">
        <v>429</v>
      </c>
      <c r="D3696" s="4" t="n">
        <v>14</v>
      </c>
      <c r="E3696" s="19" t="s">
        <v>246</v>
      </c>
      <c r="F3696" s="20" t="s">
        <v>430</v>
      </c>
    </row>
    <row r="3697" customFormat="false" ht="15" hidden="false" customHeight="false" outlineLevel="0" collapsed="false">
      <c r="A3697" s="4" t="str">
        <f aca="false">B3697&amp;"|"&amp;C3697</f>
        <v>tdbR00000199 Lys-CUU|15</v>
      </c>
      <c r="B3697" s="4" t="s">
        <v>88</v>
      </c>
      <c r="C3697" s="4" t="s">
        <v>431</v>
      </c>
      <c r="D3697" s="4" t="n">
        <v>15</v>
      </c>
      <c r="E3697" s="19" t="s">
        <v>197</v>
      </c>
      <c r="F3697" s="20" t="s">
        <v>430</v>
      </c>
    </row>
    <row r="3698" customFormat="false" ht="15" hidden="false" customHeight="false" outlineLevel="0" collapsed="false">
      <c r="A3698" s="4" t="str">
        <f aca="false">B3698&amp;"|"&amp;C3698</f>
        <v>tdbR00000199 Lys-CUU|16</v>
      </c>
      <c r="B3698" s="4" t="s">
        <v>88</v>
      </c>
      <c r="C3698" s="4" t="s">
        <v>432</v>
      </c>
      <c r="D3698" s="4" t="n">
        <v>16</v>
      </c>
      <c r="E3698" s="19" t="s">
        <v>259</v>
      </c>
      <c r="F3698" s="20" t="s">
        <v>430</v>
      </c>
    </row>
    <row r="3699" customFormat="false" ht="15" hidden="false" customHeight="false" outlineLevel="0" collapsed="false">
      <c r="A3699" s="4" t="str">
        <f aca="false">B3699&amp;"|"&amp;C3699</f>
        <v>tdbR00000199 Lys-CUU|17</v>
      </c>
      <c r="B3699" s="4" t="s">
        <v>88</v>
      </c>
      <c r="C3699" s="4" t="s">
        <v>433</v>
      </c>
      <c r="D3699" s="4" t="n">
        <v>17</v>
      </c>
      <c r="E3699" s="19" t="s">
        <v>414</v>
      </c>
      <c r="F3699" s="20" t="s">
        <v>430</v>
      </c>
    </row>
    <row r="3700" customFormat="false" ht="15" hidden="false" customHeight="false" outlineLevel="0" collapsed="false">
      <c r="A3700" s="4" t="str">
        <f aca="false">B3700&amp;"|"&amp;C3700</f>
        <v>tdbR00000199 Lys-CUU|18</v>
      </c>
      <c r="B3700" s="4" t="s">
        <v>88</v>
      </c>
      <c r="C3700" s="4" t="s">
        <v>434</v>
      </c>
      <c r="D3700" s="4" t="n">
        <v>18</v>
      </c>
      <c r="E3700" s="19" t="s">
        <v>197</v>
      </c>
      <c r="F3700" s="20" t="s">
        <v>430</v>
      </c>
    </row>
    <row r="3701" customFormat="false" ht="15" hidden="false" customHeight="false" outlineLevel="0" collapsed="false">
      <c r="A3701" s="4" t="str">
        <f aca="false">B3701&amp;"|"&amp;C3701</f>
        <v>tdbR00000199 Lys-CUU|19</v>
      </c>
      <c r="B3701" s="4" t="s">
        <v>88</v>
      </c>
      <c r="C3701" s="4" t="s">
        <v>435</v>
      </c>
      <c r="D3701" s="4" t="n">
        <v>19</v>
      </c>
      <c r="E3701" s="19" t="s">
        <v>197</v>
      </c>
      <c r="F3701" s="20" t="s">
        <v>430</v>
      </c>
    </row>
    <row r="3702" customFormat="false" ht="15" hidden="false" customHeight="false" outlineLevel="0" collapsed="false">
      <c r="A3702" s="4" t="str">
        <f aca="false">B3702&amp;"|"&amp;C3702</f>
        <v>tdbR00000199 Lys-CUU|20</v>
      </c>
      <c r="B3702" s="4" t="s">
        <v>88</v>
      </c>
      <c r="C3702" s="4" t="s">
        <v>436</v>
      </c>
      <c r="D3702" s="4" t="n">
        <v>20</v>
      </c>
      <c r="E3702" s="19" t="s">
        <v>259</v>
      </c>
      <c r="F3702" s="20" t="s">
        <v>430</v>
      </c>
    </row>
    <row r="3703" customFormat="false" ht="15" hidden="false" customHeight="false" outlineLevel="0" collapsed="false">
      <c r="A3703" s="4" t="str">
        <f aca="false">B3703&amp;"|"&amp;C3703</f>
        <v>tdbR00000199 Lys-CUU|21</v>
      </c>
      <c r="B3703" s="4" t="s">
        <v>88</v>
      </c>
      <c r="C3703" s="4" t="s">
        <v>438</v>
      </c>
      <c r="D3703" s="4" t="n">
        <v>21</v>
      </c>
      <c r="E3703" s="19" t="s">
        <v>246</v>
      </c>
      <c r="F3703" s="20" t="s">
        <v>430</v>
      </c>
    </row>
    <row r="3704" customFormat="false" ht="15" hidden="false" customHeight="false" outlineLevel="0" collapsed="false">
      <c r="A3704" s="4" t="str">
        <f aca="false">B3704&amp;"|"&amp;C3704</f>
        <v>tdbR00000199 Lys-CUU|22</v>
      </c>
      <c r="B3704" s="4" t="s">
        <v>88</v>
      </c>
      <c r="C3704" s="4" t="s">
        <v>439</v>
      </c>
      <c r="D3704" s="4" t="n">
        <v>22</v>
      </c>
      <c r="E3704" s="8" t="s">
        <v>197</v>
      </c>
      <c r="F3704" s="7" t="s">
        <v>425</v>
      </c>
    </row>
    <row r="3705" customFormat="false" ht="15" hidden="false" customHeight="false" outlineLevel="0" collapsed="false">
      <c r="A3705" s="4" t="str">
        <f aca="false">B3705&amp;"|"&amp;C3705</f>
        <v>tdbR00000199 Lys-CUU|23</v>
      </c>
      <c r="B3705" s="4" t="s">
        <v>88</v>
      </c>
      <c r="C3705" s="4" t="s">
        <v>440</v>
      </c>
      <c r="D3705" s="4" t="n">
        <v>23</v>
      </c>
      <c r="E3705" s="8" t="s">
        <v>246</v>
      </c>
      <c r="F3705" s="7" t="s">
        <v>425</v>
      </c>
    </row>
    <row r="3706" customFormat="false" ht="15" hidden="false" customHeight="false" outlineLevel="0" collapsed="false">
      <c r="A3706" s="4" t="str">
        <f aca="false">B3706&amp;"|"&amp;C3706</f>
        <v>tdbR00000199 Lys-CUU|24</v>
      </c>
      <c r="B3706" s="4" t="s">
        <v>88</v>
      </c>
      <c r="C3706" s="4" t="s">
        <v>441</v>
      </c>
      <c r="D3706" s="4" t="n">
        <v>24</v>
      </c>
      <c r="E3706" s="8" t="s">
        <v>197</v>
      </c>
      <c r="F3706" s="7" t="s">
        <v>425</v>
      </c>
    </row>
    <row r="3707" customFormat="false" ht="15" hidden="false" customHeight="false" outlineLevel="0" collapsed="false">
      <c r="A3707" s="4" t="str">
        <f aca="false">B3707&amp;"|"&amp;C3707</f>
        <v>tdbR00000199 Lys-CUU|25</v>
      </c>
      <c r="B3707" s="4" t="s">
        <v>88</v>
      </c>
      <c r="C3707" s="4" t="s">
        <v>442</v>
      </c>
      <c r="D3707" s="4" t="n">
        <v>25</v>
      </c>
      <c r="E3707" s="8" t="s">
        <v>414</v>
      </c>
      <c r="F3707" s="7" t="s">
        <v>425</v>
      </c>
    </row>
    <row r="3708" customFormat="false" ht="15" hidden="false" customHeight="false" outlineLevel="0" collapsed="false">
      <c r="A3708" s="4" t="str">
        <f aca="false">B3708&amp;"|"&amp;C3708</f>
        <v>tdbR00000199 Lys-CUU|26</v>
      </c>
      <c r="B3708" s="4" t="s">
        <v>88</v>
      </c>
      <c r="C3708" s="4" t="s">
        <v>443</v>
      </c>
      <c r="D3708" s="4" t="n">
        <v>26</v>
      </c>
      <c r="E3708" s="3" t="s">
        <v>246</v>
      </c>
      <c r="F3708" s="4" t="s">
        <v>444</v>
      </c>
    </row>
    <row r="3709" customFormat="false" ht="15" hidden="false" customHeight="false" outlineLevel="0" collapsed="false">
      <c r="A3709" s="4" t="str">
        <f aca="false">B3709&amp;"|"&amp;C3709</f>
        <v>tdbR00000199 Lys-CUU|27</v>
      </c>
      <c r="B3709" s="4" t="s">
        <v>88</v>
      </c>
      <c r="C3709" s="4" t="s">
        <v>445</v>
      </c>
      <c r="D3709" s="4" t="n">
        <v>27</v>
      </c>
      <c r="E3709" s="21" t="s">
        <v>259</v>
      </c>
      <c r="F3709" s="22" t="s">
        <v>446</v>
      </c>
    </row>
    <row r="3710" customFormat="false" ht="15" hidden="false" customHeight="false" outlineLevel="0" collapsed="false">
      <c r="A3710" s="4" t="str">
        <f aca="false">B3710&amp;"|"&amp;C3710</f>
        <v>tdbR00000199 Lys-CUU|28</v>
      </c>
      <c r="B3710" s="4" t="s">
        <v>88</v>
      </c>
      <c r="C3710" s="4" t="s">
        <v>447</v>
      </c>
      <c r="D3710" s="4" t="n">
        <v>28</v>
      </c>
      <c r="E3710" s="21" t="s">
        <v>197</v>
      </c>
      <c r="F3710" s="22" t="s">
        <v>446</v>
      </c>
    </row>
    <row r="3711" customFormat="false" ht="15" hidden="false" customHeight="false" outlineLevel="0" collapsed="false">
      <c r="A3711" s="4" t="str">
        <f aca="false">B3711&amp;"|"&amp;C3711</f>
        <v>tdbR00000199 Lys-CUU|29</v>
      </c>
      <c r="B3711" s="4" t="s">
        <v>88</v>
      </c>
      <c r="C3711" s="4" t="s">
        <v>448</v>
      </c>
      <c r="D3711" s="4" t="n">
        <v>29</v>
      </c>
      <c r="E3711" s="21" t="s">
        <v>246</v>
      </c>
      <c r="F3711" s="22" t="s">
        <v>446</v>
      </c>
    </row>
    <row r="3712" customFormat="false" ht="15" hidden="false" customHeight="false" outlineLevel="0" collapsed="false">
      <c r="A3712" s="4" t="str">
        <f aca="false">B3712&amp;"|"&amp;C3712</f>
        <v>tdbR00000199 Lys-CUU|30</v>
      </c>
      <c r="B3712" s="4" t="s">
        <v>88</v>
      </c>
      <c r="C3712" s="4" t="s">
        <v>449</v>
      </c>
      <c r="D3712" s="4" t="n">
        <v>30</v>
      </c>
      <c r="E3712" s="21" t="s">
        <v>197</v>
      </c>
      <c r="F3712" s="22" t="s">
        <v>446</v>
      </c>
    </row>
    <row r="3713" customFormat="false" ht="15" hidden="false" customHeight="false" outlineLevel="0" collapsed="false">
      <c r="A3713" s="4" t="str">
        <f aca="false">B3713&amp;"|"&amp;C3713</f>
        <v>tdbR00000199 Lys-CUU|31</v>
      </c>
      <c r="B3713" s="4" t="s">
        <v>88</v>
      </c>
      <c r="C3713" s="4" t="s">
        <v>450</v>
      </c>
      <c r="D3713" s="4" t="n">
        <v>31</v>
      </c>
      <c r="E3713" s="21" t="s">
        <v>246</v>
      </c>
      <c r="F3713" s="22" t="s">
        <v>446</v>
      </c>
    </row>
    <row r="3714" customFormat="false" ht="15" hidden="false" customHeight="false" outlineLevel="0" collapsed="false">
      <c r="A3714" s="4" t="str">
        <f aca="false">B3714&amp;"|"&amp;C3714</f>
        <v>tdbR00000199 Lys-CUU|32</v>
      </c>
      <c r="B3714" s="4" t="s">
        <v>88</v>
      </c>
      <c r="C3714" s="4" t="s">
        <v>451</v>
      </c>
      <c r="D3714" s="4" t="n">
        <v>32</v>
      </c>
      <c r="E3714" s="19" t="s">
        <v>414</v>
      </c>
      <c r="F3714" s="20" t="s">
        <v>452</v>
      </c>
    </row>
    <row r="3715" customFormat="false" ht="15" hidden="false" customHeight="false" outlineLevel="0" collapsed="false">
      <c r="A3715" s="4" t="str">
        <f aca="false">B3715&amp;"|"&amp;C3715</f>
        <v>tdbR00000199 Lys-CUU|33</v>
      </c>
      <c r="B3715" s="4" t="s">
        <v>88</v>
      </c>
      <c r="C3715" s="4" t="s">
        <v>453</v>
      </c>
      <c r="D3715" s="4" t="n">
        <v>33</v>
      </c>
      <c r="E3715" s="19" t="s">
        <v>259</v>
      </c>
      <c r="F3715" s="20" t="s">
        <v>452</v>
      </c>
    </row>
    <row r="3716" customFormat="false" ht="15" hidden="false" customHeight="false" outlineLevel="0" collapsed="false">
      <c r="A3716" s="4" t="str">
        <f aca="false">B3716&amp;"|"&amp;C3716</f>
        <v>tdbR00000199 Lys-CUU|34</v>
      </c>
      <c r="B3716" s="4" t="s">
        <v>88</v>
      </c>
      <c r="C3716" s="4" t="s">
        <v>454</v>
      </c>
      <c r="D3716" s="4" t="n">
        <v>34</v>
      </c>
      <c r="E3716" s="19" t="s">
        <v>414</v>
      </c>
      <c r="F3716" s="20" t="s">
        <v>452</v>
      </c>
    </row>
    <row r="3717" customFormat="false" ht="15" hidden="false" customHeight="false" outlineLevel="0" collapsed="false">
      <c r="A3717" s="4" t="str">
        <f aca="false">B3717&amp;"|"&amp;C3717</f>
        <v>tdbR00000199 Lys-CUU|35</v>
      </c>
      <c r="B3717" s="4" t="s">
        <v>88</v>
      </c>
      <c r="C3717" s="4" t="s">
        <v>455</v>
      </c>
      <c r="D3717" s="4" t="n">
        <v>35</v>
      </c>
      <c r="E3717" s="19" t="s">
        <v>259</v>
      </c>
      <c r="F3717" s="20" t="s">
        <v>452</v>
      </c>
    </row>
    <row r="3718" customFormat="false" ht="15" hidden="false" customHeight="false" outlineLevel="0" collapsed="false">
      <c r="A3718" s="4" t="str">
        <f aca="false">B3718&amp;"|"&amp;C3718</f>
        <v>tdbR00000199 Lys-CUU|36</v>
      </c>
      <c r="B3718" s="4" t="s">
        <v>88</v>
      </c>
      <c r="C3718" s="4" t="s">
        <v>456</v>
      </c>
      <c r="D3718" s="4" t="n">
        <v>36</v>
      </c>
      <c r="E3718" s="19" t="s">
        <v>259</v>
      </c>
      <c r="F3718" s="20" t="s">
        <v>452</v>
      </c>
    </row>
    <row r="3719" customFormat="false" ht="15" hidden="false" customHeight="false" outlineLevel="0" collapsed="false">
      <c r="A3719" s="4" t="str">
        <f aca="false">B3719&amp;"|"&amp;C3719</f>
        <v>tdbR00000199 Lys-CUU|37</v>
      </c>
      <c r="B3719" s="4" t="s">
        <v>88</v>
      </c>
      <c r="C3719" s="4" t="s">
        <v>457</v>
      </c>
      <c r="D3719" s="4" t="n">
        <v>37</v>
      </c>
      <c r="E3719" s="19" t="s">
        <v>246</v>
      </c>
      <c r="F3719" s="20" t="s">
        <v>452</v>
      </c>
    </row>
    <row r="3720" customFormat="false" ht="15" hidden="false" customHeight="false" outlineLevel="0" collapsed="false">
      <c r="A3720" s="4" t="str">
        <f aca="false">B3720&amp;"|"&amp;C3720</f>
        <v>tdbR00000199 Lys-CUU|38</v>
      </c>
      <c r="B3720" s="4" t="s">
        <v>88</v>
      </c>
      <c r="C3720" s="4" t="s">
        <v>458</v>
      </c>
      <c r="D3720" s="4" t="n">
        <v>38</v>
      </c>
      <c r="E3720" s="19" t="s">
        <v>246</v>
      </c>
      <c r="F3720" s="20" t="s">
        <v>452</v>
      </c>
    </row>
    <row r="3721" customFormat="false" ht="15" hidden="false" customHeight="false" outlineLevel="0" collapsed="false">
      <c r="A3721" s="4" t="str">
        <f aca="false">B3721&amp;"|"&amp;C3721</f>
        <v>tdbR00000199 Lys-CUU|39</v>
      </c>
      <c r="B3721" s="4" t="s">
        <v>88</v>
      </c>
      <c r="C3721" s="4" t="s">
        <v>459</v>
      </c>
      <c r="D3721" s="4" t="n">
        <v>39</v>
      </c>
      <c r="E3721" s="21" t="s">
        <v>259</v>
      </c>
      <c r="F3721" s="22" t="s">
        <v>446</v>
      </c>
    </row>
    <row r="3722" customFormat="false" ht="15" hidden="false" customHeight="false" outlineLevel="0" collapsed="false">
      <c r="A3722" s="4" t="str">
        <f aca="false">B3722&amp;"|"&amp;C3722</f>
        <v>tdbR00000199 Lys-CUU|40</v>
      </c>
      <c r="B3722" s="4" t="s">
        <v>88</v>
      </c>
      <c r="C3722" s="4" t="s">
        <v>460</v>
      </c>
      <c r="D3722" s="4" t="n">
        <v>40</v>
      </c>
      <c r="E3722" s="21" t="s">
        <v>414</v>
      </c>
      <c r="F3722" s="22" t="s">
        <v>446</v>
      </c>
    </row>
    <row r="3723" customFormat="false" ht="15" hidden="false" customHeight="false" outlineLevel="0" collapsed="false">
      <c r="A3723" s="4" t="str">
        <f aca="false">B3723&amp;"|"&amp;C3723</f>
        <v>tdbR00000199 Lys-CUU|41</v>
      </c>
      <c r="B3723" s="4" t="s">
        <v>88</v>
      </c>
      <c r="C3723" s="4" t="s">
        <v>461</v>
      </c>
      <c r="D3723" s="4" t="n">
        <v>41</v>
      </c>
      <c r="E3723" s="21" t="s">
        <v>259</v>
      </c>
      <c r="F3723" s="22" t="s">
        <v>446</v>
      </c>
    </row>
    <row r="3724" customFormat="false" ht="15" hidden="false" customHeight="false" outlineLevel="0" collapsed="false">
      <c r="A3724" s="4" t="str">
        <f aca="false">B3724&amp;"|"&amp;C3724</f>
        <v>tdbR00000199 Lys-CUU|42</v>
      </c>
      <c r="B3724" s="4" t="s">
        <v>88</v>
      </c>
      <c r="C3724" s="4" t="s">
        <v>462</v>
      </c>
      <c r="D3724" s="4" t="n">
        <v>42</v>
      </c>
      <c r="E3724" s="21" t="s">
        <v>414</v>
      </c>
      <c r="F3724" s="22" t="s">
        <v>446</v>
      </c>
    </row>
    <row r="3725" customFormat="false" ht="15" hidden="false" customHeight="false" outlineLevel="0" collapsed="false">
      <c r="A3725" s="4" t="str">
        <f aca="false">B3725&amp;"|"&amp;C3725</f>
        <v>tdbR00000199 Lys-CUU|43</v>
      </c>
      <c r="B3725" s="4" t="s">
        <v>88</v>
      </c>
      <c r="C3725" s="4" t="s">
        <v>463</v>
      </c>
      <c r="D3725" s="4" t="n">
        <v>43</v>
      </c>
      <c r="E3725" s="21" t="s">
        <v>246</v>
      </c>
      <c r="F3725" s="22" t="s">
        <v>446</v>
      </c>
    </row>
    <row r="3726" customFormat="false" ht="15" hidden="false" customHeight="false" outlineLevel="0" collapsed="false">
      <c r="A3726" s="4" t="str">
        <f aca="false">B3726&amp;"|"&amp;C3726</f>
        <v>tdbR00000199 Lys-CUU|44</v>
      </c>
      <c r="B3726" s="4" t="s">
        <v>88</v>
      </c>
      <c r="C3726" s="4" t="s">
        <v>464</v>
      </c>
      <c r="D3726" s="4" t="n">
        <v>44</v>
      </c>
      <c r="E3726" s="19" t="s">
        <v>197</v>
      </c>
      <c r="F3726" s="20" t="s">
        <v>465</v>
      </c>
    </row>
    <row r="3727" customFormat="false" ht="15" hidden="false" customHeight="false" outlineLevel="0" collapsed="false">
      <c r="A3727" s="4" t="str">
        <f aca="false">B3727&amp;"|"&amp;C3727</f>
        <v>tdbR00000199 Lys-CUU|45</v>
      </c>
      <c r="B3727" s="4" t="s">
        <v>88</v>
      </c>
      <c r="C3727" s="4" t="s">
        <v>466</v>
      </c>
      <c r="D3727" s="4" t="n">
        <v>45</v>
      </c>
      <c r="E3727" s="19" t="s">
        <v>197</v>
      </c>
      <c r="F3727" s="20" t="s">
        <v>465</v>
      </c>
    </row>
    <row r="3728" customFormat="false" ht="15" hidden="false" customHeight="false" outlineLevel="0" collapsed="false">
      <c r="A3728" s="4" t="str">
        <f aca="false">B3728&amp;"|"&amp;C3728</f>
        <v>tdbR00000199 Lys-CUU|46</v>
      </c>
      <c r="B3728" s="4" t="s">
        <v>88</v>
      </c>
      <c r="C3728" s="4" t="s">
        <v>467</v>
      </c>
      <c r="D3728" s="4" t="n">
        <v>46</v>
      </c>
      <c r="E3728" s="19" t="s">
        <v>197</v>
      </c>
      <c r="F3728" s="20" t="s">
        <v>465</v>
      </c>
    </row>
    <row r="3729" customFormat="false" ht="15" hidden="false" customHeight="false" outlineLevel="0" collapsed="false">
      <c r="A3729" s="4" t="str">
        <f aca="false">B3729&amp;"|"&amp;C3729</f>
        <v>tdbR00000199 Lys-CUU|47</v>
      </c>
      <c r="B3729" s="4" t="s">
        <v>88</v>
      </c>
      <c r="C3729" s="4" t="s">
        <v>468</v>
      </c>
      <c r="D3729" s="4" t="n">
        <v>47</v>
      </c>
      <c r="E3729" s="19" t="s">
        <v>259</v>
      </c>
      <c r="F3729" s="20" t="s">
        <v>465</v>
      </c>
    </row>
    <row r="3730" customFormat="false" ht="15" hidden="false" customHeight="false" outlineLevel="0" collapsed="false">
      <c r="A3730" s="4" t="str">
        <f aca="false">B3730&amp;"|"&amp;C3730</f>
        <v>tdbR00000199 Lys-CUU|48</v>
      </c>
      <c r="B3730" s="4" t="s">
        <v>88</v>
      </c>
      <c r="C3730" s="4" t="s">
        <v>469</v>
      </c>
      <c r="D3730" s="4" t="n">
        <v>48</v>
      </c>
      <c r="E3730" s="19" t="s">
        <v>414</v>
      </c>
      <c r="F3730" s="20" t="s">
        <v>465</v>
      </c>
    </row>
    <row r="3731" customFormat="false" ht="15" hidden="false" customHeight="false" outlineLevel="0" collapsed="false">
      <c r="A3731" s="4" t="str">
        <f aca="false">B3731&amp;"|"&amp;C3731</f>
        <v>tdbR00000199 Lys-CUU|49</v>
      </c>
      <c r="B3731" s="4" t="s">
        <v>88</v>
      </c>
      <c r="C3731" s="4" t="s">
        <v>470</v>
      </c>
      <c r="D3731" s="4" t="n">
        <v>49</v>
      </c>
      <c r="E3731" s="23" t="s">
        <v>197</v>
      </c>
      <c r="F3731" s="10" t="s">
        <v>471</v>
      </c>
    </row>
    <row r="3732" customFormat="false" ht="15" hidden="false" customHeight="false" outlineLevel="0" collapsed="false">
      <c r="A3732" s="4" t="str">
        <f aca="false">B3732&amp;"|"&amp;C3732</f>
        <v>tdbR00000199 Lys-CUU|50</v>
      </c>
      <c r="B3732" s="4" t="s">
        <v>88</v>
      </c>
      <c r="C3732" s="4" t="s">
        <v>472</v>
      </c>
      <c r="D3732" s="4" t="n">
        <v>50</v>
      </c>
      <c r="E3732" s="23" t="s">
        <v>259</v>
      </c>
      <c r="F3732" s="10" t="s">
        <v>471</v>
      </c>
    </row>
    <row r="3733" customFormat="false" ht="15" hidden="false" customHeight="false" outlineLevel="0" collapsed="false">
      <c r="A3733" s="4" t="str">
        <f aca="false">B3733&amp;"|"&amp;C3733</f>
        <v>tdbR00000199 Lys-CUU|51</v>
      </c>
      <c r="B3733" s="4" t="s">
        <v>88</v>
      </c>
      <c r="C3733" s="4" t="s">
        <v>473</v>
      </c>
      <c r="D3733" s="4" t="n">
        <v>51</v>
      </c>
      <c r="E3733" s="23" t="s">
        <v>197</v>
      </c>
      <c r="F3733" s="10" t="s">
        <v>471</v>
      </c>
    </row>
    <row r="3734" customFormat="false" ht="15" hidden="false" customHeight="false" outlineLevel="0" collapsed="false">
      <c r="A3734" s="4" t="str">
        <f aca="false">B3734&amp;"|"&amp;C3734</f>
        <v>tdbR00000199 Lys-CUU|52</v>
      </c>
      <c r="B3734" s="4" t="s">
        <v>88</v>
      </c>
      <c r="C3734" s="4" t="s">
        <v>474</v>
      </c>
      <c r="D3734" s="4" t="n">
        <v>52</v>
      </c>
      <c r="E3734" s="23" t="s">
        <v>197</v>
      </c>
      <c r="F3734" s="10" t="s">
        <v>471</v>
      </c>
    </row>
    <row r="3735" customFormat="false" ht="15" hidden="false" customHeight="false" outlineLevel="0" collapsed="false">
      <c r="A3735" s="4" t="str">
        <f aca="false">B3735&amp;"|"&amp;C3735</f>
        <v>tdbR00000199 Lys-CUU|53</v>
      </c>
      <c r="B3735" s="4" t="s">
        <v>88</v>
      </c>
      <c r="C3735" s="4" t="s">
        <v>475</v>
      </c>
      <c r="D3735" s="4" t="n">
        <v>53</v>
      </c>
      <c r="E3735" s="23" t="s">
        <v>197</v>
      </c>
      <c r="F3735" s="10" t="s">
        <v>471</v>
      </c>
    </row>
    <row r="3736" customFormat="false" ht="15" hidden="false" customHeight="false" outlineLevel="0" collapsed="false">
      <c r="A3736" s="4" t="str">
        <f aca="false">B3736&amp;"|"&amp;C3736</f>
        <v>tdbR00000199 Lys-CUU|54</v>
      </c>
      <c r="B3736" s="4" t="s">
        <v>88</v>
      </c>
      <c r="C3736" s="4" t="s">
        <v>476</v>
      </c>
      <c r="D3736" s="4" t="n">
        <v>54</v>
      </c>
      <c r="E3736" s="19" t="s">
        <v>259</v>
      </c>
      <c r="F3736" s="20" t="s">
        <v>477</v>
      </c>
    </row>
    <row r="3737" customFormat="false" ht="15" hidden="false" customHeight="false" outlineLevel="0" collapsed="false">
      <c r="A3737" s="4" t="str">
        <f aca="false">B3737&amp;"|"&amp;C3737</f>
        <v>tdbR00000199 Lys-CUU|55</v>
      </c>
      <c r="B3737" s="4" t="s">
        <v>88</v>
      </c>
      <c r="C3737" s="4" t="s">
        <v>478</v>
      </c>
      <c r="D3737" s="4" t="n">
        <v>55</v>
      </c>
      <c r="E3737" s="19" t="s">
        <v>259</v>
      </c>
      <c r="F3737" s="20" t="s">
        <v>477</v>
      </c>
    </row>
    <row r="3738" customFormat="false" ht="15" hidden="false" customHeight="false" outlineLevel="0" collapsed="false">
      <c r="A3738" s="4" t="str">
        <f aca="false">B3738&amp;"|"&amp;C3738</f>
        <v>tdbR00000199 Lys-CUU|56</v>
      </c>
      <c r="B3738" s="4" t="s">
        <v>88</v>
      </c>
      <c r="C3738" s="4" t="s">
        <v>479</v>
      </c>
      <c r="D3738" s="4" t="n">
        <v>56</v>
      </c>
      <c r="E3738" s="19" t="s">
        <v>414</v>
      </c>
      <c r="F3738" s="20" t="s">
        <v>477</v>
      </c>
    </row>
    <row r="3739" customFormat="false" ht="15" hidden="false" customHeight="false" outlineLevel="0" collapsed="false">
      <c r="A3739" s="4" t="str">
        <f aca="false">B3739&amp;"|"&amp;C3739</f>
        <v>tdbR00000199 Lys-CUU|57</v>
      </c>
      <c r="B3739" s="4" t="s">
        <v>88</v>
      </c>
      <c r="C3739" s="4" t="s">
        <v>480</v>
      </c>
      <c r="D3739" s="4" t="n">
        <v>57</v>
      </c>
      <c r="E3739" s="19" t="s">
        <v>197</v>
      </c>
      <c r="F3739" s="20" t="s">
        <v>477</v>
      </c>
    </row>
    <row r="3740" customFormat="false" ht="15" hidden="false" customHeight="false" outlineLevel="0" collapsed="false">
      <c r="A3740" s="4" t="str">
        <f aca="false">B3740&amp;"|"&amp;C3740</f>
        <v>tdbR00000199 Lys-CUU|58</v>
      </c>
      <c r="B3740" s="4" t="s">
        <v>88</v>
      </c>
      <c r="C3740" s="4" t="s">
        <v>481</v>
      </c>
      <c r="D3740" s="4" t="n">
        <v>58</v>
      </c>
      <c r="E3740" s="19" t="s">
        <v>246</v>
      </c>
      <c r="F3740" s="20" t="s">
        <v>477</v>
      </c>
    </row>
    <row r="3741" customFormat="false" ht="15" hidden="false" customHeight="false" outlineLevel="0" collapsed="false">
      <c r="A3741" s="4" t="str">
        <f aca="false">B3741&amp;"|"&amp;C3741</f>
        <v>tdbR00000199 Lys-CUU|59</v>
      </c>
      <c r="B3741" s="4" t="s">
        <v>88</v>
      </c>
      <c r="C3741" s="4" t="s">
        <v>482</v>
      </c>
      <c r="D3741" s="4" t="n">
        <v>59</v>
      </c>
      <c r="E3741" s="19" t="s">
        <v>197</v>
      </c>
      <c r="F3741" s="20" t="s">
        <v>477</v>
      </c>
    </row>
    <row r="3742" customFormat="false" ht="15" hidden="false" customHeight="false" outlineLevel="0" collapsed="false">
      <c r="A3742" s="4" t="str">
        <f aca="false">B3742&amp;"|"&amp;C3742</f>
        <v>tdbR00000199 Lys-CUU|60</v>
      </c>
      <c r="B3742" s="4" t="s">
        <v>88</v>
      </c>
      <c r="C3742" s="4" t="s">
        <v>483</v>
      </c>
      <c r="D3742" s="4" t="n">
        <v>60</v>
      </c>
      <c r="E3742" s="19" t="s">
        <v>414</v>
      </c>
      <c r="F3742" s="20" t="s">
        <v>477</v>
      </c>
    </row>
    <row r="3743" customFormat="false" ht="15" hidden="false" customHeight="false" outlineLevel="0" collapsed="false">
      <c r="A3743" s="4" t="str">
        <f aca="false">B3743&amp;"|"&amp;C3743</f>
        <v>tdbR00000199 Lys-CUU|61</v>
      </c>
      <c r="B3743" s="4" t="s">
        <v>88</v>
      </c>
      <c r="C3743" s="4" t="s">
        <v>484</v>
      </c>
      <c r="D3743" s="4" t="n">
        <v>61</v>
      </c>
      <c r="E3743" s="23" t="s">
        <v>414</v>
      </c>
      <c r="F3743" s="10" t="s">
        <v>471</v>
      </c>
    </row>
    <row r="3744" customFormat="false" ht="15" hidden="false" customHeight="false" outlineLevel="0" collapsed="false">
      <c r="A3744" s="4" t="str">
        <f aca="false">B3744&amp;"|"&amp;C3744</f>
        <v>tdbR00000199 Lys-CUU|62</v>
      </c>
      <c r="B3744" s="4" t="s">
        <v>88</v>
      </c>
      <c r="C3744" s="4" t="s">
        <v>485</v>
      </c>
      <c r="D3744" s="4" t="n">
        <v>62</v>
      </c>
      <c r="E3744" s="23" t="s">
        <v>414</v>
      </c>
      <c r="F3744" s="10" t="s">
        <v>471</v>
      </c>
    </row>
    <row r="3745" customFormat="false" ht="15" hidden="false" customHeight="false" outlineLevel="0" collapsed="false">
      <c r="A3745" s="4" t="str">
        <f aca="false">B3745&amp;"|"&amp;C3745</f>
        <v>tdbR00000199 Lys-CUU|63</v>
      </c>
      <c r="B3745" s="4" t="s">
        <v>88</v>
      </c>
      <c r="C3745" s="4" t="s">
        <v>486</v>
      </c>
      <c r="D3745" s="4" t="n">
        <v>63</v>
      </c>
      <c r="E3745" s="23" t="s">
        <v>414</v>
      </c>
      <c r="F3745" s="10" t="s">
        <v>471</v>
      </c>
    </row>
    <row r="3746" customFormat="false" ht="15" hidden="false" customHeight="false" outlineLevel="0" collapsed="false">
      <c r="A3746" s="4" t="str">
        <f aca="false">B3746&amp;"|"&amp;C3746</f>
        <v>tdbR00000199 Lys-CUU|64</v>
      </c>
      <c r="B3746" s="4" t="s">
        <v>88</v>
      </c>
      <c r="C3746" s="4" t="s">
        <v>487</v>
      </c>
      <c r="D3746" s="4" t="n">
        <v>64</v>
      </c>
      <c r="E3746" s="23" t="s">
        <v>246</v>
      </c>
      <c r="F3746" s="10" t="s">
        <v>471</v>
      </c>
    </row>
    <row r="3747" customFormat="false" ht="15" hidden="false" customHeight="false" outlineLevel="0" collapsed="false">
      <c r="A3747" s="4" t="str">
        <f aca="false">B3747&amp;"|"&amp;C3747</f>
        <v>tdbR00000199 Lys-CUU|65</v>
      </c>
      <c r="B3747" s="4" t="s">
        <v>88</v>
      </c>
      <c r="C3747" s="4" t="s">
        <v>488</v>
      </c>
      <c r="D3747" s="4" t="n">
        <v>65</v>
      </c>
      <c r="E3747" s="23" t="s">
        <v>414</v>
      </c>
      <c r="F3747" s="10" t="s">
        <v>471</v>
      </c>
    </row>
    <row r="3748" customFormat="false" ht="15" hidden="false" customHeight="false" outlineLevel="0" collapsed="false">
      <c r="A3748" s="4" t="str">
        <f aca="false">B3748&amp;"|"&amp;C3748</f>
        <v>tdbR00000199 Lys-CUU|66</v>
      </c>
      <c r="B3748" s="4" t="s">
        <v>88</v>
      </c>
      <c r="C3748" s="4" t="s">
        <v>489</v>
      </c>
      <c r="D3748" s="4" t="n">
        <v>66</v>
      </c>
      <c r="E3748" s="17" t="s">
        <v>197</v>
      </c>
      <c r="F3748" s="18" t="s">
        <v>412</v>
      </c>
    </row>
    <row r="3749" customFormat="false" ht="15" hidden="false" customHeight="false" outlineLevel="0" collapsed="false">
      <c r="A3749" s="4" t="str">
        <f aca="false">B3749&amp;"|"&amp;C3749</f>
        <v>tdbR00000199 Lys-CUU|67</v>
      </c>
      <c r="B3749" s="4" t="s">
        <v>88</v>
      </c>
      <c r="C3749" s="4" t="s">
        <v>490</v>
      </c>
      <c r="D3749" s="4" t="n">
        <v>67</v>
      </c>
      <c r="E3749" s="17" t="s">
        <v>259</v>
      </c>
      <c r="F3749" s="18" t="s">
        <v>412</v>
      </c>
    </row>
    <row r="3750" customFormat="false" ht="15" hidden="false" customHeight="false" outlineLevel="0" collapsed="false">
      <c r="A3750" s="4" t="str">
        <f aca="false">B3750&amp;"|"&amp;C3750</f>
        <v>tdbR00000199 Lys-CUU|68</v>
      </c>
      <c r="B3750" s="4" t="s">
        <v>88</v>
      </c>
      <c r="C3750" s="4" t="s">
        <v>491</v>
      </c>
      <c r="D3750" s="4" t="n">
        <v>68</v>
      </c>
      <c r="E3750" s="17" t="s">
        <v>259</v>
      </c>
      <c r="F3750" s="18" t="s">
        <v>412</v>
      </c>
    </row>
    <row r="3751" customFormat="false" ht="15" hidden="false" customHeight="false" outlineLevel="0" collapsed="false">
      <c r="A3751" s="4" t="str">
        <f aca="false">B3751&amp;"|"&amp;C3751</f>
        <v>tdbR00000199 Lys-CUU|69</v>
      </c>
      <c r="B3751" s="4" t="s">
        <v>88</v>
      </c>
      <c r="C3751" s="4" t="s">
        <v>492</v>
      </c>
      <c r="D3751" s="4" t="n">
        <v>69</v>
      </c>
      <c r="E3751" s="17" t="s">
        <v>197</v>
      </c>
      <c r="F3751" s="18" t="s">
        <v>412</v>
      </c>
    </row>
    <row r="3752" customFormat="false" ht="15" hidden="false" customHeight="false" outlineLevel="0" collapsed="false">
      <c r="A3752" s="4" t="str">
        <f aca="false">B3752&amp;"|"&amp;C3752</f>
        <v>tdbR00000199 Lys-CUU|70</v>
      </c>
      <c r="B3752" s="4" t="s">
        <v>88</v>
      </c>
      <c r="C3752" s="4" t="s">
        <v>493</v>
      </c>
      <c r="D3752" s="4" t="n">
        <v>70</v>
      </c>
      <c r="E3752" s="17" t="s">
        <v>197</v>
      </c>
      <c r="F3752" s="18" t="s">
        <v>412</v>
      </c>
    </row>
    <row r="3753" customFormat="false" ht="15" hidden="false" customHeight="false" outlineLevel="0" collapsed="false">
      <c r="A3753" s="4" t="str">
        <f aca="false">B3753&amp;"|"&amp;C3753</f>
        <v>tdbR00000199 Lys-CUU|71</v>
      </c>
      <c r="B3753" s="4" t="s">
        <v>88</v>
      </c>
      <c r="C3753" s="4" t="s">
        <v>494</v>
      </c>
      <c r="D3753" s="4" t="n">
        <v>71</v>
      </c>
      <c r="E3753" s="17" t="s">
        <v>197</v>
      </c>
      <c r="F3753" s="18" t="s">
        <v>412</v>
      </c>
    </row>
    <row r="3754" customFormat="false" ht="15" hidden="false" customHeight="false" outlineLevel="0" collapsed="false">
      <c r="A3754" s="4" t="str">
        <f aca="false">B3754&amp;"|"&amp;C3754</f>
        <v>tdbR00000199 Lys-CUU|72</v>
      </c>
      <c r="B3754" s="4" t="s">
        <v>88</v>
      </c>
      <c r="C3754" s="4" t="s">
        <v>495</v>
      </c>
      <c r="D3754" s="4" t="n">
        <v>72</v>
      </c>
      <c r="E3754" s="17" t="s">
        <v>414</v>
      </c>
      <c r="F3754" s="18" t="s">
        <v>412</v>
      </c>
    </row>
    <row r="3755" customFormat="false" ht="15" hidden="false" customHeight="false" outlineLevel="0" collapsed="false">
      <c r="A3755" s="4" t="str">
        <f aca="false">B3755&amp;"|"&amp;C3755</f>
        <v>tdbR00000287 Met-CAU|1</v>
      </c>
      <c r="B3755" s="4" t="s">
        <v>89</v>
      </c>
      <c r="C3755" s="4" t="s">
        <v>411</v>
      </c>
      <c r="D3755" s="4" t="n">
        <v>1</v>
      </c>
      <c r="E3755" s="17" t="s">
        <v>197</v>
      </c>
      <c r="F3755" s="18" t="s">
        <v>412</v>
      </c>
    </row>
    <row r="3756" customFormat="false" ht="15" hidden="false" customHeight="false" outlineLevel="0" collapsed="false">
      <c r="A3756" s="4" t="str">
        <f aca="false">B3756&amp;"|"&amp;C3756</f>
        <v>tdbR00000287 Met-CAU|2</v>
      </c>
      <c r="B3756" s="4" t="s">
        <v>89</v>
      </c>
      <c r="C3756" s="4" t="s">
        <v>413</v>
      </c>
      <c r="D3756" s="4" t="n">
        <v>2</v>
      </c>
      <c r="E3756" s="17" t="s">
        <v>414</v>
      </c>
      <c r="F3756" s="18" t="s">
        <v>412</v>
      </c>
    </row>
    <row r="3757" customFormat="false" ht="15" hidden="false" customHeight="false" outlineLevel="0" collapsed="false">
      <c r="A3757" s="4" t="str">
        <f aca="false">B3757&amp;"|"&amp;C3757</f>
        <v>tdbR00000287 Met-CAU|3</v>
      </c>
      <c r="B3757" s="4" t="s">
        <v>89</v>
      </c>
      <c r="C3757" s="4" t="s">
        <v>415</v>
      </c>
      <c r="D3757" s="4" t="n">
        <v>3</v>
      </c>
      <c r="E3757" s="17" t="s">
        <v>414</v>
      </c>
      <c r="F3757" s="18" t="s">
        <v>412</v>
      </c>
    </row>
    <row r="3758" customFormat="false" ht="15" hidden="false" customHeight="false" outlineLevel="0" collapsed="false">
      <c r="A3758" s="4" t="str">
        <f aca="false">B3758&amp;"|"&amp;C3758</f>
        <v>tdbR00000287 Met-CAU|4</v>
      </c>
      <c r="B3758" s="4" t="s">
        <v>89</v>
      </c>
      <c r="C3758" s="4" t="s">
        <v>416</v>
      </c>
      <c r="D3758" s="4" t="n">
        <v>4</v>
      </c>
      <c r="E3758" s="17" t="s">
        <v>259</v>
      </c>
      <c r="F3758" s="18" t="s">
        <v>412</v>
      </c>
    </row>
    <row r="3759" customFormat="false" ht="15" hidden="false" customHeight="false" outlineLevel="0" collapsed="false">
      <c r="A3759" s="4" t="str">
        <f aca="false">B3759&amp;"|"&amp;C3759</f>
        <v>tdbR00000287 Met-CAU|5</v>
      </c>
      <c r="B3759" s="4" t="s">
        <v>89</v>
      </c>
      <c r="C3759" s="4" t="s">
        <v>417</v>
      </c>
      <c r="D3759" s="4" t="n">
        <v>5</v>
      </c>
      <c r="E3759" s="17" t="s">
        <v>414</v>
      </c>
      <c r="F3759" s="18" t="s">
        <v>412</v>
      </c>
    </row>
    <row r="3760" customFormat="false" ht="15" hidden="false" customHeight="false" outlineLevel="0" collapsed="false">
      <c r="A3760" s="4" t="str">
        <f aca="false">B3760&amp;"|"&amp;C3760</f>
        <v>tdbR00000287 Met-CAU|6</v>
      </c>
      <c r="B3760" s="4" t="s">
        <v>89</v>
      </c>
      <c r="C3760" s="4" t="s">
        <v>418</v>
      </c>
      <c r="D3760" s="4" t="n">
        <v>6</v>
      </c>
      <c r="E3760" s="17" t="s">
        <v>197</v>
      </c>
      <c r="F3760" s="18" t="s">
        <v>412</v>
      </c>
    </row>
    <row r="3761" customFormat="false" ht="15" hidden="false" customHeight="false" outlineLevel="0" collapsed="false">
      <c r="A3761" s="4" t="str">
        <f aca="false">B3761&amp;"|"&amp;C3761</f>
        <v>tdbR00000287 Met-CAU|7</v>
      </c>
      <c r="B3761" s="4" t="s">
        <v>89</v>
      </c>
      <c r="C3761" s="4" t="s">
        <v>419</v>
      </c>
      <c r="D3761" s="4" t="n">
        <v>7</v>
      </c>
      <c r="E3761" s="17" t="s">
        <v>259</v>
      </c>
      <c r="F3761" s="18" t="s">
        <v>412</v>
      </c>
    </row>
    <row r="3762" customFormat="false" ht="15" hidden="false" customHeight="false" outlineLevel="0" collapsed="false">
      <c r="A3762" s="4" t="str">
        <f aca="false">B3762&amp;"|"&amp;C3762</f>
        <v>tdbR00000287 Met-CAU|8</v>
      </c>
      <c r="B3762" s="4" t="s">
        <v>89</v>
      </c>
      <c r="C3762" s="4" t="s">
        <v>420</v>
      </c>
      <c r="D3762" s="4" t="n">
        <v>8</v>
      </c>
      <c r="E3762" s="3" t="s">
        <v>259</v>
      </c>
      <c r="F3762" s="4" t="s">
        <v>421</v>
      </c>
    </row>
    <row r="3763" customFormat="false" ht="15" hidden="false" customHeight="false" outlineLevel="0" collapsed="false">
      <c r="A3763" s="4" t="str">
        <f aca="false">B3763&amp;"|"&amp;C3763</f>
        <v>tdbR00000287 Met-CAU|9</v>
      </c>
      <c r="B3763" s="4" t="s">
        <v>89</v>
      </c>
      <c r="C3763" s="4" t="s">
        <v>422</v>
      </c>
      <c r="D3763" s="4" t="n">
        <v>9</v>
      </c>
      <c r="E3763" s="3" t="s">
        <v>246</v>
      </c>
      <c r="F3763" s="4" t="s">
        <v>423</v>
      </c>
    </row>
    <row r="3764" customFormat="false" ht="15" hidden="false" customHeight="false" outlineLevel="0" collapsed="false">
      <c r="A3764" s="4" t="str">
        <f aca="false">B3764&amp;"|"&amp;C3764</f>
        <v>tdbR00000287 Met-CAU|10</v>
      </c>
      <c r="B3764" s="4" t="s">
        <v>89</v>
      </c>
      <c r="C3764" s="4" t="s">
        <v>424</v>
      </c>
      <c r="D3764" s="4" t="n">
        <v>10</v>
      </c>
      <c r="E3764" s="8" t="s">
        <v>197</v>
      </c>
      <c r="F3764" s="7" t="s">
        <v>425</v>
      </c>
    </row>
    <row r="3765" customFormat="false" ht="15" hidden="false" customHeight="false" outlineLevel="0" collapsed="false">
      <c r="A3765" s="4" t="str">
        <f aca="false">B3765&amp;"|"&amp;C3765</f>
        <v>tdbR00000287 Met-CAU|11</v>
      </c>
      <c r="B3765" s="4" t="s">
        <v>89</v>
      </c>
      <c r="C3765" s="4" t="s">
        <v>426</v>
      </c>
      <c r="D3765" s="4" t="n">
        <v>11</v>
      </c>
      <c r="E3765" s="8" t="s">
        <v>414</v>
      </c>
      <c r="F3765" s="7" t="s">
        <v>425</v>
      </c>
    </row>
    <row r="3766" customFormat="false" ht="15" hidden="false" customHeight="false" outlineLevel="0" collapsed="false">
      <c r="A3766" s="4" t="str">
        <f aca="false">B3766&amp;"|"&amp;C3766</f>
        <v>tdbR00000287 Met-CAU|12</v>
      </c>
      <c r="B3766" s="4" t="s">
        <v>89</v>
      </c>
      <c r="C3766" s="4" t="s">
        <v>427</v>
      </c>
      <c r="D3766" s="4" t="n">
        <v>12</v>
      </c>
      <c r="E3766" s="8" t="s">
        <v>197</v>
      </c>
      <c r="F3766" s="7" t="s">
        <v>425</v>
      </c>
    </row>
    <row r="3767" customFormat="false" ht="15" hidden="false" customHeight="false" outlineLevel="0" collapsed="false">
      <c r="A3767" s="4" t="str">
        <f aca="false">B3767&amp;"|"&amp;C3767</f>
        <v>tdbR00000287 Met-CAU|13</v>
      </c>
      <c r="B3767" s="4" t="s">
        <v>89</v>
      </c>
      <c r="C3767" s="4" t="s">
        <v>428</v>
      </c>
      <c r="D3767" s="4" t="n">
        <v>13</v>
      </c>
      <c r="E3767" s="8" t="s">
        <v>414</v>
      </c>
      <c r="F3767" s="7" t="s">
        <v>425</v>
      </c>
    </row>
    <row r="3768" customFormat="false" ht="15" hidden="false" customHeight="false" outlineLevel="0" collapsed="false">
      <c r="A3768" s="4" t="str">
        <f aca="false">B3768&amp;"|"&amp;C3768</f>
        <v>tdbR00000287 Met-CAU|14</v>
      </c>
      <c r="B3768" s="4" t="s">
        <v>89</v>
      </c>
      <c r="C3768" s="4" t="s">
        <v>429</v>
      </c>
      <c r="D3768" s="4" t="n">
        <v>14</v>
      </c>
      <c r="E3768" s="19" t="s">
        <v>246</v>
      </c>
      <c r="F3768" s="20" t="s">
        <v>430</v>
      </c>
    </row>
    <row r="3769" customFormat="false" ht="15" hidden="false" customHeight="false" outlineLevel="0" collapsed="false">
      <c r="A3769" s="4" t="str">
        <f aca="false">B3769&amp;"|"&amp;C3769</f>
        <v>tdbR00000287 Met-CAU|15</v>
      </c>
      <c r="B3769" s="4" t="s">
        <v>89</v>
      </c>
      <c r="C3769" s="4" t="s">
        <v>431</v>
      </c>
      <c r="D3769" s="4" t="n">
        <v>15</v>
      </c>
      <c r="E3769" s="19" t="s">
        <v>197</v>
      </c>
      <c r="F3769" s="20" t="s">
        <v>430</v>
      </c>
    </row>
    <row r="3770" customFormat="false" ht="15" hidden="false" customHeight="false" outlineLevel="0" collapsed="false">
      <c r="A3770" s="4" t="str">
        <f aca="false">B3770&amp;"|"&amp;C3770</f>
        <v>tdbR00000287 Met-CAU|16</v>
      </c>
      <c r="B3770" s="4" t="s">
        <v>89</v>
      </c>
      <c r="C3770" s="4" t="s">
        <v>432</v>
      </c>
      <c r="D3770" s="4" t="n">
        <v>16</v>
      </c>
      <c r="E3770" s="19" t="s">
        <v>259</v>
      </c>
      <c r="F3770" s="20" t="s">
        <v>430</v>
      </c>
    </row>
    <row r="3771" customFormat="false" ht="15" hidden="false" customHeight="false" outlineLevel="0" collapsed="false">
      <c r="A3771" s="4" t="str">
        <f aca="false">B3771&amp;"|"&amp;C3771</f>
        <v>tdbR00000287 Met-CAU|17</v>
      </c>
      <c r="B3771" s="4" t="s">
        <v>89</v>
      </c>
      <c r="C3771" s="4" t="s">
        <v>433</v>
      </c>
      <c r="D3771" s="4" t="n">
        <v>17</v>
      </c>
      <c r="E3771" s="19" t="s">
        <v>246</v>
      </c>
      <c r="F3771" s="20" t="s">
        <v>430</v>
      </c>
    </row>
    <row r="3772" customFormat="false" ht="15" hidden="false" customHeight="false" outlineLevel="0" collapsed="false">
      <c r="A3772" s="4" t="str">
        <f aca="false">B3772&amp;"|"&amp;C3772</f>
        <v>tdbR00000287 Met-CAU|18</v>
      </c>
      <c r="B3772" s="4" t="s">
        <v>89</v>
      </c>
      <c r="C3772" s="4" t="s">
        <v>434</v>
      </c>
      <c r="D3772" s="4" t="n">
        <v>18</v>
      </c>
      <c r="E3772" s="19" t="s">
        <v>197</v>
      </c>
      <c r="F3772" s="20" t="s">
        <v>430</v>
      </c>
    </row>
    <row r="3773" customFormat="false" ht="15" hidden="false" customHeight="false" outlineLevel="0" collapsed="false">
      <c r="A3773" s="4" t="str">
        <f aca="false">B3773&amp;"|"&amp;C3773</f>
        <v>tdbR00000287 Met-CAU|19</v>
      </c>
      <c r="B3773" s="4" t="s">
        <v>89</v>
      </c>
      <c r="C3773" s="4" t="s">
        <v>435</v>
      </c>
      <c r="D3773" s="4" t="n">
        <v>19</v>
      </c>
      <c r="E3773" s="19" t="s">
        <v>197</v>
      </c>
      <c r="F3773" s="20" t="s">
        <v>430</v>
      </c>
    </row>
    <row r="3774" customFormat="false" ht="15" hidden="false" customHeight="false" outlineLevel="0" collapsed="false">
      <c r="A3774" s="4" t="str">
        <f aca="false">B3774&amp;"|"&amp;C3774</f>
        <v>tdbR00000287 Met-CAU|20</v>
      </c>
      <c r="B3774" s="4" t="s">
        <v>89</v>
      </c>
      <c r="C3774" s="4" t="s">
        <v>436</v>
      </c>
      <c r="D3774" s="4" t="n">
        <v>20</v>
      </c>
      <c r="E3774" s="19" t="s">
        <v>259</v>
      </c>
      <c r="F3774" s="20" t="s">
        <v>430</v>
      </c>
    </row>
    <row r="3775" customFormat="false" ht="15" hidden="false" customHeight="false" outlineLevel="0" collapsed="false">
      <c r="A3775" s="4" t="str">
        <f aca="false">B3775&amp;"|"&amp;C3775</f>
        <v>tdbR00000287 Met-CAU|21</v>
      </c>
      <c r="B3775" s="4" t="s">
        <v>89</v>
      </c>
      <c r="C3775" s="4" t="s">
        <v>438</v>
      </c>
      <c r="D3775" s="4" t="n">
        <v>21</v>
      </c>
      <c r="E3775" s="19" t="s">
        <v>246</v>
      </c>
      <c r="F3775" s="20" t="s">
        <v>430</v>
      </c>
    </row>
    <row r="3776" customFormat="false" ht="15" hidden="false" customHeight="false" outlineLevel="0" collapsed="false">
      <c r="A3776" s="4" t="str">
        <f aca="false">B3776&amp;"|"&amp;C3776</f>
        <v>tdbR00000287 Met-CAU|22</v>
      </c>
      <c r="B3776" s="4" t="s">
        <v>89</v>
      </c>
      <c r="C3776" s="4" t="s">
        <v>439</v>
      </c>
      <c r="D3776" s="4" t="n">
        <v>22</v>
      </c>
      <c r="E3776" s="8" t="s">
        <v>197</v>
      </c>
      <c r="F3776" s="7" t="s">
        <v>425</v>
      </c>
    </row>
    <row r="3777" customFormat="false" ht="15" hidden="false" customHeight="false" outlineLevel="0" collapsed="false">
      <c r="A3777" s="4" t="str">
        <f aca="false">B3777&amp;"|"&amp;C3777</f>
        <v>tdbR00000287 Met-CAU|23</v>
      </c>
      <c r="B3777" s="4" t="s">
        <v>89</v>
      </c>
      <c r="C3777" s="4" t="s">
        <v>440</v>
      </c>
      <c r="D3777" s="4" t="n">
        <v>23</v>
      </c>
      <c r="E3777" s="8" t="s">
        <v>414</v>
      </c>
      <c r="F3777" s="7" t="s">
        <v>425</v>
      </c>
    </row>
    <row r="3778" customFormat="false" ht="15" hidden="false" customHeight="false" outlineLevel="0" collapsed="false">
      <c r="A3778" s="4" t="str">
        <f aca="false">B3778&amp;"|"&amp;C3778</f>
        <v>tdbR00000287 Met-CAU|24</v>
      </c>
      <c r="B3778" s="4" t="s">
        <v>89</v>
      </c>
      <c r="C3778" s="4" t="s">
        <v>441</v>
      </c>
      <c r="D3778" s="4" t="n">
        <v>24</v>
      </c>
      <c r="E3778" s="8" t="s">
        <v>197</v>
      </c>
      <c r="F3778" s="7" t="s">
        <v>425</v>
      </c>
    </row>
    <row r="3779" customFormat="false" ht="15" hidden="false" customHeight="false" outlineLevel="0" collapsed="false">
      <c r="A3779" s="4" t="str">
        <f aca="false">B3779&amp;"|"&amp;C3779</f>
        <v>tdbR00000287 Met-CAU|25</v>
      </c>
      <c r="B3779" s="4" t="s">
        <v>89</v>
      </c>
      <c r="C3779" s="4" t="s">
        <v>442</v>
      </c>
      <c r="D3779" s="4" t="n">
        <v>25</v>
      </c>
      <c r="E3779" s="8" t="s">
        <v>414</v>
      </c>
      <c r="F3779" s="7" t="s">
        <v>425</v>
      </c>
    </row>
    <row r="3780" customFormat="false" ht="15" hidden="false" customHeight="false" outlineLevel="0" collapsed="false">
      <c r="A3780" s="4" t="str">
        <f aca="false">B3780&amp;"|"&amp;C3780</f>
        <v>tdbR00000287 Met-CAU|26</v>
      </c>
      <c r="B3780" s="4" t="s">
        <v>89</v>
      </c>
      <c r="C3780" s="4" t="s">
        <v>443</v>
      </c>
      <c r="D3780" s="4" t="n">
        <v>26</v>
      </c>
      <c r="E3780" s="3" t="s">
        <v>197</v>
      </c>
      <c r="F3780" s="4" t="s">
        <v>444</v>
      </c>
    </row>
    <row r="3781" customFormat="false" ht="15" hidden="false" customHeight="false" outlineLevel="0" collapsed="false">
      <c r="A3781" s="4" t="str">
        <f aca="false">B3781&amp;"|"&amp;C3781</f>
        <v>tdbR00000287 Met-CAU|27</v>
      </c>
      <c r="B3781" s="4" t="s">
        <v>89</v>
      </c>
      <c r="C3781" s="4" t="s">
        <v>445</v>
      </c>
      <c r="D3781" s="4" t="n">
        <v>27</v>
      </c>
      <c r="E3781" s="21" t="s">
        <v>259</v>
      </c>
      <c r="F3781" s="22" t="s">
        <v>446</v>
      </c>
    </row>
    <row r="3782" customFormat="false" ht="15" hidden="false" customHeight="false" outlineLevel="0" collapsed="false">
      <c r="A3782" s="4" t="str">
        <f aca="false">B3782&amp;"|"&amp;C3782</f>
        <v>tdbR00000287 Met-CAU|28</v>
      </c>
      <c r="B3782" s="4" t="s">
        <v>89</v>
      </c>
      <c r="C3782" s="4" t="s">
        <v>447</v>
      </c>
      <c r="D3782" s="4" t="n">
        <v>28</v>
      </c>
      <c r="E3782" s="21" t="s">
        <v>414</v>
      </c>
      <c r="F3782" s="22" t="s">
        <v>446</v>
      </c>
    </row>
    <row r="3783" customFormat="false" ht="15" hidden="false" customHeight="false" outlineLevel="0" collapsed="false">
      <c r="A3783" s="4" t="str">
        <f aca="false">B3783&amp;"|"&amp;C3783</f>
        <v>tdbR00000287 Met-CAU|29</v>
      </c>
      <c r="B3783" s="4" t="s">
        <v>89</v>
      </c>
      <c r="C3783" s="4" t="s">
        <v>448</v>
      </c>
      <c r="D3783" s="4" t="n">
        <v>29</v>
      </c>
      <c r="E3783" s="21" t="s">
        <v>246</v>
      </c>
      <c r="F3783" s="22" t="s">
        <v>446</v>
      </c>
    </row>
    <row r="3784" customFormat="false" ht="15" hidden="false" customHeight="false" outlineLevel="0" collapsed="false">
      <c r="A3784" s="4" t="str">
        <f aca="false">B3784&amp;"|"&amp;C3784</f>
        <v>tdbR00000287 Met-CAU|30</v>
      </c>
      <c r="B3784" s="4" t="s">
        <v>89</v>
      </c>
      <c r="C3784" s="4" t="s">
        <v>449</v>
      </c>
      <c r="D3784" s="4" t="n">
        <v>30</v>
      </c>
      <c r="E3784" s="21" t="s">
        <v>197</v>
      </c>
      <c r="F3784" s="22" t="s">
        <v>446</v>
      </c>
    </row>
    <row r="3785" customFormat="false" ht="15" hidden="false" customHeight="false" outlineLevel="0" collapsed="false">
      <c r="A3785" s="4" t="str">
        <f aca="false">B3785&amp;"|"&amp;C3785</f>
        <v>tdbR00000287 Met-CAU|31</v>
      </c>
      <c r="B3785" s="4" t="s">
        <v>89</v>
      </c>
      <c r="C3785" s="4" t="s">
        <v>450</v>
      </c>
      <c r="D3785" s="4" t="n">
        <v>31</v>
      </c>
      <c r="E3785" s="21" t="s">
        <v>259</v>
      </c>
      <c r="F3785" s="22" t="s">
        <v>446</v>
      </c>
    </row>
    <row r="3786" customFormat="false" ht="15" hidden="false" customHeight="false" outlineLevel="0" collapsed="false">
      <c r="A3786" s="4" t="str">
        <f aca="false">B3786&amp;"|"&amp;C3786</f>
        <v>tdbR00000287 Met-CAU|32</v>
      </c>
      <c r="B3786" s="4" t="s">
        <v>89</v>
      </c>
      <c r="C3786" s="4" t="s">
        <v>451</v>
      </c>
      <c r="D3786" s="4" t="n">
        <v>32</v>
      </c>
      <c r="E3786" s="19" t="s">
        <v>414</v>
      </c>
      <c r="F3786" s="20" t="s">
        <v>452</v>
      </c>
    </row>
    <row r="3787" customFormat="false" ht="15" hidden="false" customHeight="false" outlineLevel="0" collapsed="false">
      <c r="A3787" s="4" t="str">
        <f aca="false">B3787&amp;"|"&amp;C3787</f>
        <v>tdbR00000287 Met-CAU|33</v>
      </c>
      <c r="B3787" s="4" t="s">
        <v>89</v>
      </c>
      <c r="C3787" s="4" t="s">
        <v>453</v>
      </c>
      <c r="D3787" s="4" t="n">
        <v>33</v>
      </c>
      <c r="E3787" s="19" t="s">
        <v>259</v>
      </c>
      <c r="F3787" s="20" t="s">
        <v>452</v>
      </c>
    </row>
    <row r="3788" customFormat="false" ht="15" hidden="false" customHeight="false" outlineLevel="0" collapsed="false">
      <c r="A3788" s="4" t="str">
        <f aca="false">B3788&amp;"|"&amp;C3788</f>
        <v>tdbR00000287 Met-CAU|34</v>
      </c>
      <c r="B3788" s="4" t="s">
        <v>89</v>
      </c>
      <c r="C3788" s="4" t="s">
        <v>454</v>
      </c>
      <c r="D3788" s="4" t="n">
        <v>34</v>
      </c>
      <c r="E3788" s="19" t="s">
        <v>414</v>
      </c>
      <c r="F3788" s="20" t="s">
        <v>452</v>
      </c>
    </row>
    <row r="3789" customFormat="false" ht="15" hidden="false" customHeight="false" outlineLevel="0" collapsed="false">
      <c r="A3789" s="4" t="str">
        <f aca="false">B3789&amp;"|"&amp;C3789</f>
        <v>tdbR00000287 Met-CAU|35</v>
      </c>
      <c r="B3789" s="4" t="s">
        <v>89</v>
      </c>
      <c r="C3789" s="4" t="s">
        <v>455</v>
      </c>
      <c r="D3789" s="4" t="n">
        <v>35</v>
      </c>
      <c r="E3789" s="19" t="s">
        <v>246</v>
      </c>
      <c r="F3789" s="20" t="s">
        <v>452</v>
      </c>
    </row>
    <row r="3790" customFormat="false" ht="15" hidden="false" customHeight="false" outlineLevel="0" collapsed="false">
      <c r="A3790" s="4" t="str">
        <f aca="false">B3790&amp;"|"&amp;C3790</f>
        <v>tdbR00000287 Met-CAU|36</v>
      </c>
      <c r="B3790" s="4" t="s">
        <v>89</v>
      </c>
      <c r="C3790" s="4" t="s">
        <v>456</v>
      </c>
      <c r="D3790" s="4" t="n">
        <v>36</v>
      </c>
      <c r="E3790" s="19" t="s">
        <v>259</v>
      </c>
      <c r="F3790" s="20" t="s">
        <v>452</v>
      </c>
    </row>
    <row r="3791" customFormat="false" ht="15" hidden="false" customHeight="false" outlineLevel="0" collapsed="false">
      <c r="A3791" s="4" t="str">
        <f aca="false">B3791&amp;"|"&amp;C3791</f>
        <v>tdbR00000287 Met-CAU|37</v>
      </c>
      <c r="B3791" s="4" t="s">
        <v>89</v>
      </c>
      <c r="C3791" s="4" t="s">
        <v>457</v>
      </c>
      <c r="D3791" s="4" t="n">
        <v>37</v>
      </c>
      <c r="E3791" s="19" t="s">
        <v>246</v>
      </c>
      <c r="F3791" s="20" t="s">
        <v>452</v>
      </c>
    </row>
    <row r="3792" customFormat="false" ht="15" hidden="false" customHeight="false" outlineLevel="0" collapsed="false">
      <c r="A3792" s="4" t="str">
        <f aca="false">B3792&amp;"|"&amp;C3792</f>
        <v>tdbR00000287 Met-CAU|38</v>
      </c>
      <c r="B3792" s="4" t="s">
        <v>89</v>
      </c>
      <c r="C3792" s="4" t="s">
        <v>458</v>
      </c>
      <c r="D3792" s="4" t="n">
        <v>38</v>
      </c>
      <c r="E3792" s="19" t="s">
        <v>246</v>
      </c>
      <c r="F3792" s="20" t="s">
        <v>452</v>
      </c>
    </row>
    <row r="3793" customFormat="false" ht="15" hidden="false" customHeight="false" outlineLevel="0" collapsed="false">
      <c r="A3793" s="4" t="str">
        <f aca="false">B3793&amp;"|"&amp;C3793</f>
        <v>tdbR00000287 Met-CAU|39</v>
      </c>
      <c r="B3793" s="4" t="s">
        <v>89</v>
      </c>
      <c r="C3793" s="4" t="s">
        <v>459</v>
      </c>
      <c r="D3793" s="4" t="n">
        <v>39</v>
      </c>
      <c r="E3793" s="21" t="s">
        <v>259</v>
      </c>
      <c r="F3793" s="22" t="s">
        <v>446</v>
      </c>
    </row>
    <row r="3794" customFormat="false" ht="15" hidden="false" customHeight="false" outlineLevel="0" collapsed="false">
      <c r="A3794" s="4" t="str">
        <f aca="false">B3794&amp;"|"&amp;C3794</f>
        <v>tdbR00000287 Met-CAU|40</v>
      </c>
      <c r="B3794" s="4" t="s">
        <v>89</v>
      </c>
      <c r="C3794" s="4" t="s">
        <v>460</v>
      </c>
      <c r="D3794" s="4" t="n">
        <v>40</v>
      </c>
      <c r="E3794" s="21" t="s">
        <v>414</v>
      </c>
      <c r="F3794" s="22" t="s">
        <v>446</v>
      </c>
    </row>
    <row r="3795" customFormat="false" ht="15" hidden="false" customHeight="false" outlineLevel="0" collapsed="false">
      <c r="A3795" s="4" t="str">
        <f aca="false">B3795&amp;"|"&amp;C3795</f>
        <v>tdbR00000287 Met-CAU|41</v>
      </c>
      <c r="B3795" s="4" t="s">
        <v>89</v>
      </c>
      <c r="C3795" s="4" t="s">
        <v>461</v>
      </c>
      <c r="D3795" s="4" t="n">
        <v>41</v>
      </c>
      <c r="E3795" s="21" t="s">
        <v>259</v>
      </c>
      <c r="F3795" s="22" t="s">
        <v>446</v>
      </c>
    </row>
    <row r="3796" customFormat="false" ht="15" hidden="false" customHeight="false" outlineLevel="0" collapsed="false">
      <c r="A3796" s="4" t="str">
        <f aca="false">B3796&amp;"|"&amp;C3796</f>
        <v>tdbR00000287 Met-CAU|42</v>
      </c>
      <c r="B3796" s="4" t="s">
        <v>89</v>
      </c>
      <c r="C3796" s="4" t="s">
        <v>462</v>
      </c>
      <c r="D3796" s="4" t="n">
        <v>42</v>
      </c>
      <c r="E3796" s="21" t="s">
        <v>197</v>
      </c>
      <c r="F3796" s="22" t="s">
        <v>446</v>
      </c>
    </row>
    <row r="3797" customFormat="false" ht="15" hidden="false" customHeight="false" outlineLevel="0" collapsed="false">
      <c r="A3797" s="4" t="str">
        <f aca="false">B3797&amp;"|"&amp;C3797</f>
        <v>tdbR00000287 Met-CAU|43</v>
      </c>
      <c r="B3797" s="4" t="s">
        <v>89</v>
      </c>
      <c r="C3797" s="4" t="s">
        <v>463</v>
      </c>
      <c r="D3797" s="4" t="n">
        <v>43</v>
      </c>
      <c r="E3797" s="21" t="s">
        <v>246</v>
      </c>
      <c r="F3797" s="22" t="s">
        <v>446</v>
      </c>
    </row>
    <row r="3798" customFormat="false" ht="15" hidden="false" customHeight="false" outlineLevel="0" collapsed="false">
      <c r="A3798" s="4" t="str">
        <f aca="false">B3798&amp;"|"&amp;C3798</f>
        <v>tdbR00000287 Met-CAU|44</v>
      </c>
      <c r="B3798" s="4" t="s">
        <v>89</v>
      </c>
      <c r="C3798" s="4" t="s">
        <v>464</v>
      </c>
      <c r="D3798" s="4" t="n">
        <v>44</v>
      </c>
      <c r="E3798" s="19" t="s">
        <v>246</v>
      </c>
      <c r="F3798" s="20" t="s">
        <v>465</v>
      </c>
    </row>
    <row r="3799" customFormat="false" ht="15" hidden="false" customHeight="false" outlineLevel="0" collapsed="false">
      <c r="A3799" s="4" t="str">
        <f aca="false">B3799&amp;"|"&amp;C3799</f>
        <v>tdbR00000287 Met-CAU|45</v>
      </c>
      <c r="B3799" s="4" t="s">
        <v>89</v>
      </c>
      <c r="C3799" s="4" t="s">
        <v>466</v>
      </c>
      <c r="D3799" s="4" t="n">
        <v>45</v>
      </c>
      <c r="E3799" s="19" t="s">
        <v>197</v>
      </c>
      <c r="F3799" s="20" t="s">
        <v>465</v>
      </c>
    </row>
    <row r="3800" customFormat="false" ht="15" hidden="false" customHeight="false" outlineLevel="0" collapsed="false">
      <c r="A3800" s="4" t="str">
        <f aca="false">B3800&amp;"|"&amp;C3800</f>
        <v>tdbR00000287 Met-CAU|46</v>
      </c>
      <c r="B3800" s="4" t="s">
        <v>89</v>
      </c>
      <c r="C3800" s="4" t="s">
        <v>467</v>
      </c>
      <c r="D3800" s="4" t="n">
        <v>46</v>
      </c>
      <c r="E3800" s="19" t="s">
        <v>197</v>
      </c>
      <c r="F3800" s="20" t="s">
        <v>465</v>
      </c>
    </row>
    <row r="3801" customFormat="false" ht="15" hidden="false" customHeight="false" outlineLevel="0" collapsed="false">
      <c r="A3801" s="4" t="str">
        <f aca="false">B3801&amp;"|"&amp;C3801</f>
        <v>tdbR00000287 Met-CAU|47</v>
      </c>
      <c r="B3801" s="4" t="s">
        <v>89</v>
      </c>
      <c r="C3801" s="4" t="s">
        <v>468</v>
      </c>
      <c r="D3801" s="4" t="n">
        <v>47</v>
      </c>
      <c r="E3801" s="19" t="s">
        <v>259</v>
      </c>
      <c r="F3801" s="20" t="s">
        <v>465</v>
      </c>
    </row>
    <row r="3802" customFormat="false" ht="15" hidden="false" customHeight="false" outlineLevel="0" collapsed="false">
      <c r="A3802" s="4" t="str">
        <f aca="false">B3802&amp;"|"&amp;C3802</f>
        <v>tdbR00000287 Met-CAU|48</v>
      </c>
      <c r="B3802" s="4" t="s">
        <v>89</v>
      </c>
      <c r="C3802" s="4" t="s">
        <v>469</v>
      </c>
      <c r="D3802" s="4" t="n">
        <v>48</v>
      </c>
      <c r="E3802" s="19" t="s">
        <v>414</v>
      </c>
      <c r="F3802" s="20" t="s">
        <v>465</v>
      </c>
    </row>
    <row r="3803" customFormat="false" ht="15" hidden="false" customHeight="false" outlineLevel="0" collapsed="false">
      <c r="A3803" s="4" t="str">
        <f aca="false">B3803&amp;"|"&amp;C3803</f>
        <v>tdbR00000287 Met-CAU|49</v>
      </c>
      <c r="B3803" s="4" t="s">
        <v>89</v>
      </c>
      <c r="C3803" s="4" t="s">
        <v>470</v>
      </c>
      <c r="D3803" s="4" t="n">
        <v>49</v>
      </c>
      <c r="E3803" s="23" t="s">
        <v>197</v>
      </c>
      <c r="F3803" s="10" t="s">
        <v>471</v>
      </c>
    </row>
    <row r="3804" customFormat="false" ht="15" hidden="false" customHeight="false" outlineLevel="0" collapsed="false">
      <c r="A3804" s="4" t="str">
        <f aca="false">B3804&amp;"|"&amp;C3804</f>
        <v>tdbR00000287 Met-CAU|50</v>
      </c>
      <c r="B3804" s="4" t="s">
        <v>89</v>
      </c>
      <c r="C3804" s="4" t="s">
        <v>472</v>
      </c>
      <c r="D3804" s="4" t="n">
        <v>50</v>
      </c>
      <c r="E3804" s="23" t="s">
        <v>259</v>
      </c>
      <c r="F3804" s="10" t="s">
        <v>471</v>
      </c>
    </row>
    <row r="3805" customFormat="false" ht="15" hidden="false" customHeight="false" outlineLevel="0" collapsed="false">
      <c r="A3805" s="4" t="str">
        <f aca="false">B3805&amp;"|"&amp;C3805</f>
        <v>tdbR00000287 Met-CAU|51</v>
      </c>
      <c r="B3805" s="4" t="s">
        <v>89</v>
      </c>
      <c r="C3805" s="4" t="s">
        <v>473</v>
      </c>
      <c r="D3805" s="4" t="n">
        <v>51</v>
      </c>
      <c r="E3805" s="23" t="s">
        <v>197</v>
      </c>
      <c r="F3805" s="10" t="s">
        <v>471</v>
      </c>
    </row>
    <row r="3806" customFormat="false" ht="15" hidden="false" customHeight="false" outlineLevel="0" collapsed="false">
      <c r="A3806" s="4" t="str">
        <f aca="false">B3806&amp;"|"&amp;C3806</f>
        <v>tdbR00000287 Met-CAU|52</v>
      </c>
      <c r="B3806" s="4" t="s">
        <v>89</v>
      </c>
      <c r="C3806" s="4" t="s">
        <v>474</v>
      </c>
      <c r="D3806" s="4" t="n">
        <v>52</v>
      </c>
      <c r="E3806" s="23" t="s">
        <v>246</v>
      </c>
      <c r="F3806" s="10" t="s">
        <v>471</v>
      </c>
    </row>
    <row r="3807" customFormat="false" ht="15" hidden="false" customHeight="false" outlineLevel="0" collapsed="false">
      <c r="A3807" s="4" t="str">
        <f aca="false">B3807&amp;"|"&amp;C3807</f>
        <v>tdbR00000287 Met-CAU|53</v>
      </c>
      <c r="B3807" s="4" t="s">
        <v>89</v>
      </c>
      <c r="C3807" s="4" t="s">
        <v>475</v>
      </c>
      <c r="D3807" s="4" t="n">
        <v>53</v>
      </c>
      <c r="E3807" s="23" t="s">
        <v>197</v>
      </c>
      <c r="F3807" s="10" t="s">
        <v>471</v>
      </c>
    </row>
    <row r="3808" customFormat="false" ht="15" hidden="false" customHeight="false" outlineLevel="0" collapsed="false">
      <c r="A3808" s="4" t="str">
        <f aca="false">B3808&amp;"|"&amp;C3808</f>
        <v>tdbR00000287 Met-CAU|54</v>
      </c>
      <c r="B3808" s="4" t="s">
        <v>89</v>
      </c>
      <c r="C3808" s="4" t="s">
        <v>476</v>
      </c>
      <c r="D3808" s="4" t="n">
        <v>54</v>
      </c>
      <c r="E3808" s="19" t="s">
        <v>259</v>
      </c>
      <c r="F3808" s="20" t="s">
        <v>477</v>
      </c>
    </row>
    <row r="3809" customFormat="false" ht="15" hidden="false" customHeight="false" outlineLevel="0" collapsed="false">
      <c r="A3809" s="4" t="str">
        <f aca="false">B3809&amp;"|"&amp;C3809</f>
        <v>tdbR00000287 Met-CAU|55</v>
      </c>
      <c r="B3809" s="4" t="s">
        <v>89</v>
      </c>
      <c r="C3809" s="4" t="s">
        <v>478</v>
      </c>
      <c r="D3809" s="4" t="n">
        <v>55</v>
      </c>
      <c r="E3809" s="19" t="s">
        <v>259</v>
      </c>
      <c r="F3809" s="20" t="s">
        <v>477</v>
      </c>
    </row>
    <row r="3810" customFormat="false" ht="15" hidden="false" customHeight="false" outlineLevel="0" collapsed="false">
      <c r="A3810" s="4" t="str">
        <f aca="false">B3810&amp;"|"&amp;C3810</f>
        <v>tdbR00000287 Met-CAU|56</v>
      </c>
      <c r="B3810" s="4" t="s">
        <v>89</v>
      </c>
      <c r="C3810" s="4" t="s">
        <v>479</v>
      </c>
      <c r="D3810" s="4" t="n">
        <v>56</v>
      </c>
      <c r="E3810" s="19" t="s">
        <v>414</v>
      </c>
      <c r="F3810" s="20" t="s">
        <v>477</v>
      </c>
    </row>
    <row r="3811" customFormat="false" ht="15" hidden="false" customHeight="false" outlineLevel="0" collapsed="false">
      <c r="A3811" s="4" t="str">
        <f aca="false">B3811&amp;"|"&amp;C3811</f>
        <v>tdbR00000287 Met-CAU|57</v>
      </c>
      <c r="B3811" s="4" t="s">
        <v>89</v>
      </c>
      <c r="C3811" s="4" t="s">
        <v>480</v>
      </c>
      <c r="D3811" s="4" t="n">
        <v>57</v>
      </c>
      <c r="E3811" s="19" t="s">
        <v>197</v>
      </c>
      <c r="F3811" s="20" t="s">
        <v>477</v>
      </c>
    </row>
    <row r="3812" customFormat="false" ht="15" hidden="false" customHeight="false" outlineLevel="0" collapsed="false">
      <c r="A3812" s="4" t="str">
        <f aca="false">B3812&amp;"|"&amp;C3812</f>
        <v>tdbR00000287 Met-CAU|58</v>
      </c>
      <c r="B3812" s="4" t="s">
        <v>89</v>
      </c>
      <c r="C3812" s="4" t="s">
        <v>481</v>
      </c>
      <c r="D3812" s="4" t="n">
        <v>58</v>
      </c>
      <c r="E3812" s="19" t="s">
        <v>246</v>
      </c>
      <c r="F3812" s="20" t="s">
        <v>477</v>
      </c>
    </row>
    <row r="3813" customFormat="false" ht="15" hidden="false" customHeight="false" outlineLevel="0" collapsed="false">
      <c r="A3813" s="4" t="str">
        <f aca="false">B3813&amp;"|"&amp;C3813</f>
        <v>tdbR00000287 Met-CAU|59</v>
      </c>
      <c r="B3813" s="4" t="s">
        <v>89</v>
      </c>
      <c r="C3813" s="4" t="s">
        <v>482</v>
      </c>
      <c r="D3813" s="4" t="n">
        <v>59</v>
      </c>
      <c r="E3813" s="19" t="s">
        <v>259</v>
      </c>
      <c r="F3813" s="20" t="s">
        <v>477</v>
      </c>
    </row>
    <row r="3814" customFormat="false" ht="15" hidden="false" customHeight="false" outlineLevel="0" collapsed="false">
      <c r="A3814" s="4" t="str">
        <f aca="false">B3814&amp;"|"&amp;C3814</f>
        <v>tdbR00000287 Met-CAU|60</v>
      </c>
      <c r="B3814" s="4" t="s">
        <v>89</v>
      </c>
      <c r="C3814" s="4" t="s">
        <v>483</v>
      </c>
      <c r="D3814" s="4" t="n">
        <v>60</v>
      </c>
      <c r="E3814" s="19" t="s">
        <v>414</v>
      </c>
      <c r="F3814" s="20" t="s">
        <v>477</v>
      </c>
    </row>
    <row r="3815" customFormat="false" ht="15" hidden="false" customHeight="false" outlineLevel="0" collapsed="false">
      <c r="A3815" s="4" t="str">
        <f aca="false">B3815&amp;"|"&amp;C3815</f>
        <v>tdbR00000287 Met-CAU|61</v>
      </c>
      <c r="B3815" s="4" t="s">
        <v>89</v>
      </c>
      <c r="C3815" s="4" t="s">
        <v>484</v>
      </c>
      <c r="D3815" s="4" t="n">
        <v>61</v>
      </c>
      <c r="E3815" s="23" t="s">
        <v>414</v>
      </c>
      <c r="F3815" s="10" t="s">
        <v>471</v>
      </c>
    </row>
    <row r="3816" customFormat="false" ht="15" hidden="false" customHeight="false" outlineLevel="0" collapsed="false">
      <c r="A3816" s="4" t="str">
        <f aca="false">B3816&amp;"|"&amp;C3816</f>
        <v>tdbR00000287 Met-CAU|62</v>
      </c>
      <c r="B3816" s="4" t="s">
        <v>89</v>
      </c>
      <c r="C3816" s="4" t="s">
        <v>485</v>
      </c>
      <c r="D3816" s="4" t="n">
        <v>62</v>
      </c>
      <c r="E3816" s="23" t="s">
        <v>259</v>
      </c>
      <c r="F3816" s="10" t="s">
        <v>471</v>
      </c>
    </row>
    <row r="3817" customFormat="false" ht="15" hidden="false" customHeight="false" outlineLevel="0" collapsed="false">
      <c r="A3817" s="4" t="str">
        <f aca="false">B3817&amp;"|"&amp;C3817</f>
        <v>tdbR00000287 Met-CAU|63</v>
      </c>
      <c r="B3817" s="4" t="s">
        <v>89</v>
      </c>
      <c r="C3817" s="4" t="s">
        <v>486</v>
      </c>
      <c r="D3817" s="4" t="n">
        <v>63</v>
      </c>
      <c r="E3817" s="23" t="s">
        <v>414</v>
      </c>
      <c r="F3817" s="10" t="s">
        <v>471</v>
      </c>
    </row>
    <row r="3818" customFormat="false" ht="15" hidden="false" customHeight="false" outlineLevel="0" collapsed="false">
      <c r="A3818" s="4" t="str">
        <f aca="false">B3818&amp;"|"&amp;C3818</f>
        <v>tdbR00000287 Met-CAU|64</v>
      </c>
      <c r="B3818" s="4" t="s">
        <v>89</v>
      </c>
      <c r="C3818" s="4" t="s">
        <v>487</v>
      </c>
      <c r="D3818" s="4" t="n">
        <v>64</v>
      </c>
      <c r="E3818" s="23" t="s">
        <v>246</v>
      </c>
      <c r="F3818" s="10" t="s">
        <v>471</v>
      </c>
    </row>
    <row r="3819" customFormat="false" ht="15" hidden="false" customHeight="false" outlineLevel="0" collapsed="false">
      <c r="A3819" s="4" t="str">
        <f aca="false">B3819&amp;"|"&amp;C3819</f>
        <v>tdbR00000287 Met-CAU|65</v>
      </c>
      <c r="B3819" s="4" t="s">
        <v>89</v>
      </c>
      <c r="C3819" s="4" t="s">
        <v>488</v>
      </c>
      <c r="D3819" s="4" t="n">
        <v>65</v>
      </c>
      <c r="E3819" s="23" t="s">
        <v>414</v>
      </c>
      <c r="F3819" s="10" t="s">
        <v>471</v>
      </c>
    </row>
    <row r="3820" customFormat="false" ht="15" hidden="false" customHeight="false" outlineLevel="0" collapsed="false">
      <c r="A3820" s="4" t="str">
        <f aca="false">B3820&amp;"|"&amp;C3820</f>
        <v>tdbR00000287 Met-CAU|66</v>
      </c>
      <c r="B3820" s="4" t="s">
        <v>89</v>
      </c>
      <c r="C3820" s="4" t="s">
        <v>489</v>
      </c>
      <c r="D3820" s="4" t="n">
        <v>66</v>
      </c>
      <c r="E3820" s="17" t="s">
        <v>246</v>
      </c>
      <c r="F3820" s="18" t="s">
        <v>412</v>
      </c>
    </row>
    <row r="3821" customFormat="false" ht="15" hidden="false" customHeight="false" outlineLevel="0" collapsed="false">
      <c r="A3821" s="4" t="str">
        <f aca="false">B3821&amp;"|"&amp;C3821</f>
        <v>tdbR00000287 Met-CAU|67</v>
      </c>
      <c r="B3821" s="4" t="s">
        <v>89</v>
      </c>
      <c r="C3821" s="4" t="s">
        <v>490</v>
      </c>
      <c r="D3821" s="4" t="n">
        <v>67</v>
      </c>
      <c r="E3821" s="17" t="s">
        <v>414</v>
      </c>
      <c r="F3821" s="18" t="s">
        <v>412</v>
      </c>
    </row>
    <row r="3822" customFormat="false" ht="15" hidden="false" customHeight="false" outlineLevel="0" collapsed="false">
      <c r="A3822" s="4" t="str">
        <f aca="false">B3822&amp;"|"&amp;C3822</f>
        <v>tdbR00000287 Met-CAU|68</v>
      </c>
      <c r="B3822" s="4" t="s">
        <v>89</v>
      </c>
      <c r="C3822" s="4" t="s">
        <v>491</v>
      </c>
      <c r="D3822" s="4" t="n">
        <v>68</v>
      </c>
      <c r="E3822" s="17" t="s">
        <v>197</v>
      </c>
      <c r="F3822" s="18" t="s">
        <v>412</v>
      </c>
    </row>
    <row r="3823" customFormat="false" ht="15" hidden="false" customHeight="false" outlineLevel="0" collapsed="false">
      <c r="A3823" s="4" t="str">
        <f aca="false">B3823&amp;"|"&amp;C3823</f>
        <v>tdbR00000287 Met-CAU|69</v>
      </c>
      <c r="B3823" s="4" t="s">
        <v>89</v>
      </c>
      <c r="C3823" s="4" t="s">
        <v>492</v>
      </c>
      <c r="D3823" s="4" t="n">
        <v>69</v>
      </c>
      <c r="E3823" s="17" t="s">
        <v>197</v>
      </c>
      <c r="F3823" s="18" t="s">
        <v>412</v>
      </c>
    </row>
    <row r="3824" customFormat="false" ht="15" hidden="false" customHeight="false" outlineLevel="0" collapsed="false">
      <c r="A3824" s="4" t="str">
        <f aca="false">B3824&amp;"|"&amp;C3824</f>
        <v>tdbR00000287 Met-CAU|70</v>
      </c>
      <c r="B3824" s="4" t="s">
        <v>89</v>
      </c>
      <c r="C3824" s="4" t="s">
        <v>493</v>
      </c>
      <c r="D3824" s="4" t="n">
        <v>70</v>
      </c>
      <c r="E3824" s="17" t="s">
        <v>197</v>
      </c>
      <c r="F3824" s="18" t="s">
        <v>412</v>
      </c>
    </row>
    <row r="3825" customFormat="false" ht="15" hidden="false" customHeight="false" outlineLevel="0" collapsed="false">
      <c r="A3825" s="4" t="str">
        <f aca="false">B3825&amp;"|"&amp;C3825</f>
        <v>tdbR00000287 Met-CAU|71</v>
      </c>
      <c r="B3825" s="4" t="s">
        <v>89</v>
      </c>
      <c r="C3825" s="4" t="s">
        <v>494</v>
      </c>
      <c r="D3825" s="4" t="n">
        <v>71</v>
      </c>
      <c r="E3825" s="17" t="s">
        <v>197</v>
      </c>
      <c r="F3825" s="18" t="s">
        <v>412</v>
      </c>
    </row>
    <row r="3826" customFormat="false" ht="15" hidden="false" customHeight="false" outlineLevel="0" collapsed="false">
      <c r="A3826" s="4" t="str">
        <f aca="false">B3826&amp;"|"&amp;C3826</f>
        <v>tdbR00000287 Met-CAU|72</v>
      </c>
      <c r="B3826" s="4" t="s">
        <v>89</v>
      </c>
      <c r="C3826" s="4" t="s">
        <v>495</v>
      </c>
      <c r="D3826" s="4" t="n">
        <v>72</v>
      </c>
      <c r="E3826" s="17" t="s">
        <v>414</v>
      </c>
      <c r="F3826" s="18" t="s">
        <v>412</v>
      </c>
    </row>
    <row r="3827" customFormat="false" ht="15" hidden="false" customHeight="false" outlineLevel="0" collapsed="false">
      <c r="A3827" s="4" t="str">
        <f aca="false">B3827&amp;"|"&amp;C3827</f>
        <v>tdbR00000092 Phe-GAA|1</v>
      </c>
      <c r="B3827" s="4" t="s">
        <v>90</v>
      </c>
      <c r="C3827" s="4" t="s">
        <v>411</v>
      </c>
      <c r="D3827" s="4" t="n">
        <v>1</v>
      </c>
      <c r="E3827" s="17" t="s">
        <v>197</v>
      </c>
      <c r="F3827" s="18" t="s">
        <v>412</v>
      </c>
    </row>
    <row r="3828" customFormat="false" ht="15" hidden="false" customHeight="false" outlineLevel="0" collapsed="false">
      <c r="A3828" s="4" t="str">
        <f aca="false">B3828&amp;"|"&amp;C3828</f>
        <v>tdbR00000092 Phe-GAA|2</v>
      </c>
      <c r="B3828" s="4" t="s">
        <v>90</v>
      </c>
      <c r="C3828" s="4" t="s">
        <v>413</v>
      </c>
      <c r="D3828" s="4" t="n">
        <v>2</v>
      </c>
      <c r="E3828" s="17" t="s">
        <v>414</v>
      </c>
      <c r="F3828" s="18" t="s">
        <v>412</v>
      </c>
    </row>
    <row r="3829" customFormat="false" ht="15" hidden="false" customHeight="false" outlineLevel="0" collapsed="false">
      <c r="A3829" s="4" t="str">
        <f aca="false">B3829&amp;"|"&amp;C3829</f>
        <v>tdbR00000092 Phe-GAA|3</v>
      </c>
      <c r="B3829" s="4" t="s">
        <v>90</v>
      </c>
      <c r="C3829" s="4" t="s">
        <v>415</v>
      </c>
      <c r="D3829" s="4" t="n">
        <v>3</v>
      </c>
      <c r="E3829" s="17" t="s">
        <v>414</v>
      </c>
      <c r="F3829" s="18" t="s">
        <v>412</v>
      </c>
    </row>
    <row r="3830" customFormat="false" ht="15" hidden="false" customHeight="false" outlineLevel="0" collapsed="false">
      <c r="A3830" s="4" t="str">
        <f aca="false">B3830&amp;"|"&amp;C3830</f>
        <v>tdbR00000092 Phe-GAA|4</v>
      </c>
      <c r="B3830" s="4" t="s">
        <v>90</v>
      </c>
      <c r="C3830" s="4" t="s">
        <v>416</v>
      </c>
      <c r="D3830" s="4" t="n">
        <v>4</v>
      </c>
      <c r="E3830" s="17" t="s">
        <v>197</v>
      </c>
      <c r="F3830" s="18" t="s">
        <v>412</v>
      </c>
    </row>
    <row r="3831" customFormat="false" ht="15" hidden="false" customHeight="false" outlineLevel="0" collapsed="false">
      <c r="A3831" s="4" t="str">
        <f aca="false">B3831&amp;"|"&amp;C3831</f>
        <v>tdbR00000092 Phe-GAA|5</v>
      </c>
      <c r="B3831" s="4" t="s">
        <v>90</v>
      </c>
      <c r="C3831" s="4" t="s">
        <v>417</v>
      </c>
      <c r="D3831" s="4" t="n">
        <v>5</v>
      </c>
      <c r="E3831" s="17" t="s">
        <v>246</v>
      </c>
      <c r="F3831" s="18" t="s">
        <v>412</v>
      </c>
    </row>
    <row r="3832" customFormat="false" ht="15" hidden="false" customHeight="false" outlineLevel="0" collapsed="false">
      <c r="A3832" s="4" t="str">
        <f aca="false">B3832&amp;"|"&amp;C3832</f>
        <v>tdbR00000092 Phe-GAA|6</v>
      </c>
      <c r="B3832" s="4" t="s">
        <v>90</v>
      </c>
      <c r="C3832" s="4" t="s">
        <v>418</v>
      </c>
      <c r="D3832" s="4" t="n">
        <v>6</v>
      </c>
      <c r="E3832" s="17" t="s">
        <v>246</v>
      </c>
      <c r="F3832" s="18" t="s">
        <v>412</v>
      </c>
    </row>
    <row r="3833" customFormat="false" ht="15" hidden="false" customHeight="false" outlineLevel="0" collapsed="false">
      <c r="A3833" s="4" t="str">
        <f aca="false">B3833&amp;"|"&amp;C3833</f>
        <v>tdbR00000092 Phe-GAA|7</v>
      </c>
      <c r="B3833" s="4" t="s">
        <v>90</v>
      </c>
      <c r="C3833" s="4" t="s">
        <v>419</v>
      </c>
      <c r="D3833" s="4" t="n">
        <v>7</v>
      </c>
      <c r="E3833" s="17" t="s">
        <v>246</v>
      </c>
      <c r="F3833" s="18" t="s">
        <v>412</v>
      </c>
    </row>
    <row r="3834" customFormat="false" ht="15" hidden="false" customHeight="false" outlineLevel="0" collapsed="false">
      <c r="A3834" s="4" t="str">
        <f aca="false">B3834&amp;"|"&amp;C3834</f>
        <v>tdbR00000092 Phe-GAA|8</v>
      </c>
      <c r="B3834" s="4" t="s">
        <v>90</v>
      </c>
      <c r="C3834" s="4" t="s">
        <v>420</v>
      </c>
      <c r="D3834" s="4" t="n">
        <v>8</v>
      </c>
      <c r="E3834" s="3" t="s">
        <v>259</v>
      </c>
      <c r="F3834" s="4" t="s">
        <v>421</v>
      </c>
    </row>
    <row r="3835" customFormat="false" ht="15" hidden="false" customHeight="false" outlineLevel="0" collapsed="false">
      <c r="A3835" s="4" t="str">
        <f aca="false">B3835&amp;"|"&amp;C3835</f>
        <v>tdbR00000092 Phe-GAA|9</v>
      </c>
      <c r="B3835" s="4" t="s">
        <v>90</v>
      </c>
      <c r="C3835" s="4" t="s">
        <v>422</v>
      </c>
      <c r="D3835" s="4" t="n">
        <v>9</v>
      </c>
      <c r="E3835" s="3" t="s">
        <v>246</v>
      </c>
      <c r="F3835" s="4" t="s">
        <v>423</v>
      </c>
    </row>
    <row r="3836" customFormat="false" ht="15" hidden="false" customHeight="false" outlineLevel="0" collapsed="false">
      <c r="A3836" s="4" t="str">
        <f aca="false">B3836&amp;"|"&amp;C3836</f>
        <v>tdbR00000092 Phe-GAA|10</v>
      </c>
      <c r="B3836" s="4" t="s">
        <v>90</v>
      </c>
      <c r="C3836" s="4" t="s">
        <v>424</v>
      </c>
      <c r="D3836" s="4" t="n">
        <v>10</v>
      </c>
      <c r="E3836" s="8" t="s">
        <v>197</v>
      </c>
      <c r="F3836" s="7" t="s">
        <v>425</v>
      </c>
    </row>
    <row r="3837" customFormat="false" ht="15" hidden="false" customHeight="false" outlineLevel="0" collapsed="false">
      <c r="A3837" s="4" t="str">
        <f aca="false">B3837&amp;"|"&amp;C3837</f>
        <v>tdbR00000092 Phe-GAA|11</v>
      </c>
      <c r="B3837" s="4" t="s">
        <v>90</v>
      </c>
      <c r="C3837" s="4" t="s">
        <v>426</v>
      </c>
      <c r="D3837" s="4" t="n">
        <v>11</v>
      </c>
      <c r="E3837" s="8" t="s">
        <v>414</v>
      </c>
      <c r="F3837" s="7" t="s">
        <v>425</v>
      </c>
    </row>
    <row r="3838" customFormat="false" ht="15" hidden="false" customHeight="false" outlineLevel="0" collapsed="false">
      <c r="A3838" s="4" t="str">
        <f aca="false">B3838&amp;"|"&amp;C3838</f>
        <v>tdbR00000092 Phe-GAA|12</v>
      </c>
      <c r="B3838" s="4" t="s">
        <v>90</v>
      </c>
      <c r="C3838" s="4" t="s">
        <v>427</v>
      </c>
      <c r="D3838" s="4" t="n">
        <v>12</v>
      </c>
      <c r="E3838" s="8" t="s">
        <v>259</v>
      </c>
      <c r="F3838" s="7" t="s">
        <v>425</v>
      </c>
    </row>
    <row r="3839" customFormat="false" ht="15" hidden="false" customHeight="false" outlineLevel="0" collapsed="false">
      <c r="A3839" s="4" t="str">
        <f aca="false">B3839&amp;"|"&amp;C3839</f>
        <v>tdbR00000092 Phe-GAA|13</v>
      </c>
      <c r="B3839" s="4" t="s">
        <v>90</v>
      </c>
      <c r="C3839" s="4" t="s">
        <v>428</v>
      </c>
      <c r="D3839" s="4" t="n">
        <v>13</v>
      </c>
      <c r="E3839" s="8" t="s">
        <v>414</v>
      </c>
      <c r="F3839" s="7" t="s">
        <v>425</v>
      </c>
    </row>
    <row r="3840" customFormat="false" ht="15" hidden="false" customHeight="false" outlineLevel="0" collapsed="false">
      <c r="A3840" s="4" t="str">
        <f aca="false">B3840&amp;"|"&amp;C3840</f>
        <v>tdbR00000092 Phe-GAA|14</v>
      </c>
      <c r="B3840" s="4" t="s">
        <v>90</v>
      </c>
      <c r="C3840" s="4" t="s">
        <v>429</v>
      </c>
      <c r="D3840" s="4" t="n">
        <v>14</v>
      </c>
      <c r="E3840" s="19" t="s">
        <v>246</v>
      </c>
      <c r="F3840" s="20" t="s">
        <v>430</v>
      </c>
    </row>
    <row r="3841" customFormat="false" ht="15" hidden="false" customHeight="false" outlineLevel="0" collapsed="false">
      <c r="A3841" s="4" t="str">
        <f aca="false">B3841&amp;"|"&amp;C3841</f>
        <v>tdbR00000092 Phe-GAA|15</v>
      </c>
      <c r="B3841" s="4" t="s">
        <v>90</v>
      </c>
      <c r="C3841" s="4" t="s">
        <v>431</v>
      </c>
      <c r="D3841" s="4" t="n">
        <v>15</v>
      </c>
      <c r="E3841" s="19" t="s">
        <v>197</v>
      </c>
      <c r="F3841" s="20" t="s">
        <v>430</v>
      </c>
    </row>
    <row r="3842" customFormat="false" ht="15" hidden="false" customHeight="false" outlineLevel="0" collapsed="false">
      <c r="A3842" s="4" t="str">
        <f aca="false">B3842&amp;"|"&amp;C3842</f>
        <v>tdbR00000092 Phe-GAA|16</v>
      </c>
      <c r="B3842" s="4" t="s">
        <v>90</v>
      </c>
      <c r="C3842" s="4" t="s">
        <v>432</v>
      </c>
      <c r="D3842" s="4" t="n">
        <v>16</v>
      </c>
      <c r="E3842" s="19" t="s">
        <v>259</v>
      </c>
      <c r="F3842" s="20" t="s">
        <v>430</v>
      </c>
    </row>
    <row r="3843" customFormat="false" ht="15" hidden="false" customHeight="false" outlineLevel="0" collapsed="false">
      <c r="A3843" s="4" t="str">
        <f aca="false">B3843&amp;"|"&amp;C3843</f>
        <v>tdbR00000092 Phe-GAA|17</v>
      </c>
      <c r="B3843" s="4" t="s">
        <v>90</v>
      </c>
      <c r="C3843" s="4" t="s">
        <v>433</v>
      </c>
      <c r="D3843" s="4" t="n">
        <v>17</v>
      </c>
      <c r="E3843" s="19" t="s">
        <v>259</v>
      </c>
      <c r="F3843" s="20" t="s">
        <v>430</v>
      </c>
    </row>
    <row r="3844" customFormat="false" ht="15" hidden="false" customHeight="false" outlineLevel="0" collapsed="false">
      <c r="A3844" s="4" t="str">
        <f aca="false">B3844&amp;"|"&amp;C3844</f>
        <v>tdbR00000092 Phe-GAA|18</v>
      </c>
      <c r="B3844" s="4" t="s">
        <v>90</v>
      </c>
      <c r="C3844" s="4" t="s">
        <v>434</v>
      </c>
      <c r="D3844" s="4" t="n">
        <v>18</v>
      </c>
      <c r="E3844" s="19" t="s">
        <v>197</v>
      </c>
      <c r="F3844" s="20" t="s">
        <v>430</v>
      </c>
    </row>
    <row r="3845" customFormat="false" ht="15" hidden="false" customHeight="false" outlineLevel="0" collapsed="false">
      <c r="A3845" s="4" t="str">
        <f aca="false">B3845&amp;"|"&amp;C3845</f>
        <v>tdbR00000092 Phe-GAA|19</v>
      </c>
      <c r="B3845" s="4" t="s">
        <v>90</v>
      </c>
      <c r="C3845" s="4" t="s">
        <v>435</v>
      </c>
      <c r="D3845" s="4" t="n">
        <v>19</v>
      </c>
      <c r="E3845" s="19" t="s">
        <v>197</v>
      </c>
      <c r="F3845" s="20" t="s">
        <v>430</v>
      </c>
    </row>
    <row r="3846" customFormat="false" ht="15" hidden="false" customHeight="false" outlineLevel="0" collapsed="false">
      <c r="A3846" s="4" t="str">
        <f aca="false">B3846&amp;"|"&amp;C3846</f>
        <v>tdbR00000092 Phe-GAA|20</v>
      </c>
      <c r="B3846" s="4" t="s">
        <v>90</v>
      </c>
      <c r="C3846" s="4" t="s">
        <v>436</v>
      </c>
      <c r="D3846" s="4" t="n">
        <v>20</v>
      </c>
      <c r="E3846" s="19" t="s">
        <v>197</v>
      </c>
      <c r="F3846" s="20" t="s">
        <v>430</v>
      </c>
    </row>
    <row r="3847" customFormat="false" ht="15" hidden="false" customHeight="false" outlineLevel="0" collapsed="false">
      <c r="A3847" s="4" t="str">
        <f aca="false">B3847&amp;"|"&amp;C3847</f>
        <v>tdbR00000092 Phe-GAA|21</v>
      </c>
      <c r="B3847" s="4" t="s">
        <v>90</v>
      </c>
      <c r="C3847" s="4" t="s">
        <v>438</v>
      </c>
      <c r="D3847" s="4" t="n">
        <v>21</v>
      </c>
      <c r="E3847" s="19" t="s">
        <v>246</v>
      </c>
      <c r="F3847" s="20" t="s">
        <v>430</v>
      </c>
    </row>
    <row r="3848" customFormat="false" ht="15" hidden="false" customHeight="false" outlineLevel="0" collapsed="false">
      <c r="A3848" s="4" t="str">
        <f aca="false">B3848&amp;"|"&amp;C3848</f>
        <v>tdbR00000092 Phe-GAA|22</v>
      </c>
      <c r="B3848" s="4" t="s">
        <v>90</v>
      </c>
      <c r="C3848" s="4" t="s">
        <v>439</v>
      </c>
      <c r="D3848" s="4" t="n">
        <v>22</v>
      </c>
      <c r="E3848" s="8" t="s">
        <v>197</v>
      </c>
      <c r="F3848" s="7" t="s">
        <v>425</v>
      </c>
    </row>
    <row r="3849" customFormat="false" ht="15" hidden="false" customHeight="false" outlineLevel="0" collapsed="false">
      <c r="A3849" s="4" t="str">
        <f aca="false">B3849&amp;"|"&amp;C3849</f>
        <v>tdbR00000092 Phe-GAA|23</v>
      </c>
      <c r="B3849" s="4" t="s">
        <v>90</v>
      </c>
      <c r="C3849" s="4" t="s">
        <v>440</v>
      </c>
      <c r="D3849" s="4" t="n">
        <v>23</v>
      </c>
      <c r="E3849" s="8" t="s">
        <v>246</v>
      </c>
      <c r="F3849" s="7" t="s">
        <v>425</v>
      </c>
    </row>
    <row r="3850" customFormat="false" ht="15" hidden="false" customHeight="false" outlineLevel="0" collapsed="false">
      <c r="A3850" s="4" t="str">
        <f aca="false">B3850&amp;"|"&amp;C3850</f>
        <v>tdbR00000092 Phe-GAA|24</v>
      </c>
      <c r="B3850" s="4" t="s">
        <v>90</v>
      </c>
      <c r="C3850" s="4" t="s">
        <v>441</v>
      </c>
      <c r="D3850" s="4" t="n">
        <v>24</v>
      </c>
      <c r="E3850" s="8" t="s">
        <v>197</v>
      </c>
      <c r="F3850" s="7" t="s">
        <v>425</v>
      </c>
    </row>
    <row r="3851" customFormat="false" ht="15" hidden="false" customHeight="false" outlineLevel="0" collapsed="false">
      <c r="A3851" s="4" t="str">
        <f aca="false">B3851&amp;"|"&amp;C3851</f>
        <v>tdbR00000092 Phe-GAA|25</v>
      </c>
      <c r="B3851" s="4" t="s">
        <v>90</v>
      </c>
      <c r="C3851" s="4" t="s">
        <v>442</v>
      </c>
      <c r="D3851" s="4" t="n">
        <v>25</v>
      </c>
      <c r="E3851" s="8" t="s">
        <v>414</v>
      </c>
      <c r="F3851" s="7" t="s">
        <v>425</v>
      </c>
    </row>
    <row r="3852" customFormat="false" ht="15" hidden="false" customHeight="false" outlineLevel="0" collapsed="false">
      <c r="A3852" s="4" t="str">
        <f aca="false">B3852&amp;"|"&amp;C3852</f>
        <v>tdbR00000092 Phe-GAA|26</v>
      </c>
      <c r="B3852" s="4" t="s">
        <v>90</v>
      </c>
      <c r="C3852" s="4" t="s">
        <v>443</v>
      </c>
      <c r="D3852" s="4" t="n">
        <v>26</v>
      </c>
      <c r="E3852" s="3" t="s">
        <v>197</v>
      </c>
      <c r="F3852" s="4" t="s">
        <v>444</v>
      </c>
    </row>
    <row r="3853" customFormat="false" ht="15" hidden="false" customHeight="false" outlineLevel="0" collapsed="false">
      <c r="A3853" s="4" t="str">
        <f aca="false">B3853&amp;"|"&amp;C3853</f>
        <v>tdbR00000092 Phe-GAA|27</v>
      </c>
      <c r="B3853" s="4" t="s">
        <v>90</v>
      </c>
      <c r="C3853" s="4" t="s">
        <v>445</v>
      </c>
      <c r="D3853" s="4" t="n">
        <v>27</v>
      </c>
      <c r="E3853" s="21" t="s">
        <v>259</v>
      </c>
      <c r="F3853" s="22" t="s">
        <v>446</v>
      </c>
    </row>
    <row r="3854" customFormat="false" ht="15" hidden="false" customHeight="false" outlineLevel="0" collapsed="false">
      <c r="A3854" s="4" t="str">
        <f aca="false">B3854&amp;"|"&amp;C3854</f>
        <v>tdbR00000092 Phe-GAA|28</v>
      </c>
      <c r="B3854" s="4" t="s">
        <v>90</v>
      </c>
      <c r="C3854" s="4" t="s">
        <v>447</v>
      </c>
      <c r="D3854" s="4" t="n">
        <v>28</v>
      </c>
      <c r="E3854" s="21" t="s">
        <v>259</v>
      </c>
      <c r="F3854" s="22" t="s">
        <v>446</v>
      </c>
    </row>
    <row r="3855" customFormat="false" ht="15" hidden="false" customHeight="false" outlineLevel="0" collapsed="false">
      <c r="A3855" s="4" t="str">
        <f aca="false">B3855&amp;"|"&amp;C3855</f>
        <v>tdbR00000092 Phe-GAA|29</v>
      </c>
      <c r="B3855" s="4" t="s">
        <v>90</v>
      </c>
      <c r="C3855" s="4" t="s">
        <v>448</v>
      </c>
      <c r="D3855" s="4" t="n">
        <v>29</v>
      </c>
      <c r="E3855" s="21" t="s">
        <v>246</v>
      </c>
      <c r="F3855" s="22" t="s">
        <v>446</v>
      </c>
    </row>
    <row r="3856" customFormat="false" ht="15" hidden="false" customHeight="false" outlineLevel="0" collapsed="false">
      <c r="A3856" s="4" t="str">
        <f aca="false">B3856&amp;"|"&amp;C3856</f>
        <v>tdbR00000092 Phe-GAA|30</v>
      </c>
      <c r="B3856" s="4" t="s">
        <v>90</v>
      </c>
      <c r="C3856" s="4" t="s">
        <v>449</v>
      </c>
      <c r="D3856" s="4" t="n">
        <v>30</v>
      </c>
      <c r="E3856" s="21" t="s">
        <v>197</v>
      </c>
      <c r="F3856" s="22" t="s">
        <v>446</v>
      </c>
    </row>
    <row r="3857" customFormat="false" ht="15" hidden="false" customHeight="false" outlineLevel="0" collapsed="false">
      <c r="A3857" s="4" t="str">
        <f aca="false">B3857&amp;"|"&amp;C3857</f>
        <v>tdbR00000092 Phe-GAA|31</v>
      </c>
      <c r="B3857" s="4" t="s">
        <v>90</v>
      </c>
      <c r="C3857" s="4" t="s">
        <v>450</v>
      </c>
      <c r="D3857" s="4" t="n">
        <v>31</v>
      </c>
      <c r="E3857" s="21" t="s">
        <v>246</v>
      </c>
      <c r="F3857" s="22" t="s">
        <v>446</v>
      </c>
    </row>
    <row r="3858" customFormat="false" ht="15" hidden="false" customHeight="false" outlineLevel="0" collapsed="false">
      <c r="A3858" s="4" t="str">
        <f aca="false">B3858&amp;"|"&amp;C3858</f>
        <v>tdbR00000092 Phe-GAA|32</v>
      </c>
      <c r="B3858" s="4" t="s">
        <v>90</v>
      </c>
      <c r="C3858" s="4" t="s">
        <v>451</v>
      </c>
      <c r="D3858" s="4" t="n">
        <v>32</v>
      </c>
      <c r="E3858" s="19" t="s">
        <v>414</v>
      </c>
      <c r="F3858" s="20" t="s">
        <v>452</v>
      </c>
    </row>
    <row r="3859" customFormat="false" ht="15" hidden="false" customHeight="false" outlineLevel="0" collapsed="false">
      <c r="A3859" s="4" t="str">
        <f aca="false">B3859&amp;"|"&amp;C3859</f>
        <v>tdbR00000092 Phe-GAA|33</v>
      </c>
      <c r="B3859" s="4" t="s">
        <v>90</v>
      </c>
      <c r="C3859" s="4" t="s">
        <v>453</v>
      </c>
      <c r="D3859" s="4" t="n">
        <v>33</v>
      </c>
      <c r="E3859" s="19" t="s">
        <v>259</v>
      </c>
      <c r="F3859" s="20" t="s">
        <v>452</v>
      </c>
    </row>
    <row r="3860" customFormat="false" ht="15" hidden="false" customHeight="false" outlineLevel="0" collapsed="false">
      <c r="A3860" s="4" t="str">
        <f aca="false">B3860&amp;"|"&amp;C3860</f>
        <v>tdbR00000092 Phe-GAA|34</v>
      </c>
      <c r="B3860" s="4" t="s">
        <v>90</v>
      </c>
      <c r="C3860" s="4" t="s">
        <v>454</v>
      </c>
      <c r="D3860" s="4" t="n">
        <v>34</v>
      </c>
      <c r="E3860" s="19" t="s">
        <v>197</v>
      </c>
      <c r="F3860" s="20" t="s">
        <v>452</v>
      </c>
    </row>
    <row r="3861" customFormat="false" ht="15" hidden="false" customHeight="false" outlineLevel="0" collapsed="false">
      <c r="A3861" s="4" t="str">
        <f aca="false">B3861&amp;"|"&amp;C3861</f>
        <v>tdbR00000092 Phe-GAA|35</v>
      </c>
      <c r="B3861" s="4" t="s">
        <v>90</v>
      </c>
      <c r="C3861" s="4" t="s">
        <v>455</v>
      </c>
      <c r="D3861" s="4" t="n">
        <v>35</v>
      </c>
      <c r="E3861" s="19" t="s">
        <v>246</v>
      </c>
      <c r="F3861" s="20" t="s">
        <v>452</v>
      </c>
    </row>
    <row r="3862" customFormat="false" ht="15" hidden="false" customHeight="false" outlineLevel="0" collapsed="false">
      <c r="A3862" s="4" t="str">
        <f aca="false">B3862&amp;"|"&amp;C3862</f>
        <v>tdbR00000092 Phe-GAA|36</v>
      </c>
      <c r="B3862" s="4" t="s">
        <v>90</v>
      </c>
      <c r="C3862" s="4" t="s">
        <v>456</v>
      </c>
      <c r="D3862" s="4" t="n">
        <v>36</v>
      </c>
      <c r="E3862" s="19" t="s">
        <v>246</v>
      </c>
      <c r="F3862" s="20" t="s">
        <v>452</v>
      </c>
    </row>
    <row r="3863" customFormat="false" ht="15" hidden="false" customHeight="false" outlineLevel="0" collapsed="false">
      <c r="A3863" s="4" t="str">
        <f aca="false">B3863&amp;"|"&amp;C3863</f>
        <v>tdbR00000092 Phe-GAA|37</v>
      </c>
      <c r="B3863" s="4" t="s">
        <v>90</v>
      </c>
      <c r="C3863" s="4" t="s">
        <v>457</v>
      </c>
      <c r="D3863" s="4" t="n">
        <v>37</v>
      </c>
      <c r="E3863" s="19" t="s">
        <v>197</v>
      </c>
      <c r="F3863" s="20" t="s">
        <v>452</v>
      </c>
    </row>
    <row r="3864" customFormat="false" ht="15" hidden="false" customHeight="false" outlineLevel="0" collapsed="false">
      <c r="A3864" s="4" t="str">
        <f aca="false">B3864&amp;"|"&amp;C3864</f>
        <v>tdbR00000092 Phe-GAA|38</v>
      </c>
      <c r="B3864" s="4" t="s">
        <v>90</v>
      </c>
      <c r="C3864" s="4" t="s">
        <v>458</v>
      </c>
      <c r="D3864" s="4" t="n">
        <v>38</v>
      </c>
      <c r="E3864" s="19" t="s">
        <v>246</v>
      </c>
      <c r="F3864" s="20" t="s">
        <v>452</v>
      </c>
    </row>
    <row r="3865" customFormat="false" ht="15" hidden="false" customHeight="false" outlineLevel="0" collapsed="false">
      <c r="A3865" s="4" t="str">
        <f aca="false">B3865&amp;"|"&amp;C3865</f>
        <v>tdbR00000092 Phe-GAA|39</v>
      </c>
      <c r="B3865" s="4" t="s">
        <v>90</v>
      </c>
      <c r="C3865" s="4" t="s">
        <v>459</v>
      </c>
      <c r="D3865" s="4" t="n">
        <v>39</v>
      </c>
      <c r="E3865" s="21" t="s">
        <v>259</v>
      </c>
      <c r="F3865" s="22" t="s">
        <v>446</v>
      </c>
    </row>
    <row r="3866" customFormat="false" ht="15" hidden="false" customHeight="false" outlineLevel="0" collapsed="false">
      <c r="A3866" s="4" t="str">
        <f aca="false">B3866&amp;"|"&amp;C3866</f>
        <v>tdbR00000092 Phe-GAA|40</v>
      </c>
      <c r="B3866" s="4" t="s">
        <v>90</v>
      </c>
      <c r="C3866" s="4" t="s">
        <v>460</v>
      </c>
      <c r="D3866" s="4" t="n">
        <v>40</v>
      </c>
      <c r="E3866" s="21" t="s">
        <v>414</v>
      </c>
      <c r="F3866" s="22" t="s">
        <v>446</v>
      </c>
    </row>
    <row r="3867" customFormat="false" ht="15" hidden="false" customHeight="false" outlineLevel="0" collapsed="false">
      <c r="A3867" s="4" t="str">
        <f aca="false">B3867&amp;"|"&amp;C3867</f>
        <v>tdbR00000092 Phe-GAA|41</v>
      </c>
      <c r="B3867" s="4" t="s">
        <v>90</v>
      </c>
      <c r="C3867" s="4" t="s">
        <v>461</v>
      </c>
      <c r="D3867" s="4" t="n">
        <v>41</v>
      </c>
      <c r="E3867" s="21" t="s">
        <v>259</v>
      </c>
      <c r="F3867" s="22" t="s">
        <v>446</v>
      </c>
    </row>
    <row r="3868" customFormat="false" ht="15" hidden="false" customHeight="false" outlineLevel="0" collapsed="false">
      <c r="A3868" s="4" t="str">
        <f aca="false">B3868&amp;"|"&amp;C3868</f>
        <v>tdbR00000092 Phe-GAA|42</v>
      </c>
      <c r="B3868" s="4" t="s">
        <v>90</v>
      </c>
      <c r="C3868" s="4" t="s">
        <v>462</v>
      </c>
      <c r="D3868" s="4" t="n">
        <v>42</v>
      </c>
      <c r="E3868" s="21" t="s">
        <v>246</v>
      </c>
      <c r="F3868" s="22" t="s">
        <v>446</v>
      </c>
    </row>
    <row r="3869" customFormat="false" ht="15" hidden="false" customHeight="false" outlineLevel="0" collapsed="false">
      <c r="A3869" s="4" t="str">
        <f aca="false">B3869&amp;"|"&amp;C3869</f>
        <v>tdbR00000092 Phe-GAA|43</v>
      </c>
      <c r="B3869" s="4" t="s">
        <v>90</v>
      </c>
      <c r="C3869" s="4" t="s">
        <v>463</v>
      </c>
      <c r="D3869" s="4" t="n">
        <v>43</v>
      </c>
      <c r="E3869" s="21" t="s">
        <v>246</v>
      </c>
      <c r="F3869" s="22" t="s">
        <v>446</v>
      </c>
    </row>
    <row r="3870" customFormat="false" ht="15" hidden="false" customHeight="false" outlineLevel="0" collapsed="false">
      <c r="A3870" s="4" t="str">
        <f aca="false">B3870&amp;"|"&amp;C3870</f>
        <v>tdbR00000092 Phe-GAA|44</v>
      </c>
      <c r="B3870" s="4" t="s">
        <v>90</v>
      </c>
      <c r="C3870" s="4" t="s">
        <v>464</v>
      </c>
      <c r="D3870" s="4" t="n">
        <v>44</v>
      </c>
      <c r="E3870" s="19" t="s">
        <v>246</v>
      </c>
      <c r="F3870" s="20" t="s">
        <v>465</v>
      </c>
    </row>
    <row r="3871" customFormat="false" ht="15" hidden="false" customHeight="false" outlineLevel="0" collapsed="false">
      <c r="A3871" s="4" t="str">
        <f aca="false">B3871&amp;"|"&amp;C3871</f>
        <v>tdbR00000092 Phe-GAA|45</v>
      </c>
      <c r="B3871" s="4" t="s">
        <v>90</v>
      </c>
      <c r="C3871" s="4" t="s">
        <v>466</v>
      </c>
      <c r="D3871" s="4" t="n">
        <v>45</v>
      </c>
      <c r="E3871" s="19" t="s">
        <v>197</v>
      </c>
      <c r="F3871" s="20" t="s">
        <v>465</v>
      </c>
    </row>
    <row r="3872" customFormat="false" ht="15" hidden="false" customHeight="false" outlineLevel="0" collapsed="false">
      <c r="A3872" s="4" t="str">
        <f aca="false">B3872&amp;"|"&amp;C3872</f>
        <v>tdbR00000092 Phe-GAA|46</v>
      </c>
      <c r="B3872" s="4" t="s">
        <v>90</v>
      </c>
      <c r="C3872" s="4" t="s">
        <v>467</v>
      </c>
      <c r="D3872" s="4" t="n">
        <v>46</v>
      </c>
      <c r="E3872" s="19" t="s">
        <v>197</v>
      </c>
      <c r="F3872" s="20" t="s">
        <v>465</v>
      </c>
    </row>
    <row r="3873" customFormat="false" ht="15" hidden="false" customHeight="false" outlineLevel="0" collapsed="false">
      <c r="A3873" s="4" t="str">
        <f aca="false">B3873&amp;"|"&amp;C3873</f>
        <v>tdbR00000092 Phe-GAA|47</v>
      </c>
      <c r="B3873" s="4" t="s">
        <v>90</v>
      </c>
      <c r="C3873" s="4" t="s">
        <v>468</v>
      </c>
      <c r="D3873" s="4" t="n">
        <v>47</v>
      </c>
      <c r="E3873" s="19" t="s">
        <v>259</v>
      </c>
      <c r="F3873" s="20" t="s">
        <v>465</v>
      </c>
    </row>
    <row r="3874" customFormat="false" ht="15" hidden="false" customHeight="false" outlineLevel="0" collapsed="false">
      <c r="A3874" s="4" t="str">
        <f aca="false">B3874&amp;"|"&amp;C3874</f>
        <v>tdbR00000092 Phe-GAA|48</v>
      </c>
      <c r="B3874" s="4" t="s">
        <v>90</v>
      </c>
      <c r="C3874" s="4" t="s">
        <v>469</v>
      </c>
      <c r="D3874" s="4" t="n">
        <v>48</v>
      </c>
      <c r="E3874" s="19" t="s">
        <v>414</v>
      </c>
      <c r="F3874" s="20" t="s">
        <v>465</v>
      </c>
    </row>
    <row r="3875" customFormat="false" ht="15" hidden="false" customHeight="false" outlineLevel="0" collapsed="false">
      <c r="A3875" s="4" t="str">
        <f aca="false">B3875&amp;"|"&amp;C3875</f>
        <v>tdbR00000092 Phe-GAA|49</v>
      </c>
      <c r="B3875" s="4" t="s">
        <v>90</v>
      </c>
      <c r="C3875" s="4" t="s">
        <v>470</v>
      </c>
      <c r="D3875" s="4" t="n">
        <v>49</v>
      </c>
      <c r="E3875" s="23" t="s">
        <v>414</v>
      </c>
      <c r="F3875" s="10" t="s">
        <v>471</v>
      </c>
    </row>
    <row r="3876" customFormat="false" ht="15" hidden="false" customHeight="false" outlineLevel="0" collapsed="false">
      <c r="A3876" s="4" t="str">
        <f aca="false">B3876&amp;"|"&amp;C3876</f>
        <v>tdbR00000092 Phe-GAA|50</v>
      </c>
      <c r="B3876" s="4" t="s">
        <v>90</v>
      </c>
      <c r="C3876" s="4" t="s">
        <v>472</v>
      </c>
      <c r="D3876" s="4" t="n">
        <v>50</v>
      </c>
      <c r="E3876" s="23" t="s">
        <v>414</v>
      </c>
      <c r="F3876" s="10" t="s">
        <v>471</v>
      </c>
    </row>
    <row r="3877" customFormat="false" ht="15" hidden="false" customHeight="false" outlineLevel="0" collapsed="false">
      <c r="A3877" s="4" t="str">
        <f aca="false">B3877&amp;"|"&amp;C3877</f>
        <v>tdbR00000092 Phe-GAA|51</v>
      </c>
      <c r="B3877" s="4" t="s">
        <v>90</v>
      </c>
      <c r="C3877" s="4" t="s">
        <v>473</v>
      </c>
      <c r="D3877" s="4" t="n">
        <v>51</v>
      </c>
      <c r="E3877" s="23" t="s">
        <v>259</v>
      </c>
      <c r="F3877" s="10" t="s">
        <v>471</v>
      </c>
    </row>
    <row r="3878" customFormat="false" ht="15" hidden="false" customHeight="false" outlineLevel="0" collapsed="false">
      <c r="A3878" s="4" t="str">
        <f aca="false">B3878&amp;"|"&amp;C3878</f>
        <v>tdbR00000092 Phe-GAA|52</v>
      </c>
      <c r="B3878" s="4" t="s">
        <v>90</v>
      </c>
      <c r="C3878" s="4" t="s">
        <v>474</v>
      </c>
      <c r="D3878" s="4" t="n">
        <v>52</v>
      </c>
      <c r="E3878" s="23" t="s">
        <v>197</v>
      </c>
      <c r="F3878" s="10" t="s">
        <v>471</v>
      </c>
    </row>
    <row r="3879" customFormat="false" ht="15" hidden="false" customHeight="false" outlineLevel="0" collapsed="false">
      <c r="A3879" s="4" t="str">
        <f aca="false">B3879&amp;"|"&amp;C3879</f>
        <v>tdbR00000092 Phe-GAA|53</v>
      </c>
      <c r="B3879" s="4" t="s">
        <v>90</v>
      </c>
      <c r="C3879" s="4" t="s">
        <v>475</v>
      </c>
      <c r="D3879" s="4" t="n">
        <v>53</v>
      </c>
      <c r="E3879" s="23" t="s">
        <v>197</v>
      </c>
      <c r="F3879" s="10" t="s">
        <v>471</v>
      </c>
    </row>
    <row r="3880" customFormat="false" ht="15" hidden="false" customHeight="false" outlineLevel="0" collapsed="false">
      <c r="A3880" s="4" t="str">
        <f aca="false">B3880&amp;"|"&amp;C3880</f>
        <v>tdbR00000092 Phe-GAA|54</v>
      </c>
      <c r="B3880" s="4" t="s">
        <v>90</v>
      </c>
      <c r="C3880" s="4" t="s">
        <v>476</v>
      </c>
      <c r="D3880" s="4" t="n">
        <v>54</v>
      </c>
      <c r="E3880" s="19" t="s">
        <v>259</v>
      </c>
      <c r="F3880" s="20" t="s">
        <v>477</v>
      </c>
    </row>
    <row r="3881" customFormat="false" ht="15" hidden="false" customHeight="false" outlineLevel="0" collapsed="false">
      <c r="A3881" s="4" t="str">
        <f aca="false">B3881&amp;"|"&amp;C3881</f>
        <v>tdbR00000092 Phe-GAA|55</v>
      </c>
      <c r="B3881" s="4" t="s">
        <v>90</v>
      </c>
      <c r="C3881" s="4" t="s">
        <v>478</v>
      </c>
      <c r="D3881" s="4" t="n">
        <v>55</v>
      </c>
      <c r="E3881" s="19" t="s">
        <v>259</v>
      </c>
      <c r="F3881" s="20" t="s">
        <v>477</v>
      </c>
    </row>
    <row r="3882" customFormat="false" ht="15" hidden="false" customHeight="false" outlineLevel="0" collapsed="false">
      <c r="A3882" s="4" t="str">
        <f aca="false">B3882&amp;"|"&amp;C3882</f>
        <v>tdbR00000092 Phe-GAA|56</v>
      </c>
      <c r="B3882" s="4" t="s">
        <v>90</v>
      </c>
      <c r="C3882" s="4" t="s">
        <v>479</v>
      </c>
      <c r="D3882" s="4" t="n">
        <v>56</v>
      </c>
      <c r="E3882" s="19" t="s">
        <v>414</v>
      </c>
      <c r="F3882" s="20" t="s">
        <v>477</v>
      </c>
    </row>
    <row r="3883" customFormat="false" ht="15" hidden="false" customHeight="false" outlineLevel="0" collapsed="false">
      <c r="A3883" s="4" t="str">
        <f aca="false">B3883&amp;"|"&amp;C3883</f>
        <v>tdbR00000092 Phe-GAA|57</v>
      </c>
      <c r="B3883" s="4" t="s">
        <v>90</v>
      </c>
      <c r="C3883" s="4" t="s">
        <v>480</v>
      </c>
      <c r="D3883" s="4" t="n">
        <v>57</v>
      </c>
      <c r="E3883" s="19" t="s">
        <v>197</v>
      </c>
      <c r="F3883" s="20" t="s">
        <v>477</v>
      </c>
    </row>
    <row r="3884" customFormat="false" ht="15" hidden="false" customHeight="false" outlineLevel="0" collapsed="false">
      <c r="A3884" s="4" t="str">
        <f aca="false">B3884&amp;"|"&amp;C3884</f>
        <v>tdbR00000092 Phe-GAA|58</v>
      </c>
      <c r="B3884" s="4" t="s">
        <v>90</v>
      </c>
      <c r="C3884" s="4" t="s">
        <v>481</v>
      </c>
      <c r="D3884" s="4" t="n">
        <v>58</v>
      </c>
      <c r="E3884" s="19" t="s">
        <v>246</v>
      </c>
      <c r="F3884" s="20" t="s">
        <v>477</v>
      </c>
    </row>
    <row r="3885" customFormat="false" ht="15" hidden="false" customHeight="false" outlineLevel="0" collapsed="false">
      <c r="A3885" s="4" t="str">
        <f aca="false">B3885&amp;"|"&amp;C3885</f>
        <v>tdbR00000092 Phe-GAA|59</v>
      </c>
      <c r="B3885" s="4" t="s">
        <v>90</v>
      </c>
      <c r="C3885" s="4" t="s">
        <v>482</v>
      </c>
      <c r="D3885" s="4" t="n">
        <v>59</v>
      </c>
      <c r="E3885" s="19" t="s">
        <v>259</v>
      </c>
      <c r="F3885" s="20" t="s">
        <v>477</v>
      </c>
    </row>
    <row r="3886" customFormat="false" ht="15" hidden="false" customHeight="false" outlineLevel="0" collapsed="false">
      <c r="A3886" s="4" t="str">
        <f aca="false">B3886&amp;"|"&amp;C3886</f>
        <v>tdbR00000092 Phe-GAA|60</v>
      </c>
      <c r="B3886" s="4" t="s">
        <v>90</v>
      </c>
      <c r="C3886" s="4" t="s">
        <v>483</v>
      </c>
      <c r="D3886" s="4" t="n">
        <v>60</v>
      </c>
      <c r="E3886" s="19" t="s">
        <v>414</v>
      </c>
      <c r="F3886" s="20" t="s">
        <v>477</v>
      </c>
    </row>
    <row r="3887" customFormat="false" ht="15" hidden="false" customHeight="false" outlineLevel="0" collapsed="false">
      <c r="A3887" s="4" t="str">
        <f aca="false">B3887&amp;"|"&amp;C3887</f>
        <v>tdbR00000092 Phe-GAA|61</v>
      </c>
      <c r="B3887" s="4" t="s">
        <v>90</v>
      </c>
      <c r="C3887" s="4" t="s">
        <v>484</v>
      </c>
      <c r="D3887" s="4" t="n">
        <v>61</v>
      </c>
      <c r="E3887" s="23" t="s">
        <v>414</v>
      </c>
      <c r="F3887" s="10" t="s">
        <v>471</v>
      </c>
    </row>
    <row r="3888" customFormat="false" ht="15" hidden="false" customHeight="false" outlineLevel="0" collapsed="false">
      <c r="A3888" s="4" t="str">
        <f aca="false">B3888&amp;"|"&amp;C3888</f>
        <v>tdbR00000092 Phe-GAA|62</v>
      </c>
      <c r="B3888" s="4" t="s">
        <v>90</v>
      </c>
      <c r="C3888" s="4" t="s">
        <v>485</v>
      </c>
      <c r="D3888" s="4" t="n">
        <v>62</v>
      </c>
      <c r="E3888" s="23" t="s">
        <v>414</v>
      </c>
      <c r="F3888" s="10" t="s">
        <v>471</v>
      </c>
    </row>
    <row r="3889" customFormat="false" ht="15" hidden="false" customHeight="false" outlineLevel="0" collapsed="false">
      <c r="A3889" s="4" t="str">
        <f aca="false">B3889&amp;"|"&amp;C3889</f>
        <v>tdbR00000092 Phe-GAA|63</v>
      </c>
      <c r="B3889" s="4" t="s">
        <v>90</v>
      </c>
      <c r="C3889" s="4" t="s">
        <v>486</v>
      </c>
      <c r="D3889" s="4" t="n">
        <v>63</v>
      </c>
      <c r="E3889" s="23" t="s">
        <v>197</v>
      </c>
      <c r="F3889" s="10" t="s">
        <v>471</v>
      </c>
    </row>
    <row r="3890" customFormat="false" ht="15" hidden="false" customHeight="false" outlineLevel="0" collapsed="false">
      <c r="A3890" s="4" t="str">
        <f aca="false">B3890&amp;"|"&amp;C3890</f>
        <v>tdbR00000092 Phe-GAA|64</v>
      </c>
      <c r="B3890" s="4" t="s">
        <v>90</v>
      </c>
      <c r="C3890" s="4" t="s">
        <v>487</v>
      </c>
      <c r="D3890" s="4" t="n">
        <v>64</v>
      </c>
      <c r="E3890" s="23" t="s">
        <v>197</v>
      </c>
      <c r="F3890" s="10" t="s">
        <v>471</v>
      </c>
    </row>
    <row r="3891" customFormat="false" ht="15" hidden="false" customHeight="false" outlineLevel="0" collapsed="false">
      <c r="A3891" s="4" t="str">
        <f aca="false">B3891&amp;"|"&amp;C3891</f>
        <v>tdbR00000092 Phe-GAA|65</v>
      </c>
      <c r="B3891" s="4" t="s">
        <v>90</v>
      </c>
      <c r="C3891" s="4" t="s">
        <v>488</v>
      </c>
      <c r="D3891" s="4" t="n">
        <v>65</v>
      </c>
      <c r="E3891" s="23" t="s">
        <v>197</v>
      </c>
      <c r="F3891" s="10" t="s">
        <v>471</v>
      </c>
    </row>
    <row r="3892" customFormat="false" ht="15" hidden="false" customHeight="false" outlineLevel="0" collapsed="false">
      <c r="A3892" s="4" t="str">
        <f aca="false">B3892&amp;"|"&amp;C3892</f>
        <v>tdbR00000092 Phe-GAA|66</v>
      </c>
      <c r="B3892" s="4" t="s">
        <v>90</v>
      </c>
      <c r="C3892" s="4" t="s">
        <v>489</v>
      </c>
      <c r="D3892" s="4" t="n">
        <v>66</v>
      </c>
      <c r="E3892" s="17" t="s">
        <v>259</v>
      </c>
      <c r="F3892" s="18" t="s">
        <v>412</v>
      </c>
    </row>
    <row r="3893" customFormat="false" ht="15" hidden="false" customHeight="false" outlineLevel="0" collapsed="false">
      <c r="A3893" s="4" t="str">
        <f aca="false">B3893&amp;"|"&amp;C3893</f>
        <v>tdbR00000092 Phe-GAA|67</v>
      </c>
      <c r="B3893" s="4" t="s">
        <v>90</v>
      </c>
      <c r="C3893" s="4" t="s">
        <v>490</v>
      </c>
      <c r="D3893" s="4" t="n">
        <v>67</v>
      </c>
      <c r="E3893" s="17" t="s">
        <v>259</v>
      </c>
      <c r="F3893" s="18" t="s">
        <v>412</v>
      </c>
    </row>
    <row r="3894" customFormat="false" ht="15" hidden="false" customHeight="false" outlineLevel="0" collapsed="false">
      <c r="A3894" s="4" t="str">
        <f aca="false">B3894&amp;"|"&amp;C3894</f>
        <v>tdbR00000092 Phe-GAA|68</v>
      </c>
      <c r="B3894" s="4" t="s">
        <v>90</v>
      </c>
      <c r="C3894" s="4" t="s">
        <v>491</v>
      </c>
      <c r="D3894" s="4" t="n">
        <v>68</v>
      </c>
      <c r="E3894" s="17" t="s">
        <v>259</v>
      </c>
      <c r="F3894" s="18" t="s">
        <v>412</v>
      </c>
    </row>
    <row r="3895" customFormat="false" ht="15" hidden="false" customHeight="false" outlineLevel="0" collapsed="false">
      <c r="A3895" s="4" t="str">
        <f aca="false">B3895&amp;"|"&amp;C3895</f>
        <v>tdbR00000092 Phe-GAA|69</v>
      </c>
      <c r="B3895" s="4" t="s">
        <v>90</v>
      </c>
      <c r="C3895" s="4" t="s">
        <v>492</v>
      </c>
      <c r="D3895" s="4" t="n">
        <v>69</v>
      </c>
      <c r="E3895" s="17" t="s">
        <v>414</v>
      </c>
      <c r="F3895" s="18" t="s">
        <v>412</v>
      </c>
    </row>
    <row r="3896" customFormat="false" ht="15" hidden="false" customHeight="false" outlineLevel="0" collapsed="false">
      <c r="A3896" s="4" t="str">
        <f aca="false">B3896&amp;"|"&amp;C3896</f>
        <v>tdbR00000092 Phe-GAA|70</v>
      </c>
      <c r="B3896" s="4" t="s">
        <v>90</v>
      </c>
      <c r="C3896" s="4" t="s">
        <v>493</v>
      </c>
      <c r="D3896" s="4" t="n">
        <v>70</v>
      </c>
      <c r="E3896" s="17" t="s">
        <v>197</v>
      </c>
      <c r="F3896" s="18" t="s">
        <v>412</v>
      </c>
    </row>
    <row r="3897" customFormat="false" ht="15" hidden="false" customHeight="false" outlineLevel="0" collapsed="false">
      <c r="A3897" s="4" t="str">
        <f aca="false">B3897&amp;"|"&amp;C3897</f>
        <v>tdbR00000092 Phe-GAA|71</v>
      </c>
      <c r="B3897" s="4" t="s">
        <v>90</v>
      </c>
      <c r="C3897" s="4" t="s">
        <v>494</v>
      </c>
      <c r="D3897" s="4" t="n">
        <v>71</v>
      </c>
      <c r="E3897" s="17" t="s">
        <v>197</v>
      </c>
      <c r="F3897" s="18" t="s">
        <v>412</v>
      </c>
    </row>
    <row r="3898" customFormat="false" ht="15" hidden="false" customHeight="false" outlineLevel="0" collapsed="false">
      <c r="A3898" s="4" t="str">
        <f aca="false">B3898&amp;"|"&amp;C3898</f>
        <v>tdbR00000092 Phe-GAA|72</v>
      </c>
      <c r="B3898" s="4" t="s">
        <v>90</v>
      </c>
      <c r="C3898" s="4" t="s">
        <v>495</v>
      </c>
      <c r="D3898" s="4" t="n">
        <v>72</v>
      </c>
      <c r="E3898" s="17" t="s">
        <v>414</v>
      </c>
      <c r="F3898" s="18" t="s">
        <v>412</v>
      </c>
    </row>
    <row r="3899" customFormat="false" ht="15" hidden="false" customHeight="false" outlineLevel="0" collapsed="false">
      <c r="A3899" s="4" t="str">
        <f aca="false">B3899&amp;"|"&amp;C3899</f>
        <v>tdbR00000471 Val-AAC|1</v>
      </c>
      <c r="B3899" s="4" t="s">
        <v>91</v>
      </c>
      <c r="C3899" s="4" t="s">
        <v>411</v>
      </c>
      <c r="D3899" s="4" t="n">
        <v>1</v>
      </c>
      <c r="E3899" s="17" t="s">
        <v>197</v>
      </c>
      <c r="F3899" s="18" t="s">
        <v>412</v>
      </c>
    </row>
    <row r="3900" customFormat="false" ht="15" hidden="false" customHeight="false" outlineLevel="0" collapsed="false">
      <c r="A3900" s="4" t="str">
        <f aca="false">B3900&amp;"|"&amp;C3900</f>
        <v>tdbR00000471 Val-AAC|2</v>
      </c>
      <c r="B3900" s="4" t="s">
        <v>91</v>
      </c>
      <c r="C3900" s="4" t="s">
        <v>413</v>
      </c>
      <c r="D3900" s="4" t="n">
        <v>2</v>
      </c>
      <c r="E3900" s="17" t="s">
        <v>259</v>
      </c>
      <c r="F3900" s="18" t="s">
        <v>412</v>
      </c>
    </row>
    <row r="3901" customFormat="false" ht="15" hidden="false" customHeight="false" outlineLevel="0" collapsed="false">
      <c r="A3901" s="4" t="str">
        <f aca="false">B3901&amp;"|"&amp;C3901</f>
        <v>tdbR00000471 Val-AAC|3</v>
      </c>
      <c r="B3901" s="4" t="s">
        <v>91</v>
      </c>
      <c r="C3901" s="4" t="s">
        <v>415</v>
      </c>
      <c r="D3901" s="4" t="n">
        <v>3</v>
      </c>
      <c r="E3901" s="17" t="s">
        <v>259</v>
      </c>
      <c r="F3901" s="18" t="s">
        <v>412</v>
      </c>
    </row>
    <row r="3902" customFormat="false" ht="15" hidden="false" customHeight="false" outlineLevel="0" collapsed="false">
      <c r="A3902" s="4" t="str">
        <f aca="false">B3902&amp;"|"&amp;C3902</f>
        <v>tdbR00000471 Val-AAC|4</v>
      </c>
      <c r="B3902" s="4" t="s">
        <v>91</v>
      </c>
      <c r="C3902" s="4" t="s">
        <v>416</v>
      </c>
      <c r="D3902" s="4" t="n">
        <v>4</v>
      </c>
      <c r="E3902" s="17" t="s">
        <v>259</v>
      </c>
      <c r="F3902" s="18" t="s">
        <v>412</v>
      </c>
    </row>
    <row r="3903" customFormat="false" ht="15" hidden="false" customHeight="false" outlineLevel="0" collapsed="false">
      <c r="A3903" s="4" t="str">
        <f aca="false">B3903&amp;"|"&amp;C3903</f>
        <v>tdbR00000471 Val-AAC|5</v>
      </c>
      <c r="B3903" s="4" t="s">
        <v>91</v>
      </c>
      <c r="C3903" s="4" t="s">
        <v>417</v>
      </c>
      <c r="D3903" s="4" t="n">
        <v>5</v>
      </c>
      <c r="E3903" s="17" t="s">
        <v>414</v>
      </c>
      <c r="F3903" s="18" t="s">
        <v>412</v>
      </c>
    </row>
    <row r="3904" customFormat="false" ht="15" hidden="false" customHeight="false" outlineLevel="0" collapsed="false">
      <c r="A3904" s="4" t="str">
        <f aca="false">B3904&amp;"|"&amp;C3904</f>
        <v>tdbR00000471 Val-AAC|6</v>
      </c>
      <c r="B3904" s="4" t="s">
        <v>91</v>
      </c>
      <c r="C3904" s="4" t="s">
        <v>418</v>
      </c>
      <c r="D3904" s="4" t="n">
        <v>6</v>
      </c>
      <c r="E3904" s="17" t="s">
        <v>414</v>
      </c>
      <c r="F3904" s="18" t="s">
        <v>412</v>
      </c>
    </row>
    <row r="3905" customFormat="false" ht="15" hidden="false" customHeight="false" outlineLevel="0" collapsed="false">
      <c r="A3905" s="4" t="str">
        <f aca="false">B3905&amp;"|"&amp;C3905</f>
        <v>tdbR00000471 Val-AAC|7</v>
      </c>
      <c r="B3905" s="4" t="s">
        <v>91</v>
      </c>
      <c r="C3905" s="4" t="s">
        <v>419</v>
      </c>
      <c r="D3905" s="4" t="n">
        <v>7</v>
      </c>
      <c r="E3905" s="17" t="s">
        <v>197</v>
      </c>
      <c r="F3905" s="18" t="s">
        <v>412</v>
      </c>
    </row>
    <row r="3906" customFormat="false" ht="15" hidden="false" customHeight="false" outlineLevel="0" collapsed="false">
      <c r="A3906" s="4" t="str">
        <f aca="false">B3906&amp;"|"&amp;C3906</f>
        <v>tdbR00000471 Val-AAC|8</v>
      </c>
      <c r="B3906" s="4" t="s">
        <v>91</v>
      </c>
      <c r="C3906" s="4" t="s">
        <v>420</v>
      </c>
      <c r="D3906" s="4" t="n">
        <v>8</v>
      </c>
      <c r="E3906" s="3" t="s">
        <v>259</v>
      </c>
      <c r="F3906" s="4" t="s">
        <v>421</v>
      </c>
    </row>
    <row r="3907" customFormat="false" ht="15" hidden="false" customHeight="false" outlineLevel="0" collapsed="false">
      <c r="A3907" s="4" t="str">
        <f aca="false">B3907&amp;"|"&amp;C3907</f>
        <v>tdbR00000471 Val-AAC|9</v>
      </c>
      <c r="B3907" s="4" t="s">
        <v>91</v>
      </c>
      <c r="C3907" s="4" t="s">
        <v>422</v>
      </c>
      <c r="D3907" s="4" t="n">
        <v>9</v>
      </c>
      <c r="E3907" s="3" t="s">
        <v>246</v>
      </c>
      <c r="F3907" s="4" t="s">
        <v>423</v>
      </c>
    </row>
    <row r="3908" customFormat="false" ht="15" hidden="false" customHeight="false" outlineLevel="0" collapsed="false">
      <c r="A3908" s="4" t="str">
        <f aca="false">B3908&amp;"|"&amp;C3908</f>
        <v>tdbR00000471 Val-AAC|10</v>
      </c>
      <c r="B3908" s="4" t="s">
        <v>91</v>
      </c>
      <c r="C3908" s="4" t="s">
        <v>424</v>
      </c>
      <c r="D3908" s="4" t="n">
        <v>10</v>
      </c>
      <c r="E3908" s="8" t="s">
        <v>197</v>
      </c>
      <c r="F3908" s="7" t="s">
        <v>425</v>
      </c>
    </row>
    <row r="3909" customFormat="false" ht="15" hidden="false" customHeight="false" outlineLevel="0" collapsed="false">
      <c r="A3909" s="4" t="str">
        <f aca="false">B3909&amp;"|"&amp;C3909</f>
        <v>tdbR00000471 Val-AAC|11</v>
      </c>
      <c r="B3909" s="4" t="s">
        <v>91</v>
      </c>
      <c r="C3909" s="4" t="s">
        <v>426</v>
      </c>
      <c r="D3909" s="4" t="n">
        <v>11</v>
      </c>
      <c r="E3909" s="8" t="s">
        <v>259</v>
      </c>
      <c r="F3909" s="7" t="s">
        <v>425</v>
      </c>
    </row>
    <row r="3910" customFormat="false" ht="15" hidden="false" customHeight="false" outlineLevel="0" collapsed="false">
      <c r="A3910" s="4" t="str">
        <f aca="false">B3910&amp;"|"&amp;C3910</f>
        <v>tdbR00000471 Val-AAC|12</v>
      </c>
      <c r="B3910" s="4" t="s">
        <v>91</v>
      </c>
      <c r="C3910" s="4" t="s">
        <v>427</v>
      </c>
      <c r="D3910" s="4" t="n">
        <v>12</v>
      </c>
      <c r="E3910" s="8" t="s">
        <v>197</v>
      </c>
      <c r="F3910" s="7" t="s">
        <v>425</v>
      </c>
    </row>
    <row r="3911" customFormat="false" ht="15" hidden="false" customHeight="false" outlineLevel="0" collapsed="false">
      <c r="A3911" s="4" t="str">
        <f aca="false">B3911&amp;"|"&amp;C3911</f>
        <v>tdbR00000471 Val-AAC|13</v>
      </c>
      <c r="B3911" s="4" t="s">
        <v>91</v>
      </c>
      <c r="C3911" s="4" t="s">
        <v>428</v>
      </c>
      <c r="D3911" s="4" t="n">
        <v>13</v>
      </c>
      <c r="E3911" s="8" t="s">
        <v>259</v>
      </c>
      <c r="F3911" s="7" t="s">
        <v>425</v>
      </c>
    </row>
    <row r="3912" customFormat="false" ht="15" hidden="false" customHeight="false" outlineLevel="0" collapsed="false">
      <c r="A3912" s="4" t="str">
        <f aca="false">B3912&amp;"|"&amp;C3912</f>
        <v>tdbR00000471 Val-AAC|14</v>
      </c>
      <c r="B3912" s="4" t="s">
        <v>91</v>
      </c>
      <c r="C3912" s="4" t="s">
        <v>429</v>
      </c>
      <c r="D3912" s="4" t="n">
        <v>14</v>
      </c>
      <c r="E3912" s="19" t="s">
        <v>246</v>
      </c>
      <c r="F3912" s="20" t="s">
        <v>430</v>
      </c>
    </row>
    <row r="3913" customFormat="false" ht="15" hidden="false" customHeight="false" outlineLevel="0" collapsed="false">
      <c r="A3913" s="4" t="str">
        <f aca="false">B3913&amp;"|"&amp;C3913</f>
        <v>tdbR00000471 Val-AAC|15</v>
      </c>
      <c r="B3913" s="4" t="s">
        <v>91</v>
      </c>
      <c r="C3913" s="4" t="s">
        <v>431</v>
      </c>
      <c r="D3913" s="4" t="n">
        <v>15</v>
      </c>
      <c r="E3913" s="19" t="s">
        <v>197</v>
      </c>
      <c r="F3913" s="20" t="s">
        <v>430</v>
      </c>
    </row>
    <row r="3914" customFormat="false" ht="15" hidden="false" customHeight="false" outlineLevel="0" collapsed="false">
      <c r="A3914" s="4" t="str">
        <f aca="false">B3914&amp;"|"&amp;C3914</f>
        <v>tdbR00000471 Val-AAC|16</v>
      </c>
      <c r="B3914" s="4" t="s">
        <v>91</v>
      </c>
      <c r="C3914" s="4" t="s">
        <v>432</v>
      </c>
      <c r="D3914" s="4" t="n">
        <v>16</v>
      </c>
      <c r="E3914" s="19" t="s">
        <v>259</v>
      </c>
      <c r="F3914" s="20" t="s">
        <v>430</v>
      </c>
    </row>
    <row r="3915" customFormat="false" ht="15" hidden="false" customHeight="false" outlineLevel="0" collapsed="false">
      <c r="A3915" s="4" t="str">
        <f aca="false">B3915&amp;"|"&amp;C3915</f>
        <v>tdbR00000471 Val-AAC|18</v>
      </c>
      <c r="B3915" s="4" t="s">
        <v>91</v>
      </c>
      <c r="C3915" s="4" t="s">
        <v>434</v>
      </c>
      <c r="D3915" s="4" t="n">
        <v>17</v>
      </c>
      <c r="E3915" s="19" t="s">
        <v>197</v>
      </c>
      <c r="F3915" s="20" t="s">
        <v>430</v>
      </c>
    </row>
    <row r="3916" customFormat="false" ht="15" hidden="false" customHeight="false" outlineLevel="0" collapsed="false">
      <c r="A3916" s="4" t="str">
        <f aca="false">B3916&amp;"|"&amp;C3916</f>
        <v>tdbR00000471 Val-AAC|19</v>
      </c>
      <c r="B3916" s="4" t="s">
        <v>91</v>
      </c>
      <c r="C3916" s="4" t="s">
        <v>435</v>
      </c>
      <c r="D3916" s="4" t="n">
        <v>18</v>
      </c>
      <c r="E3916" s="19" t="s">
        <v>197</v>
      </c>
      <c r="F3916" s="20" t="s">
        <v>430</v>
      </c>
    </row>
    <row r="3917" customFormat="false" ht="15" hidden="false" customHeight="false" outlineLevel="0" collapsed="false">
      <c r="A3917" s="4" t="str">
        <f aca="false">B3917&amp;"|"&amp;C3917</f>
        <v>tdbR00000471 Val-AAC|20</v>
      </c>
      <c r="B3917" s="4" t="s">
        <v>91</v>
      </c>
      <c r="C3917" s="4" t="s">
        <v>436</v>
      </c>
      <c r="D3917" s="4" t="n">
        <v>19</v>
      </c>
      <c r="E3917" s="19" t="s">
        <v>259</v>
      </c>
      <c r="F3917" s="20" t="s">
        <v>430</v>
      </c>
    </row>
    <row r="3918" customFormat="false" ht="15" hidden="false" customHeight="false" outlineLevel="0" collapsed="false">
      <c r="A3918" s="4" t="str">
        <f aca="false">B3918&amp;"|"&amp;C3918</f>
        <v>tdbR00000471 Val-AAC|20a</v>
      </c>
      <c r="B3918" s="4" t="s">
        <v>91</v>
      </c>
      <c r="C3918" s="4" t="s">
        <v>437</v>
      </c>
      <c r="D3918" s="4" t="n">
        <v>20</v>
      </c>
      <c r="E3918" s="19" t="s">
        <v>259</v>
      </c>
      <c r="F3918" s="20" t="s">
        <v>430</v>
      </c>
    </row>
    <row r="3919" customFormat="false" ht="15" hidden="false" customHeight="false" outlineLevel="0" collapsed="false">
      <c r="A3919" s="4" t="str">
        <f aca="false">B3919&amp;"|"&amp;C3919</f>
        <v>tdbR00000471 Val-AAC|21</v>
      </c>
      <c r="B3919" s="4" t="s">
        <v>91</v>
      </c>
      <c r="C3919" s="4" t="s">
        <v>438</v>
      </c>
      <c r="D3919" s="4" t="n">
        <v>21</v>
      </c>
      <c r="E3919" s="19" t="s">
        <v>246</v>
      </c>
      <c r="F3919" s="20" t="s">
        <v>430</v>
      </c>
    </row>
    <row r="3920" customFormat="false" ht="15" hidden="false" customHeight="false" outlineLevel="0" collapsed="false">
      <c r="A3920" s="4" t="str">
        <f aca="false">B3920&amp;"|"&amp;C3920</f>
        <v>tdbR00000471 Val-AAC|22</v>
      </c>
      <c r="B3920" s="4" t="s">
        <v>91</v>
      </c>
      <c r="C3920" s="4" t="s">
        <v>439</v>
      </c>
      <c r="D3920" s="4" t="n">
        <v>22</v>
      </c>
      <c r="E3920" s="8" t="s">
        <v>259</v>
      </c>
      <c r="F3920" s="7" t="s">
        <v>425</v>
      </c>
    </row>
    <row r="3921" customFormat="false" ht="15" hidden="false" customHeight="false" outlineLevel="0" collapsed="false">
      <c r="A3921" s="4" t="str">
        <f aca="false">B3921&amp;"|"&amp;C3921</f>
        <v>tdbR00000471 Val-AAC|23</v>
      </c>
      <c r="B3921" s="4" t="s">
        <v>91</v>
      </c>
      <c r="C3921" s="4" t="s">
        <v>440</v>
      </c>
      <c r="D3921" s="4" t="n">
        <v>23</v>
      </c>
      <c r="E3921" s="8" t="s">
        <v>414</v>
      </c>
      <c r="F3921" s="7" t="s">
        <v>425</v>
      </c>
    </row>
    <row r="3922" customFormat="false" ht="15" hidden="false" customHeight="false" outlineLevel="0" collapsed="false">
      <c r="A3922" s="4" t="str">
        <f aca="false">B3922&amp;"|"&amp;C3922</f>
        <v>tdbR00000471 Val-AAC|24</v>
      </c>
      <c r="B3922" s="4" t="s">
        <v>91</v>
      </c>
      <c r="C3922" s="4" t="s">
        <v>441</v>
      </c>
      <c r="D3922" s="4" t="n">
        <v>24</v>
      </c>
      <c r="E3922" s="8" t="s">
        <v>246</v>
      </c>
      <c r="F3922" s="7" t="s">
        <v>425</v>
      </c>
    </row>
    <row r="3923" customFormat="false" ht="15" hidden="false" customHeight="false" outlineLevel="0" collapsed="false">
      <c r="A3923" s="4" t="str">
        <f aca="false">B3923&amp;"|"&amp;C3923</f>
        <v>tdbR00000471 Val-AAC|25</v>
      </c>
      <c r="B3923" s="4" t="s">
        <v>91</v>
      </c>
      <c r="C3923" s="4" t="s">
        <v>442</v>
      </c>
      <c r="D3923" s="4" t="n">
        <v>25</v>
      </c>
      <c r="E3923" s="8" t="s">
        <v>414</v>
      </c>
      <c r="F3923" s="7" t="s">
        <v>425</v>
      </c>
    </row>
    <row r="3924" customFormat="false" ht="15" hidden="false" customHeight="false" outlineLevel="0" collapsed="false">
      <c r="A3924" s="4" t="str">
        <f aca="false">B3924&amp;"|"&amp;C3924</f>
        <v>tdbR00000471 Val-AAC|26</v>
      </c>
      <c r="B3924" s="4" t="s">
        <v>91</v>
      </c>
      <c r="C3924" s="4" t="s">
        <v>443</v>
      </c>
      <c r="D3924" s="4" t="n">
        <v>26</v>
      </c>
      <c r="E3924" s="3" t="s">
        <v>197</v>
      </c>
      <c r="F3924" s="4" t="s">
        <v>444</v>
      </c>
    </row>
    <row r="3925" customFormat="false" ht="15" hidden="false" customHeight="false" outlineLevel="0" collapsed="false">
      <c r="A3925" s="4" t="str">
        <f aca="false">B3925&amp;"|"&amp;C3925</f>
        <v>tdbR00000471 Val-AAC|27</v>
      </c>
      <c r="B3925" s="4" t="s">
        <v>91</v>
      </c>
      <c r="C3925" s="4" t="s">
        <v>445</v>
      </c>
      <c r="D3925" s="4" t="n">
        <v>27</v>
      </c>
      <c r="E3925" s="21" t="s">
        <v>259</v>
      </c>
      <c r="F3925" s="22" t="s">
        <v>446</v>
      </c>
    </row>
    <row r="3926" customFormat="false" ht="15" hidden="false" customHeight="false" outlineLevel="0" collapsed="false">
      <c r="A3926" s="4" t="str">
        <f aca="false">B3926&amp;"|"&amp;C3926</f>
        <v>tdbR00000471 Val-AAC|28</v>
      </c>
      <c r="B3926" s="4" t="s">
        <v>91</v>
      </c>
      <c r="C3926" s="4" t="s">
        <v>447</v>
      </c>
      <c r="D3926" s="4" t="n">
        <v>28</v>
      </c>
      <c r="E3926" s="21" t="s">
        <v>259</v>
      </c>
      <c r="F3926" s="22" t="s">
        <v>446</v>
      </c>
    </row>
    <row r="3927" customFormat="false" ht="15" hidden="false" customHeight="false" outlineLevel="0" collapsed="false">
      <c r="A3927" s="4" t="str">
        <f aca="false">B3927&amp;"|"&amp;C3927</f>
        <v>tdbR00000471 Val-AAC|29</v>
      </c>
      <c r="B3927" s="4" t="s">
        <v>91</v>
      </c>
      <c r="C3927" s="4" t="s">
        <v>448</v>
      </c>
      <c r="D3927" s="4" t="n">
        <v>29</v>
      </c>
      <c r="E3927" s="21" t="s">
        <v>414</v>
      </c>
      <c r="F3927" s="22" t="s">
        <v>446</v>
      </c>
    </row>
    <row r="3928" customFormat="false" ht="15" hidden="false" customHeight="false" outlineLevel="0" collapsed="false">
      <c r="A3928" s="4" t="str">
        <f aca="false">B3928&amp;"|"&amp;C3928</f>
        <v>tdbR00000471 Val-AAC|30</v>
      </c>
      <c r="B3928" s="4" t="s">
        <v>91</v>
      </c>
      <c r="C3928" s="4" t="s">
        <v>449</v>
      </c>
      <c r="D3928" s="4" t="n">
        <v>30</v>
      </c>
      <c r="E3928" s="21" t="s">
        <v>197</v>
      </c>
      <c r="F3928" s="22" t="s">
        <v>446</v>
      </c>
    </row>
    <row r="3929" customFormat="false" ht="15" hidden="false" customHeight="false" outlineLevel="0" collapsed="false">
      <c r="A3929" s="4" t="str">
        <f aca="false">B3929&amp;"|"&amp;C3929</f>
        <v>tdbR00000471 Val-AAC|31</v>
      </c>
      <c r="B3929" s="4" t="s">
        <v>91</v>
      </c>
      <c r="C3929" s="4" t="s">
        <v>450</v>
      </c>
      <c r="D3929" s="4" t="n">
        <v>31</v>
      </c>
      <c r="E3929" s="21" t="s">
        <v>414</v>
      </c>
      <c r="F3929" s="22" t="s">
        <v>446</v>
      </c>
    </row>
    <row r="3930" customFormat="false" ht="15" hidden="false" customHeight="false" outlineLevel="0" collapsed="false">
      <c r="A3930" s="4" t="str">
        <f aca="false">B3930&amp;"|"&amp;C3930</f>
        <v>tdbR00000471 Val-AAC|32</v>
      </c>
      <c r="B3930" s="4" t="s">
        <v>91</v>
      </c>
      <c r="C3930" s="4" t="s">
        <v>451</v>
      </c>
      <c r="D3930" s="4" t="n">
        <v>32</v>
      </c>
      <c r="E3930" s="19" t="s">
        <v>414</v>
      </c>
      <c r="F3930" s="20" t="s">
        <v>452</v>
      </c>
    </row>
    <row r="3931" customFormat="false" ht="15" hidden="false" customHeight="false" outlineLevel="0" collapsed="false">
      <c r="A3931" s="4" t="str">
        <f aca="false">B3931&amp;"|"&amp;C3931</f>
        <v>tdbR00000471 Val-AAC|33</v>
      </c>
      <c r="B3931" s="4" t="s">
        <v>91</v>
      </c>
      <c r="C3931" s="4" t="s">
        <v>453</v>
      </c>
      <c r="D3931" s="4" t="n">
        <v>33</v>
      </c>
      <c r="E3931" s="19" t="s">
        <v>259</v>
      </c>
      <c r="F3931" s="20" t="s">
        <v>452</v>
      </c>
    </row>
    <row r="3932" customFormat="false" ht="15" hidden="false" customHeight="false" outlineLevel="0" collapsed="false">
      <c r="A3932" s="4" t="str">
        <f aca="false">B3932&amp;"|"&amp;C3932</f>
        <v>tdbR00000471 Val-AAC|34</v>
      </c>
      <c r="B3932" s="4" t="s">
        <v>91</v>
      </c>
      <c r="C3932" s="4" t="s">
        <v>454</v>
      </c>
      <c r="D3932" s="4" t="n">
        <v>34</v>
      </c>
      <c r="E3932" s="19" t="s">
        <v>246</v>
      </c>
      <c r="F3932" s="20" t="s">
        <v>452</v>
      </c>
    </row>
    <row r="3933" customFormat="false" ht="15" hidden="false" customHeight="false" outlineLevel="0" collapsed="false">
      <c r="A3933" s="4" t="str">
        <f aca="false">B3933&amp;"|"&amp;C3933</f>
        <v>tdbR00000471 Val-AAC|35</v>
      </c>
      <c r="B3933" s="4" t="s">
        <v>91</v>
      </c>
      <c r="C3933" s="4" t="s">
        <v>455</v>
      </c>
      <c r="D3933" s="4" t="n">
        <v>35</v>
      </c>
      <c r="E3933" s="19" t="s">
        <v>246</v>
      </c>
      <c r="F3933" s="20" t="s">
        <v>452</v>
      </c>
    </row>
    <row r="3934" customFormat="false" ht="15" hidden="false" customHeight="false" outlineLevel="0" collapsed="false">
      <c r="A3934" s="4" t="str">
        <f aca="false">B3934&amp;"|"&amp;C3934</f>
        <v>tdbR00000471 Val-AAC|36</v>
      </c>
      <c r="B3934" s="4" t="s">
        <v>91</v>
      </c>
      <c r="C3934" s="4" t="s">
        <v>456</v>
      </c>
      <c r="D3934" s="4" t="n">
        <v>36</v>
      </c>
      <c r="E3934" s="19" t="s">
        <v>414</v>
      </c>
      <c r="F3934" s="20" t="s">
        <v>452</v>
      </c>
    </row>
    <row r="3935" customFormat="false" ht="15" hidden="false" customHeight="false" outlineLevel="0" collapsed="false">
      <c r="A3935" s="4" t="str">
        <f aca="false">B3935&amp;"|"&amp;C3935</f>
        <v>tdbR00000471 Val-AAC|37</v>
      </c>
      <c r="B3935" s="4" t="s">
        <v>91</v>
      </c>
      <c r="C3935" s="4" t="s">
        <v>457</v>
      </c>
      <c r="D3935" s="4" t="n">
        <v>37</v>
      </c>
      <c r="E3935" s="19" t="s">
        <v>246</v>
      </c>
      <c r="F3935" s="20" t="s">
        <v>452</v>
      </c>
    </row>
    <row r="3936" customFormat="false" ht="15" hidden="false" customHeight="false" outlineLevel="0" collapsed="false">
      <c r="A3936" s="4" t="str">
        <f aca="false">B3936&amp;"|"&amp;C3936</f>
        <v>tdbR00000471 Val-AAC|38</v>
      </c>
      <c r="B3936" s="4" t="s">
        <v>91</v>
      </c>
      <c r="C3936" s="4" t="s">
        <v>458</v>
      </c>
      <c r="D3936" s="4" t="n">
        <v>38</v>
      </c>
      <c r="E3936" s="19" t="s">
        <v>414</v>
      </c>
      <c r="F3936" s="20" t="s">
        <v>452</v>
      </c>
    </row>
    <row r="3937" customFormat="false" ht="15" hidden="false" customHeight="false" outlineLevel="0" collapsed="false">
      <c r="A3937" s="4" t="str">
        <f aca="false">B3937&amp;"|"&amp;C3937</f>
        <v>tdbR00000471 Val-AAC|39</v>
      </c>
      <c r="B3937" s="4" t="s">
        <v>91</v>
      </c>
      <c r="C3937" s="4" t="s">
        <v>459</v>
      </c>
      <c r="D3937" s="4" t="n">
        <v>39</v>
      </c>
      <c r="E3937" s="21" t="s">
        <v>197</v>
      </c>
      <c r="F3937" s="22" t="s">
        <v>446</v>
      </c>
    </row>
    <row r="3938" customFormat="false" ht="15" hidden="false" customHeight="false" outlineLevel="0" collapsed="false">
      <c r="A3938" s="4" t="str">
        <f aca="false">B3938&amp;"|"&amp;C3938</f>
        <v>tdbR00000471 Val-AAC|40</v>
      </c>
      <c r="B3938" s="4" t="s">
        <v>91</v>
      </c>
      <c r="C3938" s="4" t="s">
        <v>460</v>
      </c>
      <c r="D3938" s="4" t="n">
        <v>40</v>
      </c>
      <c r="E3938" s="21" t="s">
        <v>414</v>
      </c>
      <c r="F3938" s="22" t="s">
        <v>446</v>
      </c>
    </row>
    <row r="3939" customFormat="false" ht="15" hidden="false" customHeight="false" outlineLevel="0" collapsed="false">
      <c r="A3939" s="4" t="str">
        <f aca="false">B3939&amp;"|"&amp;C3939</f>
        <v>tdbR00000471 Val-AAC|41</v>
      </c>
      <c r="B3939" s="4" t="s">
        <v>91</v>
      </c>
      <c r="C3939" s="4" t="s">
        <v>461</v>
      </c>
      <c r="D3939" s="4" t="n">
        <v>41</v>
      </c>
      <c r="E3939" s="21" t="s">
        <v>197</v>
      </c>
      <c r="F3939" s="22" t="s">
        <v>446</v>
      </c>
    </row>
    <row r="3940" customFormat="false" ht="15" hidden="false" customHeight="false" outlineLevel="0" collapsed="false">
      <c r="A3940" s="4" t="str">
        <f aca="false">B3940&amp;"|"&amp;C3940</f>
        <v>tdbR00000471 Val-AAC|42</v>
      </c>
      <c r="B3940" s="4" t="s">
        <v>91</v>
      </c>
      <c r="C3940" s="4" t="s">
        <v>462</v>
      </c>
      <c r="D3940" s="4" t="n">
        <v>42</v>
      </c>
      <c r="E3940" s="21" t="s">
        <v>246</v>
      </c>
      <c r="F3940" s="22" t="s">
        <v>446</v>
      </c>
    </row>
    <row r="3941" customFormat="false" ht="15" hidden="false" customHeight="false" outlineLevel="0" collapsed="false">
      <c r="A3941" s="4" t="str">
        <f aca="false">B3941&amp;"|"&amp;C3941</f>
        <v>tdbR00000471 Val-AAC|43</v>
      </c>
      <c r="B3941" s="4" t="s">
        <v>91</v>
      </c>
      <c r="C3941" s="4" t="s">
        <v>463</v>
      </c>
      <c r="D3941" s="4" t="n">
        <v>43</v>
      </c>
      <c r="E3941" s="21" t="s">
        <v>246</v>
      </c>
      <c r="F3941" s="22" t="s">
        <v>446</v>
      </c>
    </row>
    <row r="3942" customFormat="false" ht="15" hidden="false" customHeight="false" outlineLevel="0" collapsed="false">
      <c r="A3942" s="4" t="str">
        <f aca="false">B3942&amp;"|"&amp;C3942</f>
        <v>tdbR00000471 Val-AAC|44</v>
      </c>
      <c r="B3942" s="4" t="s">
        <v>91</v>
      </c>
      <c r="C3942" s="4" t="s">
        <v>464</v>
      </c>
      <c r="D3942" s="4" t="n">
        <v>44</v>
      </c>
      <c r="E3942" s="19" t="s">
        <v>246</v>
      </c>
      <c r="F3942" s="20" t="s">
        <v>465</v>
      </c>
    </row>
    <row r="3943" customFormat="false" ht="15" hidden="false" customHeight="false" outlineLevel="0" collapsed="false">
      <c r="A3943" s="4" t="str">
        <f aca="false">B3943&amp;"|"&amp;C3943</f>
        <v>tdbR00000471 Val-AAC|45</v>
      </c>
      <c r="B3943" s="4" t="s">
        <v>91</v>
      </c>
      <c r="C3943" s="4" t="s">
        <v>466</v>
      </c>
      <c r="D3943" s="4" t="n">
        <v>45</v>
      </c>
      <c r="E3943" s="19" t="s">
        <v>197</v>
      </c>
      <c r="F3943" s="20" t="s">
        <v>465</v>
      </c>
    </row>
    <row r="3944" customFormat="false" ht="15" hidden="false" customHeight="false" outlineLevel="0" collapsed="false">
      <c r="A3944" s="4" t="str">
        <f aca="false">B3944&amp;"|"&amp;C3944</f>
        <v>tdbR00000471 Val-AAC|46</v>
      </c>
      <c r="B3944" s="4" t="s">
        <v>91</v>
      </c>
      <c r="C3944" s="4" t="s">
        <v>467</v>
      </c>
      <c r="D3944" s="4" t="n">
        <v>46</v>
      </c>
      <c r="E3944" s="19" t="s">
        <v>197</v>
      </c>
      <c r="F3944" s="20" t="s">
        <v>465</v>
      </c>
    </row>
    <row r="3945" customFormat="false" ht="15" hidden="false" customHeight="false" outlineLevel="0" collapsed="false">
      <c r="A3945" s="4" t="str">
        <f aca="false">B3945&amp;"|"&amp;C3945</f>
        <v>tdbR00000471 Val-AAC|47</v>
      </c>
      <c r="B3945" s="4" t="s">
        <v>91</v>
      </c>
      <c r="C3945" s="4" t="s">
        <v>468</v>
      </c>
      <c r="D3945" s="4" t="n">
        <v>47</v>
      </c>
      <c r="E3945" s="19" t="s">
        <v>259</v>
      </c>
      <c r="F3945" s="20" t="s">
        <v>465</v>
      </c>
    </row>
    <row r="3946" customFormat="false" ht="15" hidden="false" customHeight="false" outlineLevel="0" collapsed="false">
      <c r="A3946" s="4" t="str">
        <f aca="false">B3946&amp;"|"&amp;C3946</f>
        <v>tdbR00000471 Val-AAC|48</v>
      </c>
      <c r="B3946" s="4" t="s">
        <v>91</v>
      </c>
      <c r="C3946" s="4" t="s">
        <v>469</v>
      </c>
      <c r="D3946" s="4" t="n">
        <v>48</v>
      </c>
      <c r="E3946" s="19" t="s">
        <v>414</v>
      </c>
      <c r="F3946" s="20" t="s">
        <v>465</v>
      </c>
    </row>
    <row r="3947" customFormat="false" ht="15" hidden="false" customHeight="false" outlineLevel="0" collapsed="false">
      <c r="A3947" s="4" t="str">
        <f aca="false">B3947&amp;"|"&amp;C3947</f>
        <v>tdbR00000471 Val-AAC|49</v>
      </c>
      <c r="B3947" s="4" t="s">
        <v>91</v>
      </c>
      <c r="C3947" s="4" t="s">
        <v>470</v>
      </c>
      <c r="D3947" s="4" t="n">
        <v>49</v>
      </c>
      <c r="E3947" s="23" t="s">
        <v>414</v>
      </c>
      <c r="F3947" s="10" t="s">
        <v>471</v>
      </c>
    </row>
    <row r="3948" customFormat="false" ht="15" hidden="false" customHeight="false" outlineLevel="0" collapsed="false">
      <c r="A3948" s="4" t="str">
        <f aca="false">B3948&amp;"|"&amp;C3948</f>
        <v>tdbR00000471 Val-AAC|50</v>
      </c>
      <c r="B3948" s="4" t="s">
        <v>91</v>
      </c>
      <c r="C3948" s="4" t="s">
        <v>472</v>
      </c>
      <c r="D3948" s="4" t="n">
        <v>50</v>
      </c>
      <c r="E3948" s="23" t="s">
        <v>414</v>
      </c>
      <c r="F3948" s="10" t="s">
        <v>471</v>
      </c>
    </row>
    <row r="3949" customFormat="false" ht="15" hidden="false" customHeight="false" outlineLevel="0" collapsed="false">
      <c r="A3949" s="4" t="str">
        <f aca="false">B3949&amp;"|"&amp;C3949</f>
        <v>tdbR00000471 Val-AAC|51</v>
      </c>
      <c r="B3949" s="4" t="s">
        <v>91</v>
      </c>
      <c r="C3949" s="4" t="s">
        <v>473</v>
      </c>
      <c r="D3949" s="4" t="n">
        <v>51</v>
      </c>
      <c r="E3949" s="23" t="s">
        <v>414</v>
      </c>
      <c r="F3949" s="10" t="s">
        <v>471</v>
      </c>
    </row>
    <row r="3950" customFormat="false" ht="15" hidden="false" customHeight="false" outlineLevel="0" collapsed="false">
      <c r="A3950" s="4" t="str">
        <f aca="false">B3950&amp;"|"&amp;C3950</f>
        <v>tdbR00000471 Val-AAC|52</v>
      </c>
      <c r="B3950" s="4" t="s">
        <v>91</v>
      </c>
      <c r="C3950" s="4" t="s">
        <v>474</v>
      </c>
      <c r="D3950" s="4" t="n">
        <v>52</v>
      </c>
      <c r="E3950" s="23" t="s">
        <v>197</v>
      </c>
      <c r="F3950" s="10" t="s">
        <v>471</v>
      </c>
    </row>
    <row r="3951" customFormat="false" ht="15" hidden="false" customHeight="false" outlineLevel="0" collapsed="false">
      <c r="A3951" s="4" t="str">
        <f aca="false">B3951&amp;"|"&amp;C3951</f>
        <v>tdbR00000471 Val-AAC|53</v>
      </c>
      <c r="B3951" s="4" t="s">
        <v>91</v>
      </c>
      <c r="C3951" s="4" t="s">
        <v>475</v>
      </c>
      <c r="D3951" s="4" t="n">
        <v>53</v>
      </c>
      <c r="E3951" s="23" t="s">
        <v>197</v>
      </c>
      <c r="F3951" s="10" t="s">
        <v>471</v>
      </c>
    </row>
    <row r="3952" customFormat="false" ht="15" hidden="false" customHeight="false" outlineLevel="0" collapsed="false">
      <c r="A3952" s="4" t="str">
        <f aca="false">B3952&amp;"|"&amp;C3952</f>
        <v>tdbR00000471 Val-AAC|54</v>
      </c>
      <c r="B3952" s="4" t="s">
        <v>91</v>
      </c>
      <c r="C3952" s="4" t="s">
        <v>476</v>
      </c>
      <c r="D3952" s="4" t="n">
        <v>54</v>
      </c>
      <c r="E3952" s="19" t="s">
        <v>259</v>
      </c>
      <c r="F3952" s="20" t="s">
        <v>477</v>
      </c>
    </row>
    <row r="3953" customFormat="false" ht="15" hidden="false" customHeight="false" outlineLevel="0" collapsed="false">
      <c r="A3953" s="4" t="str">
        <f aca="false">B3953&amp;"|"&amp;C3953</f>
        <v>tdbR00000471 Val-AAC|55</v>
      </c>
      <c r="B3953" s="4" t="s">
        <v>91</v>
      </c>
      <c r="C3953" s="4" t="s">
        <v>478</v>
      </c>
      <c r="D3953" s="4" t="n">
        <v>55</v>
      </c>
      <c r="E3953" s="19" t="s">
        <v>259</v>
      </c>
      <c r="F3953" s="20" t="s">
        <v>477</v>
      </c>
    </row>
    <row r="3954" customFormat="false" ht="15" hidden="false" customHeight="false" outlineLevel="0" collapsed="false">
      <c r="A3954" s="4" t="str">
        <f aca="false">B3954&amp;"|"&amp;C3954</f>
        <v>tdbR00000471 Val-AAC|56</v>
      </c>
      <c r="B3954" s="4" t="s">
        <v>91</v>
      </c>
      <c r="C3954" s="4" t="s">
        <v>479</v>
      </c>
      <c r="D3954" s="4" t="n">
        <v>56</v>
      </c>
      <c r="E3954" s="19" t="s">
        <v>414</v>
      </c>
      <c r="F3954" s="20" t="s">
        <v>477</v>
      </c>
    </row>
    <row r="3955" customFormat="false" ht="15" hidden="false" customHeight="false" outlineLevel="0" collapsed="false">
      <c r="A3955" s="4" t="str">
        <f aca="false">B3955&amp;"|"&amp;C3955</f>
        <v>tdbR00000471 Val-AAC|57</v>
      </c>
      <c r="B3955" s="4" t="s">
        <v>91</v>
      </c>
      <c r="C3955" s="4" t="s">
        <v>480</v>
      </c>
      <c r="D3955" s="4" t="n">
        <v>57</v>
      </c>
      <c r="E3955" s="19" t="s">
        <v>197</v>
      </c>
      <c r="F3955" s="20" t="s">
        <v>477</v>
      </c>
    </row>
    <row r="3956" customFormat="false" ht="15" hidden="false" customHeight="false" outlineLevel="0" collapsed="false">
      <c r="A3956" s="4" t="str">
        <f aca="false">B3956&amp;"|"&amp;C3956</f>
        <v>tdbR00000471 Val-AAC|58</v>
      </c>
      <c r="B3956" s="4" t="s">
        <v>91</v>
      </c>
      <c r="C3956" s="4" t="s">
        <v>481</v>
      </c>
      <c r="D3956" s="4" t="n">
        <v>58</v>
      </c>
      <c r="E3956" s="19" t="s">
        <v>246</v>
      </c>
      <c r="F3956" s="20" t="s">
        <v>477</v>
      </c>
    </row>
    <row r="3957" customFormat="false" ht="15" hidden="false" customHeight="false" outlineLevel="0" collapsed="false">
      <c r="A3957" s="4" t="str">
        <f aca="false">B3957&amp;"|"&amp;C3957</f>
        <v>tdbR00000471 Val-AAC|59</v>
      </c>
      <c r="B3957" s="4" t="s">
        <v>91</v>
      </c>
      <c r="C3957" s="4" t="s">
        <v>482</v>
      </c>
      <c r="D3957" s="4" t="n">
        <v>59</v>
      </c>
      <c r="E3957" s="19" t="s">
        <v>246</v>
      </c>
      <c r="F3957" s="20" t="s">
        <v>477</v>
      </c>
    </row>
    <row r="3958" customFormat="false" ht="15" hidden="false" customHeight="false" outlineLevel="0" collapsed="false">
      <c r="A3958" s="4" t="str">
        <f aca="false">B3958&amp;"|"&amp;C3958</f>
        <v>tdbR00000471 Val-AAC|60</v>
      </c>
      <c r="B3958" s="4" t="s">
        <v>91</v>
      </c>
      <c r="C3958" s="4" t="s">
        <v>483</v>
      </c>
      <c r="D3958" s="4" t="n">
        <v>60</v>
      </c>
      <c r="E3958" s="19" t="s">
        <v>246</v>
      </c>
      <c r="F3958" s="20" t="s">
        <v>477</v>
      </c>
    </row>
    <row r="3959" customFormat="false" ht="15" hidden="false" customHeight="false" outlineLevel="0" collapsed="false">
      <c r="A3959" s="4" t="str">
        <f aca="false">B3959&amp;"|"&amp;C3959</f>
        <v>tdbR00000471 Val-AAC|61</v>
      </c>
      <c r="B3959" s="4" t="s">
        <v>91</v>
      </c>
      <c r="C3959" s="4" t="s">
        <v>484</v>
      </c>
      <c r="D3959" s="4" t="n">
        <v>61</v>
      </c>
      <c r="E3959" s="23" t="s">
        <v>414</v>
      </c>
      <c r="F3959" s="10" t="s">
        <v>471</v>
      </c>
    </row>
    <row r="3960" customFormat="false" ht="15" hidden="false" customHeight="false" outlineLevel="0" collapsed="false">
      <c r="A3960" s="4" t="str">
        <f aca="false">B3960&amp;"|"&amp;C3960</f>
        <v>tdbR00000471 Val-AAC|62</v>
      </c>
      <c r="B3960" s="4" t="s">
        <v>91</v>
      </c>
      <c r="C3960" s="4" t="s">
        <v>485</v>
      </c>
      <c r="D3960" s="4" t="n">
        <v>62</v>
      </c>
      <c r="E3960" s="23" t="s">
        <v>414</v>
      </c>
      <c r="F3960" s="10" t="s">
        <v>471</v>
      </c>
    </row>
    <row r="3961" customFormat="false" ht="15" hidden="false" customHeight="false" outlineLevel="0" collapsed="false">
      <c r="A3961" s="4" t="str">
        <f aca="false">B3961&amp;"|"&amp;C3961</f>
        <v>tdbR00000471 Val-AAC|63</v>
      </c>
      <c r="B3961" s="4" t="s">
        <v>91</v>
      </c>
      <c r="C3961" s="4" t="s">
        <v>486</v>
      </c>
      <c r="D3961" s="4" t="n">
        <v>63</v>
      </c>
      <c r="E3961" s="23" t="s">
        <v>197</v>
      </c>
      <c r="F3961" s="10" t="s">
        <v>471</v>
      </c>
    </row>
    <row r="3962" customFormat="false" ht="15" hidden="false" customHeight="false" outlineLevel="0" collapsed="false">
      <c r="A3962" s="4" t="str">
        <f aca="false">B3962&amp;"|"&amp;C3962</f>
        <v>tdbR00000471 Val-AAC|64</v>
      </c>
      <c r="B3962" s="4" t="s">
        <v>91</v>
      </c>
      <c r="C3962" s="4" t="s">
        <v>487</v>
      </c>
      <c r="D3962" s="4" t="n">
        <v>64</v>
      </c>
      <c r="E3962" s="23" t="s">
        <v>197</v>
      </c>
      <c r="F3962" s="10" t="s">
        <v>471</v>
      </c>
    </row>
    <row r="3963" customFormat="false" ht="15" hidden="false" customHeight="false" outlineLevel="0" collapsed="false">
      <c r="A3963" s="4" t="str">
        <f aca="false">B3963&amp;"|"&amp;C3963</f>
        <v>tdbR00000471 Val-AAC|65</v>
      </c>
      <c r="B3963" s="4" t="s">
        <v>91</v>
      </c>
      <c r="C3963" s="4" t="s">
        <v>488</v>
      </c>
      <c r="D3963" s="4" t="n">
        <v>65</v>
      </c>
      <c r="E3963" s="23" t="s">
        <v>197</v>
      </c>
      <c r="F3963" s="10" t="s">
        <v>471</v>
      </c>
    </row>
    <row r="3964" customFormat="false" ht="15" hidden="false" customHeight="false" outlineLevel="0" collapsed="false">
      <c r="A3964" s="4" t="str">
        <f aca="false">B3964&amp;"|"&amp;C3964</f>
        <v>tdbR00000471 Val-AAC|66</v>
      </c>
      <c r="B3964" s="4" t="s">
        <v>91</v>
      </c>
      <c r="C3964" s="4" t="s">
        <v>489</v>
      </c>
      <c r="D3964" s="4" t="n">
        <v>66</v>
      </c>
      <c r="E3964" s="17" t="s">
        <v>414</v>
      </c>
      <c r="F3964" s="18" t="s">
        <v>412</v>
      </c>
    </row>
    <row r="3965" customFormat="false" ht="15" hidden="false" customHeight="false" outlineLevel="0" collapsed="false">
      <c r="A3965" s="4" t="str">
        <f aca="false">B3965&amp;"|"&amp;C3965</f>
        <v>tdbR00000471 Val-AAC|67</v>
      </c>
      <c r="B3965" s="4" t="s">
        <v>91</v>
      </c>
      <c r="C3965" s="4" t="s">
        <v>490</v>
      </c>
      <c r="D3965" s="4" t="n">
        <v>67</v>
      </c>
      <c r="E3965" s="17" t="s">
        <v>197</v>
      </c>
      <c r="F3965" s="18" t="s">
        <v>412</v>
      </c>
    </row>
    <row r="3966" customFormat="false" ht="15" hidden="false" customHeight="false" outlineLevel="0" collapsed="false">
      <c r="A3966" s="4" t="str">
        <f aca="false">B3966&amp;"|"&amp;C3966</f>
        <v>tdbR00000471 Val-AAC|68</v>
      </c>
      <c r="B3966" s="4" t="s">
        <v>91</v>
      </c>
      <c r="C3966" s="4" t="s">
        <v>491</v>
      </c>
      <c r="D3966" s="4" t="n">
        <v>68</v>
      </c>
      <c r="E3966" s="17" t="s">
        <v>197</v>
      </c>
      <c r="F3966" s="18" t="s">
        <v>412</v>
      </c>
    </row>
    <row r="3967" customFormat="false" ht="15" hidden="false" customHeight="false" outlineLevel="0" collapsed="false">
      <c r="A3967" s="4" t="str">
        <f aca="false">B3967&amp;"|"&amp;C3967</f>
        <v>tdbR00000471 Val-AAC|69</v>
      </c>
      <c r="B3967" s="4" t="s">
        <v>91</v>
      </c>
      <c r="C3967" s="4" t="s">
        <v>492</v>
      </c>
      <c r="D3967" s="4" t="n">
        <v>69</v>
      </c>
      <c r="E3967" s="17" t="s">
        <v>246</v>
      </c>
      <c r="F3967" s="18" t="s">
        <v>412</v>
      </c>
    </row>
    <row r="3968" customFormat="false" ht="15" hidden="false" customHeight="false" outlineLevel="0" collapsed="false">
      <c r="A3968" s="4" t="str">
        <f aca="false">B3968&amp;"|"&amp;C3968</f>
        <v>tdbR00000471 Val-AAC|70</v>
      </c>
      <c r="B3968" s="4" t="s">
        <v>91</v>
      </c>
      <c r="C3968" s="4" t="s">
        <v>493</v>
      </c>
      <c r="D3968" s="4" t="n">
        <v>70</v>
      </c>
      <c r="E3968" s="17" t="s">
        <v>246</v>
      </c>
      <c r="F3968" s="18" t="s">
        <v>412</v>
      </c>
    </row>
    <row r="3969" customFormat="false" ht="15" hidden="false" customHeight="false" outlineLevel="0" collapsed="false">
      <c r="A3969" s="4" t="str">
        <f aca="false">B3969&amp;"|"&amp;C3969</f>
        <v>tdbR00000471 Val-AAC|71</v>
      </c>
      <c r="B3969" s="4" t="s">
        <v>91</v>
      </c>
      <c r="C3969" s="4" t="s">
        <v>494</v>
      </c>
      <c r="D3969" s="4" t="n">
        <v>71</v>
      </c>
      <c r="E3969" s="17" t="s">
        <v>246</v>
      </c>
      <c r="F3969" s="18" t="s">
        <v>412</v>
      </c>
    </row>
    <row r="3970" customFormat="false" ht="15" hidden="false" customHeight="false" outlineLevel="0" collapsed="false">
      <c r="A3970" s="4" t="str">
        <f aca="false">B3970&amp;"|"&amp;C3970</f>
        <v>tdbR00000471 Val-AAC|72</v>
      </c>
      <c r="B3970" s="4" t="s">
        <v>91</v>
      </c>
      <c r="C3970" s="4" t="s">
        <v>495</v>
      </c>
      <c r="D3970" s="4" t="n">
        <v>72</v>
      </c>
      <c r="E3970" s="17" t="s">
        <v>414</v>
      </c>
      <c r="F3970" s="18" t="s">
        <v>412</v>
      </c>
    </row>
    <row r="3971" customFormat="false" ht="15" hidden="false" customHeight="false" outlineLevel="0" collapsed="false">
      <c r="A3971" s="4" t="str">
        <f aca="false">B3971&amp;"|"&amp;C3971</f>
        <v>tdbR00000037 Asp-GUC|1</v>
      </c>
      <c r="B3971" s="4" t="s">
        <v>92</v>
      </c>
      <c r="C3971" s="4" t="s">
        <v>411</v>
      </c>
      <c r="D3971" s="4" t="n">
        <v>1</v>
      </c>
      <c r="E3971" s="17" t="s">
        <v>259</v>
      </c>
      <c r="F3971" s="18" t="s">
        <v>412</v>
      </c>
    </row>
    <row r="3972" customFormat="false" ht="15" hidden="false" customHeight="false" outlineLevel="0" collapsed="false">
      <c r="A3972" s="4" t="str">
        <f aca="false">B3972&amp;"|"&amp;C3972</f>
        <v>tdbR00000037 Asp-GUC|2</v>
      </c>
      <c r="B3972" s="4" t="s">
        <v>92</v>
      </c>
      <c r="C3972" s="4" t="s">
        <v>413</v>
      </c>
      <c r="D3972" s="4" t="n">
        <v>2</v>
      </c>
      <c r="E3972" s="17" t="s">
        <v>414</v>
      </c>
      <c r="F3972" s="18" t="s">
        <v>412</v>
      </c>
    </row>
    <row r="3973" customFormat="false" ht="15" hidden="false" customHeight="false" outlineLevel="0" collapsed="false">
      <c r="A3973" s="4" t="str">
        <f aca="false">B3973&amp;"|"&amp;C3973</f>
        <v>tdbR00000037 Asp-GUC|3</v>
      </c>
      <c r="B3973" s="4" t="s">
        <v>92</v>
      </c>
      <c r="C3973" s="4" t="s">
        <v>415</v>
      </c>
      <c r="D3973" s="4" t="n">
        <v>3</v>
      </c>
      <c r="E3973" s="17" t="s">
        <v>414</v>
      </c>
      <c r="F3973" s="18" t="s">
        <v>412</v>
      </c>
    </row>
    <row r="3974" customFormat="false" ht="15" hidden="false" customHeight="false" outlineLevel="0" collapsed="false">
      <c r="A3974" s="4" t="str">
        <f aca="false">B3974&amp;"|"&amp;C3974</f>
        <v>tdbR00000037 Asp-GUC|4</v>
      </c>
      <c r="B3974" s="4" t="s">
        <v>92</v>
      </c>
      <c r="C3974" s="4" t="s">
        <v>416</v>
      </c>
      <c r="D3974" s="4" t="n">
        <v>4</v>
      </c>
      <c r="E3974" s="17" t="s">
        <v>259</v>
      </c>
      <c r="F3974" s="18" t="s">
        <v>412</v>
      </c>
    </row>
    <row r="3975" customFormat="false" ht="15" hidden="false" customHeight="false" outlineLevel="0" collapsed="false">
      <c r="A3975" s="4" t="str">
        <f aca="false">B3975&amp;"|"&amp;C3975</f>
        <v>tdbR00000037 Asp-GUC|5</v>
      </c>
      <c r="B3975" s="4" t="s">
        <v>92</v>
      </c>
      <c r="C3975" s="4" t="s">
        <v>417</v>
      </c>
      <c r="D3975" s="4" t="n">
        <v>5</v>
      </c>
      <c r="E3975" s="17" t="s">
        <v>414</v>
      </c>
      <c r="F3975" s="18" t="s">
        <v>412</v>
      </c>
    </row>
    <row r="3976" customFormat="false" ht="15" hidden="false" customHeight="false" outlineLevel="0" collapsed="false">
      <c r="A3976" s="4" t="str">
        <f aca="false">B3976&amp;"|"&amp;C3976</f>
        <v>tdbR00000037 Asp-GUC|6</v>
      </c>
      <c r="B3976" s="4" t="s">
        <v>92</v>
      </c>
      <c r="C3976" s="4" t="s">
        <v>418</v>
      </c>
      <c r="D3976" s="4" t="n">
        <v>6</v>
      </c>
      <c r="E3976" s="17" t="s">
        <v>197</v>
      </c>
      <c r="F3976" s="18" t="s">
        <v>412</v>
      </c>
    </row>
    <row r="3977" customFormat="false" ht="15" hidden="false" customHeight="false" outlineLevel="0" collapsed="false">
      <c r="A3977" s="4" t="str">
        <f aca="false">B3977&amp;"|"&amp;C3977</f>
        <v>tdbR00000037 Asp-GUC|7</v>
      </c>
      <c r="B3977" s="4" t="s">
        <v>92</v>
      </c>
      <c r="C3977" s="4" t="s">
        <v>419</v>
      </c>
      <c r="D3977" s="4" t="n">
        <v>7</v>
      </c>
      <c r="E3977" s="17" t="s">
        <v>259</v>
      </c>
      <c r="F3977" s="18" t="s">
        <v>412</v>
      </c>
    </row>
    <row r="3978" customFormat="false" ht="15" hidden="false" customHeight="false" outlineLevel="0" collapsed="false">
      <c r="A3978" s="4" t="str">
        <f aca="false">B3978&amp;"|"&amp;C3978</f>
        <v>tdbR00000037 Asp-GUC|8</v>
      </c>
      <c r="B3978" s="4" t="s">
        <v>92</v>
      </c>
      <c r="C3978" s="4" t="s">
        <v>420</v>
      </c>
      <c r="D3978" s="4" t="n">
        <v>8</v>
      </c>
      <c r="E3978" s="3" t="s">
        <v>259</v>
      </c>
      <c r="F3978" s="4" t="s">
        <v>421</v>
      </c>
    </row>
    <row r="3979" customFormat="false" ht="15" hidden="false" customHeight="false" outlineLevel="0" collapsed="false">
      <c r="A3979" s="4" t="str">
        <f aca="false">B3979&amp;"|"&amp;C3979</f>
        <v>tdbR00000037 Asp-GUC|9</v>
      </c>
      <c r="B3979" s="4" t="s">
        <v>92</v>
      </c>
      <c r="C3979" s="4" t="s">
        <v>422</v>
      </c>
      <c r="D3979" s="4" t="n">
        <v>9</v>
      </c>
      <c r="E3979" s="3" t="s">
        <v>246</v>
      </c>
      <c r="F3979" s="4" t="s">
        <v>423</v>
      </c>
    </row>
    <row r="3980" customFormat="false" ht="15" hidden="false" customHeight="false" outlineLevel="0" collapsed="false">
      <c r="A3980" s="4" t="str">
        <f aca="false">B3980&amp;"|"&amp;C3980</f>
        <v>tdbR00000037 Asp-GUC|10</v>
      </c>
      <c r="B3980" s="4" t="s">
        <v>92</v>
      </c>
      <c r="C3980" s="4" t="s">
        <v>424</v>
      </c>
      <c r="D3980" s="4" t="n">
        <v>10</v>
      </c>
      <c r="E3980" s="8" t="s">
        <v>197</v>
      </c>
      <c r="F3980" s="7" t="s">
        <v>425</v>
      </c>
    </row>
    <row r="3981" customFormat="false" ht="15" hidden="false" customHeight="false" outlineLevel="0" collapsed="false">
      <c r="A3981" s="4" t="str">
        <f aca="false">B3981&amp;"|"&amp;C3981</f>
        <v>tdbR00000037 Asp-GUC|11</v>
      </c>
      <c r="B3981" s="4" t="s">
        <v>92</v>
      </c>
      <c r="C3981" s="4" t="s">
        <v>426</v>
      </c>
      <c r="D3981" s="4" t="n">
        <v>11</v>
      </c>
      <c r="E3981" s="8" t="s">
        <v>259</v>
      </c>
      <c r="F3981" s="7" t="s">
        <v>425</v>
      </c>
    </row>
    <row r="3982" customFormat="false" ht="15" hidden="false" customHeight="false" outlineLevel="0" collapsed="false">
      <c r="A3982" s="4" t="str">
        <f aca="false">B3982&amp;"|"&amp;C3982</f>
        <v>tdbR00000037 Asp-GUC|12</v>
      </c>
      <c r="B3982" s="4" t="s">
        <v>92</v>
      </c>
      <c r="C3982" s="4" t="s">
        <v>427</v>
      </c>
      <c r="D3982" s="4" t="n">
        <v>12</v>
      </c>
      <c r="E3982" s="8" t="s">
        <v>246</v>
      </c>
      <c r="F3982" s="7" t="s">
        <v>425</v>
      </c>
    </row>
    <row r="3983" customFormat="false" ht="15" hidden="false" customHeight="false" outlineLevel="0" collapsed="false">
      <c r="A3983" s="4" t="str">
        <f aca="false">B3983&amp;"|"&amp;C3983</f>
        <v>tdbR00000037 Asp-GUC|13</v>
      </c>
      <c r="B3983" s="4" t="s">
        <v>92</v>
      </c>
      <c r="C3983" s="4" t="s">
        <v>428</v>
      </c>
      <c r="D3983" s="4" t="n">
        <v>13</v>
      </c>
      <c r="E3983" s="8" t="s">
        <v>259</v>
      </c>
      <c r="F3983" s="7" t="s">
        <v>425</v>
      </c>
    </row>
    <row r="3984" customFormat="false" ht="15" hidden="false" customHeight="false" outlineLevel="0" collapsed="false">
      <c r="A3984" s="4" t="str">
        <f aca="false">B3984&amp;"|"&amp;C3984</f>
        <v>tdbR00000037 Asp-GUC|14</v>
      </c>
      <c r="B3984" s="4" t="s">
        <v>92</v>
      </c>
      <c r="C3984" s="4" t="s">
        <v>429</v>
      </c>
      <c r="D3984" s="4" t="n">
        <v>14</v>
      </c>
      <c r="E3984" s="19" t="s">
        <v>246</v>
      </c>
      <c r="F3984" s="20" t="s">
        <v>430</v>
      </c>
    </row>
    <row r="3985" customFormat="false" ht="15" hidden="false" customHeight="false" outlineLevel="0" collapsed="false">
      <c r="A3985" s="4" t="str">
        <f aca="false">B3985&amp;"|"&amp;C3985</f>
        <v>tdbR00000037 Asp-GUC|15</v>
      </c>
      <c r="B3985" s="4" t="s">
        <v>92</v>
      </c>
      <c r="C3985" s="4" t="s">
        <v>431</v>
      </c>
      <c r="D3985" s="4" t="n">
        <v>15</v>
      </c>
      <c r="E3985" s="19" t="s">
        <v>197</v>
      </c>
      <c r="F3985" s="20" t="s">
        <v>430</v>
      </c>
    </row>
    <row r="3986" customFormat="false" ht="15" hidden="false" customHeight="false" outlineLevel="0" collapsed="false">
      <c r="A3986" s="4" t="str">
        <f aca="false">B3986&amp;"|"&amp;C3986</f>
        <v>tdbR00000037 Asp-GUC|16</v>
      </c>
      <c r="B3986" s="4" t="s">
        <v>92</v>
      </c>
      <c r="C3986" s="4" t="s">
        <v>432</v>
      </c>
      <c r="D3986" s="4" t="n">
        <v>16</v>
      </c>
      <c r="E3986" s="19" t="s">
        <v>259</v>
      </c>
      <c r="F3986" s="20" t="s">
        <v>430</v>
      </c>
    </row>
    <row r="3987" customFormat="false" ht="15" hidden="false" customHeight="false" outlineLevel="0" collapsed="false">
      <c r="A3987" s="4" t="str">
        <f aca="false">B3987&amp;"|"&amp;C3987</f>
        <v>tdbR00000037 Asp-GUC|18</v>
      </c>
      <c r="B3987" s="4" t="s">
        <v>92</v>
      </c>
      <c r="C3987" s="4" t="s">
        <v>434</v>
      </c>
      <c r="D3987" s="4" t="n">
        <v>17</v>
      </c>
      <c r="E3987" s="19" t="s">
        <v>197</v>
      </c>
      <c r="F3987" s="20" t="s">
        <v>430</v>
      </c>
    </row>
    <row r="3988" customFormat="false" ht="15" hidden="false" customHeight="false" outlineLevel="0" collapsed="false">
      <c r="A3988" s="4" t="str">
        <f aca="false">B3988&amp;"|"&amp;C3988</f>
        <v>tdbR00000037 Asp-GUC|19</v>
      </c>
      <c r="B3988" s="4" t="s">
        <v>92</v>
      </c>
      <c r="C3988" s="4" t="s">
        <v>435</v>
      </c>
      <c r="D3988" s="4" t="n">
        <v>18</v>
      </c>
      <c r="E3988" s="19" t="s">
        <v>197</v>
      </c>
      <c r="F3988" s="20" t="s">
        <v>430</v>
      </c>
    </row>
    <row r="3989" customFormat="false" ht="15" hidden="false" customHeight="false" outlineLevel="0" collapsed="false">
      <c r="A3989" s="4" t="str">
        <f aca="false">B3989&amp;"|"&amp;C3989</f>
        <v>tdbR00000037 Asp-GUC|20</v>
      </c>
      <c r="B3989" s="4" t="s">
        <v>92</v>
      </c>
      <c r="C3989" s="4" t="s">
        <v>436</v>
      </c>
      <c r="D3989" s="4" t="n">
        <v>19</v>
      </c>
      <c r="E3989" s="19" t="s">
        <v>259</v>
      </c>
      <c r="F3989" s="20" t="s">
        <v>430</v>
      </c>
    </row>
    <row r="3990" customFormat="false" ht="15" hidden="false" customHeight="false" outlineLevel="0" collapsed="false">
      <c r="A3990" s="4" t="str">
        <f aca="false">B3990&amp;"|"&amp;C3990</f>
        <v>tdbR00000037 Asp-GUC|20a</v>
      </c>
      <c r="B3990" s="4" t="s">
        <v>92</v>
      </c>
      <c r="C3990" s="4" t="s">
        <v>437</v>
      </c>
      <c r="D3990" s="4" t="n">
        <v>20</v>
      </c>
      <c r="E3990" s="19" t="s">
        <v>197</v>
      </c>
      <c r="F3990" s="20" t="s">
        <v>430</v>
      </c>
    </row>
    <row r="3991" customFormat="false" ht="15" hidden="false" customHeight="false" outlineLevel="0" collapsed="false">
      <c r="A3991" s="4" t="str">
        <f aca="false">B3991&amp;"|"&amp;C3991</f>
        <v>tdbR00000037 Asp-GUC|21</v>
      </c>
      <c r="B3991" s="4" t="s">
        <v>92</v>
      </c>
      <c r="C3991" s="4" t="s">
        <v>438</v>
      </c>
      <c r="D3991" s="4" t="n">
        <v>21</v>
      </c>
      <c r="E3991" s="19" t="s">
        <v>246</v>
      </c>
      <c r="F3991" s="20" t="s">
        <v>430</v>
      </c>
    </row>
    <row r="3992" customFormat="false" ht="15" hidden="false" customHeight="false" outlineLevel="0" collapsed="false">
      <c r="A3992" s="4" t="str">
        <f aca="false">B3992&amp;"|"&amp;C3992</f>
        <v>tdbR00000037 Asp-GUC|22</v>
      </c>
      <c r="B3992" s="4" t="s">
        <v>92</v>
      </c>
      <c r="C3992" s="4" t="s">
        <v>439</v>
      </c>
      <c r="D3992" s="4" t="n">
        <v>22</v>
      </c>
      <c r="E3992" s="8" t="s">
        <v>197</v>
      </c>
      <c r="F3992" s="7" t="s">
        <v>425</v>
      </c>
    </row>
    <row r="3993" customFormat="false" ht="15" hidden="false" customHeight="false" outlineLevel="0" collapsed="false">
      <c r="A3993" s="4" t="str">
        <f aca="false">B3993&amp;"|"&amp;C3993</f>
        <v>tdbR00000037 Asp-GUC|23</v>
      </c>
      <c r="B3993" s="4" t="s">
        <v>92</v>
      </c>
      <c r="C3993" s="4" t="s">
        <v>440</v>
      </c>
      <c r="D3993" s="4" t="n">
        <v>23</v>
      </c>
      <c r="E3993" s="8" t="s">
        <v>259</v>
      </c>
      <c r="F3993" s="7" t="s">
        <v>425</v>
      </c>
    </row>
    <row r="3994" customFormat="false" ht="15" hidden="false" customHeight="false" outlineLevel="0" collapsed="false">
      <c r="A3994" s="4" t="str">
        <f aca="false">B3994&amp;"|"&amp;C3994</f>
        <v>tdbR00000037 Asp-GUC|24</v>
      </c>
      <c r="B3994" s="4" t="s">
        <v>92</v>
      </c>
      <c r="C3994" s="4" t="s">
        <v>441</v>
      </c>
      <c r="D3994" s="4" t="n">
        <v>24</v>
      </c>
      <c r="E3994" s="8" t="s">
        <v>246</v>
      </c>
      <c r="F3994" s="7" t="s">
        <v>425</v>
      </c>
    </row>
    <row r="3995" customFormat="false" ht="15" hidden="false" customHeight="false" outlineLevel="0" collapsed="false">
      <c r="A3995" s="4" t="str">
        <f aca="false">B3995&amp;"|"&amp;C3995</f>
        <v>tdbR00000037 Asp-GUC|25</v>
      </c>
      <c r="B3995" s="4" t="s">
        <v>92</v>
      </c>
      <c r="C3995" s="4" t="s">
        <v>442</v>
      </c>
      <c r="D3995" s="4" t="n">
        <v>25</v>
      </c>
      <c r="E3995" s="8" t="s">
        <v>259</v>
      </c>
      <c r="F3995" s="7" t="s">
        <v>425</v>
      </c>
    </row>
    <row r="3996" customFormat="false" ht="15" hidden="false" customHeight="false" outlineLevel="0" collapsed="false">
      <c r="A3996" s="4" t="str">
        <f aca="false">B3996&amp;"|"&amp;C3996</f>
        <v>tdbR00000037 Asp-GUC|26</v>
      </c>
      <c r="B3996" s="4" t="s">
        <v>92</v>
      </c>
      <c r="C3996" s="4" t="s">
        <v>443</v>
      </c>
      <c r="D3996" s="4" t="n">
        <v>26</v>
      </c>
      <c r="E3996" s="3" t="s">
        <v>414</v>
      </c>
      <c r="F3996" s="4" t="s">
        <v>444</v>
      </c>
    </row>
    <row r="3997" customFormat="false" ht="15" hidden="false" customHeight="false" outlineLevel="0" collapsed="false">
      <c r="A3997" s="4" t="str">
        <f aca="false">B3997&amp;"|"&amp;C3997</f>
        <v>tdbR00000037 Asp-GUC|27</v>
      </c>
      <c r="B3997" s="4" t="s">
        <v>92</v>
      </c>
      <c r="C3997" s="4" t="s">
        <v>445</v>
      </c>
      <c r="D3997" s="4" t="n">
        <v>27</v>
      </c>
      <c r="E3997" s="21" t="s">
        <v>414</v>
      </c>
      <c r="F3997" s="22" t="s">
        <v>446</v>
      </c>
    </row>
    <row r="3998" customFormat="false" ht="15" hidden="false" customHeight="false" outlineLevel="0" collapsed="false">
      <c r="A3998" s="4" t="str">
        <f aca="false">B3998&amp;"|"&amp;C3998</f>
        <v>tdbR00000037 Asp-GUC|28</v>
      </c>
      <c r="B3998" s="4" t="s">
        <v>92</v>
      </c>
      <c r="C3998" s="4" t="s">
        <v>447</v>
      </c>
      <c r="D3998" s="4" t="n">
        <v>28</v>
      </c>
      <c r="E3998" s="21" t="s">
        <v>414</v>
      </c>
      <c r="F3998" s="22" t="s">
        <v>446</v>
      </c>
    </row>
    <row r="3999" customFormat="false" ht="15" hidden="false" customHeight="false" outlineLevel="0" collapsed="false">
      <c r="A3999" s="4" t="str">
        <f aca="false">B3999&amp;"|"&amp;C3999</f>
        <v>tdbR00000037 Asp-GUC|29</v>
      </c>
      <c r="B3999" s="4" t="s">
        <v>92</v>
      </c>
      <c r="C3999" s="4" t="s">
        <v>448</v>
      </c>
      <c r="D3999" s="4" t="n">
        <v>29</v>
      </c>
      <c r="E3999" s="21" t="s">
        <v>414</v>
      </c>
      <c r="F3999" s="22" t="s">
        <v>446</v>
      </c>
    </row>
    <row r="4000" customFormat="false" ht="15" hidden="false" customHeight="false" outlineLevel="0" collapsed="false">
      <c r="A4000" s="4" t="str">
        <f aca="false">B4000&amp;"|"&amp;C4000</f>
        <v>tdbR00000037 Asp-GUC|30</v>
      </c>
      <c r="B4000" s="4" t="s">
        <v>92</v>
      </c>
      <c r="C4000" s="4" t="s">
        <v>449</v>
      </c>
      <c r="D4000" s="4" t="n">
        <v>30</v>
      </c>
      <c r="E4000" s="21" t="s">
        <v>197</v>
      </c>
      <c r="F4000" s="22" t="s">
        <v>446</v>
      </c>
    </row>
    <row r="4001" customFormat="false" ht="15" hidden="false" customHeight="false" outlineLevel="0" collapsed="false">
      <c r="A4001" s="4" t="str">
        <f aca="false">B4001&amp;"|"&amp;C4001</f>
        <v>tdbR00000037 Asp-GUC|31</v>
      </c>
      <c r="B4001" s="4" t="s">
        <v>92</v>
      </c>
      <c r="C4001" s="4" t="s">
        <v>450</v>
      </c>
      <c r="D4001" s="4" t="n">
        <v>31</v>
      </c>
      <c r="E4001" s="21" t="s">
        <v>414</v>
      </c>
      <c r="F4001" s="22" t="s">
        <v>446</v>
      </c>
    </row>
    <row r="4002" customFormat="false" ht="15" hidden="false" customHeight="false" outlineLevel="0" collapsed="false">
      <c r="A4002" s="4" t="str">
        <f aca="false">B4002&amp;"|"&amp;C4002</f>
        <v>tdbR00000037 Asp-GUC|32</v>
      </c>
      <c r="B4002" s="4" t="s">
        <v>92</v>
      </c>
      <c r="C4002" s="4" t="s">
        <v>451</v>
      </c>
      <c r="D4002" s="4" t="n">
        <v>32</v>
      </c>
      <c r="E4002" s="19" t="s">
        <v>259</v>
      </c>
      <c r="F4002" s="20" t="s">
        <v>452</v>
      </c>
    </row>
    <row r="4003" customFormat="false" ht="15" hidden="false" customHeight="false" outlineLevel="0" collapsed="false">
      <c r="A4003" s="4" t="str">
        <f aca="false">B4003&amp;"|"&amp;C4003</f>
        <v>tdbR00000037 Asp-GUC|33</v>
      </c>
      <c r="B4003" s="4" t="s">
        <v>92</v>
      </c>
      <c r="C4003" s="4" t="s">
        <v>453</v>
      </c>
      <c r="D4003" s="4" t="n">
        <v>33</v>
      </c>
      <c r="E4003" s="19" t="s">
        <v>414</v>
      </c>
      <c r="F4003" s="20" t="s">
        <v>452</v>
      </c>
    </row>
    <row r="4004" customFormat="false" ht="15" hidden="false" customHeight="false" outlineLevel="0" collapsed="false">
      <c r="A4004" s="4" t="str">
        <f aca="false">B4004&amp;"|"&amp;C4004</f>
        <v>tdbR00000037 Asp-GUC|34</v>
      </c>
      <c r="B4004" s="4" t="s">
        <v>92</v>
      </c>
      <c r="C4004" s="4" t="s">
        <v>454</v>
      </c>
      <c r="D4004" s="4" t="n">
        <v>34</v>
      </c>
      <c r="E4004" s="19" t="s">
        <v>197</v>
      </c>
      <c r="F4004" s="20" t="s">
        <v>452</v>
      </c>
    </row>
    <row r="4005" customFormat="false" ht="15" hidden="false" customHeight="false" outlineLevel="0" collapsed="false">
      <c r="A4005" s="4" t="str">
        <f aca="false">B4005&amp;"|"&amp;C4005</f>
        <v>tdbR00000037 Asp-GUC|35</v>
      </c>
      <c r="B4005" s="4" t="s">
        <v>92</v>
      </c>
      <c r="C4005" s="4" t="s">
        <v>455</v>
      </c>
      <c r="D4005" s="4" t="n">
        <v>35</v>
      </c>
      <c r="E4005" s="19" t="s">
        <v>259</v>
      </c>
      <c r="F4005" s="20" t="s">
        <v>452</v>
      </c>
    </row>
    <row r="4006" customFormat="false" ht="15" hidden="false" customHeight="false" outlineLevel="0" collapsed="false">
      <c r="A4006" s="4" t="str">
        <f aca="false">B4006&amp;"|"&amp;C4006</f>
        <v>tdbR00000037 Asp-GUC|36</v>
      </c>
      <c r="B4006" s="4" t="s">
        <v>92</v>
      </c>
      <c r="C4006" s="4" t="s">
        <v>456</v>
      </c>
      <c r="D4006" s="4" t="n">
        <v>36</v>
      </c>
      <c r="E4006" s="19" t="s">
        <v>414</v>
      </c>
      <c r="F4006" s="20" t="s">
        <v>452</v>
      </c>
    </row>
    <row r="4007" customFormat="false" ht="15" hidden="false" customHeight="false" outlineLevel="0" collapsed="false">
      <c r="A4007" s="4" t="str">
        <f aca="false">B4007&amp;"|"&amp;C4007</f>
        <v>tdbR00000037 Asp-GUC|37</v>
      </c>
      <c r="B4007" s="4" t="s">
        <v>92</v>
      </c>
      <c r="C4007" s="4" t="s">
        <v>457</v>
      </c>
      <c r="D4007" s="4" t="n">
        <v>37</v>
      </c>
      <c r="E4007" s="19" t="s">
        <v>246</v>
      </c>
      <c r="F4007" s="20" t="s">
        <v>452</v>
      </c>
    </row>
    <row r="4008" customFormat="false" ht="15" hidden="false" customHeight="false" outlineLevel="0" collapsed="false">
      <c r="A4008" s="4" t="str">
        <f aca="false">B4008&amp;"|"&amp;C4008</f>
        <v>tdbR00000037 Asp-GUC|38</v>
      </c>
      <c r="B4008" s="4" t="s">
        <v>92</v>
      </c>
      <c r="C4008" s="4" t="s">
        <v>458</v>
      </c>
      <c r="D4008" s="4" t="n">
        <v>38</v>
      </c>
      <c r="E4008" s="19" t="s">
        <v>414</v>
      </c>
      <c r="F4008" s="20" t="s">
        <v>452</v>
      </c>
    </row>
    <row r="4009" customFormat="false" ht="15" hidden="false" customHeight="false" outlineLevel="0" collapsed="false">
      <c r="A4009" s="4" t="str">
        <f aca="false">B4009&amp;"|"&amp;C4009</f>
        <v>tdbR00000037 Asp-GUC|39</v>
      </c>
      <c r="B4009" s="4" t="s">
        <v>92</v>
      </c>
      <c r="C4009" s="4" t="s">
        <v>459</v>
      </c>
      <c r="D4009" s="4" t="n">
        <v>39</v>
      </c>
      <c r="E4009" s="21" t="s">
        <v>197</v>
      </c>
      <c r="F4009" s="22" t="s">
        <v>446</v>
      </c>
    </row>
    <row r="4010" customFormat="false" ht="15" hidden="false" customHeight="false" outlineLevel="0" collapsed="false">
      <c r="A4010" s="4" t="str">
        <f aca="false">B4010&amp;"|"&amp;C4010</f>
        <v>tdbR00000037 Asp-GUC|40</v>
      </c>
      <c r="B4010" s="4" t="s">
        <v>92</v>
      </c>
      <c r="C4010" s="4" t="s">
        <v>460</v>
      </c>
      <c r="D4010" s="4" t="n">
        <v>40</v>
      </c>
      <c r="E4010" s="21" t="s">
        <v>414</v>
      </c>
      <c r="F4010" s="22" t="s">
        <v>446</v>
      </c>
    </row>
    <row r="4011" customFormat="false" ht="15" hidden="false" customHeight="false" outlineLevel="0" collapsed="false">
      <c r="A4011" s="4" t="str">
        <f aca="false">B4011&amp;"|"&amp;C4011</f>
        <v>tdbR00000037 Asp-GUC|41</v>
      </c>
      <c r="B4011" s="4" t="s">
        <v>92</v>
      </c>
      <c r="C4011" s="4" t="s">
        <v>461</v>
      </c>
      <c r="D4011" s="4" t="n">
        <v>41</v>
      </c>
      <c r="E4011" s="21" t="s">
        <v>197</v>
      </c>
      <c r="F4011" s="22" t="s">
        <v>446</v>
      </c>
    </row>
    <row r="4012" customFormat="false" ht="15" hidden="false" customHeight="false" outlineLevel="0" collapsed="false">
      <c r="A4012" s="4" t="str">
        <f aca="false">B4012&amp;"|"&amp;C4012</f>
        <v>tdbR00000037 Asp-GUC|42</v>
      </c>
      <c r="B4012" s="4" t="s">
        <v>92</v>
      </c>
      <c r="C4012" s="4" t="s">
        <v>462</v>
      </c>
      <c r="D4012" s="4" t="n">
        <v>42</v>
      </c>
      <c r="E4012" s="21" t="s">
        <v>197</v>
      </c>
      <c r="F4012" s="22" t="s">
        <v>446</v>
      </c>
    </row>
    <row r="4013" customFormat="false" ht="15" hidden="false" customHeight="false" outlineLevel="0" collapsed="false">
      <c r="A4013" s="4" t="str">
        <f aca="false">B4013&amp;"|"&amp;C4013</f>
        <v>tdbR00000037 Asp-GUC|43</v>
      </c>
      <c r="B4013" s="4" t="s">
        <v>92</v>
      </c>
      <c r="C4013" s="4" t="s">
        <v>463</v>
      </c>
      <c r="D4013" s="4" t="n">
        <v>43</v>
      </c>
      <c r="E4013" s="21" t="s">
        <v>197</v>
      </c>
      <c r="F4013" s="22" t="s">
        <v>446</v>
      </c>
    </row>
    <row r="4014" customFormat="false" ht="15" hidden="false" customHeight="false" outlineLevel="0" collapsed="false">
      <c r="A4014" s="4" t="str">
        <f aca="false">B4014&amp;"|"&amp;C4014</f>
        <v>tdbR00000037 Asp-GUC|44</v>
      </c>
      <c r="B4014" s="4" t="s">
        <v>92</v>
      </c>
      <c r="C4014" s="4" t="s">
        <v>464</v>
      </c>
      <c r="D4014" s="4" t="n">
        <v>44</v>
      </c>
      <c r="E4014" s="19" t="s">
        <v>246</v>
      </c>
      <c r="F4014" s="20" t="s">
        <v>465</v>
      </c>
    </row>
    <row r="4015" customFormat="false" ht="15" hidden="false" customHeight="false" outlineLevel="0" collapsed="false">
      <c r="A4015" s="4" t="str">
        <f aca="false">B4015&amp;"|"&amp;C4015</f>
        <v>tdbR00000037 Asp-GUC|45</v>
      </c>
      <c r="B4015" s="4" t="s">
        <v>92</v>
      </c>
      <c r="C4015" s="4" t="s">
        <v>466</v>
      </c>
      <c r="D4015" s="4" t="n">
        <v>45</v>
      </c>
      <c r="E4015" s="19" t="s">
        <v>197</v>
      </c>
      <c r="F4015" s="20" t="s">
        <v>465</v>
      </c>
    </row>
    <row r="4016" customFormat="false" ht="15" hidden="false" customHeight="false" outlineLevel="0" collapsed="false">
      <c r="A4016" s="4" t="str">
        <f aca="false">B4016&amp;"|"&amp;C4016</f>
        <v>tdbR00000037 Asp-GUC|46</v>
      </c>
      <c r="B4016" s="4" t="s">
        <v>92</v>
      </c>
      <c r="C4016" s="4" t="s">
        <v>467</v>
      </c>
      <c r="D4016" s="4" t="n">
        <v>46</v>
      </c>
      <c r="E4016" s="19" t="s">
        <v>246</v>
      </c>
      <c r="F4016" s="20" t="s">
        <v>465</v>
      </c>
    </row>
    <row r="4017" customFormat="false" ht="15" hidden="false" customHeight="false" outlineLevel="0" collapsed="false">
      <c r="A4017" s="4" t="str">
        <f aca="false">B4017&amp;"|"&amp;C4017</f>
        <v>tdbR00000037 Asp-GUC|48</v>
      </c>
      <c r="B4017" s="4" t="s">
        <v>92</v>
      </c>
      <c r="C4017" s="4" t="s">
        <v>469</v>
      </c>
      <c r="D4017" s="4" t="n">
        <v>47</v>
      </c>
      <c r="E4017" s="19" t="s">
        <v>414</v>
      </c>
      <c r="F4017" s="20" t="s">
        <v>465</v>
      </c>
    </row>
    <row r="4018" customFormat="false" ht="15" hidden="false" customHeight="false" outlineLevel="0" collapsed="false">
      <c r="A4018" s="4" t="str">
        <f aca="false">B4018&amp;"|"&amp;C4018</f>
        <v>tdbR00000037 Asp-GUC|49</v>
      </c>
      <c r="B4018" s="4" t="s">
        <v>92</v>
      </c>
      <c r="C4018" s="4" t="s">
        <v>470</v>
      </c>
      <c r="D4018" s="4" t="n">
        <v>48</v>
      </c>
      <c r="E4018" s="23" t="s">
        <v>414</v>
      </c>
      <c r="F4018" s="10" t="s">
        <v>471</v>
      </c>
    </row>
    <row r="4019" customFormat="false" ht="15" hidden="false" customHeight="false" outlineLevel="0" collapsed="false">
      <c r="A4019" s="4" t="str">
        <f aca="false">B4019&amp;"|"&amp;C4019</f>
        <v>tdbR00000037 Asp-GUC|50</v>
      </c>
      <c r="B4019" s="4" t="s">
        <v>92</v>
      </c>
      <c r="C4019" s="4" t="s">
        <v>472</v>
      </c>
      <c r="D4019" s="4" t="n">
        <v>49</v>
      </c>
      <c r="E4019" s="23" t="s">
        <v>197</v>
      </c>
      <c r="F4019" s="10" t="s">
        <v>471</v>
      </c>
    </row>
    <row r="4020" customFormat="false" ht="15" hidden="false" customHeight="false" outlineLevel="0" collapsed="false">
      <c r="A4020" s="4" t="str">
        <f aca="false">B4020&amp;"|"&amp;C4020</f>
        <v>tdbR00000037 Asp-GUC|51</v>
      </c>
      <c r="B4020" s="4" t="s">
        <v>92</v>
      </c>
      <c r="C4020" s="4" t="s">
        <v>473</v>
      </c>
      <c r="D4020" s="4" t="n">
        <v>50</v>
      </c>
      <c r="E4020" s="23" t="s">
        <v>197</v>
      </c>
      <c r="F4020" s="10" t="s">
        <v>471</v>
      </c>
    </row>
    <row r="4021" customFormat="false" ht="15" hidden="false" customHeight="false" outlineLevel="0" collapsed="false">
      <c r="A4021" s="4" t="str">
        <f aca="false">B4021&amp;"|"&amp;C4021</f>
        <v>tdbR00000037 Asp-GUC|52</v>
      </c>
      <c r="B4021" s="4" t="s">
        <v>92</v>
      </c>
      <c r="C4021" s="4" t="s">
        <v>474</v>
      </c>
      <c r="D4021" s="4" t="n">
        <v>51</v>
      </c>
      <c r="E4021" s="23" t="s">
        <v>197</v>
      </c>
      <c r="F4021" s="10" t="s">
        <v>471</v>
      </c>
    </row>
    <row r="4022" customFormat="false" ht="15" hidden="false" customHeight="false" outlineLevel="0" collapsed="false">
      <c r="A4022" s="4" t="str">
        <f aca="false">B4022&amp;"|"&amp;C4022</f>
        <v>tdbR00000037 Asp-GUC|53</v>
      </c>
      <c r="B4022" s="4" t="s">
        <v>92</v>
      </c>
      <c r="C4022" s="4" t="s">
        <v>475</v>
      </c>
      <c r="D4022" s="4" t="n">
        <v>52</v>
      </c>
      <c r="E4022" s="23" t="s">
        <v>197</v>
      </c>
      <c r="F4022" s="10" t="s">
        <v>471</v>
      </c>
    </row>
    <row r="4023" customFormat="false" ht="15" hidden="false" customHeight="false" outlineLevel="0" collapsed="false">
      <c r="A4023" s="4" t="str">
        <f aca="false">B4023&amp;"|"&amp;C4023</f>
        <v>tdbR00000037 Asp-GUC|54</v>
      </c>
      <c r="B4023" s="4" t="s">
        <v>92</v>
      </c>
      <c r="C4023" s="4" t="s">
        <v>476</v>
      </c>
      <c r="D4023" s="4" t="n">
        <v>53</v>
      </c>
      <c r="E4023" s="19" t="s">
        <v>259</v>
      </c>
      <c r="F4023" s="20" t="s">
        <v>477</v>
      </c>
    </row>
    <row r="4024" customFormat="false" ht="15" hidden="false" customHeight="false" outlineLevel="0" collapsed="false">
      <c r="A4024" s="4" t="str">
        <f aca="false">B4024&amp;"|"&amp;C4024</f>
        <v>tdbR00000037 Asp-GUC|55</v>
      </c>
      <c r="B4024" s="4" t="s">
        <v>92</v>
      </c>
      <c r="C4024" s="4" t="s">
        <v>478</v>
      </c>
      <c r="D4024" s="4" t="n">
        <v>54</v>
      </c>
      <c r="E4024" s="19" t="s">
        <v>259</v>
      </c>
      <c r="F4024" s="20" t="s">
        <v>477</v>
      </c>
    </row>
    <row r="4025" customFormat="false" ht="15" hidden="false" customHeight="false" outlineLevel="0" collapsed="false">
      <c r="A4025" s="4" t="str">
        <f aca="false">B4025&amp;"|"&amp;C4025</f>
        <v>tdbR00000037 Asp-GUC|56</v>
      </c>
      <c r="B4025" s="4" t="s">
        <v>92</v>
      </c>
      <c r="C4025" s="4" t="s">
        <v>479</v>
      </c>
      <c r="D4025" s="4" t="n">
        <v>55</v>
      </c>
      <c r="E4025" s="19" t="s">
        <v>414</v>
      </c>
      <c r="F4025" s="20" t="s">
        <v>477</v>
      </c>
    </row>
    <row r="4026" customFormat="false" ht="15" hidden="false" customHeight="false" outlineLevel="0" collapsed="false">
      <c r="A4026" s="4" t="str">
        <f aca="false">B4026&amp;"|"&amp;C4026</f>
        <v>tdbR00000037 Asp-GUC|57</v>
      </c>
      <c r="B4026" s="4" t="s">
        <v>92</v>
      </c>
      <c r="C4026" s="4" t="s">
        <v>480</v>
      </c>
      <c r="D4026" s="4" t="n">
        <v>56</v>
      </c>
      <c r="E4026" s="19" t="s">
        <v>197</v>
      </c>
      <c r="F4026" s="20" t="s">
        <v>477</v>
      </c>
    </row>
    <row r="4027" customFormat="false" ht="15" hidden="false" customHeight="false" outlineLevel="0" collapsed="false">
      <c r="A4027" s="4" t="str">
        <f aca="false">B4027&amp;"|"&amp;C4027</f>
        <v>tdbR00000037 Asp-GUC|58</v>
      </c>
      <c r="B4027" s="4" t="s">
        <v>92</v>
      </c>
      <c r="C4027" s="4" t="s">
        <v>481</v>
      </c>
      <c r="D4027" s="4" t="n">
        <v>57</v>
      </c>
      <c r="E4027" s="19" t="s">
        <v>246</v>
      </c>
      <c r="F4027" s="20" t="s">
        <v>477</v>
      </c>
    </row>
    <row r="4028" customFormat="false" ht="15" hidden="false" customHeight="false" outlineLevel="0" collapsed="false">
      <c r="A4028" s="4" t="str">
        <f aca="false">B4028&amp;"|"&amp;C4028</f>
        <v>tdbR00000037 Asp-GUC|59</v>
      </c>
      <c r="B4028" s="4" t="s">
        <v>92</v>
      </c>
      <c r="C4028" s="4" t="s">
        <v>482</v>
      </c>
      <c r="D4028" s="4" t="n">
        <v>58</v>
      </c>
      <c r="E4028" s="19" t="s">
        <v>259</v>
      </c>
      <c r="F4028" s="20" t="s">
        <v>477</v>
      </c>
    </row>
    <row r="4029" customFormat="false" ht="15" hidden="false" customHeight="false" outlineLevel="0" collapsed="false">
      <c r="A4029" s="4" t="str">
        <f aca="false">B4029&amp;"|"&amp;C4029</f>
        <v>tdbR00000037 Asp-GUC|60</v>
      </c>
      <c r="B4029" s="4" t="s">
        <v>92</v>
      </c>
      <c r="C4029" s="4" t="s">
        <v>483</v>
      </c>
      <c r="D4029" s="4" t="n">
        <v>59</v>
      </c>
      <c r="E4029" s="19" t="s">
        <v>259</v>
      </c>
      <c r="F4029" s="20" t="s">
        <v>477</v>
      </c>
    </row>
    <row r="4030" customFormat="false" ht="15" hidden="false" customHeight="false" outlineLevel="0" collapsed="false">
      <c r="A4030" s="4" t="str">
        <f aca="false">B4030&amp;"|"&amp;C4030</f>
        <v>tdbR00000037 Asp-GUC|61</v>
      </c>
      <c r="B4030" s="4" t="s">
        <v>92</v>
      </c>
      <c r="C4030" s="4" t="s">
        <v>484</v>
      </c>
      <c r="D4030" s="4" t="n">
        <v>60</v>
      </c>
      <c r="E4030" s="23" t="s">
        <v>414</v>
      </c>
      <c r="F4030" s="10" t="s">
        <v>471</v>
      </c>
    </row>
    <row r="4031" customFormat="false" ht="15" hidden="false" customHeight="false" outlineLevel="0" collapsed="false">
      <c r="A4031" s="4" t="str">
        <f aca="false">B4031&amp;"|"&amp;C4031</f>
        <v>tdbR00000037 Asp-GUC|62</v>
      </c>
      <c r="B4031" s="4" t="s">
        <v>92</v>
      </c>
      <c r="C4031" s="4" t="s">
        <v>485</v>
      </c>
      <c r="D4031" s="4" t="n">
        <v>61</v>
      </c>
      <c r="E4031" s="23" t="s">
        <v>414</v>
      </c>
      <c r="F4031" s="10" t="s">
        <v>471</v>
      </c>
    </row>
    <row r="4032" customFormat="false" ht="15" hidden="false" customHeight="false" outlineLevel="0" collapsed="false">
      <c r="A4032" s="4" t="str">
        <f aca="false">B4032&amp;"|"&amp;C4032</f>
        <v>tdbR00000037 Asp-GUC|63</v>
      </c>
      <c r="B4032" s="4" t="s">
        <v>92</v>
      </c>
      <c r="C4032" s="4" t="s">
        <v>486</v>
      </c>
      <c r="D4032" s="4" t="n">
        <v>62</v>
      </c>
      <c r="E4032" s="23" t="s">
        <v>414</v>
      </c>
      <c r="F4032" s="10" t="s">
        <v>471</v>
      </c>
    </row>
    <row r="4033" customFormat="false" ht="15" hidden="false" customHeight="false" outlineLevel="0" collapsed="false">
      <c r="A4033" s="4" t="str">
        <f aca="false">B4033&amp;"|"&amp;C4033</f>
        <v>tdbR00000037 Asp-GUC|64</v>
      </c>
      <c r="B4033" s="4" t="s">
        <v>92</v>
      </c>
      <c r="C4033" s="4" t="s">
        <v>487</v>
      </c>
      <c r="D4033" s="4" t="n">
        <v>63</v>
      </c>
      <c r="E4033" s="23" t="s">
        <v>414</v>
      </c>
      <c r="F4033" s="10" t="s">
        <v>471</v>
      </c>
    </row>
    <row r="4034" customFormat="false" ht="15" hidden="false" customHeight="false" outlineLevel="0" collapsed="false">
      <c r="A4034" s="4" t="str">
        <f aca="false">B4034&amp;"|"&amp;C4034</f>
        <v>tdbR00000037 Asp-GUC|65</v>
      </c>
      <c r="B4034" s="4" t="s">
        <v>92</v>
      </c>
      <c r="C4034" s="4" t="s">
        <v>488</v>
      </c>
      <c r="D4034" s="4" t="n">
        <v>64</v>
      </c>
      <c r="E4034" s="23" t="s">
        <v>197</v>
      </c>
      <c r="F4034" s="10" t="s">
        <v>471</v>
      </c>
    </row>
    <row r="4035" customFormat="false" ht="15" hidden="false" customHeight="false" outlineLevel="0" collapsed="false">
      <c r="A4035" s="4" t="str">
        <f aca="false">B4035&amp;"|"&amp;C4035</f>
        <v>tdbR00000037 Asp-GUC|66</v>
      </c>
      <c r="B4035" s="4" t="s">
        <v>92</v>
      </c>
      <c r="C4035" s="4" t="s">
        <v>489</v>
      </c>
      <c r="D4035" s="4" t="n">
        <v>65</v>
      </c>
      <c r="E4035" s="17" t="s">
        <v>246</v>
      </c>
      <c r="F4035" s="18" t="s">
        <v>412</v>
      </c>
    </row>
    <row r="4036" customFormat="false" ht="15" hidden="false" customHeight="false" outlineLevel="0" collapsed="false">
      <c r="A4036" s="4" t="str">
        <f aca="false">B4036&amp;"|"&amp;C4036</f>
        <v>tdbR00000037 Asp-GUC|67</v>
      </c>
      <c r="B4036" s="4" t="s">
        <v>92</v>
      </c>
      <c r="C4036" s="4" t="s">
        <v>490</v>
      </c>
      <c r="D4036" s="4" t="n">
        <v>66</v>
      </c>
      <c r="E4036" s="17" t="s">
        <v>414</v>
      </c>
      <c r="F4036" s="18" t="s">
        <v>412</v>
      </c>
    </row>
    <row r="4037" customFormat="false" ht="15" hidden="false" customHeight="false" outlineLevel="0" collapsed="false">
      <c r="A4037" s="4" t="str">
        <f aca="false">B4037&amp;"|"&amp;C4037</f>
        <v>tdbR00000037 Asp-GUC|68</v>
      </c>
      <c r="B4037" s="4" t="s">
        <v>92</v>
      </c>
      <c r="C4037" s="4" t="s">
        <v>491</v>
      </c>
      <c r="D4037" s="4" t="n">
        <v>67</v>
      </c>
      <c r="E4037" s="17" t="s">
        <v>197</v>
      </c>
      <c r="F4037" s="18" t="s">
        <v>412</v>
      </c>
    </row>
    <row r="4038" customFormat="false" ht="15" hidden="false" customHeight="false" outlineLevel="0" collapsed="false">
      <c r="A4038" s="4" t="str">
        <f aca="false">B4038&amp;"|"&amp;C4038</f>
        <v>tdbR00000037 Asp-GUC|69</v>
      </c>
      <c r="B4038" s="4" t="s">
        <v>92</v>
      </c>
      <c r="C4038" s="4" t="s">
        <v>492</v>
      </c>
      <c r="D4038" s="4" t="n">
        <v>68</v>
      </c>
      <c r="E4038" s="17" t="s">
        <v>197</v>
      </c>
      <c r="F4038" s="18" t="s">
        <v>412</v>
      </c>
    </row>
    <row r="4039" customFormat="false" ht="15" hidden="false" customHeight="false" outlineLevel="0" collapsed="false">
      <c r="A4039" s="4" t="str">
        <f aca="false">B4039&amp;"|"&amp;C4039</f>
        <v>tdbR00000037 Asp-GUC|70</v>
      </c>
      <c r="B4039" s="4" t="s">
        <v>92</v>
      </c>
      <c r="C4039" s="4" t="s">
        <v>493</v>
      </c>
      <c r="D4039" s="4" t="n">
        <v>69</v>
      </c>
      <c r="E4039" s="17" t="s">
        <v>197</v>
      </c>
      <c r="F4039" s="18" t="s">
        <v>412</v>
      </c>
    </row>
    <row r="4040" customFormat="false" ht="15" hidden="false" customHeight="false" outlineLevel="0" collapsed="false">
      <c r="A4040" s="4" t="str">
        <f aca="false">B4040&amp;"|"&amp;C4040</f>
        <v>tdbR00000037 Asp-GUC|71</v>
      </c>
      <c r="B4040" s="4" t="s">
        <v>92</v>
      </c>
      <c r="C4040" s="4" t="s">
        <v>494</v>
      </c>
      <c r="D4040" s="4" t="n">
        <v>70</v>
      </c>
      <c r="E4040" s="17" t="s">
        <v>197</v>
      </c>
      <c r="F4040" s="18" t="s">
        <v>412</v>
      </c>
    </row>
    <row r="4041" customFormat="false" ht="15" hidden="false" customHeight="false" outlineLevel="0" collapsed="false">
      <c r="A4041" s="4" t="str">
        <f aca="false">B4041&amp;"|"&amp;C4041</f>
        <v>tdbR00000037 Asp-GUC|72</v>
      </c>
      <c r="B4041" s="4" t="s">
        <v>92</v>
      </c>
      <c r="C4041" s="4" t="s">
        <v>495</v>
      </c>
      <c r="D4041" s="4" t="n">
        <v>71</v>
      </c>
      <c r="E4041" s="17" t="s">
        <v>246</v>
      </c>
      <c r="F4041" s="18" t="s">
        <v>412</v>
      </c>
    </row>
    <row r="4042" customFormat="false" ht="15" hidden="false" customHeight="false" outlineLevel="0" collapsed="false">
      <c r="A4042" s="4" t="str">
        <f aca="false">B4042&amp;"|"&amp;C4042</f>
        <v>tdbR00000469 Val-AAC|1</v>
      </c>
      <c r="B4042" s="4" t="s">
        <v>93</v>
      </c>
      <c r="C4042" s="4" t="s">
        <v>411</v>
      </c>
      <c r="D4042" s="4" t="n">
        <v>1</v>
      </c>
      <c r="E4042" s="17" t="s">
        <v>197</v>
      </c>
      <c r="F4042" s="18" t="s">
        <v>412</v>
      </c>
    </row>
    <row r="4043" customFormat="false" ht="15" hidden="false" customHeight="false" outlineLevel="0" collapsed="false">
      <c r="A4043" s="4" t="str">
        <f aca="false">B4043&amp;"|"&amp;C4043</f>
        <v>tdbR00000469 Val-AAC|2</v>
      </c>
      <c r="B4043" s="4" t="s">
        <v>93</v>
      </c>
      <c r="C4043" s="4" t="s">
        <v>413</v>
      </c>
      <c r="D4043" s="4" t="n">
        <v>2</v>
      </c>
      <c r="E4043" s="17" t="s">
        <v>259</v>
      </c>
      <c r="F4043" s="18" t="s">
        <v>412</v>
      </c>
    </row>
    <row r="4044" customFormat="false" ht="15" hidden="false" customHeight="false" outlineLevel="0" collapsed="false">
      <c r="A4044" s="4" t="str">
        <f aca="false">B4044&amp;"|"&amp;C4044</f>
        <v>tdbR00000469 Val-AAC|3</v>
      </c>
      <c r="B4044" s="4" t="s">
        <v>93</v>
      </c>
      <c r="C4044" s="4" t="s">
        <v>415</v>
      </c>
      <c r="D4044" s="4" t="n">
        <v>3</v>
      </c>
      <c r="E4044" s="17" t="s">
        <v>259</v>
      </c>
      <c r="F4044" s="18" t="s">
        <v>412</v>
      </c>
    </row>
    <row r="4045" customFormat="false" ht="15" hidden="false" customHeight="false" outlineLevel="0" collapsed="false">
      <c r="A4045" s="4" t="str">
        <f aca="false">B4045&amp;"|"&amp;C4045</f>
        <v>tdbR00000469 Val-AAC|4</v>
      </c>
      <c r="B4045" s="4" t="s">
        <v>93</v>
      </c>
      <c r="C4045" s="4" t="s">
        <v>416</v>
      </c>
      <c r="D4045" s="4" t="n">
        <v>4</v>
      </c>
      <c r="E4045" s="17" t="s">
        <v>259</v>
      </c>
      <c r="F4045" s="18" t="s">
        <v>412</v>
      </c>
    </row>
    <row r="4046" customFormat="false" ht="15" hidden="false" customHeight="false" outlineLevel="0" collapsed="false">
      <c r="A4046" s="4" t="str">
        <f aca="false">B4046&amp;"|"&amp;C4046</f>
        <v>tdbR00000469 Val-AAC|5</v>
      </c>
      <c r="B4046" s="4" t="s">
        <v>93</v>
      </c>
      <c r="C4046" s="4" t="s">
        <v>417</v>
      </c>
      <c r="D4046" s="4" t="n">
        <v>5</v>
      </c>
      <c r="E4046" s="17" t="s">
        <v>414</v>
      </c>
      <c r="F4046" s="18" t="s">
        <v>412</v>
      </c>
    </row>
    <row r="4047" customFormat="false" ht="15" hidden="false" customHeight="false" outlineLevel="0" collapsed="false">
      <c r="A4047" s="4" t="str">
        <f aca="false">B4047&amp;"|"&amp;C4047</f>
        <v>tdbR00000469 Val-AAC|6</v>
      </c>
      <c r="B4047" s="4" t="s">
        <v>93</v>
      </c>
      <c r="C4047" s="4" t="s">
        <v>418</v>
      </c>
      <c r="D4047" s="4" t="n">
        <v>6</v>
      </c>
      <c r="E4047" s="17" t="s">
        <v>414</v>
      </c>
      <c r="F4047" s="18" t="s">
        <v>412</v>
      </c>
    </row>
    <row r="4048" customFormat="false" ht="15" hidden="false" customHeight="false" outlineLevel="0" collapsed="false">
      <c r="A4048" s="4" t="str">
        <f aca="false">B4048&amp;"|"&amp;C4048</f>
        <v>tdbR00000469 Val-AAC|7</v>
      </c>
      <c r="B4048" s="4" t="s">
        <v>93</v>
      </c>
      <c r="C4048" s="4" t="s">
        <v>419</v>
      </c>
      <c r="D4048" s="4" t="n">
        <v>7</v>
      </c>
      <c r="E4048" s="17" t="s">
        <v>197</v>
      </c>
      <c r="F4048" s="18" t="s">
        <v>412</v>
      </c>
    </row>
    <row r="4049" customFormat="false" ht="15" hidden="false" customHeight="false" outlineLevel="0" collapsed="false">
      <c r="A4049" s="4" t="str">
        <f aca="false">B4049&amp;"|"&amp;C4049</f>
        <v>tdbR00000469 Val-AAC|8</v>
      </c>
      <c r="B4049" s="4" t="s">
        <v>93</v>
      </c>
      <c r="C4049" s="4" t="s">
        <v>420</v>
      </c>
      <c r="D4049" s="4" t="n">
        <v>8</v>
      </c>
      <c r="E4049" s="3" t="s">
        <v>259</v>
      </c>
      <c r="F4049" s="4" t="s">
        <v>421</v>
      </c>
    </row>
    <row r="4050" customFormat="false" ht="15" hidden="false" customHeight="false" outlineLevel="0" collapsed="false">
      <c r="A4050" s="4" t="str">
        <f aca="false">B4050&amp;"|"&amp;C4050</f>
        <v>tdbR00000469 Val-AAC|9</v>
      </c>
      <c r="B4050" s="4" t="s">
        <v>93</v>
      </c>
      <c r="C4050" s="4" t="s">
        <v>422</v>
      </c>
      <c r="D4050" s="4" t="n">
        <v>9</v>
      </c>
      <c r="E4050" s="3" t="s">
        <v>246</v>
      </c>
      <c r="F4050" s="4" t="s">
        <v>423</v>
      </c>
    </row>
    <row r="4051" customFormat="false" ht="15" hidden="false" customHeight="false" outlineLevel="0" collapsed="false">
      <c r="A4051" s="4" t="str">
        <f aca="false">B4051&amp;"|"&amp;C4051</f>
        <v>tdbR00000469 Val-AAC|10</v>
      </c>
      <c r="B4051" s="4" t="s">
        <v>93</v>
      </c>
      <c r="C4051" s="4" t="s">
        <v>424</v>
      </c>
      <c r="D4051" s="4" t="n">
        <v>10</v>
      </c>
      <c r="E4051" s="8" t="s">
        <v>197</v>
      </c>
      <c r="F4051" s="7" t="s">
        <v>425</v>
      </c>
    </row>
    <row r="4052" customFormat="false" ht="15" hidden="false" customHeight="false" outlineLevel="0" collapsed="false">
      <c r="A4052" s="4" t="str">
        <f aca="false">B4052&amp;"|"&amp;C4052</f>
        <v>tdbR00000469 Val-AAC|11</v>
      </c>
      <c r="B4052" s="4" t="s">
        <v>93</v>
      </c>
      <c r="C4052" s="4" t="s">
        <v>426</v>
      </c>
      <c r="D4052" s="4" t="n">
        <v>11</v>
      </c>
      <c r="E4052" s="8" t="s">
        <v>259</v>
      </c>
      <c r="F4052" s="7" t="s">
        <v>425</v>
      </c>
    </row>
    <row r="4053" customFormat="false" ht="15" hidden="false" customHeight="false" outlineLevel="0" collapsed="false">
      <c r="A4053" s="4" t="str">
        <f aca="false">B4053&amp;"|"&amp;C4053</f>
        <v>tdbR00000469 Val-AAC|12</v>
      </c>
      <c r="B4053" s="4" t="s">
        <v>93</v>
      </c>
      <c r="C4053" s="4" t="s">
        <v>427</v>
      </c>
      <c r="D4053" s="4" t="n">
        <v>12</v>
      </c>
      <c r="E4053" s="8" t="s">
        <v>197</v>
      </c>
      <c r="F4053" s="7" t="s">
        <v>425</v>
      </c>
    </row>
    <row r="4054" customFormat="false" ht="15" hidden="false" customHeight="false" outlineLevel="0" collapsed="false">
      <c r="A4054" s="4" t="str">
        <f aca="false">B4054&amp;"|"&amp;C4054</f>
        <v>tdbR00000469 Val-AAC|13</v>
      </c>
      <c r="B4054" s="4" t="s">
        <v>93</v>
      </c>
      <c r="C4054" s="4" t="s">
        <v>428</v>
      </c>
      <c r="D4054" s="4" t="n">
        <v>13</v>
      </c>
      <c r="E4054" s="8" t="s">
        <v>259</v>
      </c>
      <c r="F4054" s="7" t="s">
        <v>425</v>
      </c>
    </row>
    <row r="4055" customFormat="false" ht="15" hidden="false" customHeight="false" outlineLevel="0" collapsed="false">
      <c r="A4055" s="4" t="str">
        <f aca="false">B4055&amp;"|"&amp;C4055</f>
        <v>tdbR00000469 Val-AAC|14</v>
      </c>
      <c r="B4055" s="4" t="s">
        <v>93</v>
      </c>
      <c r="C4055" s="4" t="s">
        <v>429</v>
      </c>
      <c r="D4055" s="4" t="n">
        <v>14</v>
      </c>
      <c r="E4055" s="19" t="s">
        <v>246</v>
      </c>
      <c r="F4055" s="20" t="s">
        <v>430</v>
      </c>
    </row>
    <row r="4056" customFormat="false" ht="15" hidden="false" customHeight="false" outlineLevel="0" collapsed="false">
      <c r="A4056" s="4" t="str">
        <f aca="false">B4056&amp;"|"&amp;C4056</f>
        <v>tdbR00000469 Val-AAC|15</v>
      </c>
      <c r="B4056" s="4" t="s">
        <v>93</v>
      </c>
      <c r="C4056" s="4" t="s">
        <v>431</v>
      </c>
      <c r="D4056" s="4" t="n">
        <v>15</v>
      </c>
      <c r="E4056" s="19" t="s">
        <v>197</v>
      </c>
      <c r="F4056" s="20" t="s">
        <v>430</v>
      </c>
    </row>
    <row r="4057" customFormat="false" ht="15" hidden="false" customHeight="false" outlineLevel="0" collapsed="false">
      <c r="A4057" s="4" t="str">
        <f aca="false">B4057&amp;"|"&amp;C4057</f>
        <v>tdbR00000469 Val-AAC|16</v>
      </c>
      <c r="B4057" s="4" t="s">
        <v>93</v>
      </c>
      <c r="C4057" s="4" t="s">
        <v>432</v>
      </c>
      <c r="D4057" s="4" t="n">
        <v>16</v>
      </c>
      <c r="E4057" s="19" t="s">
        <v>259</v>
      </c>
      <c r="F4057" s="20" t="s">
        <v>430</v>
      </c>
    </row>
    <row r="4058" customFormat="false" ht="15" hidden="false" customHeight="false" outlineLevel="0" collapsed="false">
      <c r="A4058" s="4" t="str">
        <f aca="false">B4058&amp;"|"&amp;C4058</f>
        <v>tdbR00000469 Val-AAC|18</v>
      </c>
      <c r="B4058" s="4" t="s">
        <v>93</v>
      </c>
      <c r="C4058" s="4" t="s">
        <v>434</v>
      </c>
      <c r="D4058" s="4" t="n">
        <v>17</v>
      </c>
      <c r="E4058" s="19" t="s">
        <v>197</v>
      </c>
      <c r="F4058" s="20" t="s">
        <v>430</v>
      </c>
    </row>
    <row r="4059" customFormat="false" ht="15" hidden="false" customHeight="false" outlineLevel="0" collapsed="false">
      <c r="A4059" s="4" t="str">
        <f aca="false">B4059&amp;"|"&amp;C4059</f>
        <v>tdbR00000469 Val-AAC|19</v>
      </c>
      <c r="B4059" s="4" t="s">
        <v>93</v>
      </c>
      <c r="C4059" s="4" t="s">
        <v>435</v>
      </c>
      <c r="D4059" s="4" t="n">
        <v>18</v>
      </c>
      <c r="E4059" s="19" t="s">
        <v>197</v>
      </c>
      <c r="F4059" s="20" t="s">
        <v>430</v>
      </c>
    </row>
    <row r="4060" customFormat="false" ht="15" hidden="false" customHeight="false" outlineLevel="0" collapsed="false">
      <c r="A4060" s="4" t="str">
        <f aca="false">B4060&amp;"|"&amp;C4060</f>
        <v>tdbR00000469 Val-AAC|20</v>
      </c>
      <c r="B4060" s="4" t="s">
        <v>93</v>
      </c>
      <c r="C4060" s="4" t="s">
        <v>436</v>
      </c>
      <c r="D4060" s="4" t="n">
        <v>19</v>
      </c>
      <c r="E4060" s="19" t="s">
        <v>259</v>
      </c>
      <c r="F4060" s="20" t="s">
        <v>430</v>
      </c>
    </row>
    <row r="4061" customFormat="false" ht="15" hidden="false" customHeight="false" outlineLevel="0" collapsed="false">
      <c r="A4061" s="4" t="str">
        <f aca="false">B4061&amp;"|"&amp;C4061</f>
        <v>tdbR00000469 Val-AAC|20a</v>
      </c>
      <c r="B4061" s="4" t="s">
        <v>93</v>
      </c>
      <c r="C4061" s="4" t="s">
        <v>437</v>
      </c>
      <c r="D4061" s="4" t="n">
        <v>20</v>
      </c>
      <c r="E4061" s="19" t="s">
        <v>259</v>
      </c>
      <c r="F4061" s="20" t="s">
        <v>430</v>
      </c>
    </row>
    <row r="4062" customFormat="false" ht="15" hidden="false" customHeight="false" outlineLevel="0" collapsed="false">
      <c r="A4062" s="4" t="str">
        <f aca="false">B4062&amp;"|"&amp;C4062</f>
        <v>tdbR00000469 Val-AAC|21</v>
      </c>
      <c r="B4062" s="4" t="s">
        <v>93</v>
      </c>
      <c r="C4062" s="4" t="s">
        <v>438</v>
      </c>
      <c r="D4062" s="4" t="n">
        <v>21</v>
      </c>
      <c r="E4062" s="19" t="s">
        <v>246</v>
      </c>
      <c r="F4062" s="20" t="s">
        <v>430</v>
      </c>
    </row>
    <row r="4063" customFormat="false" ht="15" hidden="false" customHeight="false" outlineLevel="0" collapsed="false">
      <c r="A4063" s="4" t="str">
        <f aca="false">B4063&amp;"|"&amp;C4063</f>
        <v>tdbR00000469 Val-AAC|22</v>
      </c>
      <c r="B4063" s="4" t="s">
        <v>93</v>
      </c>
      <c r="C4063" s="4" t="s">
        <v>439</v>
      </c>
      <c r="D4063" s="4" t="n">
        <v>22</v>
      </c>
      <c r="E4063" s="8" t="s">
        <v>259</v>
      </c>
      <c r="F4063" s="7" t="s">
        <v>425</v>
      </c>
    </row>
    <row r="4064" customFormat="false" ht="15" hidden="false" customHeight="false" outlineLevel="0" collapsed="false">
      <c r="A4064" s="4" t="str">
        <f aca="false">B4064&amp;"|"&amp;C4064</f>
        <v>tdbR00000469 Val-AAC|23</v>
      </c>
      <c r="B4064" s="4" t="s">
        <v>93</v>
      </c>
      <c r="C4064" s="4" t="s">
        <v>440</v>
      </c>
      <c r="D4064" s="4" t="n">
        <v>23</v>
      </c>
      <c r="E4064" s="8" t="s">
        <v>414</v>
      </c>
      <c r="F4064" s="7" t="s">
        <v>425</v>
      </c>
    </row>
    <row r="4065" customFormat="false" ht="15" hidden="false" customHeight="false" outlineLevel="0" collapsed="false">
      <c r="A4065" s="4" t="str">
        <f aca="false">B4065&amp;"|"&amp;C4065</f>
        <v>tdbR00000469 Val-AAC|24</v>
      </c>
      <c r="B4065" s="4" t="s">
        <v>93</v>
      </c>
      <c r="C4065" s="4" t="s">
        <v>441</v>
      </c>
      <c r="D4065" s="4" t="n">
        <v>24</v>
      </c>
      <c r="E4065" s="8" t="s">
        <v>246</v>
      </c>
      <c r="F4065" s="7" t="s">
        <v>425</v>
      </c>
    </row>
    <row r="4066" customFormat="false" ht="15" hidden="false" customHeight="false" outlineLevel="0" collapsed="false">
      <c r="A4066" s="4" t="str">
        <f aca="false">B4066&amp;"|"&amp;C4066</f>
        <v>tdbR00000469 Val-AAC|25</v>
      </c>
      <c r="B4066" s="4" t="s">
        <v>93</v>
      </c>
      <c r="C4066" s="4" t="s">
        <v>442</v>
      </c>
      <c r="D4066" s="4" t="n">
        <v>25</v>
      </c>
      <c r="E4066" s="8" t="s">
        <v>414</v>
      </c>
      <c r="F4066" s="7" t="s">
        <v>425</v>
      </c>
    </row>
    <row r="4067" customFormat="false" ht="15" hidden="false" customHeight="false" outlineLevel="0" collapsed="false">
      <c r="A4067" s="4" t="str">
        <f aca="false">B4067&amp;"|"&amp;C4067</f>
        <v>tdbR00000469 Val-AAC|26</v>
      </c>
      <c r="B4067" s="4" t="s">
        <v>93</v>
      </c>
      <c r="C4067" s="4" t="s">
        <v>443</v>
      </c>
      <c r="D4067" s="4" t="n">
        <v>26</v>
      </c>
      <c r="E4067" s="3" t="s">
        <v>197</v>
      </c>
      <c r="F4067" s="4" t="s">
        <v>444</v>
      </c>
    </row>
    <row r="4068" customFormat="false" ht="15" hidden="false" customHeight="false" outlineLevel="0" collapsed="false">
      <c r="A4068" s="4" t="str">
        <f aca="false">B4068&amp;"|"&amp;C4068</f>
        <v>tdbR00000469 Val-AAC|27</v>
      </c>
      <c r="B4068" s="4" t="s">
        <v>93</v>
      </c>
      <c r="C4068" s="4" t="s">
        <v>445</v>
      </c>
      <c r="D4068" s="4" t="n">
        <v>27</v>
      </c>
      <c r="E4068" s="21" t="s">
        <v>259</v>
      </c>
      <c r="F4068" s="22" t="s">
        <v>446</v>
      </c>
    </row>
    <row r="4069" customFormat="false" ht="15" hidden="false" customHeight="false" outlineLevel="0" collapsed="false">
      <c r="A4069" s="4" t="str">
        <f aca="false">B4069&amp;"|"&amp;C4069</f>
        <v>tdbR00000469 Val-AAC|28</v>
      </c>
      <c r="B4069" s="4" t="s">
        <v>93</v>
      </c>
      <c r="C4069" s="4" t="s">
        <v>447</v>
      </c>
      <c r="D4069" s="4" t="n">
        <v>28</v>
      </c>
      <c r="E4069" s="21" t="s">
        <v>259</v>
      </c>
      <c r="F4069" s="22" t="s">
        <v>446</v>
      </c>
    </row>
    <row r="4070" customFormat="false" ht="15" hidden="false" customHeight="false" outlineLevel="0" collapsed="false">
      <c r="A4070" s="4" t="str">
        <f aca="false">B4070&amp;"|"&amp;C4070</f>
        <v>tdbR00000469 Val-AAC|29</v>
      </c>
      <c r="B4070" s="4" t="s">
        <v>93</v>
      </c>
      <c r="C4070" s="4" t="s">
        <v>448</v>
      </c>
      <c r="D4070" s="4" t="n">
        <v>29</v>
      </c>
      <c r="E4070" s="21" t="s">
        <v>414</v>
      </c>
      <c r="F4070" s="22" t="s">
        <v>446</v>
      </c>
    </row>
    <row r="4071" customFormat="false" ht="15" hidden="false" customHeight="false" outlineLevel="0" collapsed="false">
      <c r="A4071" s="4" t="str">
        <f aca="false">B4071&amp;"|"&amp;C4071</f>
        <v>tdbR00000469 Val-AAC|30</v>
      </c>
      <c r="B4071" s="4" t="s">
        <v>93</v>
      </c>
      <c r="C4071" s="4" t="s">
        <v>449</v>
      </c>
      <c r="D4071" s="4" t="n">
        <v>30</v>
      </c>
      <c r="E4071" s="21" t="s">
        <v>197</v>
      </c>
      <c r="F4071" s="22" t="s">
        <v>446</v>
      </c>
    </row>
    <row r="4072" customFormat="false" ht="15" hidden="false" customHeight="false" outlineLevel="0" collapsed="false">
      <c r="A4072" s="4" t="str">
        <f aca="false">B4072&amp;"|"&amp;C4072</f>
        <v>tdbR00000469 Val-AAC|31</v>
      </c>
      <c r="B4072" s="4" t="s">
        <v>93</v>
      </c>
      <c r="C4072" s="4" t="s">
        <v>450</v>
      </c>
      <c r="D4072" s="4" t="n">
        <v>31</v>
      </c>
      <c r="E4072" s="21" t="s">
        <v>414</v>
      </c>
      <c r="F4072" s="22" t="s">
        <v>446</v>
      </c>
    </row>
    <row r="4073" customFormat="false" ht="15" hidden="false" customHeight="false" outlineLevel="0" collapsed="false">
      <c r="A4073" s="4" t="str">
        <f aca="false">B4073&amp;"|"&amp;C4073</f>
        <v>tdbR00000469 Val-AAC|32</v>
      </c>
      <c r="B4073" s="4" t="s">
        <v>93</v>
      </c>
      <c r="C4073" s="4" t="s">
        <v>451</v>
      </c>
      <c r="D4073" s="4" t="n">
        <v>32</v>
      </c>
      <c r="E4073" s="19" t="s">
        <v>414</v>
      </c>
      <c r="F4073" s="20" t="s">
        <v>452</v>
      </c>
    </row>
    <row r="4074" customFormat="false" ht="15" hidden="false" customHeight="false" outlineLevel="0" collapsed="false">
      <c r="A4074" s="4" t="str">
        <f aca="false">B4074&amp;"|"&amp;C4074</f>
        <v>tdbR00000469 Val-AAC|33</v>
      </c>
      <c r="B4074" s="4" t="s">
        <v>93</v>
      </c>
      <c r="C4074" s="4" t="s">
        <v>453</v>
      </c>
      <c r="D4074" s="4" t="n">
        <v>33</v>
      </c>
      <c r="E4074" s="19" t="s">
        <v>259</v>
      </c>
      <c r="F4074" s="20" t="s">
        <v>452</v>
      </c>
    </row>
    <row r="4075" customFormat="false" ht="15" hidden="false" customHeight="false" outlineLevel="0" collapsed="false">
      <c r="A4075" s="4" t="str">
        <f aca="false">B4075&amp;"|"&amp;C4075</f>
        <v>tdbR00000469 Val-AAC|34</v>
      </c>
      <c r="B4075" s="4" t="s">
        <v>93</v>
      </c>
      <c r="C4075" s="4" t="s">
        <v>454</v>
      </c>
      <c r="D4075" s="4" t="n">
        <v>34</v>
      </c>
      <c r="E4075" s="19" t="s">
        <v>246</v>
      </c>
      <c r="F4075" s="20" t="s">
        <v>452</v>
      </c>
    </row>
    <row r="4076" customFormat="false" ht="15" hidden="false" customHeight="false" outlineLevel="0" collapsed="false">
      <c r="A4076" s="4" t="str">
        <f aca="false">B4076&amp;"|"&amp;C4076</f>
        <v>tdbR00000469 Val-AAC|35</v>
      </c>
      <c r="B4076" s="4" t="s">
        <v>93</v>
      </c>
      <c r="C4076" s="4" t="s">
        <v>455</v>
      </c>
      <c r="D4076" s="4" t="n">
        <v>35</v>
      </c>
      <c r="E4076" s="19" t="s">
        <v>246</v>
      </c>
      <c r="F4076" s="20" t="s">
        <v>452</v>
      </c>
    </row>
    <row r="4077" customFormat="false" ht="15" hidden="false" customHeight="false" outlineLevel="0" collapsed="false">
      <c r="A4077" s="4" t="str">
        <f aca="false">B4077&amp;"|"&amp;C4077</f>
        <v>tdbR00000469 Val-AAC|36</v>
      </c>
      <c r="B4077" s="4" t="s">
        <v>93</v>
      </c>
      <c r="C4077" s="4" t="s">
        <v>456</v>
      </c>
      <c r="D4077" s="4" t="n">
        <v>36</v>
      </c>
      <c r="E4077" s="19" t="s">
        <v>414</v>
      </c>
      <c r="F4077" s="20" t="s">
        <v>452</v>
      </c>
    </row>
    <row r="4078" customFormat="false" ht="15" hidden="false" customHeight="false" outlineLevel="0" collapsed="false">
      <c r="A4078" s="4" t="str">
        <f aca="false">B4078&amp;"|"&amp;C4078</f>
        <v>tdbR00000469 Val-AAC|37</v>
      </c>
      <c r="B4078" s="4" t="s">
        <v>93</v>
      </c>
      <c r="C4078" s="4" t="s">
        <v>457</v>
      </c>
      <c r="D4078" s="4" t="n">
        <v>37</v>
      </c>
      <c r="E4078" s="19" t="s">
        <v>246</v>
      </c>
      <c r="F4078" s="20" t="s">
        <v>452</v>
      </c>
    </row>
    <row r="4079" customFormat="false" ht="15" hidden="false" customHeight="false" outlineLevel="0" collapsed="false">
      <c r="A4079" s="4" t="str">
        <f aca="false">B4079&amp;"|"&amp;C4079</f>
        <v>tdbR00000469 Val-AAC|38</v>
      </c>
      <c r="B4079" s="4" t="s">
        <v>93</v>
      </c>
      <c r="C4079" s="4" t="s">
        <v>458</v>
      </c>
      <c r="D4079" s="4" t="n">
        <v>38</v>
      </c>
      <c r="E4079" s="19" t="s">
        <v>414</v>
      </c>
      <c r="F4079" s="20" t="s">
        <v>452</v>
      </c>
    </row>
    <row r="4080" customFormat="false" ht="15" hidden="false" customHeight="false" outlineLevel="0" collapsed="false">
      <c r="A4080" s="4" t="str">
        <f aca="false">B4080&amp;"|"&amp;C4080</f>
        <v>tdbR00000469 Val-AAC|39</v>
      </c>
      <c r="B4080" s="4" t="s">
        <v>93</v>
      </c>
      <c r="C4080" s="4" t="s">
        <v>459</v>
      </c>
      <c r="D4080" s="4" t="n">
        <v>39</v>
      </c>
      <c r="E4080" s="21" t="s">
        <v>197</v>
      </c>
      <c r="F4080" s="22" t="s">
        <v>446</v>
      </c>
    </row>
    <row r="4081" customFormat="false" ht="15" hidden="false" customHeight="false" outlineLevel="0" collapsed="false">
      <c r="A4081" s="4" t="str">
        <f aca="false">B4081&amp;"|"&amp;C4081</f>
        <v>tdbR00000469 Val-AAC|40</v>
      </c>
      <c r="B4081" s="4" t="s">
        <v>93</v>
      </c>
      <c r="C4081" s="4" t="s">
        <v>460</v>
      </c>
      <c r="D4081" s="4" t="n">
        <v>40</v>
      </c>
      <c r="E4081" s="21" t="s">
        <v>414</v>
      </c>
      <c r="F4081" s="22" t="s">
        <v>446</v>
      </c>
    </row>
    <row r="4082" customFormat="false" ht="15" hidden="false" customHeight="false" outlineLevel="0" collapsed="false">
      <c r="A4082" s="4" t="str">
        <f aca="false">B4082&amp;"|"&amp;C4082</f>
        <v>tdbR00000469 Val-AAC|41</v>
      </c>
      <c r="B4082" s="4" t="s">
        <v>93</v>
      </c>
      <c r="C4082" s="4" t="s">
        <v>461</v>
      </c>
      <c r="D4082" s="4" t="n">
        <v>41</v>
      </c>
      <c r="E4082" s="21" t="s">
        <v>197</v>
      </c>
      <c r="F4082" s="22" t="s">
        <v>446</v>
      </c>
    </row>
    <row r="4083" customFormat="false" ht="15" hidden="false" customHeight="false" outlineLevel="0" collapsed="false">
      <c r="A4083" s="4" t="str">
        <f aca="false">B4083&amp;"|"&amp;C4083</f>
        <v>tdbR00000469 Val-AAC|42</v>
      </c>
      <c r="B4083" s="4" t="s">
        <v>93</v>
      </c>
      <c r="C4083" s="4" t="s">
        <v>462</v>
      </c>
      <c r="D4083" s="4" t="n">
        <v>42</v>
      </c>
      <c r="E4083" s="21" t="s">
        <v>246</v>
      </c>
      <c r="F4083" s="22" t="s">
        <v>446</v>
      </c>
    </row>
    <row r="4084" customFormat="false" ht="15" hidden="false" customHeight="false" outlineLevel="0" collapsed="false">
      <c r="A4084" s="4" t="str">
        <f aca="false">B4084&amp;"|"&amp;C4084</f>
        <v>tdbR00000469 Val-AAC|43</v>
      </c>
      <c r="B4084" s="4" t="s">
        <v>93</v>
      </c>
      <c r="C4084" s="4" t="s">
        <v>463</v>
      </c>
      <c r="D4084" s="4" t="n">
        <v>43</v>
      </c>
      <c r="E4084" s="21" t="s">
        <v>246</v>
      </c>
      <c r="F4084" s="22" t="s">
        <v>446</v>
      </c>
    </row>
    <row r="4085" customFormat="false" ht="15" hidden="false" customHeight="false" outlineLevel="0" collapsed="false">
      <c r="A4085" s="4" t="str">
        <f aca="false">B4085&amp;"|"&amp;C4085</f>
        <v>tdbR00000469 Val-AAC|44</v>
      </c>
      <c r="B4085" s="4" t="s">
        <v>93</v>
      </c>
      <c r="C4085" s="4" t="s">
        <v>464</v>
      </c>
      <c r="D4085" s="4" t="n">
        <v>44</v>
      </c>
      <c r="E4085" s="19" t="s">
        <v>246</v>
      </c>
      <c r="F4085" s="20" t="s">
        <v>465</v>
      </c>
    </row>
    <row r="4086" customFormat="false" ht="15" hidden="false" customHeight="false" outlineLevel="0" collapsed="false">
      <c r="A4086" s="4" t="str">
        <f aca="false">B4086&amp;"|"&amp;C4086</f>
        <v>tdbR00000469 Val-AAC|45</v>
      </c>
      <c r="B4086" s="4" t="s">
        <v>93</v>
      </c>
      <c r="C4086" s="4" t="s">
        <v>466</v>
      </c>
      <c r="D4086" s="4" t="n">
        <v>45</v>
      </c>
      <c r="E4086" s="19" t="s">
        <v>197</v>
      </c>
      <c r="F4086" s="20" t="s">
        <v>465</v>
      </c>
    </row>
    <row r="4087" customFormat="false" ht="15" hidden="false" customHeight="false" outlineLevel="0" collapsed="false">
      <c r="A4087" s="4" t="str">
        <f aca="false">B4087&amp;"|"&amp;C4087</f>
        <v>tdbR00000469 Val-AAC|46</v>
      </c>
      <c r="B4087" s="4" t="s">
        <v>93</v>
      </c>
      <c r="C4087" s="4" t="s">
        <v>467</v>
      </c>
      <c r="D4087" s="4" t="n">
        <v>46</v>
      </c>
      <c r="E4087" s="19" t="s">
        <v>197</v>
      </c>
      <c r="F4087" s="20" t="s">
        <v>465</v>
      </c>
    </row>
    <row r="4088" customFormat="false" ht="15" hidden="false" customHeight="false" outlineLevel="0" collapsed="false">
      <c r="A4088" s="4" t="str">
        <f aca="false">B4088&amp;"|"&amp;C4088</f>
        <v>tdbR00000469 Val-AAC|47</v>
      </c>
      <c r="B4088" s="4" t="s">
        <v>93</v>
      </c>
      <c r="C4088" s="4" t="s">
        <v>468</v>
      </c>
      <c r="D4088" s="4" t="n">
        <v>47</v>
      </c>
      <c r="E4088" s="19" t="s">
        <v>259</v>
      </c>
      <c r="F4088" s="20" t="s">
        <v>465</v>
      </c>
    </row>
    <row r="4089" customFormat="false" ht="15" hidden="false" customHeight="false" outlineLevel="0" collapsed="false">
      <c r="A4089" s="4" t="str">
        <f aca="false">B4089&amp;"|"&amp;C4089</f>
        <v>tdbR00000469 Val-AAC|48</v>
      </c>
      <c r="B4089" s="4" t="s">
        <v>93</v>
      </c>
      <c r="C4089" s="4" t="s">
        <v>469</v>
      </c>
      <c r="D4089" s="4" t="n">
        <v>48</v>
      </c>
      <c r="E4089" s="19" t="s">
        <v>414</v>
      </c>
      <c r="F4089" s="20" t="s">
        <v>465</v>
      </c>
    </row>
    <row r="4090" customFormat="false" ht="15" hidden="false" customHeight="false" outlineLevel="0" collapsed="false">
      <c r="A4090" s="4" t="str">
        <f aca="false">B4090&amp;"|"&amp;C4090</f>
        <v>tdbR00000469 Val-AAC|49</v>
      </c>
      <c r="B4090" s="4" t="s">
        <v>93</v>
      </c>
      <c r="C4090" s="4" t="s">
        <v>470</v>
      </c>
      <c r="D4090" s="4" t="n">
        <v>49</v>
      </c>
      <c r="E4090" s="23" t="s">
        <v>414</v>
      </c>
      <c r="F4090" s="10" t="s">
        <v>471</v>
      </c>
    </row>
    <row r="4091" customFormat="false" ht="15" hidden="false" customHeight="false" outlineLevel="0" collapsed="false">
      <c r="A4091" s="4" t="str">
        <f aca="false">B4091&amp;"|"&amp;C4091</f>
        <v>tdbR00000469 Val-AAC|50</v>
      </c>
      <c r="B4091" s="4" t="s">
        <v>93</v>
      </c>
      <c r="C4091" s="4" t="s">
        <v>472</v>
      </c>
      <c r="D4091" s="4" t="n">
        <v>50</v>
      </c>
      <c r="E4091" s="23" t="s">
        <v>414</v>
      </c>
      <c r="F4091" s="10" t="s">
        <v>471</v>
      </c>
    </row>
    <row r="4092" customFormat="false" ht="15" hidden="false" customHeight="false" outlineLevel="0" collapsed="false">
      <c r="A4092" s="4" t="str">
        <f aca="false">B4092&amp;"|"&amp;C4092</f>
        <v>tdbR00000469 Val-AAC|51</v>
      </c>
      <c r="B4092" s="4" t="s">
        <v>93</v>
      </c>
      <c r="C4092" s="4" t="s">
        <v>473</v>
      </c>
      <c r="D4092" s="4" t="n">
        <v>51</v>
      </c>
      <c r="E4092" s="23" t="s">
        <v>414</v>
      </c>
      <c r="F4092" s="10" t="s">
        <v>471</v>
      </c>
    </row>
    <row r="4093" customFormat="false" ht="15" hidden="false" customHeight="false" outlineLevel="0" collapsed="false">
      <c r="A4093" s="4" t="str">
        <f aca="false">B4093&amp;"|"&amp;C4093</f>
        <v>tdbR00000469 Val-AAC|52</v>
      </c>
      <c r="B4093" s="4" t="s">
        <v>93</v>
      </c>
      <c r="C4093" s="4" t="s">
        <v>474</v>
      </c>
      <c r="D4093" s="4" t="n">
        <v>52</v>
      </c>
      <c r="E4093" s="23" t="s">
        <v>197</v>
      </c>
      <c r="F4093" s="10" t="s">
        <v>471</v>
      </c>
    </row>
    <row r="4094" customFormat="false" ht="15" hidden="false" customHeight="false" outlineLevel="0" collapsed="false">
      <c r="A4094" s="4" t="str">
        <f aca="false">B4094&amp;"|"&amp;C4094</f>
        <v>tdbR00000469 Val-AAC|53</v>
      </c>
      <c r="B4094" s="4" t="s">
        <v>93</v>
      </c>
      <c r="C4094" s="4" t="s">
        <v>475</v>
      </c>
      <c r="D4094" s="4" t="n">
        <v>53</v>
      </c>
      <c r="E4094" s="23" t="s">
        <v>197</v>
      </c>
      <c r="F4094" s="10" t="s">
        <v>471</v>
      </c>
    </row>
    <row r="4095" customFormat="false" ht="15" hidden="false" customHeight="false" outlineLevel="0" collapsed="false">
      <c r="A4095" s="4" t="str">
        <f aca="false">B4095&amp;"|"&amp;C4095</f>
        <v>tdbR00000469 Val-AAC|54</v>
      </c>
      <c r="B4095" s="4" t="s">
        <v>93</v>
      </c>
      <c r="C4095" s="4" t="s">
        <v>476</v>
      </c>
      <c r="D4095" s="4" t="n">
        <v>54</v>
      </c>
      <c r="E4095" s="19" t="s">
        <v>259</v>
      </c>
      <c r="F4095" s="20" t="s">
        <v>477</v>
      </c>
    </row>
    <row r="4096" customFormat="false" ht="15" hidden="false" customHeight="false" outlineLevel="0" collapsed="false">
      <c r="A4096" s="4" t="str">
        <f aca="false">B4096&amp;"|"&amp;C4096</f>
        <v>tdbR00000469 Val-AAC|55</v>
      </c>
      <c r="B4096" s="4" t="s">
        <v>93</v>
      </c>
      <c r="C4096" s="4" t="s">
        <v>478</v>
      </c>
      <c r="D4096" s="4" t="n">
        <v>55</v>
      </c>
      <c r="E4096" s="19" t="s">
        <v>259</v>
      </c>
      <c r="F4096" s="20" t="s">
        <v>477</v>
      </c>
    </row>
    <row r="4097" customFormat="false" ht="15" hidden="false" customHeight="false" outlineLevel="0" collapsed="false">
      <c r="A4097" s="4" t="str">
        <f aca="false">B4097&amp;"|"&amp;C4097</f>
        <v>tdbR00000469 Val-AAC|56</v>
      </c>
      <c r="B4097" s="4" t="s">
        <v>93</v>
      </c>
      <c r="C4097" s="4" t="s">
        <v>479</v>
      </c>
      <c r="D4097" s="4" t="n">
        <v>56</v>
      </c>
      <c r="E4097" s="19" t="s">
        <v>414</v>
      </c>
      <c r="F4097" s="20" t="s">
        <v>477</v>
      </c>
    </row>
    <row r="4098" customFormat="false" ht="15" hidden="false" customHeight="false" outlineLevel="0" collapsed="false">
      <c r="A4098" s="4" t="str">
        <f aca="false">B4098&amp;"|"&amp;C4098</f>
        <v>tdbR00000469 Val-AAC|57</v>
      </c>
      <c r="B4098" s="4" t="s">
        <v>93</v>
      </c>
      <c r="C4098" s="4" t="s">
        <v>480</v>
      </c>
      <c r="D4098" s="4" t="n">
        <v>57</v>
      </c>
      <c r="E4098" s="19" t="s">
        <v>197</v>
      </c>
      <c r="F4098" s="20" t="s">
        <v>477</v>
      </c>
    </row>
    <row r="4099" customFormat="false" ht="15" hidden="false" customHeight="false" outlineLevel="0" collapsed="false">
      <c r="A4099" s="4" t="str">
        <f aca="false">B4099&amp;"|"&amp;C4099</f>
        <v>tdbR00000469 Val-AAC|58</v>
      </c>
      <c r="B4099" s="4" t="s">
        <v>93</v>
      </c>
      <c r="C4099" s="4" t="s">
        <v>481</v>
      </c>
      <c r="D4099" s="4" t="n">
        <v>58</v>
      </c>
      <c r="E4099" s="19" t="s">
        <v>246</v>
      </c>
      <c r="F4099" s="20" t="s">
        <v>477</v>
      </c>
    </row>
    <row r="4100" customFormat="false" ht="15" hidden="false" customHeight="false" outlineLevel="0" collapsed="false">
      <c r="A4100" s="4" t="str">
        <f aca="false">B4100&amp;"|"&amp;C4100</f>
        <v>tdbR00000469 Val-AAC|59</v>
      </c>
      <c r="B4100" s="4" t="s">
        <v>93</v>
      </c>
      <c r="C4100" s="4" t="s">
        <v>482</v>
      </c>
      <c r="D4100" s="4" t="n">
        <v>59</v>
      </c>
      <c r="E4100" s="19" t="s">
        <v>246</v>
      </c>
      <c r="F4100" s="20" t="s">
        <v>477</v>
      </c>
    </row>
    <row r="4101" customFormat="false" ht="15" hidden="false" customHeight="false" outlineLevel="0" collapsed="false">
      <c r="A4101" s="4" t="str">
        <f aca="false">B4101&amp;"|"&amp;C4101</f>
        <v>tdbR00000469 Val-AAC|60</v>
      </c>
      <c r="B4101" s="4" t="s">
        <v>93</v>
      </c>
      <c r="C4101" s="4" t="s">
        <v>483</v>
      </c>
      <c r="D4101" s="4" t="n">
        <v>60</v>
      </c>
      <c r="E4101" s="19" t="s">
        <v>246</v>
      </c>
      <c r="F4101" s="20" t="s">
        <v>477</v>
      </c>
    </row>
    <row r="4102" customFormat="false" ht="15" hidden="false" customHeight="false" outlineLevel="0" collapsed="false">
      <c r="A4102" s="4" t="str">
        <f aca="false">B4102&amp;"|"&amp;C4102</f>
        <v>tdbR00000469 Val-AAC|61</v>
      </c>
      <c r="B4102" s="4" t="s">
        <v>93</v>
      </c>
      <c r="C4102" s="4" t="s">
        <v>484</v>
      </c>
      <c r="D4102" s="4" t="n">
        <v>61</v>
      </c>
      <c r="E4102" s="23" t="s">
        <v>414</v>
      </c>
      <c r="F4102" s="10" t="s">
        <v>471</v>
      </c>
    </row>
    <row r="4103" customFormat="false" ht="15" hidden="false" customHeight="false" outlineLevel="0" collapsed="false">
      <c r="A4103" s="4" t="str">
        <f aca="false">B4103&amp;"|"&amp;C4103</f>
        <v>tdbR00000469 Val-AAC|62</v>
      </c>
      <c r="B4103" s="4" t="s">
        <v>93</v>
      </c>
      <c r="C4103" s="4" t="s">
        <v>485</v>
      </c>
      <c r="D4103" s="4" t="n">
        <v>62</v>
      </c>
      <c r="E4103" s="23" t="s">
        <v>414</v>
      </c>
      <c r="F4103" s="10" t="s">
        <v>471</v>
      </c>
    </row>
    <row r="4104" customFormat="false" ht="15" hidden="false" customHeight="false" outlineLevel="0" collapsed="false">
      <c r="A4104" s="4" t="str">
        <f aca="false">B4104&amp;"|"&amp;C4104</f>
        <v>tdbR00000469 Val-AAC|63</v>
      </c>
      <c r="B4104" s="4" t="s">
        <v>93</v>
      </c>
      <c r="C4104" s="4" t="s">
        <v>486</v>
      </c>
      <c r="D4104" s="4" t="n">
        <v>63</v>
      </c>
      <c r="E4104" s="23" t="s">
        <v>197</v>
      </c>
      <c r="F4104" s="10" t="s">
        <v>471</v>
      </c>
    </row>
    <row r="4105" customFormat="false" ht="15" hidden="false" customHeight="false" outlineLevel="0" collapsed="false">
      <c r="A4105" s="4" t="str">
        <f aca="false">B4105&amp;"|"&amp;C4105</f>
        <v>tdbR00000469 Val-AAC|64</v>
      </c>
      <c r="B4105" s="4" t="s">
        <v>93</v>
      </c>
      <c r="C4105" s="4" t="s">
        <v>487</v>
      </c>
      <c r="D4105" s="4" t="n">
        <v>64</v>
      </c>
      <c r="E4105" s="23" t="s">
        <v>197</v>
      </c>
      <c r="F4105" s="10" t="s">
        <v>471</v>
      </c>
    </row>
    <row r="4106" customFormat="false" ht="15" hidden="false" customHeight="false" outlineLevel="0" collapsed="false">
      <c r="A4106" s="4" t="str">
        <f aca="false">B4106&amp;"|"&amp;C4106</f>
        <v>tdbR00000469 Val-AAC|65</v>
      </c>
      <c r="B4106" s="4" t="s">
        <v>93</v>
      </c>
      <c r="C4106" s="4" t="s">
        <v>488</v>
      </c>
      <c r="D4106" s="4" t="n">
        <v>65</v>
      </c>
      <c r="E4106" s="23" t="s">
        <v>197</v>
      </c>
      <c r="F4106" s="10" t="s">
        <v>471</v>
      </c>
    </row>
    <row r="4107" customFormat="false" ht="15" hidden="false" customHeight="false" outlineLevel="0" collapsed="false">
      <c r="A4107" s="4" t="str">
        <f aca="false">B4107&amp;"|"&amp;C4107</f>
        <v>tdbR00000469 Val-AAC|66</v>
      </c>
      <c r="B4107" s="4" t="s">
        <v>93</v>
      </c>
      <c r="C4107" s="4" t="s">
        <v>489</v>
      </c>
      <c r="D4107" s="4" t="n">
        <v>66</v>
      </c>
      <c r="E4107" s="17" t="s">
        <v>414</v>
      </c>
      <c r="F4107" s="18" t="s">
        <v>412</v>
      </c>
    </row>
    <row r="4108" customFormat="false" ht="15" hidden="false" customHeight="false" outlineLevel="0" collapsed="false">
      <c r="A4108" s="4" t="str">
        <f aca="false">B4108&amp;"|"&amp;C4108</f>
        <v>tdbR00000469 Val-AAC|67</v>
      </c>
      <c r="B4108" s="4" t="s">
        <v>93</v>
      </c>
      <c r="C4108" s="4" t="s">
        <v>490</v>
      </c>
      <c r="D4108" s="4" t="n">
        <v>67</v>
      </c>
      <c r="E4108" s="17" t="s">
        <v>197</v>
      </c>
      <c r="F4108" s="18" t="s">
        <v>412</v>
      </c>
    </row>
    <row r="4109" customFormat="false" ht="15" hidden="false" customHeight="false" outlineLevel="0" collapsed="false">
      <c r="A4109" s="4" t="str">
        <f aca="false">B4109&amp;"|"&amp;C4109</f>
        <v>tdbR00000469 Val-AAC|68</v>
      </c>
      <c r="B4109" s="4" t="s">
        <v>93</v>
      </c>
      <c r="C4109" s="4" t="s">
        <v>491</v>
      </c>
      <c r="D4109" s="4" t="n">
        <v>68</v>
      </c>
      <c r="E4109" s="17" t="s">
        <v>197</v>
      </c>
      <c r="F4109" s="18" t="s">
        <v>412</v>
      </c>
    </row>
    <row r="4110" customFormat="false" ht="15" hidden="false" customHeight="false" outlineLevel="0" collapsed="false">
      <c r="A4110" s="4" t="str">
        <f aca="false">B4110&amp;"|"&amp;C4110</f>
        <v>tdbR00000469 Val-AAC|69</v>
      </c>
      <c r="B4110" s="4" t="s">
        <v>93</v>
      </c>
      <c r="C4110" s="4" t="s">
        <v>492</v>
      </c>
      <c r="D4110" s="4" t="n">
        <v>69</v>
      </c>
      <c r="E4110" s="17" t="s">
        <v>246</v>
      </c>
      <c r="F4110" s="18" t="s">
        <v>412</v>
      </c>
    </row>
    <row r="4111" customFormat="false" ht="15" hidden="false" customHeight="false" outlineLevel="0" collapsed="false">
      <c r="A4111" s="4" t="str">
        <f aca="false">B4111&amp;"|"&amp;C4111</f>
        <v>tdbR00000469 Val-AAC|70</v>
      </c>
      <c r="B4111" s="4" t="s">
        <v>93</v>
      </c>
      <c r="C4111" s="4" t="s">
        <v>493</v>
      </c>
      <c r="D4111" s="4" t="n">
        <v>70</v>
      </c>
      <c r="E4111" s="17" t="s">
        <v>246</v>
      </c>
      <c r="F4111" s="18" t="s">
        <v>412</v>
      </c>
    </row>
    <row r="4112" customFormat="false" ht="15" hidden="false" customHeight="false" outlineLevel="0" collapsed="false">
      <c r="A4112" s="4" t="str">
        <f aca="false">B4112&amp;"|"&amp;C4112</f>
        <v>tdbR00000469 Val-AAC|71</v>
      </c>
      <c r="B4112" s="4" t="s">
        <v>93</v>
      </c>
      <c r="C4112" s="4" t="s">
        <v>494</v>
      </c>
      <c r="D4112" s="4" t="n">
        <v>71</v>
      </c>
      <c r="E4112" s="17" t="s">
        <v>246</v>
      </c>
      <c r="F4112" s="18" t="s">
        <v>412</v>
      </c>
    </row>
    <row r="4113" customFormat="false" ht="15" hidden="false" customHeight="false" outlineLevel="0" collapsed="false">
      <c r="A4113" s="4" t="str">
        <f aca="false">B4113&amp;"|"&amp;C4113</f>
        <v>tdbR00000469 Val-AAC|72</v>
      </c>
      <c r="B4113" s="4" t="s">
        <v>93</v>
      </c>
      <c r="C4113" s="4" t="s">
        <v>495</v>
      </c>
      <c r="D4113" s="4" t="n">
        <v>72</v>
      </c>
      <c r="E4113" s="17" t="s">
        <v>414</v>
      </c>
      <c r="F4113" s="18" t="s">
        <v>412</v>
      </c>
    </row>
    <row r="4114" customFormat="false" ht="15" hidden="false" customHeight="false" outlineLevel="0" collapsed="false">
      <c r="A4114" s="4" t="str">
        <f aca="false">B4114&amp;"|"&amp;C4114</f>
        <v>tdbR00000038 Asp-GUC|1</v>
      </c>
      <c r="B4114" s="4" t="s">
        <v>94</v>
      </c>
      <c r="C4114" s="4" t="s">
        <v>411</v>
      </c>
      <c r="D4114" s="4" t="n">
        <v>1</v>
      </c>
      <c r="E4114" s="17" t="s">
        <v>259</v>
      </c>
      <c r="F4114" s="18" t="s">
        <v>412</v>
      </c>
    </row>
    <row r="4115" customFormat="false" ht="15" hidden="false" customHeight="false" outlineLevel="0" collapsed="false">
      <c r="A4115" s="4" t="str">
        <f aca="false">B4115&amp;"|"&amp;C4115</f>
        <v>tdbR00000038 Asp-GUC|2</v>
      </c>
      <c r="B4115" s="4" t="s">
        <v>94</v>
      </c>
      <c r="C4115" s="4" t="s">
        <v>413</v>
      </c>
      <c r="D4115" s="4" t="n">
        <v>2</v>
      </c>
      <c r="E4115" s="17" t="s">
        <v>414</v>
      </c>
      <c r="F4115" s="18" t="s">
        <v>412</v>
      </c>
    </row>
    <row r="4116" customFormat="false" ht="15" hidden="false" customHeight="false" outlineLevel="0" collapsed="false">
      <c r="A4116" s="4" t="str">
        <f aca="false">B4116&amp;"|"&amp;C4116</f>
        <v>tdbR00000038 Asp-GUC|3</v>
      </c>
      <c r="B4116" s="4" t="s">
        <v>94</v>
      </c>
      <c r="C4116" s="4" t="s">
        <v>415</v>
      </c>
      <c r="D4116" s="4" t="n">
        <v>3</v>
      </c>
      <c r="E4116" s="17" t="s">
        <v>414</v>
      </c>
      <c r="F4116" s="18" t="s">
        <v>412</v>
      </c>
    </row>
    <row r="4117" customFormat="false" ht="15" hidden="false" customHeight="false" outlineLevel="0" collapsed="false">
      <c r="A4117" s="4" t="str">
        <f aca="false">B4117&amp;"|"&amp;C4117</f>
        <v>tdbR00000038 Asp-GUC|4</v>
      </c>
      <c r="B4117" s="4" t="s">
        <v>94</v>
      </c>
      <c r="C4117" s="4" t="s">
        <v>416</v>
      </c>
      <c r="D4117" s="4" t="n">
        <v>4</v>
      </c>
      <c r="E4117" s="17" t="s">
        <v>259</v>
      </c>
      <c r="F4117" s="18" t="s">
        <v>412</v>
      </c>
    </row>
    <row r="4118" customFormat="false" ht="15" hidden="false" customHeight="false" outlineLevel="0" collapsed="false">
      <c r="A4118" s="4" t="str">
        <f aca="false">B4118&amp;"|"&amp;C4118</f>
        <v>tdbR00000038 Asp-GUC|5</v>
      </c>
      <c r="B4118" s="4" t="s">
        <v>94</v>
      </c>
      <c r="C4118" s="4" t="s">
        <v>417</v>
      </c>
      <c r="D4118" s="4" t="n">
        <v>5</v>
      </c>
      <c r="E4118" s="17" t="s">
        <v>414</v>
      </c>
      <c r="F4118" s="18" t="s">
        <v>412</v>
      </c>
    </row>
    <row r="4119" customFormat="false" ht="15" hidden="false" customHeight="false" outlineLevel="0" collapsed="false">
      <c r="A4119" s="4" t="str">
        <f aca="false">B4119&amp;"|"&amp;C4119</f>
        <v>tdbR00000038 Asp-GUC|6</v>
      </c>
      <c r="B4119" s="4" t="s">
        <v>94</v>
      </c>
      <c r="C4119" s="4" t="s">
        <v>418</v>
      </c>
      <c r="D4119" s="4" t="n">
        <v>6</v>
      </c>
      <c r="E4119" s="17" t="s">
        <v>197</v>
      </c>
      <c r="F4119" s="18" t="s">
        <v>412</v>
      </c>
    </row>
    <row r="4120" customFormat="false" ht="15" hidden="false" customHeight="false" outlineLevel="0" collapsed="false">
      <c r="A4120" s="4" t="str">
        <f aca="false">B4120&amp;"|"&amp;C4120</f>
        <v>tdbR00000038 Asp-GUC|7</v>
      </c>
      <c r="B4120" s="4" t="s">
        <v>94</v>
      </c>
      <c r="C4120" s="4" t="s">
        <v>419</v>
      </c>
      <c r="D4120" s="4" t="n">
        <v>7</v>
      </c>
      <c r="E4120" s="17" t="s">
        <v>259</v>
      </c>
      <c r="F4120" s="18" t="s">
        <v>412</v>
      </c>
    </row>
    <row r="4121" customFormat="false" ht="15" hidden="false" customHeight="false" outlineLevel="0" collapsed="false">
      <c r="A4121" s="4" t="str">
        <f aca="false">B4121&amp;"|"&amp;C4121</f>
        <v>tdbR00000038 Asp-GUC|8</v>
      </c>
      <c r="B4121" s="4" t="s">
        <v>94</v>
      </c>
      <c r="C4121" s="4" t="s">
        <v>420</v>
      </c>
      <c r="D4121" s="4" t="n">
        <v>8</v>
      </c>
      <c r="E4121" s="3" t="s">
        <v>259</v>
      </c>
      <c r="F4121" s="4" t="s">
        <v>421</v>
      </c>
    </row>
    <row r="4122" customFormat="false" ht="15" hidden="false" customHeight="false" outlineLevel="0" collapsed="false">
      <c r="A4122" s="4" t="str">
        <f aca="false">B4122&amp;"|"&amp;C4122</f>
        <v>tdbR00000038 Asp-GUC|9</v>
      </c>
      <c r="B4122" s="4" t="s">
        <v>94</v>
      </c>
      <c r="C4122" s="4" t="s">
        <v>422</v>
      </c>
      <c r="D4122" s="4" t="n">
        <v>9</v>
      </c>
      <c r="E4122" s="3" t="s">
        <v>246</v>
      </c>
      <c r="F4122" s="4" t="s">
        <v>423</v>
      </c>
    </row>
    <row r="4123" customFormat="false" ht="15" hidden="false" customHeight="false" outlineLevel="0" collapsed="false">
      <c r="A4123" s="4" t="str">
        <f aca="false">B4123&amp;"|"&amp;C4123</f>
        <v>tdbR00000038 Asp-GUC|10</v>
      </c>
      <c r="B4123" s="4" t="s">
        <v>94</v>
      </c>
      <c r="C4123" s="4" t="s">
        <v>424</v>
      </c>
      <c r="D4123" s="4" t="n">
        <v>10</v>
      </c>
      <c r="E4123" s="8" t="s">
        <v>197</v>
      </c>
      <c r="F4123" s="7" t="s">
        <v>425</v>
      </c>
    </row>
    <row r="4124" customFormat="false" ht="15" hidden="false" customHeight="false" outlineLevel="0" collapsed="false">
      <c r="A4124" s="4" t="str">
        <f aca="false">B4124&amp;"|"&amp;C4124</f>
        <v>tdbR00000038 Asp-GUC|11</v>
      </c>
      <c r="B4124" s="4" t="s">
        <v>94</v>
      </c>
      <c r="C4124" s="4" t="s">
        <v>426</v>
      </c>
      <c r="D4124" s="4" t="n">
        <v>11</v>
      </c>
      <c r="E4124" s="8" t="s">
        <v>259</v>
      </c>
      <c r="F4124" s="7" t="s">
        <v>425</v>
      </c>
    </row>
    <row r="4125" customFormat="false" ht="15" hidden="false" customHeight="false" outlineLevel="0" collapsed="false">
      <c r="A4125" s="4" t="str">
        <f aca="false">B4125&amp;"|"&amp;C4125</f>
        <v>tdbR00000038 Asp-GUC|12</v>
      </c>
      <c r="B4125" s="4" t="s">
        <v>94</v>
      </c>
      <c r="C4125" s="4" t="s">
        <v>427</v>
      </c>
      <c r="D4125" s="4" t="n">
        <v>12</v>
      </c>
      <c r="E4125" s="8" t="s">
        <v>246</v>
      </c>
      <c r="F4125" s="7" t="s">
        <v>425</v>
      </c>
    </row>
    <row r="4126" customFormat="false" ht="15" hidden="false" customHeight="false" outlineLevel="0" collapsed="false">
      <c r="A4126" s="4" t="str">
        <f aca="false">B4126&amp;"|"&amp;C4126</f>
        <v>tdbR00000038 Asp-GUC|13</v>
      </c>
      <c r="B4126" s="4" t="s">
        <v>94</v>
      </c>
      <c r="C4126" s="4" t="s">
        <v>428</v>
      </c>
      <c r="D4126" s="4" t="n">
        <v>13</v>
      </c>
      <c r="E4126" s="8" t="s">
        <v>259</v>
      </c>
      <c r="F4126" s="7" t="s">
        <v>425</v>
      </c>
    </row>
    <row r="4127" customFormat="false" ht="15" hidden="false" customHeight="false" outlineLevel="0" collapsed="false">
      <c r="A4127" s="4" t="str">
        <f aca="false">B4127&amp;"|"&amp;C4127</f>
        <v>tdbR00000038 Asp-GUC|14</v>
      </c>
      <c r="B4127" s="4" t="s">
        <v>94</v>
      </c>
      <c r="C4127" s="4" t="s">
        <v>429</v>
      </c>
      <c r="D4127" s="4" t="n">
        <v>14</v>
      </c>
      <c r="E4127" s="19" t="s">
        <v>246</v>
      </c>
      <c r="F4127" s="20" t="s">
        <v>430</v>
      </c>
    </row>
    <row r="4128" customFormat="false" ht="15" hidden="false" customHeight="false" outlineLevel="0" collapsed="false">
      <c r="A4128" s="4" t="str">
        <f aca="false">B4128&amp;"|"&amp;C4128</f>
        <v>tdbR00000038 Asp-GUC|15</v>
      </c>
      <c r="B4128" s="4" t="s">
        <v>94</v>
      </c>
      <c r="C4128" s="4" t="s">
        <v>431</v>
      </c>
      <c r="D4128" s="4" t="n">
        <v>15</v>
      </c>
      <c r="E4128" s="19" t="s">
        <v>197</v>
      </c>
      <c r="F4128" s="20" t="s">
        <v>430</v>
      </c>
    </row>
    <row r="4129" customFormat="false" ht="15" hidden="false" customHeight="false" outlineLevel="0" collapsed="false">
      <c r="A4129" s="4" t="str">
        <f aca="false">B4129&amp;"|"&amp;C4129</f>
        <v>tdbR00000038 Asp-GUC|16</v>
      </c>
      <c r="B4129" s="4" t="s">
        <v>94</v>
      </c>
      <c r="C4129" s="4" t="s">
        <v>432</v>
      </c>
      <c r="D4129" s="4" t="n">
        <v>16</v>
      </c>
      <c r="E4129" s="19" t="s">
        <v>259</v>
      </c>
      <c r="F4129" s="20" t="s">
        <v>430</v>
      </c>
    </row>
    <row r="4130" customFormat="false" ht="15" hidden="false" customHeight="false" outlineLevel="0" collapsed="false">
      <c r="A4130" s="4" t="str">
        <f aca="false">B4130&amp;"|"&amp;C4130</f>
        <v>tdbR00000038 Asp-GUC|18</v>
      </c>
      <c r="B4130" s="4" t="s">
        <v>94</v>
      </c>
      <c r="C4130" s="4" t="s">
        <v>434</v>
      </c>
      <c r="D4130" s="4" t="n">
        <v>17</v>
      </c>
      <c r="E4130" s="19" t="s">
        <v>197</v>
      </c>
      <c r="F4130" s="20" t="s">
        <v>430</v>
      </c>
    </row>
    <row r="4131" customFormat="false" ht="15" hidden="false" customHeight="false" outlineLevel="0" collapsed="false">
      <c r="A4131" s="4" t="str">
        <f aca="false">B4131&amp;"|"&amp;C4131</f>
        <v>tdbR00000038 Asp-GUC|19</v>
      </c>
      <c r="B4131" s="4" t="s">
        <v>94</v>
      </c>
      <c r="C4131" s="4" t="s">
        <v>435</v>
      </c>
      <c r="D4131" s="4" t="n">
        <v>18</v>
      </c>
      <c r="E4131" s="19" t="s">
        <v>197</v>
      </c>
      <c r="F4131" s="20" t="s">
        <v>430</v>
      </c>
    </row>
    <row r="4132" customFormat="false" ht="15" hidden="false" customHeight="false" outlineLevel="0" collapsed="false">
      <c r="A4132" s="4" t="str">
        <f aca="false">B4132&amp;"|"&amp;C4132</f>
        <v>tdbR00000038 Asp-GUC|20</v>
      </c>
      <c r="B4132" s="4" t="s">
        <v>94</v>
      </c>
      <c r="C4132" s="4" t="s">
        <v>436</v>
      </c>
      <c r="D4132" s="4" t="n">
        <v>19</v>
      </c>
      <c r="E4132" s="19" t="s">
        <v>259</v>
      </c>
      <c r="F4132" s="20" t="s">
        <v>430</v>
      </c>
    </row>
    <row r="4133" customFormat="false" ht="15" hidden="false" customHeight="false" outlineLevel="0" collapsed="false">
      <c r="A4133" s="4" t="str">
        <f aca="false">B4133&amp;"|"&amp;C4133</f>
        <v>tdbR00000038 Asp-GUC|20a</v>
      </c>
      <c r="B4133" s="4" t="s">
        <v>94</v>
      </c>
      <c r="C4133" s="4" t="s">
        <v>437</v>
      </c>
      <c r="D4133" s="4" t="n">
        <v>20</v>
      </c>
      <c r="E4133" s="19" t="s">
        <v>197</v>
      </c>
      <c r="F4133" s="20" t="s">
        <v>430</v>
      </c>
    </row>
    <row r="4134" customFormat="false" ht="15" hidden="false" customHeight="false" outlineLevel="0" collapsed="false">
      <c r="A4134" s="4" t="str">
        <f aca="false">B4134&amp;"|"&amp;C4134</f>
        <v>tdbR00000038 Asp-GUC|21</v>
      </c>
      <c r="B4134" s="4" t="s">
        <v>94</v>
      </c>
      <c r="C4134" s="4" t="s">
        <v>438</v>
      </c>
      <c r="D4134" s="4" t="n">
        <v>21</v>
      </c>
      <c r="E4134" s="19" t="s">
        <v>246</v>
      </c>
      <c r="F4134" s="20" t="s">
        <v>430</v>
      </c>
    </row>
    <row r="4135" customFormat="false" ht="15" hidden="false" customHeight="false" outlineLevel="0" collapsed="false">
      <c r="A4135" s="4" t="str">
        <f aca="false">B4135&amp;"|"&amp;C4135</f>
        <v>tdbR00000038 Asp-GUC|22</v>
      </c>
      <c r="B4135" s="4" t="s">
        <v>94</v>
      </c>
      <c r="C4135" s="4" t="s">
        <v>439</v>
      </c>
      <c r="D4135" s="4" t="n">
        <v>22</v>
      </c>
      <c r="E4135" s="8" t="s">
        <v>197</v>
      </c>
      <c r="F4135" s="7" t="s">
        <v>425</v>
      </c>
    </row>
    <row r="4136" customFormat="false" ht="15" hidden="false" customHeight="false" outlineLevel="0" collapsed="false">
      <c r="A4136" s="4" t="str">
        <f aca="false">B4136&amp;"|"&amp;C4136</f>
        <v>tdbR00000038 Asp-GUC|23</v>
      </c>
      <c r="B4136" s="4" t="s">
        <v>94</v>
      </c>
      <c r="C4136" s="4" t="s">
        <v>440</v>
      </c>
      <c r="D4136" s="4" t="n">
        <v>23</v>
      </c>
      <c r="E4136" s="8" t="s">
        <v>259</v>
      </c>
      <c r="F4136" s="7" t="s">
        <v>425</v>
      </c>
    </row>
    <row r="4137" customFormat="false" ht="15" hidden="false" customHeight="false" outlineLevel="0" collapsed="false">
      <c r="A4137" s="4" t="str">
        <f aca="false">B4137&amp;"|"&amp;C4137</f>
        <v>tdbR00000038 Asp-GUC|24</v>
      </c>
      <c r="B4137" s="4" t="s">
        <v>94</v>
      </c>
      <c r="C4137" s="4" t="s">
        <v>441</v>
      </c>
      <c r="D4137" s="4" t="n">
        <v>24</v>
      </c>
      <c r="E4137" s="8" t="s">
        <v>246</v>
      </c>
      <c r="F4137" s="7" t="s">
        <v>425</v>
      </c>
    </row>
    <row r="4138" customFormat="false" ht="15" hidden="false" customHeight="false" outlineLevel="0" collapsed="false">
      <c r="A4138" s="4" t="str">
        <f aca="false">B4138&amp;"|"&amp;C4138</f>
        <v>tdbR00000038 Asp-GUC|25</v>
      </c>
      <c r="B4138" s="4" t="s">
        <v>94</v>
      </c>
      <c r="C4138" s="4" t="s">
        <v>442</v>
      </c>
      <c r="D4138" s="4" t="n">
        <v>25</v>
      </c>
      <c r="E4138" s="8" t="s">
        <v>259</v>
      </c>
      <c r="F4138" s="7" t="s">
        <v>425</v>
      </c>
    </row>
    <row r="4139" customFormat="false" ht="15" hidden="false" customHeight="false" outlineLevel="0" collapsed="false">
      <c r="A4139" s="4" t="str">
        <f aca="false">B4139&amp;"|"&amp;C4139</f>
        <v>tdbR00000038 Asp-GUC|26</v>
      </c>
      <c r="B4139" s="4" t="s">
        <v>94</v>
      </c>
      <c r="C4139" s="4" t="s">
        <v>443</v>
      </c>
      <c r="D4139" s="4" t="n">
        <v>26</v>
      </c>
      <c r="E4139" s="3" t="s">
        <v>414</v>
      </c>
      <c r="F4139" s="4" t="s">
        <v>444</v>
      </c>
    </row>
    <row r="4140" customFormat="false" ht="15" hidden="false" customHeight="false" outlineLevel="0" collapsed="false">
      <c r="A4140" s="4" t="str">
        <f aca="false">B4140&amp;"|"&amp;C4140</f>
        <v>tdbR00000038 Asp-GUC|27</v>
      </c>
      <c r="B4140" s="4" t="s">
        <v>94</v>
      </c>
      <c r="C4140" s="4" t="s">
        <v>445</v>
      </c>
      <c r="D4140" s="4" t="n">
        <v>27</v>
      </c>
      <c r="E4140" s="21" t="s">
        <v>414</v>
      </c>
      <c r="F4140" s="22" t="s">
        <v>446</v>
      </c>
    </row>
    <row r="4141" customFormat="false" ht="15" hidden="false" customHeight="false" outlineLevel="0" collapsed="false">
      <c r="A4141" s="4" t="str">
        <f aca="false">B4141&amp;"|"&amp;C4141</f>
        <v>tdbR00000038 Asp-GUC|28</v>
      </c>
      <c r="B4141" s="4" t="s">
        <v>94</v>
      </c>
      <c r="C4141" s="4" t="s">
        <v>447</v>
      </c>
      <c r="D4141" s="4" t="n">
        <v>28</v>
      </c>
      <c r="E4141" s="21" t="s">
        <v>414</v>
      </c>
      <c r="F4141" s="22" t="s">
        <v>446</v>
      </c>
    </row>
    <row r="4142" customFormat="false" ht="15" hidden="false" customHeight="false" outlineLevel="0" collapsed="false">
      <c r="A4142" s="4" t="str">
        <f aca="false">B4142&amp;"|"&amp;C4142</f>
        <v>tdbR00000038 Asp-GUC|29</v>
      </c>
      <c r="B4142" s="4" t="s">
        <v>94</v>
      </c>
      <c r="C4142" s="4" t="s">
        <v>448</v>
      </c>
      <c r="D4142" s="4" t="n">
        <v>29</v>
      </c>
      <c r="E4142" s="21" t="s">
        <v>414</v>
      </c>
      <c r="F4142" s="22" t="s">
        <v>446</v>
      </c>
    </row>
    <row r="4143" customFormat="false" ht="15" hidden="false" customHeight="false" outlineLevel="0" collapsed="false">
      <c r="A4143" s="4" t="str">
        <f aca="false">B4143&amp;"|"&amp;C4143</f>
        <v>tdbR00000038 Asp-GUC|30</v>
      </c>
      <c r="B4143" s="4" t="s">
        <v>94</v>
      </c>
      <c r="C4143" s="4" t="s">
        <v>449</v>
      </c>
      <c r="D4143" s="4" t="n">
        <v>30</v>
      </c>
      <c r="E4143" s="21" t="s">
        <v>197</v>
      </c>
      <c r="F4143" s="22" t="s">
        <v>446</v>
      </c>
    </row>
    <row r="4144" customFormat="false" ht="15" hidden="false" customHeight="false" outlineLevel="0" collapsed="false">
      <c r="A4144" s="4" t="str">
        <f aca="false">B4144&amp;"|"&amp;C4144</f>
        <v>tdbR00000038 Asp-GUC|31</v>
      </c>
      <c r="B4144" s="4" t="s">
        <v>94</v>
      </c>
      <c r="C4144" s="4" t="s">
        <v>450</v>
      </c>
      <c r="D4144" s="4" t="n">
        <v>31</v>
      </c>
      <c r="E4144" s="21" t="s">
        <v>414</v>
      </c>
      <c r="F4144" s="22" t="s">
        <v>446</v>
      </c>
    </row>
    <row r="4145" customFormat="false" ht="15" hidden="false" customHeight="false" outlineLevel="0" collapsed="false">
      <c r="A4145" s="4" t="str">
        <f aca="false">B4145&amp;"|"&amp;C4145</f>
        <v>tdbR00000038 Asp-GUC|32</v>
      </c>
      <c r="B4145" s="4" t="s">
        <v>94</v>
      </c>
      <c r="C4145" s="4" t="s">
        <v>451</v>
      </c>
      <c r="D4145" s="4" t="n">
        <v>32</v>
      </c>
      <c r="E4145" s="19" t="s">
        <v>259</v>
      </c>
      <c r="F4145" s="20" t="s">
        <v>452</v>
      </c>
    </row>
    <row r="4146" customFormat="false" ht="15" hidden="false" customHeight="false" outlineLevel="0" collapsed="false">
      <c r="A4146" s="4" t="str">
        <f aca="false">B4146&amp;"|"&amp;C4146</f>
        <v>tdbR00000038 Asp-GUC|33</v>
      </c>
      <c r="B4146" s="4" t="s">
        <v>94</v>
      </c>
      <c r="C4146" s="4" t="s">
        <v>453</v>
      </c>
      <c r="D4146" s="4" t="n">
        <v>33</v>
      </c>
      <c r="E4146" s="19" t="s">
        <v>414</v>
      </c>
      <c r="F4146" s="20" t="s">
        <v>452</v>
      </c>
    </row>
    <row r="4147" customFormat="false" ht="15" hidden="false" customHeight="false" outlineLevel="0" collapsed="false">
      <c r="A4147" s="4" t="str">
        <f aca="false">B4147&amp;"|"&amp;C4147</f>
        <v>tdbR00000038 Asp-GUC|34</v>
      </c>
      <c r="B4147" s="4" t="s">
        <v>94</v>
      </c>
      <c r="C4147" s="4" t="s">
        <v>454</v>
      </c>
      <c r="D4147" s="4" t="n">
        <v>34</v>
      </c>
      <c r="E4147" s="19" t="s">
        <v>197</v>
      </c>
      <c r="F4147" s="20" t="s">
        <v>452</v>
      </c>
    </row>
    <row r="4148" customFormat="false" ht="15" hidden="false" customHeight="false" outlineLevel="0" collapsed="false">
      <c r="A4148" s="4" t="str">
        <f aca="false">B4148&amp;"|"&amp;C4148</f>
        <v>tdbR00000038 Asp-GUC|35</v>
      </c>
      <c r="B4148" s="4" t="s">
        <v>94</v>
      </c>
      <c r="C4148" s="4" t="s">
        <v>455</v>
      </c>
      <c r="D4148" s="4" t="n">
        <v>35</v>
      </c>
      <c r="E4148" s="19" t="s">
        <v>259</v>
      </c>
      <c r="F4148" s="20" t="s">
        <v>452</v>
      </c>
    </row>
    <row r="4149" customFormat="false" ht="15" hidden="false" customHeight="false" outlineLevel="0" collapsed="false">
      <c r="A4149" s="4" t="str">
        <f aca="false">B4149&amp;"|"&amp;C4149</f>
        <v>tdbR00000038 Asp-GUC|36</v>
      </c>
      <c r="B4149" s="4" t="s">
        <v>94</v>
      </c>
      <c r="C4149" s="4" t="s">
        <v>456</v>
      </c>
      <c r="D4149" s="4" t="n">
        <v>36</v>
      </c>
      <c r="E4149" s="19" t="s">
        <v>414</v>
      </c>
      <c r="F4149" s="20" t="s">
        <v>452</v>
      </c>
    </row>
    <row r="4150" customFormat="false" ht="15" hidden="false" customHeight="false" outlineLevel="0" collapsed="false">
      <c r="A4150" s="4" t="str">
        <f aca="false">B4150&amp;"|"&amp;C4150</f>
        <v>tdbR00000038 Asp-GUC|37</v>
      </c>
      <c r="B4150" s="4" t="s">
        <v>94</v>
      </c>
      <c r="C4150" s="4" t="s">
        <v>457</v>
      </c>
      <c r="D4150" s="4" t="n">
        <v>37</v>
      </c>
      <c r="E4150" s="19" t="s">
        <v>246</v>
      </c>
      <c r="F4150" s="20" t="s">
        <v>452</v>
      </c>
    </row>
    <row r="4151" customFormat="false" ht="15" hidden="false" customHeight="false" outlineLevel="0" collapsed="false">
      <c r="A4151" s="4" t="str">
        <f aca="false">B4151&amp;"|"&amp;C4151</f>
        <v>tdbR00000038 Asp-GUC|38</v>
      </c>
      <c r="B4151" s="4" t="s">
        <v>94</v>
      </c>
      <c r="C4151" s="4" t="s">
        <v>458</v>
      </c>
      <c r="D4151" s="4" t="n">
        <v>38</v>
      </c>
      <c r="E4151" s="19" t="s">
        <v>414</v>
      </c>
      <c r="F4151" s="20" t="s">
        <v>452</v>
      </c>
    </row>
    <row r="4152" customFormat="false" ht="15" hidden="false" customHeight="false" outlineLevel="0" collapsed="false">
      <c r="A4152" s="4" t="str">
        <f aca="false">B4152&amp;"|"&amp;C4152</f>
        <v>tdbR00000038 Asp-GUC|39</v>
      </c>
      <c r="B4152" s="4" t="s">
        <v>94</v>
      </c>
      <c r="C4152" s="4" t="s">
        <v>459</v>
      </c>
      <c r="D4152" s="4" t="n">
        <v>39</v>
      </c>
      <c r="E4152" s="21" t="s">
        <v>197</v>
      </c>
      <c r="F4152" s="22" t="s">
        <v>446</v>
      </c>
    </row>
    <row r="4153" customFormat="false" ht="15" hidden="false" customHeight="false" outlineLevel="0" collapsed="false">
      <c r="A4153" s="4" t="str">
        <f aca="false">B4153&amp;"|"&amp;C4153</f>
        <v>tdbR00000038 Asp-GUC|40</v>
      </c>
      <c r="B4153" s="4" t="s">
        <v>94</v>
      </c>
      <c r="C4153" s="4" t="s">
        <v>460</v>
      </c>
      <c r="D4153" s="4" t="n">
        <v>40</v>
      </c>
      <c r="E4153" s="21" t="s">
        <v>414</v>
      </c>
      <c r="F4153" s="22" t="s">
        <v>446</v>
      </c>
    </row>
    <row r="4154" customFormat="false" ht="15" hidden="false" customHeight="false" outlineLevel="0" collapsed="false">
      <c r="A4154" s="4" t="str">
        <f aca="false">B4154&amp;"|"&amp;C4154</f>
        <v>tdbR00000038 Asp-GUC|41</v>
      </c>
      <c r="B4154" s="4" t="s">
        <v>94</v>
      </c>
      <c r="C4154" s="4" t="s">
        <v>461</v>
      </c>
      <c r="D4154" s="4" t="n">
        <v>41</v>
      </c>
      <c r="E4154" s="21" t="s">
        <v>197</v>
      </c>
      <c r="F4154" s="22" t="s">
        <v>446</v>
      </c>
    </row>
    <row r="4155" customFormat="false" ht="15" hidden="false" customHeight="false" outlineLevel="0" collapsed="false">
      <c r="A4155" s="4" t="str">
        <f aca="false">B4155&amp;"|"&amp;C4155</f>
        <v>tdbR00000038 Asp-GUC|42</v>
      </c>
      <c r="B4155" s="4" t="s">
        <v>94</v>
      </c>
      <c r="C4155" s="4" t="s">
        <v>462</v>
      </c>
      <c r="D4155" s="4" t="n">
        <v>42</v>
      </c>
      <c r="E4155" s="21" t="s">
        <v>197</v>
      </c>
      <c r="F4155" s="22" t="s">
        <v>446</v>
      </c>
    </row>
    <row r="4156" customFormat="false" ht="15" hidden="false" customHeight="false" outlineLevel="0" collapsed="false">
      <c r="A4156" s="4" t="str">
        <f aca="false">B4156&amp;"|"&amp;C4156</f>
        <v>tdbR00000038 Asp-GUC|43</v>
      </c>
      <c r="B4156" s="4" t="s">
        <v>94</v>
      </c>
      <c r="C4156" s="4" t="s">
        <v>463</v>
      </c>
      <c r="D4156" s="4" t="n">
        <v>43</v>
      </c>
      <c r="E4156" s="21" t="s">
        <v>197</v>
      </c>
      <c r="F4156" s="22" t="s">
        <v>446</v>
      </c>
    </row>
    <row r="4157" customFormat="false" ht="15" hidden="false" customHeight="false" outlineLevel="0" collapsed="false">
      <c r="A4157" s="4" t="str">
        <f aca="false">B4157&amp;"|"&amp;C4157</f>
        <v>tdbR00000038 Asp-GUC|44</v>
      </c>
      <c r="B4157" s="4" t="s">
        <v>94</v>
      </c>
      <c r="C4157" s="4" t="s">
        <v>464</v>
      </c>
      <c r="D4157" s="4" t="n">
        <v>44</v>
      </c>
      <c r="E4157" s="19" t="s">
        <v>246</v>
      </c>
      <c r="F4157" s="20" t="s">
        <v>465</v>
      </c>
    </row>
    <row r="4158" customFormat="false" ht="15" hidden="false" customHeight="false" outlineLevel="0" collapsed="false">
      <c r="A4158" s="4" t="str">
        <f aca="false">B4158&amp;"|"&amp;C4158</f>
        <v>tdbR00000038 Asp-GUC|45</v>
      </c>
      <c r="B4158" s="4" t="s">
        <v>94</v>
      </c>
      <c r="C4158" s="4" t="s">
        <v>466</v>
      </c>
      <c r="D4158" s="4" t="n">
        <v>45</v>
      </c>
      <c r="E4158" s="19" t="s">
        <v>197</v>
      </c>
      <c r="F4158" s="20" t="s">
        <v>465</v>
      </c>
    </row>
    <row r="4159" customFormat="false" ht="15" hidden="false" customHeight="false" outlineLevel="0" collapsed="false">
      <c r="A4159" s="4" t="str">
        <f aca="false">B4159&amp;"|"&amp;C4159</f>
        <v>tdbR00000038 Asp-GUC|46</v>
      </c>
      <c r="B4159" s="4" t="s">
        <v>94</v>
      </c>
      <c r="C4159" s="4" t="s">
        <v>467</v>
      </c>
      <c r="D4159" s="4" t="n">
        <v>46</v>
      </c>
      <c r="E4159" s="19" t="s">
        <v>246</v>
      </c>
      <c r="F4159" s="20" t="s">
        <v>465</v>
      </c>
    </row>
    <row r="4160" customFormat="false" ht="15" hidden="false" customHeight="false" outlineLevel="0" collapsed="false">
      <c r="A4160" s="4" t="str">
        <f aca="false">B4160&amp;"|"&amp;C4160</f>
        <v>tdbR00000038 Asp-GUC|48</v>
      </c>
      <c r="B4160" s="4" t="s">
        <v>94</v>
      </c>
      <c r="C4160" s="4" t="s">
        <v>469</v>
      </c>
      <c r="D4160" s="4" t="n">
        <v>47</v>
      </c>
      <c r="E4160" s="19" t="s">
        <v>414</v>
      </c>
      <c r="F4160" s="20" t="s">
        <v>465</v>
      </c>
    </row>
    <row r="4161" customFormat="false" ht="15" hidden="false" customHeight="false" outlineLevel="0" collapsed="false">
      <c r="A4161" s="4" t="str">
        <f aca="false">B4161&amp;"|"&amp;C4161</f>
        <v>tdbR00000038 Asp-GUC|49</v>
      </c>
      <c r="B4161" s="4" t="s">
        <v>94</v>
      </c>
      <c r="C4161" s="4" t="s">
        <v>470</v>
      </c>
      <c r="D4161" s="4" t="n">
        <v>48</v>
      </c>
      <c r="E4161" s="23" t="s">
        <v>414</v>
      </c>
      <c r="F4161" s="10" t="s">
        <v>471</v>
      </c>
    </row>
    <row r="4162" customFormat="false" ht="15" hidden="false" customHeight="false" outlineLevel="0" collapsed="false">
      <c r="A4162" s="4" t="str">
        <f aca="false">B4162&amp;"|"&amp;C4162</f>
        <v>tdbR00000038 Asp-GUC|50</v>
      </c>
      <c r="B4162" s="4" t="s">
        <v>94</v>
      </c>
      <c r="C4162" s="4" t="s">
        <v>472</v>
      </c>
      <c r="D4162" s="4" t="n">
        <v>49</v>
      </c>
      <c r="E4162" s="23" t="s">
        <v>197</v>
      </c>
      <c r="F4162" s="10" t="s">
        <v>471</v>
      </c>
    </row>
    <row r="4163" customFormat="false" ht="15" hidden="false" customHeight="false" outlineLevel="0" collapsed="false">
      <c r="A4163" s="4" t="str">
        <f aca="false">B4163&amp;"|"&amp;C4163</f>
        <v>tdbR00000038 Asp-GUC|51</v>
      </c>
      <c r="B4163" s="4" t="s">
        <v>94</v>
      </c>
      <c r="C4163" s="4" t="s">
        <v>473</v>
      </c>
      <c r="D4163" s="4" t="n">
        <v>50</v>
      </c>
      <c r="E4163" s="23" t="s">
        <v>197</v>
      </c>
      <c r="F4163" s="10" t="s">
        <v>471</v>
      </c>
    </row>
    <row r="4164" customFormat="false" ht="15" hidden="false" customHeight="false" outlineLevel="0" collapsed="false">
      <c r="A4164" s="4" t="str">
        <f aca="false">B4164&amp;"|"&amp;C4164</f>
        <v>tdbR00000038 Asp-GUC|52</v>
      </c>
      <c r="B4164" s="4" t="s">
        <v>94</v>
      </c>
      <c r="C4164" s="4" t="s">
        <v>474</v>
      </c>
      <c r="D4164" s="4" t="n">
        <v>51</v>
      </c>
      <c r="E4164" s="23" t="s">
        <v>197</v>
      </c>
      <c r="F4164" s="10" t="s">
        <v>471</v>
      </c>
    </row>
    <row r="4165" customFormat="false" ht="15" hidden="false" customHeight="false" outlineLevel="0" collapsed="false">
      <c r="A4165" s="4" t="str">
        <f aca="false">B4165&amp;"|"&amp;C4165</f>
        <v>tdbR00000038 Asp-GUC|53</v>
      </c>
      <c r="B4165" s="4" t="s">
        <v>94</v>
      </c>
      <c r="C4165" s="4" t="s">
        <v>475</v>
      </c>
      <c r="D4165" s="4" t="n">
        <v>52</v>
      </c>
      <c r="E4165" s="23" t="s">
        <v>197</v>
      </c>
      <c r="F4165" s="10" t="s">
        <v>471</v>
      </c>
    </row>
    <row r="4166" customFormat="false" ht="15" hidden="false" customHeight="false" outlineLevel="0" collapsed="false">
      <c r="A4166" s="4" t="str">
        <f aca="false">B4166&amp;"|"&amp;C4166</f>
        <v>tdbR00000038 Asp-GUC|54</v>
      </c>
      <c r="B4166" s="4" t="s">
        <v>94</v>
      </c>
      <c r="C4166" s="4" t="s">
        <v>476</v>
      </c>
      <c r="D4166" s="4" t="n">
        <v>53</v>
      </c>
      <c r="E4166" s="19" t="s">
        <v>259</v>
      </c>
      <c r="F4166" s="20" t="s">
        <v>477</v>
      </c>
    </row>
    <row r="4167" customFormat="false" ht="15" hidden="false" customHeight="false" outlineLevel="0" collapsed="false">
      <c r="A4167" s="4" t="str">
        <f aca="false">B4167&amp;"|"&amp;C4167</f>
        <v>tdbR00000038 Asp-GUC|55</v>
      </c>
      <c r="B4167" s="4" t="s">
        <v>94</v>
      </c>
      <c r="C4167" s="4" t="s">
        <v>478</v>
      </c>
      <c r="D4167" s="4" t="n">
        <v>54</v>
      </c>
      <c r="E4167" s="19" t="s">
        <v>259</v>
      </c>
      <c r="F4167" s="20" t="s">
        <v>477</v>
      </c>
    </row>
    <row r="4168" customFormat="false" ht="15" hidden="false" customHeight="false" outlineLevel="0" collapsed="false">
      <c r="A4168" s="4" t="str">
        <f aca="false">B4168&amp;"|"&amp;C4168</f>
        <v>tdbR00000038 Asp-GUC|56</v>
      </c>
      <c r="B4168" s="4" t="s">
        <v>94</v>
      </c>
      <c r="C4168" s="4" t="s">
        <v>479</v>
      </c>
      <c r="D4168" s="4" t="n">
        <v>55</v>
      </c>
      <c r="E4168" s="19" t="s">
        <v>414</v>
      </c>
      <c r="F4168" s="20" t="s">
        <v>477</v>
      </c>
    </row>
    <row r="4169" customFormat="false" ht="15" hidden="false" customHeight="false" outlineLevel="0" collapsed="false">
      <c r="A4169" s="4" t="str">
        <f aca="false">B4169&amp;"|"&amp;C4169</f>
        <v>tdbR00000038 Asp-GUC|57</v>
      </c>
      <c r="B4169" s="4" t="s">
        <v>94</v>
      </c>
      <c r="C4169" s="4" t="s">
        <v>480</v>
      </c>
      <c r="D4169" s="4" t="n">
        <v>56</v>
      </c>
      <c r="E4169" s="19" t="s">
        <v>197</v>
      </c>
      <c r="F4169" s="20" t="s">
        <v>477</v>
      </c>
    </row>
    <row r="4170" customFormat="false" ht="15" hidden="false" customHeight="false" outlineLevel="0" collapsed="false">
      <c r="A4170" s="4" t="str">
        <f aca="false">B4170&amp;"|"&amp;C4170</f>
        <v>tdbR00000038 Asp-GUC|58</v>
      </c>
      <c r="B4170" s="4" t="s">
        <v>94</v>
      </c>
      <c r="C4170" s="4" t="s">
        <v>481</v>
      </c>
      <c r="D4170" s="4" t="n">
        <v>57</v>
      </c>
      <c r="E4170" s="19" t="s">
        <v>246</v>
      </c>
      <c r="F4170" s="20" t="s">
        <v>477</v>
      </c>
    </row>
    <row r="4171" customFormat="false" ht="15" hidden="false" customHeight="false" outlineLevel="0" collapsed="false">
      <c r="A4171" s="4" t="str">
        <f aca="false">B4171&amp;"|"&amp;C4171</f>
        <v>tdbR00000038 Asp-GUC|59</v>
      </c>
      <c r="B4171" s="4" t="s">
        <v>94</v>
      </c>
      <c r="C4171" s="4" t="s">
        <v>482</v>
      </c>
      <c r="D4171" s="4" t="n">
        <v>58</v>
      </c>
      <c r="E4171" s="19" t="s">
        <v>259</v>
      </c>
      <c r="F4171" s="20" t="s">
        <v>477</v>
      </c>
    </row>
    <row r="4172" customFormat="false" ht="15" hidden="false" customHeight="false" outlineLevel="0" collapsed="false">
      <c r="A4172" s="4" t="str">
        <f aca="false">B4172&amp;"|"&amp;C4172</f>
        <v>tdbR00000038 Asp-GUC|60</v>
      </c>
      <c r="B4172" s="4" t="s">
        <v>94</v>
      </c>
      <c r="C4172" s="4" t="s">
        <v>483</v>
      </c>
      <c r="D4172" s="4" t="n">
        <v>59</v>
      </c>
      <c r="E4172" s="19" t="s">
        <v>259</v>
      </c>
      <c r="F4172" s="20" t="s">
        <v>477</v>
      </c>
    </row>
    <row r="4173" customFormat="false" ht="15" hidden="false" customHeight="false" outlineLevel="0" collapsed="false">
      <c r="A4173" s="4" t="str">
        <f aca="false">B4173&amp;"|"&amp;C4173</f>
        <v>tdbR00000038 Asp-GUC|61</v>
      </c>
      <c r="B4173" s="4" t="s">
        <v>94</v>
      </c>
      <c r="C4173" s="4" t="s">
        <v>484</v>
      </c>
      <c r="D4173" s="4" t="n">
        <v>60</v>
      </c>
      <c r="E4173" s="23" t="s">
        <v>414</v>
      </c>
      <c r="F4173" s="10" t="s">
        <v>471</v>
      </c>
    </row>
    <row r="4174" customFormat="false" ht="15" hidden="false" customHeight="false" outlineLevel="0" collapsed="false">
      <c r="A4174" s="4" t="str">
        <f aca="false">B4174&amp;"|"&amp;C4174</f>
        <v>tdbR00000038 Asp-GUC|62</v>
      </c>
      <c r="B4174" s="4" t="s">
        <v>94</v>
      </c>
      <c r="C4174" s="4" t="s">
        <v>485</v>
      </c>
      <c r="D4174" s="4" t="n">
        <v>61</v>
      </c>
      <c r="E4174" s="23" t="s">
        <v>414</v>
      </c>
      <c r="F4174" s="10" t="s">
        <v>471</v>
      </c>
    </row>
    <row r="4175" customFormat="false" ht="15" hidden="false" customHeight="false" outlineLevel="0" collapsed="false">
      <c r="A4175" s="4" t="str">
        <f aca="false">B4175&amp;"|"&amp;C4175</f>
        <v>tdbR00000038 Asp-GUC|63</v>
      </c>
      <c r="B4175" s="4" t="s">
        <v>94</v>
      </c>
      <c r="C4175" s="4" t="s">
        <v>486</v>
      </c>
      <c r="D4175" s="4" t="n">
        <v>62</v>
      </c>
      <c r="E4175" s="23" t="s">
        <v>414</v>
      </c>
      <c r="F4175" s="10" t="s">
        <v>471</v>
      </c>
    </row>
    <row r="4176" customFormat="false" ht="15" hidden="false" customHeight="false" outlineLevel="0" collapsed="false">
      <c r="A4176" s="4" t="str">
        <f aca="false">B4176&amp;"|"&amp;C4176</f>
        <v>tdbR00000038 Asp-GUC|64</v>
      </c>
      <c r="B4176" s="4" t="s">
        <v>94</v>
      </c>
      <c r="C4176" s="4" t="s">
        <v>487</v>
      </c>
      <c r="D4176" s="4" t="n">
        <v>63</v>
      </c>
      <c r="E4176" s="23" t="s">
        <v>414</v>
      </c>
      <c r="F4176" s="10" t="s">
        <v>471</v>
      </c>
    </row>
    <row r="4177" customFormat="false" ht="15" hidden="false" customHeight="false" outlineLevel="0" collapsed="false">
      <c r="A4177" s="4" t="str">
        <f aca="false">B4177&amp;"|"&amp;C4177</f>
        <v>tdbR00000038 Asp-GUC|65</v>
      </c>
      <c r="B4177" s="4" t="s">
        <v>94</v>
      </c>
      <c r="C4177" s="4" t="s">
        <v>488</v>
      </c>
      <c r="D4177" s="4" t="n">
        <v>64</v>
      </c>
      <c r="E4177" s="23" t="s">
        <v>197</v>
      </c>
      <c r="F4177" s="10" t="s">
        <v>471</v>
      </c>
    </row>
    <row r="4178" customFormat="false" ht="15" hidden="false" customHeight="false" outlineLevel="0" collapsed="false">
      <c r="A4178" s="4" t="str">
        <f aca="false">B4178&amp;"|"&amp;C4178</f>
        <v>tdbR00000038 Asp-GUC|66</v>
      </c>
      <c r="B4178" s="4" t="s">
        <v>94</v>
      </c>
      <c r="C4178" s="4" t="s">
        <v>489</v>
      </c>
      <c r="D4178" s="4" t="n">
        <v>65</v>
      </c>
      <c r="E4178" s="17" t="s">
        <v>246</v>
      </c>
      <c r="F4178" s="18" t="s">
        <v>412</v>
      </c>
    </row>
    <row r="4179" customFormat="false" ht="15" hidden="false" customHeight="false" outlineLevel="0" collapsed="false">
      <c r="A4179" s="4" t="str">
        <f aca="false">B4179&amp;"|"&amp;C4179</f>
        <v>tdbR00000038 Asp-GUC|67</v>
      </c>
      <c r="B4179" s="4" t="s">
        <v>94</v>
      </c>
      <c r="C4179" s="4" t="s">
        <v>490</v>
      </c>
      <c r="D4179" s="4" t="n">
        <v>66</v>
      </c>
      <c r="E4179" s="17" t="s">
        <v>414</v>
      </c>
      <c r="F4179" s="18" t="s">
        <v>412</v>
      </c>
    </row>
    <row r="4180" customFormat="false" ht="15" hidden="false" customHeight="false" outlineLevel="0" collapsed="false">
      <c r="A4180" s="4" t="str">
        <f aca="false">B4180&amp;"|"&amp;C4180</f>
        <v>tdbR00000038 Asp-GUC|68</v>
      </c>
      <c r="B4180" s="4" t="s">
        <v>94</v>
      </c>
      <c r="C4180" s="4" t="s">
        <v>491</v>
      </c>
      <c r="D4180" s="4" t="n">
        <v>67</v>
      </c>
      <c r="E4180" s="17" t="s">
        <v>197</v>
      </c>
      <c r="F4180" s="18" t="s">
        <v>412</v>
      </c>
    </row>
    <row r="4181" customFormat="false" ht="15" hidden="false" customHeight="false" outlineLevel="0" collapsed="false">
      <c r="A4181" s="4" t="str">
        <f aca="false">B4181&amp;"|"&amp;C4181</f>
        <v>tdbR00000038 Asp-GUC|69</v>
      </c>
      <c r="B4181" s="4" t="s">
        <v>94</v>
      </c>
      <c r="C4181" s="4" t="s">
        <v>492</v>
      </c>
      <c r="D4181" s="4" t="n">
        <v>68</v>
      </c>
      <c r="E4181" s="17" t="s">
        <v>197</v>
      </c>
      <c r="F4181" s="18" t="s">
        <v>412</v>
      </c>
    </row>
    <row r="4182" customFormat="false" ht="15" hidden="false" customHeight="false" outlineLevel="0" collapsed="false">
      <c r="A4182" s="4" t="str">
        <f aca="false">B4182&amp;"|"&amp;C4182</f>
        <v>tdbR00000038 Asp-GUC|70</v>
      </c>
      <c r="B4182" s="4" t="s">
        <v>94</v>
      </c>
      <c r="C4182" s="4" t="s">
        <v>493</v>
      </c>
      <c r="D4182" s="4" t="n">
        <v>69</v>
      </c>
      <c r="E4182" s="17" t="s">
        <v>197</v>
      </c>
      <c r="F4182" s="18" t="s">
        <v>412</v>
      </c>
    </row>
    <row r="4183" customFormat="false" ht="15" hidden="false" customHeight="false" outlineLevel="0" collapsed="false">
      <c r="A4183" s="4" t="str">
        <f aca="false">B4183&amp;"|"&amp;C4183</f>
        <v>tdbR00000038 Asp-GUC|71</v>
      </c>
      <c r="B4183" s="4" t="s">
        <v>94</v>
      </c>
      <c r="C4183" s="4" t="s">
        <v>494</v>
      </c>
      <c r="D4183" s="4" t="n">
        <v>70</v>
      </c>
      <c r="E4183" s="17" t="s">
        <v>197</v>
      </c>
      <c r="F4183" s="18" t="s">
        <v>412</v>
      </c>
    </row>
    <row r="4184" customFormat="false" ht="15" hidden="false" customHeight="false" outlineLevel="0" collapsed="false">
      <c r="A4184" s="4" t="str">
        <f aca="false">B4184&amp;"|"&amp;C4184</f>
        <v>tdbR00000038 Asp-GUC|72</v>
      </c>
      <c r="B4184" s="4" t="s">
        <v>94</v>
      </c>
      <c r="C4184" s="4" t="s">
        <v>495</v>
      </c>
      <c r="D4184" s="4" t="n">
        <v>71</v>
      </c>
      <c r="E4184" s="17" t="s">
        <v>246</v>
      </c>
      <c r="F4184" s="18" t="s">
        <v>412</v>
      </c>
    </row>
    <row r="4185" customFormat="false" ht="15" hidden="false" customHeight="false" outlineLevel="0" collapsed="false">
      <c r="A4185" s="4" t="str">
        <f aca="false">B4185&amp;"|"&amp;C4185</f>
        <v>tdbR00000341 Gln-CUG|1</v>
      </c>
      <c r="B4185" s="4" t="s">
        <v>95</v>
      </c>
      <c r="C4185" s="4" t="s">
        <v>411</v>
      </c>
      <c r="D4185" s="4" t="n">
        <v>1</v>
      </c>
      <c r="E4185" s="17" t="s">
        <v>197</v>
      </c>
      <c r="F4185" s="18" t="s">
        <v>412</v>
      </c>
    </row>
    <row r="4186" customFormat="false" ht="15" hidden="false" customHeight="false" outlineLevel="0" collapsed="false">
      <c r="A4186" s="4" t="str">
        <f aca="false">B4186&amp;"|"&amp;C4186</f>
        <v>tdbR00000341 Gln-CUG|2</v>
      </c>
      <c r="B4186" s="4" t="s">
        <v>95</v>
      </c>
      <c r="C4186" s="4" t="s">
        <v>413</v>
      </c>
      <c r="D4186" s="4" t="n">
        <v>2</v>
      </c>
      <c r="E4186" s="17" t="s">
        <v>197</v>
      </c>
      <c r="F4186" s="18" t="s">
        <v>412</v>
      </c>
    </row>
    <row r="4187" customFormat="false" ht="15" hidden="false" customHeight="false" outlineLevel="0" collapsed="false">
      <c r="A4187" s="4" t="str">
        <f aca="false">B4187&amp;"|"&amp;C4187</f>
        <v>tdbR00000341 Gln-CUG|3</v>
      </c>
      <c r="B4187" s="4" t="s">
        <v>95</v>
      </c>
      <c r="C4187" s="4" t="s">
        <v>415</v>
      </c>
      <c r="D4187" s="4" t="n">
        <v>3</v>
      </c>
      <c r="E4187" s="17" t="s">
        <v>259</v>
      </c>
      <c r="F4187" s="18" t="s">
        <v>412</v>
      </c>
    </row>
    <row r="4188" customFormat="false" ht="15" hidden="false" customHeight="false" outlineLevel="0" collapsed="false">
      <c r="A4188" s="4" t="str">
        <f aca="false">B4188&amp;"|"&amp;C4188</f>
        <v>tdbR00000341 Gln-CUG|4</v>
      </c>
      <c r="B4188" s="4" t="s">
        <v>95</v>
      </c>
      <c r="C4188" s="4" t="s">
        <v>416</v>
      </c>
      <c r="D4188" s="4" t="n">
        <v>4</v>
      </c>
      <c r="E4188" s="17" t="s">
        <v>259</v>
      </c>
      <c r="F4188" s="18" t="s">
        <v>412</v>
      </c>
    </row>
    <row r="4189" customFormat="false" ht="15" hidden="false" customHeight="false" outlineLevel="0" collapsed="false">
      <c r="A4189" s="4" t="str">
        <f aca="false">B4189&amp;"|"&amp;C4189</f>
        <v>tdbR00000341 Gln-CUG|5</v>
      </c>
      <c r="B4189" s="4" t="s">
        <v>95</v>
      </c>
      <c r="C4189" s="4" t="s">
        <v>417</v>
      </c>
      <c r="D4189" s="4" t="n">
        <v>5</v>
      </c>
      <c r="E4189" s="17" t="s">
        <v>414</v>
      </c>
      <c r="F4189" s="18" t="s">
        <v>412</v>
      </c>
    </row>
    <row r="4190" customFormat="false" ht="15" hidden="false" customHeight="false" outlineLevel="0" collapsed="false">
      <c r="A4190" s="4" t="str">
        <f aca="false">B4190&amp;"|"&amp;C4190</f>
        <v>tdbR00000341 Gln-CUG|6</v>
      </c>
      <c r="B4190" s="4" t="s">
        <v>95</v>
      </c>
      <c r="C4190" s="4" t="s">
        <v>418</v>
      </c>
      <c r="D4190" s="4" t="n">
        <v>6</v>
      </c>
      <c r="E4190" s="17" t="s">
        <v>414</v>
      </c>
      <c r="F4190" s="18" t="s">
        <v>412</v>
      </c>
    </row>
    <row r="4191" customFormat="false" ht="15" hidden="false" customHeight="false" outlineLevel="0" collapsed="false">
      <c r="A4191" s="4" t="str">
        <f aca="false">B4191&amp;"|"&amp;C4191</f>
        <v>tdbR00000341 Gln-CUG|7</v>
      </c>
      <c r="B4191" s="4" t="s">
        <v>95</v>
      </c>
      <c r="C4191" s="4" t="s">
        <v>419</v>
      </c>
      <c r="D4191" s="4" t="n">
        <v>7</v>
      </c>
      <c r="E4191" s="17" t="s">
        <v>246</v>
      </c>
      <c r="F4191" s="18" t="s">
        <v>412</v>
      </c>
    </row>
    <row r="4192" customFormat="false" ht="15" hidden="false" customHeight="false" outlineLevel="0" collapsed="false">
      <c r="A4192" s="4" t="str">
        <f aca="false">B4192&amp;"|"&amp;C4192</f>
        <v>tdbR00000341 Gln-CUG|8</v>
      </c>
      <c r="B4192" s="4" t="s">
        <v>95</v>
      </c>
      <c r="C4192" s="4" t="s">
        <v>420</v>
      </c>
      <c r="D4192" s="4" t="n">
        <v>8</v>
      </c>
      <c r="E4192" s="3" t="s">
        <v>259</v>
      </c>
      <c r="F4192" s="4" t="s">
        <v>421</v>
      </c>
    </row>
    <row r="4193" customFormat="false" ht="15" hidden="false" customHeight="false" outlineLevel="0" collapsed="false">
      <c r="A4193" s="4" t="str">
        <f aca="false">B4193&amp;"|"&amp;C4193</f>
        <v>tdbR00000341 Gln-CUG|9</v>
      </c>
      <c r="B4193" s="4" t="s">
        <v>95</v>
      </c>
      <c r="C4193" s="4" t="s">
        <v>422</v>
      </c>
      <c r="D4193" s="4" t="n">
        <v>9</v>
      </c>
      <c r="E4193" s="3" t="s">
        <v>197</v>
      </c>
      <c r="F4193" s="4" t="s">
        <v>423</v>
      </c>
    </row>
    <row r="4194" customFormat="false" ht="15" hidden="false" customHeight="false" outlineLevel="0" collapsed="false">
      <c r="A4194" s="4" t="str">
        <f aca="false">B4194&amp;"|"&amp;C4194</f>
        <v>tdbR00000341 Gln-CUG|10</v>
      </c>
      <c r="B4194" s="4" t="s">
        <v>95</v>
      </c>
      <c r="C4194" s="4" t="s">
        <v>424</v>
      </c>
      <c r="D4194" s="4" t="n">
        <v>10</v>
      </c>
      <c r="E4194" s="8" t="s">
        <v>197</v>
      </c>
      <c r="F4194" s="7" t="s">
        <v>425</v>
      </c>
    </row>
    <row r="4195" customFormat="false" ht="15" hidden="false" customHeight="false" outlineLevel="0" collapsed="false">
      <c r="A4195" s="4" t="str">
        <f aca="false">B4195&amp;"|"&amp;C4195</f>
        <v>tdbR00000341 Gln-CUG|11</v>
      </c>
      <c r="B4195" s="4" t="s">
        <v>95</v>
      </c>
      <c r="C4195" s="4" t="s">
        <v>426</v>
      </c>
      <c r="D4195" s="4" t="n">
        <v>11</v>
      </c>
      <c r="E4195" s="8" t="s">
        <v>259</v>
      </c>
      <c r="F4195" s="7" t="s">
        <v>425</v>
      </c>
    </row>
    <row r="4196" customFormat="false" ht="15" hidden="false" customHeight="false" outlineLevel="0" collapsed="false">
      <c r="A4196" s="4" t="str">
        <f aca="false">B4196&amp;"|"&amp;C4196</f>
        <v>tdbR00000341 Gln-CUG|12</v>
      </c>
      <c r="B4196" s="4" t="s">
        <v>95</v>
      </c>
      <c r="C4196" s="4" t="s">
        <v>427</v>
      </c>
      <c r="D4196" s="4" t="n">
        <v>12</v>
      </c>
      <c r="E4196" s="8" t="s">
        <v>197</v>
      </c>
      <c r="F4196" s="7" t="s">
        <v>425</v>
      </c>
    </row>
    <row r="4197" customFormat="false" ht="15" hidden="false" customHeight="false" outlineLevel="0" collapsed="false">
      <c r="A4197" s="4" t="str">
        <f aca="false">B4197&amp;"|"&amp;C4197</f>
        <v>tdbR00000341 Gln-CUG|13</v>
      </c>
      <c r="B4197" s="4" t="s">
        <v>95</v>
      </c>
      <c r="C4197" s="4" t="s">
        <v>428</v>
      </c>
      <c r="D4197" s="4" t="n">
        <v>13</v>
      </c>
      <c r="E4197" s="8" t="s">
        <v>259</v>
      </c>
      <c r="F4197" s="7" t="s">
        <v>425</v>
      </c>
    </row>
    <row r="4198" customFormat="false" ht="15" hidden="false" customHeight="false" outlineLevel="0" collapsed="false">
      <c r="A4198" s="4" t="str">
        <f aca="false">B4198&amp;"|"&amp;C4198</f>
        <v>tdbR00000341 Gln-CUG|14</v>
      </c>
      <c r="B4198" s="4" t="s">
        <v>95</v>
      </c>
      <c r="C4198" s="4" t="s">
        <v>429</v>
      </c>
      <c r="D4198" s="4" t="n">
        <v>14</v>
      </c>
      <c r="E4198" s="19" t="s">
        <v>246</v>
      </c>
      <c r="F4198" s="20" t="s">
        <v>430</v>
      </c>
    </row>
    <row r="4199" customFormat="false" ht="15" hidden="false" customHeight="false" outlineLevel="0" collapsed="false">
      <c r="A4199" s="4" t="str">
        <f aca="false">B4199&amp;"|"&amp;C4199</f>
        <v>tdbR00000341 Gln-CUG|15</v>
      </c>
      <c r="B4199" s="4" t="s">
        <v>95</v>
      </c>
      <c r="C4199" s="4" t="s">
        <v>431</v>
      </c>
      <c r="D4199" s="4" t="n">
        <v>15</v>
      </c>
      <c r="E4199" s="19" t="s">
        <v>246</v>
      </c>
      <c r="F4199" s="20" t="s">
        <v>430</v>
      </c>
    </row>
    <row r="4200" customFormat="false" ht="15" hidden="false" customHeight="false" outlineLevel="0" collapsed="false">
      <c r="A4200" s="4" t="str">
        <f aca="false">B4200&amp;"|"&amp;C4200</f>
        <v>tdbR00000341 Gln-CUG|16</v>
      </c>
      <c r="B4200" s="4" t="s">
        <v>95</v>
      </c>
      <c r="C4200" s="4" t="s">
        <v>432</v>
      </c>
      <c r="D4200" s="4" t="n">
        <v>16</v>
      </c>
      <c r="E4200" s="19" t="s">
        <v>259</v>
      </c>
      <c r="F4200" s="20" t="s">
        <v>430</v>
      </c>
    </row>
    <row r="4201" customFormat="false" ht="15" hidden="false" customHeight="false" outlineLevel="0" collapsed="false">
      <c r="A4201" s="4" t="str">
        <f aca="false">B4201&amp;"|"&amp;C4201</f>
        <v>tdbR00000341 Gln-CUG|18</v>
      </c>
      <c r="B4201" s="4" t="s">
        <v>95</v>
      </c>
      <c r="C4201" s="4" t="s">
        <v>434</v>
      </c>
      <c r="D4201" s="4" t="n">
        <v>17</v>
      </c>
      <c r="E4201" s="19" t="s">
        <v>197</v>
      </c>
      <c r="F4201" s="20" t="s">
        <v>430</v>
      </c>
    </row>
    <row r="4202" customFormat="false" ht="15" hidden="false" customHeight="false" outlineLevel="0" collapsed="false">
      <c r="A4202" s="4" t="str">
        <f aca="false">B4202&amp;"|"&amp;C4202</f>
        <v>tdbR00000341 Gln-CUG|19</v>
      </c>
      <c r="B4202" s="4" t="s">
        <v>95</v>
      </c>
      <c r="C4202" s="4" t="s">
        <v>435</v>
      </c>
      <c r="D4202" s="4" t="n">
        <v>18</v>
      </c>
      <c r="E4202" s="19" t="s">
        <v>197</v>
      </c>
      <c r="F4202" s="20" t="s">
        <v>430</v>
      </c>
    </row>
    <row r="4203" customFormat="false" ht="15" hidden="false" customHeight="false" outlineLevel="0" collapsed="false">
      <c r="A4203" s="4" t="str">
        <f aca="false">B4203&amp;"|"&amp;C4203</f>
        <v>tdbR00000341 Gln-CUG|20</v>
      </c>
      <c r="B4203" s="4" t="s">
        <v>95</v>
      </c>
      <c r="C4203" s="4" t="s">
        <v>436</v>
      </c>
      <c r="D4203" s="4" t="n">
        <v>19</v>
      </c>
      <c r="E4203" s="19" t="s">
        <v>259</v>
      </c>
      <c r="F4203" s="20" t="s">
        <v>430</v>
      </c>
    </row>
    <row r="4204" customFormat="false" ht="15" hidden="false" customHeight="false" outlineLevel="0" collapsed="false">
      <c r="A4204" s="4" t="str">
        <f aca="false">B4204&amp;"|"&amp;C4204</f>
        <v>tdbR00000341 Gln-CUG|20a</v>
      </c>
      <c r="B4204" s="4" t="s">
        <v>95</v>
      </c>
      <c r="C4204" s="4" t="s">
        <v>437</v>
      </c>
      <c r="D4204" s="4" t="n">
        <v>20</v>
      </c>
      <c r="E4204" s="19" t="s">
        <v>259</v>
      </c>
      <c r="F4204" s="20" t="s">
        <v>430</v>
      </c>
    </row>
    <row r="4205" customFormat="false" ht="15" hidden="false" customHeight="false" outlineLevel="0" collapsed="false">
      <c r="A4205" s="4" t="str">
        <f aca="false">B4205&amp;"|"&amp;C4205</f>
        <v>tdbR00000341 Gln-CUG|21</v>
      </c>
      <c r="B4205" s="4" t="s">
        <v>95</v>
      </c>
      <c r="C4205" s="4" t="s">
        <v>438</v>
      </c>
      <c r="D4205" s="4" t="n">
        <v>21</v>
      </c>
      <c r="E4205" s="19" t="s">
        <v>246</v>
      </c>
      <c r="F4205" s="20" t="s">
        <v>430</v>
      </c>
    </row>
    <row r="4206" customFormat="false" ht="15" hidden="false" customHeight="false" outlineLevel="0" collapsed="false">
      <c r="A4206" s="4" t="str">
        <f aca="false">B4206&amp;"|"&amp;C4206</f>
        <v>tdbR00000341 Gln-CUG|22</v>
      </c>
      <c r="B4206" s="4" t="s">
        <v>95</v>
      </c>
      <c r="C4206" s="4" t="s">
        <v>439</v>
      </c>
      <c r="D4206" s="4" t="n">
        <v>22</v>
      </c>
      <c r="E4206" s="8" t="s">
        <v>197</v>
      </c>
      <c r="F4206" s="7" t="s">
        <v>425</v>
      </c>
    </row>
    <row r="4207" customFormat="false" ht="15" hidden="false" customHeight="false" outlineLevel="0" collapsed="false">
      <c r="A4207" s="4" t="str">
        <f aca="false">B4207&amp;"|"&amp;C4207</f>
        <v>tdbR00000341 Gln-CUG|23</v>
      </c>
      <c r="B4207" s="4" t="s">
        <v>95</v>
      </c>
      <c r="C4207" s="4" t="s">
        <v>440</v>
      </c>
      <c r="D4207" s="4" t="n">
        <v>23</v>
      </c>
      <c r="E4207" s="8" t="s">
        <v>414</v>
      </c>
      <c r="F4207" s="7" t="s">
        <v>425</v>
      </c>
    </row>
    <row r="4208" customFormat="false" ht="15" hidden="false" customHeight="false" outlineLevel="0" collapsed="false">
      <c r="A4208" s="4" t="str">
        <f aca="false">B4208&amp;"|"&amp;C4208</f>
        <v>tdbR00000341 Gln-CUG|24</v>
      </c>
      <c r="B4208" s="4" t="s">
        <v>95</v>
      </c>
      <c r="C4208" s="4" t="s">
        <v>441</v>
      </c>
      <c r="D4208" s="4" t="n">
        <v>24</v>
      </c>
      <c r="E4208" s="8" t="s">
        <v>246</v>
      </c>
      <c r="F4208" s="7" t="s">
        <v>425</v>
      </c>
    </row>
    <row r="4209" customFormat="false" ht="15" hidden="false" customHeight="false" outlineLevel="0" collapsed="false">
      <c r="A4209" s="4" t="str">
        <f aca="false">B4209&amp;"|"&amp;C4209</f>
        <v>tdbR00000341 Gln-CUG|25</v>
      </c>
      <c r="B4209" s="4" t="s">
        <v>95</v>
      </c>
      <c r="C4209" s="4" t="s">
        <v>442</v>
      </c>
      <c r="D4209" s="4" t="n">
        <v>25</v>
      </c>
      <c r="E4209" s="8" t="s">
        <v>414</v>
      </c>
      <c r="F4209" s="7" t="s">
        <v>425</v>
      </c>
    </row>
    <row r="4210" customFormat="false" ht="15" hidden="false" customHeight="false" outlineLevel="0" collapsed="false">
      <c r="A4210" s="4" t="str">
        <f aca="false">B4210&amp;"|"&amp;C4210</f>
        <v>tdbR00000341 Gln-CUG|26</v>
      </c>
      <c r="B4210" s="4" t="s">
        <v>95</v>
      </c>
      <c r="C4210" s="4" t="s">
        <v>443</v>
      </c>
      <c r="D4210" s="4" t="n">
        <v>26</v>
      </c>
      <c r="E4210" s="3" t="s">
        <v>259</v>
      </c>
      <c r="F4210" s="4" t="s">
        <v>444</v>
      </c>
    </row>
    <row r="4211" customFormat="false" ht="15" hidden="false" customHeight="false" outlineLevel="0" collapsed="false">
      <c r="A4211" s="4" t="str">
        <f aca="false">B4211&amp;"|"&amp;C4211</f>
        <v>tdbR00000341 Gln-CUG|27</v>
      </c>
      <c r="B4211" s="4" t="s">
        <v>95</v>
      </c>
      <c r="C4211" s="4" t="s">
        <v>445</v>
      </c>
      <c r="D4211" s="4" t="n">
        <v>27</v>
      </c>
      <c r="E4211" s="21" t="s">
        <v>414</v>
      </c>
      <c r="F4211" s="22" t="s">
        <v>446</v>
      </c>
    </row>
    <row r="4212" customFormat="false" ht="15" hidden="false" customHeight="false" outlineLevel="0" collapsed="false">
      <c r="A4212" s="4" t="str">
        <f aca="false">B4212&amp;"|"&amp;C4212</f>
        <v>tdbR00000341 Gln-CUG|28</v>
      </c>
      <c r="B4212" s="4" t="s">
        <v>95</v>
      </c>
      <c r="C4212" s="4" t="s">
        <v>447</v>
      </c>
      <c r="D4212" s="4" t="n">
        <v>28</v>
      </c>
      <c r="E4212" s="21" t="s">
        <v>259</v>
      </c>
      <c r="F4212" s="22" t="s">
        <v>446</v>
      </c>
    </row>
    <row r="4213" customFormat="false" ht="15" hidden="false" customHeight="false" outlineLevel="0" collapsed="false">
      <c r="A4213" s="4" t="str">
        <f aca="false">B4213&amp;"|"&amp;C4213</f>
        <v>tdbR00000341 Gln-CUG|29</v>
      </c>
      <c r="B4213" s="4" t="s">
        <v>95</v>
      </c>
      <c r="C4213" s="4" t="s">
        <v>448</v>
      </c>
      <c r="D4213" s="4" t="n">
        <v>29</v>
      </c>
      <c r="E4213" s="21" t="s">
        <v>197</v>
      </c>
      <c r="F4213" s="22" t="s">
        <v>446</v>
      </c>
    </row>
    <row r="4214" customFormat="false" ht="15" hidden="false" customHeight="false" outlineLevel="0" collapsed="false">
      <c r="A4214" s="4" t="str">
        <f aca="false">B4214&amp;"|"&amp;C4214</f>
        <v>tdbR00000341 Gln-CUG|30</v>
      </c>
      <c r="B4214" s="4" t="s">
        <v>95</v>
      </c>
      <c r="C4214" s="4" t="s">
        <v>449</v>
      </c>
      <c r="D4214" s="4" t="n">
        <v>30</v>
      </c>
      <c r="E4214" s="21" t="s">
        <v>197</v>
      </c>
      <c r="F4214" s="22" t="s">
        <v>446</v>
      </c>
    </row>
    <row r="4215" customFormat="false" ht="15" hidden="false" customHeight="false" outlineLevel="0" collapsed="false">
      <c r="A4215" s="4" t="str">
        <f aca="false">B4215&amp;"|"&amp;C4215</f>
        <v>tdbR00000341 Gln-CUG|31</v>
      </c>
      <c r="B4215" s="4" t="s">
        <v>95</v>
      </c>
      <c r="C4215" s="4" t="s">
        <v>450</v>
      </c>
      <c r="D4215" s="4" t="n">
        <v>31</v>
      </c>
      <c r="E4215" s="21" t="s">
        <v>246</v>
      </c>
      <c r="F4215" s="22" t="s">
        <v>446</v>
      </c>
    </row>
    <row r="4216" customFormat="false" ht="15" hidden="false" customHeight="false" outlineLevel="0" collapsed="false">
      <c r="A4216" s="4" t="str">
        <f aca="false">B4216&amp;"|"&amp;C4216</f>
        <v>tdbR00000341 Gln-CUG|32</v>
      </c>
      <c r="B4216" s="4" t="s">
        <v>95</v>
      </c>
      <c r="C4216" s="4" t="s">
        <v>451</v>
      </c>
      <c r="D4216" s="4" t="n">
        <v>32</v>
      </c>
      <c r="E4216" s="19" t="s">
        <v>414</v>
      </c>
      <c r="F4216" s="20" t="s">
        <v>452</v>
      </c>
    </row>
    <row r="4217" customFormat="false" ht="15" hidden="false" customHeight="false" outlineLevel="0" collapsed="false">
      <c r="A4217" s="4" t="str">
        <f aca="false">B4217&amp;"|"&amp;C4217</f>
        <v>tdbR00000341 Gln-CUG|33</v>
      </c>
      <c r="B4217" s="4" t="s">
        <v>95</v>
      </c>
      <c r="C4217" s="4" t="s">
        <v>453</v>
      </c>
      <c r="D4217" s="4" t="n">
        <v>33</v>
      </c>
      <c r="E4217" s="19" t="s">
        <v>259</v>
      </c>
      <c r="F4217" s="20" t="s">
        <v>452</v>
      </c>
    </row>
    <row r="4218" customFormat="false" ht="15" hidden="false" customHeight="false" outlineLevel="0" collapsed="false">
      <c r="A4218" s="4" t="str">
        <f aca="false">B4218&amp;"|"&amp;C4218</f>
        <v>tdbR00000341 Gln-CUG|34</v>
      </c>
      <c r="B4218" s="4" t="s">
        <v>95</v>
      </c>
      <c r="C4218" s="4" t="s">
        <v>454</v>
      </c>
      <c r="D4218" s="4" t="n">
        <v>34</v>
      </c>
      <c r="E4218" s="19" t="s">
        <v>414</v>
      </c>
      <c r="F4218" s="20" t="s">
        <v>452</v>
      </c>
    </row>
    <row r="4219" customFormat="false" ht="15" hidden="false" customHeight="false" outlineLevel="0" collapsed="false">
      <c r="A4219" s="4" t="str">
        <f aca="false">B4219&amp;"|"&amp;C4219</f>
        <v>tdbR00000341 Gln-CUG|35</v>
      </c>
      <c r="B4219" s="4" t="s">
        <v>95</v>
      </c>
      <c r="C4219" s="4" t="s">
        <v>455</v>
      </c>
      <c r="D4219" s="4" t="n">
        <v>35</v>
      </c>
      <c r="E4219" s="19" t="s">
        <v>259</v>
      </c>
      <c r="F4219" s="20" t="s">
        <v>452</v>
      </c>
    </row>
    <row r="4220" customFormat="false" ht="15" hidden="false" customHeight="false" outlineLevel="0" collapsed="false">
      <c r="A4220" s="4" t="str">
        <f aca="false">B4220&amp;"|"&amp;C4220</f>
        <v>tdbR00000341 Gln-CUG|36</v>
      </c>
      <c r="B4220" s="4" t="s">
        <v>95</v>
      </c>
      <c r="C4220" s="4" t="s">
        <v>456</v>
      </c>
      <c r="D4220" s="4" t="n">
        <v>36</v>
      </c>
      <c r="E4220" s="19" t="s">
        <v>197</v>
      </c>
      <c r="F4220" s="20" t="s">
        <v>452</v>
      </c>
    </row>
    <row r="4221" customFormat="false" ht="15" hidden="false" customHeight="false" outlineLevel="0" collapsed="false">
      <c r="A4221" s="4" t="str">
        <f aca="false">B4221&amp;"|"&amp;C4221</f>
        <v>tdbR00000341 Gln-CUG|37</v>
      </c>
      <c r="B4221" s="4" t="s">
        <v>95</v>
      </c>
      <c r="C4221" s="4" t="s">
        <v>457</v>
      </c>
      <c r="D4221" s="4" t="n">
        <v>37</v>
      </c>
      <c r="E4221" s="19" t="s">
        <v>246</v>
      </c>
      <c r="F4221" s="20" t="s">
        <v>452</v>
      </c>
    </row>
    <row r="4222" customFormat="false" ht="15" hidden="false" customHeight="false" outlineLevel="0" collapsed="false">
      <c r="A4222" s="4" t="str">
        <f aca="false">B4222&amp;"|"&amp;C4222</f>
        <v>tdbR00000341 Gln-CUG|38</v>
      </c>
      <c r="B4222" s="4" t="s">
        <v>95</v>
      </c>
      <c r="C4222" s="4" t="s">
        <v>458</v>
      </c>
      <c r="D4222" s="4" t="n">
        <v>38</v>
      </c>
      <c r="E4222" s="19" t="s">
        <v>246</v>
      </c>
      <c r="F4222" s="20" t="s">
        <v>452</v>
      </c>
    </row>
    <row r="4223" customFormat="false" ht="15" hidden="false" customHeight="false" outlineLevel="0" collapsed="false">
      <c r="A4223" s="4" t="str">
        <f aca="false">B4223&amp;"|"&amp;C4223</f>
        <v>tdbR00000341 Gln-CUG|39</v>
      </c>
      <c r="B4223" s="4" t="s">
        <v>95</v>
      </c>
      <c r="C4223" s="4" t="s">
        <v>459</v>
      </c>
      <c r="D4223" s="4" t="n">
        <v>39</v>
      </c>
      <c r="E4223" s="21" t="s">
        <v>259</v>
      </c>
      <c r="F4223" s="22" t="s">
        <v>446</v>
      </c>
    </row>
    <row r="4224" customFormat="false" ht="15" hidden="false" customHeight="false" outlineLevel="0" collapsed="false">
      <c r="A4224" s="4" t="str">
        <f aca="false">B4224&amp;"|"&amp;C4224</f>
        <v>tdbR00000341 Gln-CUG|40</v>
      </c>
      <c r="B4224" s="4" t="s">
        <v>95</v>
      </c>
      <c r="C4224" s="4" t="s">
        <v>460</v>
      </c>
      <c r="D4224" s="4" t="n">
        <v>40</v>
      </c>
      <c r="E4224" s="21" t="s">
        <v>414</v>
      </c>
      <c r="F4224" s="22" t="s">
        <v>446</v>
      </c>
    </row>
    <row r="4225" customFormat="false" ht="15" hidden="false" customHeight="false" outlineLevel="0" collapsed="false">
      <c r="A4225" s="4" t="str">
        <f aca="false">B4225&amp;"|"&amp;C4225</f>
        <v>tdbR00000341 Gln-CUG|41</v>
      </c>
      <c r="B4225" s="4" t="s">
        <v>95</v>
      </c>
      <c r="C4225" s="4" t="s">
        <v>461</v>
      </c>
      <c r="D4225" s="4" t="n">
        <v>41</v>
      </c>
      <c r="E4225" s="21" t="s">
        <v>414</v>
      </c>
      <c r="F4225" s="22" t="s">
        <v>446</v>
      </c>
    </row>
    <row r="4226" customFormat="false" ht="15" hidden="false" customHeight="false" outlineLevel="0" collapsed="false">
      <c r="A4226" s="4" t="str">
        <f aca="false">B4226&amp;"|"&amp;C4226</f>
        <v>tdbR00000341 Gln-CUG|42</v>
      </c>
      <c r="B4226" s="4" t="s">
        <v>95</v>
      </c>
      <c r="C4226" s="4" t="s">
        <v>462</v>
      </c>
      <c r="D4226" s="4" t="n">
        <v>42</v>
      </c>
      <c r="E4226" s="21" t="s">
        <v>246</v>
      </c>
      <c r="F4226" s="22" t="s">
        <v>446</v>
      </c>
    </row>
    <row r="4227" customFormat="false" ht="15" hidden="false" customHeight="false" outlineLevel="0" collapsed="false">
      <c r="A4227" s="4" t="str">
        <f aca="false">B4227&amp;"|"&amp;C4227</f>
        <v>tdbR00000341 Gln-CUG|43</v>
      </c>
      <c r="B4227" s="4" t="s">
        <v>95</v>
      </c>
      <c r="C4227" s="4" t="s">
        <v>463</v>
      </c>
      <c r="D4227" s="4" t="n">
        <v>43</v>
      </c>
      <c r="E4227" s="21" t="s">
        <v>197</v>
      </c>
      <c r="F4227" s="22" t="s">
        <v>446</v>
      </c>
    </row>
    <row r="4228" customFormat="false" ht="15" hidden="false" customHeight="false" outlineLevel="0" collapsed="false">
      <c r="A4228" s="4" t="str">
        <f aca="false">B4228&amp;"|"&amp;C4228</f>
        <v>tdbR00000341 Gln-CUG|44</v>
      </c>
      <c r="B4228" s="4" t="s">
        <v>95</v>
      </c>
      <c r="C4228" s="4" t="s">
        <v>464</v>
      </c>
      <c r="D4228" s="4" t="n">
        <v>44</v>
      </c>
      <c r="E4228" s="19" t="s">
        <v>414</v>
      </c>
      <c r="F4228" s="20" t="s">
        <v>465</v>
      </c>
    </row>
    <row r="4229" customFormat="false" ht="15" hidden="false" customHeight="false" outlineLevel="0" collapsed="false">
      <c r="A4229" s="4" t="str">
        <f aca="false">B4229&amp;"|"&amp;C4229</f>
        <v>tdbR00000341 Gln-CUG|45</v>
      </c>
      <c r="B4229" s="4" t="s">
        <v>95</v>
      </c>
      <c r="C4229" s="4" t="s">
        <v>466</v>
      </c>
      <c r="D4229" s="4" t="n">
        <v>45</v>
      </c>
      <c r="E4229" s="19" t="s">
        <v>197</v>
      </c>
      <c r="F4229" s="20" t="s">
        <v>465</v>
      </c>
    </row>
    <row r="4230" customFormat="false" ht="15" hidden="false" customHeight="false" outlineLevel="0" collapsed="false">
      <c r="A4230" s="4" t="str">
        <f aca="false">B4230&amp;"|"&amp;C4230</f>
        <v>tdbR00000341 Gln-CUG|46</v>
      </c>
      <c r="B4230" s="4" t="s">
        <v>95</v>
      </c>
      <c r="C4230" s="4" t="s">
        <v>467</v>
      </c>
      <c r="D4230" s="4" t="n">
        <v>46</v>
      </c>
      <c r="E4230" s="19" t="s">
        <v>246</v>
      </c>
      <c r="F4230" s="20" t="s">
        <v>465</v>
      </c>
    </row>
    <row r="4231" customFormat="false" ht="15" hidden="false" customHeight="false" outlineLevel="0" collapsed="false">
      <c r="A4231" s="4" t="str">
        <f aca="false">B4231&amp;"|"&amp;C4231</f>
        <v>tdbR00000341 Gln-CUG|48</v>
      </c>
      <c r="B4231" s="4" t="s">
        <v>95</v>
      </c>
      <c r="C4231" s="4" t="s">
        <v>469</v>
      </c>
      <c r="D4231" s="4" t="n">
        <v>47</v>
      </c>
      <c r="E4231" s="19" t="s">
        <v>259</v>
      </c>
      <c r="F4231" s="20" t="s">
        <v>465</v>
      </c>
    </row>
    <row r="4232" customFormat="false" ht="15" hidden="false" customHeight="false" outlineLevel="0" collapsed="false">
      <c r="A4232" s="4" t="str">
        <f aca="false">B4232&amp;"|"&amp;C4232</f>
        <v>tdbR00000341 Gln-CUG|49</v>
      </c>
      <c r="B4232" s="4" t="s">
        <v>95</v>
      </c>
      <c r="C4232" s="4" t="s">
        <v>470</v>
      </c>
      <c r="D4232" s="4" t="n">
        <v>48</v>
      </c>
      <c r="E4232" s="23" t="s">
        <v>414</v>
      </c>
      <c r="F4232" s="10" t="s">
        <v>471</v>
      </c>
    </row>
    <row r="4233" customFormat="false" ht="15" hidden="false" customHeight="false" outlineLevel="0" collapsed="false">
      <c r="A4233" s="4" t="str">
        <f aca="false">B4233&amp;"|"&amp;C4233</f>
        <v>tdbR00000341 Gln-CUG|50</v>
      </c>
      <c r="B4233" s="4" t="s">
        <v>95</v>
      </c>
      <c r="C4233" s="4" t="s">
        <v>472</v>
      </c>
      <c r="D4233" s="4" t="n">
        <v>49</v>
      </c>
      <c r="E4233" s="23" t="s">
        <v>414</v>
      </c>
      <c r="F4233" s="10" t="s">
        <v>471</v>
      </c>
    </row>
    <row r="4234" customFormat="false" ht="15" hidden="false" customHeight="false" outlineLevel="0" collapsed="false">
      <c r="A4234" s="4" t="str">
        <f aca="false">B4234&amp;"|"&amp;C4234</f>
        <v>tdbR00000341 Gln-CUG|51</v>
      </c>
      <c r="B4234" s="4" t="s">
        <v>95</v>
      </c>
      <c r="C4234" s="4" t="s">
        <v>473</v>
      </c>
      <c r="D4234" s="4" t="n">
        <v>50</v>
      </c>
      <c r="E4234" s="23" t="s">
        <v>197</v>
      </c>
      <c r="F4234" s="10" t="s">
        <v>471</v>
      </c>
    </row>
    <row r="4235" customFormat="false" ht="15" hidden="false" customHeight="false" outlineLevel="0" collapsed="false">
      <c r="A4235" s="4" t="str">
        <f aca="false">B4235&amp;"|"&amp;C4235</f>
        <v>tdbR00000341 Gln-CUG|52</v>
      </c>
      <c r="B4235" s="4" t="s">
        <v>95</v>
      </c>
      <c r="C4235" s="4" t="s">
        <v>474</v>
      </c>
      <c r="D4235" s="4" t="n">
        <v>51</v>
      </c>
      <c r="E4235" s="23" t="s">
        <v>246</v>
      </c>
      <c r="F4235" s="10" t="s">
        <v>471</v>
      </c>
    </row>
    <row r="4236" customFormat="false" ht="15" hidden="false" customHeight="false" outlineLevel="0" collapsed="false">
      <c r="A4236" s="4" t="str">
        <f aca="false">B4236&amp;"|"&amp;C4236</f>
        <v>tdbR00000341 Gln-CUG|53</v>
      </c>
      <c r="B4236" s="4" t="s">
        <v>95</v>
      </c>
      <c r="C4236" s="4" t="s">
        <v>475</v>
      </c>
      <c r="D4236" s="4" t="n">
        <v>52</v>
      </c>
      <c r="E4236" s="23" t="s">
        <v>197</v>
      </c>
      <c r="F4236" s="10" t="s">
        <v>471</v>
      </c>
    </row>
    <row r="4237" customFormat="false" ht="15" hidden="false" customHeight="false" outlineLevel="0" collapsed="false">
      <c r="A4237" s="4" t="str">
        <f aca="false">B4237&amp;"|"&amp;C4237</f>
        <v>tdbR00000341 Gln-CUG|54</v>
      </c>
      <c r="B4237" s="4" t="s">
        <v>95</v>
      </c>
      <c r="C4237" s="4" t="s">
        <v>476</v>
      </c>
      <c r="D4237" s="4" t="n">
        <v>53</v>
      </c>
      <c r="E4237" s="19" t="s">
        <v>259</v>
      </c>
      <c r="F4237" s="20" t="s">
        <v>477</v>
      </c>
    </row>
    <row r="4238" customFormat="false" ht="15" hidden="false" customHeight="false" outlineLevel="0" collapsed="false">
      <c r="A4238" s="4" t="str">
        <f aca="false">B4238&amp;"|"&amp;C4238</f>
        <v>tdbR00000341 Gln-CUG|55</v>
      </c>
      <c r="B4238" s="4" t="s">
        <v>95</v>
      </c>
      <c r="C4238" s="4" t="s">
        <v>478</v>
      </c>
      <c r="D4238" s="4" t="n">
        <v>54</v>
      </c>
      <c r="E4238" s="19" t="s">
        <v>259</v>
      </c>
      <c r="F4238" s="20" t="s">
        <v>477</v>
      </c>
    </row>
    <row r="4239" customFormat="false" ht="15" hidden="false" customHeight="false" outlineLevel="0" collapsed="false">
      <c r="A4239" s="4" t="str">
        <f aca="false">B4239&amp;"|"&amp;C4239</f>
        <v>tdbR00000341 Gln-CUG|56</v>
      </c>
      <c r="B4239" s="4" t="s">
        <v>95</v>
      </c>
      <c r="C4239" s="4" t="s">
        <v>479</v>
      </c>
      <c r="D4239" s="4" t="n">
        <v>55</v>
      </c>
      <c r="E4239" s="19" t="s">
        <v>414</v>
      </c>
      <c r="F4239" s="20" t="s">
        <v>477</v>
      </c>
    </row>
    <row r="4240" customFormat="false" ht="15" hidden="false" customHeight="false" outlineLevel="0" collapsed="false">
      <c r="A4240" s="4" t="str">
        <f aca="false">B4240&amp;"|"&amp;C4240</f>
        <v>tdbR00000341 Gln-CUG|57</v>
      </c>
      <c r="B4240" s="4" t="s">
        <v>95</v>
      </c>
      <c r="C4240" s="4" t="s">
        <v>480</v>
      </c>
      <c r="D4240" s="4" t="n">
        <v>56</v>
      </c>
      <c r="E4240" s="19" t="s">
        <v>246</v>
      </c>
      <c r="F4240" s="20" t="s">
        <v>477</v>
      </c>
    </row>
    <row r="4241" customFormat="false" ht="15" hidden="false" customHeight="false" outlineLevel="0" collapsed="false">
      <c r="A4241" s="4" t="str">
        <f aca="false">B4241&amp;"|"&amp;C4241</f>
        <v>tdbR00000341 Gln-CUG|58</v>
      </c>
      <c r="B4241" s="4" t="s">
        <v>95</v>
      </c>
      <c r="C4241" s="4" t="s">
        <v>481</v>
      </c>
      <c r="D4241" s="4" t="n">
        <v>57</v>
      </c>
      <c r="E4241" s="19" t="s">
        <v>246</v>
      </c>
      <c r="F4241" s="20" t="s">
        <v>477</v>
      </c>
    </row>
    <row r="4242" customFormat="false" ht="15" hidden="false" customHeight="false" outlineLevel="0" collapsed="false">
      <c r="A4242" s="4" t="str">
        <f aca="false">B4242&amp;"|"&amp;C4242</f>
        <v>tdbR00000341 Gln-CUG|59</v>
      </c>
      <c r="B4242" s="4" t="s">
        <v>95</v>
      </c>
      <c r="C4242" s="4" t="s">
        <v>482</v>
      </c>
      <c r="D4242" s="4" t="n">
        <v>58</v>
      </c>
      <c r="E4242" s="19" t="s">
        <v>246</v>
      </c>
      <c r="F4242" s="20" t="s">
        <v>477</v>
      </c>
    </row>
    <row r="4243" customFormat="false" ht="15" hidden="false" customHeight="false" outlineLevel="0" collapsed="false">
      <c r="A4243" s="4" t="str">
        <f aca="false">B4243&amp;"|"&amp;C4243</f>
        <v>tdbR00000341 Gln-CUG|60</v>
      </c>
      <c r="B4243" s="4" t="s">
        <v>95</v>
      </c>
      <c r="C4243" s="4" t="s">
        <v>483</v>
      </c>
      <c r="D4243" s="4" t="n">
        <v>59</v>
      </c>
      <c r="E4243" s="19" t="s">
        <v>259</v>
      </c>
      <c r="F4243" s="20" t="s">
        <v>477</v>
      </c>
    </row>
    <row r="4244" customFormat="false" ht="15" hidden="false" customHeight="false" outlineLevel="0" collapsed="false">
      <c r="A4244" s="4" t="str">
        <f aca="false">B4244&amp;"|"&amp;C4244</f>
        <v>tdbR00000341 Gln-CUG|61</v>
      </c>
      <c r="B4244" s="4" t="s">
        <v>95</v>
      </c>
      <c r="C4244" s="4" t="s">
        <v>484</v>
      </c>
      <c r="D4244" s="4" t="n">
        <v>60</v>
      </c>
      <c r="E4244" s="23" t="s">
        <v>414</v>
      </c>
      <c r="F4244" s="10" t="s">
        <v>471</v>
      </c>
    </row>
    <row r="4245" customFormat="false" ht="15" hidden="false" customHeight="false" outlineLevel="0" collapsed="false">
      <c r="A4245" s="4" t="str">
        <f aca="false">B4245&amp;"|"&amp;C4245</f>
        <v>tdbR00000341 Gln-CUG|62</v>
      </c>
      <c r="B4245" s="4" t="s">
        <v>95</v>
      </c>
      <c r="C4245" s="4" t="s">
        <v>485</v>
      </c>
      <c r="D4245" s="4" t="n">
        <v>61</v>
      </c>
      <c r="E4245" s="23" t="s">
        <v>259</v>
      </c>
      <c r="F4245" s="10" t="s">
        <v>471</v>
      </c>
    </row>
    <row r="4246" customFormat="false" ht="15" hidden="false" customHeight="false" outlineLevel="0" collapsed="false">
      <c r="A4246" s="4" t="str">
        <f aca="false">B4246&amp;"|"&amp;C4246</f>
        <v>tdbR00000341 Gln-CUG|63</v>
      </c>
      <c r="B4246" s="4" t="s">
        <v>95</v>
      </c>
      <c r="C4246" s="4" t="s">
        <v>486</v>
      </c>
      <c r="D4246" s="4" t="n">
        <v>62</v>
      </c>
      <c r="E4246" s="23" t="s">
        <v>414</v>
      </c>
      <c r="F4246" s="10" t="s">
        <v>471</v>
      </c>
    </row>
    <row r="4247" customFormat="false" ht="15" hidden="false" customHeight="false" outlineLevel="0" collapsed="false">
      <c r="A4247" s="4" t="str">
        <f aca="false">B4247&amp;"|"&amp;C4247</f>
        <v>tdbR00000341 Gln-CUG|64</v>
      </c>
      <c r="B4247" s="4" t="s">
        <v>95</v>
      </c>
      <c r="C4247" s="4" t="s">
        <v>487</v>
      </c>
      <c r="D4247" s="4" t="n">
        <v>63</v>
      </c>
      <c r="E4247" s="23" t="s">
        <v>197</v>
      </c>
      <c r="F4247" s="10" t="s">
        <v>471</v>
      </c>
    </row>
    <row r="4248" customFormat="false" ht="15" hidden="false" customHeight="false" outlineLevel="0" collapsed="false">
      <c r="A4248" s="4" t="str">
        <f aca="false">B4248&amp;"|"&amp;C4248</f>
        <v>tdbR00000341 Gln-CUG|65</v>
      </c>
      <c r="B4248" s="4" t="s">
        <v>95</v>
      </c>
      <c r="C4248" s="4" t="s">
        <v>488</v>
      </c>
      <c r="D4248" s="4" t="n">
        <v>64</v>
      </c>
      <c r="E4248" s="23" t="s">
        <v>197</v>
      </c>
      <c r="F4248" s="10" t="s">
        <v>471</v>
      </c>
    </row>
    <row r="4249" customFormat="false" ht="15" hidden="false" customHeight="false" outlineLevel="0" collapsed="false">
      <c r="A4249" s="4" t="str">
        <f aca="false">B4249&amp;"|"&amp;C4249</f>
        <v>tdbR00000341 Gln-CUG|66</v>
      </c>
      <c r="B4249" s="4" t="s">
        <v>95</v>
      </c>
      <c r="C4249" s="4" t="s">
        <v>489</v>
      </c>
      <c r="D4249" s="4" t="n">
        <v>65</v>
      </c>
      <c r="E4249" s="17" t="s">
        <v>259</v>
      </c>
      <c r="F4249" s="18" t="s">
        <v>412</v>
      </c>
    </row>
    <row r="4250" customFormat="false" ht="15" hidden="false" customHeight="false" outlineLevel="0" collapsed="false">
      <c r="A4250" s="4" t="str">
        <f aca="false">B4250&amp;"|"&amp;C4250</f>
        <v>tdbR00000341 Gln-CUG|67</v>
      </c>
      <c r="B4250" s="4" t="s">
        <v>95</v>
      </c>
      <c r="C4250" s="4" t="s">
        <v>490</v>
      </c>
      <c r="D4250" s="4" t="n">
        <v>66</v>
      </c>
      <c r="E4250" s="17" t="s">
        <v>197</v>
      </c>
      <c r="F4250" s="18" t="s">
        <v>412</v>
      </c>
    </row>
    <row r="4251" customFormat="false" ht="15" hidden="false" customHeight="false" outlineLevel="0" collapsed="false">
      <c r="A4251" s="4" t="str">
        <f aca="false">B4251&amp;"|"&amp;C4251</f>
        <v>tdbR00000341 Gln-CUG|68</v>
      </c>
      <c r="B4251" s="4" t="s">
        <v>95</v>
      </c>
      <c r="C4251" s="4" t="s">
        <v>491</v>
      </c>
      <c r="D4251" s="4" t="n">
        <v>67</v>
      </c>
      <c r="E4251" s="17" t="s">
        <v>197</v>
      </c>
      <c r="F4251" s="18" t="s">
        <v>412</v>
      </c>
    </row>
    <row r="4252" customFormat="false" ht="15" hidden="false" customHeight="false" outlineLevel="0" collapsed="false">
      <c r="A4252" s="4" t="str">
        <f aca="false">B4252&amp;"|"&amp;C4252</f>
        <v>tdbR00000341 Gln-CUG|69</v>
      </c>
      <c r="B4252" s="4" t="s">
        <v>95</v>
      </c>
      <c r="C4252" s="4" t="s">
        <v>492</v>
      </c>
      <c r="D4252" s="4" t="n">
        <v>68</v>
      </c>
      <c r="E4252" s="17" t="s">
        <v>246</v>
      </c>
      <c r="F4252" s="18" t="s">
        <v>412</v>
      </c>
    </row>
    <row r="4253" customFormat="false" ht="15" hidden="false" customHeight="false" outlineLevel="0" collapsed="false">
      <c r="A4253" s="4" t="str">
        <f aca="false">B4253&amp;"|"&amp;C4253</f>
        <v>tdbR00000341 Gln-CUG|70</v>
      </c>
      <c r="B4253" s="4" t="s">
        <v>95</v>
      </c>
      <c r="C4253" s="4" t="s">
        <v>493</v>
      </c>
      <c r="D4253" s="4" t="n">
        <v>69</v>
      </c>
      <c r="E4253" s="17" t="s">
        <v>246</v>
      </c>
      <c r="F4253" s="18" t="s">
        <v>412</v>
      </c>
    </row>
    <row r="4254" customFormat="false" ht="15" hidden="false" customHeight="false" outlineLevel="0" collapsed="false">
      <c r="A4254" s="4" t="str">
        <f aca="false">B4254&amp;"|"&amp;C4254</f>
        <v>tdbR00000341 Gln-CUG|71</v>
      </c>
      <c r="B4254" s="4" t="s">
        <v>95</v>
      </c>
      <c r="C4254" s="4" t="s">
        <v>494</v>
      </c>
      <c r="D4254" s="4" t="n">
        <v>70</v>
      </c>
      <c r="E4254" s="17" t="s">
        <v>414</v>
      </c>
      <c r="F4254" s="18" t="s">
        <v>412</v>
      </c>
    </row>
    <row r="4255" customFormat="false" ht="15" hidden="false" customHeight="false" outlineLevel="0" collapsed="false">
      <c r="A4255" s="4" t="str">
        <f aca="false">B4255&amp;"|"&amp;C4255</f>
        <v>tdbR00000341 Gln-CUG|72</v>
      </c>
      <c r="B4255" s="4" t="s">
        <v>95</v>
      </c>
      <c r="C4255" s="4" t="s">
        <v>495</v>
      </c>
      <c r="D4255" s="4" t="n">
        <v>71</v>
      </c>
      <c r="E4255" s="17" t="s">
        <v>414</v>
      </c>
      <c r="F4255" s="18" t="s">
        <v>412</v>
      </c>
    </row>
    <row r="4256" customFormat="false" ht="15" hidden="false" customHeight="false" outlineLevel="0" collapsed="false">
      <c r="A4256" s="4" t="str">
        <f aca="false">B4256&amp;"|"&amp;C4256</f>
        <v>tdbR00000059 Glu-UUC|1</v>
      </c>
      <c r="B4256" s="4" t="s">
        <v>96</v>
      </c>
      <c r="C4256" s="4" t="s">
        <v>411</v>
      </c>
      <c r="D4256" s="4" t="n">
        <v>1</v>
      </c>
      <c r="E4256" s="17" t="s">
        <v>259</v>
      </c>
      <c r="F4256" s="18" t="s">
        <v>412</v>
      </c>
    </row>
    <row r="4257" customFormat="false" ht="15" hidden="false" customHeight="false" outlineLevel="0" collapsed="false">
      <c r="A4257" s="4" t="str">
        <f aca="false">B4257&amp;"|"&amp;C4257</f>
        <v>tdbR00000059 Glu-UUC|2</v>
      </c>
      <c r="B4257" s="4" t="s">
        <v>96</v>
      </c>
      <c r="C4257" s="4" t="s">
        <v>413</v>
      </c>
      <c r="D4257" s="4" t="n">
        <v>2</v>
      </c>
      <c r="E4257" s="17" t="s">
        <v>414</v>
      </c>
      <c r="F4257" s="18" t="s">
        <v>412</v>
      </c>
    </row>
    <row r="4258" customFormat="false" ht="15" hidden="false" customHeight="false" outlineLevel="0" collapsed="false">
      <c r="A4258" s="4" t="str">
        <f aca="false">B4258&amp;"|"&amp;C4258</f>
        <v>tdbR00000059 Glu-UUC|3</v>
      </c>
      <c r="B4258" s="4" t="s">
        <v>96</v>
      </c>
      <c r="C4258" s="4" t="s">
        <v>415</v>
      </c>
      <c r="D4258" s="4" t="n">
        <v>3</v>
      </c>
      <c r="E4258" s="17" t="s">
        <v>414</v>
      </c>
      <c r="F4258" s="18" t="s">
        <v>412</v>
      </c>
    </row>
    <row r="4259" customFormat="false" ht="15" hidden="false" customHeight="false" outlineLevel="0" collapsed="false">
      <c r="A4259" s="4" t="str">
        <f aca="false">B4259&amp;"|"&amp;C4259</f>
        <v>tdbR00000059 Glu-UUC|4</v>
      </c>
      <c r="B4259" s="4" t="s">
        <v>96</v>
      </c>
      <c r="C4259" s="4" t="s">
        <v>416</v>
      </c>
      <c r="D4259" s="4" t="n">
        <v>4</v>
      </c>
      <c r="E4259" s="17" t="s">
        <v>414</v>
      </c>
      <c r="F4259" s="18" t="s">
        <v>412</v>
      </c>
    </row>
    <row r="4260" customFormat="false" ht="15" hidden="false" customHeight="false" outlineLevel="0" collapsed="false">
      <c r="A4260" s="4" t="str">
        <f aca="false">B4260&amp;"|"&amp;C4260</f>
        <v>tdbR00000059 Glu-UUC|5</v>
      </c>
      <c r="B4260" s="4" t="s">
        <v>96</v>
      </c>
      <c r="C4260" s="4" t="s">
        <v>417</v>
      </c>
      <c r="D4260" s="4" t="n">
        <v>5</v>
      </c>
      <c r="E4260" s="17" t="s">
        <v>246</v>
      </c>
      <c r="F4260" s="18" t="s">
        <v>412</v>
      </c>
    </row>
    <row r="4261" customFormat="false" ht="15" hidden="false" customHeight="false" outlineLevel="0" collapsed="false">
      <c r="A4261" s="4" t="str">
        <f aca="false">B4261&amp;"|"&amp;C4261</f>
        <v>tdbR00000059 Glu-UUC|6</v>
      </c>
      <c r="B4261" s="4" t="s">
        <v>96</v>
      </c>
      <c r="C4261" s="4" t="s">
        <v>418</v>
      </c>
      <c r="D4261" s="4" t="n">
        <v>6</v>
      </c>
      <c r="E4261" s="17" t="s">
        <v>414</v>
      </c>
      <c r="F4261" s="18" t="s">
        <v>412</v>
      </c>
    </row>
    <row r="4262" customFormat="false" ht="15" hidden="false" customHeight="false" outlineLevel="0" collapsed="false">
      <c r="A4262" s="4" t="str">
        <f aca="false">B4262&amp;"|"&amp;C4262</f>
        <v>tdbR00000059 Glu-UUC|7</v>
      </c>
      <c r="B4262" s="4" t="s">
        <v>96</v>
      </c>
      <c r="C4262" s="4" t="s">
        <v>419</v>
      </c>
      <c r="D4262" s="4" t="n">
        <v>7</v>
      </c>
      <c r="E4262" s="17" t="s">
        <v>246</v>
      </c>
      <c r="F4262" s="18" t="s">
        <v>412</v>
      </c>
    </row>
    <row r="4263" customFormat="false" ht="15" hidden="false" customHeight="false" outlineLevel="0" collapsed="false">
      <c r="A4263" s="4" t="str">
        <f aca="false">B4263&amp;"|"&amp;C4263</f>
        <v>tdbR00000059 Glu-UUC|8</v>
      </c>
      <c r="B4263" s="4" t="s">
        <v>96</v>
      </c>
      <c r="C4263" s="4" t="s">
        <v>420</v>
      </c>
      <c r="D4263" s="4" t="n">
        <v>8</v>
      </c>
      <c r="E4263" s="3" t="s">
        <v>259</v>
      </c>
      <c r="F4263" s="4" t="s">
        <v>421</v>
      </c>
    </row>
    <row r="4264" customFormat="false" ht="15" hidden="false" customHeight="false" outlineLevel="0" collapsed="false">
      <c r="A4264" s="4" t="str">
        <f aca="false">B4264&amp;"|"&amp;C4264</f>
        <v>tdbR00000059 Glu-UUC|9</v>
      </c>
      <c r="B4264" s="4" t="s">
        <v>96</v>
      </c>
      <c r="C4264" s="4" t="s">
        <v>422</v>
      </c>
      <c r="D4264" s="4" t="n">
        <v>9</v>
      </c>
      <c r="E4264" s="3" t="s">
        <v>197</v>
      </c>
      <c r="F4264" s="4" t="s">
        <v>423</v>
      </c>
    </row>
    <row r="4265" customFormat="false" ht="15" hidden="false" customHeight="false" outlineLevel="0" collapsed="false">
      <c r="A4265" s="4" t="str">
        <f aca="false">B4265&amp;"|"&amp;C4265</f>
        <v>tdbR00000059 Glu-UUC|10</v>
      </c>
      <c r="B4265" s="4" t="s">
        <v>96</v>
      </c>
      <c r="C4265" s="4" t="s">
        <v>424</v>
      </c>
      <c r="D4265" s="4" t="n">
        <v>10</v>
      </c>
      <c r="E4265" s="8" t="s">
        <v>197</v>
      </c>
      <c r="F4265" s="7" t="s">
        <v>425</v>
      </c>
    </row>
    <row r="4266" customFormat="false" ht="15" hidden="false" customHeight="false" outlineLevel="0" collapsed="false">
      <c r="A4266" s="4" t="str">
        <f aca="false">B4266&amp;"|"&amp;C4266</f>
        <v>tdbR00000059 Glu-UUC|11</v>
      </c>
      <c r="B4266" s="4" t="s">
        <v>96</v>
      </c>
      <c r="C4266" s="4" t="s">
        <v>426</v>
      </c>
      <c r="D4266" s="4" t="n">
        <v>11</v>
      </c>
      <c r="E4266" s="8" t="s">
        <v>259</v>
      </c>
      <c r="F4266" s="7" t="s">
        <v>425</v>
      </c>
    </row>
    <row r="4267" customFormat="false" ht="15" hidden="false" customHeight="false" outlineLevel="0" collapsed="false">
      <c r="A4267" s="4" t="str">
        <f aca="false">B4267&amp;"|"&amp;C4267</f>
        <v>tdbR00000059 Glu-UUC|12</v>
      </c>
      <c r="B4267" s="4" t="s">
        <v>96</v>
      </c>
      <c r="C4267" s="4" t="s">
        <v>427</v>
      </c>
      <c r="D4267" s="4" t="n">
        <v>12</v>
      </c>
      <c r="E4267" s="8" t="s">
        <v>414</v>
      </c>
      <c r="F4267" s="7" t="s">
        <v>425</v>
      </c>
    </row>
    <row r="4268" customFormat="false" ht="15" hidden="false" customHeight="false" outlineLevel="0" collapsed="false">
      <c r="A4268" s="4" t="str">
        <f aca="false">B4268&amp;"|"&amp;C4268</f>
        <v>tdbR00000059 Glu-UUC|13</v>
      </c>
      <c r="B4268" s="4" t="s">
        <v>96</v>
      </c>
      <c r="C4268" s="4" t="s">
        <v>428</v>
      </c>
      <c r="D4268" s="4" t="n">
        <v>13</v>
      </c>
      <c r="E4268" s="8" t="s">
        <v>259</v>
      </c>
      <c r="F4268" s="7" t="s">
        <v>425</v>
      </c>
    </row>
    <row r="4269" customFormat="false" ht="15" hidden="false" customHeight="false" outlineLevel="0" collapsed="false">
      <c r="A4269" s="4" t="str">
        <f aca="false">B4269&amp;"|"&amp;C4269</f>
        <v>tdbR00000059 Glu-UUC|14</v>
      </c>
      <c r="B4269" s="4" t="s">
        <v>96</v>
      </c>
      <c r="C4269" s="4" t="s">
        <v>429</v>
      </c>
      <c r="D4269" s="4" t="n">
        <v>14</v>
      </c>
      <c r="E4269" s="19" t="s">
        <v>246</v>
      </c>
      <c r="F4269" s="20" t="s">
        <v>430</v>
      </c>
    </row>
    <row r="4270" customFormat="false" ht="15" hidden="false" customHeight="false" outlineLevel="0" collapsed="false">
      <c r="A4270" s="4" t="str">
        <f aca="false">B4270&amp;"|"&amp;C4270</f>
        <v>tdbR00000059 Glu-UUC|15</v>
      </c>
      <c r="B4270" s="4" t="s">
        <v>96</v>
      </c>
      <c r="C4270" s="4" t="s">
        <v>431</v>
      </c>
      <c r="D4270" s="4" t="n">
        <v>15</v>
      </c>
      <c r="E4270" s="19" t="s">
        <v>197</v>
      </c>
      <c r="F4270" s="20" t="s">
        <v>430</v>
      </c>
    </row>
    <row r="4271" customFormat="false" ht="15" hidden="false" customHeight="false" outlineLevel="0" collapsed="false">
      <c r="A4271" s="4" t="str">
        <f aca="false">B4271&amp;"|"&amp;C4271</f>
        <v>tdbR00000059 Glu-UUC|16</v>
      </c>
      <c r="B4271" s="4" t="s">
        <v>96</v>
      </c>
      <c r="C4271" s="4" t="s">
        <v>432</v>
      </c>
      <c r="D4271" s="4" t="n">
        <v>16</v>
      </c>
      <c r="E4271" s="19" t="s">
        <v>414</v>
      </c>
      <c r="F4271" s="20" t="s">
        <v>430</v>
      </c>
    </row>
    <row r="4272" customFormat="false" ht="15" hidden="false" customHeight="false" outlineLevel="0" collapsed="false">
      <c r="A4272" s="4" t="str">
        <f aca="false">B4272&amp;"|"&amp;C4272</f>
        <v>tdbR00000059 Glu-UUC|18</v>
      </c>
      <c r="B4272" s="4" t="s">
        <v>96</v>
      </c>
      <c r="C4272" s="4" t="s">
        <v>434</v>
      </c>
      <c r="D4272" s="4" t="n">
        <v>17</v>
      </c>
      <c r="E4272" s="19" t="s">
        <v>197</v>
      </c>
      <c r="F4272" s="20" t="s">
        <v>430</v>
      </c>
    </row>
    <row r="4273" customFormat="false" ht="15" hidden="false" customHeight="false" outlineLevel="0" collapsed="false">
      <c r="A4273" s="4" t="str">
        <f aca="false">B4273&amp;"|"&amp;C4273</f>
        <v>tdbR00000059 Glu-UUC|19</v>
      </c>
      <c r="B4273" s="4" t="s">
        <v>96</v>
      </c>
      <c r="C4273" s="4" t="s">
        <v>435</v>
      </c>
      <c r="D4273" s="4" t="n">
        <v>18</v>
      </c>
      <c r="E4273" s="19" t="s">
        <v>197</v>
      </c>
      <c r="F4273" s="20" t="s">
        <v>430</v>
      </c>
    </row>
    <row r="4274" customFormat="false" ht="15" hidden="false" customHeight="false" outlineLevel="0" collapsed="false">
      <c r="A4274" s="4" t="str">
        <f aca="false">B4274&amp;"|"&amp;C4274</f>
        <v>tdbR00000059 Glu-UUC|20</v>
      </c>
      <c r="B4274" s="4" t="s">
        <v>96</v>
      </c>
      <c r="C4274" s="4" t="s">
        <v>436</v>
      </c>
      <c r="D4274" s="4" t="n">
        <v>19</v>
      </c>
      <c r="E4274" s="19" t="s">
        <v>259</v>
      </c>
      <c r="F4274" s="20" t="s">
        <v>430</v>
      </c>
    </row>
    <row r="4275" customFormat="false" ht="15" hidden="false" customHeight="false" outlineLevel="0" collapsed="false">
      <c r="A4275" s="4" t="str">
        <f aca="false">B4275&amp;"|"&amp;C4275</f>
        <v>tdbR00000059 Glu-UUC|20a</v>
      </c>
      <c r="B4275" s="4" t="s">
        <v>96</v>
      </c>
      <c r="C4275" s="4" t="s">
        <v>437</v>
      </c>
      <c r="D4275" s="4" t="n">
        <v>20</v>
      </c>
      <c r="E4275" s="19" t="s">
        <v>259</v>
      </c>
      <c r="F4275" s="20" t="s">
        <v>430</v>
      </c>
    </row>
    <row r="4276" customFormat="false" ht="15" hidden="false" customHeight="false" outlineLevel="0" collapsed="false">
      <c r="A4276" s="4" t="str">
        <f aca="false">B4276&amp;"|"&amp;C4276</f>
        <v>tdbR00000059 Glu-UUC|21</v>
      </c>
      <c r="B4276" s="4" t="s">
        <v>96</v>
      </c>
      <c r="C4276" s="4" t="s">
        <v>438</v>
      </c>
      <c r="D4276" s="4" t="n">
        <v>21</v>
      </c>
      <c r="E4276" s="19" t="s">
        <v>246</v>
      </c>
      <c r="F4276" s="20" t="s">
        <v>430</v>
      </c>
    </row>
    <row r="4277" customFormat="false" ht="15" hidden="false" customHeight="false" outlineLevel="0" collapsed="false">
      <c r="A4277" s="4" t="str">
        <f aca="false">B4277&amp;"|"&amp;C4277</f>
        <v>tdbR00000059 Glu-UUC|22</v>
      </c>
      <c r="B4277" s="4" t="s">
        <v>96</v>
      </c>
      <c r="C4277" s="4" t="s">
        <v>439</v>
      </c>
      <c r="D4277" s="4" t="n">
        <v>22</v>
      </c>
      <c r="E4277" s="8" t="s">
        <v>197</v>
      </c>
      <c r="F4277" s="7" t="s">
        <v>425</v>
      </c>
    </row>
    <row r="4278" customFormat="false" ht="15" hidden="false" customHeight="false" outlineLevel="0" collapsed="false">
      <c r="A4278" s="4" t="str">
        <f aca="false">B4278&amp;"|"&amp;C4278</f>
        <v>tdbR00000059 Glu-UUC|23</v>
      </c>
      <c r="B4278" s="4" t="s">
        <v>96</v>
      </c>
      <c r="C4278" s="4" t="s">
        <v>440</v>
      </c>
      <c r="D4278" s="4" t="n">
        <v>23</v>
      </c>
      <c r="E4278" s="8" t="s">
        <v>197</v>
      </c>
      <c r="F4278" s="7" t="s">
        <v>425</v>
      </c>
    </row>
    <row r="4279" customFormat="false" ht="15" hidden="false" customHeight="false" outlineLevel="0" collapsed="false">
      <c r="A4279" s="4" t="str">
        <f aca="false">B4279&amp;"|"&amp;C4279</f>
        <v>tdbR00000059 Glu-UUC|24</v>
      </c>
      <c r="B4279" s="4" t="s">
        <v>96</v>
      </c>
      <c r="C4279" s="4" t="s">
        <v>441</v>
      </c>
      <c r="D4279" s="4" t="n">
        <v>24</v>
      </c>
      <c r="E4279" s="8" t="s">
        <v>246</v>
      </c>
      <c r="F4279" s="7" t="s">
        <v>425</v>
      </c>
    </row>
    <row r="4280" customFormat="false" ht="15" hidden="false" customHeight="false" outlineLevel="0" collapsed="false">
      <c r="A4280" s="4" t="str">
        <f aca="false">B4280&amp;"|"&amp;C4280</f>
        <v>tdbR00000059 Glu-UUC|25</v>
      </c>
      <c r="B4280" s="4" t="s">
        <v>96</v>
      </c>
      <c r="C4280" s="4" t="s">
        <v>442</v>
      </c>
      <c r="D4280" s="4" t="n">
        <v>25</v>
      </c>
      <c r="E4280" s="8" t="s">
        <v>259</v>
      </c>
      <c r="F4280" s="7" t="s">
        <v>425</v>
      </c>
    </row>
    <row r="4281" customFormat="false" ht="15" hidden="false" customHeight="false" outlineLevel="0" collapsed="false">
      <c r="A4281" s="4" t="str">
        <f aca="false">B4281&amp;"|"&amp;C4281</f>
        <v>tdbR00000059 Glu-UUC|26</v>
      </c>
      <c r="B4281" s="4" t="s">
        <v>96</v>
      </c>
      <c r="C4281" s="4" t="s">
        <v>443</v>
      </c>
      <c r="D4281" s="4" t="n">
        <v>26</v>
      </c>
      <c r="E4281" s="3" t="s">
        <v>259</v>
      </c>
      <c r="F4281" s="4" t="s">
        <v>444</v>
      </c>
    </row>
    <row r="4282" customFormat="false" ht="15" hidden="false" customHeight="false" outlineLevel="0" collapsed="false">
      <c r="A4282" s="4" t="str">
        <f aca="false">B4282&amp;"|"&amp;C4282</f>
        <v>tdbR00000059 Glu-UUC|27</v>
      </c>
      <c r="B4282" s="4" t="s">
        <v>96</v>
      </c>
      <c r="C4282" s="4" t="s">
        <v>445</v>
      </c>
      <c r="D4282" s="4" t="n">
        <v>27</v>
      </c>
      <c r="E4282" s="21" t="s">
        <v>414</v>
      </c>
      <c r="F4282" s="22" t="s">
        <v>446</v>
      </c>
    </row>
    <row r="4283" customFormat="false" ht="15" hidden="false" customHeight="false" outlineLevel="0" collapsed="false">
      <c r="A4283" s="4" t="str">
        <f aca="false">B4283&amp;"|"&amp;C4283</f>
        <v>tdbR00000059 Glu-UUC|28</v>
      </c>
      <c r="B4283" s="4" t="s">
        <v>96</v>
      </c>
      <c r="C4283" s="4" t="s">
        <v>447</v>
      </c>
      <c r="D4283" s="4" t="n">
        <v>28</v>
      </c>
      <c r="E4283" s="21" t="s">
        <v>414</v>
      </c>
      <c r="F4283" s="22" t="s">
        <v>446</v>
      </c>
    </row>
    <row r="4284" customFormat="false" ht="15" hidden="false" customHeight="false" outlineLevel="0" collapsed="false">
      <c r="A4284" s="4" t="str">
        <f aca="false">B4284&amp;"|"&amp;C4284</f>
        <v>tdbR00000059 Glu-UUC|29</v>
      </c>
      <c r="B4284" s="4" t="s">
        <v>96</v>
      </c>
      <c r="C4284" s="4" t="s">
        <v>448</v>
      </c>
      <c r="D4284" s="4" t="n">
        <v>29</v>
      </c>
      <c r="E4284" s="21" t="s">
        <v>259</v>
      </c>
      <c r="F4284" s="22" t="s">
        <v>446</v>
      </c>
    </row>
    <row r="4285" customFormat="false" ht="15" hidden="false" customHeight="false" outlineLevel="0" collapsed="false">
      <c r="A4285" s="4" t="str">
        <f aca="false">B4285&amp;"|"&amp;C4285</f>
        <v>tdbR00000059 Glu-UUC|30</v>
      </c>
      <c r="B4285" s="4" t="s">
        <v>96</v>
      </c>
      <c r="C4285" s="4" t="s">
        <v>449</v>
      </c>
      <c r="D4285" s="4" t="n">
        <v>30</v>
      </c>
      <c r="E4285" s="21" t="s">
        <v>197</v>
      </c>
      <c r="F4285" s="22" t="s">
        <v>446</v>
      </c>
    </row>
    <row r="4286" customFormat="false" ht="15" hidden="false" customHeight="false" outlineLevel="0" collapsed="false">
      <c r="A4286" s="4" t="str">
        <f aca="false">B4286&amp;"|"&amp;C4286</f>
        <v>tdbR00000059 Glu-UUC|31</v>
      </c>
      <c r="B4286" s="4" t="s">
        <v>96</v>
      </c>
      <c r="C4286" s="4" t="s">
        <v>450</v>
      </c>
      <c r="D4286" s="4" t="n">
        <v>31</v>
      </c>
      <c r="E4286" s="21" t="s">
        <v>197</v>
      </c>
      <c r="F4286" s="22" t="s">
        <v>446</v>
      </c>
    </row>
    <row r="4287" customFormat="false" ht="15" hidden="false" customHeight="false" outlineLevel="0" collapsed="false">
      <c r="A4287" s="4" t="str">
        <f aca="false">B4287&amp;"|"&amp;C4287</f>
        <v>tdbR00000059 Glu-UUC|32</v>
      </c>
      <c r="B4287" s="4" t="s">
        <v>96</v>
      </c>
      <c r="C4287" s="4" t="s">
        <v>451</v>
      </c>
      <c r="D4287" s="4" t="n">
        <v>32</v>
      </c>
      <c r="E4287" s="19" t="s">
        <v>259</v>
      </c>
      <c r="F4287" s="20" t="s">
        <v>452</v>
      </c>
    </row>
    <row r="4288" customFormat="false" ht="15" hidden="false" customHeight="false" outlineLevel="0" collapsed="false">
      <c r="A4288" s="4" t="str">
        <f aca="false">B4288&amp;"|"&amp;C4288</f>
        <v>tdbR00000059 Glu-UUC|33</v>
      </c>
      <c r="B4288" s="4" t="s">
        <v>96</v>
      </c>
      <c r="C4288" s="4" t="s">
        <v>453</v>
      </c>
      <c r="D4288" s="4" t="n">
        <v>33</v>
      </c>
      <c r="E4288" s="19" t="s">
        <v>259</v>
      </c>
      <c r="F4288" s="20" t="s">
        <v>452</v>
      </c>
    </row>
    <row r="4289" customFormat="false" ht="15" hidden="false" customHeight="false" outlineLevel="0" collapsed="false">
      <c r="A4289" s="4" t="str">
        <f aca="false">B4289&amp;"|"&amp;C4289</f>
        <v>tdbR00000059 Glu-UUC|34</v>
      </c>
      <c r="B4289" s="4" t="s">
        <v>96</v>
      </c>
      <c r="C4289" s="4" t="s">
        <v>454</v>
      </c>
      <c r="D4289" s="4" t="n">
        <v>34</v>
      </c>
      <c r="E4289" s="19" t="s">
        <v>259</v>
      </c>
      <c r="F4289" s="20" t="s">
        <v>452</v>
      </c>
    </row>
    <row r="4290" customFormat="false" ht="15" hidden="false" customHeight="false" outlineLevel="0" collapsed="false">
      <c r="A4290" s="4" t="str">
        <f aca="false">B4290&amp;"|"&amp;C4290</f>
        <v>tdbR00000059 Glu-UUC|35</v>
      </c>
      <c r="B4290" s="4" t="s">
        <v>96</v>
      </c>
      <c r="C4290" s="4" t="s">
        <v>455</v>
      </c>
      <c r="D4290" s="4" t="n">
        <v>35</v>
      </c>
      <c r="E4290" s="19" t="s">
        <v>259</v>
      </c>
      <c r="F4290" s="20" t="s">
        <v>452</v>
      </c>
    </row>
    <row r="4291" customFormat="false" ht="15" hidden="false" customHeight="false" outlineLevel="0" collapsed="false">
      <c r="A4291" s="4" t="str">
        <f aca="false">B4291&amp;"|"&amp;C4291</f>
        <v>tdbR00000059 Glu-UUC|36</v>
      </c>
      <c r="B4291" s="4" t="s">
        <v>96</v>
      </c>
      <c r="C4291" s="4" t="s">
        <v>456</v>
      </c>
      <c r="D4291" s="4" t="n">
        <v>36</v>
      </c>
      <c r="E4291" s="19" t="s">
        <v>414</v>
      </c>
      <c r="F4291" s="20" t="s">
        <v>452</v>
      </c>
    </row>
    <row r="4292" customFormat="false" ht="15" hidden="false" customHeight="false" outlineLevel="0" collapsed="false">
      <c r="A4292" s="4" t="str">
        <f aca="false">B4292&amp;"|"&amp;C4292</f>
        <v>tdbR00000059 Glu-UUC|37</v>
      </c>
      <c r="B4292" s="4" t="s">
        <v>96</v>
      </c>
      <c r="C4292" s="4" t="s">
        <v>457</v>
      </c>
      <c r="D4292" s="4" t="n">
        <v>37</v>
      </c>
      <c r="E4292" s="19" t="s">
        <v>246</v>
      </c>
      <c r="F4292" s="20" t="s">
        <v>452</v>
      </c>
    </row>
    <row r="4293" customFormat="false" ht="15" hidden="false" customHeight="false" outlineLevel="0" collapsed="false">
      <c r="A4293" s="4" t="str">
        <f aca="false">B4293&amp;"|"&amp;C4293</f>
        <v>tdbR00000059 Glu-UUC|38</v>
      </c>
      <c r="B4293" s="4" t="s">
        <v>96</v>
      </c>
      <c r="C4293" s="4" t="s">
        <v>458</v>
      </c>
      <c r="D4293" s="4" t="n">
        <v>38</v>
      </c>
      <c r="E4293" s="19" t="s">
        <v>414</v>
      </c>
      <c r="F4293" s="20" t="s">
        <v>452</v>
      </c>
    </row>
    <row r="4294" customFormat="false" ht="15" hidden="false" customHeight="false" outlineLevel="0" collapsed="false">
      <c r="A4294" s="4" t="str">
        <f aca="false">B4294&amp;"|"&amp;C4294</f>
        <v>tdbR00000059 Glu-UUC|39</v>
      </c>
      <c r="B4294" s="4" t="s">
        <v>96</v>
      </c>
      <c r="C4294" s="4" t="s">
        <v>459</v>
      </c>
      <c r="D4294" s="4" t="n">
        <v>39</v>
      </c>
      <c r="E4294" s="21" t="s">
        <v>414</v>
      </c>
      <c r="F4294" s="22" t="s">
        <v>446</v>
      </c>
    </row>
    <row r="4295" customFormat="false" ht="15" hidden="false" customHeight="false" outlineLevel="0" collapsed="false">
      <c r="A4295" s="4" t="str">
        <f aca="false">B4295&amp;"|"&amp;C4295</f>
        <v>tdbR00000059 Glu-UUC|40</v>
      </c>
      <c r="B4295" s="4" t="s">
        <v>96</v>
      </c>
      <c r="C4295" s="4" t="s">
        <v>460</v>
      </c>
      <c r="D4295" s="4" t="n">
        <v>40</v>
      </c>
      <c r="E4295" s="21" t="s">
        <v>414</v>
      </c>
      <c r="F4295" s="22" t="s">
        <v>446</v>
      </c>
    </row>
    <row r="4296" customFormat="false" ht="15" hidden="false" customHeight="false" outlineLevel="0" collapsed="false">
      <c r="A4296" s="4" t="str">
        <f aca="false">B4296&amp;"|"&amp;C4296</f>
        <v>tdbR00000059 Glu-UUC|41</v>
      </c>
      <c r="B4296" s="4" t="s">
        <v>96</v>
      </c>
      <c r="C4296" s="4" t="s">
        <v>461</v>
      </c>
      <c r="D4296" s="4" t="n">
        <v>41</v>
      </c>
      <c r="E4296" s="21" t="s">
        <v>246</v>
      </c>
      <c r="F4296" s="22" t="s">
        <v>446</v>
      </c>
    </row>
    <row r="4297" customFormat="false" ht="15" hidden="false" customHeight="false" outlineLevel="0" collapsed="false">
      <c r="A4297" s="4" t="str">
        <f aca="false">B4297&amp;"|"&amp;C4297</f>
        <v>tdbR00000059 Glu-UUC|42</v>
      </c>
      <c r="B4297" s="4" t="s">
        <v>96</v>
      </c>
      <c r="C4297" s="4" t="s">
        <v>462</v>
      </c>
      <c r="D4297" s="4" t="n">
        <v>42</v>
      </c>
      <c r="E4297" s="21" t="s">
        <v>197</v>
      </c>
      <c r="F4297" s="22" t="s">
        <v>446</v>
      </c>
    </row>
    <row r="4298" customFormat="false" ht="15" hidden="false" customHeight="false" outlineLevel="0" collapsed="false">
      <c r="A4298" s="4" t="str">
        <f aca="false">B4298&amp;"|"&amp;C4298</f>
        <v>tdbR00000059 Glu-UUC|43</v>
      </c>
      <c r="B4298" s="4" t="s">
        <v>96</v>
      </c>
      <c r="C4298" s="4" t="s">
        <v>463</v>
      </c>
      <c r="D4298" s="4" t="n">
        <v>43</v>
      </c>
      <c r="E4298" s="21" t="s">
        <v>197</v>
      </c>
      <c r="F4298" s="22" t="s">
        <v>446</v>
      </c>
    </row>
    <row r="4299" customFormat="false" ht="15" hidden="false" customHeight="false" outlineLevel="0" collapsed="false">
      <c r="A4299" s="4" t="str">
        <f aca="false">B4299&amp;"|"&amp;C4299</f>
        <v>tdbR00000059 Glu-UUC|44</v>
      </c>
      <c r="B4299" s="4" t="s">
        <v>96</v>
      </c>
      <c r="C4299" s="4" t="s">
        <v>464</v>
      </c>
      <c r="D4299" s="4" t="n">
        <v>44</v>
      </c>
      <c r="E4299" s="19" t="s">
        <v>414</v>
      </c>
      <c r="F4299" s="20" t="s">
        <v>465</v>
      </c>
    </row>
    <row r="4300" customFormat="false" ht="15" hidden="false" customHeight="false" outlineLevel="0" collapsed="false">
      <c r="A4300" s="4" t="str">
        <f aca="false">B4300&amp;"|"&amp;C4300</f>
        <v>tdbR00000059 Glu-UUC|45</v>
      </c>
      <c r="B4300" s="4" t="s">
        <v>96</v>
      </c>
      <c r="C4300" s="4" t="s">
        <v>466</v>
      </c>
      <c r="D4300" s="4" t="n">
        <v>45</v>
      </c>
      <c r="E4300" s="19" t="s">
        <v>197</v>
      </c>
      <c r="F4300" s="20" t="s">
        <v>465</v>
      </c>
    </row>
    <row r="4301" customFormat="false" ht="15" hidden="false" customHeight="false" outlineLevel="0" collapsed="false">
      <c r="A4301" s="4" t="str">
        <f aca="false">B4301&amp;"|"&amp;C4301</f>
        <v>tdbR00000059 Glu-UUC|46</v>
      </c>
      <c r="B4301" s="4" t="s">
        <v>96</v>
      </c>
      <c r="C4301" s="4" t="s">
        <v>467</v>
      </c>
      <c r="D4301" s="4" t="n">
        <v>46</v>
      </c>
      <c r="E4301" s="19" t="s">
        <v>197</v>
      </c>
      <c r="F4301" s="20" t="s">
        <v>465</v>
      </c>
    </row>
    <row r="4302" customFormat="false" ht="15" hidden="false" customHeight="false" outlineLevel="0" collapsed="false">
      <c r="A4302" s="4" t="str">
        <f aca="false">B4302&amp;"|"&amp;C4302</f>
        <v>tdbR00000059 Glu-UUC|48</v>
      </c>
      <c r="B4302" s="4" t="s">
        <v>96</v>
      </c>
      <c r="C4302" s="4" t="s">
        <v>469</v>
      </c>
      <c r="D4302" s="4" t="n">
        <v>47</v>
      </c>
      <c r="E4302" s="19" t="s">
        <v>414</v>
      </c>
      <c r="F4302" s="20" t="s">
        <v>465</v>
      </c>
    </row>
    <row r="4303" customFormat="false" ht="15" hidden="false" customHeight="false" outlineLevel="0" collapsed="false">
      <c r="A4303" s="4" t="str">
        <f aca="false">B4303&amp;"|"&amp;C4303</f>
        <v>tdbR00000059 Glu-UUC|49</v>
      </c>
      <c r="B4303" s="4" t="s">
        <v>96</v>
      </c>
      <c r="C4303" s="4" t="s">
        <v>470</v>
      </c>
      <c r="D4303" s="4" t="n">
        <v>48</v>
      </c>
      <c r="E4303" s="23" t="s">
        <v>414</v>
      </c>
      <c r="F4303" s="10" t="s">
        <v>471</v>
      </c>
    </row>
    <row r="4304" customFormat="false" ht="15" hidden="false" customHeight="false" outlineLevel="0" collapsed="false">
      <c r="A4304" s="4" t="str">
        <f aca="false">B4304&amp;"|"&amp;C4304</f>
        <v>tdbR00000059 Glu-UUC|50</v>
      </c>
      <c r="B4304" s="4" t="s">
        <v>96</v>
      </c>
      <c r="C4304" s="4" t="s">
        <v>472</v>
      </c>
      <c r="D4304" s="4" t="n">
        <v>49</v>
      </c>
      <c r="E4304" s="23" t="s">
        <v>414</v>
      </c>
      <c r="F4304" s="10" t="s">
        <v>471</v>
      </c>
    </row>
    <row r="4305" customFormat="false" ht="15" hidden="false" customHeight="false" outlineLevel="0" collapsed="false">
      <c r="A4305" s="4" t="str">
        <f aca="false">B4305&amp;"|"&amp;C4305</f>
        <v>tdbR00000059 Glu-UUC|51</v>
      </c>
      <c r="B4305" s="4" t="s">
        <v>96</v>
      </c>
      <c r="C4305" s="4" t="s">
        <v>473</v>
      </c>
      <c r="D4305" s="4" t="n">
        <v>50</v>
      </c>
      <c r="E4305" s="23" t="s">
        <v>197</v>
      </c>
      <c r="F4305" s="10" t="s">
        <v>471</v>
      </c>
    </row>
    <row r="4306" customFormat="false" ht="15" hidden="false" customHeight="false" outlineLevel="0" collapsed="false">
      <c r="A4306" s="4" t="str">
        <f aca="false">B4306&amp;"|"&amp;C4306</f>
        <v>tdbR00000059 Glu-UUC|52</v>
      </c>
      <c r="B4306" s="4" t="s">
        <v>96</v>
      </c>
      <c r="C4306" s="4" t="s">
        <v>474</v>
      </c>
      <c r="D4306" s="4" t="n">
        <v>51</v>
      </c>
      <c r="E4306" s="23" t="s">
        <v>197</v>
      </c>
      <c r="F4306" s="10" t="s">
        <v>471</v>
      </c>
    </row>
    <row r="4307" customFormat="false" ht="15" hidden="false" customHeight="false" outlineLevel="0" collapsed="false">
      <c r="A4307" s="4" t="str">
        <f aca="false">B4307&amp;"|"&amp;C4307</f>
        <v>tdbR00000059 Glu-UUC|53</v>
      </c>
      <c r="B4307" s="4" t="s">
        <v>96</v>
      </c>
      <c r="C4307" s="4" t="s">
        <v>475</v>
      </c>
      <c r="D4307" s="4" t="n">
        <v>52</v>
      </c>
      <c r="E4307" s="23" t="s">
        <v>197</v>
      </c>
      <c r="F4307" s="10" t="s">
        <v>471</v>
      </c>
    </row>
    <row r="4308" customFormat="false" ht="15" hidden="false" customHeight="false" outlineLevel="0" collapsed="false">
      <c r="A4308" s="4" t="str">
        <f aca="false">B4308&amp;"|"&amp;C4308</f>
        <v>tdbR00000059 Glu-UUC|54</v>
      </c>
      <c r="B4308" s="4" t="s">
        <v>96</v>
      </c>
      <c r="C4308" s="4" t="s">
        <v>476</v>
      </c>
      <c r="D4308" s="4" t="n">
        <v>53</v>
      </c>
      <c r="E4308" s="19" t="s">
        <v>259</v>
      </c>
      <c r="F4308" s="20" t="s">
        <v>477</v>
      </c>
    </row>
    <row r="4309" customFormat="false" ht="15" hidden="false" customHeight="false" outlineLevel="0" collapsed="false">
      <c r="A4309" s="4" t="str">
        <f aca="false">B4309&amp;"|"&amp;C4309</f>
        <v>tdbR00000059 Glu-UUC|55</v>
      </c>
      <c r="B4309" s="4" t="s">
        <v>96</v>
      </c>
      <c r="C4309" s="4" t="s">
        <v>478</v>
      </c>
      <c r="D4309" s="4" t="n">
        <v>54</v>
      </c>
      <c r="E4309" s="19" t="s">
        <v>259</v>
      </c>
      <c r="F4309" s="20" t="s">
        <v>477</v>
      </c>
    </row>
    <row r="4310" customFormat="false" ht="15" hidden="false" customHeight="false" outlineLevel="0" collapsed="false">
      <c r="A4310" s="4" t="str">
        <f aca="false">B4310&amp;"|"&amp;C4310</f>
        <v>tdbR00000059 Glu-UUC|56</v>
      </c>
      <c r="B4310" s="4" t="s">
        <v>96</v>
      </c>
      <c r="C4310" s="4" t="s">
        <v>479</v>
      </c>
      <c r="D4310" s="4" t="n">
        <v>55</v>
      </c>
      <c r="E4310" s="19" t="s">
        <v>414</v>
      </c>
      <c r="F4310" s="20" t="s">
        <v>477</v>
      </c>
    </row>
    <row r="4311" customFormat="false" ht="15" hidden="false" customHeight="false" outlineLevel="0" collapsed="false">
      <c r="A4311" s="4" t="str">
        <f aca="false">B4311&amp;"|"&amp;C4311</f>
        <v>tdbR00000059 Glu-UUC|57</v>
      </c>
      <c r="B4311" s="4" t="s">
        <v>96</v>
      </c>
      <c r="C4311" s="4" t="s">
        <v>480</v>
      </c>
      <c r="D4311" s="4" t="n">
        <v>56</v>
      </c>
      <c r="E4311" s="19" t="s">
        <v>197</v>
      </c>
      <c r="F4311" s="20" t="s">
        <v>477</v>
      </c>
    </row>
    <row r="4312" customFormat="false" ht="15" hidden="false" customHeight="false" outlineLevel="0" collapsed="false">
      <c r="A4312" s="4" t="str">
        <f aca="false">B4312&amp;"|"&amp;C4312</f>
        <v>tdbR00000059 Glu-UUC|58</v>
      </c>
      <c r="B4312" s="4" t="s">
        <v>96</v>
      </c>
      <c r="C4312" s="4" t="s">
        <v>481</v>
      </c>
      <c r="D4312" s="4" t="n">
        <v>57</v>
      </c>
      <c r="E4312" s="19" t="s">
        <v>246</v>
      </c>
      <c r="F4312" s="20" t="s">
        <v>477</v>
      </c>
    </row>
    <row r="4313" customFormat="false" ht="15" hidden="false" customHeight="false" outlineLevel="0" collapsed="false">
      <c r="A4313" s="4" t="str">
        <f aca="false">B4313&amp;"|"&amp;C4313</f>
        <v>tdbR00000059 Glu-UUC|59</v>
      </c>
      <c r="B4313" s="4" t="s">
        <v>96</v>
      </c>
      <c r="C4313" s="4" t="s">
        <v>482</v>
      </c>
      <c r="D4313" s="4" t="n">
        <v>58</v>
      </c>
      <c r="E4313" s="19" t="s">
        <v>414</v>
      </c>
      <c r="F4313" s="20" t="s">
        <v>477</v>
      </c>
    </row>
    <row r="4314" customFormat="false" ht="15" hidden="false" customHeight="false" outlineLevel="0" collapsed="false">
      <c r="A4314" s="4" t="str">
        <f aca="false">B4314&amp;"|"&amp;C4314</f>
        <v>tdbR00000059 Glu-UUC|60</v>
      </c>
      <c r="B4314" s="4" t="s">
        <v>96</v>
      </c>
      <c r="C4314" s="4" t="s">
        <v>483</v>
      </c>
      <c r="D4314" s="4" t="n">
        <v>59</v>
      </c>
      <c r="E4314" s="19" t="s">
        <v>259</v>
      </c>
      <c r="F4314" s="20" t="s">
        <v>477</v>
      </c>
    </row>
    <row r="4315" customFormat="false" ht="15" hidden="false" customHeight="false" outlineLevel="0" collapsed="false">
      <c r="A4315" s="4" t="str">
        <f aca="false">B4315&amp;"|"&amp;C4315</f>
        <v>tdbR00000059 Glu-UUC|61</v>
      </c>
      <c r="B4315" s="4" t="s">
        <v>96</v>
      </c>
      <c r="C4315" s="4" t="s">
        <v>484</v>
      </c>
      <c r="D4315" s="4" t="n">
        <v>60</v>
      </c>
      <c r="E4315" s="23" t="s">
        <v>414</v>
      </c>
      <c r="F4315" s="10" t="s">
        <v>471</v>
      </c>
    </row>
    <row r="4316" customFormat="false" ht="15" hidden="false" customHeight="false" outlineLevel="0" collapsed="false">
      <c r="A4316" s="4" t="str">
        <f aca="false">B4316&amp;"|"&amp;C4316</f>
        <v>tdbR00000059 Glu-UUC|62</v>
      </c>
      <c r="B4316" s="4" t="s">
        <v>96</v>
      </c>
      <c r="C4316" s="4" t="s">
        <v>485</v>
      </c>
      <c r="D4316" s="4" t="n">
        <v>61</v>
      </c>
      <c r="E4316" s="23" t="s">
        <v>414</v>
      </c>
      <c r="F4316" s="10" t="s">
        <v>471</v>
      </c>
    </row>
    <row r="4317" customFormat="false" ht="15" hidden="false" customHeight="false" outlineLevel="0" collapsed="false">
      <c r="A4317" s="4" t="str">
        <f aca="false">B4317&amp;"|"&amp;C4317</f>
        <v>tdbR00000059 Glu-UUC|63</v>
      </c>
      <c r="B4317" s="4" t="s">
        <v>96</v>
      </c>
      <c r="C4317" s="4" t="s">
        <v>486</v>
      </c>
      <c r="D4317" s="4" t="n">
        <v>62</v>
      </c>
      <c r="E4317" s="23" t="s">
        <v>414</v>
      </c>
      <c r="F4317" s="10" t="s">
        <v>471</v>
      </c>
    </row>
    <row r="4318" customFormat="false" ht="15" hidden="false" customHeight="false" outlineLevel="0" collapsed="false">
      <c r="A4318" s="4" t="str">
        <f aca="false">B4318&amp;"|"&amp;C4318</f>
        <v>tdbR00000059 Glu-UUC|64</v>
      </c>
      <c r="B4318" s="4" t="s">
        <v>96</v>
      </c>
      <c r="C4318" s="4" t="s">
        <v>487</v>
      </c>
      <c r="D4318" s="4" t="n">
        <v>63</v>
      </c>
      <c r="E4318" s="23" t="s">
        <v>197</v>
      </c>
      <c r="F4318" s="10" t="s">
        <v>471</v>
      </c>
    </row>
    <row r="4319" customFormat="false" ht="15" hidden="false" customHeight="false" outlineLevel="0" collapsed="false">
      <c r="A4319" s="4" t="str">
        <f aca="false">B4319&amp;"|"&amp;C4319</f>
        <v>tdbR00000059 Glu-UUC|65</v>
      </c>
      <c r="B4319" s="4" t="s">
        <v>96</v>
      </c>
      <c r="C4319" s="4" t="s">
        <v>488</v>
      </c>
      <c r="D4319" s="4" t="n">
        <v>64</v>
      </c>
      <c r="E4319" s="23" t="s">
        <v>197</v>
      </c>
      <c r="F4319" s="10" t="s">
        <v>471</v>
      </c>
    </row>
    <row r="4320" customFormat="false" ht="15" hidden="false" customHeight="false" outlineLevel="0" collapsed="false">
      <c r="A4320" s="4" t="str">
        <f aca="false">B4320&amp;"|"&amp;C4320</f>
        <v>tdbR00000059 Glu-UUC|66</v>
      </c>
      <c r="B4320" s="4" t="s">
        <v>96</v>
      </c>
      <c r="C4320" s="4" t="s">
        <v>489</v>
      </c>
      <c r="D4320" s="4" t="n">
        <v>65</v>
      </c>
      <c r="E4320" s="17" t="s">
        <v>259</v>
      </c>
      <c r="F4320" s="18" t="s">
        <v>412</v>
      </c>
    </row>
    <row r="4321" customFormat="false" ht="15" hidden="false" customHeight="false" outlineLevel="0" collapsed="false">
      <c r="A4321" s="4" t="str">
        <f aca="false">B4321&amp;"|"&amp;C4321</f>
        <v>tdbR00000059 Glu-UUC|67</v>
      </c>
      <c r="B4321" s="4" t="s">
        <v>96</v>
      </c>
      <c r="C4321" s="4" t="s">
        <v>490</v>
      </c>
      <c r="D4321" s="4" t="n">
        <v>66</v>
      </c>
      <c r="E4321" s="17" t="s">
        <v>197</v>
      </c>
      <c r="F4321" s="18" t="s">
        <v>412</v>
      </c>
    </row>
    <row r="4322" customFormat="false" ht="15" hidden="false" customHeight="false" outlineLevel="0" collapsed="false">
      <c r="A4322" s="4" t="str">
        <f aca="false">B4322&amp;"|"&amp;C4322</f>
        <v>tdbR00000059 Glu-UUC|68</v>
      </c>
      <c r="B4322" s="4" t="s">
        <v>96</v>
      </c>
      <c r="C4322" s="4" t="s">
        <v>491</v>
      </c>
      <c r="D4322" s="4" t="n">
        <v>67</v>
      </c>
      <c r="E4322" s="17" t="s">
        <v>259</v>
      </c>
      <c r="F4322" s="18" t="s">
        <v>412</v>
      </c>
    </row>
    <row r="4323" customFormat="false" ht="15" hidden="false" customHeight="false" outlineLevel="0" collapsed="false">
      <c r="A4323" s="4" t="str">
        <f aca="false">B4323&amp;"|"&amp;C4323</f>
        <v>tdbR00000059 Glu-UUC|69</v>
      </c>
      <c r="B4323" s="4" t="s">
        <v>96</v>
      </c>
      <c r="C4323" s="4" t="s">
        <v>492</v>
      </c>
      <c r="D4323" s="4" t="n">
        <v>68</v>
      </c>
      <c r="E4323" s="17" t="s">
        <v>197</v>
      </c>
      <c r="F4323" s="18" t="s">
        <v>412</v>
      </c>
    </row>
    <row r="4324" customFormat="false" ht="15" hidden="false" customHeight="false" outlineLevel="0" collapsed="false">
      <c r="A4324" s="4" t="str">
        <f aca="false">B4324&amp;"|"&amp;C4324</f>
        <v>tdbR00000059 Glu-UUC|70</v>
      </c>
      <c r="B4324" s="4" t="s">
        <v>96</v>
      </c>
      <c r="C4324" s="4" t="s">
        <v>493</v>
      </c>
      <c r="D4324" s="4" t="n">
        <v>69</v>
      </c>
      <c r="E4324" s="17" t="s">
        <v>197</v>
      </c>
      <c r="F4324" s="18" t="s">
        <v>412</v>
      </c>
    </row>
    <row r="4325" customFormat="false" ht="15" hidden="false" customHeight="false" outlineLevel="0" collapsed="false">
      <c r="A4325" s="4" t="str">
        <f aca="false">B4325&amp;"|"&amp;C4325</f>
        <v>tdbR00000059 Glu-UUC|71</v>
      </c>
      <c r="B4325" s="4" t="s">
        <v>96</v>
      </c>
      <c r="C4325" s="4" t="s">
        <v>494</v>
      </c>
      <c r="D4325" s="4" t="n">
        <v>70</v>
      </c>
      <c r="E4325" s="17" t="s">
        <v>197</v>
      </c>
      <c r="F4325" s="18" t="s">
        <v>412</v>
      </c>
    </row>
    <row r="4326" customFormat="false" ht="15" hidden="false" customHeight="false" outlineLevel="0" collapsed="false">
      <c r="A4326" s="4" t="str">
        <f aca="false">B4326&amp;"|"&amp;C4326</f>
        <v>tdbR00000059 Glu-UUC|72</v>
      </c>
      <c r="B4326" s="4" t="s">
        <v>96</v>
      </c>
      <c r="C4326" s="4" t="s">
        <v>495</v>
      </c>
      <c r="D4326" s="4" t="n">
        <v>71</v>
      </c>
      <c r="E4326" s="17" t="s">
        <v>246</v>
      </c>
      <c r="F4326" s="18" t="s">
        <v>412</v>
      </c>
    </row>
    <row r="4327" customFormat="false" ht="15" hidden="false" customHeight="false" outlineLevel="0" collapsed="false">
      <c r="A4327" s="4" t="str">
        <f aca="false">B4327&amp;"|"&amp;C4327</f>
        <v>tdbR00000197 Lys-UUU|1</v>
      </c>
      <c r="B4327" s="4" t="s">
        <v>97</v>
      </c>
      <c r="C4327" s="4" t="s">
        <v>411</v>
      </c>
      <c r="D4327" s="4" t="n">
        <v>1</v>
      </c>
      <c r="E4327" s="17" t="s">
        <v>197</v>
      </c>
      <c r="F4327" s="18" t="s">
        <v>412</v>
      </c>
    </row>
    <row r="4328" customFormat="false" ht="15" hidden="false" customHeight="false" outlineLevel="0" collapsed="false">
      <c r="A4328" s="4" t="str">
        <f aca="false">B4328&amp;"|"&amp;C4328</f>
        <v>tdbR00000197 Lys-UUU|2</v>
      </c>
      <c r="B4328" s="4" t="s">
        <v>97</v>
      </c>
      <c r="C4328" s="4" t="s">
        <v>413</v>
      </c>
      <c r="D4328" s="4" t="n">
        <v>2</v>
      </c>
      <c r="E4328" s="17" t="s">
        <v>414</v>
      </c>
      <c r="F4328" s="18" t="s">
        <v>412</v>
      </c>
    </row>
    <row r="4329" customFormat="false" ht="15" hidden="false" customHeight="false" outlineLevel="0" collapsed="false">
      <c r="A4329" s="4" t="str">
        <f aca="false">B4329&amp;"|"&amp;C4329</f>
        <v>tdbR00000197 Lys-UUU|3</v>
      </c>
      <c r="B4329" s="4" t="s">
        <v>97</v>
      </c>
      <c r="C4329" s="4" t="s">
        <v>415</v>
      </c>
      <c r="D4329" s="4" t="n">
        <v>3</v>
      </c>
      <c r="E4329" s="17" t="s">
        <v>414</v>
      </c>
      <c r="F4329" s="18" t="s">
        <v>412</v>
      </c>
    </row>
    <row r="4330" customFormat="false" ht="15" hidden="false" customHeight="false" outlineLevel="0" collapsed="false">
      <c r="A4330" s="4" t="str">
        <f aca="false">B4330&amp;"|"&amp;C4330</f>
        <v>tdbR00000197 Lys-UUU|4</v>
      </c>
      <c r="B4330" s="4" t="s">
        <v>97</v>
      </c>
      <c r="C4330" s="4" t="s">
        <v>416</v>
      </c>
      <c r="D4330" s="4" t="n">
        <v>4</v>
      </c>
      <c r="E4330" s="17" t="s">
        <v>414</v>
      </c>
      <c r="F4330" s="18" t="s">
        <v>412</v>
      </c>
    </row>
    <row r="4331" customFormat="false" ht="15" hidden="false" customHeight="false" outlineLevel="0" collapsed="false">
      <c r="A4331" s="4" t="str">
        <f aca="false">B4331&amp;"|"&amp;C4331</f>
        <v>tdbR00000197 Lys-UUU|5</v>
      </c>
      <c r="B4331" s="4" t="s">
        <v>97</v>
      </c>
      <c r="C4331" s="4" t="s">
        <v>417</v>
      </c>
      <c r="D4331" s="4" t="n">
        <v>5</v>
      </c>
      <c r="E4331" s="17" t="s">
        <v>197</v>
      </c>
      <c r="F4331" s="18" t="s">
        <v>412</v>
      </c>
    </row>
    <row r="4332" customFormat="false" ht="15" hidden="false" customHeight="false" outlineLevel="0" collapsed="false">
      <c r="A4332" s="4" t="str">
        <f aca="false">B4332&amp;"|"&amp;C4332</f>
        <v>tdbR00000197 Lys-UUU|6</v>
      </c>
      <c r="B4332" s="4" t="s">
        <v>97</v>
      </c>
      <c r="C4332" s="4" t="s">
        <v>418</v>
      </c>
      <c r="D4332" s="4" t="n">
        <v>6</v>
      </c>
      <c r="E4332" s="17" t="s">
        <v>197</v>
      </c>
      <c r="F4332" s="18" t="s">
        <v>412</v>
      </c>
    </row>
    <row r="4333" customFormat="false" ht="15" hidden="false" customHeight="false" outlineLevel="0" collapsed="false">
      <c r="A4333" s="4" t="str">
        <f aca="false">B4333&amp;"|"&amp;C4333</f>
        <v>tdbR00000197 Lys-UUU|7</v>
      </c>
      <c r="B4333" s="4" t="s">
        <v>97</v>
      </c>
      <c r="C4333" s="4" t="s">
        <v>419</v>
      </c>
      <c r="D4333" s="4" t="n">
        <v>7</v>
      </c>
      <c r="E4333" s="17" t="s">
        <v>246</v>
      </c>
      <c r="F4333" s="18" t="s">
        <v>412</v>
      </c>
    </row>
    <row r="4334" customFormat="false" ht="15" hidden="false" customHeight="false" outlineLevel="0" collapsed="false">
      <c r="A4334" s="4" t="str">
        <f aca="false">B4334&amp;"|"&amp;C4334</f>
        <v>tdbR00000197 Lys-UUU|8</v>
      </c>
      <c r="B4334" s="4" t="s">
        <v>97</v>
      </c>
      <c r="C4334" s="4" t="s">
        <v>420</v>
      </c>
      <c r="D4334" s="4" t="n">
        <v>8</v>
      </c>
      <c r="E4334" s="3" t="s">
        <v>259</v>
      </c>
      <c r="F4334" s="4" t="s">
        <v>421</v>
      </c>
    </row>
    <row r="4335" customFormat="false" ht="15" hidden="false" customHeight="false" outlineLevel="0" collapsed="false">
      <c r="A4335" s="4" t="str">
        <f aca="false">B4335&amp;"|"&amp;C4335</f>
        <v>tdbR00000197 Lys-UUU|9</v>
      </c>
      <c r="B4335" s="4" t="s">
        <v>97</v>
      </c>
      <c r="C4335" s="4" t="s">
        <v>422</v>
      </c>
      <c r="D4335" s="4" t="n">
        <v>9</v>
      </c>
      <c r="E4335" s="3" t="s">
        <v>246</v>
      </c>
      <c r="F4335" s="4" t="s">
        <v>423</v>
      </c>
    </row>
    <row r="4336" customFormat="false" ht="15" hidden="false" customHeight="false" outlineLevel="0" collapsed="false">
      <c r="A4336" s="4" t="str">
        <f aca="false">B4336&amp;"|"&amp;C4336</f>
        <v>tdbR00000197 Lys-UUU|10</v>
      </c>
      <c r="B4336" s="4" t="s">
        <v>97</v>
      </c>
      <c r="C4336" s="4" t="s">
        <v>424</v>
      </c>
      <c r="D4336" s="4" t="n">
        <v>10</v>
      </c>
      <c r="E4336" s="8" t="s">
        <v>197</v>
      </c>
      <c r="F4336" s="7" t="s">
        <v>425</v>
      </c>
    </row>
    <row r="4337" customFormat="false" ht="15" hidden="false" customHeight="false" outlineLevel="0" collapsed="false">
      <c r="A4337" s="4" t="str">
        <f aca="false">B4337&amp;"|"&amp;C4337</f>
        <v>tdbR00000197 Lys-UUU|11</v>
      </c>
      <c r="B4337" s="4" t="s">
        <v>97</v>
      </c>
      <c r="C4337" s="4" t="s">
        <v>426</v>
      </c>
      <c r="D4337" s="4" t="n">
        <v>11</v>
      </c>
      <c r="E4337" s="8" t="s">
        <v>414</v>
      </c>
      <c r="F4337" s="7" t="s">
        <v>425</v>
      </c>
    </row>
    <row r="4338" customFormat="false" ht="15" hidden="false" customHeight="false" outlineLevel="0" collapsed="false">
      <c r="A4338" s="4" t="str">
        <f aca="false">B4338&amp;"|"&amp;C4338</f>
        <v>tdbR00000197 Lys-UUU|12</v>
      </c>
      <c r="B4338" s="4" t="s">
        <v>97</v>
      </c>
      <c r="C4338" s="4" t="s">
        <v>427</v>
      </c>
      <c r="D4338" s="4" t="n">
        <v>12</v>
      </c>
      <c r="E4338" s="8" t="s">
        <v>259</v>
      </c>
      <c r="F4338" s="7" t="s">
        <v>425</v>
      </c>
    </row>
    <row r="4339" customFormat="false" ht="15" hidden="false" customHeight="false" outlineLevel="0" collapsed="false">
      <c r="A4339" s="4" t="str">
        <f aca="false">B4339&amp;"|"&amp;C4339</f>
        <v>tdbR00000197 Lys-UUU|13</v>
      </c>
      <c r="B4339" s="4" t="s">
        <v>97</v>
      </c>
      <c r="C4339" s="4" t="s">
        <v>428</v>
      </c>
      <c r="D4339" s="4" t="n">
        <v>13</v>
      </c>
      <c r="E4339" s="8" t="s">
        <v>414</v>
      </c>
      <c r="F4339" s="7" t="s">
        <v>425</v>
      </c>
    </row>
    <row r="4340" customFormat="false" ht="15" hidden="false" customHeight="false" outlineLevel="0" collapsed="false">
      <c r="A4340" s="4" t="str">
        <f aca="false">B4340&amp;"|"&amp;C4340</f>
        <v>tdbR00000197 Lys-UUU|14</v>
      </c>
      <c r="B4340" s="4" t="s">
        <v>97</v>
      </c>
      <c r="C4340" s="4" t="s">
        <v>429</v>
      </c>
      <c r="D4340" s="4" t="n">
        <v>14</v>
      </c>
      <c r="E4340" s="19" t="s">
        <v>246</v>
      </c>
      <c r="F4340" s="20" t="s">
        <v>430</v>
      </c>
    </row>
    <row r="4341" customFormat="false" ht="15" hidden="false" customHeight="false" outlineLevel="0" collapsed="false">
      <c r="A4341" s="4" t="str">
        <f aca="false">B4341&amp;"|"&amp;C4341</f>
        <v>tdbR00000197 Lys-UUU|15</v>
      </c>
      <c r="B4341" s="4" t="s">
        <v>97</v>
      </c>
      <c r="C4341" s="4" t="s">
        <v>431</v>
      </c>
      <c r="D4341" s="4" t="n">
        <v>15</v>
      </c>
      <c r="E4341" s="19" t="s">
        <v>197</v>
      </c>
      <c r="F4341" s="20" t="s">
        <v>430</v>
      </c>
    </row>
    <row r="4342" customFormat="false" ht="15" hidden="false" customHeight="false" outlineLevel="0" collapsed="false">
      <c r="A4342" s="4" t="str">
        <f aca="false">B4342&amp;"|"&amp;C4342</f>
        <v>tdbR00000197 Lys-UUU|16</v>
      </c>
      <c r="B4342" s="4" t="s">
        <v>97</v>
      </c>
      <c r="C4342" s="4" t="s">
        <v>432</v>
      </c>
      <c r="D4342" s="4" t="n">
        <v>16</v>
      </c>
      <c r="E4342" s="19" t="s">
        <v>259</v>
      </c>
      <c r="F4342" s="20" t="s">
        <v>430</v>
      </c>
    </row>
    <row r="4343" customFormat="false" ht="15" hidden="false" customHeight="false" outlineLevel="0" collapsed="false">
      <c r="A4343" s="4" t="str">
        <f aca="false">B4343&amp;"|"&amp;C4343</f>
        <v>tdbR00000197 Lys-UUU|17</v>
      </c>
      <c r="B4343" s="4" t="s">
        <v>97</v>
      </c>
      <c r="C4343" s="4" t="s">
        <v>433</v>
      </c>
      <c r="D4343" s="4" t="n">
        <v>17</v>
      </c>
      <c r="E4343" s="19" t="s">
        <v>414</v>
      </c>
      <c r="F4343" s="20" t="s">
        <v>430</v>
      </c>
    </row>
    <row r="4344" customFormat="false" ht="15" hidden="false" customHeight="false" outlineLevel="0" collapsed="false">
      <c r="A4344" s="4" t="str">
        <f aca="false">B4344&amp;"|"&amp;C4344</f>
        <v>tdbR00000197 Lys-UUU|18</v>
      </c>
      <c r="B4344" s="4" t="s">
        <v>97</v>
      </c>
      <c r="C4344" s="4" t="s">
        <v>434</v>
      </c>
      <c r="D4344" s="4" t="n">
        <v>18</v>
      </c>
      <c r="E4344" s="19" t="s">
        <v>197</v>
      </c>
      <c r="F4344" s="20" t="s">
        <v>430</v>
      </c>
    </row>
    <row r="4345" customFormat="false" ht="15" hidden="false" customHeight="false" outlineLevel="0" collapsed="false">
      <c r="A4345" s="4" t="str">
        <f aca="false">B4345&amp;"|"&amp;C4345</f>
        <v>tdbR00000197 Lys-UUU|19</v>
      </c>
      <c r="B4345" s="4" t="s">
        <v>97</v>
      </c>
      <c r="C4345" s="4" t="s">
        <v>435</v>
      </c>
      <c r="D4345" s="4" t="n">
        <v>19</v>
      </c>
      <c r="E4345" s="19" t="s">
        <v>197</v>
      </c>
      <c r="F4345" s="20" t="s">
        <v>430</v>
      </c>
    </row>
    <row r="4346" customFormat="false" ht="15" hidden="false" customHeight="false" outlineLevel="0" collapsed="false">
      <c r="A4346" s="4" t="str">
        <f aca="false">B4346&amp;"|"&amp;C4346</f>
        <v>tdbR00000197 Lys-UUU|20</v>
      </c>
      <c r="B4346" s="4" t="s">
        <v>97</v>
      </c>
      <c r="C4346" s="4" t="s">
        <v>436</v>
      </c>
      <c r="D4346" s="4" t="n">
        <v>20</v>
      </c>
      <c r="E4346" s="19" t="s">
        <v>259</v>
      </c>
      <c r="F4346" s="20" t="s">
        <v>430</v>
      </c>
    </row>
    <row r="4347" customFormat="false" ht="15" hidden="false" customHeight="false" outlineLevel="0" collapsed="false">
      <c r="A4347" s="4" t="str">
        <f aca="false">B4347&amp;"|"&amp;C4347</f>
        <v>tdbR00000197 Lys-UUU|21</v>
      </c>
      <c r="B4347" s="4" t="s">
        <v>97</v>
      </c>
      <c r="C4347" s="4" t="s">
        <v>438</v>
      </c>
      <c r="D4347" s="4" t="n">
        <v>21</v>
      </c>
      <c r="E4347" s="19" t="s">
        <v>246</v>
      </c>
      <c r="F4347" s="20" t="s">
        <v>430</v>
      </c>
    </row>
    <row r="4348" customFormat="false" ht="15" hidden="false" customHeight="false" outlineLevel="0" collapsed="false">
      <c r="A4348" s="4" t="str">
        <f aca="false">B4348&amp;"|"&amp;C4348</f>
        <v>tdbR00000197 Lys-UUU|22</v>
      </c>
      <c r="B4348" s="4" t="s">
        <v>97</v>
      </c>
      <c r="C4348" s="4" t="s">
        <v>439</v>
      </c>
      <c r="D4348" s="4" t="n">
        <v>22</v>
      </c>
      <c r="E4348" s="8" t="s">
        <v>197</v>
      </c>
      <c r="F4348" s="7" t="s">
        <v>425</v>
      </c>
    </row>
    <row r="4349" customFormat="false" ht="15" hidden="false" customHeight="false" outlineLevel="0" collapsed="false">
      <c r="A4349" s="4" t="str">
        <f aca="false">B4349&amp;"|"&amp;C4349</f>
        <v>tdbR00000197 Lys-UUU|23</v>
      </c>
      <c r="B4349" s="4" t="s">
        <v>97</v>
      </c>
      <c r="C4349" s="4" t="s">
        <v>440</v>
      </c>
      <c r="D4349" s="4" t="n">
        <v>23</v>
      </c>
      <c r="E4349" s="8" t="s">
        <v>246</v>
      </c>
      <c r="F4349" s="7" t="s">
        <v>425</v>
      </c>
    </row>
    <row r="4350" customFormat="false" ht="15" hidden="false" customHeight="false" outlineLevel="0" collapsed="false">
      <c r="A4350" s="4" t="str">
        <f aca="false">B4350&amp;"|"&amp;C4350</f>
        <v>tdbR00000197 Lys-UUU|24</v>
      </c>
      <c r="B4350" s="4" t="s">
        <v>97</v>
      </c>
      <c r="C4350" s="4" t="s">
        <v>441</v>
      </c>
      <c r="D4350" s="4" t="n">
        <v>24</v>
      </c>
      <c r="E4350" s="8" t="s">
        <v>197</v>
      </c>
      <c r="F4350" s="7" t="s">
        <v>425</v>
      </c>
    </row>
    <row r="4351" customFormat="false" ht="15" hidden="false" customHeight="false" outlineLevel="0" collapsed="false">
      <c r="A4351" s="4" t="str">
        <f aca="false">B4351&amp;"|"&amp;C4351</f>
        <v>tdbR00000197 Lys-UUU|25</v>
      </c>
      <c r="B4351" s="4" t="s">
        <v>97</v>
      </c>
      <c r="C4351" s="4" t="s">
        <v>442</v>
      </c>
      <c r="D4351" s="4" t="n">
        <v>25</v>
      </c>
      <c r="E4351" s="8" t="s">
        <v>414</v>
      </c>
      <c r="F4351" s="7" t="s">
        <v>425</v>
      </c>
    </row>
    <row r="4352" customFormat="false" ht="15" hidden="false" customHeight="false" outlineLevel="0" collapsed="false">
      <c r="A4352" s="4" t="str">
        <f aca="false">B4352&amp;"|"&amp;C4352</f>
        <v>tdbR00000197 Lys-UUU|26</v>
      </c>
      <c r="B4352" s="4" t="s">
        <v>97</v>
      </c>
      <c r="C4352" s="4" t="s">
        <v>443</v>
      </c>
      <c r="D4352" s="4" t="n">
        <v>26</v>
      </c>
      <c r="E4352" s="3" t="s">
        <v>246</v>
      </c>
      <c r="F4352" s="4" t="s">
        <v>444</v>
      </c>
    </row>
    <row r="4353" customFormat="false" ht="15" hidden="false" customHeight="false" outlineLevel="0" collapsed="false">
      <c r="A4353" s="4" t="str">
        <f aca="false">B4353&amp;"|"&amp;C4353</f>
        <v>tdbR00000197 Lys-UUU|27</v>
      </c>
      <c r="B4353" s="4" t="s">
        <v>97</v>
      </c>
      <c r="C4353" s="4" t="s">
        <v>445</v>
      </c>
      <c r="D4353" s="4" t="n">
        <v>27</v>
      </c>
      <c r="E4353" s="21" t="s">
        <v>259</v>
      </c>
      <c r="F4353" s="22" t="s">
        <v>446</v>
      </c>
    </row>
    <row r="4354" customFormat="false" ht="15" hidden="false" customHeight="false" outlineLevel="0" collapsed="false">
      <c r="A4354" s="4" t="str">
        <f aca="false">B4354&amp;"|"&amp;C4354</f>
        <v>tdbR00000197 Lys-UUU|28</v>
      </c>
      <c r="B4354" s="4" t="s">
        <v>97</v>
      </c>
      <c r="C4354" s="4" t="s">
        <v>447</v>
      </c>
      <c r="D4354" s="4" t="n">
        <v>28</v>
      </c>
      <c r="E4354" s="21" t="s">
        <v>414</v>
      </c>
      <c r="F4354" s="22" t="s">
        <v>446</v>
      </c>
    </row>
    <row r="4355" customFormat="false" ht="15" hidden="false" customHeight="false" outlineLevel="0" collapsed="false">
      <c r="A4355" s="4" t="str">
        <f aca="false">B4355&amp;"|"&amp;C4355</f>
        <v>tdbR00000197 Lys-UUU|29</v>
      </c>
      <c r="B4355" s="4" t="s">
        <v>97</v>
      </c>
      <c r="C4355" s="4" t="s">
        <v>448</v>
      </c>
      <c r="D4355" s="4" t="n">
        <v>29</v>
      </c>
      <c r="E4355" s="21" t="s">
        <v>246</v>
      </c>
      <c r="F4355" s="22" t="s">
        <v>446</v>
      </c>
    </row>
    <row r="4356" customFormat="false" ht="15" hidden="false" customHeight="false" outlineLevel="0" collapsed="false">
      <c r="A4356" s="4" t="str">
        <f aca="false">B4356&amp;"|"&amp;C4356</f>
        <v>tdbR00000197 Lys-UUU|30</v>
      </c>
      <c r="B4356" s="4" t="s">
        <v>97</v>
      </c>
      <c r="C4356" s="4" t="s">
        <v>449</v>
      </c>
      <c r="D4356" s="4" t="n">
        <v>30</v>
      </c>
      <c r="E4356" s="21" t="s">
        <v>197</v>
      </c>
      <c r="F4356" s="22" t="s">
        <v>446</v>
      </c>
    </row>
    <row r="4357" customFormat="false" ht="15" hidden="false" customHeight="false" outlineLevel="0" collapsed="false">
      <c r="A4357" s="4" t="str">
        <f aca="false">B4357&amp;"|"&amp;C4357</f>
        <v>tdbR00000197 Lys-UUU|31</v>
      </c>
      <c r="B4357" s="4" t="s">
        <v>97</v>
      </c>
      <c r="C4357" s="4" t="s">
        <v>450</v>
      </c>
      <c r="D4357" s="4" t="n">
        <v>31</v>
      </c>
      <c r="E4357" s="21" t="s">
        <v>246</v>
      </c>
      <c r="F4357" s="22" t="s">
        <v>446</v>
      </c>
    </row>
    <row r="4358" customFormat="false" ht="15" hidden="false" customHeight="false" outlineLevel="0" collapsed="false">
      <c r="A4358" s="4" t="str">
        <f aca="false">B4358&amp;"|"&amp;C4358</f>
        <v>tdbR00000197 Lys-UUU|32</v>
      </c>
      <c r="B4358" s="4" t="s">
        <v>97</v>
      </c>
      <c r="C4358" s="4" t="s">
        <v>451</v>
      </c>
      <c r="D4358" s="4" t="n">
        <v>32</v>
      </c>
      <c r="E4358" s="19" t="s">
        <v>414</v>
      </c>
      <c r="F4358" s="20" t="s">
        <v>452</v>
      </c>
    </row>
    <row r="4359" customFormat="false" ht="15" hidden="false" customHeight="false" outlineLevel="0" collapsed="false">
      <c r="A4359" s="4" t="str">
        <f aca="false">B4359&amp;"|"&amp;C4359</f>
        <v>tdbR00000197 Lys-UUU|33</v>
      </c>
      <c r="B4359" s="4" t="s">
        <v>97</v>
      </c>
      <c r="C4359" s="4" t="s">
        <v>453</v>
      </c>
      <c r="D4359" s="4" t="n">
        <v>33</v>
      </c>
      <c r="E4359" s="19" t="s">
        <v>259</v>
      </c>
      <c r="F4359" s="20" t="s">
        <v>452</v>
      </c>
    </row>
    <row r="4360" customFormat="false" ht="15" hidden="false" customHeight="false" outlineLevel="0" collapsed="false">
      <c r="A4360" s="4" t="str">
        <f aca="false">B4360&amp;"|"&amp;C4360</f>
        <v>tdbR00000197 Lys-UUU|34</v>
      </c>
      <c r="B4360" s="4" t="s">
        <v>97</v>
      </c>
      <c r="C4360" s="4" t="s">
        <v>454</v>
      </c>
      <c r="D4360" s="4" t="n">
        <v>34</v>
      </c>
      <c r="E4360" s="19" t="s">
        <v>259</v>
      </c>
      <c r="F4360" s="20" t="s">
        <v>452</v>
      </c>
    </row>
    <row r="4361" customFormat="false" ht="15" hidden="false" customHeight="false" outlineLevel="0" collapsed="false">
      <c r="A4361" s="4" t="str">
        <f aca="false">B4361&amp;"|"&amp;C4361</f>
        <v>tdbR00000197 Lys-UUU|35</v>
      </c>
      <c r="B4361" s="4" t="s">
        <v>97</v>
      </c>
      <c r="C4361" s="4" t="s">
        <v>455</v>
      </c>
      <c r="D4361" s="4" t="n">
        <v>35</v>
      </c>
      <c r="E4361" s="19" t="s">
        <v>259</v>
      </c>
      <c r="F4361" s="20" t="s">
        <v>452</v>
      </c>
    </row>
    <row r="4362" customFormat="false" ht="15" hidden="false" customHeight="false" outlineLevel="0" collapsed="false">
      <c r="A4362" s="4" t="str">
        <f aca="false">B4362&amp;"|"&amp;C4362</f>
        <v>tdbR00000197 Lys-UUU|36</v>
      </c>
      <c r="B4362" s="4" t="s">
        <v>97</v>
      </c>
      <c r="C4362" s="4" t="s">
        <v>456</v>
      </c>
      <c r="D4362" s="4" t="n">
        <v>36</v>
      </c>
      <c r="E4362" s="19" t="s">
        <v>259</v>
      </c>
      <c r="F4362" s="20" t="s">
        <v>452</v>
      </c>
    </row>
    <row r="4363" customFormat="false" ht="15" hidden="false" customHeight="false" outlineLevel="0" collapsed="false">
      <c r="A4363" s="4" t="str">
        <f aca="false">B4363&amp;"|"&amp;C4363</f>
        <v>tdbR00000197 Lys-UUU|37</v>
      </c>
      <c r="B4363" s="4" t="s">
        <v>97</v>
      </c>
      <c r="C4363" s="4" t="s">
        <v>457</v>
      </c>
      <c r="D4363" s="4" t="n">
        <v>37</v>
      </c>
      <c r="E4363" s="19" t="s">
        <v>246</v>
      </c>
      <c r="F4363" s="20" t="s">
        <v>452</v>
      </c>
    </row>
    <row r="4364" customFormat="false" ht="15" hidden="false" customHeight="false" outlineLevel="0" collapsed="false">
      <c r="A4364" s="4" t="str">
        <f aca="false">B4364&amp;"|"&amp;C4364</f>
        <v>tdbR00000197 Lys-UUU|38</v>
      </c>
      <c r="B4364" s="4" t="s">
        <v>97</v>
      </c>
      <c r="C4364" s="4" t="s">
        <v>458</v>
      </c>
      <c r="D4364" s="4" t="n">
        <v>38</v>
      </c>
      <c r="E4364" s="19" t="s">
        <v>246</v>
      </c>
      <c r="F4364" s="20" t="s">
        <v>452</v>
      </c>
    </row>
    <row r="4365" customFormat="false" ht="15" hidden="false" customHeight="false" outlineLevel="0" collapsed="false">
      <c r="A4365" s="4" t="str">
        <f aca="false">B4365&amp;"|"&amp;C4365</f>
        <v>tdbR00000197 Lys-UUU|39</v>
      </c>
      <c r="B4365" s="4" t="s">
        <v>97</v>
      </c>
      <c r="C4365" s="4" t="s">
        <v>459</v>
      </c>
      <c r="D4365" s="4" t="n">
        <v>39</v>
      </c>
      <c r="E4365" s="21" t="s">
        <v>259</v>
      </c>
      <c r="F4365" s="22" t="s">
        <v>446</v>
      </c>
    </row>
    <row r="4366" customFormat="false" ht="15" hidden="false" customHeight="false" outlineLevel="0" collapsed="false">
      <c r="A4366" s="4" t="str">
        <f aca="false">B4366&amp;"|"&amp;C4366</f>
        <v>tdbR00000197 Lys-UUU|40</v>
      </c>
      <c r="B4366" s="4" t="s">
        <v>97</v>
      </c>
      <c r="C4366" s="4" t="s">
        <v>460</v>
      </c>
      <c r="D4366" s="4" t="n">
        <v>40</v>
      </c>
      <c r="E4366" s="21" t="s">
        <v>414</v>
      </c>
      <c r="F4366" s="22" t="s">
        <v>446</v>
      </c>
    </row>
    <row r="4367" customFormat="false" ht="15" hidden="false" customHeight="false" outlineLevel="0" collapsed="false">
      <c r="A4367" s="4" t="str">
        <f aca="false">B4367&amp;"|"&amp;C4367</f>
        <v>tdbR00000197 Lys-UUU|41</v>
      </c>
      <c r="B4367" s="4" t="s">
        <v>97</v>
      </c>
      <c r="C4367" s="4" t="s">
        <v>461</v>
      </c>
      <c r="D4367" s="4" t="n">
        <v>41</v>
      </c>
      <c r="E4367" s="21" t="s">
        <v>259</v>
      </c>
      <c r="F4367" s="22" t="s">
        <v>446</v>
      </c>
    </row>
    <row r="4368" customFormat="false" ht="15" hidden="false" customHeight="false" outlineLevel="0" collapsed="false">
      <c r="A4368" s="4" t="str">
        <f aca="false">B4368&amp;"|"&amp;C4368</f>
        <v>tdbR00000197 Lys-UUU|42</v>
      </c>
      <c r="B4368" s="4" t="s">
        <v>97</v>
      </c>
      <c r="C4368" s="4" t="s">
        <v>462</v>
      </c>
      <c r="D4368" s="4" t="n">
        <v>42</v>
      </c>
      <c r="E4368" s="21" t="s">
        <v>197</v>
      </c>
      <c r="F4368" s="22" t="s">
        <v>446</v>
      </c>
    </row>
    <row r="4369" customFormat="false" ht="15" hidden="false" customHeight="false" outlineLevel="0" collapsed="false">
      <c r="A4369" s="4" t="str">
        <f aca="false">B4369&amp;"|"&amp;C4369</f>
        <v>tdbR00000197 Lys-UUU|43</v>
      </c>
      <c r="B4369" s="4" t="s">
        <v>97</v>
      </c>
      <c r="C4369" s="4" t="s">
        <v>463</v>
      </c>
      <c r="D4369" s="4" t="n">
        <v>43</v>
      </c>
      <c r="E4369" s="21" t="s">
        <v>246</v>
      </c>
      <c r="F4369" s="22" t="s">
        <v>446</v>
      </c>
    </row>
    <row r="4370" customFormat="false" ht="15" hidden="false" customHeight="false" outlineLevel="0" collapsed="false">
      <c r="A4370" s="4" t="str">
        <f aca="false">B4370&amp;"|"&amp;C4370</f>
        <v>tdbR00000197 Lys-UUU|44</v>
      </c>
      <c r="B4370" s="4" t="s">
        <v>97</v>
      </c>
      <c r="C4370" s="4" t="s">
        <v>464</v>
      </c>
      <c r="D4370" s="4" t="n">
        <v>44</v>
      </c>
      <c r="E4370" s="19" t="s">
        <v>197</v>
      </c>
      <c r="F4370" s="20" t="s">
        <v>465</v>
      </c>
    </row>
    <row r="4371" customFormat="false" ht="15" hidden="false" customHeight="false" outlineLevel="0" collapsed="false">
      <c r="A4371" s="4" t="str">
        <f aca="false">B4371&amp;"|"&amp;C4371</f>
        <v>tdbR00000197 Lys-UUU|45</v>
      </c>
      <c r="B4371" s="4" t="s">
        <v>97</v>
      </c>
      <c r="C4371" s="4" t="s">
        <v>466</v>
      </c>
      <c r="D4371" s="4" t="n">
        <v>45</v>
      </c>
      <c r="E4371" s="19" t="s">
        <v>197</v>
      </c>
      <c r="F4371" s="20" t="s">
        <v>465</v>
      </c>
    </row>
    <row r="4372" customFormat="false" ht="15" hidden="false" customHeight="false" outlineLevel="0" collapsed="false">
      <c r="A4372" s="4" t="str">
        <f aca="false">B4372&amp;"|"&amp;C4372</f>
        <v>tdbR00000197 Lys-UUU|46</v>
      </c>
      <c r="B4372" s="4" t="s">
        <v>97</v>
      </c>
      <c r="C4372" s="4" t="s">
        <v>467</v>
      </c>
      <c r="D4372" s="4" t="n">
        <v>46</v>
      </c>
      <c r="E4372" s="19" t="s">
        <v>197</v>
      </c>
      <c r="F4372" s="20" t="s">
        <v>465</v>
      </c>
    </row>
    <row r="4373" customFormat="false" ht="15" hidden="false" customHeight="false" outlineLevel="0" collapsed="false">
      <c r="A4373" s="4" t="str">
        <f aca="false">B4373&amp;"|"&amp;C4373</f>
        <v>tdbR00000197 Lys-UUU|47</v>
      </c>
      <c r="B4373" s="4" t="s">
        <v>97</v>
      </c>
      <c r="C4373" s="4" t="s">
        <v>468</v>
      </c>
      <c r="D4373" s="4" t="n">
        <v>47</v>
      </c>
      <c r="E4373" s="19" t="s">
        <v>259</v>
      </c>
      <c r="F4373" s="20" t="s">
        <v>465</v>
      </c>
    </row>
    <row r="4374" customFormat="false" ht="15" hidden="false" customHeight="false" outlineLevel="0" collapsed="false">
      <c r="A4374" s="4" t="str">
        <f aca="false">B4374&amp;"|"&amp;C4374</f>
        <v>tdbR00000197 Lys-UUU|48</v>
      </c>
      <c r="B4374" s="4" t="s">
        <v>97</v>
      </c>
      <c r="C4374" s="4" t="s">
        <v>469</v>
      </c>
      <c r="D4374" s="4" t="n">
        <v>48</v>
      </c>
      <c r="E4374" s="19" t="s">
        <v>414</v>
      </c>
      <c r="F4374" s="20" t="s">
        <v>465</v>
      </c>
    </row>
    <row r="4375" customFormat="false" ht="15" hidden="false" customHeight="false" outlineLevel="0" collapsed="false">
      <c r="A4375" s="4" t="str">
        <f aca="false">B4375&amp;"|"&amp;C4375</f>
        <v>tdbR00000197 Lys-UUU|49</v>
      </c>
      <c r="B4375" s="4" t="s">
        <v>97</v>
      </c>
      <c r="C4375" s="4" t="s">
        <v>470</v>
      </c>
      <c r="D4375" s="4" t="n">
        <v>49</v>
      </c>
      <c r="E4375" s="23" t="s">
        <v>414</v>
      </c>
      <c r="F4375" s="10" t="s">
        <v>471</v>
      </c>
    </row>
    <row r="4376" customFormat="false" ht="15" hidden="false" customHeight="false" outlineLevel="0" collapsed="false">
      <c r="A4376" s="4" t="str">
        <f aca="false">B4376&amp;"|"&amp;C4376</f>
        <v>tdbR00000197 Lys-UUU|50</v>
      </c>
      <c r="B4376" s="4" t="s">
        <v>97</v>
      </c>
      <c r="C4376" s="4" t="s">
        <v>472</v>
      </c>
      <c r="D4376" s="4" t="n">
        <v>50</v>
      </c>
      <c r="E4376" s="23" t="s">
        <v>246</v>
      </c>
      <c r="F4376" s="10" t="s">
        <v>471</v>
      </c>
    </row>
    <row r="4377" customFormat="false" ht="15" hidden="false" customHeight="false" outlineLevel="0" collapsed="false">
      <c r="A4377" s="4" t="str">
        <f aca="false">B4377&amp;"|"&amp;C4377</f>
        <v>tdbR00000197 Lys-UUU|51</v>
      </c>
      <c r="B4377" s="4" t="s">
        <v>97</v>
      </c>
      <c r="C4377" s="4" t="s">
        <v>473</v>
      </c>
      <c r="D4377" s="4" t="n">
        <v>51</v>
      </c>
      <c r="E4377" s="23" t="s">
        <v>197</v>
      </c>
      <c r="F4377" s="10" t="s">
        <v>471</v>
      </c>
    </row>
    <row r="4378" customFormat="false" ht="15" hidden="false" customHeight="false" outlineLevel="0" collapsed="false">
      <c r="A4378" s="4" t="str">
        <f aca="false">B4378&amp;"|"&amp;C4378</f>
        <v>tdbR00000197 Lys-UUU|52</v>
      </c>
      <c r="B4378" s="4" t="s">
        <v>97</v>
      </c>
      <c r="C4378" s="4" t="s">
        <v>474</v>
      </c>
      <c r="D4378" s="4" t="n">
        <v>52</v>
      </c>
      <c r="E4378" s="23" t="s">
        <v>197</v>
      </c>
      <c r="F4378" s="10" t="s">
        <v>471</v>
      </c>
    </row>
    <row r="4379" customFormat="false" ht="15" hidden="false" customHeight="false" outlineLevel="0" collapsed="false">
      <c r="A4379" s="4" t="str">
        <f aca="false">B4379&amp;"|"&amp;C4379</f>
        <v>tdbR00000197 Lys-UUU|53</v>
      </c>
      <c r="B4379" s="4" t="s">
        <v>97</v>
      </c>
      <c r="C4379" s="4" t="s">
        <v>475</v>
      </c>
      <c r="D4379" s="4" t="n">
        <v>53</v>
      </c>
      <c r="E4379" s="23" t="s">
        <v>197</v>
      </c>
      <c r="F4379" s="10" t="s">
        <v>471</v>
      </c>
    </row>
    <row r="4380" customFormat="false" ht="15" hidden="false" customHeight="false" outlineLevel="0" collapsed="false">
      <c r="A4380" s="4" t="str">
        <f aca="false">B4380&amp;"|"&amp;C4380</f>
        <v>tdbR00000197 Lys-UUU|54</v>
      </c>
      <c r="B4380" s="4" t="s">
        <v>97</v>
      </c>
      <c r="C4380" s="4" t="s">
        <v>476</v>
      </c>
      <c r="D4380" s="4" t="n">
        <v>54</v>
      </c>
      <c r="E4380" s="19" t="s">
        <v>259</v>
      </c>
      <c r="F4380" s="20" t="s">
        <v>477</v>
      </c>
    </row>
    <row r="4381" customFormat="false" ht="15" hidden="false" customHeight="false" outlineLevel="0" collapsed="false">
      <c r="A4381" s="4" t="str">
        <f aca="false">B4381&amp;"|"&amp;C4381</f>
        <v>tdbR00000197 Lys-UUU|55</v>
      </c>
      <c r="B4381" s="4" t="s">
        <v>97</v>
      </c>
      <c r="C4381" s="4" t="s">
        <v>478</v>
      </c>
      <c r="D4381" s="4" t="n">
        <v>55</v>
      </c>
      <c r="E4381" s="19" t="s">
        <v>259</v>
      </c>
      <c r="F4381" s="20" t="s">
        <v>477</v>
      </c>
    </row>
    <row r="4382" customFormat="false" ht="15" hidden="false" customHeight="false" outlineLevel="0" collapsed="false">
      <c r="A4382" s="4" t="str">
        <f aca="false">B4382&amp;"|"&amp;C4382</f>
        <v>tdbR00000197 Lys-UUU|56</v>
      </c>
      <c r="B4382" s="4" t="s">
        <v>97</v>
      </c>
      <c r="C4382" s="4" t="s">
        <v>479</v>
      </c>
      <c r="D4382" s="4" t="n">
        <v>56</v>
      </c>
      <c r="E4382" s="19" t="s">
        <v>414</v>
      </c>
      <c r="F4382" s="20" t="s">
        <v>477</v>
      </c>
    </row>
    <row r="4383" customFormat="false" ht="15" hidden="false" customHeight="false" outlineLevel="0" collapsed="false">
      <c r="A4383" s="4" t="str">
        <f aca="false">B4383&amp;"|"&amp;C4383</f>
        <v>tdbR00000197 Lys-UUU|57</v>
      </c>
      <c r="B4383" s="4" t="s">
        <v>97</v>
      </c>
      <c r="C4383" s="4" t="s">
        <v>480</v>
      </c>
      <c r="D4383" s="4" t="n">
        <v>57</v>
      </c>
      <c r="E4383" s="19" t="s">
        <v>246</v>
      </c>
      <c r="F4383" s="20" t="s">
        <v>477</v>
      </c>
    </row>
    <row r="4384" customFormat="false" ht="15" hidden="false" customHeight="false" outlineLevel="0" collapsed="false">
      <c r="A4384" s="4" t="str">
        <f aca="false">B4384&amp;"|"&amp;C4384</f>
        <v>tdbR00000197 Lys-UUU|58</v>
      </c>
      <c r="B4384" s="4" t="s">
        <v>97</v>
      </c>
      <c r="C4384" s="4" t="s">
        <v>481</v>
      </c>
      <c r="D4384" s="4" t="n">
        <v>58</v>
      </c>
      <c r="E4384" s="19" t="s">
        <v>246</v>
      </c>
      <c r="F4384" s="20" t="s">
        <v>477</v>
      </c>
    </row>
    <row r="4385" customFormat="false" ht="15" hidden="false" customHeight="false" outlineLevel="0" collapsed="false">
      <c r="A4385" s="4" t="str">
        <f aca="false">B4385&amp;"|"&amp;C4385</f>
        <v>tdbR00000197 Lys-UUU|59</v>
      </c>
      <c r="B4385" s="4" t="s">
        <v>97</v>
      </c>
      <c r="C4385" s="4" t="s">
        <v>482</v>
      </c>
      <c r="D4385" s="4" t="n">
        <v>59</v>
      </c>
      <c r="E4385" s="19" t="s">
        <v>197</v>
      </c>
      <c r="F4385" s="20" t="s">
        <v>477</v>
      </c>
    </row>
    <row r="4386" customFormat="false" ht="15" hidden="false" customHeight="false" outlineLevel="0" collapsed="false">
      <c r="A4386" s="4" t="str">
        <f aca="false">B4386&amp;"|"&amp;C4386</f>
        <v>tdbR00000197 Lys-UUU|60</v>
      </c>
      <c r="B4386" s="4" t="s">
        <v>97</v>
      </c>
      <c r="C4386" s="4" t="s">
        <v>483</v>
      </c>
      <c r="D4386" s="4" t="n">
        <v>60</v>
      </c>
      <c r="E4386" s="19" t="s">
        <v>259</v>
      </c>
      <c r="F4386" s="20" t="s">
        <v>477</v>
      </c>
    </row>
    <row r="4387" customFormat="false" ht="15" hidden="false" customHeight="false" outlineLevel="0" collapsed="false">
      <c r="A4387" s="4" t="str">
        <f aca="false">B4387&amp;"|"&amp;C4387</f>
        <v>tdbR00000197 Lys-UUU|61</v>
      </c>
      <c r="B4387" s="4" t="s">
        <v>97</v>
      </c>
      <c r="C4387" s="4" t="s">
        <v>484</v>
      </c>
      <c r="D4387" s="4" t="n">
        <v>61</v>
      </c>
      <c r="E4387" s="23" t="s">
        <v>414</v>
      </c>
      <c r="F4387" s="10" t="s">
        <v>471</v>
      </c>
    </row>
    <row r="4388" customFormat="false" ht="15" hidden="false" customHeight="false" outlineLevel="0" collapsed="false">
      <c r="A4388" s="4" t="str">
        <f aca="false">B4388&amp;"|"&amp;C4388</f>
        <v>tdbR00000197 Lys-UUU|62</v>
      </c>
      <c r="B4388" s="4" t="s">
        <v>97</v>
      </c>
      <c r="C4388" s="4" t="s">
        <v>485</v>
      </c>
      <c r="D4388" s="4" t="n">
        <v>62</v>
      </c>
      <c r="E4388" s="23" t="s">
        <v>414</v>
      </c>
      <c r="F4388" s="10" t="s">
        <v>471</v>
      </c>
    </row>
    <row r="4389" customFormat="false" ht="15" hidden="false" customHeight="false" outlineLevel="0" collapsed="false">
      <c r="A4389" s="4" t="str">
        <f aca="false">B4389&amp;"|"&amp;C4389</f>
        <v>tdbR00000197 Lys-UUU|63</v>
      </c>
      <c r="B4389" s="4" t="s">
        <v>97</v>
      </c>
      <c r="C4389" s="4" t="s">
        <v>486</v>
      </c>
      <c r="D4389" s="4" t="n">
        <v>63</v>
      </c>
      <c r="E4389" s="23" t="s">
        <v>414</v>
      </c>
      <c r="F4389" s="10" t="s">
        <v>471</v>
      </c>
    </row>
    <row r="4390" customFormat="false" ht="15" hidden="false" customHeight="false" outlineLevel="0" collapsed="false">
      <c r="A4390" s="4" t="str">
        <f aca="false">B4390&amp;"|"&amp;C4390</f>
        <v>tdbR00000197 Lys-UUU|64</v>
      </c>
      <c r="B4390" s="4" t="s">
        <v>97</v>
      </c>
      <c r="C4390" s="4" t="s">
        <v>487</v>
      </c>
      <c r="D4390" s="4" t="n">
        <v>64</v>
      </c>
      <c r="E4390" s="23" t="s">
        <v>259</v>
      </c>
      <c r="F4390" s="10" t="s">
        <v>471</v>
      </c>
    </row>
    <row r="4391" customFormat="false" ht="15" hidden="false" customHeight="false" outlineLevel="0" collapsed="false">
      <c r="A4391" s="4" t="str">
        <f aca="false">B4391&amp;"|"&amp;C4391</f>
        <v>tdbR00000197 Lys-UUU|65</v>
      </c>
      <c r="B4391" s="4" t="s">
        <v>97</v>
      </c>
      <c r="C4391" s="4" t="s">
        <v>488</v>
      </c>
      <c r="D4391" s="4" t="n">
        <v>65</v>
      </c>
      <c r="E4391" s="23" t="s">
        <v>197</v>
      </c>
      <c r="F4391" s="10" t="s">
        <v>471</v>
      </c>
    </row>
    <row r="4392" customFormat="false" ht="15" hidden="false" customHeight="false" outlineLevel="0" collapsed="false">
      <c r="A4392" s="4" t="str">
        <f aca="false">B4392&amp;"|"&amp;C4392</f>
        <v>tdbR00000197 Lys-UUU|66</v>
      </c>
      <c r="B4392" s="4" t="s">
        <v>97</v>
      </c>
      <c r="C4392" s="4" t="s">
        <v>489</v>
      </c>
      <c r="D4392" s="4" t="n">
        <v>66</v>
      </c>
      <c r="E4392" s="17" t="s">
        <v>259</v>
      </c>
      <c r="F4392" s="18" t="s">
        <v>412</v>
      </c>
    </row>
    <row r="4393" customFormat="false" ht="15" hidden="false" customHeight="false" outlineLevel="0" collapsed="false">
      <c r="A4393" s="4" t="str">
        <f aca="false">B4393&amp;"|"&amp;C4393</f>
        <v>tdbR00000197 Lys-UUU|67</v>
      </c>
      <c r="B4393" s="4" t="s">
        <v>97</v>
      </c>
      <c r="C4393" s="4" t="s">
        <v>490</v>
      </c>
      <c r="D4393" s="4" t="n">
        <v>67</v>
      </c>
      <c r="E4393" s="17" t="s">
        <v>259</v>
      </c>
      <c r="F4393" s="18" t="s">
        <v>412</v>
      </c>
    </row>
    <row r="4394" customFormat="false" ht="15" hidden="false" customHeight="false" outlineLevel="0" collapsed="false">
      <c r="A4394" s="4" t="str">
        <f aca="false">B4394&amp;"|"&amp;C4394</f>
        <v>tdbR00000197 Lys-UUU|68</v>
      </c>
      <c r="B4394" s="4" t="s">
        <v>97</v>
      </c>
      <c r="C4394" s="4" t="s">
        <v>491</v>
      </c>
      <c r="D4394" s="4" t="n">
        <v>68</v>
      </c>
      <c r="E4394" s="17" t="s">
        <v>414</v>
      </c>
      <c r="F4394" s="18" t="s">
        <v>412</v>
      </c>
    </row>
    <row r="4395" customFormat="false" ht="15" hidden="false" customHeight="false" outlineLevel="0" collapsed="false">
      <c r="A4395" s="4" t="str">
        <f aca="false">B4395&amp;"|"&amp;C4395</f>
        <v>tdbR00000197 Lys-UUU|69</v>
      </c>
      <c r="B4395" s="4" t="s">
        <v>97</v>
      </c>
      <c r="C4395" s="4" t="s">
        <v>492</v>
      </c>
      <c r="D4395" s="4" t="n">
        <v>69</v>
      </c>
      <c r="E4395" s="17" t="s">
        <v>197</v>
      </c>
      <c r="F4395" s="18" t="s">
        <v>412</v>
      </c>
    </row>
    <row r="4396" customFormat="false" ht="15" hidden="false" customHeight="false" outlineLevel="0" collapsed="false">
      <c r="A4396" s="4" t="str">
        <f aca="false">B4396&amp;"|"&amp;C4396</f>
        <v>tdbR00000197 Lys-UUU|70</v>
      </c>
      <c r="B4396" s="4" t="s">
        <v>97</v>
      </c>
      <c r="C4396" s="4" t="s">
        <v>493</v>
      </c>
      <c r="D4396" s="4" t="n">
        <v>70</v>
      </c>
      <c r="E4396" s="17" t="s">
        <v>197</v>
      </c>
      <c r="F4396" s="18" t="s">
        <v>412</v>
      </c>
    </row>
    <row r="4397" customFormat="false" ht="15" hidden="false" customHeight="false" outlineLevel="0" collapsed="false">
      <c r="A4397" s="4" t="str">
        <f aca="false">B4397&amp;"|"&amp;C4397</f>
        <v>tdbR00000197 Lys-UUU|71</v>
      </c>
      <c r="B4397" s="4" t="s">
        <v>97</v>
      </c>
      <c r="C4397" s="4" t="s">
        <v>494</v>
      </c>
      <c r="D4397" s="4" t="n">
        <v>71</v>
      </c>
      <c r="E4397" s="17" t="s">
        <v>197</v>
      </c>
      <c r="F4397" s="18" t="s">
        <v>412</v>
      </c>
    </row>
    <row r="4398" customFormat="false" ht="15" hidden="false" customHeight="false" outlineLevel="0" collapsed="false">
      <c r="A4398" s="4" t="str">
        <f aca="false">B4398&amp;"|"&amp;C4398</f>
        <v>tdbR00000197 Lys-UUU|72</v>
      </c>
      <c r="B4398" s="4" t="s">
        <v>97</v>
      </c>
      <c r="C4398" s="4" t="s">
        <v>495</v>
      </c>
      <c r="D4398" s="4" t="n">
        <v>72</v>
      </c>
      <c r="E4398" s="17" t="s">
        <v>414</v>
      </c>
      <c r="F4398" s="18" t="s">
        <v>412</v>
      </c>
    </row>
    <row r="4399" customFormat="false" ht="15" hidden="false" customHeight="false" outlineLevel="0" collapsed="false">
      <c r="A4399" s="4" t="str">
        <f aca="false">B4399&amp;"|"&amp;C4399</f>
        <v>tdbR00000195 Lys-CUU|1</v>
      </c>
      <c r="B4399" s="4" t="s">
        <v>98</v>
      </c>
      <c r="C4399" s="4" t="s">
        <v>411</v>
      </c>
      <c r="D4399" s="4" t="n">
        <v>1</v>
      </c>
      <c r="E4399" s="17" t="s">
        <v>197</v>
      </c>
      <c r="F4399" s="18" t="s">
        <v>412</v>
      </c>
    </row>
    <row r="4400" customFormat="false" ht="15" hidden="false" customHeight="false" outlineLevel="0" collapsed="false">
      <c r="A4400" s="4" t="str">
        <f aca="false">B4400&amp;"|"&amp;C4400</f>
        <v>tdbR00000195 Lys-CUU|2</v>
      </c>
      <c r="B4400" s="4" t="s">
        <v>98</v>
      </c>
      <c r="C4400" s="4" t="s">
        <v>413</v>
      </c>
      <c r="D4400" s="4" t="n">
        <v>2</v>
      </c>
      <c r="E4400" s="17" t="s">
        <v>414</v>
      </c>
      <c r="F4400" s="18" t="s">
        <v>412</v>
      </c>
    </row>
    <row r="4401" customFormat="false" ht="15" hidden="false" customHeight="false" outlineLevel="0" collapsed="false">
      <c r="A4401" s="4" t="str">
        <f aca="false">B4401&amp;"|"&amp;C4401</f>
        <v>tdbR00000195 Lys-CUU|3</v>
      </c>
      <c r="B4401" s="4" t="s">
        <v>98</v>
      </c>
      <c r="C4401" s="4" t="s">
        <v>415</v>
      </c>
      <c r="D4401" s="4" t="n">
        <v>3</v>
      </c>
      <c r="E4401" s="17" t="s">
        <v>414</v>
      </c>
      <c r="F4401" s="18" t="s">
        <v>412</v>
      </c>
    </row>
    <row r="4402" customFormat="false" ht="15" hidden="false" customHeight="false" outlineLevel="0" collapsed="false">
      <c r="A4402" s="4" t="str">
        <f aca="false">B4402&amp;"|"&amp;C4402</f>
        <v>tdbR00000195 Lys-CUU|4</v>
      </c>
      <c r="B4402" s="4" t="s">
        <v>98</v>
      </c>
      <c r="C4402" s="4" t="s">
        <v>416</v>
      </c>
      <c r="D4402" s="4" t="n">
        <v>4</v>
      </c>
      <c r="E4402" s="17" t="s">
        <v>414</v>
      </c>
      <c r="F4402" s="18" t="s">
        <v>412</v>
      </c>
    </row>
    <row r="4403" customFormat="false" ht="15" hidden="false" customHeight="false" outlineLevel="0" collapsed="false">
      <c r="A4403" s="4" t="str">
        <f aca="false">B4403&amp;"|"&amp;C4403</f>
        <v>tdbR00000195 Lys-CUU|5</v>
      </c>
      <c r="B4403" s="4" t="s">
        <v>98</v>
      </c>
      <c r="C4403" s="4" t="s">
        <v>417</v>
      </c>
      <c r="D4403" s="4" t="n">
        <v>5</v>
      </c>
      <c r="E4403" s="17" t="s">
        <v>197</v>
      </c>
      <c r="F4403" s="18" t="s">
        <v>412</v>
      </c>
    </row>
    <row r="4404" customFormat="false" ht="15" hidden="false" customHeight="false" outlineLevel="0" collapsed="false">
      <c r="A4404" s="4" t="str">
        <f aca="false">B4404&amp;"|"&amp;C4404</f>
        <v>tdbR00000195 Lys-CUU|6</v>
      </c>
      <c r="B4404" s="4" t="s">
        <v>98</v>
      </c>
      <c r="C4404" s="4" t="s">
        <v>418</v>
      </c>
      <c r="D4404" s="4" t="n">
        <v>6</v>
      </c>
      <c r="E4404" s="17" t="s">
        <v>197</v>
      </c>
      <c r="F4404" s="18" t="s">
        <v>412</v>
      </c>
    </row>
    <row r="4405" customFormat="false" ht="15" hidden="false" customHeight="false" outlineLevel="0" collapsed="false">
      <c r="A4405" s="4" t="str">
        <f aca="false">B4405&amp;"|"&amp;C4405</f>
        <v>tdbR00000195 Lys-CUU|7</v>
      </c>
      <c r="B4405" s="4" t="s">
        <v>98</v>
      </c>
      <c r="C4405" s="4" t="s">
        <v>419</v>
      </c>
      <c r="D4405" s="4" t="n">
        <v>7</v>
      </c>
      <c r="E4405" s="17" t="s">
        <v>414</v>
      </c>
      <c r="F4405" s="18" t="s">
        <v>412</v>
      </c>
    </row>
    <row r="4406" customFormat="false" ht="15" hidden="false" customHeight="false" outlineLevel="0" collapsed="false">
      <c r="A4406" s="4" t="str">
        <f aca="false">B4406&amp;"|"&amp;C4406</f>
        <v>tdbR00000195 Lys-CUU|8</v>
      </c>
      <c r="B4406" s="4" t="s">
        <v>98</v>
      </c>
      <c r="C4406" s="4" t="s">
        <v>420</v>
      </c>
      <c r="D4406" s="4" t="n">
        <v>8</v>
      </c>
      <c r="E4406" s="3" t="s">
        <v>259</v>
      </c>
      <c r="F4406" s="4" t="s">
        <v>421</v>
      </c>
    </row>
    <row r="4407" customFormat="false" ht="15" hidden="false" customHeight="false" outlineLevel="0" collapsed="false">
      <c r="A4407" s="4" t="str">
        <f aca="false">B4407&amp;"|"&amp;C4407</f>
        <v>tdbR00000195 Lys-CUU|9</v>
      </c>
      <c r="B4407" s="4" t="s">
        <v>98</v>
      </c>
      <c r="C4407" s="4" t="s">
        <v>422</v>
      </c>
      <c r="D4407" s="4" t="n">
        <v>9</v>
      </c>
      <c r="E4407" s="3" t="s">
        <v>246</v>
      </c>
      <c r="F4407" s="4" t="s">
        <v>423</v>
      </c>
    </row>
    <row r="4408" customFormat="false" ht="15" hidden="false" customHeight="false" outlineLevel="0" collapsed="false">
      <c r="A4408" s="4" t="str">
        <f aca="false">B4408&amp;"|"&amp;C4408</f>
        <v>tdbR00000195 Lys-CUU|10</v>
      </c>
      <c r="B4408" s="4" t="s">
        <v>98</v>
      </c>
      <c r="C4408" s="4" t="s">
        <v>424</v>
      </c>
      <c r="D4408" s="4" t="n">
        <v>10</v>
      </c>
      <c r="E4408" s="8" t="s">
        <v>197</v>
      </c>
      <c r="F4408" s="7" t="s">
        <v>425</v>
      </c>
    </row>
    <row r="4409" customFormat="false" ht="15" hidden="false" customHeight="false" outlineLevel="0" collapsed="false">
      <c r="A4409" s="4" t="str">
        <f aca="false">B4409&amp;"|"&amp;C4409</f>
        <v>tdbR00000195 Lys-CUU|11</v>
      </c>
      <c r="B4409" s="4" t="s">
        <v>98</v>
      </c>
      <c r="C4409" s="4" t="s">
        <v>426</v>
      </c>
      <c r="D4409" s="4" t="n">
        <v>11</v>
      </c>
      <c r="E4409" s="8" t="s">
        <v>414</v>
      </c>
      <c r="F4409" s="7" t="s">
        <v>425</v>
      </c>
    </row>
    <row r="4410" customFormat="false" ht="15" hidden="false" customHeight="false" outlineLevel="0" collapsed="false">
      <c r="A4410" s="4" t="str">
        <f aca="false">B4410&amp;"|"&amp;C4410</f>
        <v>tdbR00000195 Lys-CUU|12</v>
      </c>
      <c r="B4410" s="4" t="s">
        <v>98</v>
      </c>
      <c r="C4410" s="4" t="s">
        <v>427</v>
      </c>
      <c r="D4410" s="4" t="n">
        <v>12</v>
      </c>
      <c r="E4410" s="8" t="s">
        <v>259</v>
      </c>
      <c r="F4410" s="7" t="s">
        <v>425</v>
      </c>
    </row>
    <row r="4411" customFormat="false" ht="15" hidden="false" customHeight="false" outlineLevel="0" collapsed="false">
      <c r="A4411" s="4" t="str">
        <f aca="false">B4411&amp;"|"&amp;C4411</f>
        <v>tdbR00000195 Lys-CUU|13</v>
      </c>
      <c r="B4411" s="4" t="s">
        <v>98</v>
      </c>
      <c r="C4411" s="4" t="s">
        <v>428</v>
      </c>
      <c r="D4411" s="4" t="n">
        <v>13</v>
      </c>
      <c r="E4411" s="8" t="s">
        <v>414</v>
      </c>
      <c r="F4411" s="7" t="s">
        <v>425</v>
      </c>
    </row>
    <row r="4412" customFormat="false" ht="15" hidden="false" customHeight="false" outlineLevel="0" collapsed="false">
      <c r="A4412" s="4" t="str">
        <f aca="false">B4412&amp;"|"&amp;C4412</f>
        <v>tdbR00000195 Lys-CUU|14</v>
      </c>
      <c r="B4412" s="4" t="s">
        <v>98</v>
      </c>
      <c r="C4412" s="4" t="s">
        <v>429</v>
      </c>
      <c r="D4412" s="4" t="n">
        <v>14</v>
      </c>
      <c r="E4412" s="19" t="s">
        <v>246</v>
      </c>
      <c r="F4412" s="20" t="s">
        <v>430</v>
      </c>
    </row>
    <row r="4413" customFormat="false" ht="15" hidden="false" customHeight="false" outlineLevel="0" collapsed="false">
      <c r="A4413" s="4" t="str">
        <f aca="false">B4413&amp;"|"&amp;C4413</f>
        <v>tdbR00000195 Lys-CUU|15</v>
      </c>
      <c r="B4413" s="4" t="s">
        <v>98</v>
      </c>
      <c r="C4413" s="4" t="s">
        <v>431</v>
      </c>
      <c r="D4413" s="4" t="n">
        <v>15</v>
      </c>
      <c r="E4413" s="19" t="s">
        <v>197</v>
      </c>
      <c r="F4413" s="20" t="s">
        <v>430</v>
      </c>
    </row>
    <row r="4414" customFormat="false" ht="15" hidden="false" customHeight="false" outlineLevel="0" collapsed="false">
      <c r="A4414" s="4" t="str">
        <f aca="false">B4414&amp;"|"&amp;C4414</f>
        <v>tdbR00000195 Lys-CUU|16</v>
      </c>
      <c r="B4414" s="4" t="s">
        <v>98</v>
      </c>
      <c r="C4414" s="4" t="s">
        <v>432</v>
      </c>
      <c r="D4414" s="4" t="n">
        <v>16</v>
      </c>
      <c r="E4414" s="19" t="s">
        <v>259</v>
      </c>
      <c r="F4414" s="20" t="s">
        <v>430</v>
      </c>
    </row>
    <row r="4415" customFormat="false" ht="15" hidden="false" customHeight="false" outlineLevel="0" collapsed="false">
      <c r="A4415" s="4" t="str">
        <f aca="false">B4415&amp;"|"&amp;C4415</f>
        <v>tdbR00000195 Lys-CUU|17</v>
      </c>
      <c r="B4415" s="4" t="s">
        <v>98</v>
      </c>
      <c r="C4415" s="4" t="s">
        <v>433</v>
      </c>
      <c r="D4415" s="4" t="n">
        <v>17</v>
      </c>
      <c r="E4415" s="19" t="s">
        <v>414</v>
      </c>
      <c r="F4415" s="20" t="s">
        <v>430</v>
      </c>
    </row>
    <row r="4416" customFormat="false" ht="15" hidden="false" customHeight="false" outlineLevel="0" collapsed="false">
      <c r="A4416" s="4" t="str">
        <f aca="false">B4416&amp;"|"&amp;C4416</f>
        <v>tdbR00000195 Lys-CUU|18</v>
      </c>
      <c r="B4416" s="4" t="s">
        <v>98</v>
      </c>
      <c r="C4416" s="4" t="s">
        <v>434</v>
      </c>
      <c r="D4416" s="4" t="n">
        <v>18</v>
      </c>
      <c r="E4416" s="19" t="s">
        <v>197</v>
      </c>
      <c r="F4416" s="20" t="s">
        <v>430</v>
      </c>
    </row>
    <row r="4417" customFormat="false" ht="15" hidden="false" customHeight="false" outlineLevel="0" collapsed="false">
      <c r="A4417" s="4" t="str">
        <f aca="false">B4417&amp;"|"&amp;C4417</f>
        <v>tdbR00000195 Lys-CUU|19</v>
      </c>
      <c r="B4417" s="4" t="s">
        <v>98</v>
      </c>
      <c r="C4417" s="4" t="s">
        <v>435</v>
      </c>
      <c r="D4417" s="4" t="n">
        <v>19</v>
      </c>
      <c r="E4417" s="19" t="s">
        <v>197</v>
      </c>
      <c r="F4417" s="20" t="s">
        <v>430</v>
      </c>
    </row>
    <row r="4418" customFormat="false" ht="15" hidden="false" customHeight="false" outlineLevel="0" collapsed="false">
      <c r="A4418" s="4" t="str">
        <f aca="false">B4418&amp;"|"&amp;C4418</f>
        <v>tdbR00000195 Lys-CUU|20</v>
      </c>
      <c r="B4418" s="4" t="s">
        <v>98</v>
      </c>
      <c r="C4418" s="4" t="s">
        <v>436</v>
      </c>
      <c r="D4418" s="4" t="n">
        <v>20</v>
      </c>
      <c r="E4418" s="19" t="s">
        <v>259</v>
      </c>
      <c r="F4418" s="20" t="s">
        <v>430</v>
      </c>
    </row>
    <row r="4419" customFormat="false" ht="15" hidden="false" customHeight="false" outlineLevel="0" collapsed="false">
      <c r="A4419" s="4" t="str">
        <f aca="false">B4419&amp;"|"&amp;C4419</f>
        <v>tdbR00000195 Lys-CUU|21</v>
      </c>
      <c r="B4419" s="4" t="s">
        <v>98</v>
      </c>
      <c r="C4419" s="4" t="s">
        <v>438</v>
      </c>
      <c r="D4419" s="4" t="n">
        <v>21</v>
      </c>
      <c r="E4419" s="19" t="s">
        <v>246</v>
      </c>
      <c r="F4419" s="20" t="s">
        <v>430</v>
      </c>
    </row>
    <row r="4420" customFormat="false" ht="15" hidden="false" customHeight="false" outlineLevel="0" collapsed="false">
      <c r="A4420" s="4" t="str">
        <f aca="false">B4420&amp;"|"&amp;C4420</f>
        <v>tdbR00000195 Lys-CUU|22</v>
      </c>
      <c r="B4420" s="4" t="s">
        <v>98</v>
      </c>
      <c r="C4420" s="4" t="s">
        <v>439</v>
      </c>
      <c r="D4420" s="4" t="n">
        <v>22</v>
      </c>
      <c r="E4420" s="8" t="s">
        <v>197</v>
      </c>
      <c r="F4420" s="7" t="s">
        <v>425</v>
      </c>
    </row>
    <row r="4421" customFormat="false" ht="15" hidden="false" customHeight="false" outlineLevel="0" collapsed="false">
      <c r="A4421" s="4" t="str">
        <f aca="false">B4421&amp;"|"&amp;C4421</f>
        <v>tdbR00000195 Lys-CUU|23</v>
      </c>
      <c r="B4421" s="4" t="s">
        <v>98</v>
      </c>
      <c r="C4421" s="4" t="s">
        <v>440</v>
      </c>
      <c r="D4421" s="4" t="n">
        <v>23</v>
      </c>
      <c r="E4421" s="8" t="s">
        <v>246</v>
      </c>
      <c r="F4421" s="7" t="s">
        <v>425</v>
      </c>
    </row>
    <row r="4422" customFormat="false" ht="15" hidden="false" customHeight="false" outlineLevel="0" collapsed="false">
      <c r="A4422" s="4" t="str">
        <f aca="false">B4422&amp;"|"&amp;C4422</f>
        <v>tdbR00000195 Lys-CUU|24</v>
      </c>
      <c r="B4422" s="4" t="s">
        <v>98</v>
      </c>
      <c r="C4422" s="4" t="s">
        <v>441</v>
      </c>
      <c r="D4422" s="4" t="n">
        <v>24</v>
      </c>
      <c r="E4422" s="8" t="s">
        <v>197</v>
      </c>
      <c r="F4422" s="7" t="s">
        <v>425</v>
      </c>
    </row>
    <row r="4423" customFormat="false" ht="15" hidden="false" customHeight="false" outlineLevel="0" collapsed="false">
      <c r="A4423" s="4" t="str">
        <f aca="false">B4423&amp;"|"&amp;C4423</f>
        <v>tdbR00000195 Lys-CUU|25</v>
      </c>
      <c r="B4423" s="4" t="s">
        <v>98</v>
      </c>
      <c r="C4423" s="4" t="s">
        <v>442</v>
      </c>
      <c r="D4423" s="4" t="n">
        <v>25</v>
      </c>
      <c r="E4423" s="8" t="s">
        <v>414</v>
      </c>
      <c r="F4423" s="7" t="s">
        <v>425</v>
      </c>
    </row>
    <row r="4424" customFormat="false" ht="15" hidden="false" customHeight="false" outlineLevel="0" collapsed="false">
      <c r="A4424" s="4" t="str">
        <f aca="false">B4424&amp;"|"&amp;C4424</f>
        <v>tdbR00000195 Lys-CUU|26</v>
      </c>
      <c r="B4424" s="4" t="s">
        <v>98</v>
      </c>
      <c r="C4424" s="4" t="s">
        <v>443</v>
      </c>
      <c r="D4424" s="4" t="n">
        <v>26</v>
      </c>
      <c r="E4424" s="3" t="s">
        <v>246</v>
      </c>
      <c r="F4424" s="4" t="s">
        <v>444</v>
      </c>
    </row>
    <row r="4425" customFormat="false" ht="15" hidden="false" customHeight="false" outlineLevel="0" collapsed="false">
      <c r="A4425" s="4" t="str">
        <f aca="false">B4425&amp;"|"&amp;C4425</f>
        <v>tdbR00000195 Lys-CUU|27</v>
      </c>
      <c r="B4425" s="4" t="s">
        <v>98</v>
      </c>
      <c r="C4425" s="4" t="s">
        <v>445</v>
      </c>
      <c r="D4425" s="4" t="n">
        <v>27</v>
      </c>
      <c r="E4425" s="21" t="s">
        <v>259</v>
      </c>
      <c r="F4425" s="22" t="s">
        <v>446</v>
      </c>
    </row>
    <row r="4426" customFormat="false" ht="15" hidden="false" customHeight="false" outlineLevel="0" collapsed="false">
      <c r="A4426" s="4" t="str">
        <f aca="false">B4426&amp;"|"&amp;C4426</f>
        <v>tdbR00000195 Lys-CUU|28</v>
      </c>
      <c r="B4426" s="4" t="s">
        <v>98</v>
      </c>
      <c r="C4426" s="4" t="s">
        <v>447</v>
      </c>
      <c r="D4426" s="4" t="n">
        <v>28</v>
      </c>
      <c r="E4426" s="21" t="s">
        <v>197</v>
      </c>
      <c r="F4426" s="22" t="s">
        <v>446</v>
      </c>
    </row>
    <row r="4427" customFormat="false" ht="15" hidden="false" customHeight="false" outlineLevel="0" collapsed="false">
      <c r="A4427" s="4" t="str">
        <f aca="false">B4427&amp;"|"&amp;C4427</f>
        <v>tdbR00000195 Lys-CUU|29</v>
      </c>
      <c r="B4427" s="4" t="s">
        <v>98</v>
      </c>
      <c r="C4427" s="4" t="s">
        <v>448</v>
      </c>
      <c r="D4427" s="4" t="n">
        <v>29</v>
      </c>
      <c r="E4427" s="21" t="s">
        <v>246</v>
      </c>
      <c r="F4427" s="22" t="s">
        <v>446</v>
      </c>
    </row>
    <row r="4428" customFormat="false" ht="15" hidden="false" customHeight="false" outlineLevel="0" collapsed="false">
      <c r="A4428" s="4" t="str">
        <f aca="false">B4428&amp;"|"&amp;C4428</f>
        <v>tdbR00000195 Lys-CUU|30</v>
      </c>
      <c r="B4428" s="4" t="s">
        <v>98</v>
      </c>
      <c r="C4428" s="4" t="s">
        <v>449</v>
      </c>
      <c r="D4428" s="4" t="n">
        <v>30</v>
      </c>
      <c r="E4428" s="21" t="s">
        <v>197</v>
      </c>
      <c r="F4428" s="22" t="s">
        <v>446</v>
      </c>
    </row>
    <row r="4429" customFormat="false" ht="15" hidden="false" customHeight="false" outlineLevel="0" collapsed="false">
      <c r="A4429" s="4" t="str">
        <f aca="false">B4429&amp;"|"&amp;C4429</f>
        <v>tdbR00000195 Lys-CUU|31</v>
      </c>
      <c r="B4429" s="4" t="s">
        <v>98</v>
      </c>
      <c r="C4429" s="4" t="s">
        <v>450</v>
      </c>
      <c r="D4429" s="4" t="n">
        <v>31</v>
      </c>
      <c r="E4429" s="21" t="s">
        <v>246</v>
      </c>
      <c r="F4429" s="22" t="s">
        <v>446</v>
      </c>
    </row>
    <row r="4430" customFormat="false" ht="15" hidden="false" customHeight="false" outlineLevel="0" collapsed="false">
      <c r="A4430" s="4" t="str">
        <f aca="false">B4430&amp;"|"&amp;C4430</f>
        <v>tdbR00000195 Lys-CUU|32</v>
      </c>
      <c r="B4430" s="4" t="s">
        <v>98</v>
      </c>
      <c r="C4430" s="4" t="s">
        <v>451</v>
      </c>
      <c r="D4430" s="4" t="n">
        <v>32</v>
      </c>
      <c r="E4430" s="19" t="s">
        <v>414</v>
      </c>
      <c r="F4430" s="20" t="s">
        <v>452</v>
      </c>
    </row>
    <row r="4431" customFormat="false" ht="15" hidden="false" customHeight="false" outlineLevel="0" collapsed="false">
      <c r="A4431" s="4" t="str">
        <f aca="false">B4431&amp;"|"&amp;C4431</f>
        <v>tdbR00000195 Lys-CUU|33</v>
      </c>
      <c r="B4431" s="4" t="s">
        <v>98</v>
      </c>
      <c r="C4431" s="4" t="s">
        <v>453</v>
      </c>
      <c r="D4431" s="4" t="n">
        <v>33</v>
      </c>
      <c r="E4431" s="19" t="s">
        <v>259</v>
      </c>
      <c r="F4431" s="20" t="s">
        <v>452</v>
      </c>
    </row>
    <row r="4432" customFormat="false" ht="15" hidden="false" customHeight="false" outlineLevel="0" collapsed="false">
      <c r="A4432" s="4" t="str">
        <f aca="false">B4432&amp;"|"&amp;C4432</f>
        <v>tdbR00000195 Lys-CUU|34</v>
      </c>
      <c r="B4432" s="4" t="s">
        <v>98</v>
      </c>
      <c r="C4432" s="4" t="s">
        <v>454</v>
      </c>
      <c r="D4432" s="4" t="n">
        <v>34</v>
      </c>
      <c r="E4432" s="19" t="s">
        <v>414</v>
      </c>
      <c r="F4432" s="20" t="s">
        <v>452</v>
      </c>
    </row>
    <row r="4433" customFormat="false" ht="15" hidden="false" customHeight="false" outlineLevel="0" collapsed="false">
      <c r="A4433" s="4" t="str">
        <f aca="false">B4433&amp;"|"&amp;C4433</f>
        <v>tdbR00000195 Lys-CUU|35</v>
      </c>
      <c r="B4433" s="4" t="s">
        <v>98</v>
      </c>
      <c r="C4433" s="4" t="s">
        <v>455</v>
      </c>
      <c r="D4433" s="4" t="n">
        <v>35</v>
      </c>
      <c r="E4433" s="19" t="s">
        <v>259</v>
      </c>
      <c r="F4433" s="20" t="s">
        <v>452</v>
      </c>
    </row>
    <row r="4434" customFormat="false" ht="15" hidden="false" customHeight="false" outlineLevel="0" collapsed="false">
      <c r="A4434" s="4" t="str">
        <f aca="false">B4434&amp;"|"&amp;C4434</f>
        <v>tdbR00000195 Lys-CUU|36</v>
      </c>
      <c r="B4434" s="4" t="s">
        <v>98</v>
      </c>
      <c r="C4434" s="4" t="s">
        <v>456</v>
      </c>
      <c r="D4434" s="4" t="n">
        <v>36</v>
      </c>
      <c r="E4434" s="19" t="s">
        <v>259</v>
      </c>
      <c r="F4434" s="20" t="s">
        <v>452</v>
      </c>
    </row>
    <row r="4435" customFormat="false" ht="15" hidden="false" customHeight="false" outlineLevel="0" collapsed="false">
      <c r="A4435" s="4" t="str">
        <f aca="false">B4435&amp;"|"&amp;C4435</f>
        <v>tdbR00000195 Lys-CUU|37</v>
      </c>
      <c r="B4435" s="4" t="s">
        <v>98</v>
      </c>
      <c r="C4435" s="4" t="s">
        <v>457</v>
      </c>
      <c r="D4435" s="4" t="n">
        <v>37</v>
      </c>
      <c r="E4435" s="19" t="s">
        <v>246</v>
      </c>
      <c r="F4435" s="20" t="s">
        <v>452</v>
      </c>
    </row>
    <row r="4436" customFormat="false" ht="15" hidden="false" customHeight="false" outlineLevel="0" collapsed="false">
      <c r="A4436" s="4" t="str">
        <f aca="false">B4436&amp;"|"&amp;C4436</f>
        <v>tdbR00000195 Lys-CUU|38</v>
      </c>
      <c r="B4436" s="4" t="s">
        <v>98</v>
      </c>
      <c r="C4436" s="4" t="s">
        <v>458</v>
      </c>
      <c r="D4436" s="4" t="n">
        <v>38</v>
      </c>
      <c r="E4436" s="19" t="s">
        <v>246</v>
      </c>
      <c r="F4436" s="20" t="s">
        <v>452</v>
      </c>
    </row>
    <row r="4437" customFormat="false" ht="15" hidden="false" customHeight="false" outlineLevel="0" collapsed="false">
      <c r="A4437" s="4" t="str">
        <f aca="false">B4437&amp;"|"&amp;C4437</f>
        <v>tdbR00000195 Lys-CUU|39</v>
      </c>
      <c r="B4437" s="4" t="s">
        <v>98</v>
      </c>
      <c r="C4437" s="4" t="s">
        <v>459</v>
      </c>
      <c r="D4437" s="4" t="n">
        <v>39</v>
      </c>
      <c r="E4437" s="21" t="s">
        <v>259</v>
      </c>
      <c r="F4437" s="22" t="s">
        <v>446</v>
      </c>
    </row>
    <row r="4438" customFormat="false" ht="15" hidden="false" customHeight="false" outlineLevel="0" collapsed="false">
      <c r="A4438" s="4" t="str">
        <f aca="false">B4438&amp;"|"&amp;C4438</f>
        <v>tdbR00000195 Lys-CUU|40</v>
      </c>
      <c r="B4438" s="4" t="s">
        <v>98</v>
      </c>
      <c r="C4438" s="4" t="s">
        <v>460</v>
      </c>
      <c r="D4438" s="4" t="n">
        <v>40</v>
      </c>
      <c r="E4438" s="21" t="s">
        <v>414</v>
      </c>
      <c r="F4438" s="22" t="s">
        <v>446</v>
      </c>
    </row>
    <row r="4439" customFormat="false" ht="15" hidden="false" customHeight="false" outlineLevel="0" collapsed="false">
      <c r="A4439" s="4" t="str">
        <f aca="false">B4439&amp;"|"&amp;C4439</f>
        <v>tdbR00000195 Lys-CUU|41</v>
      </c>
      <c r="B4439" s="4" t="s">
        <v>98</v>
      </c>
      <c r="C4439" s="4" t="s">
        <v>461</v>
      </c>
      <c r="D4439" s="4" t="n">
        <v>41</v>
      </c>
      <c r="E4439" s="21" t="s">
        <v>259</v>
      </c>
      <c r="F4439" s="22" t="s">
        <v>446</v>
      </c>
    </row>
    <row r="4440" customFormat="false" ht="15" hidden="false" customHeight="false" outlineLevel="0" collapsed="false">
      <c r="A4440" s="4" t="str">
        <f aca="false">B4440&amp;"|"&amp;C4440</f>
        <v>tdbR00000195 Lys-CUU|42</v>
      </c>
      <c r="B4440" s="4" t="s">
        <v>98</v>
      </c>
      <c r="C4440" s="4" t="s">
        <v>462</v>
      </c>
      <c r="D4440" s="4" t="n">
        <v>42</v>
      </c>
      <c r="E4440" s="21" t="s">
        <v>414</v>
      </c>
      <c r="F4440" s="22" t="s">
        <v>446</v>
      </c>
    </row>
    <row r="4441" customFormat="false" ht="15" hidden="false" customHeight="false" outlineLevel="0" collapsed="false">
      <c r="A4441" s="4" t="str">
        <f aca="false">B4441&amp;"|"&amp;C4441</f>
        <v>tdbR00000195 Lys-CUU|43</v>
      </c>
      <c r="B4441" s="4" t="s">
        <v>98</v>
      </c>
      <c r="C4441" s="4" t="s">
        <v>463</v>
      </c>
      <c r="D4441" s="4" t="n">
        <v>43</v>
      </c>
      <c r="E4441" s="21" t="s">
        <v>246</v>
      </c>
      <c r="F4441" s="22" t="s">
        <v>446</v>
      </c>
    </row>
    <row r="4442" customFormat="false" ht="15" hidden="false" customHeight="false" outlineLevel="0" collapsed="false">
      <c r="A4442" s="4" t="str">
        <f aca="false">B4442&amp;"|"&amp;C4442</f>
        <v>tdbR00000195 Lys-CUU|44</v>
      </c>
      <c r="B4442" s="4" t="s">
        <v>98</v>
      </c>
      <c r="C4442" s="4" t="s">
        <v>464</v>
      </c>
      <c r="D4442" s="4" t="n">
        <v>44</v>
      </c>
      <c r="E4442" s="19" t="s">
        <v>197</v>
      </c>
      <c r="F4442" s="20" t="s">
        <v>465</v>
      </c>
    </row>
    <row r="4443" customFormat="false" ht="15" hidden="false" customHeight="false" outlineLevel="0" collapsed="false">
      <c r="A4443" s="4" t="str">
        <f aca="false">B4443&amp;"|"&amp;C4443</f>
        <v>tdbR00000195 Lys-CUU|45</v>
      </c>
      <c r="B4443" s="4" t="s">
        <v>98</v>
      </c>
      <c r="C4443" s="4" t="s">
        <v>466</v>
      </c>
      <c r="D4443" s="4" t="n">
        <v>45</v>
      </c>
      <c r="E4443" s="19" t="s">
        <v>197</v>
      </c>
      <c r="F4443" s="20" t="s">
        <v>465</v>
      </c>
    </row>
    <row r="4444" customFormat="false" ht="15" hidden="false" customHeight="false" outlineLevel="0" collapsed="false">
      <c r="A4444" s="4" t="str">
        <f aca="false">B4444&amp;"|"&amp;C4444</f>
        <v>tdbR00000195 Lys-CUU|46</v>
      </c>
      <c r="B4444" s="4" t="s">
        <v>98</v>
      </c>
      <c r="C4444" s="4" t="s">
        <v>467</v>
      </c>
      <c r="D4444" s="4" t="n">
        <v>46</v>
      </c>
      <c r="E4444" s="19" t="s">
        <v>197</v>
      </c>
      <c r="F4444" s="20" t="s">
        <v>465</v>
      </c>
    </row>
    <row r="4445" customFormat="false" ht="15" hidden="false" customHeight="false" outlineLevel="0" collapsed="false">
      <c r="A4445" s="4" t="str">
        <f aca="false">B4445&amp;"|"&amp;C4445</f>
        <v>tdbR00000195 Lys-CUU|47</v>
      </c>
      <c r="B4445" s="4" t="s">
        <v>98</v>
      </c>
      <c r="C4445" s="4" t="s">
        <v>468</v>
      </c>
      <c r="D4445" s="4" t="n">
        <v>47</v>
      </c>
      <c r="E4445" s="19" t="s">
        <v>259</v>
      </c>
      <c r="F4445" s="20" t="s">
        <v>465</v>
      </c>
    </row>
    <row r="4446" customFormat="false" ht="15" hidden="false" customHeight="false" outlineLevel="0" collapsed="false">
      <c r="A4446" s="4" t="str">
        <f aca="false">B4446&amp;"|"&amp;C4446</f>
        <v>tdbR00000195 Lys-CUU|48</v>
      </c>
      <c r="B4446" s="4" t="s">
        <v>98</v>
      </c>
      <c r="C4446" s="4" t="s">
        <v>469</v>
      </c>
      <c r="D4446" s="4" t="n">
        <v>48</v>
      </c>
      <c r="E4446" s="19" t="s">
        <v>414</v>
      </c>
      <c r="F4446" s="20" t="s">
        <v>465</v>
      </c>
    </row>
    <row r="4447" customFormat="false" ht="15" hidden="false" customHeight="false" outlineLevel="0" collapsed="false">
      <c r="A4447" s="4" t="str">
        <f aca="false">B4447&amp;"|"&amp;C4447</f>
        <v>tdbR00000195 Lys-CUU|49</v>
      </c>
      <c r="B4447" s="4" t="s">
        <v>98</v>
      </c>
      <c r="C4447" s="4" t="s">
        <v>470</v>
      </c>
      <c r="D4447" s="4" t="n">
        <v>49</v>
      </c>
      <c r="E4447" s="23" t="s">
        <v>197</v>
      </c>
      <c r="F4447" s="10" t="s">
        <v>471</v>
      </c>
    </row>
    <row r="4448" customFormat="false" ht="15" hidden="false" customHeight="false" outlineLevel="0" collapsed="false">
      <c r="A4448" s="4" t="str">
        <f aca="false">B4448&amp;"|"&amp;C4448</f>
        <v>tdbR00000195 Lys-CUU|50</v>
      </c>
      <c r="B4448" s="4" t="s">
        <v>98</v>
      </c>
      <c r="C4448" s="4" t="s">
        <v>472</v>
      </c>
      <c r="D4448" s="4" t="n">
        <v>50</v>
      </c>
      <c r="E4448" s="23" t="s">
        <v>259</v>
      </c>
      <c r="F4448" s="10" t="s">
        <v>471</v>
      </c>
    </row>
    <row r="4449" customFormat="false" ht="15" hidden="false" customHeight="false" outlineLevel="0" collapsed="false">
      <c r="A4449" s="4" t="str">
        <f aca="false">B4449&amp;"|"&amp;C4449</f>
        <v>tdbR00000195 Lys-CUU|51</v>
      </c>
      <c r="B4449" s="4" t="s">
        <v>98</v>
      </c>
      <c r="C4449" s="4" t="s">
        <v>473</v>
      </c>
      <c r="D4449" s="4" t="n">
        <v>51</v>
      </c>
      <c r="E4449" s="23" t="s">
        <v>197</v>
      </c>
      <c r="F4449" s="10" t="s">
        <v>471</v>
      </c>
    </row>
    <row r="4450" customFormat="false" ht="15" hidden="false" customHeight="false" outlineLevel="0" collapsed="false">
      <c r="A4450" s="4" t="str">
        <f aca="false">B4450&amp;"|"&amp;C4450</f>
        <v>tdbR00000195 Lys-CUU|52</v>
      </c>
      <c r="B4450" s="4" t="s">
        <v>98</v>
      </c>
      <c r="C4450" s="4" t="s">
        <v>474</v>
      </c>
      <c r="D4450" s="4" t="n">
        <v>52</v>
      </c>
      <c r="E4450" s="23" t="s">
        <v>197</v>
      </c>
      <c r="F4450" s="10" t="s">
        <v>471</v>
      </c>
    </row>
    <row r="4451" customFormat="false" ht="15" hidden="false" customHeight="false" outlineLevel="0" collapsed="false">
      <c r="A4451" s="4" t="str">
        <f aca="false">B4451&amp;"|"&amp;C4451</f>
        <v>tdbR00000195 Lys-CUU|53</v>
      </c>
      <c r="B4451" s="4" t="s">
        <v>98</v>
      </c>
      <c r="C4451" s="4" t="s">
        <v>475</v>
      </c>
      <c r="D4451" s="4" t="n">
        <v>53</v>
      </c>
      <c r="E4451" s="23" t="s">
        <v>197</v>
      </c>
      <c r="F4451" s="10" t="s">
        <v>471</v>
      </c>
    </row>
    <row r="4452" customFormat="false" ht="15" hidden="false" customHeight="false" outlineLevel="0" collapsed="false">
      <c r="A4452" s="4" t="str">
        <f aca="false">B4452&amp;"|"&amp;C4452</f>
        <v>tdbR00000195 Lys-CUU|54</v>
      </c>
      <c r="B4452" s="4" t="s">
        <v>98</v>
      </c>
      <c r="C4452" s="4" t="s">
        <v>476</v>
      </c>
      <c r="D4452" s="4" t="n">
        <v>54</v>
      </c>
      <c r="E4452" s="19" t="s">
        <v>259</v>
      </c>
      <c r="F4452" s="20" t="s">
        <v>477</v>
      </c>
    </row>
    <row r="4453" customFormat="false" ht="15" hidden="false" customHeight="false" outlineLevel="0" collapsed="false">
      <c r="A4453" s="4" t="str">
        <f aca="false">B4453&amp;"|"&amp;C4453</f>
        <v>tdbR00000195 Lys-CUU|55</v>
      </c>
      <c r="B4453" s="4" t="s">
        <v>98</v>
      </c>
      <c r="C4453" s="4" t="s">
        <v>478</v>
      </c>
      <c r="D4453" s="4" t="n">
        <v>55</v>
      </c>
      <c r="E4453" s="19" t="s">
        <v>259</v>
      </c>
      <c r="F4453" s="20" t="s">
        <v>477</v>
      </c>
    </row>
    <row r="4454" customFormat="false" ht="15" hidden="false" customHeight="false" outlineLevel="0" collapsed="false">
      <c r="A4454" s="4" t="str">
        <f aca="false">B4454&amp;"|"&amp;C4454</f>
        <v>tdbR00000195 Lys-CUU|56</v>
      </c>
      <c r="B4454" s="4" t="s">
        <v>98</v>
      </c>
      <c r="C4454" s="4" t="s">
        <v>479</v>
      </c>
      <c r="D4454" s="4" t="n">
        <v>56</v>
      </c>
      <c r="E4454" s="19" t="s">
        <v>414</v>
      </c>
      <c r="F4454" s="20" t="s">
        <v>477</v>
      </c>
    </row>
    <row r="4455" customFormat="false" ht="15" hidden="false" customHeight="false" outlineLevel="0" collapsed="false">
      <c r="A4455" s="4" t="str">
        <f aca="false">B4455&amp;"|"&amp;C4455</f>
        <v>tdbR00000195 Lys-CUU|57</v>
      </c>
      <c r="B4455" s="4" t="s">
        <v>98</v>
      </c>
      <c r="C4455" s="4" t="s">
        <v>480</v>
      </c>
      <c r="D4455" s="4" t="n">
        <v>57</v>
      </c>
      <c r="E4455" s="19" t="s">
        <v>197</v>
      </c>
      <c r="F4455" s="20" t="s">
        <v>477</v>
      </c>
    </row>
    <row r="4456" customFormat="false" ht="15" hidden="false" customHeight="false" outlineLevel="0" collapsed="false">
      <c r="A4456" s="4" t="str">
        <f aca="false">B4456&amp;"|"&amp;C4456</f>
        <v>tdbR00000195 Lys-CUU|58</v>
      </c>
      <c r="B4456" s="4" t="s">
        <v>98</v>
      </c>
      <c r="C4456" s="4" t="s">
        <v>481</v>
      </c>
      <c r="D4456" s="4" t="n">
        <v>58</v>
      </c>
      <c r="E4456" s="19" t="s">
        <v>246</v>
      </c>
      <c r="F4456" s="20" t="s">
        <v>477</v>
      </c>
    </row>
    <row r="4457" customFormat="false" ht="15" hidden="false" customHeight="false" outlineLevel="0" collapsed="false">
      <c r="A4457" s="4" t="str">
        <f aca="false">B4457&amp;"|"&amp;C4457</f>
        <v>tdbR00000195 Lys-CUU|59</v>
      </c>
      <c r="B4457" s="4" t="s">
        <v>98</v>
      </c>
      <c r="C4457" s="4" t="s">
        <v>482</v>
      </c>
      <c r="D4457" s="4" t="n">
        <v>59</v>
      </c>
      <c r="E4457" s="19" t="s">
        <v>197</v>
      </c>
      <c r="F4457" s="20" t="s">
        <v>477</v>
      </c>
    </row>
    <row r="4458" customFormat="false" ht="15" hidden="false" customHeight="false" outlineLevel="0" collapsed="false">
      <c r="A4458" s="4" t="str">
        <f aca="false">B4458&amp;"|"&amp;C4458</f>
        <v>tdbR00000195 Lys-CUU|60</v>
      </c>
      <c r="B4458" s="4" t="s">
        <v>98</v>
      </c>
      <c r="C4458" s="4" t="s">
        <v>483</v>
      </c>
      <c r="D4458" s="4" t="n">
        <v>60</v>
      </c>
      <c r="E4458" s="19" t="s">
        <v>414</v>
      </c>
      <c r="F4458" s="20" t="s">
        <v>477</v>
      </c>
    </row>
    <row r="4459" customFormat="false" ht="15" hidden="false" customHeight="false" outlineLevel="0" collapsed="false">
      <c r="A4459" s="4" t="str">
        <f aca="false">B4459&amp;"|"&amp;C4459</f>
        <v>tdbR00000195 Lys-CUU|61</v>
      </c>
      <c r="B4459" s="4" t="s">
        <v>98</v>
      </c>
      <c r="C4459" s="4" t="s">
        <v>484</v>
      </c>
      <c r="D4459" s="4" t="n">
        <v>61</v>
      </c>
      <c r="E4459" s="23" t="s">
        <v>414</v>
      </c>
      <c r="F4459" s="10" t="s">
        <v>471</v>
      </c>
    </row>
    <row r="4460" customFormat="false" ht="15" hidden="false" customHeight="false" outlineLevel="0" collapsed="false">
      <c r="A4460" s="4" t="str">
        <f aca="false">B4460&amp;"|"&amp;C4460</f>
        <v>tdbR00000195 Lys-CUU|62</v>
      </c>
      <c r="B4460" s="4" t="s">
        <v>98</v>
      </c>
      <c r="C4460" s="4" t="s">
        <v>485</v>
      </c>
      <c r="D4460" s="4" t="n">
        <v>62</v>
      </c>
      <c r="E4460" s="23" t="s">
        <v>414</v>
      </c>
      <c r="F4460" s="10" t="s">
        <v>471</v>
      </c>
    </row>
    <row r="4461" customFormat="false" ht="15" hidden="false" customHeight="false" outlineLevel="0" collapsed="false">
      <c r="A4461" s="4" t="str">
        <f aca="false">B4461&amp;"|"&amp;C4461</f>
        <v>tdbR00000195 Lys-CUU|63</v>
      </c>
      <c r="B4461" s="4" t="s">
        <v>98</v>
      </c>
      <c r="C4461" s="4" t="s">
        <v>486</v>
      </c>
      <c r="D4461" s="4" t="n">
        <v>63</v>
      </c>
      <c r="E4461" s="23" t="s">
        <v>414</v>
      </c>
      <c r="F4461" s="10" t="s">
        <v>471</v>
      </c>
    </row>
    <row r="4462" customFormat="false" ht="15" hidden="false" customHeight="false" outlineLevel="0" collapsed="false">
      <c r="A4462" s="4" t="str">
        <f aca="false">B4462&amp;"|"&amp;C4462</f>
        <v>tdbR00000195 Lys-CUU|64</v>
      </c>
      <c r="B4462" s="4" t="s">
        <v>98</v>
      </c>
      <c r="C4462" s="4" t="s">
        <v>487</v>
      </c>
      <c r="D4462" s="4" t="n">
        <v>64</v>
      </c>
      <c r="E4462" s="23" t="s">
        <v>246</v>
      </c>
      <c r="F4462" s="10" t="s">
        <v>471</v>
      </c>
    </row>
    <row r="4463" customFormat="false" ht="15" hidden="false" customHeight="false" outlineLevel="0" collapsed="false">
      <c r="A4463" s="4" t="str">
        <f aca="false">B4463&amp;"|"&amp;C4463</f>
        <v>tdbR00000195 Lys-CUU|65</v>
      </c>
      <c r="B4463" s="4" t="s">
        <v>98</v>
      </c>
      <c r="C4463" s="4" t="s">
        <v>488</v>
      </c>
      <c r="D4463" s="4" t="n">
        <v>65</v>
      </c>
      <c r="E4463" s="23" t="s">
        <v>414</v>
      </c>
      <c r="F4463" s="10" t="s">
        <v>471</v>
      </c>
    </row>
    <row r="4464" customFormat="false" ht="15" hidden="false" customHeight="false" outlineLevel="0" collapsed="false">
      <c r="A4464" s="4" t="str">
        <f aca="false">B4464&amp;"|"&amp;C4464</f>
        <v>tdbR00000195 Lys-CUU|66</v>
      </c>
      <c r="B4464" s="4" t="s">
        <v>98</v>
      </c>
      <c r="C4464" s="4" t="s">
        <v>489</v>
      </c>
      <c r="D4464" s="4" t="n">
        <v>66</v>
      </c>
      <c r="E4464" s="17" t="s">
        <v>197</v>
      </c>
      <c r="F4464" s="18" t="s">
        <v>412</v>
      </c>
    </row>
    <row r="4465" customFormat="false" ht="15" hidden="false" customHeight="false" outlineLevel="0" collapsed="false">
      <c r="A4465" s="4" t="str">
        <f aca="false">B4465&amp;"|"&amp;C4465</f>
        <v>tdbR00000195 Lys-CUU|67</v>
      </c>
      <c r="B4465" s="4" t="s">
        <v>98</v>
      </c>
      <c r="C4465" s="4" t="s">
        <v>490</v>
      </c>
      <c r="D4465" s="4" t="n">
        <v>67</v>
      </c>
      <c r="E4465" s="17" t="s">
        <v>259</v>
      </c>
      <c r="F4465" s="18" t="s">
        <v>412</v>
      </c>
    </row>
    <row r="4466" customFormat="false" ht="15" hidden="false" customHeight="false" outlineLevel="0" collapsed="false">
      <c r="A4466" s="4" t="str">
        <f aca="false">B4466&amp;"|"&amp;C4466</f>
        <v>tdbR00000195 Lys-CUU|68</v>
      </c>
      <c r="B4466" s="4" t="s">
        <v>98</v>
      </c>
      <c r="C4466" s="4" t="s">
        <v>491</v>
      </c>
      <c r="D4466" s="4" t="n">
        <v>68</v>
      </c>
      <c r="E4466" s="17" t="s">
        <v>259</v>
      </c>
      <c r="F4466" s="18" t="s">
        <v>412</v>
      </c>
    </row>
    <row r="4467" customFormat="false" ht="15" hidden="false" customHeight="false" outlineLevel="0" collapsed="false">
      <c r="A4467" s="4" t="str">
        <f aca="false">B4467&amp;"|"&amp;C4467</f>
        <v>tdbR00000195 Lys-CUU|69</v>
      </c>
      <c r="B4467" s="4" t="s">
        <v>98</v>
      </c>
      <c r="C4467" s="4" t="s">
        <v>492</v>
      </c>
      <c r="D4467" s="4" t="n">
        <v>69</v>
      </c>
      <c r="E4467" s="17" t="s">
        <v>197</v>
      </c>
      <c r="F4467" s="18" t="s">
        <v>412</v>
      </c>
    </row>
    <row r="4468" customFormat="false" ht="15" hidden="false" customHeight="false" outlineLevel="0" collapsed="false">
      <c r="A4468" s="4" t="str">
        <f aca="false">B4468&amp;"|"&amp;C4468</f>
        <v>tdbR00000195 Lys-CUU|70</v>
      </c>
      <c r="B4468" s="4" t="s">
        <v>98</v>
      </c>
      <c r="C4468" s="4" t="s">
        <v>493</v>
      </c>
      <c r="D4468" s="4" t="n">
        <v>70</v>
      </c>
      <c r="E4468" s="17" t="s">
        <v>197</v>
      </c>
      <c r="F4468" s="18" t="s">
        <v>412</v>
      </c>
    </row>
    <row r="4469" customFormat="false" ht="15" hidden="false" customHeight="false" outlineLevel="0" collapsed="false">
      <c r="A4469" s="4" t="str">
        <f aca="false">B4469&amp;"|"&amp;C4469</f>
        <v>tdbR00000195 Lys-CUU|71</v>
      </c>
      <c r="B4469" s="4" t="s">
        <v>98</v>
      </c>
      <c r="C4469" s="4" t="s">
        <v>494</v>
      </c>
      <c r="D4469" s="4" t="n">
        <v>71</v>
      </c>
      <c r="E4469" s="17" t="s">
        <v>197</v>
      </c>
      <c r="F4469" s="18" t="s">
        <v>412</v>
      </c>
    </row>
    <row r="4470" customFormat="false" ht="15" hidden="false" customHeight="false" outlineLevel="0" collapsed="false">
      <c r="A4470" s="4" t="str">
        <f aca="false">B4470&amp;"|"&amp;C4470</f>
        <v>tdbR00000195 Lys-CUU|72</v>
      </c>
      <c r="B4470" s="4" t="s">
        <v>98</v>
      </c>
      <c r="C4470" s="4" t="s">
        <v>495</v>
      </c>
      <c r="D4470" s="4" t="n">
        <v>72</v>
      </c>
      <c r="E4470" s="17" t="s">
        <v>414</v>
      </c>
      <c r="F4470" s="18" t="s">
        <v>412</v>
      </c>
    </row>
    <row r="4471" customFormat="false" ht="15" hidden="false" customHeight="false" outlineLevel="0" collapsed="false">
      <c r="A4471" s="4" t="str">
        <f aca="false">B4471&amp;"|"&amp;C4471</f>
        <v>tdbR00000196 Lys-CUU|1</v>
      </c>
      <c r="B4471" s="4" t="s">
        <v>99</v>
      </c>
      <c r="C4471" s="4" t="s">
        <v>411</v>
      </c>
      <c r="D4471" s="4" t="n">
        <v>1</v>
      </c>
      <c r="E4471" s="17" t="s">
        <v>197</v>
      </c>
      <c r="F4471" s="18" t="s">
        <v>412</v>
      </c>
    </row>
    <row r="4472" customFormat="false" ht="15" hidden="false" customHeight="false" outlineLevel="0" collapsed="false">
      <c r="A4472" s="4" t="str">
        <f aca="false">B4472&amp;"|"&amp;C4472</f>
        <v>tdbR00000196 Lys-CUU|2</v>
      </c>
      <c r="B4472" s="4" t="s">
        <v>99</v>
      </c>
      <c r="C4472" s="4" t="s">
        <v>413</v>
      </c>
      <c r="D4472" s="4" t="n">
        <v>2</v>
      </c>
      <c r="E4472" s="17" t="s">
        <v>414</v>
      </c>
      <c r="F4472" s="18" t="s">
        <v>412</v>
      </c>
    </row>
    <row r="4473" customFormat="false" ht="15" hidden="false" customHeight="false" outlineLevel="0" collapsed="false">
      <c r="A4473" s="4" t="str">
        <f aca="false">B4473&amp;"|"&amp;C4473</f>
        <v>tdbR00000196 Lys-CUU|3</v>
      </c>
      <c r="B4473" s="4" t="s">
        <v>99</v>
      </c>
      <c r="C4473" s="4" t="s">
        <v>415</v>
      </c>
      <c r="D4473" s="4" t="n">
        <v>3</v>
      </c>
      <c r="E4473" s="17" t="s">
        <v>414</v>
      </c>
      <c r="F4473" s="18" t="s">
        <v>412</v>
      </c>
    </row>
    <row r="4474" customFormat="false" ht="15" hidden="false" customHeight="false" outlineLevel="0" collapsed="false">
      <c r="A4474" s="4" t="str">
        <f aca="false">B4474&amp;"|"&amp;C4474</f>
        <v>tdbR00000196 Lys-CUU|4</v>
      </c>
      <c r="B4474" s="4" t="s">
        <v>99</v>
      </c>
      <c r="C4474" s="4" t="s">
        <v>416</v>
      </c>
      <c r="D4474" s="4" t="n">
        <v>4</v>
      </c>
      <c r="E4474" s="17" t="s">
        <v>414</v>
      </c>
      <c r="F4474" s="18" t="s">
        <v>412</v>
      </c>
    </row>
    <row r="4475" customFormat="false" ht="15" hidden="false" customHeight="false" outlineLevel="0" collapsed="false">
      <c r="A4475" s="4" t="str">
        <f aca="false">B4475&amp;"|"&amp;C4475</f>
        <v>tdbR00000196 Lys-CUU|5</v>
      </c>
      <c r="B4475" s="4" t="s">
        <v>99</v>
      </c>
      <c r="C4475" s="4" t="s">
        <v>417</v>
      </c>
      <c r="D4475" s="4" t="n">
        <v>5</v>
      </c>
      <c r="E4475" s="17" t="s">
        <v>197</v>
      </c>
      <c r="F4475" s="18" t="s">
        <v>412</v>
      </c>
    </row>
    <row r="4476" customFormat="false" ht="15" hidden="false" customHeight="false" outlineLevel="0" collapsed="false">
      <c r="A4476" s="4" t="str">
        <f aca="false">B4476&amp;"|"&amp;C4476</f>
        <v>tdbR00000196 Lys-CUU|6</v>
      </c>
      <c r="B4476" s="4" t="s">
        <v>99</v>
      </c>
      <c r="C4476" s="4" t="s">
        <v>418</v>
      </c>
      <c r="D4476" s="4" t="n">
        <v>6</v>
      </c>
      <c r="E4476" s="17" t="s">
        <v>197</v>
      </c>
      <c r="F4476" s="18" t="s">
        <v>412</v>
      </c>
    </row>
    <row r="4477" customFormat="false" ht="15" hidden="false" customHeight="false" outlineLevel="0" collapsed="false">
      <c r="A4477" s="4" t="str">
        <f aca="false">B4477&amp;"|"&amp;C4477</f>
        <v>tdbR00000196 Lys-CUU|7</v>
      </c>
      <c r="B4477" s="4" t="s">
        <v>99</v>
      </c>
      <c r="C4477" s="4" t="s">
        <v>419</v>
      </c>
      <c r="D4477" s="4" t="n">
        <v>7</v>
      </c>
      <c r="E4477" s="17" t="s">
        <v>414</v>
      </c>
      <c r="F4477" s="18" t="s">
        <v>412</v>
      </c>
    </row>
    <row r="4478" customFormat="false" ht="15" hidden="false" customHeight="false" outlineLevel="0" collapsed="false">
      <c r="A4478" s="4" t="str">
        <f aca="false">B4478&amp;"|"&amp;C4478</f>
        <v>tdbR00000196 Lys-CUU|8</v>
      </c>
      <c r="B4478" s="4" t="s">
        <v>99</v>
      </c>
      <c r="C4478" s="4" t="s">
        <v>420</v>
      </c>
      <c r="D4478" s="4" t="n">
        <v>8</v>
      </c>
      <c r="E4478" s="3" t="s">
        <v>259</v>
      </c>
      <c r="F4478" s="4" t="s">
        <v>421</v>
      </c>
    </row>
    <row r="4479" customFormat="false" ht="15" hidden="false" customHeight="false" outlineLevel="0" collapsed="false">
      <c r="A4479" s="4" t="str">
        <f aca="false">B4479&amp;"|"&amp;C4479</f>
        <v>tdbR00000196 Lys-CUU|9</v>
      </c>
      <c r="B4479" s="4" t="s">
        <v>99</v>
      </c>
      <c r="C4479" s="4" t="s">
        <v>422</v>
      </c>
      <c r="D4479" s="4" t="n">
        <v>9</v>
      </c>
      <c r="E4479" s="3" t="s">
        <v>246</v>
      </c>
      <c r="F4479" s="4" t="s">
        <v>423</v>
      </c>
    </row>
    <row r="4480" customFormat="false" ht="15" hidden="false" customHeight="false" outlineLevel="0" collapsed="false">
      <c r="A4480" s="4" t="str">
        <f aca="false">B4480&amp;"|"&amp;C4480</f>
        <v>tdbR00000196 Lys-CUU|10</v>
      </c>
      <c r="B4480" s="4" t="s">
        <v>99</v>
      </c>
      <c r="C4480" s="4" t="s">
        <v>424</v>
      </c>
      <c r="D4480" s="4" t="n">
        <v>10</v>
      </c>
      <c r="E4480" s="8" t="s">
        <v>197</v>
      </c>
      <c r="F4480" s="7" t="s">
        <v>425</v>
      </c>
    </row>
    <row r="4481" customFormat="false" ht="15" hidden="false" customHeight="false" outlineLevel="0" collapsed="false">
      <c r="A4481" s="4" t="str">
        <f aca="false">B4481&amp;"|"&amp;C4481</f>
        <v>tdbR00000196 Lys-CUU|11</v>
      </c>
      <c r="B4481" s="4" t="s">
        <v>99</v>
      </c>
      <c r="C4481" s="4" t="s">
        <v>426</v>
      </c>
      <c r="D4481" s="4" t="n">
        <v>11</v>
      </c>
      <c r="E4481" s="8" t="s">
        <v>414</v>
      </c>
      <c r="F4481" s="7" t="s">
        <v>425</v>
      </c>
    </row>
    <row r="4482" customFormat="false" ht="15" hidden="false" customHeight="false" outlineLevel="0" collapsed="false">
      <c r="A4482" s="4" t="str">
        <f aca="false">B4482&amp;"|"&amp;C4482</f>
        <v>tdbR00000196 Lys-CUU|12</v>
      </c>
      <c r="B4482" s="4" t="s">
        <v>99</v>
      </c>
      <c r="C4482" s="4" t="s">
        <v>427</v>
      </c>
      <c r="D4482" s="4" t="n">
        <v>12</v>
      </c>
      <c r="E4482" s="8" t="s">
        <v>259</v>
      </c>
      <c r="F4482" s="7" t="s">
        <v>425</v>
      </c>
    </row>
    <row r="4483" customFormat="false" ht="15" hidden="false" customHeight="false" outlineLevel="0" collapsed="false">
      <c r="A4483" s="4" t="str">
        <f aca="false">B4483&amp;"|"&amp;C4483</f>
        <v>tdbR00000196 Lys-CUU|13</v>
      </c>
      <c r="B4483" s="4" t="s">
        <v>99</v>
      </c>
      <c r="C4483" s="4" t="s">
        <v>428</v>
      </c>
      <c r="D4483" s="4" t="n">
        <v>13</v>
      </c>
      <c r="E4483" s="8" t="s">
        <v>414</v>
      </c>
      <c r="F4483" s="7" t="s">
        <v>425</v>
      </c>
    </row>
    <row r="4484" customFormat="false" ht="15" hidden="false" customHeight="false" outlineLevel="0" collapsed="false">
      <c r="A4484" s="4" t="str">
        <f aca="false">B4484&amp;"|"&amp;C4484</f>
        <v>tdbR00000196 Lys-CUU|14</v>
      </c>
      <c r="B4484" s="4" t="s">
        <v>99</v>
      </c>
      <c r="C4484" s="4" t="s">
        <v>429</v>
      </c>
      <c r="D4484" s="4" t="n">
        <v>14</v>
      </c>
      <c r="E4484" s="19" t="s">
        <v>246</v>
      </c>
      <c r="F4484" s="20" t="s">
        <v>430</v>
      </c>
    </row>
    <row r="4485" customFormat="false" ht="15" hidden="false" customHeight="false" outlineLevel="0" collapsed="false">
      <c r="A4485" s="4" t="str">
        <f aca="false">B4485&amp;"|"&amp;C4485</f>
        <v>tdbR00000196 Lys-CUU|15</v>
      </c>
      <c r="B4485" s="4" t="s">
        <v>99</v>
      </c>
      <c r="C4485" s="4" t="s">
        <v>431</v>
      </c>
      <c r="D4485" s="4" t="n">
        <v>15</v>
      </c>
      <c r="E4485" s="19" t="s">
        <v>197</v>
      </c>
      <c r="F4485" s="20" t="s">
        <v>430</v>
      </c>
    </row>
    <row r="4486" customFormat="false" ht="15" hidden="false" customHeight="false" outlineLevel="0" collapsed="false">
      <c r="A4486" s="4" t="str">
        <f aca="false">B4486&amp;"|"&amp;C4486</f>
        <v>tdbR00000196 Lys-CUU|16</v>
      </c>
      <c r="B4486" s="4" t="s">
        <v>99</v>
      </c>
      <c r="C4486" s="4" t="s">
        <v>432</v>
      </c>
      <c r="D4486" s="4" t="n">
        <v>16</v>
      </c>
      <c r="E4486" s="19" t="s">
        <v>259</v>
      </c>
      <c r="F4486" s="20" t="s">
        <v>430</v>
      </c>
    </row>
    <row r="4487" customFormat="false" ht="15" hidden="false" customHeight="false" outlineLevel="0" collapsed="false">
      <c r="A4487" s="4" t="str">
        <f aca="false">B4487&amp;"|"&amp;C4487</f>
        <v>tdbR00000196 Lys-CUU|17</v>
      </c>
      <c r="B4487" s="4" t="s">
        <v>99</v>
      </c>
      <c r="C4487" s="4" t="s">
        <v>433</v>
      </c>
      <c r="D4487" s="4" t="n">
        <v>17</v>
      </c>
      <c r="E4487" s="19" t="s">
        <v>414</v>
      </c>
      <c r="F4487" s="20" t="s">
        <v>430</v>
      </c>
    </row>
    <row r="4488" customFormat="false" ht="15" hidden="false" customHeight="false" outlineLevel="0" collapsed="false">
      <c r="A4488" s="4" t="str">
        <f aca="false">B4488&amp;"|"&amp;C4488</f>
        <v>tdbR00000196 Lys-CUU|18</v>
      </c>
      <c r="B4488" s="4" t="s">
        <v>99</v>
      </c>
      <c r="C4488" s="4" t="s">
        <v>434</v>
      </c>
      <c r="D4488" s="4" t="n">
        <v>18</v>
      </c>
      <c r="E4488" s="19" t="s">
        <v>197</v>
      </c>
      <c r="F4488" s="20" t="s">
        <v>430</v>
      </c>
    </row>
    <row r="4489" customFormat="false" ht="15" hidden="false" customHeight="false" outlineLevel="0" collapsed="false">
      <c r="A4489" s="4" t="str">
        <f aca="false">B4489&amp;"|"&amp;C4489</f>
        <v>tdbR00000196 Lys-CUU|19</v>
      </c>
      <c r="B4489" s="4" t="s">
        <v>99</v>
      </c>
      <c r="C4489" s="4" t="s">
        <v>435</v>
      </c>
      <c r="D4489" s="4" t="n">
        <v>19</v>
      </c>
      <c r="E4489" s="19" t="s">
        <v>197</v>
      </c>
      <c r="F4489" s="20" t="s">
        <v>430</v>
      </c>
    </row>
    <row r="4490" customFormat="false" ht="15" hidden="false" customHeight="false" outlineLevel="0" collapsed="false">
      <c r="A4490" s="4" t="str">
        <f aca="false">B4490&amp;"|"&amp;C4490</f>
        <v>tdbR00000196 Lys-CUU|20</v>
      </c>
      <c r="B4490" s="4" t="s">
        <v>99</v>
      </c>
      <c r="C4490" s="4" t="s">
        <v>436</v>
      </c>
      <c r="D4490" s="4" t="n">
        <v>20</v>
      </c>
      <c r="E4490" s="19" t="s">
        <v>259</v>
      </c>
      <c r="F4490" s="20" t="s">
        <v>430</v>
      </c>
    </row>
    <row r="4491" customFormat="false" ht="15" hidden="false" customHeight="false" outlineLevel="0" collapsed="false">
      <c r="A4491" s="4" t="str">
        <f aca="false">B4491&amp;"|"&amp;C4491</f>
        <v>tdbR00000196 Lys-CUU|21</v>
      </c>
      <c r="B4491" s="4" t="s">
        <v>99</v>
      </c>
      <c r="C4491" s="4" t="s">
        <v>438</v>
      </c>
      <c r="D4491" s="4" t="n">
        <v>21</v>
      </c>
      <c r="E4491" s="19" t="s">
        <v>246</v>
      </c>
      <c r="F4491" s="20" t="s">
        <v>430</v>
      </c>
    </row>
    <row r="4492" customFormat="false" ht="15" hidden="false" customHeight="false" outlineLevel="0" collapsed="false">
      <c r="A4492" s="4" t="str">
        <f aca="false">B4492&amp;"|"&amp;C4492</f>
        <v>tdbR00000196 Lys-CUU|22</v>
      </c>
      <c r="B4492" s="4" t="s">
        <v>99</v>
      </c>
      <c r="C4492" s="4" t="s">
        <v>439</v>
      </c>
      <c r="D4492" s="4" t="n">
        <v>22</v>
      </c>
      <c r="E4492" s="8" t="s">
        <v>197</v>
      </c>
      <c r="F4492" s="7" t="s">
        <v>425</v>
      </c>
    </row>
    <row r="4493" customFormat="false" ht="15" hidden="false" customHeight="false" outlineLevel="0" collapsed="false">
      <c r="A4493" s="4" t="str">
        <f aca="false">B4493&amp;"|"&amp;C4493</f>
        <v>tdbR00000196 Lys-CUU|23</v>
      </c>
      <c r="B4493" s="4" t="s">
        <v>99</v>
      </c>
      <c r="C4493" s="4" t="s">
        <v>440</v>
      </c>
      <c r="D4493" s="4" t="n">
        <v>23</v>
      </c>
      <c r="E4493" s="8" t="s">
        <v>246</v>
      </c>
      <c r="F4493" s="7" t="s">
        <v>425</v>
      </c>
    </row>
    <row r="4494" customFormat="false" ht="15" hidden="false" customHeight="false" outlineLevel="0" collapsed="false">
      <c r="A4494" s="4" t="str">
        <f aca="false">B4494&amp;"|"&amp;C4494</f>
        <v>tdbR00000196 Lys-CUU|24</v>
      </c>
      <c r="B4494" s="4" t="s">
        <v>99</v>
      </c>
      <c r="C4494" s="4" t="s">
        <v>441</v>
      </c>
      <c r="D4494" s="4" t="n">
        <v>24</v>
      </c>
      <c r="E4494" s="8" t="s">
        <v>197</v>
      </c>
      <c r="F4494" s="7" t="s">
        <v>425</v>
      </c>
    </row>
    <row r="4495" customFormat="false" ht="15" hidden="false" customHeight="false" outlineLevel="0" collapsed="false">
      <c r="A4495" s="4" t="str">
        <f aca="false">B4495&amp;"|"&amp;C4495</f>
        <v>tdbR00000196 Lys-CUU|25</v>
      </c>
      <c r="B4495" s="4" t="s">
        <v>99</v>
      </c>
      <c r="C4495" s="4" t="s">
        <v>442</v>
      </c>
      <c r="D4495" s="4" t="n">
        <v>25</v>
      </c>
      <c r="E4495" s="8" t="s">
        <v>414</v>
      </c>
      <c r="F4495" s="7" t="s">
        <v>425</v>
      </c>
    </row>
    <row r="4496" customFormat="false" ht="15" hidden="false" customHeight="false" outlineLevel="0" collapsed="false">
      <c r="A4496" s="4" t="str">
        <f aca="false">B4496&amp;"|"&amp;C4496</f>
        <v>tdbR00000196 Lys-CUU|26</v>
      </c>
      <c r="B4496" s="4" t="s">
        <v>99</v>
      </c>
      <c r="C4496" s="4" t="s">
        <v>443</v>
      </c>
      <c r="D4496" s="4" t="n">
        <v>26</v>
      </c>
      <c r="E4496" s="3" t="s">
        <v>246</v>
      </c>
      <c r="F4496" s="4" t="s">
        <v>444</v>
      </c>
    </row>
    <row r="4497" customFormat="false" ht="15" hidden="false" customHeight="false" outlineLevel="0" collapsed="false">
      <c r="A4497" s="4" t="str">
        <f aca="false">B4497&amp;"|"&amp;C4497</f>
        <v>tdbR00000196 Lys-CUU|27</v>
      </c>
      <c r="B4497" s="4" t="s">
        <v>99</v>
      </c>
      <c r="C4497" s="4" t="s">
        <v>445</v>
      </c>
      <c r="D4497" s="4" t="n">
        <v>27</v>
      </c>
      <c r="E4497" s="21" t="s">
        <v>259</v>
      </c>
      <c r="F4497" s="22" t="s">
        <v>446</v>
      </c>
    </row>
    <row r="4498" customFormat="false" ht="15" hidden="false" customHeight="false" outlineLevel="0" collapsed="false">
      <c r="A4498" s="4" t="str">
        <f aca="false">B4498&amp;"|"&amp;C4498</f>
        <v>tdbR00000196 Lys-CUU|28</v>
      </c>
      <c r="B4498" s="4" t="s">
        <v>99</v>
      </c>
      <c r="C4498" s="4" t="s">
        <v>447</v>
      </c>
      <c r="D4498" s="4" t="n">
        <v>28</v>
      </c>
      <c r="E4498" s="21" t="s">
        <v>197</v>
      </c>
      <c r="F4498" s="22" t="s">
        <v>446</v>
      </c>
    </row>
    <row r="4499" customFormat="false" ht="15" hidden="false" customHeight="false" outlineLevel="0" collapsed="false">
      <c r="A4499" s="4" t="str">
        <f aca="false">B4499&amp;"|"&amp;C4499</f>
        <v>tdbR00000196 Lys-CUU|29</v>
      </c>
      <c r="B4499" s="4" t="s">
        <v>99</v>
      </c>
      <c r="C4499" s="4" t="s">
        <v>448</v>
      </c>
      <c r="D4499" s="4" t="n">
        <v>29</v>
      </c>
      <c r="E4499" s="21" t="s">
        <v>197</v>
      </c>
      <c r="F4499" s="22" t="s">
        <v>446</v>
      </c>
    </row>
    <row r="4500" customFormat="false" ht="15" hidden="false" customHeight="false" outlineLevel="0" collapsed="false">
      <c r="A4500" s="4" t="str">
        <f aca="false">B4500&amp;"|"&amp;C4500</f>
        <v>tdbR00000196 Lys-CUU|30</v>
      </c>
      <c r="B4500" s="4" t="s">
        <v>99</v>
      </c>
      <c r="C4500" s="4" t="s">
        <v>449</v>
      </c>
      <c r="D4500" s="4" t="n">
        <v>30</v>
      </c>
      <c r="E4500" s="21" t="s">
        <v>197</v>
      </c>
      <c r="F4500" s="22" t="s">
        <v>446</v>
      </c>
    </row>
    <row r="4501" customFormat="false" ht="15" hidden="false" customHeight="false" outlineLevel="0" collapsed="false">
      <c r="A4501" s="4" t="str">
        <f aca="false">B4501&amp;"|"&amp;C4501</f>
        <v>tdbR00000196 Lys-CUU|31</v>
      </c>
      <c r="B4501" s="4" t="s">
        <v>99</v>
      </c>
      <c r="C4501" s="4" t="s">
        <v>450</v>
      </c>
      <c r="D4501" s="4" t="n">
        <v>31</v>
      </c>
      <c r="E4501" s="21" t="s">
        <v>246</v>
      </c>
      <c r="F4501" s="22" t="s">
        <v>446</v>
      </c>
    </row>
    <row r="4502" customFormat="false" ht="15" hidden="false" customHeight="false" outlineLevel="0" collapsed="false">
      <c r="A4502" s="4" t="str">
        <f aca="false">B4502&amp;"|"&amp;C4502</f>
        <v>tdbR00000196 Lys-CUU|32</v>
      </c>
      <c r="B4502" s="4" t="s">
        <v>99</v>
      </c>
      <c r="C4502" s="4" t="s">
        <v>451</v>
      </c>
      <c r="D4502" s="4" t="n">
        <v>32</v>
      </c>
      <c r="E4502" s="19" t="s">
        <v>414</v>
      </c>
      <c r="F4502" s="20" t="s">
        <v>452</v>
      </c>
    </row>
    <row r="4503" customFormat="false" ht="15" hidden="false" customHeight="false" outlineLevel="0" collapsed="false">
      <c r="A4503" s="4" t="str">
        <f aca="false">B4503&amp;"|"&amp;C4503</f>
        <v>tdbR00000196 Lys-CUU|33</v>
      </c>
      <c r="B4503" s="4" t="s">
        <v>99</v>
      </c>
      <c r="C4503" s="4" t="s">
        <v>453</v>
      </c>
      <c r="D4503" s="4" t="n">
        <v>33</v>
      </c>
      <c r="E4503" s="19" t="s">
        <v>259</v>
      </c>
      <c r="F4503" s="20" t="s">
        <v>452</v>
      </c>
    </row>
    <row r="4504" customFormat="false" ht="15" hidden="false" customHeight="false" outlineLevel="0" collapsed="false">
      <c r="A4504" s="4" t="str">
        <f aca="false">B4504&amp;"|"&amp;C4504</f>
        <v>tdbR00000196 Lys-CUU|34</v>
      </c>
      <c r="B4504" s="4" t="s">
        <v>99</v>
      </c>
      <c r="C4504" s="4" t="s">
        <v>454</v>
      </c>
      <c r="D4504" s="4" t="n">
        <v>34</v>
      </c>
      <c r="E4504" s="19" t="s">
        <v>414</v>
      </c>
      <c r="F4504" s="20" t="s">
        <v>452</v>
      </c>
    </row>
    <row r="4505" customFormat="false" ht="15" hidden="false" customHeight="false" outlineLevel="0" collapsed="false">
      <c r="A4505" s="4" t="str">
        <f aca="false">B4505&amp;"|"&amp;C4505</f>
        <v>tdbR00000196 Lys-CUU|35</v>
      </c>
      <c r="B4505" s="4" t="s">
        <v>99</v>
      </c>
      <c r="C4505" s="4" t="s">
        <v>455</v>
      </c>
      <c r="D4505" s="4" t="n">
        <v>35</v>
      </c>
      <c r="E4505" s="19" t="s">
        <v>259</v>
      </c>
      <c r="F4505" s="20" t="s">
        <v>452</v>
      </c>
    </row>
    <row r="4506" customFormat="false" ht="15" hidden="false" customHeight="false" outlineLevel="0" collapsed="false">
      <c r="A4506" s="4" t="str">
        <f aca="false">B4506&amp;"|"&amp;C4506</f>
        <v>tdbR00000196 Lys-CUU|36</v>
      </c>
      <c r="B4506" s="4" t="s">
        <v>99</v>
      </c>
      <c r="C4506" s="4" t="s">
        <v>456</v>
      </c>
      <c r="D4506" s="4" t="n">
        <v>36</v>
      </c>
      <c r="E4506" s="19" t="s">
        <v>259</v>
      </c>
      <c r="F4506" s="20" t="s">
        <v>452</v>
      </c>
    </row>
    <row r="4507" customFormat="false" ht="15" hidden="false" customHeight="false" outlineLevel="0" collapsed="false">
      <c r="A4507" s="4" t="str">
        <f aca="false">B4507&amp;"|"&amp;C4507</f>
        <v>tdbR00000196 Lys-CUU|37</v>
      </c>
      <c r="B4507" s="4" t="s">
        <v>99</v>
      </c>
      <c r="C4507" s="4" t="s">
        <v>457</v>
      </c>
      <c r="D4507" s="4" t="n">
        <v>37</v>
      </c>
      <c r="E4507" s="19" t="s">
        <v>246</v>
      </c>
      <c r="F4507" s="20" t="s">
        <v>452</v>
      </c>
    </row>
    <row r="4508" customFormat="false" ht="15" hidden="false" customHeight="false" outlineLevel="0" collapsed="false">
      <c r="A4508" s="4" t="str">
        <f aca="false">B4508&amp;"|"&amp;C4508</f>
        <v>tdbR00000196 Lys-CUU|38</v>
      </c>
      <c r="B4508" s="4" t="s">
        <v>99</v>
      </c>
      <c r="C4508" s="4" t="s">
        <v>458</v>
      </c>
      <c r="D4508" s="4" t="n">
        <v>38</v>
      </c>
      <c r="E4508" s="19" t="s">
        <v>246</v>
      </c>
      <c r="F4508" s="20" t="s">
        <v>452</v>
      </c>
    </row>
    <row r="4509" customFormat="false" ht="15" hidden="false" customHeight="false" outlineLevel="0" collapsed="false">
      <c r="A4509" s="4" t="str">
        <f aca="false">B4509&amp;"|"&amp;C4509</f>
        <v>tdbR00000196 Lys-CUU|39</v>
      </c>
      <c r="B4509" s="4" t="s">
        <v>99</v>
      </c>
      <c r="C4509" s="4" t="s">
        <v>459</v>
      </c>
      <c r="D4509" s="4" t="n">
        <v>39</v>
      </c>
      <c r="E4509" s="21" t="s">
        <v>259</v>
      </c>
      <c r="F4509" s="22" t="s">
        <v>446</v>
      </c>
    </row>
    <row r="4510" customFormat="false" ht="15" hidden="false" customHeight="false" outlineLevel="0" collapsed="false">
      <c r="A4510" s="4" t="str">
        <f aca="false">B4510&amp;"|"&amp;C4510</f>
        <v>tdbR00000196 Lys-CUU|40</v>
      </c>
      <c r="B4510" s="4" t="s">
        <v>99</v>
      </c>
      <c r="C4510" s="4" t="s">
        <v>460</v>
      </c>
      <c r="D4510" s="4" t="n">
        <v>40</v>
      </c>
      <c r="E4510" s="21" t="s">
        <v>414</v>
      </c>
      <c r="F4510" s="22" t="s">
        <v>446</v>
      </c>
    </row>
    <row r="4511" customFormat="false" ht="15" hidden="false" customHeight="false" outlineLevel="0" collapsed="false">
      <c r="A4511" s="4" t="str">
        <f aca="false">B4511&amp;"|"&amp;C4511</f>
        <v>tdbR00000196 Lys-CUU|41</v>
      </c>
      <c r="B4511" s="4" t="s">
        <v>99</v>
      </c>
      <c r="C4511" s="4" t="s">
        <v>461</v>
      </c>
      <c r="D4511" s="4" t="n">
        <v>41</v>
      </c>
      <c r="E4511" s="21" t="s">
        <v>414</v>
      </c>
      <c r="F4511" s="22" t="s">
        <v>446</v>
      </c>
    </row>
    <row r="4512" customFormat="false" ht="15" hidden="false" customHeight="false" outlineLevel="0" collapsed="false">
      <c r="A4512" s="4" t="str">
        <f aca="false">B4512&amp;"|"&amp;C4512</f>
        <v>tdbR00000196 Lys-CUU|42</v>
      </c>
      <c r="B4512" s="4" t="s">
        <v>99</v>
      </c>
      <c r="C4512" s="4" t="s">
        <v>462</v>
      </c>
      <c r="D4512" s="4" t="n">
        <v>42</v>
      </c>
      <c r="E4512" s="21" t="s">
        <v>414</v>
      </c>
      <c r="F4512" s="22" t="s">
        <v>446</v>
      </c>
    </row>
    <row r="4513" customFormat="false" ht="15" hidden="false" customHeight="false" outlineLevel="0" collapsed="false">
      <c r="A4513" s="4" t="str">
        <f aca="false">B4513&amp;"|"&amp;C4513</f>
        <v>tdbR00000196 Lys-CUU|43</v>
      </c>
      <c r="B4513" s="4" t="s">
        <v>99</v>
      </c>
      <c r="C4513" s="4" t="s">
        <v>463</v>
      </c>
      <c r="D4513" s="4" t="n">
        <v>43</v>
      </c>
      <c r="E4513" s="21" t="s">
        <v>246</v>
      </c>
      <c r="F4513" s="22" t="s">
        <v>446</v>
      </c>
    </row>
    <row r="4514" customFormat="false" ht="15" hidden="false" customHeight="false" outlineLevel="0" collapsed="false">
      <c r="A4514" s="4" t="str">
        <f aca="false">B4514&amp;"|"&amp;C4514</f>
        <v>tdbR00000196 Lys-CUU|44</v>
      </c>
      <c r="B4514" s="4" t="s">
        <v>99</v>
      </c>
      <c r="C4514" s="4" t="s">
        <v>464</v>
      </c>
      <c r="D4514" s="4" t="n">
        <v>44</v>
      </c>
      <c r="E4514" s="19" t="s">
        <v>197</v>
      </c>
      <c r="F4514" s="20" t="s">
        <v>465</v>
      </c>
    </row>
    <row r="4515" customFormat="false" ht="15" hidden="false" customHeight="false" outlineLevel="0" collapsed="false">
      <c r="A4515" s="4" t="str">
        <f aca="false">B4515&amp;"|"&amp;C4515</f>
        <v>tdbR00000196 Lys-CUU|45</v>
      </c>
      <c r="B4515" s="4" t="s">
        <v>99</v>
      </c>
      <c r="C4515" s="4" t="s">
        <v>466</v>
      </c>
      <c r="D4515" s="4" t="n">
        <v>45</v>
      </c>
      <c r="E4515" s="19" t="s">
        <v>197</v>
      </c>
      <c r="F4515" s="20" t="s">
        <v>465</v>
      </c>
    </row>
    <row r="4516" customFormat="false" ht="15" hidden="false" customHeight="false" outlineLevel="0" collapsed="false">
      <c r="A4516" s="4" t="str">
        <f aca="false">B4516&amp;"|"&amp;C4516</f>
        <v>tdbR00000196 Lys-CUU|46</v>
      </c>
      <c r="B4516" s="4" t="s">
        <v>99</v>
      </c>
      <c r="C4516" s="4" t="s">
        <v>467</v>
      </c>
      <c r="D4516" s="4" t="n">
        <v>46</v>
      </c>
      <c r="E4516" s="19" t="s">
        <v>197</v>
      </c>
      <c r="F4516" s="20" t="s">
        <v>465</v>
      </c>
    </row>
    <row r="4517" customFormat="false" ht="15" hidden="false" customHeight="false" outlineLevel="0" collapsed="false">
      <c r="A4517" s="4" t="str">
        <f aca="false">B4517&amp;"|"&amp;C4517</f>
        <v>tdbR00000196 Lys-CUU|47</v>
      </c>
      <c r="B4517" s="4" t="s">
        <v>99</v>
      </c>
      <c r="C4517" s="4" t="s">
        <v>468</v>
      </c>
      <c r="D4517" s="4" t="n">
        <v>47</v>
      </c>
      <c r="E4517" s="19" t="s">
        <v>259</v>
      </c>
      <c r="F4517" s="20" t="s">
        <v>465</v>
      </c>
    </row>
    <row r="4518" customFormat="false" ht="15" hidden="false" customHeight="false" outlineLevel="0" collapsed="false">
      <c r="A4518" s="4" t="str">
        <f aca="false">B4518&amp;"|"&amp;C4518</f>
        <v>tdbR00000196 Lys-CUU|48</v>
      </c>
      <c r="B4518" s="4" t="s">
        <v>99</v>
      </c>
      <c r="C4518" s="4" t="s">
        <v>469</v>
      </c>
      <c r="D4518" s="4" t="n">
        <v>48</v>
      </c>
      <c r="E4518" s="19" t="s">
        <v>414</v>
      </c>
      <c r="F4518" s="20" t="s">
        <v>465</v>
      </c>
    </row>
    <row r="4519" customFormat="false" ht="15" hidden="false" customHeight="false" outlineLevel="0" collapsed="false">
      <c r="A4519" s="4" t="str">
        <f aca="false">B4519&amp;"|"&amp;C4519</f>
        <v>tdbR00000196 Lys-CUU|49</v>
      </c>
      <c r="B4519" s="4" t="s">
        <v>99</v>
      </c>
      <c r="C4519" s="4" t="s">
        <v>470</v>
      </c>
      <c r="D4519" s="4" t="n">
        <v>49</v>
      </c>
      <c r="E4519" s="23" t="s">
        <v>197</v>
      </c>
      <c r="F4519" s="10" t="s">
        <v>471</v>
      </c>
    </row>
    <row r="4520" customFormat="false" ht="15" hidden="false" customHeight="false" outlineLevel="0" collapsed="false">
      <c r="A4520" s="4" t="str">
        <f aca="false">B4520&amp;"|"&amp;C4520</f>
        <v>tdbR00000196 Lys-CUU|50</v>
      </c>
      <c r="B4520" s="4" t="s">
        <v>99</v>
      </c>
      <c r="C4520" s="4" t="s">
        <v>472</v>
      </c>
      <c r="D4520" s="4" t="n">
        <v>50</v>
      </c>
      <c r="E4520" s="23" t="s">
        <v>259</v>
      </c>
      <c r="F4520" s="10" t="s">
        <v>471</v>
      </c>
    </row>
    <row r="4521" customFormat="false" ht="15" hidden="false" customHeight="false" outlineLevel="0" collapsed="false">
      <c r="A4521" s="4" t="str">
        <f aca="false">B4521&amp;"|"&amp;C4521</f>
        <v>tdbR00000196 Lys-CUU|51</v>
      </c>
      <c r="B4521" s="4" t="s">
        <v>99</v>
      </c>
      <c r="C4521" s="4" t="s">
        <v>473</v>
      </c>
      <c r="D4521" s="4" t="n">
        <v>51</v>
      </c>
      <c r="E4521" s="23" t="s">
        <v>197</v>
      </c>
      <c r="F4521" s="10" t="s">
        <v>471</v>
      </c>
    </row>
    <row r="4522" customFormat="false" ht="15" hidden="false" customHeight="false" outlineLevel="0" collapsed="false">
      <c r="A4522" s="4" t="str">
        <f aca="false">B4522&amp;"|"&amp;C4522</f>
        <v>tdbR00000196 Lys-CUU|52</v>
      </c>
      <c r="B4522" s="4" t="s">
        <v>99</v>
      </c>
      <c r="C4522" s="4" t="s">
        <v>474</v>
      </c>
      <c r="D4522" s="4" t="n">
        <v>52</v>
      </c>
      <c r="E4522" s="23" t="s">
        <v>197</v>
      </c>
      <c r="F4522" s="10" t="s">
        <v>471</v>
      </c>
    </row>
    <row r="4523" customFormat="false" ht="15" hidden="false" customHeight="false" outlineLevel="0" collapsed="false">
      <c r="A4523" s="4" t="str">
        <f aca="false">B4523&amp;"|"&amp;C4523</f>
        <v>tdbR00000196 Lys-CUU|53</v>
      </c>
      <c r="B4523" s="4" t="s">
        <v>99</v>
      </c>
      <c r="C4523" s="4" t="s">
        <v>475</v>
      </c>
      <c r="D4523" s="4" t="n">
        <v>53</v>
      </c>
      <c r="E4523" s="23" t="s">
        <v>197</v>
      </c>
      <c r="F4523" s="10" t="s">
        <v>471</v>
      </c>
    </row>
    <row r="4524" customFormat="false" ht="15" hidden="false" customHeight="false" outlineLevel="0" collapsed="false">
      <c r="A4524" s="4" t="str">
        <f aca="false">B4524&amp;"|"&amp;C4524</f>
        <v>tdbR00000196 Lys-CUU|54</v>
      </c>
      <c r="B4524" s="4" t="s">
        <v>99</v>
      </c>
      <c r="C4524" s="4" t="s">
        <v>476</v>
      </c>
      <c r="D4524" s="4" t="n">
        <v>54</v>
      </c>
      <c r="E4524" s="19" t="s">
        <v>259</v>
      </c>
      <c r="F4524" s="20" t="s">
        <v>477</v>
      </c>
    </row>
    <row r="4525" customFormat="false" ht="15" hidden="false" customHeight="false" outlineLevel="0" collapsed="false">
      <c r="A4525" s="4" t="str">
        <f aca="false">B4525&amp;"|"&amp;C4525</f>
        <v>tdbR00000196 Lys-CUU|55</v>
      </c>
      <c r="B4525" s="4" t="s">
        <v>99</v>
      </c>
      <c r="C4525" s="4" t="s">
        <v>478</v>
      </c>
      <c r="D4525" s="4" t="n">
        <v>55</v>
      </c>
      <c r="E4525" s="19" t="s">
        <v>259</v>
      </c>
      <c r="F4525" s="20" t="s">
        <v>477</v>
      </c>
    </row>
    <row r="4526" customFormat="false" ht="15" hidden="false" customHeight="false" outlineLevel="0" collapsed="false">
      <c r="A4526" s="4" t="str">
        <f aca="false">B4526&amp;"|"&amp;C4526</f>
        <v>tdbR00000196 Lys-CUU|56</v>
      </c>
      <c r="B4526" s="4" t="s">
        <v>99</v>
      </c>
      <c r="C4526" s="4" t="s">
        <v>479</v>
      </c>
      <c r="D4526" s="4" t="n">
        <v>56</v>
      </c>
      <c r="E4526" s="19" t="s">
        <v>414</v>
      </c>
      <c r="F4526" s="20" t="s">
        <v>477</v>
      </c>
    </row>
    <row r="4527" customFormat="false" ht="15" hidden="false" customHeight="false" outlineLevel="0" collapsed="false">
      <c r="A4527" s="4" t="str">
        <f aca="false">B4527&amp;"|"&amp;C4527</f>
        <v>tdbR00000196 Lys-CUU|57</v>
      </c>
      <c r="B4527" s="4" t="s">
        <v>99</v>
      </c>
      <c r="C4527" s="4" t="s">
        <v>480</v>
      </c>
      <c r="D4527" s="4" t="n">
        <v>57</v>
      </c>
      <c r="E4527" s="19" t="s">
        <v>197</v>
      </c>
      <c r="F4527" s="20" t="s">
        <v>477</v>
      </c>
    </row>
    <row r="4528" customFormat="false" ht="15" hidden="false" customHeight="false" outlineLevel="0" collapsed="false">
      <c r="A4528" s="4" t="str">
        <f aca="false">B4528&amp;"|"&amp;C4528</f>
        <v>tdbR00000196 Lys-CUU|58</v>
      </c>
      <c r="B4528" s="4" t="s">
        <v>99</v>
      </c>
      <c r="C4528" s="4" t="s">
        <v>481</v>
      </c>
      <c r="D4528" s="4" t="n">
        <v>58</v>
      </c>
      <c r="E4528" s="19" t="s">
        <v>246</v>
      </c>
      <c r="F4528" s="20" t="s">
        <v>477</v>
      </c>
    </row>
    <row r="4529" customFormat="false" ht="15" hidden="false" customHeight="false" outlineLevel="0" collapsed="false">
      <c r="A4529" s="4" t="str">
        <f aca="false">B4529&amp;"|"&amp;C4529</f>
        <v>tdbR00000196 Lys-CUU|59</v>
      </c>
      <c r="B4529" s="4" t="s">
        <v>99</v>
      </c>
      <c r="C4529" s="4" t="s">
        <v>482</v>
      </c>
      <c r="D4529" s="4" t="n">
        <v>59</v>
      </c>
      <c r="E4529" s="19" t="s">
        <v>197</v>
      </c>
      <c r="F4529" s="20" t="s">
        <v>477</v>
      </c>
    </row>
    <row r="4530" customFormat="false" ht="15" hidden="false" customHeight="false" outlineLevel="0" collapsed="false">
      <c r="A4530" s="4" t="str">
        <f aca="false">B4530&amp;"|"&amp;C4530</f>
        <v>tdbR00000196 Lys-CUU|60</v>
      </c>
      <c r="B4530" s="4" t="s">
        <v>99</v>
      </c>
      <c r="C4530" s="4" t="s">
        <v>483</v>
      </c>
      <c r="D4530" s="4" t="n">
        <v>60</v>
      </c>
      <c r="E4530" s="19" t="s">
        <v>414</v>
      </c>
      <c r="F4530" s="20" t="s">
        <v>477</v>
      </c>
    </row>
    <row r="4531" customFormat="false" ht="15" hidden="false" customHeight="false" outlineLevel="0" collapsed="false">
      <c r="A4531" s="4" t="str">
        <f aca="false">B4531&amp;"|"&amp;C4531</f>
        <v>tdbR00000196 Lys-CUU|61</v>
      </c>
      <c r="B4531" s="4" t="s">
        <v>99</v>
      </c>
      <c r="C4531" s="4" t="s">
        <v>484</v>
      </c>
      <c r="D4531" s="4" t="n">
        <v>61</v>
      </c>
      <c r="E4531" s="23" t="s">
        <v>414</v>
      </c>
      <c r="F4531" s="10" t="s">
        <v>471</v>
      </c>
    </row>
    <row r="4532" customFormat="false" ht="15" hidden="false" customHeight="false" outlineLevel="0" collapsed="false">
      <c r="A4532" s="4" t="str">
        <f aca="false">B4532&amp;"|"&amp;C4532</f>
        <v>tdbR00000196 Lys-CUU|62</v>
      </c>
      <c r="B4532" s="4" t="s">
        <v>99</v>
      </c>
      <c r="C4532" s="4" t="s">
        <v>485</v>
      </c>
      <c r="D4532" s="4" t="n">
        <v>62</v>
      </c>
      <c r="E4532" s="23" t="s">
        <v>414</v>
      </c>
      <c r="F4532" s="10" t="s">
        <v>471</v>
      </c>
    </row>
    <row r="4533" customFormat="false" ht="15" hidden="false" customHeight="false" outlineLevel="0" collapsed="false">
      <c r="A4533" s="4" t="str">
        <f aca="false">B4533&amp;"|"&amp;C4533</f>
        <v>tdbR00000196 Lys-CUU|63</v>
      </c>
      <c r="B4533" s="4" t="s">
        <v>99</v>
      </c>
      <c r="C4533" s="4" t="s">
        <v>486</v>
      </c>
      <c r="D4533" s="4" t="n">
        <v>63</v>
      </c>
      <c r="E4533" s="23" t="s">
        <v>414</v>
      </c>
      <c r="F4533" s="10" t="s">
        <v>471</v>
      </c>
    </row>
    <row r="4534" customFormat="false" ht="15" hidden="false" customHeight="false" outlineLevel="0" collapsed="false">
      <c r="A4534" s="4" t="str">
        <f aca="false">B4534&amp;"|"&amp;C4534</f>
        <v>tdbR00000196 Lys-CUU|64</v>
      </c>
      <c r="B4534" s="4" t="s">
        <v>99</v>
      </c>
      <c r="C4534" s="4" t="s">
        <v>487</v>
      </c>
      <c r="D4534" s="4" t="n">
        <v>64</v>
      </c>
      <c r="E4534" s="23" t="s">
        <v>246</v>
      </c>
      <c r="F4534" s="10" t="s">
        <v>471</v>
      </c>
    </row>
    <row r="4535" customFormat="false" ht="15" hidden="false" customHeight="false" outlineLevel="0" collapsed="false">
      <c r="A4535" s="4" t="str">
        <f aca="false">B4535&amp;"|"&amp;C4535</f>
        <v>tdbR00000196 Lys-CUU|65</v>
      </c>
      <c r="B4535" s="4" t="s">
        <v>99</v>
      </c>
      <c r="C4535" s="4" t="s">
        <v>488</v>
      </c>
      <c r="D4535" s="4" t="n">
        <v>65</v>
      </c>
      <c r="E4535" s="23" t="s">
        <v>414</v>
      </c>
      <c r="F4535" s="10" t="s">
        <v>471</v>
      </c>
    </row>
    <row r="4536" customFormat="false" ht="15" hidden="false" customHeight="false" outlineLevel="0" collapsed="false">
      <c r="A4536" s="4" t="str">
        <f aca="false">B4536&amp;"|"&amp;C4536</f>
        <v>tdbR00000196 Lys-CUU|66</v>
      </c>
      <c r="B4536" s="4" t="s">
        <v>99</v>
      </c>
      <c r="C4536" s="4" t="s">
        <v>489</v>
      </c>
      <c r="D4536" s="4" t="n">
        <v>66</v>
      </c>
      <c r="E4536" s="17" t="s">
        <v>197</v>
      </c>
      <c r="F4536" s="18" t="s">
        <v>412</v>
      </c>
    </row>
    <row r="4537" customFormat="false" ht="15" hidden="false" customHeight="false" outlineLevel="0" collapsed="false">
      <c r="A4537" s="4" t="str">
        <f aca="false">B4537&amp;"|"&amp;C4537</f>
        <v>tdbR00000196 Lys-CUU|67</v>
      </c>
      <c r="B4537" s="4" t="s">
        <v>99</v>
      </c>
      <c r="C4537" s="4" t="s">
        <v>490</v>
      </c>
      <c r="D4537" s="4" t="n">
        <v>67</v>
      </c>
      <c r="E4537" s="17" t="s">
        <v>259</v>
      </c>
      <c r="F4537" s="18" t="s">
        <v>412</v>
      </c>
    </row>
    <row r="4538" customFormat="false" ht="15" hidden="false" customHeight="false" outlineLevel="0" collapsed="false">
      <c r="A4538" s="4" t="str">
        <f aca="false">B4538&amp;"|"&amp;C4538</f>
        <v>tdbR00000196 Lys-CUU|68</v>
      </c>
      <c r="B4538" s="4" t="s">
        <v>99</v>
      </c>
      <c r="C4538" s="4" t="s">
        <v>491</v>
      </c>
      <c r="D4538" s="4" t="n">
        <v>68</v>
      </c>
      <c r="E4538" s="17" t="s">
        <v>259</v>
      </c>
      <c r="F4538" s="18" t="s">
        <v>412</v>
      </c>
    </row>
    <row r="4539" customFormat="false" ht="15" hidden="false" customHeight="false" outlineLevel="0" collapsed="false">
      <c r="A4539" s="4" t="str">
        <f aca="false">B4539&amp;"|"&amp;C4539</f>
        <v>tdbR00000196 Lys-CUU|69</v>
      </c>
      <c r="B4539" s="4" t="s">
        <v>99</v>
      </c>
      <c r="C4539" s="4" t="s">
        <v>492</v>
      </c>
      <c r="D4539" s="4" t="n">
        <v>69</v>
      </c>
      <c r="E4539" s="17" t="s">
        <v>197</v>
      </c>
      <c r="F4539" s="18" t="s">
        <v>412</v>
      </c>
    </row>
    <row r="4540" customFormat="false" ht="15" hidden="false" customHeight="false" outlineLevel="0" collapsed="false">
      <c r="A4540" s="4" t="str">
        <f aca="false">B4540&amp;"|"&amp;C4540</f>
        <v>tdbR00000196 Lys-CUU|70</v>
      </c>
      <c r="B4540" s="4" t="s">
        <v>99</v>
      </c>
      <c r="C4540" s="4" t="s">
        <v>493</v>
      </c>
      <c r="D4540" s="4" t="n">
        <v>70</v>
      </c>
      <c r="E4540" s="17" t="s">
        <v>197</v>
      </c>
      <c r="F4540" s="18" t="s">
        <v>412</v>
      </c>
    </row>
    <row r="4541" customFormat="false" ht="15" hidden="false" customHeight="false" outlineLevel="0" collapsed="false">
      <c r="A4541" s="4" t="str">
        <f aca="false">B4541&amp;"|"&amp;C4541</f>
        <v>tdbR00000196 Lys-CUU|71</v>
      </c>
      <c r="B4541" s="4" t="s">
        <v>99</v>
      </c>
      <c r="C4541" s="4" t="s">
        <v>494</v>
      </c>
      <c r="D4541" s="4" t="n">
        <v>71</v>
      </c>
      <c r="E4541" s="17" t="s">
        <v>197</v>
      </c>
      <c r="F4541" s="18" t="s">
        <v>412</v>
      </c>
    </row>
    <row r="4542" customFormat="false" ht="15" hidden="false" customHeight="false" outlineLevel="0" collapsed="false">
      <c r="A4542" s="4" t="str">
        <f aca="false">B4542&amp;"|"&amp;C4542</f>
        <v>tdbR00000196 Lys-CUU|72</v>
      </c>
      <c r="B4542" s="4" t="s">
        <v>99</v>
      </c>
      <c r="C4542" s="4" t="s">
        <v>495</v>
      </c>
      <c r="D4542" s="4" t="n">
        <v>72</v>
      </c>
      <c r="E4542" s="17" t="s">
        <v>414</v>
      </c>
      <c r="F4542" s="18" t="s">
        <v>412</v>
      </c>
    </row>
    <row r="4543" customFormat="false" ht="15" hidden="false" customHeight="false" outlineLevel="0" collapsed="false">
      <c r="A4543" s="4" t="str">
        <f aca="false">B4543&amp;"|"&amp;C4543</f>
        <v>tdbR00000462 Val-UAC|1</v>
      </c>
      <c r="B4543" s="4" t="s">
        <v>100</v>
      </c>
      <c r="C4543" s="4" t="s">
        <v>411</v>
      </c>
      <c r="D4543" s="4" t="n">
        <v>1</v>
      </c>
      <c r="E4543" s="17" t="s">
        <v>414</v>
      </c>
      <c r="F4543" s="18" t="s">
        <v>412</v>
      </c>
    </row>
    <row r="4544" customFormat="false" ht="15" hidden="false" customHeight="false" outlineLevel="0" collapsed="false">
      <c r="A4544" s="4" t="str">
        <f aca="false">B4544&amp;"|"&amp;C4544</f>
        <v>tdbR00000462 Val-UAC|2</v>
      </c>
      <c r="B4544" s="4" t="s">
        <v>100</v>
      </c>
      <c r="C4544" s="4" t="s">
        <v>413</v>
      </c>
      <c r="D4544" s="4" t="n">
        <v>2</v>
      </c>
      <c r="E4544" s="17" t="s">
        <v>246</v>
      </c>
      <c r="F4544" s="18" t="s">
        <v>412</v>
      </c>
    </row>
    <row r="4545" customFormat="false" ht="15" hidden="false" customHeight="false" outlineLevel="0" collapsed="false">
      <c r="A4545" s="4" t="str">
        <f aca="false">B4545&amp;"|"&amp;C4545</f>
        <v>tdbR00000462 Val-UAC|3</v>
      </c>
      <c r="B4545" s="4" t="s">
        <v>100</v>
      </c>
      <c r="C4545" s="4" t="s">
        <v>415</v>
      </c>
      <c r="D4545" s="4" t="n">
        <v>3</v>
      </c>
      <c r="E4545" s="17" t="s">
        <v>197</v>
      </c>
      <c r="F4545" s="18" t="s">
        <v>412</v>
      </c>
    </row>
    <row r="4546" customFormat="false" ht="15" hidden="false" customHeight="false" outlineLevel="0" collapsed="false">
      <c r="A4546" s="4" t="str">
        <f aca="false">B4546&amp;"|"&amp;C4546</f>
        <v>tdbR00000462 Val-UAC|4</v>
      </c>
      <c r="B4546" s="4" t="s">
        <v>100</v>
      </c>
      <c r="C4546" s="4" t="s">
        <v>416</v>
      </c>
      <c r="D4546" s="4" t="n">
        <v>4</v>
      </c>
      <c r="E4546" s="17" t="s">
        <v>246</v>
      </c>
      <c r="F4546" s="18" t="s">
        <v>412</v>
      </c>
    </row>
    <row r="4547" customFormat="false" ht="15" hidden="false" customHeight="false" outlineLevel="0" collapsed="false">
      <c r="A4547" s="4" t="str">
        <f aca="false">B4547&amp;"|"&amp;C4547</f>
        <v>tdbR00000462 Val-UAC|5</v>
      </c>
      <c r="B4547" s="4" t="s">
        <v>100</v>
      </c>
      <c r="C4547" s="4" t="s">
        <v>417</v>
      </c>
      <c r="D4547" s="4" t="n">
        <v>5</v>
      </c>
      <c r="E4547" s="17" t="s">
        <v>259</v>
      </c>
      <c r="F4547" s="18" t="s">
        <v>412</v>
      </c>
    </row>
    <row r="4548" customFormat="false" ht="15" hidden="false" customHeight="false" outlineLevel="0" collapsed="false">
      <c r="A4548" s="4" t="str">
        <f aca="false">B4548&amp;"|"&amp;C4548</f>
        <v>tdbR00000462 Val-UAC|6</v>
      </c>
      <c r="B4548" s="4" t="s">
        <v>100</v>
      </c>
      <c r="C4548" s="4" t="s">
        <v>418</v>
      </c>
      <c r="D4548" s="4" t="n">
        <v>6</v>
      </c>
      <c r="E4548" s="17" t="s">
        <v>259</v>
      </c>
      <c r="F4548" s="18" t="s">
        <v>412</v>
      </c>
    </row>
    <row r="4549" customFormat="false" ht="15" hidden="false" customHeight="false" outlineLevel="0" collapsed="false">
      <c r="A4549" s="4" t="str">
        <f aca="false">B4549&amp;"|"&amp;C4549</f>
        <v>tdbR00000462 Val-UAC|7</v>
      </c>
      <c r="B4549" s="4" t="s">
        <v>100</v>
      </c>
      <c r="C4549" s="4" t="s">
        <v>419</v>
      </c>
      <c r="D4549" s="4" t="n">
        <v>7</v>
      </c>
      <c r="E4549" s="17" t="s">
        <v>197</v>
      </c>
      <c r="F4549" s="18" t="s">
        <v>412</v>
      </c>
    </row>
    <row r="4550" customFormat="false" ht="15" hidden="false" customHeight="false" outlineLevel="0" collapsed="false">
      <c r="A4550" s="4" t="str">
        <f aca="false">B4550&amp;"|"&amp;C4550</f>
        <v>tdbR00000462 Val-UAC|8</v>
      </c>
      <c r="B4550" s="4" t="s">
        <v>100</v>
      </c>
      <c r="C4550" s="4" t="s">
        <v>420</v>
      </c>
      <c r="D4550" s="4" t="n">
        <v>8</v>
      </c>
      <c r="E4550" s="3" t="s">
        <v>259</v>
      </c>
      <c r="F4550" s="4" t="s">
        <v>421</v>
      </c>
    </row>
    <row r="4551" customFormat="false" ht="15" hidden="false" customHeight="false" outlineLevel="0" collapsed="false">
      <c r="A4551" s="4" t="str">
        <f aca="false">B4551&amp;"|"&amp;C4551</f>
        <v>tdbR00000462 Val-UAC|9</v>
      </c>
      <c r="B4551" s="4" t="s">
        <v>100</v>
      </c>
      <c r="C4551" s="4" t="s">
        <v>422</v>
      </c>
      <c r="D4551" s="4" t="n">
        <v>9</v>
      </c>
      <c r="E4551" s="3" t="s">
        <v>246</v>
      </c>
      <c r="F4551" s="4" t="s">
        <v>423</v>
      </c>
    </row>
    <row r="4552" customFormat="false" ht="15" hidden="false" customHeight="false" outlineLevel="0" collapsed="false">
      <c r="A4552" s="4" t="str">
        <f aca="false">B4552&amp;"|"&amp;C4552</f>
        <v>tdbR00000462 Val-UAC|10</v>
      </c>
      <c r="B4552" s="4" t="s">
        <v>100</v>
      </c>
      <c r="C4552" s="4" t="s">
        <v>424</v>
      </c>
      <c r="D4552" s="4" t="n">
        <v>10</v>
      </c>
      <c r="E4552" s="8" t="s">
        <v>197</v>
      </c>
      <c r="F4552" s="7" t="s">
        <v>425</v>
      </c>
    </row>
    <row r="4553" customFormat="false" ht="15" hidden="false" customHeight="false" outlineLevel="0" collapsed="false">
      <c r="A4553" s="4" t="str">
        <f aca="false">B4553&amp;"|"&amp;C4553</f>
        <v>tdbR00000462 Val-UAC|11</v>
      </c>
      <c r="B4553" s="4" t="s">
        <v>100</v>
      </c>
      <c r="C4553" s="4" t="s">
        <v>426</v>
      </c>
      <c r="D4553" s="4" t="n">
        <v>11</v>
      </c>
      <c r="E4553" s="8" t="s">
        <v>414</v>
      </c>
      <c r="F4553" s="7" t="s">
        <v>425</v>
      </c>
    </row>
    <row r="4554" customFormat="false" ht="15" hidden="false" customHeight="false" outlineLevel="0" collapsed="false">
      <c r="A4554" s="4" t="str">
        <f aca="false">B4554&amp;"|"&amp;C4554</f>
        <v>tdbR00000462 Val-UAC|12</v>
      </c>
      <c r="B4554" s="4" t="s">
        <v>100</v>
      </c>
      <c r="C4554" s="4" t="s">
        <v>427</v>
      </c>
      <c r="D4554" s="4" t="n">
        <v>12</v>
      </c>
      <c r="E4554" s="8" t="s">
        <v>259</v>
      </c>
      <c r="F4554" s="7" t="s">
        <v>425</v>
      </c>
    </row>
    <row r="4555" customFormat="false" ht="15" hidden="false" customHeight="false" outlineLevel="0" collapsed="false">
      <c r="A4555" s="4" t="str">
        <f aca="false">B4555&amp;"|"&amp;C4555</f>
        <v>tdbR00000462 Val-UAC|13</v>
      </c>
      <c r="B4555" s="4" t="s">
        <v>100</v>
      </c>
      <c r="C4555" s="4" t="s">
        <v>428</v>
      </c>
      <c r="D4555" s="4" t="n">
        <v>13</v>
      </c>
      <c r="E4555" s="8" t="s">
        <v>259</v>
      </c>
      <c r="F4555" s="7" t="s">
        <v>425</v>
      </c>
    </row>
    <row r="4556" customFormat="false" ht="15" hidden="false" customHeight="false" outlineLevel="0" collapsed="false">
      <c r="A4556" s="4" t="str">
        <f aca="false">B4556&amp;"|"&amp;C4556</f>
        <v>tdbR00000462 Val-UAC|14</v>
      </c>
      <c r="B4556" s="4" t="s">
        <v>100</v>
      </c>
      <c r="C4556" s="4" t="s">
        <v>429</v>
      </c>
      <c r="D4556" s="4" t="n">
        <v>14</v>
      </c>
      <c r="E4556" s="19" t="s">
        <v>246</v>
      </c>
      <c r="F4556" s="20" t="s">
        <v>430</v>
      </c>
    </row>
    <row r="4557" customFormat="false" ht="15" hidden="false" customHeight="false" outlineLevel="0" collapsed="false">
      <c r="A4557" s="4" t="str">
        <f aca="false">B4557&amp;"|"&amp;C4557</f>
        <v>tdbR00000462 Val-UAC|15</v>
      </c>
      <c r="B4557" s="4" t="s">
        <v>100</v>
      </c>
      <c r="C4557" s="4" t="s">
        <v>431</v>
      </c>
      <c r="D4557" s="4" t="n">
        <v>15</v>
      </c>
      <c r="E4557" s="19" t="s">
        <v>246</v>
      </c>
      <c r="F4557" s="20" t="s">
        <v>430</v>
      </c>
    </row>
    <row r="4558" customFormat="false" ht="15" hidden="false" customHeight="false" outlineLevel="0" collapsed="false">
      <c r="A4558" s="4" t="str">
        <f aca="false">B4558&amp;"|"&amp;C4558</f>
        <v>tdbR00000462 Val-UAC|16</v>
      </c>
      <c r="B4558" s="4" t="s">
        <v>100</v>
      </c>
      <c r="C4558" s="4" t="s">
        <v>432</v>
      </c>
      <c r="D4558" s="4" t="n">
        <v>16</v>
      </c>
      <c r="E4558" s="19" t="s">
        <v>259</v>
      </c>
      <c r="F4558" s="20" t="s">
        <v>430</v>
      </c>
    </row>
    <row r="4559" customFormat="false" ht="15" hidden="false" customHeight="false" outlineLevel="0" collapsed="false">
      <c r="A4559" s="4" t="str">
        <f aca="false">B4559&amp;"|"&amp;C4559</f>
        <v>tdbR00000462 Val-UAC|18</v>
      </c>
      <c r="B4559" s="4" t="s">
        <v>100</v>
      </c>
      <c r="C4559" s="4" t="s">
        <v>434</v>
      </c>
      <c r="D4559" s="4" t="n">
        <v>17</v>
      </c>
      <c r="E4559" s="19" t="s">
        <v>414</v>
      </c>
      <c r="F4559" s="20" t="s">
        <v>430</v>
      </c>
    </row>
    <row r="4560" customFormat="false" ht="15" hidden="false" customHeight="false" outlineLevel="0" collapsed="false">
      <c r="A4560" s="4" t="str">
        <f aca="false">B4560&amp;"|"&amp;C4560</f>
        <v>tdbR00000462 Val-UAC|19</v>
      </c>
      <c r="B4560" s="4" t="s">
        <v>100</v>
      </c>
      <c r="C4560" s="4" t="s">
        <v>435</v>
      </c>
      <c r="D4560" s="4" t="n">
        <v>18</v>
      </c>
      <c r="E4560" s="19" t="s">
        <v>246</v>
      </c>
      <c r="F4560" s="20" t="s">
        <v>430</v>
      </c>
    </row>
    <row r="4561" customFormat="false" ht="15" hidden="false" customHeight="false" outlineLevel="0" collapsed="false">
      <c r="A4561" s="4" t="str">
        <f aca="false">B4561&amp;"|"&amp;C4561</f>
        <v>tdbR00000462 Val-UAC|20</v>
      </c>
      <c r="B4561" s="4" t="s">
        <v>100</v>
      </c>
      <c r="C4561" s="4" t="s">
        <v>436</v>
      </c>
      <c r="D4561" s="4" t="n">
        <v>19</v>
      </c>
      <c r="E4561" s="19" t="s">
        <v>414</v>
      </c>
      <c r="F4561" s="20" t="s">
        <v>430</v>
      </c>
    </row>
    <row r="4562" customFormat="false" ht="15" hidden="false" customHeight="false" outlineLevel="0" collapsed="false">
      <c r="A4562" s="4" t="str">
        <f aca="false">B4562&amp;"|"&amp;C4562</f>
        <v>tdbR00000462 Val-UAC|21</v>
      </c>
      <c r="B4562" s="4" t="s">
        <v>100</v>
      </c>
      <c r="C4562" s="4" t="s">
        <v>438</v>
      </c>
      <c r="D4562" s="4" t="n">
        <v>20</v>
      </c>
      <c r="E4562" s="19" t="s">
        <v>246</v>
      </c>
      <c r="F4562" s="20" t="s">
        <v>430</v>
      </c>
    </row>
    <row r="4563" customFormat="false" ht="15" hidden="false" customHeight="false" outlineLevel="0" collapsed="false">
      <c r="A4563" s="4" t="str">
        <f aca="false">B4563&amp;"|"&amp;C4563</f>
        <v>tdbR00000462 Val-UAC|22</v>
      </c>
      <c r="B4563" s="4" t="s">
        <v>100</v>
      </c>
      <c r="C4563" s="4" t="s">
        <v>439</v>
      </c>
      <c r="D4563" s="4" t="n">
        <v>21</v>
      </c>
      <c r="E4563" s="8" t="s">
        <v>246</v>
      </c>
      <c r="F4563" s="7" t="s">
        <v>425</v>
      </c>
    </row>
    <row r="4564" customFormat="false" ht="15" hidden="false" customHeight="false" outlineLevel="0" collapsed="false">
      <c r="A4564" s="4" t="str">
        <f aca="false">B4564&amp;"|"&amp;C4564</f>
        <v>tdbR00000462 Val-UAC|23</v>
      </c>
      <c r="B4564" s="4" t="s">
        <v>100</v>
      </c>
      <c r="C4564" s="4" t="s">
        <v>440</v>
      </c>
      <c r="D4564" s="4" t="n">
        <v>22</v>
      </c>
      <c r="E4564" s="8" t="s">
        <v>246</v>
      </c>
      <c r="F4564" s="7" t="s">
        <v>425</v>
      </c>
    </row>
    <row r="4565" customFormat="false" ht="15" hidden="false" customHeight="false" outlineLevel="0" collapsed="false">
      <c r="A4565" s="4" t="str">
        <f aca="false">B4565&amp;"|"&amp;C4565</f>
        <v>tdbR00000462 Val-UAC|24</v>
      </c>
      <c r="B4565" s="4" t="s">
        <v>100</v>
      </c>
      <c r="C4565" s="4" t="s">
        <v>441</v>
      </c>
      <c r="D4565" s="4" t="n">
        <v>23</v>
      </c>
      <c r="E4565" s="8" t="s">
        <v>197</v>
      </c>
      <c r="F4565" s="7" t="s">
        <v>425</v>
      </c>
    </row>
    <row r="4566" customFormat="false" ht="15" hidden="false" customHeight="false" outlineLevel="0" collapsed="false">
      <c r="A4566" s="4" t="str">
        <f aca="false">B4566&amp;"|"&amp;C4566</f>
        <v>tdbR00000462 Val-UAC|25</v>
      </c>
      <c r="B4566" s="4" t="s">
        <v>100</v>
      </c>
      <c r="C4566" s="4" t="s">
        <v>442</v>
      </c>
      <c r="D4566" s="4" t="n">
        <v>24</v>
      </c>
      <c r="E4566" s="8" t="s">
        <v>414</v>
      </c>
      <c r="F4566" s="7" t="s">
        <v>425</v>
      </c>
    </row>
    <row r="4567" customFormat="false" ht="15" hidden="false" customHeight="false" outlineLevel="0" collapsed="false">
      <c r="A4567" s="4" t="str">
        <f aca="false">B4567&amp;"|"&amp;C4567</f>
        <v>tdbR00000462 Val-UAC|26</v>
      </c>
      <c r="B4567" s="4" t="s">
        <v>100</v>
      </c>
      <c r="C4567" s="4" t="s">
        <v>443</v>
      </c>
      <c r="D4567" s="4" t="n">
        <v>25</v>
      </c>
      <c r="E4567" s="3" t="s">
        <v>246</v>
      </c>
      <c r="F4567" s="4" t="s">
        <v>444</v>
      </c>
    </row>
    <row r="4568" customFormat="false" ht="15" hidden="false" customHeight="false" outlineLevel="0" collapsed="false">
      <c r="A4568" s="4" t="str">
        <f aca="false">B4568&amp;"|"&amp;C4568</f>
        <v>tdbR00000462 Val-UAC|27</v>
      </c>
      <c r="B4568" s="4" t="s">
        <v>100</v>
      </c>
      <c r="C4568" s="4" t="s">
        <v>445</v>
      </c>
      <c r="D4568" s="4" t="n">
        <v>26</v>
      </c>
      <c r="E4568" s="21" t="s">
        <v>259</v>
      </c>
      <c r="F4568" s="22" t="s">
        <v>446</v>
      </c>
    </row>
    <row r="4569" customFormat="false" ht="15" hidden="false" customHeight="false" outlineLevel="0" collapsed="false">
      <c r="A4569" s="4" t="str">
        <f aca="false">B4569&amp;"|"&amp;C4569</f>
        <v>tdbR00000462 Val-UAC|28</v>
      </c>
      <c r="B4569" s="4" t="s">
        <v>100</v>
      </c>
      <c r="C4569" s="4" t="s">
        <v>447</v>
      </c>
      <c r="D4569" s="4" t="n">
        <v>27</v>
      </c>
      <c r="E4569" s="21" t="s">
        <v>414</v>
      </c>
      <c r="F4569" s="22" t="s">
        <v>446</v>
      </c>
    </row>
    <row r="4570" customFormat="false" ht="15" hidden="false" customHeight="false" outlineLevel="0" collapsed="false">
      <c r="A4570" s="4" t="str">
        <f aca="false">B4570&amp;"|"&amp;C4570</f>
        <v>tdbR00000462 Val-UAC|29</v>
      </c>
      <c r="B4570" s="4" t="s">
        <v>100</v>
      </c>
      <c r="C4570" s="4" t="s">
        <v>448</v>
      </c>
      <c r="D4570" s="4" t="n">
        <v>28</v>
      </c>
      <c r="E4570" s="21" t="s">
        <v>259</v>
      </c>
      <c r="F4570" s="22" t="s">
        <v>446</v>
      </c>
    </row>
    <row r="4571" customFormat="false" ht="15" hidden="false" customHeight="false" outlineLevel="0" collapsed="false">
      <c r="A4571" s="4" t="str">
        <f aca="false">B4571&amp;"|"&amp;C4571</f>
        <v>tdbR00000462 Val-UAC|30</v>
      </c>
      <c r="B4571" s="4" t="s">
        <v>100</v>
      </c>
      <c r="C4571" s="4" t="s">
        <v>449</v>
      </c>
      <c r="D4571" s="4" t="n">
        <v>29</v>
      </c>
      <c r="E4571" s="21" t="s">
        <v>197</v>
      </c>
      <c r="F4571" s="22" t="s">
        <v>446</v>
      </c>
    </row>
    <row r="4572" customFormat="false" ht="15" hidden="false" customHeight="false" outlineLevel="0" collapsed="false">
      <c r="A4572" s="4" t="str">
        <f aca="false">B4572&amp;"|"&amp;C4572</f>
        <v>tdbR00000462 Val-UAC|31</v>
      </c>
      <c r="B4572" s="4" t="s">
        <v>100</v>
      </c>
      <c r="C4572" s="4" t="s">
        <v>450</v>
      </c>
      <c r="D4572" s="4" t="n">
        <v>30</v>
      </c>
      <c r="E4572" s="21" t="s">
        <v>197</v>
      </c>
      <c r="F4572" s="22" t="s">
        <v>446</v>
      </c>
    </row>
    <row r="4573" customFormat="false" ht="15" hidden="false" customHeight="false" outlineLevel="0" collapsed="false">
      <c r="A4573" s="4" t="str">
        <f aca="false">B4573&amp;"|"&amp;C4573</f>
        <v>tdbR00000462 Val-UAC|32</v>
      </c>
      <c r="B4573" s="4" t="s">
        <v>100</v>
      </c>
      <c r="C4573" s="4" t="s">
        <v>451</v>
      </c>
      <c r="D4573" s="4" t="n">
        <v>31</v>
      </c>
      <c r="E4573" s="19" t="s">
        <v>414</v>
      </c>
      <c r="F4573" s="20" t="s">
        <v>452</v>
      </c>
    </row>
    <row r="4574" customFormat="false" ht="15" hidden="false" customHeight="false" outlineLevel="0" collapsed="false">
      <c r="A4574" s="4" t="str">
        <f aca="false">B4574&amp;"|"&amp;C4574</f>
        <v>tdbR00000462 Val-UAC|33</v>
      </c>
      <c r="B4574" s="4" t="s">
        <v>100</v>
      </c>
      <c r="C4574" s="4" t="s">
        <v>453</v>
      </c>
      <c r="D4574" s="4" t="n">
        <v>32</v>
      </c>
      <c r="E4574" s="19" t="s">
        <v>414</v>
      </c>
      <c r="F4574" s="20" t="s">
        <v>452</v>
      </c>
    </row>
    <row r="4575" customFormat="false" ht="15" hidden="false" customHeight="false" outlineLevel="0" collapsed="false">
      <c r="A4575" s="4" t="str">
        <f aca="false">B4575&amp;"|"&amp;C4575</f>
        <v>tdbR00000462 Val-UAC|34</v>
      </c>
      <c r="B4575" s="4" t="s">
        <v>100</v>
      </c>
      <c r="C4575" s="4" t="s">
        <v>454</v>
      </c>
      <c r="D4575" s="4" t="n">
        <v>33</v>
      </c>
      <c r="E4575" s="19" t="s">
        <v>259</v>
      </c>
      <c r="F4575" s="20" t="s">
        <v>452</v>
      </c>
    </row>
    <row r="4576" customFormat="false" ht="15" hidden="false" customHeight="false" outlineLevel="0" collapsed="false">
      <c r="A4576" s="4" t="str">
        <f aca="false">B4576&amp;"|"&amp;C4576</f>
        <v>tdbR00000462 Val-UAC|35</v>
      </c>
      <c r="B4576" s="4" t="s">
        <v>100</v>
      </c>
      <c r="C4576" s="4" t="s">
        <v>455</v>
      </c>
      <c r="D4576" s="4" t="n">
        <v>34</v>
      </c>
      <c r="E4576" s="19" t="s">
        <v>246</v>
      </c>
      <c r="F4576" s="20" t="s">
        <v>452</v>
      </c>
    </row>
    <row r="4577" customFormat="false" ht="15" hidden="false" customHeight="false" outlineLevel="0" collapsed="false">
      <c r="A4577" s="4" t="str">
        <f aca="false">B4577&amp;"|"&amp;C4577</f>
        <v>tdbR00000462 Val-UAC|36</v>
      </c>
      <c r="B4577" s="4" t="s">
        <v>100</v>
      </c>
      <c r="C4577" s="4" t="s">
        <v>456</v>
      </c>
      <c r="D4577" s="4" t="n">
        <v>35</v>
      </c>
      <c r="E4577" s="19" t="s">
        <v>414</v>
      </c>
      <c r="F4577" s="20" t="s">
        <v>452</v>
      </c>
    </row>
    <row r="4578" customFormat="false" ht="15" hidden="false" customHeight="false" outlineLevel="0" collapsed="false">
      <c r="A4578" s="4" t="str">
        <f aca="false">B4578&amp;"|"&amp;C4578</f>
        <v>tdbR00000462 Val-UAC|37</v>
      </c>
      <c r="B4578" s="4" t="s">
        <v>100</v>
      </c>
      <c r="C4578" s="4" t="s">
        <v>457</v>
      </c>
      <c r="D4578" s="4" t="n">
        <v>36</v>
      </c>
      <c r="E4578" s="19" t="s">
        <v>246</v>
      </c>
      <c r="F4578" s="20" t="s">
        <v>452</v>
      </c>
    </row>
    <row r="4579" customFormat="false" ht="15" hidden="false" customHeight="false" outlineLevel="0" collapsed="false">
      <c r="A4579" s="4" t="str">
        <f aca="false">B4579&amp;"|"&amp;C4579</f>
        <v>tdbR00000462 Val-UAC|38</v>
      </c>
      <c r="B4579" s="4" t="s">
        <v>100</v>
      </c>
      <c r="C4579" s="4" t="s">
        <v>458</v>
      </c>
      <c r="D4579" s="4" t="n">
        <v>37</v>
      </c>
      <c r="E4579" s="19" t="s">
        <v>414</v>
      </c>
      <c r="F4579" s="20" t="s">
        <v>452</v>
      </c>
    </row>
    <row r="4580" customFormat="false" ht="15" hidden="false" customHeight="false" outlineLevel="0" collapsed="false">
      <c r="A4580" s="4" t="str">
        <f aca="false">B4580&amp;"|"&amp;C4580</f>
        <v>tdbR00000462 Val-UAC|39</v>
      </c>
      <c r="B4580" s="4" t="s">
        <v>100</v>
      </c>
      <c r="C4580" s="4" t="s">
        <v>459</v>
      </c>
      <c r="D4580" s="4" t="n">
        <v>38</v>
      </c>
      <c r="E4580" s="21" t="s">
        <v>414</v>
      </c>
      <c r="F4580" s="22" t="s">
        <v>446</v>
      </c>
    </row>
    <row r="4581" customFormat="false" ht="15" hidden="false" customHeight="false" outlineLevel="0" collapsed="false">
      <c r="A4581" s="4" t="str">
        <f aca="false">B4581&amp;"|"&amp;C4581</f>
        <v>tdbR00000462 Val-UAC|40</v>
      </c>
      <c r="B4581" s="4" t="s">
        <v>100</v>
      </c>
      <c r="C4581" s="4" t="s">
        <v>460</v>
      </c>
      <c r="D4581" s="4" t="n">
        <v>39</v>
      </c>
      <c r="E4581" s="21" t="s">
        <v>414</v>
      </c>
      <c r="F4581" s="22" t="s">
        <v>446</v>
      </c>
    </row>
    <row r="4582" customFormat="false" ht="15" hidden="false" customHeight="false" outlineLevel="0" collapsed="false">
      <c r="A4582" s="4" t="str">
        <f aca="false">B4582&amp;"|"&amp;C4582</f>
        <v>tdbR00000462 Val-UAC|41</v>
      </c>
      <c r="B4582" s="4" t="s">
        <v>100</v>
      </c>
      <c r="C4582" s="4" t="s">
        <v>461</v>
      </c>
      <c r="D4582" s="4" t="n">
        <v>40</v>
      </c>
      <c r="E4582" s="21" t="s">
        <v>246</v>
      </c>
      <c r="F4582" s="22" t="s">
        <v>446</v>
      </c>
    </row>
    <row r="4583" customFormat="false" ht="15" hidden="false" customHeight="false" outlineLevel="0" collapsed="false">
      <c r="A4583" s="4" t="str">
        <f aca="false">B4583&amp;"|"&amp;C4583</f>
        <v>tdbR00000462 Val-UAC|42</v>
      </c>
      <c r="B4583" s="4" t="s">
        <v>100</v>
      </c>
      <c r="C4583" s="4" t="s">
        <v>462</v>
      </c>
      <c r="D4583" s="4" t="n">
        <v>41</v>
      </c>
      <c r="E4583" s="21" t="s">
        <v>197</v>
      </c>
      <c r="F4583" s="22" t="s">
        <v>446</v>
      </c>
    </row>
    <row r="4584" customFormat="false" ht="15" hidden="false" customHeight="false" outlineLevel="0" collapsed="false">
      <c r="A4584" s="4" t="str">
        <f aca="false">B4584&amp;"|"&amp;C4584</f>
        <v>tdbR00000462 Val-UAC|43</v>
      </c>
      <c r="B4584" s="4" t="s">
        <v>100</v>
      </c>
      <c r="C4584" s="4" t="s">
        <v>463</v>
      </c>
      <c r="D4584" s="4" t="n">
        <v>42</v>
      </c>
      <c r="E4584" s="21" t="s">
        <v>246</v>
      </c>
      <c r="F4584" s="22" t="s">
        <v>446</v>
      </c>
    </row>
    <row r="4585" customFormat="false" ht="15" hidden="false" customHeight="false" outlineLevel="0" collapsed="false">
      <c r="A4585" s="4" t="str">
        <f aca="false">B4585&amp;"|"&amp;C4585</f>
        <v>tdbR00000462 Val-UAC|48</v>
      </c>
      <c r="B4585" s="4" t="s">
        <v>100</v>
      </c>
      <c r="C4585" s="4" t="s">
        <v>469</v>
      </c>
      <c r="D4585" s="4" t="n">
        <v>43</v>
      </c>
      <c r="E4585" s="19" t="s">
        <v>246</v>
      </c>
      <c r="F4585" s="20" t="s">
        <v>465</v>
      </c>
    </row>
    <row r="4586" customFormat="false" ht="15" hidden="false" customHeight="false" outlineLevel="0" collapsed="false">
      <c r="A4586" s="4" t="str">
        <f aca="false">B4586&amp;"|"&amp;C4586</f>
        <v>tdbR00000462 Val-UAC|49</v>
      </c>
      <c r="B4586" s="4" t="s">
        <v>100</v>
      </c>
      <c r="C4586" s="4" t="s">
        <v>470</v>
      </c>
      <c r="D4586" s="4" t="n">
        <v>44</v>
      </c>
      <c r="E4586" s="23" t="s">
        <v>197</v>
      </c>
      <c r="F4586" s="10" t="s">
        <v>471</v>
      </c>
    </row>
    <row r="4587" customFormat="false" ht="15" hidden="false" customHeight="false" outlineLevel="0" collapsed="false">
      <c r="A4587" s="4" t="str">
        <f aca="false">B4587&amp;"|"&amp;C4587</f>
        <v>tdbR00000462 Val-UAC|50</v>
      </c>
      <c r="B4587" s="4" t="s">
        <v>100</v>
      </c>
      <c r="C4587" s="4" t="s">
        <v>472</v>
      </c>
      <c r="D4587" s="4" t="n">
        <v>45</v>
      </c>
      <c r="E4587" s="23" t="s">
        <v>246</v>
      </c>
      <c r="F4587" s="10" t="s">
        <v>471</v>
      </c>
    </row>
    <row r="4588" customFormat="false" ht="15" hidden="false" customHeight="false" outlineLevel="0" collapsed="false">
      <c r="A4588" s="4" t="str">
        <f aca="false">B4588&amp;"|"&amp;C4588</f>
        <v>tdbR00000462 Val-UAC|51</v>
      </c>
      <c r="B4588" s="4" t="s">
        <v>100</v>
      </c>
      <c r="C4588" s="4" t="s">
        <v>473</v>
      </c>
      <c r="D4588" s="4" t="n">
        <v>46</v>
      </c>
      <c r="E4588" s="23" t="s">
        <v>246</v>
      </c>
      <c r="F4588" s="10" t="s">
        <v>471</v>
      </c>
    </row>
    <row r="4589" customFormat="false" ht="15" hidden="false" customHeight="false" outlineLevel="0" collapsed="false">
      <c r="A4589" s="4" t="str">
        <f aca="false">B4589&amp;"|"&amp;C4589</f>
        <v>tdbR00000462 Val-UAC|52</v>
      </c>
      <c r="B4589" s="4" t="s">
        <v>100</v>
      </c>
      <c r="C4589" s="4" t="s">
        <v>474</v>
      </c>
      <c r="D4589" s="4" t="n">
        <v>47</v>
      </c>
      <c r="E4589" s="23" t="s">
        <v>259</v>
      </c>
      <c r="F4589" s="10" t="s">
        <v>471</v>
      </c>
    </row>
    <row r="4590" customFormat="false" ht="15" hidden="false" customHeight="false" outlineLevel="0" collapsed="false">
      <c r="A4590" s="4" t="str">
        <f aca="false">B4590&amp;"|"&amp;C4590</f>
        <v>tdbR00000462 Val-UAC|53</v>
      </c>
      <c r="B4590" s="4" t="s">
        <v>100</v>
      </c>
      <c r="C4590" s="4" t="s">
        <v>475</v>
      </c>
      <c r="D4590" s="4" t="n">
        <v>48</v>
      </c>
      <c r="E4590" s="23" t="s">
        <v>259</v>
      </c>
      <c r="F4590" s="10" t="s">
        <v>471</v>
      </c>
    </row>
    <row r="4591" customFormat="false" ht="15" hidden="false" customHeight="false" outlineLevel="0" collapsed="false">
      <c r="A4591" s="4" t="str">
        <f aca="false">B4591&amp;"|"&amp;C4591</f>
        <v>tdbR00000462 Val-UAC|54</v>
      </c>
      <c r="B4591" s="4" t="s">
        <v>100</v>
      </c>
      <c r="C4591" s="4" t="s">
        <v>476</v>
      </c>
      <c r="D4591" s="4" t="n">
        <v>49</v>
      </c>
      <c r="E4591" s="19" t="s">
        <v>414</v>
      </c>
      <c r="F4591" s="20" t="s">
        <v>477</v>
      </c>
    </row>
    <row r="4592" customFormat="false" ht="15" hidden="false" customHeight="false" outlineLevel="0" collapsed="false">
      <c r="A4592" s="4" t="str">
        <f aca="false">B4592&amp;"|"&amp;C4592</f>
        <v>tdbR00000462 Val-UAC|55</v>
      </c>
      <c r="B4592" s="4" t="s">
        <v>100</v>
      </c>
      <c r="C4592" s="4" t="s">
        <v>478</v>
      </c>
      <c r="D4592" s="4" t="n">
        <v>50</v>
      </c>
      <c r="E4592" s="19" t="s">
        <v>246</v>
      </c>
      <c r="F4592" s="20" t="s">
        <v>477</v>
      </c>
    </row>
    <row r="4593" customFormat="false" ht="15" hidden="false" customHeight="false" outlineLevel="0" collapsed="false">
      <c r="A4593" s="4" t="str">
        <f aca="false">B4593&amp;"|"&amp;C4593</f>
        <v>tdbR00000462 Val-UAC|56</v>
      </c>
      <c r="B4593" s="4" t="s">
        <v>100</v>
      </c>
      <c r="C4593" s="4" t="s">
        <v>479</v>
      </c>
      <c r="D4593" s="4" t="n">
        <v>51</v>
      </c>
      <c r="E4593" s="19" t="s">
        <v>259</v>
      </c>
      <c r="F4593" s="20" t="s">
        <v>477</v>
      </c>
    </row>
    <row r="4594" customFormat="false" ht="15" hidden="false" customHeight="false" outlineLevel="0" collapsed="false">
      <c r="A4594" s="4" t="str">
        <f aca="false">B4594&amp;"|"&amp;C4594</f>
        <v>tdbR00000462 Val-UAC|57</v>
      </c>
      <c r="B4594" s="4" t="s">
        <v>100</v>
      </c>
      <c r="C4594" s="4" t="s">
        <v>480</v>
      </c>
      <c r="D4594" s="4" t="n">
        <v>52</v>
      </c>
      <c r="E4594" s="19" t="s">
        <v>246</v>
      </c>
      <c r="F4594" s="20" t="s">
        <v>477</v>
      </c>
    </row>
    <row r="4595" customFormat="false" ht="15" hidden="false" customHeight="false" outlineLevel="0" collapsed="false">
      <c r="A4595" s="4" t="str">
        <f aca="false">B4595&amp;"|"&amp;C4595</f>
        <v>tdbR00000462 Val-UAC|58</v>
      </c>
      <c r="B4595" s="4" t="s">
        <v>100</v>
      </c>
      <c r="C4595" s="4" t="s">
        <v>481</v>
      </c>
      <c r="D4595" s="4" t="n">
        <v>53</v>
      </c>
      <c r="E4595" s="19" t="s">
        <v>246</v>
      </c>
      <c r="F4595" s="20" t="s">
        <v>477</v>
      </c>
    </row>
    <row r="4596" customFormat="false" ht="15" hidden="false" customHeight="false" outlineLevel="0" collapsed="false">
      <c r="A4596" s="4" t="str">
        <f aca="false">B4596&amp;"|"&amp;C4596</f>
        <v>tdbR00000462 Val-UAC|59</v>
      </c>
      <c r="B4596" s="4" t="s">
        <v>100</v>
      </c>
      <c r="C4596" s="4" t="s">
        <v>482</v>
      </c>
      <c r="D4596" s="4" t="n">
        <v>54</v>
      </c>
      <c r="E4596" s="19" t="s">
        <v>246</v>
      </c>
      <c r="F4596" s="20" t="s">
        <v>477</v>
      </c>
    </row>
    <row r="4597" customFormat="false" ht="15" hidden="false" customHeight="false" outlineLevel="0" collapsed="false">
      <c r="A4597" s="4" t="str">
        <f aca="false">B4597&amp;"|"&amp;C4597</f>
        <v>tdbR00000462 Val-UAC|60</v>
      </c>
      <c r="B4597" s="4" t="s">
        <v>100</v>
      </c>
      <c r="C4597" s="4" t="s">
        <v>483</v>
      </c>
      <c r="D4597" s="4" t="n">
        <v>55</v>
      </c>
      <c r="E4597" s="19" t="s">
        <v>246</v>
      </c>
      <c r="F4597" s="20" t="s">
        <v>477</v>
      </c>
    </row>
    <row r="4598" customFormat="false" ht="15" hidden="false" customHeight="false" outlineLevel="0" collapsed="false">
      <c r="A4598" s="4" t="str">
        <f aca="false">B4598&amp;"|"&amp;C4598</f>
        <v>tdbR00000462 Val-UAC|61</v>
      </c>
      <c r="B4598" s="4" t="s">
        <v>100</v>
      </c>
      <c r="C4598" s="4" t="s">
        <v>484</v>
      </c>
      <c r="D4598" s="4" t="n">
        <v>56</v>
      </c>
      <c r="E4598" s="23" t="s">
        <v>246</v>
      </c>
      <c r="F4598" s="10" t="s">
        <v>471</v>
      </c>
    </row>
    <row r="4599" customFormat="false" ht="15" hidden="false" customHeight="false" outlineLevel="0" collapsed="false">
      <c r="A4599" s="4" t="str">
        <f aca="false">B4599&amp;"|"&amp;C4599</f>
        <v>tdbR00000462 Val-UAC|62</v>
      </c>
      <c r="B4599" s="4" t="s">
        <v>100</v>
      </c>
      <c r="C4599" s="4" t="s">
        <v>485</v>
      </c>
      <c r="D4599" s="4" t="n">
        <v>57</v>
      </c>
      <c r="E4599" s="23" t="s">
        <v>259</v>
      </c>
      <c r="F4599" s="10" t="s">
        <v>471</v>
      </c>
    </row>
    <row r="4600" customFormat="false" ht="15" hidden="false" customHeight="false" outlineLevel="0" collapsed="false">
      <c r="A4600" s="4" t="str">
        <f aca="false">B4600&amp;"|"&amp;C4600</f>
        <v>tdbR00000462 Val-UAC|63</v>
      </c>
      <c r="B4600" s="4" t="s">
        <v>100</v>
      </c>
      <c r="C4600" s="4" t="s">
        <v>486</v>
      </c>
      <c r="D4600" s="4" t="n">
        <v>58</v>
      </c>
      <c r="E4600" s="23" t="s">
        <v>197</v>
      </c>
      <c r="F4600" s="10" t="s">
        <v>471</v>
      </c>
    </row>
    <row r="4601" customFormat="false" ht="15" hidden="false" customHeight="false" outlineLevel="0" collapsed="false">
      <c r="A4601" s="4" t="str">
        <f aca="false">B4601&amp;"|"&amp;C4601</f>
        <v>tdbR00000462 Val-UAC|64</v>
      </c>
      <c r="B4601" s="4" t="s">
        <v>100</v>
      </c>
      <c r="C4601" s="4" t="s">
        <v>487</v>
      </c>
      <c r="D4601" s="4" t="n">
        <v>59</v>
      </c>
      <c r="E4601" s="23" t="s">
        <v>246</v>
      </c>
      <c r="F4601" s="10" t="s">
        <v>471</v>
      </c>
    </row>
    <row r="4602" customFormat="false" ht="15" hidden="false" customHeight="false" outlineLevel="0" collapsed="false">
      <c r="A4602" s="4" t="str">
        <f aca="false">B4602&amp;"|"&amp;C4602</f>
        <v>tdbR00000462 Val-UAC|65</v>
      </c>
      <c r="B4602" s="4" t="s">
        <v>100</v>
      </c>
      <c r="C4602" s="4" t="s">
        <v>488</v>
      </c>
      <c r="D4602" s="4" t="n">
        <v>60</v>
      </c>
      <c r="E4602" s="23" t="s">
        <v>246</v>
      </c>
      <c r="F4602" s="10" t="s">
        <v>471</v>
      </c>
    </row>
    <row r="4603" customFormat="false" ht="15" hidden="false" customHeight="false" outlineLevel="0" collapsed="false">
      <c r="A4603" s="4" t="str">
        <f aca="false">B4603&amp;"|"&amp;C4603</f>
        <v>tdbR00000462 Val-UAC|66</v>
      </c>
      <c r="B4603" s="4" t="s">
        <v>100</v>
      </c>
      <c r="C4603" s="4" t="s">
        <v>489</v>
      </c>
      <c r="D4603" s="4" t="n">
        <v>61</v>
      </c>
      <c r="E4603" s="17" t="s">
        <v>414</v>
      </c>
      <c r="F4603" s="18" t="s">
        <v>412</v>
      </c>
    </row>
    <row r="4604" customFormat="false" ht="15" hidden="false" customHeight="false" outlineLevel="0" collapsed="false">
      <c r="A4604" s="4" t="str">
        <f aca="false">B4604&amp;"|"&amp;C4604</f>
        <v>tdbR00000462 Val-UAC|67</v>
      </c>
      <c r="B4604" s="4" t="s">
        <v>100</v>
      </c>
      <c r="C4604" s="4" t="s">
        <v>490</v>
      </c>
      <c r="D4604" s="4" t="n">
        <v>62</v>
      </c>
      <c r="E4604" s="17" t="s">
        <v>246</v>
      </c>
      <c r="F4604" s="18" t="s">
        <v>412</v>
      </c>
    </row>
    <row r="4605" customFormat="false" ht="15" hidden="false" customHeight="false" outlineLevel="0" collapsed="false">
      <c r="A4605" s="4" t="str">
        <f aca="false">B4605&amp;"|"&amp;C4605</f>
        <v>tdbR00000462 Val-UAC|68</v>
      </c>
      <c r="B4605" s="4" t="s">
        <v>100</v>
      </c>
      <c r="C4605" s="4" t="s">
        <v>491</v>
      </c>
      <c r="D4605" s="4" t="n">
        <v>63</v>
      </c>
      <c r="E4605" s="17" t="s">
        <v>414</v>
      </c>
      <c r="F4605" s="18" t="s">
        <v>412</v>
      </c>
    </row>
    <row r="4606" customFormat="false" ht="15" hidden="false" customHeight="false" outlineLevel="0" collapsed="false">
      <c r="A4606" s="4" t="str">
        <f aca="false">B4606&amp;"|"&amp;C4606</f>
        <v>tdbR00000462 Val-UAC|69</v>
      </c>
      <c r="B4606" s="4" t="s">
        <v>100</v>
      </c>
      <c r="C4606" s="4" t="s">
        <v>492</v>
      </c>
      <c r="D4606" s="4" t="n">
        <v>64</v>
      </c>
      <c r="E4606" s="17" t="s">
        <v>259</v>
      </c>
      <c r="F4606" s="18" t="s">
        <v>412</v>
      </c>
    </row>
    <row r="4607" customFormat="false" ht="15" hidden="false" customHeight="false" outlineLevel="0" collapsed="false">
      <c r="A4607" s="4" t="str">
        <f aca="false">B4607&amp;"|"&amp;C4607</f>
        <v>tdbR00000462 Val-UAC|70</v>
      </c>
      <c r="B4607" s="4" t="s">
        <v>100</v>
      </c>
      <c r="C4607" s="4" t="s">
        <v>493</v>
      </c>
      <c r="D4607" s="4" t="n">
        <v>65</v>
      </c>
      <c r="E4607" s="17" t="s">
        <v>259</v>
      </c>
      <c r="F4607" s="18" t="s">
        <v>412</v>
      </c>
    </row>
    <row r="4608" customFormat="false" ht="15" hidden="false" customHeight="false" outlineLevel="0" collapsed="false">
      <c r="A4608" s="4" t="str">
        <f aca="false">B4608&amp;"|"&amp;C4608</f>
        <v>tdbR00000462 Val-UAC|71</v>
      </c>
      <c r="B4608" s="4" t="s">
        <v>100</v>
      </c>
      <c r="C4608" s="4" t="s">
        <v>494</v>
      </c>
      <c r="D4608" s="4" t="n">
        <v>66</v>
      </c>
      <c r="E4608" s="17" t="s">
        <v>259</v>
      </c>
      <c r="F4608" s="18" t="s">
        <v>412</v>
      </c>
    </row>
    <row r="4609" customFormat="false" ht="15" hidden="false" customHeight="false" outlineLevel="0" collapsed="false">
      <c r="A4609" s="4" t="str">
        <f aca="false">B4609&amp;"|"&amp;C4609</f>
        <v>tdbR00000462 Val-UAC|72</v>
      </c>
      <c r="B4609" s="4" t="s">
        <v>100</v>
      </c>
      <c r="C4609" s="4" t="s">
        <v>495</v>
      </c>
      <c r="D4609" s="4" t="n">
        <v>67</v>
      </c>
      <c r="E4609" s="17" t="s">
        <v>197</v>
      </c>
      <c r="F4609" s="18" t="s">
        <v>412</v>
      </c>
    </row>
    <row r="4610" customFormat="false" ht="15" hidden="false" customHeight="false" outlineLevel="0" collapsed="false">
      <c r="A4610" s="4" t="str">
        <f aca="false">B4610&amp;"|"&amp;C4610</f>
        <v>tdbR00000120 Gly-CCC|1</v>
      </c>
      <c r="B4610" s="4" t="s">
        <v>101</v>
      </c>
      <c r="C4610" s="4" t="s">
        <v>411</v>
      </c>
      <c r="D4610" s="4" t="n">
        <v>1</v>
      </c>
      <c r="E4610" s="17" t="s">
        <v>197</v>
      </c>
      <c r="F4610" s="18" t="s">
        <v>412</v>
      </c>
    </row>
    <row r="4611" customFormat="false" ht="15" hidden="false" customHeight="false" outlineLevel="0" collapsed="false">
      <c r="A4611" s="4" t="str">
        <f aca="false">B4611&amp;"|"&amp;C4611</f>
        <v>tdbR00000120 Gly-CCC|2</v>
      </c>
      <c r="B4611" s="4" t="s">
        <v>101</v>
      </c>
      <c r="C4611" s="4" t="s">
        <v>413</v>
      </c>
      <c r="D4611" s="4" t="n">
        <v>2</v>
      </c>
      <c r="E4611" s="17" t="s">
        <v>414</v>
      </c>
      <c r="F4611" s="18" t="s">
        <v>412</v>
      </c>
    </row>
    <row r="4612" customFormat="false" ht="15" hidden="false" customHeight="false" outlineLevel="0" collapsed="false">
      <c r="A4612" s="4" t="str">
        <f aca="false">B4612&amp;"|"&amp;C4612</f>
        <v>tdbR00000120 Gly-CCC|3</v>
      </c>
      <c r="B4612" s="4" t="s">
        <v>101</v>
      </c>
      <c r="C4612" s="4" t="s">
        <v>415</v>
      </c>
      <c r="D4612" s="4" t="n">
        <v>3</v>
      </c>
      <c r="E4612" s="17" t="s">
        <v>197</v>
      </c>
      <c r="F4612" s="18" t="s">
        <v>412</v>
      </c>
    </row>
    <row r="4613" customFormat="false" ht="15" hidden="false" customHeight="false" outlineLevel="0" collapsed="false">
      <c r="A4613" s="4" t="str">
        <f aca="false">B4613&amp;"|"&amp;C4613</f>
        <v>tdbR00000120 Gly-CCC|4</v>
      </c>
      <c r="B4613" s="4" t="s">
        <v>101</v>
      </c>
      <c r="C4613" s="4" t="s">
        <v>416</v>
      </c>
      <c r="D4613" s="4" t="n">
        <v>4</v>
      </c>
      <c r="E4613" s="17" t="s">
        <v>197</v>
      </c>
      <c r="F4613" s="18" t="s">
        <v>412</v>
      </c>
    </row>
    <row r="4614" customFormat="false" ht="15" hidden="false" customHeight="false" outlineLevel="0" collapsed="false">
      <c r="A4614" s="4" t="str">
        <f aca="false">B4614&amp;"|"&amp;C4614</f>
        <v>tdbR00000120 Gly-CCC|5</v>
      </c>
      <c r="B4614" s="4" t="s">
        <v>101</v>
      </c>
      <c r="C4614" s="4" t="s">
        <v>417</v>
      </c>
      <c r="D4614" s="4" t="n">
        <v>5</v>
      </c>
      <c r="E4614" s="17" t="s">
        <v>197</v>
      </c>
      <c r="F4614" s="18" t="s">
        <v>412</v>
      </c>
    </row>
    <row r="4615" customFormat="false" ht="15" hidden="false" customHeight="false" outlineLevel="0" collapsed="false">
      <c r="A4615" s="4" t="str">
        <f aca="false">B4615&amp;"|"&amp;C4615</f>
        <v>tdbR00000120 Gly-CCC|6</v>
      </c>
      <c r="B4615" s="4" t="s">
        <v>101</v>
      </c>
      <c r="C4615" s="4" t="s">
        <v>418</v>
      </c>
      <c r="D4615" s="4" t="n">
        <v>6</v>
      </c>
      <c r="E4615" s="17" t="s">
        <v>414</v>
      </c>
      <c r="F4615" s="18" t="s">
        <v>412</v>
      </c>
    </row>
    <row r="4616" customFormat="false" ht="15" hidden="false" customHeight="false" outlineLevel="0" collapsed="false">
      <c r="A4616" s="4" t="str">
        <f aca="false">B4616&amp;"|"&amp;C4616</f>
        <v>tdbR00000120 Gly-CCC|7</v>
      </c>
      <c r="B4616" s="4" t="s">
        <v>101</v>
      </c>
      <c r="C4616" s="4" t="s">
        <v>419</v>
      </c>
      <c r="D4616" s="4" t="n">
        <v>7</v>
      </c>
      <c r="E4616" s="17" t="s">
        <v>197</v>
      </c>
      <c r="F4616" s="18" t="s">
        <v>412</v>
      </c>
    </row>
    <row r="4617" customFormat="false" ht="15" hidden="false" customHeight="false" outlineLevel="0" collapsed="false">
      <c r="A4617" s="4" t="str">
        <f aca="false">B4617&amp;"|"&amp;C4617</f>
        <v>tdbR00000120 Gly-CCC|8</v>
      </c>
      <c r="B4617" s="4" t="s">
        <v>101</v>
      </c>
      <c r="C4617" s="4" t="s">
        <v>420</v>
      </c>
      <c r="D4617" s="4" t="n">
        <v>8</v>
      </c>
      <c r="E4617" s="3" t="s">
        <v>259</v>
      </c>
      <c r="F4617" s="4" t="s">
        <v>421</v>
      </c>
    </row>
    <row r="4618" customFormat="false" ht="15" hidden="false" customHeight="false" outlineLevel="0" collapsed="false">
      <c r="A4618" s="4" t="str">
        <f aca="false">B4618&amp;"|"&amp;C4618</f>
        <v>tdbR00000120 Gly-CCC|9</v>
      </c>
      <c r="B4618" s="4" t="s">
        <v>101</v>
      </c>
      <c r="C4618" s="4" t="s">
        <v>422</v>
      </c>
      <c r="D4618" s="4" t="n">
        <v>9</v>
      </c>
      <c r="E4618" s="3" t="s">
        <v>246</v>
      </c>
      <c r="F4618" s="4" t="s">
        <v>423</v>
      </c>
    </row>
    <row r="4619" customFormat="false" ht="15" hidden="false" customHeight="false" outlineLevel="0" collapsed="false">
      <c r="A4619" s="4" t="str">
        <f aca="false">B4619&amp;"|"&amp;C4619</f>
        <v>tdbR00000120 Gly-CCC|10</v>
      </c>
      <c r="B4619" s="4" t="s">
        <v>101</v>
      </c>
      <c r="C4619" s="4" t="s">
        <v>424</v>
      </c>
      <c r="D4619" s="4" t="n">
        <v>10</v>
      </c>
      <c r="E4619" s="8" t="s">
        <v>197</v>
      </c>
      <c r="F4619" s="7" t="s">
        <v>425</v>
      </c>
    </row>
    <row r="4620" customFormat="false" ht="15" hidden="false" customHeight="false" outlineLevel="0" collapsed="false">
      <c r="A4620" s="4" t="str">
        <f aca="false">B4620&amp;"|"&amp;C4620</f>
        <v>tdbR00000120 Gly-CCC|11</v>
      </c>
      <c r="B4620" s="4" t="s">
        <v>101</v>
      </c>
      <c r="C4620" s="4" t="s">
        <v>426</v>
      </c>
      <c r="D4620" s="4" t="n">
        <v>11</v>
      </c>
      <c r="E4620" s="8" t="s">
        <v>259</v>
      </c>
      <c r="F4620" s="7" t="s">
        <v>425</v>
      </c>
    </row>
    <row r="4621" customFormat="false" ht="15" hidden="false" customHeight="false" outlineLevel="0" collapsed="false">
      <c r="A4621" s="4" t="str">
        <f aca="false">B4621&amp;"|"&amp;C4621</f>
        <v>tdbR00000120 Gly-CCC|12</v>
      </c>
      <c r="B4621" s="4" t="s">
        <v>101</v>
      </c>
      <c r="C4621" s="4" t="s">
        <v>427</v>
      </c>
      <c r="D4621" s="4" t="n">
        <v>12</v>
      </c>
      <c r="E4621" s="8" t="s">
        <v>259</v>
      </c>
      <c r="F4621" s="7" t="s">
        <v>425</v>
      </c>
    </row>
    <row r="4622" customFormat="false" ht="15" hidden="false" customHeight="false" outlineLevel="0" collapsed="false">
      <c r="A4622" s="4" t="str">
        <f aca="false">B4622&amp;"|"&amp;C4622</f>
        <v>tdbR00000120 Gly-CCC|13</v>
      </c>
      <c r="B4622" s="4" t="s">
        <v>101</v>
      </c>
      <c r="C4622" s="4" t="s">
        <v>428</v>
      </c>
      <c r="D4622" s="4" t="n">
        <v>13</v>
      </c>
      <c r="E4622" s="8" t="s">
        <v>414</v>
      </c>
      <c r="F4622" s="7" t="s">
        <v>425</v>
      </c>
    </row>
    <row r="4623" customFormat="false" ht="15" hidden="false" customHeight="false" outlineLevel="0" collapsed="false">
      <c r="A4623" s="4" t="str">
        <f aca="false">B4623&amp;"|"&amp;C4623</f>
        <v>tdbR00000120 Gly-CCC|14</v>
      </c>
      <c r="B4623" s="4" t="s">
        <v>101</v>
      </c>
      <c r="C4623" s="4" t="s">
        <v>429</v>
      </c>
      <c r="D4623" s="4" t="n">
        <v>14</v>
      </c>
      <c r="E4623" s="19" t="s">
        <v>246</v>
      </c>
      <c r="F4623" s="20" t="s">
        <v>430</v>
      </c>
    </row>
    <row r="4624" customFormat="false" ht="15" hidden="false" customHeight="false" outlineLevel="0" collapsed="false">
      <c r="A4624" s="4" t="str">
        <f aca="false">B4624&amp;"|"&amp;C4624</f>
        <v>tdbR00000120 Gly-CCC|15</v>
      </c>
      <c r="B4624" s="4" t="s">
        <v>101</v>
      </c>
      <c r="C4624" s="4" t="s">
        <v>431</v>
      </c>
      <c r="D4624" s="4" t="n">
        <v>15</v>
      </c>
      <c r="E4624" s="19" t="s">
        <v>246</v>
      </c>
      <c r="F4624" s="20" t="s">
        <v>430</v>
      </c>
    </row>
    <row r="4625" customFormat="false" ht="15" hidden="false" customHeight="false" outlineLevel="0" collapsed="false">
      <c r="A4625" s="4" t="str">
        <f aca="false">B4625&amp;"|"&amp;C4625</f>
        <v>tdbR00000120 Gly-CCC|16</v>
      </c>
      <c r="B4625" s="4" t="s">
        <v>101</v>
      </c>
      <c r="C4625" s="4" t="s">
        <v>432</v>
      </c>
      <c r="D4625" s="4" t="n">
        <v>16</v>
      </c>
      <c r="E4625" s="19" t="s">
        <v>259</v>
      </c>
      <c r="F4625" s="20" t="s">
        <v>430</v>
      </c>
    </row>
    <row r="4626" customFormat="false" ht="15" hidden="false" customHeight="false" outlineLevel="0" collapsed="false">
      <c r="A4626" s="4" t="str">
        <f aca="false">B4626&amp;"|"&amp;C4626</f>
        <v>tdbR00000120 Gly-CCC|18</v>
      </c>
      <c r="B4626" s="4" t="s">
        <v>101</v>
      </c>
      <c r="C4626" s="4" t="s">
        <v>434</v>
      </c>
      <c r="D4626" s="4" t="n">
        <v>17</v>
      </c>
      <c r="E4626" s="19" t="s">
        <v>197</v>
      </c>
      <c r="F4626" s="20" t="s">
        <v>430</v>
      </c>
    </row>
    <row r="4627" customFormat="false" ht="15" hidden="false" customHeight="false" outlineLevel="0" collapsed="false">
      <c r="A4627" s="4" t="str">
        <f aca="false">B4627&amp;"|"&amp;C4627</f>
        <v>tdbR00000120 Gly-CCC|19</v>
      </c>
      <c r="B4627" s="4" t="s">
        <v>101</v>
      </c>
      <c r="C4627" s="4" t="s">
        <v>435</v>
      </c>
      <c r="D4627" s="4" t="n">
        <v>18</v>
      </c>
      <c r="E4627" s="19" t="s">
        <v>197</v>
      </c>
      <c r="F4627" s="20" t="s">
        <v>430</v>
      </c>
    </row>
    <row r="4628" customFormat="false" ht="15" hidden="false" customHeight="false" outlineLevel="0" collapsed="false">
      <c r="A4628" s="4" t="str">
        <f aca="false">B4628&amp;"|"&amp;C4628</f>
        <v>tdbR00000120 Gly-CCC|20</v>
      </c>
      <c r="B4628" s="4" t="s">
        <v>101</v>
      </c>
      <c r="C4628" s="4" t="s">
        <v>436</v>
      </c>
      <c r="D4628" s="4" t="n">
        <v>19</v>
      </c>
      <c r="E4628" s="19" t="s">
        <v>259</v>
      </c>
      <c r="F4628" s="20" t="s">
        <v>430</v>
      </c>
    </row>
    <row r="4629" customFormat="false" ht="15" hidden="false" customHeight="false" outlineLevel="0" collapsed="false">
      <c r="A4629" s="4" t="str">
        <f aca="false">B4629&amp;"|"&amp;C4629</f>
        <v>tdbR00000120 Gly-CCC|21</v>
      </c>
      <c r="B4629" s="4" t="s">
        <v>101</v>
      </c>
      <c r="C4629" s="4" t="s">
        <v>438</v>
      </c>
      <c r="D4629" s="4" t="n">
        <v>20</v>
      </c>
      <c r="E4629" s="19" t="s">
        <v>246</v>
      </c>
      <c r="F4629" s="20" t="s">
        <v>430</v>
      </c>
    </row>
    <row r="4630" customFormat="false" ht="15" hidden="false" customHeight="false" outlineLevel="0" collapsed="false">
      <c r="A4630" s="4" t="str">
        <f aca="false">B4630&amp;"|"&amp;C4630</f>
        <v>tdbR00000120 Gly-CCC|22</v>
      </c>
      <c r="B4630" s="4" t="s">
        <v>101</v>
      </c>
      <c r="C4630" s="4" t="s">
        <v>439</v>
      </c>
      <c r="D4630" s="4" t="n">
        <v>21</v>
      </c>
      <c r="E4630" s="8" t="s">
        <v>197</v>
      </c>
      <c r="F4630" s="7" t="s">
        <v>425</v>
      </c>
    </row>
    <row r="4631" customFormat="false" ht="15" hidden="false" customHeight="false" outlineLevel="0" collapsed="false">
      <c r="A4631" s="4" t="str">
        <f aca="false">B4631&amp;"|"&amp;C4631</f>
        <v>tdbR00000120 Gly-CCC|23</v>
      </c>
      <c r="B4631" s="4" t="s">
        <v>101</v>
      </c>
      <c r="C4631" s="4" t="s">
        <v>440</v>
      </c>
      <c r="D4631" s="4" t="n">
        <v>22</v>
      </c>
      <c r="E4631" s="8" t="s">
        <v>246</v>
      </c>
      <c r="F4631" s="7" t="s">
        <v>425</v>
      </c>
    </row>
    <row r="4632" customFormat="false" ht="15" hidden="false" customHeight="false" outlineLevel="0" collapsed="false">
      <c r="A4632" s="4" t="str">
        <f aca="false">B4632&amp;"|"&amp;C4632</f>
        <v>tdbR00000120 Gly-CCC|24</v>
      </c>
      <c r="B4632" s="4" t="s">
        <v>101</v>
      </c>
      <c r="C4632" s="4" t="s">
        <v>441</v>
      </c>
      <c r="D4632" s="4" t="n">
        <v>23</v>
      </c>
      <c r="E4632" s="8" t="s">
        <v>246</v>
      </c>
      <c r="F4632" s="7" t="s">
        <v>425</v>
      </c>
    </row>
    <row r="4633" customFormat="false" ht="15" hidden="false" customHeight="false" outlineLevel="0" collapsed="false">
      <c r="A4633" s="4" t="str">
        <f aca="false">B4633&amp;"|"&amp;C4633</f>
        <v>tdbR00000120 Gly-CCC|25</v>
      </c>
      <c r="B4633" s="4" t="s">
        <v>101</v>
      </c>
      <c r="C4633" s="4" t="s">
        <v>442</v>
      </c>
      <c r="D4633" s="4" t="n">
        <v>24</v>
      </c>
      <c r="E4633" s="8" t="s">
        <v>414</v>
      </c>
      <c r="F4633" s="7" t="s">
        <v>425</v>
      </c>
    </row>
    <row r="4634" customFormat="false" ht="15" hidden="false" customHeight="false" outlineLevel="0" collapsed="false">
      <c r="A4634" s="4" t="str">
        <f aca="false">B4634&amp;"|"&amp;C4634</f>
        <v>tdbR00000120 Gly-CCC|26</v>
      </c>
      <c r="B4634" s="4" t="s">
        <v>101</v>
      </c>
      <c r="C4634" s="4" t="s">
        <v>443</v>
      </c>
      <c r="D4634" s="4" t="n">
        <v>25</v>
      </c>
      <c r="E4634" s="3" t="s">
        <v>197</v>
      </c>
      <c r="F4634" s="4" t="s">
        <v>444</v>
      </c>
    </row>
    <row r="4635" customFormat="false" ht="15" hidden="false" customHeight="false" outlineLevel="0" collapsed="false">
      <c r="A4635" s="4" t="str">
        <f aca="false">B4635&amp;"|"&amp;C4635</f>
        <v>tdbR00000120 Gly-CCC|27</v>
      </c>
      <c r="B4635" s="4" t="s">
        <v>101</v>
      </c>
      <c r="C4635" s="4" t="s">
        <v>445</v>
      </c>
      <c r="D4635" s="4" t="n">
        <v>26</v>
      </c>
      <c r="E4635" s="21" t="s">
        <v>246</v>
      </c>
      <c r="F4635" s="22" t="s">
        <v>446</v>
      </c>
    </row>
    <row r="4636" customFormat="false" ht="15" hidden="false" customHeight="false" outlineLevel="0" collapsed="false">
      <c r="A4636" s="4" t="str">
        <f aca="false">B4636&amp;"|"&amp;C4636</f>
        <v>tdbR00000120 Gly-CCC|28</v>
      </c>
      <c r="B4636" s="4" t="s">
        <v>101</v>
      </c>
      <c r="C4636" s="4" t="s">
        <v>447</v>
      </c>
      <c r="D4636" s="4" t="n">
        <v>27</v>
      </c>
      <c r="E4636" s="21" t="s">
        <v>197</v>
      </c>
      <c r="F4636" s="22" t="s">
        <v>446</v>
      </c>
    </row>
    <row r="4637" customFormat="false" ht="15" hidden="false" customHeight="false" outlineLevel="0" collapsed="false">
      <c r="A4637" s="4" t="str">
        <f aca="false">B4637&amp;"|"&amp;C4637</f>
        <v>tdbR00000120 Gly-CCC|29</v>
      </c>
      <c r="B4637" s="4" t="s">
        <v>101</v>
      </c>
      <c r="C4637" s="4" t="s">
        <v>448</v>
      </c>
      <c r="D4637" s="4" t="n">
        <v>28</v>
      </c>
      <c r="E4637" s="21" t="s">
        <v>246</v>
      </c>
      <c r="F4637" s="22" t="s">
        <v>446</v>
      </c>
    </row>
    <row r="4638" customFormat="false" ht="15" hidden="false" customHeight="false" outlineLevel="0" collapsed="false">
      <c r="A4638" s="4" t="str">
        <f aca="false">B4638&amp;"|"&amp;C4638</f>
        <v>tdbR00000120 Gly-CCC|30</v>
      </c>
      <c r="B4638" s="4" t="s">
        <v>101</v>
      </c>
      <c r="C4638" s="4" t="s">
        <v>449</v>
      </c>
      <c r="D4638" s="4" t="n">
        <v>29</v>
      </c>
      <c r="E4638" s="21" t="s">
        <v>197</v>
      </c>
      <c r="F4638" s="22" t="s">
        <v>446</v>
      </c>
    </row>
    <row r="4639" customFormat="false" ht="15" hidden="false" customHeight="false" outlineLevel="0" collapsed="false">
      <c r="A4639" s="4" t="str">
        <f aca="false">B4639&amp;"|"&amp;C4639</f>
        <v>tdbR00000120 Gly-CCC|31</v>
      </c>
      <c r="B4639" s="4" t="s">
        <v>101</v>
      </c>
      <c r="C4639" s="4" t="s">
        <v>450</v>
      </c>
      <c r="D4639" s="4" t="n">
        <v>30</v>
      </c>
      <c r="E4639" s="21" t="s">
        <v>414</v>
      </c>
      <c r="F4639" s="22" t="s">
        <v>446</v>
      </c>
    </row>
    <row r="4640" customFormat="false" ht="15" hidden="false" customHeight="false" outlineLevel="0" collapsed="false">
      <c r="A4640" s="4" t="str">
        <f aca="false">B4640&amp;"|"&amp;C4640</f>
        <v>tdbR00000120 Gly-CCC|32</v>
      </c>
      <c r="B4640" s="4" t="s">
        <v>101</v>
      </c>
      <c r="C4640" s="4" t="s">
        <v>451</v>
      </c>
      <c r="D4640" s="4" t="n">
        <v>31</v>
      </c>
      <c r="E4640" s="19" t="s">
        <v>259</v>
      </c>
      <c r="F4640" s="20" t="s">
        <v>452</v>
      </c>
    </row>
    <row r="4641" customFormat="false" ht="15" hidden="false" customHeight="false" outlineLevel="0" collapsed="false">
      <c r="A4641" s="4" t="str">
        <f aca="false">B4641&amp;"|"&amp;C4641</f>
        <v>tdbR00000120 Gly-CCC|33</v>
      </c>
      <c r="B4641" s="4" t="s">
        <v>101</v>
      </c>
      <c r="C4641" s="4" t="s">
        <v>453</v>
      </c>
      <c r="D4641" s="4" t="n">
        <v>32</v>
      </c>
      <c r="E4641" s="19" t="s">
        <v>259</v>
      </c>
      <c r="F4641" s="20" t="s">
        <v>452</v>
      </c>
    </row>
    <row r="4642" customFormat="false" ht="15" hidden="false" customHeight="false" outlineLevel="0" collapsed="false">
      <c r="A4642" s="4" t="str">
        <f aca="false">B4642&amp;"|"&amp;C4642</f>
        <v>tdbR00000120 Gly-CCC|34</v>
      </c>
      <c r="B4642" s="4" t="s">
        <v>101</v>
      </c>
      <c r="C4642" s="4" t="s">
        <v>454</v>
      </c>
      <c r="D4642" s="4" t="n">
        <v>33</v>
      </c>
      <c r="E4642" s="19" t="s">
        <v>414</v>
      </c>
      <c r="F4642" s="20" t="s">
        <v>452</v>
      </c>
    </row>
    <row r="4643" customFormat="false" ht="15" hidden="false" customHeight="false" outlineLevel="0" collapsed="false">
      <c r="A4643" s="4" t="str">
        <f aca="false">B4643&amp;"|"&amp;C4643</f>
        <v>tdbR00000120 Gly-CCC|35</v>
      </c>
      <c r="B4643" s="4" t="s">
        <v>101</v>
      </c>
      <c r="C4643" s="4" t="s">
        <v>455</v>
      </c>
      <c r="D4643" s="4" t="n">
        <v>34</v>
      </c>
      <c r="E4643" s="19" t="s">
        <v>414</v>
      </c>
      <c r="F4643" s="20" t="s">
        <v>452</v>
      </c>
    </row>
    <row r="4644" customFormat="false" ht="15" hidden="false" customHeight="false" outlineLevel="0" collapsed="false">
      <c r="A4644" s="4" t="str">
        <f aca="false">B4644&amp;"|"&amp;C4644</f>
        <v>tdbR00000120 Gly-CCC|36</v>
      </c>
      <c r="B4644" s="4" t="s">
        <v>101</v>
      </c>
      <c r="C4644" s="4" t="s">
        <v>456</v>
      </c>
      <c r="D4644" s="4" t="n">
        <v>35</v>
      </c>
      <c r="E4644" s="19" t="s">
        <v>414</v>
      </c>
      <c r="F4644" s="20" t="s">
        <v>452</v>
      </c>
    </row>
    <row r="4645" customFormat="false" ht="15" hidden="false" customHeight="false" outlineLevel="0" collapsed="false">
      <c r="A4645" s="4" t="str">
        <f aca="false">B4645&amp;"|"&amp;C4645</f>
        <v>tdbR00000120 Gly-CCC|37</v>
      </c>
      <c r="B4645" s="4" t="s">
        <v>101</v>
      </c>
      <c r="C4645" s="4" t="s">
        <v>457</v>
      </c>
      <c r="D4645" s="4" t="n">
        <v>36</v>
      </c>
      <c r="E4645" s="19" t="s">
        <v>246</v>
      </c>
      <c r="F4645" s="20" t="s">
        <v>452</v>
      </c>
    </row>
    <row r="4646" customFormat="false" ht="15" hidden="false" customHeight="false" outlineLevel="0" collapsed="false">
      <c r="A4646" s="4" t="str">
        <f aca="false">B4646&amp;"|"&amp;C4646</f>
        <v>tdbR00000120 Gly-CCC|38</v>
      </c>
      <c r="B4646" s="4" t="s">
        <v>101</v>
      </c>
      <c r="C4646" s="4" t="s">
        <v>458</v>
      </c>
      <c r="D4646" s="4" t="n">
        <v>37</v>
      </c>
      <c r="E4646" s="19" t="s">
        <v>246</v>
      </c>
      <c r="F4646" s="20" t="s">
        <v>452</v>
      </c>
    </row>
    <row r="4647" customFormat="false" ht="15" hidden="false" customHeight="false" outlineLevel="0" collapsed="false">
      <c r="A4647" s="4" t="str">
        <f aca="false">B4647&amp;"|"&amp;C4647</f>
        <v>tdbR00000120 Gly-CCC|39</v>
      </c>
      <c r="B4647" s="4" t="s">
        <v>101</v>
      </c>
      <c r="C4647" s="4" t="s">
        <v>459</v>
      </c>
      <c r="D4647" s="4" t="n">
        <v>38</v>
      </c>
      <c r="E4647" s="21" t="s">
        <v>197</v>
      </c>
      <c r="F4647" s="22" t="s">
        <v>446</v>
      </c>
    </row>
    <row r="4648" customFormat="false" ht="15" hidden="false" customHeight="false" outlineLevel="0" collapsed="false">
      <c r="A4648" s="4" t="str">
        <f aca="false">B4648&amp;"|"&amp;C4648</f>
        <v>tdbR00000120 Gly-CCC|40</v>
      </c>
      <c r="B4648" s="4" t="s">
        <v>101</v>
      </c>
      <c r="C4648" s="4" t="s">
        <v>460</v>
      </c>
      <c r="D4648" s="4" t="n">
        <v>39</v>
      </c>
      <c r="E4648" s="21" t="s">
        <v>414</v>
      </c>
      <c r="F4648" s="22" t="s">
        <v>446</v>
      </c>
    </row>
    <row r="4649" customFormat="false" ht="15" hidden="false" customHeight="false" outlineLevel="0" collapsed="false">
      <c r="A4649" s="4" t="str">
        <f aca="false">B4649&amp;"|"&amp;C4649</f>
        <v>tdbR00000120 Gly-CCC|41</v>
      </c>
      <c r="B4649" s="4" t="s">
        <v>101</v>
      </c>
      <c r="C4649" s="4" t="s">
        <v>461</v>
      </c>
      <c r="D4649" s="4" t="n">
        <v>40</v>
      </c>
      <c r="E4649" s="21" t="s">
        <v>259</v>
      </c>
      <c r="F4649" s="22" t="s">
        <v>446</v>
      </c>
    </row>
    <row r="4650" customFormat="false" ht="15" hidden="false" customHeight="false" outlineLevel="0" collapsed="false">
      <c r="A4650" s="4" t="str">
        <f aca="false">B4650&amp;"|"&amp;C4650</f>
        <v>tdbR00000120 Gly-CCC|42</v>
      </c>
      <c r="B4650" s="4" t="s">
        <v>101</v>
      </c>
      <c r="C4650" s="4" t="s">
        <v>462</v>
      </c>
      <c r="D4650" s="4" t="n">
        <v>41</v>
      </c>
      <c r="E4650" s="21" t="s">
        <v>414</v>
      </c>
      <c r="F4650" s="22" t="s">
        <v>446</v>
      </c>
    </row>
    <row r="4651" customFormat="false" ht="15" hidden="false" customHeight="false" outlineLevel="0" collapsed="false">
      <c r="A4651" s="4" t="str">
        <f aca="false">B4651&amp;"|"&amp;C4651</f>
        <v>tdbR00000120 Gly-CCC|43</v>
      </c>
      <c r="B4651" s="4" t="s">
        <v>101</v>
      </c>
      <c r="C4651" s="4" t="s">
        <v>463</v>
      </c>
      <c r="D4651" s="4" t="n">
        <v>42</v>
      </c>
      <c r="E4651" s="21" t="s">
        <v>259</v>
      </c>
      <c r="F4651" s="22" t="s">
        <v>446</v>
      </c>
    </row>
    <row r="4652" customFormat="false" ht="15" hidden="false" customHeight="false" outlineLevel="0" collapsed="false">
      <c r="A4652" s="4" t="str">
        <f aca="false">B4652&amp;"|"&amp;C4652</f>
        <v>tdbR00000120 Gly-CCC|44</v>
      </c>
      <c r="B4652" s="4" t="s">
        <v>101</v>
      </c>
      <c r="C4652" s="4" t="s">
        <v>464</v>
      </c>
      <c r="D4652" s="4" t="n">
        <v>43</v>
      </c>
      <c r="E4652" s="19" t="s">
        <v>246</v>
      </c>
      <c r="F4652" s="20" t="s">
        <v>465</v>
      </c>
    </row>
    <row r="4653" customFormat="false" ht="15" hidden="false" customHeight="false" outlineLevel="0" collapsed="false">
      <c r="A4653" s="4" t="str">
        <f aca="false">B4653&amp;"|"&amp;C4653</f>
        <v>tdbR00000120 Gly-CCC|45</v>
      </c>
      <c r="B4653" s="4" t="s">
        <v>101</v>
      </c>
      <c r="C4653" s="4" t="s">
        <v>466</v>
      </c>
      <c r="D4653" s="4" t="n">
        <v>44</v>
      </c>
      <c r="E4653" s="19" t="s">
        <v>259</v>
      </c>
      <c r="F4653" s="20" t="s">
        <v>465</v>
      </c>
    </row>
    <row r="4654" customFormat="false" ht="15" hidden="false" customHeight="false" outlineLevel="0" collapsed="false">
      <c r="A4654" s="4" t="str">
        <f aca="false">B4654&amp;"|"&amp;C4654</f>
        <v>tdbR00000120 Gly-CCC|46</v>
      </c>
      <c r="B4654" s="4" t="s">
        <v>101</v>
      </c>
      <c r="C4654" s="4" t="s">
        <v>467</v>
      </c>
      <c r="D4654" s="4" t="n">
        <v>45</v>
      </c>
      <c r="E4654" s="19" t="s">
        <v>246</v>
      </c>
      <c r="F4654" s="20" t="s">
        <v>465</v>
      </c>
    </row>
    <row r="4655" customFormat="false" ht="15" hidden="false" customHeight="false" outlineLevel="0" collapsed="false">
      <c r="A4655" s="4" t="str">
        <f aca="false">B4655&amp;"|"&amp;C4655</f>
        <v>tdbR00000120 Gly-CCC|48</v>
      </c>
      <c r="B4655" s="4" t="s">
        <v>101</v>
      </c>
      <c r="C4655" s="4" t="s">
        <v>469</v>
      </c>
      <c r="D4655" s="4" t="n">
        <v>46</v>
      </c>
      <c r="E4655" s="19" t="s">
        <v>414</v>
      </c>
      <c r="F4655" s="20" t="s">
        <v>465</v>
      </c>
    </row>
    <row r="4656" customFormat="false" ht="15" hidden="false" customHeight="false" outlineLevel="0" collapsed="false">
      <c r="A4656" s="4" t="str">
        <f aca="false">B4656&amp;"|"&amp;C4656</f>
        <v>tdbR00000120 Gly-CCC|49</v>
      </c>
      <c r="B4656" s="4" t="s">
        <v>101</v>
      </c>
      <c r="C4656" s="4" t="s">
        <v>470</v>
      </c>
      <c r="D4656" s="4" t="n">
        <v>47</v>
      </c>
      <c r="E4656" s="23" t="s">
        <v>197</v>
      </c>
      <c r="F4656" s="10" t="s">
        <v>471</v>
      </c>
    </row>
    <row r="4657" customFormat="false" ht="15" hidden="false" customHeight="false" outlineLevel="0" collapsed="false">
      <c r="A4657" s="4" t="str">
        <f aca="false">B4657&amp;"|"&amp;C4657</f>
        <v>tdbR00000120 Gly-CCC|50</v>
      </c>
      <c r="B4657" s="4" t="s">
        <v>101</v>
      </c>
      <c r="C4657" s="4" t="s">
        <v>472</v>
      </c>
      <c r="D4657" s="4" t="n">
        <v>48</v>
      </c>
      <c r="E4657" s="23" t="s">
        <v>246</v>
      </c>
      <c r="F4657" s="10" t="s">
        <v>471</v>
      </c>
    </row>
    <row r="4658" customFormat="false" ht="15" hidden="false" customHeight="false" outlineLevel="0" collapsed="false">
      <c r="A4658" s="4" t="str">
        <f aca="false">B4658&amp;"|"&amp;C4658</f>
        <v>tdbR00000120 Gly-CCC|51</v>
      </c>
      <c r="B4658" s="4" t="s">
        <v>101</v>
      </c>
      <c r="C4658" s="4" t="s">
        <v>473</v>
      </c>
      <c r="D4658" s="4" t="n">
        <v>49</v>
      </c>
      <c r="E4658" s="23" t="s">
        <v>197</v>
      </c>
      <c r="F4658" s="10" t="s">
        <v>471</v>
      </c>
    </row>
    <row r="4659" customFormat="false" ht="15" hidden="false" customHeight="false" outlineLevel="0" collapsed="false">
      <c r="A4659" s="4" t="str">
        <f aca="false">B4659&amp;"|"&amp;C4659</f>
        <v>tdbR00000120 Gly-CCC|52</v>
      </c>
      <c r="B4659" s="4" t="s">
        <v>101</v>
      </c>
      <c r="C4659" s="4" t="s">
        <v>474</v>
      </c>
      <c r="D4659" s="4" t="n">
        <v>50</v>
      </c>
      <c r="E4659" s="23" t="s">
        <v>197</v>
      </c>
      <c r="F4659" s="10" t="s">
        <v>471</v>
      </c>
    </row>
    <row r="4660" customFormat="false" ht="15" hidden="false" customHeight="false" outlineLevel="0" collapsed="false">
      <c r="A4660" s="4" t="str">
        <f aca="false">B4660&amp;"|"&amp;C4660</f>
        <v>tdbR00000120 Gly-CCC|53</v>
      </c>
      <c r="B4660" s="4" t="s">
        <v>101</v>
      </c>
      <c r="C4660" s="4" t="s">
        <v>475</v>
      </c>
      <c r="D4660" s="4" t="n">
        <v>51</v>
      </c>
      <c r="E4660" s="23" t="s">
        <v>197</v>
      </c>
      <c r="F4660" s="10" t="s">
        <v>471</v>
      </c>
    </row>
    <row r="4661" customFormat="false" ht="15" hidden="false" customHeight="false" outlineLevel="0" collapsed="false">
      <c r="A4661" s="4" t="str">
        <f aca="false">B4661&amp;"|"&amp;C4661</f>
        <v>tdbR00000120 Gly-CCC|54</v>
      </c>
      <c r="B4661" s="4" t="s">
        <v>101</v>
      </c>
      <c r="C4661" s="4" t="s">
        <v>476</v>
      </c>
      <c r="D4661" s="4" t="n">
        <v>52</v>
      </c>
      <c r="E4661" s="19" t="s">
        <v>259</v>
      </c>
      <c r="F4661" s="20" t="s">
        <v>477</v>
      </c>
    </row>
    <row r="4662" customFormat="false" ht="15" hidden="false" customHeight="false" outlineLevel="0" collapsed="false">
      <c r="A4662" s="4" t="str">
        <f aca="false">B4662&amp;"|"&amp;C4662</f>
        <v>tdbR00000120 Gly-CCC|55</v>
      </c>
      <c r="B4662" s="4" t="s">
        <v>101</v>
      </c>
      <c r="C4662" s="4" t="s">
        <v>478</v>
      </c>
      <c r="D4662" s="4" t="n">
        <v>53</v>
      </c>
      <c r="E4662" s="19" t="s">
        <v>259</v>
      </c>
      <c r="F4662" s="20" t="s">
        <v>477</v>
      </c>
    </row>
    <row r="4663" customFormat="false" ht="15" hidden="false" customHeight="false" outlineLevel="0" collapsed="false">
      <c r="A4663" s="4" t="str">
        <f aca="false">B4663&amp;"|"&amp;C4663</f>
        <v>tdbR00000120 Gly-CCC|56</v>
      </c>
      <c r="B4663" s="4" t="s">
        <v>101</v>
      </c>
      <c r="C4663" s="4" t="s">
        <v>479</v>
      </c>
      <c r="D4663" s="4" t="n">
        <v>54</v>
      </c>
      <c r="E4663" s="19" t="s">
        <v>414</v>
      </c>
      <c r="F4663" s="20" t="s">
        <v>477</v>
      </c>
    </row>
    <row r="4664" customFormat="false" ht="15" hidden="false" customHeight="false" outlineLevel="0" collapsed="false">
      <c r="A4664" s="4" t="str">
        <f aca="false">B4664&amp;"|"&amp;C4664</f>
        <v>tdbR00000120 Gly-CCC|57</v>
      </c>
      <c r="B4664" s="4" t="s">
        <v>101</v>
      </c>
      <c r="C4664" s="4" t="s">
        <v>480</v>
      </c>
      <c r="D4664" s="4" t="n">
        <v>55</v>
      </c>
      <c r="E4664" s="19" t="s">
        <v>197</v>
      </c>
      <c r="F4664" s="20" t="s">
        <v>477</v>
      </c>
    </row>
    <row r="4665" customFormat="false" ht="15" hidden="false" customHeight="false" outlineLevel="0" collapsed="false">
      <c r="A4665" s="4" t="str">
        <f aca="false">B4665&amp;"|"&amp;C4665</f>
        <v>tdbR00000120 Gly-CCC|58</v>
      </c>
      <c r="B4665" s="4" t="s">
        <v>101</v>
      </c>
      <c r="C4665" s="4" t="s">
        <v>481</v>
      </c>
      <c r="D4665" s="4" t="n">
        <v>56</v>
      </c>
      <c r="E4665" s="19" t="s">
        <v>246</v>
      </c>
      <c r="F4665" s="20" t="s">
        <v>477</v>
      </c>
    </row>
    <row r="4666" customFormat="false" ht="15" hidden="false" customHeight="false" outlineLevel="0" collapsed="false">
      <c r="A4666" s="4" t="str">
        <f aca="false">B4666&amp;"|"&amp;C4666</f>
        <v>tdbR00000120 Gly-CCC|59</v>
      </c>
      <c r="B4666" s="4" t="s">
        <v>101</v>
      </c>
      <c r="C4666" s="4" t="s">
        <v>482</v>
      </c>
      <c r="D4666" s="4" t="n">
        <v>57</v>
      </c>
      <c r="E4666" s="19" t="s">
        <v>259</v>
      </c>
      <c r="F4666" s="20" t="s">
        <v>477</v>
      </c>
    </row>
    <row r="4667" customFormat="false" ht="15" hidden="false" customHeight="false" outlineLevel="0" collapsed="false">
      <c r="A4667" s="4" t="str">
        <f aca="false">B4667&amp;"|"&amp;C4667</f>
        <v>tdbR00000120 Gly-CCC|60</v>
      </c>
      <c r="B4667" s="4" t="s">
        <v>101</v>
      </c>
      <c r="C4667" s="4" t="s">
        <v>483</v>
      </c>
      <c r="D4667" s="4" t="n">
        <v>58</v>
      </c>
      <c r="E4667" s="19" t="s">
        <v>259</v>
      </c>
      <c r="F4667" s="20" t="s">
        <v>477</v>
      </c>
    </row>
    <row r="4668" customFormat="false" ht="15" hidden="false" customHeight="false" outlineLevel="0" collapsed="false">
      <c r="A4668" s="4" t="str">
        <f aca="false">B4668&amp;"|"&amp;C4668</f>
        <v>tdbR00000120 Gly-CCC|61</v>
      </c>
      <c r="B4668" s="4" t="s">
        <v>101</v>
      </c>
      <c r="C4668" s="4" t="s">
        <v>484</v>
      </c>
      <c r="D4668" s="4" t="n">
        <v>59</v>
      </c>
      <c r="E4668" s="23" t="s">
        <v>414</v>
      </c>
      <c r="F4668" s="10" t="s">
        <v>471</v>
      </c>
    </row>
    <row r="4669" customFormat="false" ht="15" hidden="false" customHeight="false" outlineLevel="0" collapsed="false">
      <c r="A4669" s="4" t="str">
        <f aca="false">B4669&amp;"|"&amp;C4669</f>
        <v>tdbR00000120 Gly-CCC|62</v>
      </c>
      <c r="B4669" s="4" t="s">
        <v>101</v>
      </c>
      <c r="C4669" s="4" t="s">
        <v>485</v>
      </c>
      <c r="D4669" s="4" t="n">
        <v>60</v>
      </c>
      <c r="E4669" s="23" t="s">
        <v>414</v>
      </c>
      <c r="F4669" s="10" t="s">
        <v>471</v>
      </c>
    </row>
    <row r="4670" customFormat="false" ht="15" hidden="false" customHeight="false" outlineLevel="0" collapsed="false">
      <c r="A4670" s="4" t="str">
        <f aca="false">B4670&amp;"|"&amp;C4670</f>
        <v>tdbR00000120 Gly-CCC|63</v>
      </c>
      <c r="B4670" s="4" t="s">
        <v>101</v>
      </c>
      <c r="C4670" s="4" t="s">
        <v>486</v>
      </c>
      <c r="D4670" s="4" t="n">
        <v>61</v>
      </c>
      <c r="E4670" s="23" t="s">
        <v>414</v>
      </c>
      <c r="F4670" s="10" t="s">
        <v>471</v>
      </c>
    </row>
    <row r="4671" customFormat="false" ht="15" hidden="false" customHeight="false" outlineLevel="0" collapsed="false">
      <c r="A4671" s="4" t="str">
        <f aca="false">B4671&amp;"|"&amp;C4671</f>
        <v>tdbR00000120 Gly-CCC|64</v>
      </c>
      <c r="B4671" s="4" t="s">
        <v>101</v>
      </c>
      <c r="C4671" s="4" t="s">
        <v>487</v>
      </c>
      <c r="D4671" s="4" t="n">
        <v>62</v>
      </c>
      <c r="E4671" s="23" t="s">
        <v>259</v>
      </c>
      <c r="F4671" s="10" t="s">
        <v>471</v>
      </c>
    </row>
    <row r="4672" customFormat="false" ht="15" hidden="false" customHeight="false" outlineLevel="0" collapsed="false">
      <c r="A4672" s="4" t="str">
        <f aca="false">B4672&amp;"|"&amp;C4672</f>
        <v>tdbR00000120 Gly-CCC|65</v>
      </c>
      <c r="B4672" s="4" t="s">
        <v>101</v>
      </c>
      <c r="C4672" s="4" t="s">
        <v>488</v>
      </c>
      <c r="D4672" s="4" t="n">
        <v>63</v>
      </c>
      <c r="E4672" s="23" t="s">
        <v>259</v>
      </c>
      <c r="F4672" s="10" t="s">
        <v>471</v>
      </c>
    </row>
    <row r="4673" customFormat="false" ht="15" hidden="false" customHeight="false" outlineLevel="0" collapsed="false">
      <c r="A4673" s="4" t="str">
        <f aca="false">B4673&amp;"|"&amp;C4673</f>
        <v>tdbR00000120 Gly-CCC|66</v>
      </c>
      <c r="B4673" s="4" t="s">
        <v>101</v>
      </c>
      <c r="C4673" s="4" t="s">
        <v>489</v>
      </c>
      <c r="D4673" s="4" t="n">
        <v>64</v>
      </c>
      <c r="E4673" s="17" t="s">
        <v>414</v>
      </c>
      <c r="F4673" s="18" t="s">
        <v>412</v>
      </c>
    </row>
    <row r="4674" customFormat="false" ht="15" hidden="false" customHeight="false" outlineLevel="0" collapsed="false">
      <c r="A4674" s="4" t="str">
        <f aca="false">B4674&amp;"|"&amp;C4674</f>
        <v>tdbR00000120 Gly-CCC|67</v>
      </c>
      <c r="B4674" s="4" t="s">
        <v>101</v>
      </c>
      <c r="C4674" s="4" t="s">
        <v>490</v>
      </c>
      <c r="D4674" s="4" t="n">
        <v>65</v>
      </c>
      <c r="E4674" s="17" t="s">
        <v>197</v>
      </c>
      <c r="F4674" s="18" t="s">
        <v>412</v>
      </c>
    </row>
    <row r="4675" customFormat="false" ht="15" hidden="false" customHeight="false" outlineLevel="0" collapsed="false">
      <c r="A4675" s="4" t="str">
        <f aca="false">B4675&amp;"|"&amp;C4675</f>
        <v>tdbR00000120 Gly-CCC|68</v>
      </c>
      <c r="B4675" s="4" t="s">
        <v>101</v>
      </c>
      <c r="C4675" s="4" t="s">
        <v>491</v>
      </c>
      <c r="D4675" s="4" t="n">
        <v>66</v>
      </c>
      <c r="E4675" s="17" t="s">
        <v>414</v>
      </c>
      <c r="F4675" s="18" t="s">
        <v>412</v>
      </c>
    </row>
    <row r="4676" customFormat="false" ht="15" hidden="false" customHeight="false" outlineLevel="0" collapsed="false">
      <c r="A4676" s="4" t="str">
        <f aca="false">B4676&amp;"|"&amp;C4676</f>
        <v>tdbR00000120 Gly-CCC|69</v>
      </c>
      <c r="B4676" s="4" t="s">
        <v>101</v>
      </c>
      <c r="C4676" s="4" t="s">
        <v>492</v>
      </c>
      <c r="D4676" s="4" t="n">
        <v>67</v>
      </c>
      <c r="E4676" s="17" t="s">
        <v>414</v>
      </c>
      <c r="F4676" s="18" t="s">
        <v>412</v>
      </c>
    </row>
    <row r="4677" customFormat="false" ht="15" hidden="false" customHeight="false" outlineLevel="0" collapsed="false">
      <c r="A4677" s="4" t="str">
        <f aca="false">B4677&amp;"|"&amp;C4677</f>
        <v>tdbR00000120 Gly-CCC|70</v>
      </c>
      <c r="B4677" s="4" t="s">
        <v>101</v>
      </c>
      <c r="C4677" s="4" t="s">
        <v>493</v>
      </c>
      <c r="D4677" s="4" t="n">
        <v>68</v>
      </c>
      <c r="E4677" s="17" t="s">
        <v>414</v>
      </c>
      <c r="F4677" s="18" t="s">
        <v>412</v>
      </c>
    </row>
    <row r="4678" customFormat="false" ht="15" hidden="false" customHeight="false" outlineLevel="0" collapsed="false">
      <c r="A4678" s="4" t="str">
        <f aca="false">B4678&amp;"|"&amp;C4678</f>
        <v>tdbR00000120 Gly-CCC|71</v>
      </c>
      <c r="B4678" s="4" t="s">
        <v>101</v>
      </c>
      <c r="C4678" s="4" t="s">
        <v>494</v>
      </c>
      <c r="D4678" s="4" t="n">
        <v>69</v>
      </c>
      <c r="E4678" s="17" t="s">
        <v>197</v>
      </c>
      <c r="F4678" s="18" t="s">
        <v>412</v>
      </c>
    </row>
    <row r="4679" customFormat="false" ht="15" hidden="false" customHeight="false" outlineLevel="0" collapsed="false">
      <c r="A4679" s="4" t="str">
        <f aca="false">B4679&amp;"|"&amp;C4679</f>
        <v>tdbR00000120 Gly-CCC|72</v>
      </c>
      <c r="B4679" s="4" t="s">
        <v>101</v>
      </c>
      <c r="C4679" s="4" t="s">
        <v>495</v>
      </c>
      <c r="D4679" s="4" t="n">
        <v>70</v>
      </c>
      <c r="E4679" s="17" t="s">
        <v>414</v>
      </c>
      <c r="F4679" s="18" t="s">
        <v>412</v>
      </c>
    </row>
    <row r="4680" customFormat="false" ht="15" hidden="false" customHeight="false" outlineLevel="0" collapsed="false">
      <c r="A4680" s="4" t="str">
        <f aca="false">B4680&amp;"|"&amp;C4680</f>
        <v>tdbR00000121 Gly-UCC|1</v>
      </c>
      <c r="B4680" s="4" t="s">
        <v>102</v>
      </c>
      <c r="C4680" s="4" t="s">
        <v>411</v>
      </c>
      <c r="D4680" s="4" t="n">
        <v>1</v>
      </c>
      <c r="E4680" s="17" t="s">
        <v>197</v>
      </c>
      <c r="F4680" s="18" t="s">
        <v>412</v>
      </c>
    </row>
    <row r="4681" customFormat="false" ht="15" hidden="false" customHeight="false" outlineLevel="0" collapsed="false">
      <c r="A4681" s="4" t="str">
        <f aca="false">B4681&amp;"|"&amp;C4681</f>
        <v>tdbR00000121 Gly-UCC|2</v>
      </c>
      <c r="B4681" s="4" t="s">
        <v>102</v>
      </c>
      <c r="C4681" s="4" t="s">
        <v>413</v>
      </c>
      <c r="D4681" s="4" t="n">
        <v>2</v>
      </c>
      <c r="E4681" s="17" t="s">
        <v>414</v>
      </c>
      <c r="F4681" s="18" t="s">
        <v>412</v>
      </c>
    </row>
    <row r="4682" customFormat="false" ht="15" hidden="false" customHeight="false" outlineLevel="0" collapsed="false">
      <c r="A4682" s="4" t="str">
        <f aca="false">B4682&amp;"|"&amp;C4682</f>
        <v>tdbR00000121 Gly-UCC|3</v>
      </c>
      <c r="B4682" s="4" t="s">
        <v>102</v>
      </c>
      <c r="C4682" s="4" t="s">
        <v>415</v>
      </c>
      <c r="D4682" s="4" t="n">
        <v>3</v>
      </c>
      <c r="E4682" s="17" t="s">
        <v>197</v>
      </c>
      <c r="F4682" s="18" t="s">
        <v>412</v>
      </c>
    </row>
    <row r="4683" customFormat="false" ht="15" hidden="false" customHeight="false" outlineLevel="0" collapsed="false">
      <c r="A4683" s="4" t="str">
        <f aca="false">B4683&amp;"|"&amp;C4683</f>
        <v>tdbR00000121 Gly-UCC|4</v>
      </c>
      <c r="B4683" s="4" t="s">
        <v>102</v>
      </c>
      <c r="C4683" s="4" t="s">
        <v>416</v>
      </c>
      <c r="D4683" s="4" t="n">
        <v>4</v>
      </c>
      <c r="E4683" s="17" t="s">
        <v>197</v>
      </c>
      <c r="F4683" s="18" t="s">
        <v>412</v>
      </c>
    </row>
    <row r="4684" customFormat="false" ht="15" hidden="false" customHeight="false" outlineLevel="0" collapsed="false">
      <c r="A4684" s="4" t="str">
        <f aca="false">B4684&amp;"|"&amp;C4684</f>
        <v>tdbR00000121 Gly-UCC|5</v>
      </c>
      <c r="B4684" s="4" t="s">
        <v>102</v>
      </c>
      <c r="C4684" s="4" t="s">
        <v>417</v>
      </c>
      <c r="D4684" s="4" t="n">
        <v>5</v>
      </c>
      <c r="E4684" s="17" t="s">
        <v>197</v>
      </c>
      <c r="F4684" s="18" t="s">
        <v>412</v>
      </c>
    </row>
    <row r="4685" customFormat="false" ht="15" hidden="false" customHeight="false" outlineLevel="0" collapsed="false">
      <c r="A4685" s="4" t="str">
        <f aca="false">B4685&amp;"|"&amp;C4685</f>
        <v>tdbR00000121 Gly-UCC|6</v>
      </c>
      <c r="B4685" s="4" t="s">
        <v>102</v>
      </c>
      <c r="C4685" s="4" t="s">
        <v>418</v>
      </c>
      <c r="D4685" s="4" t="n">
        <v>6</v>
      </c>
      <c r="E4685" s="17" t="s">
        <v>414</v>
      </c>
      <c r="F4685" s="18" t="s">
        <v>412</v>
      </c>
    </row>
    <row r="4686" customFormat="false" ht="15" hidden="false" customHeight="false" outlineLevel="0" collapsed="false">
      <c r="A4686" s="4" t="str">
        <f aca="false">B4686&amp;"|"&amp;C4686</f>
        <v>tdbR00000121 Gly-UCC|7</v>
      </c>
      <c r="B4686" s="4" t="s">
        <v>102</v>
      </c>
      <c r="C4686" s="4" t="s">
        <v>419</v>
      </c>
      <c r="D4686" s="4" t="n">
        <v>7</v>
      </c>
      <c r="E4686" s="17" t="s">
        <v>246</v>
      </c>
      <c r="F4686" s="18" t="s">
        <v>412</v>
      </c>
    </row>
    <row r="4687" customFormat="false" ht="15" hidden="false" customHeight="false" outlineLevel="0" collapsed="false">
      <c r="A4687" s="4" t="str">
        <f aca="false">B4687&amp;"|"&amp;C4687</f>
        <v>tdbR00000121 Gly-UCC|8</v>
      </c>
      <c r="B4687" s="4" t="s">
        <v>102</v>
      </c>
      <c r="C4687" s="4" t="s">
        <v>420</v>
      </c>
      <c r="D4687" s="4" t="n">
        <v>8</v>
      </c>
      <c r="E4687" s="3" t="s">
        <v>259</v>
      </c>
      <c r="F4687" s="4" t="s">
        <v>421</v>
      </c>
    </row>
    <row r="4688" customFormat="false" ht="15" hidden="false" customHeight="false" outlineLevel="0" collapsed="false">
      <c r="A4688" s="4" t="str">
        <f aca="false">B4688&amp;"|"&amp;C4688</f>
        <v>tdbR00000121 Gly-UCC|9</v>
      </c>
      <c r="B4688" s="4" t="s">
        <v>102</v>
      </c>
      <c r="C4688" s="4" t="s">
        <v>422</v>
      </c>
      <c r="D4688" s="4" t="n">
        <v>9</v>
      </c>
      <c r="E4688" s="3" t="s">
        <v>414</v>
      </c>
      <c r="F4688" s="4" t="s">
        <v>423</v>
      </c>
    </row>
    <row r="4689" customFormat="false" ht="15" hidden="false" customHeight="false" outlineLevel="0" collapsed="false">
      <c r="A4689" s="4" t="str">
        <f aca="false">B4689&amp;"|"&amp;C4689</f>
        <v>tdbR00000121 Gly-UCC|10</v>
      </c>
      <c r="B4689" s="4" t="s">
        <v>102</v>
      </c>
      <c r="C4689" s="4" t="s">
        <v>424</v>
      </c>
      <c r="D4689" s="4" t="n">
        <v>10</v>
      </c>
      <c r="E4689" s="8" t="s">
        <v>197</v>
      </c>
      <c r="F4689" s="7" t="s">
        <v>425</v>
      </c>
    </row>
    <row r="4690" customFormat="false" ht="15" hidden="false" customHeight="false" outlineLevel="0" collapsed="false">
      <c r="A4690" s="4" t="str">
        <f aca="false">B4690&amp;"|"&amp;C4690</f>
        <v>tdbR00000121 Gly-UCC|11</v>
      </c>
      <c r="B4690" s="4" t="s">
        <v>102</v>
      </c>
      <c r="C4690" s="4" t="s">
        <v>426</v>
      </c>
      <c r="D4690" s="4" t="n">
        <v>11</v>
      </c>
      <c r="E4690" s="8" t="s">
        <v>259</v>
      </c>
      <c r="F4690" s="7" t="s">
        <v>425</v>
      </c>
    </row>
    <row r="4691" customFormat="false" ht="15" hidden="false" customHeight="false" outlineLevel="0" collapsed="false">
      <c r="A4691" s="4" t="str">
        <f aca="false">B4691&amp;"|"&amp;C4691</f>
        <v>tdbR00000121 Gly-UCC|12</v>
      </c>
      <c r="B4691" s="4" t="s">
        <v>102</v>
      </c>
      <c r="C4691" s="4" t="s">
        <v>427</v>
      </c>
      <c r="D4691" s="4" t="n">
        <v>12</v>
      </c>
      <c r="E4691" s="8" t="s">
        <v>246</v>
      </c>
      <c r="F4691" s="7" t="s">
        <v>425</v>
      </c>
    </row>
    <row r="4692" customFormat="false" ht="15" hidden="false" customHeight="false" outlineLevel="0" collapsed="false">
      <c r="A4692" s="4" t="str">
        <f aca="false">B4692&amp;"|"&amp;C4692</f>
        <v>tdbR00000121 Gly-UCC|13</v>
      </c>
      <c r="B4692" s="4" t="s">
        <v>102</v>
      </c>
      <c r="C4692" s="4" t="s">
        <v>428</v>
      </c>
      <c r="D4692" s="4" t="n">
        <v>13</v>
      </c>
      <c r="E4692" s="8" t="s">
        <v>259</v>
      </c>
      <c r="F4692" s="7" t="s">
        <v>425</v>
      </c>
    </row>
    <row r="4693" customFormat="false" ht="15" hidden="false" customHeight="false" outlineLevel="0" collapsed="false">
      <c r="A4693" s="4" t="str">
        <f aca="false">B4693&amp;"|"&amp;C4693</f>
        <v>tdbR00000121 Gly-UCC|14</v>
      </c>
      <c r="B4693" s="4" t="s">
        <v>102</v>
      </c>
      <c r="C4693" s="4" t="s">
        <v>429</v>
      </c>
      <c r="D4693" s="4" t="n">
        <v>14</v>
      </c>
      <c r="E4693" s="19" t="s">
        <v>246</v>
      </c>
      <c r="F4693" s="20" t="s">
        <v>430</v>
      </c>
    </row>
    <row r="4694" customFormat="false" ht="15" hidden="false" customHeight="false" outlineLevel="0" collapsed="false">
      <c r="A4694" s="4" t="str">
        <f aca="false">B4694&amp;"|"&amp;C4694</f>
        <v>tdbR00000121 Gly-UCC|15</v>
      </c>
      <c r="B4694" s="4" t="s">
        <v>102</v>
      </c>
      <c r="C4694" s="4" t="s">
        <v>431</v>
      </c>
      <c r="D4694" s="4" t="n">
        <v>15</v>
      </c>
      <c r="E4694" s="19" t="s">
        <v>246</v>
      </c>
      <c r="F4694" s="20" t="s">
        <v>430</v>
      </c>
    </row>
    <row r="4695" customFormat="false" ht="15" hidden="false" customHeight="false" outlineLevel="0" collapsed="false">
      <c r="A4695" s="4" t="str">
        <f aca="false">B4695&amp;"|"&amp;C4695</f>
        <v>tdbR00000121 Gly-UCC|16</v>
      </c>
      <c r="B4695" s="4" t="s">
        <v>102</v>
      </c>
      <c r="C4695" s="4" t="s">
        <v>432</v>
      </c>
      <c r="D4695" s="4" t="n">
        <v>16</v>
      </c>
      <c r="E4695" s="19" t="s">
        <v>259</v>
      </c>
      <c r="F4695" s="20" t="s">
        <v>430</v>
      </c>
    </row>
    <row r="4696" customFormat="false" ht="15" hidden="false" customHeight="false" outlineLevel="0" collapsed="false">
      <c r="A4696" s="4" t="str">
        <f aca="false">B4696&amp;"|"&amp;C4696</f>
        <v>tdbR00000121 Gly-UCC|18</v>
      </c>
      <c r="B4696" s="4" t="s">
        <v>102</v>
      </c>
      <c r="C4696" s="4" t="s">
        <v>434</v>
      </c>
      <c r="D4696" s="4" t="n">
        <v>17</v>
      </c>
      <c r="E4696" s="19" t="s">
        <v>197</v>
      </c>
      <c r="F4696" s="20" t="s">
        <v>430</v>
      </c>
    </row>
    <row r="4697" customFormat="false" ht="15" hidden="false" customHeight="false" outlineLevel="0" collapsed="false">
      <c r="A4697" s="4" t="str">
        <f aca="false">B4697&amp;"|"&amp;C4697</f>
        <v>tdbR00000121 Gly-UCC|19</v>
      </c>
      <c r="B4697" s="4" t="s">
        <v>102</v>
      </c>
      <c r="C4697" s="4" t="s">
        <v>435</v>
      </c>
      <c r="D4697" s="4" t="n">
        <v>18</v>
      </c>
      <c r="E4697" s="19" t="s">
        <v>197</v>
      </c>
      <c r="F4697" s="20" t="s">
        <v>430</v>
      </c>
    </row>
    <row r="4698" customFormat="false" ht="15" hidden="false" customHeight="false" outlineLevel="0" collapsed="false">
      <c r="A4698" s="4" t="str">
        <f aca="false">B4698&amp;"|"&amp;C4698</f>
        <v>tdbR00000121 Gly-UCC|20</v>
      </c>
      <c r="B4698" s="4" t="s">
        <v>102</v>
      </c>
      <c r="C4698" s="4" t="s">
        <v>436</v>
      </c>
      <c r="D4698" s="4" t="n">
        <v>19</v>
      </c>
      <c r="E4698" s="19" t="s">
        <v>414</v>
      </c>
      <c r="F4698" s="20" t="s">
        <v>430</v>
      </c>
    </row>
    <row r="4699" customFormat="false" ht="15" hidden="false" customHeight="false" outlineLevel="0" collapsed="false">
      <c r="A4699" s="4" t="str">
        <f aca="false">B4699&amp;"|"&amp;C4699</f>
        <v>tdbR00000121 Gly-UCC|20a</v>
      </c>
      <c r="B4699" s="4" t="s">
        <v>102</v>
      </c>
      <c r="C4699" s="4" t="s">
        <v>437</v>
      </c>
      <c r="D4699" s="4" t="n">
        <v>20</v>
      </c>
      <c r="E4699" s="19" t="s">
        <v>259</v>
      </c>
      <c r="F4699" s="20" t="s">
        <v>430</v>
      </c>
    </row>
    <row r="4700" customFormat="false" ht="15" hidden="false" customHeight="false" outlineLevel="0" collapsed="false">
      <c r="A4700" s="4" t="str">
        <f aca="false">B4700&amp;"|"&amp;C4700</f>
        <v>tdbR00000121 Gly-UCC|21</v>
      </c>
      <c r="B4700" s="4" t="s">
        <v>102</v>
      </c>
      <c r="C4700" s="4" t="s">
        <v>438</v>
      </c>
      <c r="D4700" s="4" t="n">
        <v>21</v>
      </c>
      <c r="E4700" s="19" t="s">
        <v>246</v>
      </c>
      <c r="F4700" s="20" t="s">
        <v>430</v>
      </c>
    </row>
    <row r="4701" customFormat="false" ht="15" hidden="false" customHeight="false" outlineLevel="0" collapsed="false">
      <c r="A4701" s="4" t="str">
        <f aca="false">B4701&amp;"|"&amp;C4701</f>
        <v>tdbR00000121 Gly-UCC|22</v>
      </c>
      <c r="B4701" s="4" t="s">
        <v>102</v>
      </c>
      <c r="C4701" s="4" t="s">
        <v>439</v>
      </c>
      <c r="D4701" s="4" t="n">
        <v>22</v>
      </c>
      <c r="E4701" s="8" t="s">
        <v>259</v>
      </c>
      <c r="F4701" s="7" t="s">
        <v>425</v>
      </c>
    </row>
    <row r="4702" customFormat="false" ht="15" hidden="false" customHeight="false" outlineLevel="0" collapsed="false">
      <c r="A4702" s="4" t="str">
        <f aca="false">B4702&amp;"|"&amp;C4702</f>
        <v>tdbR00000121 Gly-UCC|23</v>
      </c>
      <c r="B4702" s="4" t="s">
        <v>102</v>
      </c>
      <c r="C4702" s="4" t="s">
        <v>440</v>
      </c>
      <c r="D4702" s="4" t="n">
        <v>23</v>
      </c>
      <c r="E4702" s="8" t="s">
        <v>259</v>
      </c>
      <c r="F4702" s="7" t="s">
        <v>425</v>
      </c>
    </row>
    <row r="4703" customFormat="false" ht="15" hidden="false" customHeight="false" outlineLevel="0" collapsed="false">
      <c r="A4703" s="4" t="str">
        <f aca="false">B4703&amp;"|"&amp;C4703</f>
        <v>tdbR00000121 Gly-UCC|24</v>
      </c>
      <c r="B4703" s="4" t="s">
        <v>102</v>
      </c>
      <c r="C4703" s="4" t="s">
        <v>441</v>
      </c>
      <c r="D4703" s="4" t="n">
        <v>24</v>
      </c>
      <c r="E4703" s="8" t="s">
        <v>246</v>
      </c>
      <c r="F4703" s="7" t="s">
        <v>425</v>
      </c>
    </row>
    <row r="4704" customFormat="false" ht="15" hidden="false" customHeight="false" outlineLevel="0" collapsed="false">
      <c r="A4704" s="4" t="str">
        <f aca="false">B4704&amp;"|"&amp;C4704</f>
        <v>tdbR00000121 Gly-UCC|25</v>
      </c>
      <c r="B4704" s="4" t="s">
        <v>102</v>
      </c>
      <c r="C4704" s="4" t="s">
        <v>442</v>
      </c>
      <c r="D4704" s="4" t="n">
        <v>25</v>
      </c>
      <c r="E4704" s="8" t="s">
        <v>414</v>
      </c>
      <c r="F4704" s="7" t="s">
        <v>425</v>
      </c>
    </row>
    <row r="4705" customFormat="false" ht="15" hidden="false" customHeight="false" outlineLevel="0" collapsed="false">
      <c r="A4705" s="4" t="str">
        <f aca="false">B4705&amp;"|"&amp;C4705</f>
        <v>tdbR00000121 Gly-UCC|26</v>
      </c>
      <c r="B4705" s="4" t="s">
        <v>102</v>
      </c>
      <c r="C4705" s="4" t="s">
        <v>443</v>
      </c>
      <c r="D4705" s="4" t="n">
        <v>26</v>
      </c>
      <c r="E4705" s="3" t="s">
        <v>414</v>
      </c>
      <c r="F4705" s="4" t="s">
        <v>444</v>
      </c>
    </row>
    <row r="4706" customFormat="false" ht="15" hidden="false" customHeight="false" outlineLevel="0" collapsed="false">
      <c r="A4706" s="4" t="str">
        <f aca="false">B4706&amp;"|"&amp;C4706</f>
        <v>tdbR00000121 Gly-UCC|27</v>
      </c>
      <c r="B4706" s="4" t="s">
        <v>102</v>
      </c>
      <c r="C4706" s="4" t="s">
        <v>445</v>
      </c>
      <c r="D4706" s="4" t="n">
        <v>27</v>
      </c>
      <c r="E4706" s="21" t="s">
        <v>259</v>
      </c>
      <c r="F4706" s="22" t="s">
        <v>446</v>
      </c>
    </row>
    <row r="4707" customFormat="false" ht="15" hidden="false" customHeight="false" outlineLevel="0" collapsed="false">
      <c r="A4707" s="4" t="str">
        <f aca="false">B4707&amp;"|"&amp;C4707</f>
        <v>tdbR00000121 Gly-UCC|28</v>
      </c>
      <c r="B4707" s="4" t="s">
        <v>102</v>
      </c>
      <c r="C4707" s="4" t="s">
        <v>447</v>
      </c>
      <c r="D4707" s="4" t="n">
        <v>28</v>
      </c>
      <c r="E4707" s="21" t="s">
        <v>414</v>
      </c>
      <c r="F4707" s="22" t="s">
        <v>446</v>
      </c>
    </row>
    <row r="4708" customFormat="false" ht="15" hidden="false" customHeight="false" outlineLevel="0" collapsed="false">
      <c r="A4708" s="4" t="str">
        <f aca="false">B4708&amp;"|"&amp;C4708</f>
        <v>tdbR00000121 Gly-UCC|29</v>
      </c>
      <c r="B4708" s="4" t="s">
        <v>102</v>
      </c>
      <c r="C4708" s="4" t="s">
        <v>448</v>
      </c>
      <c r="D4708" s="4" t="n">
        <v>29</v>
      </c>
      <c r="E4708" s="21" t="s">
        <v>246</v>
      </c>
      <c r="F4708" s="22" t="s">
        <v>446</v>
      </c>
    </row>
    <row r="4709" customFormat="false" ht="15" hidden="false" customHeight="false" outlineLevel="0" collapsed="false">
      <c r="A4709" s="4" t="str">
        <f aca="false">B4709&amp;"|"&amp;C4709</f>
        <v>tdbR00000121 Gly-UCC|30</v>
      </c>
      <c r="B4709" s="4" t="s">
        <v>102</v>
      </c>
      <c r="C4709" s="4" t="s">
        <v>449</v>
      </c>
      <c r="D4709" s="4" t="n">
        <v>30</v>
      </c>
      <c r="E4709" s="21" t="s">
        <v>197</v>
      </c>
      <c r="F4709" s="22" t="s">
        <v>446</v>
      </c>
    </row>
    <row r="4710" customFormat="false" ht="15" hidden="false" customHeight="false" outlineLevel="0" collapsed="false">
      <c r="A4710" s="4" t="str">
        <f aca="false">B4710&amp;"|"&amp;C4710</f>
        <v>tdbR00000121 Gly-UCC|31</v>
      </c>
      <c r="B4710" s="4" t="s">
        <v>102</v>
      </c>
      <c r="C4710" s="4" t="s">
        <v>450</v>
      </c>
      <c r="D4710" s="4" t="n">
        <v>31</v>
      </c>
      <c r="E4710" s="21" t="s">
        <v>414</v>
      </c>
      <c r="F4710" s="22" t="s">
        <v>446</v>
      </c>
    </row>
    <row r="4711" customFormat="false" ht="15" hidden="false" customHeight="false" outlineLevel="0" collapsed="false">
      <c r="A4711" s="4" t="str">
        <f aca="false">B4711&amp;"|"&amp;C4711</f>
        <v>tdbR00000121 Gly-UCC|32</v>
      </c>
      <c r="B4711" s="4" t="s">
        <v>102</v>
      </c>
      <c r="C4711" s="4" t="s">
        <v>451</v>
      </c>
      <c r="D4711" s="4" t="n">
        <v>32</v>
      </c>
      <c r="E4711" s="19" t="s">
        <v>414</v>
      </c>
      <c r="F4711" s="20" t="s">
        <v>452</v>
      </c>
    </row>
    <row r="4712" customFormat="false" ht="15" hidden="false" customHeight="false" outlineLevel="0" collapsed="false">
      <c r="A4712" s="4" t="str">
        <f aca="false">B4712&amp;"|"&amp;C4712</f>
        <v>tdbR00000121 Gly-UCC|33</v>
      </c>
      <c r="B4712" s="4" t="s">
        <v>102</v>
      </c>
      <c r="C4712" s="4" t="s">
        <v>453</v>
      </c>
      <c r="D4712" s="4" t="n">
        <v>33</v>
      </c>
      <c r="E4712" s="19" t="s">
        <v>259</v>
      </c>
      <c r="F4712" s="20" t="s">
        <v>452</v>
      </c>
    </row>
    <row r="4713" customFormat="false" ht="15" hidden="false" customHeight="false" outlineLevel="0" collapsed="false">
      <c r="A4713" s="4" t="str">
        <f aca="false">B4713&amp;"|"&amp;C4713</f>
        <v>tdbR00000121 Gly-UCC|34</v>
      </c>
      <c r="B4713" s="4" t="s">
        <v>102</v>
      </c>
      <c r="C4713" s="4" t="s">
        <v>454</v>
      </c>
      <c r="D4713" s="4" t="n">
        <v>34</v>
      </c>
      <c r="E4713" s="19" t="s">
        <v>259</v>
      </c>
      <c r="F4713" s="20" t="s">
        <v>452</v>
      </c>
    </row>
    <row r="4714" customFormat="false" ht="15" hidden="false" customHeight="false" outlineLevel="0" collapsed="false">
      <c r="A4714" s="4" t="str">
        <f aca="false">B4714&amp;"|"&amp;C4714</f>
        <v>tdbR00000121 Gly-UCC|35</v>
      </c>
      <c r="B4714" s="4" t="s">
        <v>102</v>
      </c>
      <c r="C4714" s="4" t="s">
        <v>455</v>
      </c>
      <c r="D4714" s="4" t="n">
        <v>35</v>
      </c>
      <c r="E4714" s="19" t="s">
        <v>414</v>
      </c>
      <c r="F4714" s="20" t="s">
        <v>452</v>
      </c>
    </row>
    <row r="4715" customFormat="false" ht="15" hidden="false" customHeight="false" outlineLevel="0" collapsed="false">
      <c r="A4715" s="4" t="str">
        <f aca="false">B4715&amp;"|"&amp;C4715</f>
        <v>tdbR00000121 Gly-UCC|36</v>
      </c>
      <c r="B4715" s="4" t="s">
        <v>102</v>
      </c>
      <c r="C4715" s="4" t="s">
        <v>456</v>
      </c>
      <c r="D4715" s="4" t="n">
        <v>36</v>
      </c>
      <c r="E4715" s="19" t="s">
        <v>414</v>
      </c>
      <c r="F4715" s="20" t="s">
        <v>452</v>
      </c>
    </row>
    <row r="4716" customFormat="false" ht="15" hidden="false" customHeight="false" outlineLevel="0" collapsed="false">
      <c r="A4716" s="4" t="str">
        <f aca="false">B4716&amp;"|"&amp;C4716</f>
        <v>tdbR00000121 Gly-UCC|37</v>
      </c>
      <c r="B4716" s="4" t="s">
        <v>102</v>
      </c>
      <c r="C4716" s="4" t="s">
        <v>457</v>
      </c>
      <c r="D4716" s="4" t="n">
        <v>37</v>
      </c>
      <c r="E4716" s="19" t="s">
        <v>246</v>
      </c>
      <c r="F4716" s="20" t="s">
        <v>452</v>
      </c>
    </row>
    <row r="4717" customFormat="false" ht="15" hidden="false" customHeight="false" outlineLevel="0" collapsed="false">
      <c r="A4717" s="4" t="str">
        <f aca="false">B4717&amp;"|"&amp;C4717</f>
        <v>tdbR00000121 Gly-UCC|38</v>
      </c>
      <c r="B4717" s="4" t="s">
        <v>102</v>
      </c>
      <c r="C4717" s="4" t="s">
        <v>458</v>
      </c>
      <c r="D4717" s="4" t="n">
        <v>38</v>
      </c>
      <c r="E4717" s="19" t="s">
        <v>246</v>
      </c>
      <c r="F4717" s="20" t="s">
        <v>452</v>
      </c>
    </row>
    <row r="4718" customFormat="false" ht="15" hidden="false" customHeight="false" outlineLevel="0" collapsed="false">
      <c r="A4718" s="4" t="str">
        <f aca="false">B4718&amp;"|"&amp;C4718</f>
        <v>tdbR00000121 Gly-UCC|39</v>
      </c>
      <c r="B4718" s="4" t="s">
        <v>102</v>
      </c>
      <c r="C4718" s="4" t="s">
        <v>459</v>
      </c>
      <c r="D4718" s="4" t="n">
        <v>39</v>
      </c>
      <c r="E4718" s="21" t="s">
        <v>197</v>
      </c>
      <c r="F4718" s="22" t="s">
        <v>446</v>
      </c>
    </row>
    <row r="4719" customFormat="false" ht="15" hidden="false" customHeight="false" outlineLevel="0" collapsed="false">
      <c r="A4719" s="4" t="str">
        <f aca="false">B4719&amp;"|"&amp;C4719</f>
        <v>tdbR00000121 Gly-UCC|40</v>
      </c>
      <c r="B4719" s="4" t="s">
        <v>102</v>
      </c>
      <c r="C4719" s="4" t="s">
        <v>460</v>
      </c>
      <c r="D4719" s="4" t="n">
        <v>40</v>
      </c>
      <c r="E4719" s="21" t="s">
        <v>414</v>
      </c>
      <c r="F4719" s="22" t="s">
        <v>446</v>
      </c>
    </row>
    <row r="4720" customFormat="false" ht="15" hidden="false" customHeight="false" outlineLevel="0" collapsed="false">
      <c r="A4720" s="4" t="str">
        <f aca="false">B4720&amp;"|"&amp;C4720</f>
        <v>tdbR00000121 Gly-UCC|41</v>
      </c>
      <c r="B4720" s="4" t="s">
        <v>102</v>
      </c>
      <c r="C4720" s="4" t="s">
        <v>461</v>
      </c>
      <c r="D4720" s="4" t="n">
        <v>41</v>
      </c>
      <c r="E4720" s="21" t="s">
        <v>259</v>
      </c>
      <c r="F4720" s="22" t="s">
        <v>446</v>
      </c>
    </row>
    <row r="4721" customFormat="false" ht="15" hidden="false" customHeight="false" outlineLevel="0" collapsed="false">
      <c r="A4721" s="4" t="str">
        <f aca="false">B4721&amp;"|"&amp;C4721</f>
        <v>tdbR00000121 Gly-UCC|42</v>
      </c>
      <c r="B4721" s="4" t="s">
        <v>102</v>
      </c>
      <c r="C4721" s="4" t="s">
        <v>462</v>
      </c>
      <c r="D4721" s="4" t="n">
        <v>42</v>
      </c>
      <c r="E4721" s="21" t="s">
        <v>197</v>
      </c>
      <c r="F4721" s="22" t="s">
        <v>446</v>
      </c>
    </row>
    <row r="4722" customFormat="false" ht="15" hidden="false" customHeight="false" outlineLevel="0" collapsed="false">
      <c r="A4722" s="4" t="str">
        <f aca="false">B4722&amp;"|"&amp;C4722</f>
        <v>tdbR00000121 Gly-UCC|43</v>
      </c>
      <c r="B4722" s="4" t="s">
        <v>102</v>
      </c>
      <c r="C4722" s="4" t="s">
        <v>463</v>
      </c>
      <c r="D4722" s="4" t="n">
        <v>43</v>
      </c>
      <c r="E4722" s="21" t="s">
        <v>246</v>
      </c>
      <c r="F4722" s="22" t="s">
        <v>446</v>
      </c>
    </row>
    <row r="4723" customFormat="false" ht="15" hidden="false" customHeight="false" outlineLevel="0" collapsed="false">
      <c r="A4723" s="4" t="str">
        <f aca="false">B4723&amp;"|"&amp;C4723</f>
        <v>tdbR00000121 Gly-UCC|44</v>
      </c>
      <c r="B4723" s="4" t="s">
        <v>102</v>
      </c>
      <c r="C4723" s="4" t="s">
        <v>464</v>
      </c>
      <c r="D4723" s="4" t="n">
        <v>44</v>
      </c>
      <c r="E4723" s="19" t="s">
        <v>259</v>
      </c>
      <c r="F4723" s="20" t="s">
        <v>465</v>
      </c>
    </row>
    <row r="4724" customFormat="false" ht="15" hidden="false" customHeight="false" outlineLevel="0" collapsed="false">
      <c r="A4724" s="4" t="str">
        <f aca="false">B4724&amp;"|"&amp;C4724</f>
        <v>tdbR00000121 Gly-UCC|45</v>
      </c>
      <c r="B4724" s="4" t="s">
        <v>102</v>
      </c>
      <c r="C4724" s="4" t="s">
        <v>466</v>
      </c>
      <c r="D4724" s="4" t="n">
        <v>45</v>
      </c>
      <c r="E4724" s="19" t="s">
        <v>197</v>
      </c>
      <c r="F4724" s="20" t="s">
        <v>465</v>
      </c>
    </row>
    <row r="4725" customFormat="false" ht="15" hidden="false" customHeight="false" outlineLevel="0" collapsed="false">
      <c r="A4725" s="4" t="str">
        <f aca="false">B4725&amp;"|"&amp;C4725</f>
        <v>tdbR00000121 Gly-UCC|46</v>
      </c>
      <c r="B4725" s="4" t="s">
        <v>102</v>
      </c>
      <c r="C4725" s="4" t="s">
        <v>467</v>
      </c>
      <c r="D4725" s="4" t="n">
        <v>46</v>
      </c>
      <c r="E4725" s="19" t="s">
        <v>246</v>
      </c>
      <c r="F4725" s="20" t="s">
        <v>465</v>
      </c>
    </row>
    <row r="4726" customFormat="false" ht="15" hidden="false" customHeight="false" outlineLevel="0" collapsed="false">
      <c r="A4726" s="4" t="str">
        <f aca="false">B4726&amp;"|"&amp;C4726</f>
        <v>tdbR00000121 Gly-UCC|48</v>
      </c>
      <c r="B4726" s="4" t="s">
        <v>102</v>
      </c>
      <c r="C4726" s="4" t="s">
        <v>469</v>
      </c>
      <c r="D4726" s="4" t="n">
        <v>47</v>
      </c>
      <c r="E4726" s="19" t="s">
        <v>259</v>
      </c>
      <c r="F4726" s="20" t="s">
        <v>465</v>
      </c>
    </row>
    <row r="4727" customFormat="false" ht="15" hidden="false" customHeight="false" outlineLevel="0" collapsed="false">
      <c r="A4727" s="4" t="str">
        <f aca="false">B4727&amp;"|"&amp;C4727</f>
        <v>tdbR00000121 Gly-UCC|49</v>
      </c>
      <c r="B4727" s="4" t="s">
        <v>102</v>
      </c>
      <c r="C4727" s="4" t="s">
        <v>470</v>
      </c>
      <c r="D4727" s="4" t="n">
        <v>48</v>
      </c>
      <c r="E4727" s="23" t="s">
        <v>197</v>
      </c>
      <c r="F4727" s="10" t="s">
        <v>471</v>
      </c>
    </row>
    <row r="4728" customFormat="false" ht="15" hidden="false" customHeight="false" outlineLevel="0" collapsed="false">
      <c r="A4728" s="4" t="str">
        <f aca="false">B4728&amp;"|"&amp;C4728</f>
        <v>tdbR00000121 Gly-UCC|50</v>
      </c>
      <c r="B4728" s="4" t="s">
        <v>102</v>
      </c>
      <c r="C4728" s="4" t="s">
        <v>472</v>
      </c>
      <c r="D4728" s="4" t="n">
        <v>49</v>
      </c>
      <c r="E4728" s="23" t="s">
        <v>414</v>
      </c>
      <c r="F4728" s="10" t="s">
        <v>471</v>
      </c>
    </row>
    <row r="4729" customFormat="false" ht="15" hidden="false" customHeight="false" outlineLevel="0" collapsed="false">
      <c r="A4729" s="4" t="str">
        <f aca="false">B4729&amp;"|"&amp;C4729</f>
        <v>tdbR00000121 Gly-UCC|51</v>
      </c>
      <c r="B4729" s="4" t="s">
        <v>102</v>
      </c>
      <c r="C4729" s="4" t="s">
        <v>473</v>
      </c>
      <c r="D4729" s="4" t="n">
        <v>50</v>
      </c>
      <c r="E4729" s="23" t="s">
        <v>197</v>
      </c>
      <c r="F4729" s="10" t="s">
        <v>471</v>
      </c>
    </row>
    <row r="4730" customFormat="false" ht="15" hidden="false" customHeight="false" outlineLevel="0" collapsed="false">
      <c r="A4730" s="4" t="str">
        <f aca="false">B4730&amp;"|"&amp;C4730</f>
        <v>tdbR00000121 Gly-UCC|52</v>
      </c>
      <c r="B4730" s="4" t="s">
        <v>102</v>
      </c>
      <c r="C4730" s="4" t="s">
        <v>474</v>
      </c>
      <c r="D4730" s="4" t="n">
        <v>51</v>
      </c>
      <c r="E4730" s="23" t="s">
        <v>197</v>
      </c>
      <c r="F4730" s="10" t="s">
        <v>471</v>
      </c>
    </row>
    <row r="4731" customFormat="false" ht="15" hidden="false" customHeight="false" outlineLevel="0" collapsed="false">
      <c r="A4731" s="4" t="str">
        <f aca="false">B4731&amp;"|"&amp;C4731</f>
        <v>tdbR00000121 Gly-UCC|53</v>
      </c>
      <c r="B4731" s="4" t="s">
        <v>102</v>
      </c>
      <c r="C4731" s="4" t="s">
        <v>475</v>
      </c>
      <c r="D4731" s="4" t="n">
        <v>52</v>
      </c>
      <c r="E4731" s="23" t="s">
        <v>197</v>
      </c>
      <c r="F4731" s="10" t="s">
        <v>471</v>
      </c>
    </row>
    <row r="4732" customFormat="false" ht="15" hidden="false" customHeight="false" outlineLevel="0" collapsed="false">
      <c r="A4732" s="4" t="str">
        <f aca="false">B4732&amp;"|"&amp;C4732</f>
        <v>tdbR00000121 Gly-UCC|54</v>
      </c>
      <c r="B4732" s="4" t="s">
        <v>102</v>
      </c>
      <c r="C4732" s="4" t="s">
        <v>476</v>
      </c>
      <c r="D4732" s="4" t="n">
        <v>53</v>
      </c>
      <c r="E4732" s="19" t="s">
        <v>259</v>
      </c>
      <c r="F4732" s="20" t="s">
        <v>477</v>
      </c>
    </row>
    <row r="4733" customFormat="false" ht="15" hidden="false" customHeight="false" outlineLevel="0" collapsed="false">
      <c r="A4733" s="4" t="str">
        <f aca="false">B4733&amp;"|"&amp;C4733</f>
        <v>tdbR00000121 Gly-UCC|55</v>
      </c>
      <c r="B4733" s="4" t="s">
        <v>102</v>
      </c>
      <c r="C4733" s="4" t="s">
        <v>478</v>
      </c>
      <c r="D4733" s="4" t="n">
        <v>54</v>
      </c>
      <c r="E4733" s="19" t="s">
        <v>259</v>
      </c>
      <c r="F4733" s="20" t="s">
        <v>477</v>
      </c>
    </row>
    <row r="4734" customFormat="false" ht="15" hidden="false" customHeight="false" outlineLevel="0" collapsed="false">
      <c r="A4734" s="4" t="str">
        <f aca="false">B4734&amp;"|"&amp;C4734</f>
        <v>tdbR00000121 Gly-UCC|56</v>
      </c>
      <c r="B4734" s="4" t="s">
        <v>102</v>
      </c>
      <c r="C4734" s="4" t="s">
        <v>479</v>
      </c>
      <c r="D4734" s="4" t="n">
        <v>55</v>
      </c>
      <c r="E4734" s="19" t="s">
        <v>414</v>
      </c>
      <c r="F4734" s="20" t="s">
        <v>477</v>
      </c>
    </row>
    <row r="4735" customFormat="false" ht="15" hidden="false" customHeight="false" outlineLevel="0" collapsed="false">
      <c r="A4735" s="4" t="str">
        <f aca="false">B4735&amp;"|"&amp;C4735</f>
        <v>tdbR00000121 Gly-UCC|57</v>
      </c>
      <c r="B4735" s="4" t="s">
        <v>102</v>
      </c>
      <c r="C4735" s="4" t="s">
        <v>480</v>
      </c>
      <c r="D4735" s="4" t="n">
        <v>56</v>
      </c>
      <c r="E4735" s="19" t="s">
        <v>197</v>
      </c>
      <c r="F4735" s="20" t="s">
        <v>477</v>
      </c>
    </row>
    <row r="4736" customFormat="false" ht="15" hidden="false" customHeight="false" outlineLevel="0" collapsed="false">
      <c r="A4736" s="4" t="str">
        <f aca="false">B4736&amp;"|"&amp;C4736</f>
        <v>tdbR00000121 Gly-UCC|58</v>
      </c>
      <c r="B4736" s="4" t="s">
        <v>102</v>
      </c>
      <c r="C4736" s="4" t="s">
        <v>481</v>
      </c>
      <c r="D4736" s="4" t="n">
        <v>57</v>
      </c>
      <c r="E4736" s="19" t="s">
        <v>246</v>
      </c>
      <c r="F4736" s="20" t="s">
        <v>477</v>
      </c>
    </row>
    <row r="4737" customFormat="false" ht="15" hidden="false" customHeight="false" outlineLevel="0" collapsed="false">
      <c r="A4737" s="4" t="str">
        <f aca="false">B4737&amp;"|"&amp;C4737</f>
        <v>tdbR00000121 Gly-UCC|59</v>
      </c>
      <c r="B4737" s="4" t="s">
        <v>102</v>
      </c>
      <c r="C4737" s="4" t="s">
        <v>482</v>
      </c>
      <c r="D4737" s="4" t="n">
        <v>58</v>
      </c>
      <c r="E4737" s="19" t="s">
        <v>259</v>
      </c>
      <c r="F4737" s="20" t="s">
        <v>477</v>
      </c>
    </row>
    <row r="4738" customFormat="false" ht="15" hidden="false" customHeight="false" outlineLevel="0" collapsed="false">
      <c r="A4738" s="4" t="str">
        <f aca="false">B4738&amp;"|"&amp;C4738</f>
        <v>tdbR00000121 Gly-UCC|60</v>
      </c>
      <c r="B4738" s="4" t="s">
        <v>102</v>
      </c>
      <c r="C4738" s="4" t="s">
        <v>483</v>
      </c>
      <c r="D4738" s="4" t="n">
        <v>59</v>
      </c>
      <c r="E4738" s="19" t="s">
        <v>259</v>
      </c>
      <c r="F4738" s="20" t="s">
        <v>477</v>
      </c>
    </row>
    <row r="4739" customFormat="false" ht="15" hidden="false" customHeight="false" outlineLevel="0" collapsed="false">
      <c r="A4739" s="4" t="str">
        <f aca="false">B4739&amp;"|"&amp;C4739</f>
        <v>tdbR00000121 Gly-UCC|61</v>
      </c>
      <c r="B4739" s="4" t="s">
        <v>102</v>
      </c>
      <c r="C4739" s="4" t="s">
        <v>484</v>
      </c>
      <c r="D4739" s="4" t="n">
        <v>60</v>
      </c>
      <c r="E4739" s="23" t="s">
        <v>414</v>
      </c>
      <c r="F4739" s="10" t="s">
        <v>471</v>
      </c>
    </row>
    <row r="4740" customFormat="false" ht="15" hidden="false" customHeight="false" outlineLevel="0" collapsed="false">
      <c r="A4740" s="4" t="str">
        <f aca="false">B4740&amp;"|"&amp;C4740</f>
        <v>tdbR00000121 Gly-UCC|62</v>
      </c>
      <c r="B4740" s="4" t="s">
        <v>102</v>
      </c>
      <c r="C4740" s="4" t="s">
        <v>485</v>
      </c>
      <c r="D4740" s="4" t="n">
        <v>61</v>
      </c>
      <c r="E4740" s="23" t="s">
        <v>414</v>
      </c>
      <c r="F4740" s="10" t="s">
        <v>471</v>
      </c>
    </row>
    <row r="4741" customFormat="false" ht="15" hidden="false" customHeight="false" outlineLevel="0" collapsed="false">
      <c r="A4741" s="4" t="str">
        <f aca="false">B4741&amp;"|"&amp;C4741</f>
        <v>tdbR00000121 Gly-UCC|63</v>
      </c>
      <c r="B4741" s="4" t="s">
        <v>102</v>
      </c>
      <c r="C4741" s="4" t="s">
        <v>486</v>
      </c>
      <c r="D4741" s="4" t="n">
        <v>62</v>
      </c>
      <c r="E4741" s="23" t="s">
        <v>414</v>
      </c>
      <c r="F4741" s="10" t="s">
        <v>471</v>
      </c>
    </row>
    <row r="4742" customFormat="false" ht="15" hidden="false" customHeight="false" outlineLevel="0" collapsed="false">
      <c r="A4742" s="4" t="str">
        <f aca="false">B4742&amp;"|"&amp;C4742</f>
        <v>tdbR00000121 Gly-UCC|64</v>
      </c>
      <c r="B4742" s="4" t="s">
        <v>102</v>
      </c>
      <c r="C4742" s="4" t="s">
        <v>487</v>
      </c>
      <c r="D4742" s="4" t="n">
        <v>63</v>
      </c>
      <c r="E4742" s="23" t="s">
        <v>197</v>
      </c>
      <c r="F4742" s="10" t="s">
        <v>471</v>
      </c>
    </row>
    <row r="4743" customFormat="false" ht="15" hidden="false" customHeight="false" outlineLevel="0" collapsed="false">
      <c r="A4743" s="4" t="str">
        <f aca="false">B4743&amp;"|"&amp;C4743</f>
        <v>tdbR00000121 Gly-UCC|65</v>
      </c>
      <c r="B4743" s="4" t="s">
        <v>102</v>
      </c>
      <c r="C4743" s="4" t="s">
        <v>488</v>
      </c>
      <c r="D4743" s="4" t="n">
        <v>64</v>
      </c>
      <c r="E4743" s="23" t="s">
        <v>414</v>
      </c>
      <c r="F4743" s="10" t="s">
        <v>471</v>
      </c>
    </row>
    <row r="4744" customFormat="false" ht="15" hidden="false" customHeight="false" outlineLevel="0" collapsed="false">
      <c r="A4744" s="4" t="str">
        <f aca="false">B4744&amp;"|"&amp;C4744</f>
        <v>tdbR00000121 Gly-UCC|66</v>
      </c>
      <c r="B4744" s="4" t="s">
        <v>102</v>
      </c>
      <c r="C4744" s="4" t="s">
        <v>489</v>
      </c>
      <c r="D4744" s="4" t="n">
        <v>65</v>
      </c>
      <c r="E4744" s="17" t="s">
        <v>259</v>
      </c>
      <c r="F4744" s="18" t="s">
        <v>412</v>
      </c>
    </row>
    <row r="4745" customFormat="false" ht="15" hidden="false" customHeight="false" outlineLevel="0" collapsed="false">
      <c r="A4745" s="4" t="str">
        <f aca="false">B4745&amp;"|"&amp;C4745</f>
        <v>tdbR00000121 Gly-UCC|67</v>
      </c>
      <c r="B4745" s="4" t="s">
        <v>102</v>
      </c>
      <c r="C4745" s="4" t="s">
        <v>490</v>
      </c>
      <c r="D4745" s="4" t="n">
        <v>66</v>
      </c>
      <c r="E4745" s="17" t="s">
        <v>197</v>
      </c>
      <c r="F4745" s="18" t="s">
        <v>412</v>
      </c>
    </row>
    <row r="4746" customFormat="false" ht="15" hidden="false" customHeight="false" outlineLevel="0" collapsed="false">
      <c r="A4746" s="4" t="str">
        <f aca="false">B4746&amp;"|"&amp;C4746</f>
        <v>tdbR00000121 Gly-UCC|68</v>
      </c>
      <c r="B4746" s="4" t="s">
        <v>102</v>
      </c>
      <c r="C4746" s="4" t="s">
        <v>491</v>
      </c>
      <c r="D4746" s="4" t="n">
        <v>67</v>
      </c>
      <c r="E4746" s="17" t="s">
        <v>414</v>
      </c>
      <c r="F4746" s="18" t="s">
        <v>412</v>
      </c>
    </row>
    <row r="4747" customFormat="false" ht="15" hidden="false" customHeight="false" outlineLevel="0" collapsed="false">
      <c r="A4747" s="4" t="str">
        <f aca="false">B4747&amp;"|"&amp;C4747</f>
        <v>tdbR00000121 Gly-UCC|69</v>
      </c>
      <c r="B4747" s="4" t="s">
        <v>102</v>
      </c>
      <c r="C4747" s="4" t="s">
        <v>492</v>
      </c>
      <c r="D4747" s="4" t="n">
        <v>68</v>
      </c>
      <c r="E4747" s="17" t="s">
        <v>414</v>
      </c>
      <c r="F4747" s="18" t="s">
        <v>412</v>
      </c>
    </row>
    <row r="4748" customFormat="false" ht="15" hidden="false" customHeight="false" outlineLevel="0" collapsed="false">
      <c r="A4748" s="4" t="str">
        <f aca="false">B4748&amp;"|"&amp;C4748</f>
        <v>tdbR00000121 Gly-UCC|70</v>
      </c>
      <c r="B4748" s="4" t="s">
        <v>102</v>
      </c>
      <c r="C4748" s="4" t="s">
        <v>493</v>
      </c>
      <c r="D4748" s="4" t="n">
        <v>69</v>
      </c>
      <c r="E4748" s="17" t="s">
        <v>414</v>
      </c>
      <c r="F4748" s="18" t="s">
        <v>412</v>
      </c>
    </row>
    <row r="4749" customFormat="false" ht="15" hidden="false" customHeight="false" outlineLevel="0" collapsed="false">
      <c r="A4749" s="4" t="str">
        <f aca="false">B4749&amp;"|"&amp;C4749</f>
        <v>tdbR00000121 Gly-UCC|71</v>
      </c>
      <c r="B4749" s="4" t="s">
        <v>102</v>
      </c>
      <c r="C4749" s="4" t="s">
        <v>494</v>
      </c>
      <c r="D4749" s="4" t="n">
        <v>70</v>
      </c>
      <c r="E4749" s="17" t="s">
        <v>197</v>
      </c>
      <c r="F4749" s="18" t="s">
        <v>412</v>
      </c>
    </row>
    <row r="4750" customFormat="false" ht="15" hidden="false" customHeight="false" outlineLevel="0" collapsed="false">
      <c r="A4750" s="4" t="str">
        <f aca="false">B4750&amp;"|"&amp;C4750</f>
        <v>tdbR00000121 Gly-UCC|72</v>
      </c>
      <c r="B4750" s="4" t="s">
        <v>102</v>
      </c>
      <c r="C4750" s="4" t="s">
        <v>495</v>
      </c>
      <c r="D4750" s="4" t="n">
        <v>71</v>
      </c>
      <c r="E4750" s="17" t="s">
        <v>414</v>
      </c>
      <c r="F4750" s="18" t="s">
        <v>412</v>
      </c>
    </row>
    <row r="4751" customFormat="false" ht="15" hidden="false" customHeight="false" outlineLevel="0" collapsed="false">
      <c r="A4751" s="4" t="str">
        <f aca="false">B4751&amp;"|"&amp;C4751</f>
        <v>tdbR00000141 His-GUG|1</v>
      </c>
      <c r="B4751" s="4" t="s">
        <v>103</v>
      </c>
      <c r="C4751" s="4" t="s">
        <v>411</v>
      </c>
      <c r="D4751" s="4" t="n">
        <v>1</v>
      </c>
      <c r="E4751" s="17" t="s">
        <v>197</v>
      </c>
      <c r="F4751" s="18" t="s">
        <v>412</v>
      </c>
    </row>
    <row r="4752" customFormat="false" ht="15" hidden="false" customHeight="false" outlineLevel="0" collapsed="false">
      <c r="A4752" s="4" t="str">
        <f aca="false">B4752&amp;"|"&amp;C4752</f>
        <v>tdbR00000141 His-GUG|2</v>
      </c>
      <c r="B4752" s="4" t="s">
        <v>103</v>
      </c>
      <c r="C4752" s="4" t="s">
        <v>413</v>
      </c>
      <c r="D4752" s="4" t="n">
        <v>2</v>
      </c>
      <c r="E4752" s="17" t="s">
        <v>259</v>
      </c>
      <c r="F4752" s="18" t="s">
        <v>412</v>
      </c>
    </row>
    <row r="4753" customFormat="false" ht="15" hidden="false" customHeight="false" outlineLevel="0" collapsed="false">
      <c r="A4753" s="4" t="str">
        <f aca="false">B4753&amp;"|"&amp;C4753</f>
        <v>tdbR00000141 His-GUG|3</v>
      </c>
      <c r="B4753" s="4" t="s">
        <v>103</v>
      </c>
      <c r="C4753" s="4" t="s">
        <v>415</v>
      </c>
      <c r="D4753" s="4" t="n">
        <v>3</v>
      </c>
      <c r="E4753" s="17" t="s">
        <v>197</v>
      </c>
      <c r="F4753" s="18" t="s">
        <v>412</v>
      </c>
    </row>
    <row r="4754" customFormat="false" ht="15" hidden="false" customHeight="false" outlineLevel="0" collapsed="false">
      <c r="A4754" s="4" t="str">
        <f aca="false">B4754&amp;"|"&amp;C4754</f>
        <v>tdbR00000141 His-GUG|4</v>
      </c>
      <c r="B4754" s="4" t="s">
        <v>103</v>
      </c>
      <c r="C4754" s="4" t="s">
        <v>416</v>
      </c>
      <c r="D4754" s="4" t="n">
        <v>4</v>
      </c>
      <c r="E4754" s="17" t="s">
        <v>197</v>
      </c>
      <c r="F4754" s="18" t="s">
        <v>412</v>
      </c>
    </row>
    <row r="4755" customFormat="false" ht="15" hidden="false" customHeight="false" outlineLevel="0" collapsed="false">
      <c r="A4755" s="4" t="str">
        <f aca="false">B4755&amp;"|"&amp;C4755</f>
        <v>tdbR00000141 His-GUG|5</v>
      </c>
      <c r="B4755" s="4" t="s">
        <v>103</v>
      </c>
      <c r="C4755" s="4" t="s">
        <v>417</v>
      </c>
      <c r="D4755" s="4" t="n">
        <v>5</v>
      </c>
      <c r="E4755" s="17" t="s">
        <v>414</v>
      </c>
      <c r="F4755" s="18" t="s">
        <v>412</v>
      </c>
    </row>
    <row r="4756" customFormat="false" ht="15" hidden="false" customHeight="false" outlineLevel="0" collapsed="false">
      <c r="A4756" s="4" t="str">
        <f aca="false">B4756&amp;"|"&amp;C4756</f>
        <v>tdbR00000141 His-GUG|6</v>
      </c>
      <c r="B4756" s="4" t="s">
        <v>103</v>
      </c>
      <c r="C4756" s="4" t="s">
        <v>418</v>
      </c>
      <c r="D4756" s="4" t="n">
        <v>6</v>
      </c>
      <c r="E4756" s="17" t="s">
        <v>259</v>
      </c>
      <c r="F4756" s="18" t="s">
        <v>412</v>
      </c>
    </row>
    <row r="4757" customFormat="false" ht="15" hidden="false" customHeight="false" outlineLevel="0" collapsed="false">
      <c r="A4757" s="4" t="str">
        <f aca="false">B4757&amp;"|"&amp;C4757</f>
        <v>tdbR00000141 His-GUG|7</v>
      </c>
      <c r="B4757" s="4" t="s">
        <v>103</v>
      </c>
      <c r="C4757" s="4" t="s">
        <v>419</v>
      </c>
      <c r="D4757" s="4" t="n">
        <v>7</v>
      </c>
      <c r="E4757" s="17" t="s">
        <v>246</v>
      </c>
      <c r="F4757" s="18" t="s">
        <v>412</v>
      </c>
    </row>
    <row r="4758" customFormat="false" ht="15" hidden="false" customHeight="false" outlineLevel="0" collapsed="false">
      <c r="A4758" s="4" t="str">
        <f aca="false">B4758&amp;"|"&amp;C4758</f>
        <v>tdbR00000141 His-GUG|8</v>
      </c>
      <c r="B4758" s="4" t="s">
        <v>103</v>
      </c>
      <c r="C4758" s="4" t="s">
        <v>420</v>
      </c>
      <c r="D4758" s="4" t="n">
        <v>8</v>
      </c>
      <c r="E4758" s="3" t="s">
        <v>259</v>
      </c>
      <c r="F4758" s="4" t="s">
        <v>421</v>
      </c>
    </row>
    <row r="4759" customFormat="false" ht="15" hidden="false" customHeight="false" outlineLevel="0" collapsed="false">
      <c r="A4759" s="4" t="str">
        <f aca="false">B4759&amp;"|"&amp;C4759</f>
        <v>tdbR00000141 His-GUG|9</v>
      </c>
      <c r="B4759" s="4" t="s">
        <v>103</v>
      </c>
      <c r="C4759" s="4" t="s">
        <v>422</v>
      </c>
      <c r="D4759" s="4" t="n">
        <v>9</v>
      </c>
      <c r="E4759" s="3" t="s">
        <v>246</v>
      </c>
      <c r="F4759" s="4" t="s">
        <v>423</v>
      </c>
    </row>
    <row r="4760" customFormat="false" ht="15" hidden="false" customHeight="false" outlineLevel="0" collapsed="false">
      <c r="A4760" s="4" t="str">
        <f aca="false">B4760&amp;"|"&amp;C4760</f>
        <v>tdbR00000141 His-GUG|10</v>
      </c>
      <c r="B4760" s="4" t="s">
        <v>103</v>
      </c>
      <c r="C4760" s="4" t="s">
        <v>424</v>
      </c>
      <c r="D4760" s="4" t="n">
        <v>10</v>
      </c>
      <c r="E4760" s="8" t="s">
        <v>197</v>
      </c>
      <c r="F4760" s="7" t="s">
        <v>425</v>
      </c>
    </row>
    <row r="4761" customFormat="false" ht="15" hidden="false" customHeight="false" outlineLevel="0" collapsed="false">
      <c r="A4761" s="4" t="str">
        <f aca="false">B4761&amp;"|"&amp;C4761</f>
        <v>tdbR00000141 His-GUG|11</v>
      </c>
      <c r="B4761" s="4" t="s">
        <v>103</v>
      </c>
      <c r="C4761" s="4" t="s">
        <v>426</v>
      </c>
      <c r="D4761" s="4" t="n">
        <v>11</v>
      </c>
      <c r="E4761" s="8" t="s">
        <v>414</v>
      </c>
      <c r="F4761" s="7" t="s">
        <v>425</v>
      </c>
    </row>
    <row r="4762" customFormat="false" ht="15" hidden="false" customHeight="false" outlineLevel="0" collapsed="false">
      <c r="A4762" s="4" t="str">
        <f aca="false">B4762&amp;"|"&amp;C4762</f>
        <v>tdbR00000141 His-GUG|12</v>
      </c>
      <c r="B4762" s="4" t="s">
        <v>103</v>
      </c>
      <c r="C4762" s="4" t="s">
        <v>427</v>
      </c>
      <c r="D4762" s="4" t="n">
        <v>12</v>
      </c>
      <c r="E4762" s="8" t="s">
        <v>259</v>
      </c>
      <c r="F4762" s="7" t="s">
        <v>425</v>
      </c>
    </row>
    <row r="4763" customFormat="false" ht="15" hidden="false" customHeight="false" outlineLevel="0" collapsed="false">
      <c r="A4763" s="4" t="str">
        <f aca="false">B4763&amp;"|"&amp;C4763</f>
        <v>tdbR00000141 His-GUG|13</v>
      </c>
      <c r="B4763" s="4" t="s">
        <v>103</v>
      </c>
      <c r="C4763" s="4" t="s">
        <v>428</v>
      </c>
      <c r="D4763" s="4" t="n">
        <v>13</v>
      </c>
      <c r="E4763" s="8" t="s">
        <v>414</v>
      </c>
      <c r="F4763" s="7" t="s">
        <v>425</v>
      </c>
    </row>
    <row r="4764" customFormat="false" ht="15" hidden="false" customHeight="false" outlineLevel="0" collapsed="false">
      <c r="A4764" s="4" t="str">
        <f aca="false">B4764&amp;"|"&amp;C4764</f>
        <v>tdbR00000141 His-GUG|14</v>
      </c>
      <c r="B4764" s="4" t="s">
        <v>103</v>
      </c>
      <c r="C4764" s="4" t="s">
        <v>429</v>
      </c>
      <c r="D4764" s="4" t="n">
        <v>14</v>
      </c>
      <c r="E4764" s="19" t="s">
        <v>246</v>
      </c>
      <c r="F4764" s="20" t="s">
        <v>430</v>
      </c>
    </row>
    <row r="4765" customFormat="false" ht="15" hidden="false" customHeight="false" outlineLevel="0" collapsed="false">
      <c r="A4765" s="4" t="str">
        <f aca="false">B4765&amp;"|"&amp;C4765</f>
        <v>tdbR00000141 His-GUG|15</v>
      </c>
      <c r="B4765" s="4" t="s">
        <v>103</v>
      </c>
      <c r="C4765" s="4" t="s">
        <v>431</v>
      </c>
      <c r="D4765" s="4" t="n">
        <v>15</v>
      </c>
      <c r="E4765" s="19" t="s">
        <v>197</v>
      </c>
      <c r="F4765" s="20" t="s">
        <v>430</v>
      </c>
    </row>
    <row r="4766" customFormat="false" ht="15" hidden="false" customHeight="false" outlineLevel="0" collapsed="false">
      <c r="A4766" s="4" t="str">
        <f aca="false">B4766&amp;"|"&amp;C4766</f>
        <v>tdbR00000141 His-GUG|16</v>
      </c>
      <c r="B4766" s="4" t="s">
        <v>103</v>
      </c>
      <c r="C4766" s="4" t="s">
        <v>432</v>
      </c>
      <c r="D4766" s="4" t="n">
        <v>16</v>
      </c>
      <c r="E4766" s="19" t="s">
        <v>259</v>
      </c>
      <c r="F4766" s="20" t="s">
        <v>430</v>
      </c>
    </row>
    <row r="4767" customFormat="false" ht="15" hidden="false" customHeight="false" outlineLevel="0" collapsed="false">
      <c r="A4767" s="4" t="str">
        <f aca="false">B4767&amp;"|"&amp;C4767</f>
        <v>tdbR00000141 His-GUG|17</v>
      </c>
      <c r="B4767" s="4" t="s">
        <v>103</v>
      </c>
      <c r="C4767" s="4" t="s">
        <v>433</v>
      </c>
      <c r="D4767" s="4" t="n">
        <v>17</v>
      </c>
      <c r="E4767" s="19" t="s">
        <v>259</v>
      </c>
      <c r="F4767" s="20" t="s">
        <v>430</v>
      </c>
    </row>
    <row r="4768" customFormat="false" ht="15" hidden="false" customHeight="false" outlineLevel="0" collapsed="false">
      <c r="A4768" s="4" t="str">
        <f aca="false">B4768&amp;"|"&amp;C4768</f>
        <v>tdbR00000141 His-GUG|18</v>
      </c>
      <c r="B4768" s="4" t="s">
        <v>103</v>
      </c>
      <c r="C4768" s="4" t="s">
        <v>434</v>
      </c>
      <c r="D4768" s="4" t="n">
        <v>18</v>
      </c>
      <c r="E4768" s="19" t="s">
        <v>197</v>
      </c>
      <c r="F4768" s="20" t="s">
        <v>430</v>
      </c>
    </row>
    <row r="4769" customFormat="false" ht="15" hidden="false" customHeight="false" outlineLevel="0" collapsed="false">
      <c r="A4769" s="4" t="str">
        <f aca="false">B4769&amp;"|"&amp;C4769</f>
        <v>tdbR00000141 His-GUG|19</v>
      </c>
      <c r="B4769" s="4" t="s">
        <v>103</v>
      </c>
      <c r="C4769" s="4" t="s">
        <v>435</v>
      </c>
      <c r="D4769" s="4" t="n">
        <v>19</v>
      </c>
      <c r="E4769" s="19" t="s">
        <v>197</v>
      </c>
      <c r="F4769" s="20" t="s">
        <v>430</v>
      </c>
    </row>
    <row r="4770" customFormat="false" ht="15" hidden="false" customHeight="false" outlineLevel="0" collapsed="false">
      <c r="A4770" s="4" t="str">
        <f aca="false">B4770&amp;"|"&amp;C4770</f>
        <v>tdbR00000141 His-GUG|20</v>
      </c>
      <c r="B4770" s="4" t="s">
        <v>103</v>
      </c>
      <c r="C4770" s="4" t="s">
        <v>436</v>
      </c>
      <c r="D4770" s="4" t="n">
        <v>20</v>
      </c>
      <c r="E4770" s="19" t="s">
        <v>259</v>
      </c>
      <c r="F4770" s="20" t="s">
        <v>430</v>
      </c>
    </row>
    <row r="4771" customFormat="false" ht="15" hidden="false" customHeight="false" outlineLevel="0" collapsed="false">
      <c r="A4771" s="4" t="str">
        <f aca="false">B4771&amp;"|"&amp;C4771</f>
        <v>tdbR00000141 His-GUG|21</v>
      </c>
      <c r="B4771" s="4" t="s">
        <v>103</v>
      </c>
      <c r="C4771" s="4" t="s">
        <v>438</v>
      </c>
      <c r="D4771" s="4" t="n">
        <v>21</v>
      </c>
      <c r="E4771" s="19" t="s">
        <v>246</v>
      </c>
      <c r="F4771" s="20" t="s">
        <v>430</v>
      </c>
    </row>
    <row r="4772" customFormat="false" ht="15" hidden="false" customHeight="false" outlineLevel="0" collapsed="false">
      <c r="A4772" s="4" t="str">
        <f aca="false">B4772&amp;"|"&amp;C4772</f>
        <v>tdbR00000141 His-GUG|22</v>
      </c>
      <c r="B4772" s="4" t="s">
        <v>103</v>
      </c>
      <c r="C4772" s="4" t="s">
        <v>439</v>
      </c>
      <c r="D4772" s="4" t="n">
        <v>22</v>
      </c>
      <c r="E4772" s="8" t="s">
        <v>197</v>
      </c>
      <c r="F4772" s="7" t="s">
        <v>425</v>
      </c>
    </row>
    <row r="4773" customFormat="false" ht="15" hidden="false" customHeight="false" outlineLevel="0" collapsed="false">
      <c r="A4773" s="4" t="str">
        <f aca="false">B4773&amp;"|"&amp;C4773</f>
        <v>tdbR00000141 His-GUG|23</v>
      </c>
      <c r="B4773" s="4" t="s">
        <v>103</v>
      </c>
      <c r="C4773" s="4" t="s">
        <v>440</v>
      </c>
      <c r="D4773" s="4" t="n">
        <v>23</v>
      </c>
      <c r="E4773" s="8" t="s">
        <v>246</v>
      </c>
      <c r="F4773" s="7" t="s">
        <v>425</v>
      </c>
    </row>
    <row r="4774" customFormat="false" ht="15" hidden="false" customHeight="false" outlineLevel="0" collapsed="false">
      <c r="A4774" s="4" t="str">
        <f aca="false">B4774&amp;"|"&amp;C4774</f>
        <v>tdbR00000141 His-GUG|24</v>
      </c>
      <c r="B4774" s="4" t="s">
        <v>103</v>
      </c>
      <c r="C4774" s="4" t="s">
        <v>441</v>
      </c>
      <c r="D4774" s="4" t="n">
        <v>24</v>
      </c>
      <c r="E4774" s="8" t="s">
        <v>197</v>
      </c>
      <c r="F4774" s="7" t="s">
        <v>425</v>
      </c>
    </row>
    <row r="4775" customFormat="false" ht="15" hidden="false" customHeight="false" outlineLevel="0" collapsed="false">
      <c r="A4775" s="4" t="str">
        <f aca="false">B4775&amp;"|"&amp;C4775</f>
        <v>tdbR00000141 His-GUG|25</v>
      </c>
      <c r="B4775" s="4" t="s">
        <v>103</v>
      </c>
      <c r="C4775" s="4" t="s">
        <v>442</v>
      </c>
      <c r="D4775" s="4" t="n">
        <v>25</v>
      </c>
      <c r="E4775" s="8" t="s">
        <v>414</v>
      </c>
      <c r="F4775" s="7" t="s">
        <v>425</v>
      </c>
    </row>
    <row r="4776" customFormat="false" ht="15" hidden="false" customHeight="false" outlineLevel="0" collapsed="false">
      <c r="A4776" s="4" t="str">
        <f aca="false">B4776&amp;"|"&amp;C4776</f>
        <v>tdbR00000141 His-GUG|26</v>
      </c>
      <c r="B4776" s="4" t="s">
        <v>103</v>
      </c>
      <c r="C4776" s="4" t="s">
        <v>443</v>
      </c>
      <c r="D4776" s="4" t="n">
        <v>26</v>
      </c>
      <c r="E4776" s="3" t="s">
        <v>414</v>
      </c>
      <c r="F4776" s="4" t="s">
        <v>444</v>
      </c>
    </row>
    <row r="4777" customFormat="false" ht="15" hidden="false" customHeight="false" outlineLevel="0" collapsed="false">
      <c r="A4777" s="4" t="str">
        <f aca="false">B4777&amp;"|"&amp;C4777</f>
        <v>tdbR00000141 His-GUG|27</v>
      </c>
      <c r="B4777" s="4" t="s">
        <v>103</v>
      </c>
      <c r="C4777" s="4" t="s">
        <v>445</v>
      </c>
      <c r="D4777" s="4" t="n">
        <v>27</v>
      </c>
      <c r="E4777" s="21" t="s">
        <v>414</v>
      </c>
      <c r="F4777" s="22" t="s">
        <v>446</v>
      </c>
    </row>
    <row r="4778" customFormat="false" ht="15" hidden="false" customHeight="false" outlineLevel="0" collapsed="false">
      <c r="A4778" s="4" t="str">
        <f aca="false">B4778&amp;"|"&amp;C4778</f>
        <v>tdbR00000141 His-GUG|28</v>
      </c>
      <c r="B4778" s="4" t="s">
        <v>103</v>
      </c>
      <c r="C4778" s="4" t="s">
        <v>447</v>
      </c>
      <c r="D4778" s="4" t="n">
        <v>28</v>
      </c>
      <c r="E4778" s="21" t="s">
        <v>259</v>
      </c>
      <c r="F4778" s="22" t="s">
        <v>446</v>
      </c>
    </row>
    <row r="4779" customFormat="false" ht="15" hidden="false" customHeight="false" outlineLevel="0" collapsed="false">
      <c r="A4779" s="4" t="str">
        <f aca="false">B4779&amp;"|"&amp;C4779</f>
        <v>tdbR00000141 His-GUG|29</v>
      </c>
      <c r="B4779" s="4" t="s">
        <v>103</v>
      </c>
      <c r="C4779" s="4" t="s">
        <v>448</v>
      </c>
      <c r="D4779" s="4" t="n">
        <v>29</v>
      </c>
      <c r="E4779" s="21" t="s">
        <v>197</v>
      </c>
      <c r="F4779" s="22" t="s">
        <v>446</v>
      </c>
    </row>
    <row r="4780" customFormat="false" ht="15" hidden="false" customHeight="false" outlineLevel="0" collapsed="false">
      <c r="A4780" s="4" t="str">
        <f aca="false">B4780&amp;"|"&amp;C4780</f>
        <v>tdbR00000141 His-GUG|30</v>
      </c>
      <c r="B4780" s="4" t="s">
        <v>103</v>
      </c>
      <c r="C4780" s="4" t="s">
        <v>449</v>
      </c>
      <c r="D4780" s="4" t="n">
        <v>30</v>
      </c>
      <c r="E4780" s="21" t="s">
        <v>197</v>
      </c>
      <c r="F4780" s="22" t="s">
        <v>446</v>
      </c>
    </row>
    <row r="4781" customFormat="false" ht="15" hidden="false" customHeight="false" outlineLevel="0" collapsed="false">
      <c r="A4781" s="4" t="str">
        <f aca="false">B4781&amp;"|"&amp;C4781</f>
        <v>tdbR00000141 His-GUG|31</v>
      </c>
      <c r="B4781" s="4" t="s">
        <v>103</v>
      </c>
      <c r="C4781" s="4" t="s">
        <v>450</v>
      </c>
      <c r="D4781" s="4" t="n">
        <v>31</v>
      </c>
      <c r="E4781" s="21" t="s">
        <v>246</v>
      </c>
      <c r="F4781" s="22" t="s">
        <v>446</v>
      </c>
    </row>
    <row r="4782" customFormat="false" ht="15" hidden="false" customHeight="false" outlineLevel="0" collapsed="false">
      <c r="A4782" s="4" t="str">
        <f aca="false">B4782&amp;"|"&amp;C4782</f>
        <v>tdbR00000141 His-GUG|32</v>
      </c>
      <c r="B4782" s="4" t="s">
        <v>103</v>
      </c>
      <c r="C4782" s="4" t="s">
        <v>451</v>
      </c>
      <c r="D4782" s="4" t="n">
        <v>32</v>
      </c>
      <c r="E4782" s="19" t="s">
        <v>259</v>
      </c>
      <c r="F4782" s="20" t="s">
        <v>452</v>
      </c>
    </row>
    <row r="4783" customFormat="false" ht="15" hidden="false" customHeight="false" outlineLevel="0" collapsed="false">
      <c r="A4783" s="4" t="str">
        <f aca="false">B4783&amp;"|"&amp;C4783</f>
        <v>tdbR00000141 His-GUG|33</v>
      </c>
      <c r="B4783" s="4" t="s">
        <v>103</v>
      </c>
      <c r="C4783" s="4" t="s">
        <v>453</v>
      </c>
      <c r="D4783" s="4" t="n">
        <v>33</v>
      </c>
      <c r="E4783" s="19" t="s">
        <v>259</v>
      </c>
      <c r="F4783" s="20" t="s">
        <v>452</v>
      </c>
    </row>
    <row r="4784" customFormat="false" ht="15" hidden="false" customHeight="false" outlineLevel="0" collapsed="false">
      <c r="A4784" s="4" t="str">
        <f aca="false">B4784&amp;"|"&amp;C4784</f>
        <v>tdbR00000141 His-GUG|34</v>
      </c>
      <c r="B4784" s="4" t="s">
        <v>103</v>
      </c>
      <c r="C4784" s="4" t="s">
        <v>454</v>
      </c>
      <c r="D4784" s="4" t="n">
        <v>34</v>
      </c>
      <c r="E4784" s="19" t="s">
        <v>197</v>
      </c>
      <c r="F4784" s="20" t="s">
        <v>452</v>
      </c>
    </row>
    <row r="4785" customFormat="false" ht="15" hidden="false" customHeight="false" outlineLevel="0" collapsed="false">
      <c r="A4785" s="4" t="str">
        <f aca="false">B4785&amp;"|"&amp;C4785</f>
        <v>tdbR00000141 His-GUG|35</v>
      </c>
      <c r="B4785" s="4" t="s">
        <v>103</v>
      </c>
      <c r="C4785" s="4" t="s">
        <v>455</v>
      </c>
      <c r="D4785" s="4" t="n">
        <v>35</v>
      </c>
      <c r="E4785" s="19" t="s">
        <v>259</v>
      </c>
      <c r="F4785" s="20" t="s">
        <v>452</v>
      </c>
    </row>
    <row r="4786" customFormat="false" ht="15" hidden="false" customHeight="false" outlineLevel="0" collapsed="false">
      <c r="A4786" s="4" t="str">
        <f aca="false">B4786&amp;"|"&amp;C4786</f>
        <v>tdbR00000141 His-GUG|36</v>
      </c>
      <c r="B4786" s="4" t="s">
        <v>103</v>
      </c>
      <c r="C4786" s="4" t="s">
        <v>456</v>
      </c>
      <c r="D4786" s="4" t="n">
        <v>36</v>
      </c>
      <c r="E4786" s="19" t="s">
        <v>197</v>
      </c>
      <c r="F4786" s="20" t="s">
        <v>452</v>
      </c>
    </row>
    <row r="4787" customFormat="false" ht="15" hidden="false" customHeight="false" outlineLevel="0" collapsed="false">
      <c r="A4787" s="4" t="str">
        <f aca="false">B4787&amp;"|"&amp;C4787</f>
        <v>tdbR00000141 His-GUG|37</v>
      </c>
      <c r="B4787" s="4" t="s">
        <v>103</v>
      </c>
      <c r="C4787" s="4" t="s">
        <v>457</v>
      </c>
      <c r="D4787" s="4" t="n">
        <v>37</v>
      </c>
      <c r="E4787" s="19" t="s">
        <v>246</v>
      </c>
      <c r="F4787" s="20" t="s">
        <v>452</v>
      </c>
    </row>
    <row r="4788" customFormat="false" ht="15" hidden="false" customHeight="false" outlineLevel="0" collapsed="false">
      <c r="A4788" s="4" t="str">
        <f aca="false">B4788&amp;"|"&amp;C4788</f>
        <v>tdbR00000141 His-GUG|38</v>
      </c>
      <c r="B4788" s="4" t="s">
        <v>103</v>
      </c>
      <c r="C4788" s="4" t="s">
        <v>458</v>
      </c>
      <c r="D4788" s="4" t="n">
        <v>38</v>
      </c>
      <c r="E4788" s="19" t="s">
        <v>259</v>
      </c>
      <c r="F4788" s="20" t="s">
        <v>452</v>
      </c>
    </row>
    <row r="4789" customFormat="false" ht="15" hidden="false" customHeight="false" outlineLevel="0" collapsed="false">
      <c r="A4789" s="4" t="str">
        <f aca="false">B4789&amp;"|"&amp;C4789</f>
        <v>tdbR00000141 His-GUG|39</v>
      </c>
      <c r="B4789" s="4" t="s">
        <v>103</v>
      </c>
      <c r="C4789" s="4" t="s">
        <v>459</v>
      </c>
      <c r="D4789" s="4" t="n">
        <v>39</v>
      </c>
      <c r="E4789" s="21" t="s">
        <v>259</v>
      </c>
      <c r="F4789" s="22" t="s">
        <v>446</v>
      </c>
    </row>
    <row r="4790" customFormat="false" ht="15" hidden="false" customHeight="false" outlineLevel="0" collapsed="false">
      <c r="A4790" s="4" t="str">
        <f aca="false">B4790&amp;"|"&amp;C4790</f>
        <v>tdbR00000141 His-GUG|40</v>
      </c>
      <c r="B4790" s="4" t="s">
        <v>103</v>
      </c>
      <c r="C4790" s="4" t="s">
        <v>460</v>
      </c>
      <c r="D4790" s="4" t="n">
        <v>40</v>
      </c>
      <c r="E4790" s="21" t="s">
        <v>414</v>
      </c>
      <c r="F4790" s="22" t="s">
        <v>446</v>
      </c>
    </row>
    <row r="4791" customFormat="false" ht="15" hidden="false" customHeight="false" outlineLevel="0" collapsed="false">
      <c r="A4791" s="4" t="str">
        <f aca="false">B4791&amp;"|"&amp;C4791</f>
        <v>tdbR00000141 His-GUG|41</v>
      </c>
      <c r="B4791" s="4" t="s">
        <v>103</v>
      </c>
      <c r="C4791" s="4" t="s">
        <v>461</v>
      </c>
      <c r="D4791" s="4" t="n">
        <v>41</v>
      </c>
      <c r="E4791" s="21" t="s">
        <v>414</v>
      </c>
      <c r="F4791" s="22" t="s">
        <v>446</v>
      </c>
    </row>
    <row r="4792" customFormat="false" ht="15" hidden="false" customHeight="false" outlineLevel="0" collapsed="false">
      <c r="A4792" s="4" t="str">
        <f aca="false">B4792&amp;"|"&amp;C4792</f>
        <v>tdbR00000141 His-GUG|42</v>
      </c>
      <c r="B4792" s="4" t="s">
        <v>103</v>
      </c>
      <c r="C4792" s="4" t="s">
        <v>462</v>
      </c>
      <c r="D4792" s="4" t="n">
        <v>42</v>
      </c>
      <c r="E4792" s="21" t="s">
        <v>246</v>
      </c>
      <c r="F4792" s="22" t="s">
        <v>446</v>
      </c>
    </row>
    <row r="4793" customFormat="false" ht="15" hidden="false" customHeight="false" outlineLevel="0" collapsed="false">
      <c r="A4793" s="4" t="str">
        <f aca="false">B4793&amp;"|"&amp;C4793</f>
        <v>tdbR00000141 His-GUG|43</v>
      </c>
      <c r="B4793" s="4" t="s">
        <v>103</v>
      </c>
      <c r="C4793" s="4" t="s">
        <v>463</v>
      </c>
      <c r="D4793" s="4" t="n">
        <v>43</v>
      </c>
      <c r="E4793" s="21" t="s">
        <v>197</v>
      </c>
      <c r="F4793" s="22" t="s">
        <v>446</v>
      </c>
    </row>
    <row r="4794" customFormat="false" ht="15" hidden="false" customHeight="false" outlineLevel="0" collapsed="false">
      <c r="A4794" s="4" t="str">
        <f aca="false">B4794&amp;"|"&amp;C4794</f>
        <v>tdbR00000141 His-GUG|44</v>
      </c>
      <c r="B4794" s="4" t="s">
        <v>103</v>
      </c>
      <c r="C4794" s="4" t="s">
        <v>464</v>
      </c>
      <c r="D4794" s="4" t="n">
        <v>44</v>
      </c>
      <c r="E4794" s="19" t="s">
        <v>259</v>
      </c>
      <c r="F4794" s="20" t="s">
        <v>465</v>
      </c>
    </row>
    <row r="4795" customFormat="false" ht="15" hidden="false" customHeight="false" outlineLevel="0" collapsed="false">
      <c r="A4795" s="4" t="str">
        <f aca="false">B4795&amp;"|"&amp;C4795</f>
        <v>tdbR00000141 His-GUG|45</v>
      </c>
      <c r="B4795" s="4" t="s">
        <v>103</v>
      </c>
      <c r="C4795" s="4" t="s">
        <v>466</v>
      </c>
      <c r="D4795" s="4" t="n">
        <v>45</v>
      </c>
      <c r="E4795" s="19" t="s">
        <v>259</v>
      </c>
      <c r="F4795" s="20" t="s">
        <v>465</v>
      </c>
    </row>
    <row r="4796" customFormat="false" ht="15" hidden="false" customHeight="false" outlineLevel="0" collapsed="false">
      <c r="A4796" s="4" t="str">
        <f aca="false">B4796&amp;"|"&amp;C4796</f>
        <v>tdbR00000141 His-GUG|46</v>
      </c>
      <c r="B4796" s="4" t="s">
        <v>103</v>
      </c>
      <c r="C4796" s="4" t="s">
        <v>467</v>
      </c>
      <c r="D4796" s="4" t="n">
        <v>46</v>
      </c>
      <c r="E4796" s="19" t="s">
        <v>197</v>
      </c>
      <c r="F4796" s="20" t="s">
        <v>465</v>
      </c>
    </row>
    <row r="4797" customFormat="false" ht="15" hidden="false" customHeight="false" outlineLevel="0" collapsed="false">
      <c r="A4797" s="4" t="str">
        <f aca="false">B4797&amp;"|"&amp;C4797</f>
        <v>tdbR00000141 His-GUG|47</v>
      </c>
      <c r="B4797" s="4" t="s">
        <v>103</v>
      </c>
      <c r="C4797" s="4" t="s">
        <v>468</v>
      </c>
      <c r="D4797" s="4" t="n">
        <v>47</v>
      </c>
      <c r="E4797" s="19" t="s">
        <v>259</v>
      </c>
      <c r="F4797" s="20" t="s">
        <v>465</v>
      </c>
    </row>
    <row r="4798" customFormat="false" ht="15" hidden="false" customHeight="false" outlineLevel="0" collapsed="false">
      <c r="A4798" s="4" t="str">
        <f aca="false">B4798&amp;"|"&amp;C4798</f>
        <v>tdbR00000141 His-GUG|48</v>
      </c>
      <c r="B4798" s="4" t="s">
        <v>103</v>
      </c>
      <c r="C4798" s="4" t="s">
        <v>469</v>
      </c>
      <c r="D4798" s="4" t="n">
        <v>48</v>
      </c>
      <c r="E4798" s="19" t="s">
        <v>414</v>
      </c>
      <c r="F4798" s="20" t="s">
        <v>465</v>
      </c>
    </row>
    <row r="4799" customFormat="false" ht="15" hidden="false" customHeight="false" outlineLevel="0" collapsed="false">
      <c r="A4799" s="4" t="str">
        <f aca="false">B4799&amp;"|"&amp;C4799</f>
        <v>tdbR00000141 His-GUG|49</v>
      </c>
      <c r="B4799" s="4" t="s">
        <v>103</v>
      </c>
      <c r="C4799" s="4" t="s">
        <v>470</v>
      </c>
      <c r="D4799" s="4" t="n">
        <v>49</v>
      </c>
      <c r="E4799" s="23" t="s">
        <v>197</v>
      </c>
      <c r="F4799" s="10" t="s">
        <v>471</v>
      </c>
    </row>
    <row r="4800" customFormat="false" ht="15" hidden="false" customHeight="false" outlineLevel="0" collapsed="false">
      <c r="A4800" s="4" t="str">
        <f aca="false">B4800&amp;"|"&amp;C4800</f>
        <v>tdbR00000141 His-GUG|50</v>
      </c>
      <c r="B4800" s="4" t="s">
        <v>103</v>
      </c>
      <c r="C4800" s="4" t="s">
        <v>472</v>
      </c>
      <c r="D4800" s="4" t="n">
        <v>50</v>
      </c>
      <c r="E4800" s="23" t="s">
        <v>259</v>
      </c>
      <c r="F4800" s="10" t="s">
        <v>471</v>
      </c>
    </row>
    <row r="4801" customFormat="false" ht="15" hidden="false" customHeight="false" outlineLevel="0" collapsed="false">
      <c r="A4801" s="4" t="str">
        <f aca="false">B4801&amp;"|"&amp;C4801</f>
        <v>tdbR00000141 His-GUG|51</v>
      </c>
      <c r="B4801" s="4" t="s">
        <v>103</v>
      </c>
      <c r="C4801" s="4" t="s">
        <v>473</v>
      </c>
      <c r="D4801" s="4" t="n">
        <v>51</v>
      </c>
      <c r="E4801" s="23" t="s">
        <v>197</v>
      </c>
      <c r="F4801" s="10" t="s">
        <v>471</v>
      </c>
    </row>
    <row r="4802" customFormat="false" ht="15" hidden="false" customHeight="false" outlineLevel="0" collapsed="false">
      <c r="A4802" s="4" t="str">
        <f aca="false">B4802&amp;"|"&amp;C4802</f>
        <v>tdbR00000141 His-GUG|52</v>
      </c>
      <c r="B4802" s="4" t="s">
        <v>103</v>
      </c>
      <c r="C4802" s="4" t="s">
        <v>474</v>
      </c>
      <c r="D4802" s="4" t="n">
        <v>52</v>
      </c>
      <c r="E4802" s="23" t="s">
        <v>197</v>
      </c>
      <c r="F4802" s="10" t="s">
        <v>471</v>
      </c>
    </row>
    <row r="4803" customFormat="false" ht="15" hidden="false" customHeight="false" outlineLevel="0" collapsed="false">
      <c r="A4803" s="4" t="str">
        <f aca="false">B4803&amp;"|"&amp;C4803</f>
        <v>tdbR00000141 His-GUG|53</v>
      </c>
      <c r="B4803" s="4" t="s">
        <v>103</v>
      </c>
      <c r="C4803" s="4" t="s">
        <v>475</v>
      </c>
      <c r="D4803" s="4" t="n">
        <v>53</v>
      </c>
      <c r="E4803" s="23" t="s">
        <v>197</v>
      </c>
      <c r="F4803" s="10" t="s">
        <v>471</v>
      </c>
    </row>
    <row r="4804" customFormat="false" ht="15" hidden="false" customHeight="false" outlineLevel="0" collapsed="false">
      <c r="A4804" s="4" t="str">
        <f aca="false">B4804&amp;"|"&amp;C4804</f>
        <v>tdbR00000141 His-GUG|54</v>
      </c>
      <c r="B4804" s="4" t="s">
        <v>103</v>
      </c>
      <c r="C4804" s="4" t="s">
        <v>476</v>
      </c>
      <c r="D4804" s="4" t="n">
        <v>54</v>
      </c>
      <c r="E4804" s="19" t="s">
        <v>259</v>
      </c>
      <c r="F4804" s="20" t="s">
        <v>477</v>
      </c>
    </row>
    <row r="4805" customFormat="false" ht="15" hidden="false" customHeight="false" outlineLevel="0" collapsed="false">
      <c r="A4805" s="4" t="str">
        <f aca="false">B4805&amp;"|"&amp;C4805</f>
        <v>tdbR00000141 His-GUG|55</v>
      </c>
      <c r="B4805" s="4" t="s">
        <v>103</v>
      </c>
      <c r="C4805" s="4" t="s">
        <v>478</v>
      </c>
      <c r="D4805" s="4" t="n">
        <v>55</v>
      </c>
      <c r="E4805" s="19" t="s">
        <v>259</v>
      </c>
      <c r="F4805" s="20" t="s">
        <v>477</v>
      </c>
    </row>
    <row r="4806" customFormat="false" ht="15" hidden="false" customHeight="false" outlineLevel="0" collapsed="false">
      <c r="A4806" s="4" t="str">
        <f aca="false">B4806&amp;"|"&amp;C4806</f>
        <v>tdbR00000141 His-GUG|56</v>
      </c>
      <c r="B4806" s="4" t="s">
        <v>103</v>
      </c>
      <c r="C4806" s="4" t="s">
        <v>479</v>
      </c>
      <c r="D4806" s="4" t="n">
        <v>56</v>
      </c>
      <c r="E4806" s="19" t="s">
        <v>414</v>
      </c>
      <c r="F4806" s="20" t="s">
        <v>477</v>
      </c>
    </row>
    <row r="4807" customFormat="false" ht="15" hidden="false" customHeight="false" outlineLevel="0" collapsed="false">
      <c r="A4807" s="4" t="str">
        <f aca="false">B4807&amp;"|"&amp;C4807</f>
        <v>tdbR00000141 His-GUG|57</v>
      </c>
      <c r="B4807" s="4" t="s">
        <v>103</v>
      </c>
      <c r="C4807" s="4" t="s">
        <v>480</v>
      </c>
      <c r="D4807" s="4" t="n">
        <v>57</v>
      </c>
      <c r="E4807" s="19" t="s">
        <v>197</v>
      </c>
      <c r="F4807" s="20" t="s">
        <v>477</v>
      </c>
    </row>
    <row r="4808" customFormat="false" ht="15" hidden="false" customHeight="false" outlineLevel="0" collapsed="false">
      <c r="A4808" s="4" t="str">
        <f aca="false">B4808&amp;"|"&amp;C4808</f>
        <v>tdbR00000141 His-GUG|58</v>
      </c>
      <c r="B4808" s="4" t="s">
        <v>103</v>
      </c>
      <c r="C4808" s="4" t="s">
        <v>481</v>
      </c>
      <c r="D4808" s="4" t="n">
        <v>58</v>
      </c>
      <c r="E4808" s="19" t="s">
        <v>246</v>
      </c>
      <c r="F4808" s="20" t="s">
        <v>477</v>
      </c>
    </row>
    <row r="4809" customFormat="false" ht="15" hidden="false" customHeight="false" outlineLevel="0" collapsed="false">
      <c r="A4809" s="4" t="str">
        <f aca="false">B4809&amp;"|"&amp;C4809</f>
        <v>tdbR00000141 His-GUG|59</v>
      </c>
      <c r="B4809" s="4" t="s">
        <v>103</v>
      </c>
      <c r="C4809" s="4" t="s">
        <v>482</v>
      </c>
      <c r="D4809" s="4" t="n">
        <v>59</v>
      </c>
      <c r="E4809" s="19" t="s">
        <v>246</v>
      </c>
      <c r="F4809" s="20" t="s">
        <v>477</v>
      </c>
    </row>
    <row r="4810" customFormat="false" ht="15" hidden="false" customHeight="false" outlineLevel="0" collapsed="false">
      <c r="A4810" s="4" t="str">
        <f aca="false">B4810&amp;"|"&amp;C4810</f>
        <v>tdbR00000141 His-GUG|60</v>
      </c>
      <c r="B4810" s="4" t="s">
        <v>103</v>
      </c>
      <c r="C4810" s="4" t="s">
        <v>483</v>
      </c>
      <c r="D4810" s="4" t="n">
        <v>60</v>
      </c>
      <c r="E4810" s="19" t="s">
        <v>259</v>
      </c>
      <c r="F4810" s="20" t="s">
        <v>477</v>
      </c>
    </row>
    <row r="4811" customFormat="false" ht="15" hidden="false" customHeight="false" outlineLevel="0" collapsed="false">
      <c r="A4811" s="4" t="str">
        <f aca="false">B4811&amp;"|"&amp;C4811</f>
        <v>tdbR00000141 His-GUG|61</v>
      </c>
      <c r="B4811" s="4" t="s">
        <v>103</v>
      </c>
      <c r="C4811" s="4" t="s">
        <v>484</v>
      </c>
      <c r="D4811" s="4" t="n">
        <v>61</v>
      </c>
      <c r="E4811" s="23" t="s">
        <v>414</v>
      </c>
      <c r="F4811" s="10" t="s">
        <v>471</v>
      </c>
    </row>
    <row r="4812" customFormat="false" ht="15" hidden="false" customHeight="false" outlineLevel="0" collapsed="false">
      <c r="A4812" s="4" t="str">
        <f aca="false">B4812&amp;"|"&amp;C4812</f>
        <v>tdbR00000141 His-GUG|62</v>
      </c>
      <c r="B4812" s="4" t="s">
        <v>103</v>
      </c>
      <c r="C4812" s="4" t="s">
        <v>485</v>
      </c>
      <c r="D4812" s="4" t="n">
        <v>62</v>
      </c>
      <c r="E4812" s="23" t="s">
        <v>414</v>
      </c>
      <c r="F4812" s="10" t="s">
        <v>471</v>
      </c>
    </row>
    <row r="4813" customFormat="false" ht="15" hidden="false" customHeight="false" outlineLevel="0" collapsed="false">
      <c r="A4813" s="4" t="str">
        <f aca="false">B4813&amp;"|"&amp;C4813</f>
        <v>tdbR00000141 His-GUG|63</v>
      </c>
      <c r="B4813" s="4" t="s">
        <v>103</v>
      </c>
      <c r="C4813" s="4" t="s">
        <v>486</v>
      </c>
      <c r="D4813" s="4" t="n">
        <v>63</v>
      </c>
      <c r="E4813" s="23" t="s">
        <v>414</v>
      </c>
      <c r="F4813" s="10" t="s">
        <v>471</v>
      </c>
    </row>
    <row r="4814" customFormat="false" ht="15" hidden="false" customHeight="false" outlineLevel="0" collapsed="false">
      <c r="A4814" s="4" t="str">
        <f aca="false">B4814&amp;"|"&amp;C4814</f>
        <v>tdbR00000141 His-GUG|64</v>
      </c>
      <c r="B4814" s="4" t="s">
        <v>103</v>
      </c>
      <c r="C4814" s="4" t="s">
        <v>487</v>
      </c>
      <c r="D4814" s="4" t="n">
        <v>64</v>
      </c>
      <c r="E4814" s="23" t="s">
        <v>246</v>
      </c>
      <c r="F4814" s="10" t="s">
        <v>471</v>
      </c>
    </row>
    <row r="4815" customFormat="false" ht="15" hidden="false" customHeight="false" outlineLevel="0" collapsed="false">
      <c r="A4815" s="4" t="str">
        <f aca="false">B4815&amp;"|"&amp;C4815</f>
        <v>tdbR00000141 His-GUG|65</v>
      </c>
      <c r="B4815" s="4" t="s">
        <v>103</v>
      </c>
      <c r="C4815" s="4" t="s">
        <v>488</v>
      </c>
      <c r="D4815" s="4" t="n">
        <v>65</v>
      </c>
      <c r="E4815" s="23" t="s">
        <v>259</v>
      </c>
      <c r="F4815" s="10" t="s">
        <v>471</v>
      </c>
    </row>
    <row r="4816" customFormat="false" ht="15" hidden="false" customHeight="false" outlineLevel="0" collapsed="false">
      <c r="A4816" s="4" t="str">
        <f aca="false">B4816&amp;"|"&amp;C4816</f>
        <v>tdbR00000141 His-GUG|66</v>
      </c>
      <c r="B4816" s="4" t="s">
        <v>103</v>
      </c>
      <c r="C4816" s="4" t="s">
        <v>489</v>
      </c>
      <c r="D4816" s="4" t="n">
        <v>66</v>
      </c>
      <c r="E4816" s="17" t="s">
        <v>259</v>
      </c>
      <c r="F4816" s="18" t="s">
        <v>412</v>
      </c>
    </row>
    <row r="4817" customFormat="false" ht="15" hidden="false" customHeight="false" outlineLevel="0" collapsed="false">
      <c r="A4817" s="4" t="str">
        <f aca="false">B4817&amp;"|"&amp;C4817</f>
        <v>tdbR00000141 His-GUG|67</v>
      </c>
      <c r="B4817" s="4" t="s">
        <v>103</v>
      </c>
      <c r="C4817" s="4" t="s">
        <v>490</v>
      </c>
      <c r="D4817" s="4" t="n">
        <v>67</v>
      </c>
      <c r="E4817" s="17" t="s">
        <v>246</v>
      </c>
      <c r="F4817" s="18" t="s">
        <v>412</v>
      </c>
    </row>
    <row r="4818" customFormat="false" ht="15" hidden="false" customHeight="false" outlineLevel="0" collapsed="false">
      <c r="A4818" s="4" t="str">
        <f aca="false">B4818&amp;"|"&amp;C4818</f>
        <v>tdbR00000141 His-GUG|68</v>
      </c>
      <c r="B4818" s="4" t="s">
        <v>103</v>
      </c>
      <c r="C4818" s="4" t="s">
        <v>491</v>
      </c>
      <c r="D4818" s="4" t="n">
        <v>68</v>
      </c>
      <c r="E4818" s="17" t="s">
        <v>197</v>
      </c>
      <c r="F4818" s="18" t="s">
        <v>412</v>
      </c>
    </row>
    <row r="4819" customFormat="false" ht="15" hidden="false" customHeight="false" outlineLevel="0" collapsed="false">
      <c r="A4819" s="4" t="str">
        <f aca="false">B4819&amp;"|"&amp;C4819</f>
        <v>tdbR00000141 His-GUG|69</v>
      </c>
      <c r="B4819" s="4" t="s">
        <v>103</v>
      </c>
      <c r="C4819" s="4" t="s">
        <v>492</v>
      </c>
      <c r="D4819" s="4" t="n">
        <v>69</v>
      </c>
      <c r="E4819" s="17" t="s">
        <v>414</v>
      </c>
      <c r="F4819" s="18" t="s">
        <v>412</v>
      </c>
    </row>
    <row r="4820" customFormat="false" ht="15" hidden="false" customHeight="false" outlineLevel="0" collapsed="false">
      <c r="A4820" s="4" t="str">
        <f aca="false">B4820&amp;"|"&amp;C4820</f>
        <v>tdbR00000141 His-GUG|70</v>
      </c>
      <c r="B4820" s="4" t="s">
        <v>103</v>
      </c>
      <c r="C4820" s="4" t="s">
        <v>493</v>
      </c>
      <c r="D4820" s="4" t="n">
        <v>70</v>
      </c>
      <c r="E4820" s="17" t="s">
        <v>414</v>
      </c>
      <c r="F4820" s="18" t="s">
        <v>412</v>
      </c>
    </row>
    <row r="4821" customFormat="false" ht="15" hidden="false" customHeight="false" outlineLevel="0" collapsed="false">
      <c r="A4821" s="4" t="str">
        <f aca="false">B4821&amp;"|"&amp;C4821</f>
        <v>tdbR00000141 His-GUG|71</v>
      </c>
      <c r="B4821" s="4" t="s">
        <v>103</v>
      </c>
      <c r="C4821" s="4" t="s">
        <v>494</v>
      </c>
      <c r="D4821" s="4" t="n">
        <v>71</v>
      </c>
      <c r="E4821" s="17" t="s">
        <v>246</v>
      </c>
      <c r="F4821" s="18" t="s">
        <v>412</v>
      </c>
    </row>
    <row r="4822" customFormat="false" ht="15" hidden="false" customHeight="false" outlineLevel="0" collapsed="false">
      <c r="A4822" s="4" t="str">
        <f aca="false">B4822&amp;"|"&amp;C4822</f>
        <v>tdbR00000141 His-GUG|72</v>
      </c>
      <c r="B4822" s="4" t="s">
        <v>103</v>
      </c>
      <c r="C4822" s="4" t="s">
        <v>495</v>
      </c>
      <c r="D4822" s="4" t="n">
        <v>72</v>
      </c>
      <c r="E4822" s="17" t="s">
        <v>414</v>
      </c>
      <c r="F4822" s="18" t="s">
        <v>412</v>
      </c>
    </row>
    <row r="4823" customFormat="false" ht="15" hidden="false" customHeight="false" outlineLevel="0" collapsed="false">
      <c r="A4823" s="4" t="str">
        <f aca="false">B4823&amp;"|"&amp;C4823</f>
        <v>tdbR00000317 Pro-CGG|1</v>
      </c>
      <c r="B4823" s="4" t="s">
        <v>104</v>
      </c>
      <c r="C4823" s="4" t="s">
        <v>411</v>
      </c>
      <c r="D4823" s="4" t="n">
        <v>1</v>
      </c>
      <c r="E4823" s="17" t="s">
        <v>414</v>
      </c>
      <c r="F4823" s="18" t="s">
        <v>412</v>
      </c>
    </row>
    <row r="4824" customFormat="false" ht="15" hidden="false" customHeight="false" outlineLevel="0" collapsed="false">
      <c r="A4824" s="4" t="str">
        <f aca="false">B4824&amp;"|"&amp;C4824</f>
        <v>tdbR00000317 Pro-CGG|2</v>
      </c>
      <c r="B4824" s="4" t="s">
        <v>104</v>
      </c>
      <c r="C4824" s="4" t="s">
        <v>413</v>
      </c>
      <c r="D4824" s="4" t="n">
        <v>2</v>
      </c>
      <c r="E4824" s="17" t="s">
        <v>197</v>
      </c>
      <c r="F4824" s="18" t="s">
        <v>412</v>
      </c>
    </row>
    <row r="4825" customFormat="false" ht="15" hidden="false" customHeight="false" outlineLevel="0" collapsed="false">
      <c r="A4825" s="4" t="str">
        <f aca="false">B4825&amp;"|"&amp;C4825</f>
        <v>tdbR00000317 Pro-CGG|3</v>
      </c>
      <c r="B4825" s="4" t="s">
        <v>104</v>
      </c>
      <c r="C4825" s="4" t="s">
        <v>415</v>
      </c>
      <c r="D4825" s="4" t="n">
        <v>3</v>
      </c>
      <c r="E4825" s="17" t="s">
        <v>197</v>
      </c>
      <c r="F4825" s="18" t="s">
        <v>412</v>
      </c>
    </row>
    <row r="4826" customFormat="false" ht="15" hidden="false" customHeight="false" outlineLevel="0" collapsed="false">
      <c r="A4826" s="4" t="str">
        <f aca="false">B4826&amp;"|"&amp;C4826</f>
        <v>tdbR00000317 Pro-CGG|4</v>
      </c>
      <c r="B4826" s="4" t="s">
        <v>104</v>
      </c>
      <c r="C4826" s="4" t="s">
        <v>416</v>
      </c>
      <c r="D4826" s="4" t="n">
        <v>4</v>
      </c>
      <c r="E4826" s="17" t="s">
        <v>259</v>
      </c>
      <c r="F4826" s="18" t="s">
        <v>412</v>
      </c>
    </row>
    <row r="4827" customFormat="false" ht="15" hidden="false" customHeight="false" outlineLevel="0" collapsed="false">
      <c r="A4827" s="4" t="str">
        <f aca="false">B4827&amp;"|"&amp;C4827</f>
        <v>tdbR00000317 Pro-CGG|5</v>
      </c>
      <c r="B4827" s="4" t="s">
        <v>104</v>
      </c>
      <c r="C4827" s="4" t="s">
        <v>417</v>
      </c>
      <c r="D4827" s="4" t="n">
        <v>5</v>
      </c>
      <c r="E4827" s="17" t="s">
        <v>197</v>
      </c>
      <c r="F4827" s="18" t="s">
        <v>412</v>
      </c>
    </row>
    <row r="4828" customFormat="false" ht="15" hidden="false" customHeight="false" outlineLevel="0" collapsed="false">
      <c r="A4828" s="4" t="str">
        <f aca="false">B4828&amp;"|"&amp;C4828</f>
        <v>tdbR00000317 Pro-CGG|6</v>
      </c>
      <c r="B4828" s="4" t="s">
        <v>104</v>
      </c>
      <c r="C4828" s="4" t="s">
        <v>418</v>
      </c>
      <c r="D4828" s="4" t="n">
        <v>6</v>
      </c>
      <c r="E4828" s="17" t="s">
        <v>246</v>
      </c>
      <c r="F4828" s="18" t="s">
        <v>412</v>
      </c>
    </row>
    <row r="4829" customFormat="false" ht="15" hidden="false" customHeight="false" outlineLevel="0" collapsed="false">
      <c r="A4829" s="4" t="str">
        <f aca="false">B4829&amp;"|"&amp;C4829</f>
        <v>tdbR00000317 Pro-CGG|7</v>
      </c>
      <c r="B4829" s="4" t="s">
        <v>104</v>
      </c>
      <c r="C4829" s="4" t="s">
        <v>419</v>
      </c>
      <c r="D4829" s="4" t="n">
        <v>7</v>
      </c>
      <c r="E4829" s="17" t="s">
        <v>259</v>
      </c>
      <c r="F4829" s="18" t="s">
        <v>412</v>
      </c>
    </row>
    <row r="4830" customFormat="false" ht="15" hidden="false" customHeight="false" outlineLevel="0" collapsed="false">
      <c r="A4830" s="4" t="str">
        <f aca="false">B4830&amp;"|"&amp;C4830</f>
        <v>tdbR00000317 Pro-CGG|8</v>
      </c>
      <c r="B4830" s="4" t="s">
        <v>104</v>
      </c>
      <c r="C4830" s="4" t="s">
        <v>420</v>
      </c>
      <c r="D4830" s="4" t="n">
        <v>8</v>
      </c>
      <c r="E4830" s="3" t="s">
        <v>259</v>
      </c>
      <c r="F4830" s="4" t="s">
        <v>421</v>
      </c>
    </row>
    <row r="4831" customFormat="false" ht="15" hidden="false" customHeight="false" outlineLevel="0" collapsed="false">
      <c r="A4831" s="4" t="str">
        <f aca="false">B4831&amp;"|"&amp;C4831</f>
        <v>tdbR00000317 Pro-CGG|9</v>
      </c>
      <c r="B4831" s="4" t="s">
        <v>104</v>
      </c>
      <c r="C4831" s="4" t="s">
        <v>422</v>
      </c>
      <c r="D4831" s="4" t="n">
        <v>9</v>
      </c>
      <c r="E4831" s="3" t="s">
        <v>197</v>
      </c>
      <c r="F4831" s="4" t="s">
        <v>423</v>
      </c>
    </row>
    <row r="4832" customFormat="false" ht="15" hidden="false" customHeight="false" outlineLevel="0" collapsed="false">
      <c r="A4832" s="4" t="str">
        <f aca="false">B4832&amp;"|"&amp;C4832</f>
        <v>tdbR00000317 Pro-CGG|10</v>
      </c>
      <c r="B4832" s="4" t="s">
        <v>104</v>
      </c>
      <c r="C4832" s="4" t="s">
        <v>424</v>
      </c>
      <c r="D4832" s="4" t="n">
        <v>10</v>
      </c>
      <c r="E4832" s="8" t="s">
        <v>197</v>
      </c>
      <c r="F4832" s="7" t="s">
        <v>425</v>
      </c>
    </row>
    <row r="4833" customFormat="false" ht="15" hidden="false" customHeight="false" outlineLevel="0" collapsed="false">
      <c r="A4833" s="4" t="str">
        <f aca="false">B4833&amp;"|"&amp;C4833</f>
        <v>tdbR00000317 Pro-CGG|11</v>
      </c>
      <c r="B4833" s="4" t="s">
        <v>104</v>
      </c>
      <c r="C4833" s="4" t="s">
        <v>426</v>
      </c>
      <c r="D4833" s="4" t="n">
        <v>11</v>
      </c>
      <c r="E4833" s="8" t="s">
        <v>414</v>
      </c>
      <c r="F4833" s="7" t="s">
        <v>425</v>
      </c>
    </row>
    <row r="4834" customFormat="false" ht="15" hidden="false" customHeight="false" outlineLevel="0" collapsed="false">
      <c r="A4834" s="4" t="str">
        <f aca="false">B4834&amp;"|"&amp;C4834</f>
        <v>tdbR00000317 Pro-CGG|12</v>
      </c>
      <c r="B4834" s="4" t="s">
        <v>104</v>
      </c>
      <c r="C4834" s="4" t="s">
        <v>427</v>
      </c>
      <c r="D4834" s="4" t="n">
        <v>12</v>
      </c>
      <c r="E4834" s="8" t="s">
        <v>197</v>
      </c>
      <c r="F4834" s="7" t="s">
        <v>425</v>
      </c>
    </row>
    <row r="4835" customFormat="false" ht="15" hidden="false" customHeight="false" outlineLevel="0" collapsed="false">
      <c r="A4835" s="4" t="str">
        <f aca="false">B4835&amp;"|"&amp;C4835</f>
        <v>tdbR00000317 Pro-CGG|13</v>
      </c>
      <c r="B4835" s="4" t="s">
        <v>104</v>
      </c>
      <c r="C4835" s="4" t="s">
        <v>428</v>
      </c>
      <c r="D4835" s="4" t="n">
        <v>13</v>
      </c>
      <c r="E4835" s="8" t="s">
        <v>414</v>
      </c>
      <c r="F4835" s="7" t="s">
        <v>425</v>
      </c>
    </row>
    <row r="4836" customFormat="false" ht="15" hidden="false" customHeight="false" outlineLevel="0" collapsed="false">
      <c r="A4836" s="4" t="str">
        <f aca="false">B4836&amp;"|"&amp;C4836</f>
        <v>tdbR00000317 Pro-CGG|14</v>
      </c>
      <c r="B4836" s="4" t="s">
        <v>104</v>
      </c>
      <c r="C4836" s="4" t="s">
        <v>429</v>
      </c>
      <c r="D4836" s="4" t="n">
        <v>14</v>
      </c>
      <c r="E4836" s="19" t="s">
        <v>246</v>
      </c>
      <c r="F4836" s="20" t="s">
        <v>430</v>
      </c>
    </row>
    <row r="4837" customFormat="false" ht="15" hidden="false" customHeight="false" outlineLevel="0" collapsed="false">
      <c r="A4837" s="4" t="str">
        <f aca="false">B4837&amp;"|"&amp;C4837</f>
        <v>tdbR00000317 Pro-CGG|15</v>
      </c>
      <c r="B4837" s="4" t="s">
        <v>104</v>
      </c>
      <c r="C4837" s="4" t="s">
        <v>431</v>
      </c>
      <c r="D4837" s="4" t="n">
        <v>15</v>
      </c>
      <c r="E4837" s="19" t="s">
        <v>197</v>
      </c>
      <c r="F4837" s="20" t="s">
        <v>430</v>
      </c>
    </row>
    <row r="4838" customFormat="false" ht="15" hidden="false" customHeight="false" outlineLevel="0" collapsed="false">
      <c r="A4838" s="4" t="str">
        <f aca="false">B4838&amp;"|"&amp;C4838</f>
        <v>tdbR00000317 Pro-CGG|16</v>
      </c>
      <c r="B4838" s="4" t="s">
        <v>104</v>
      </c>
      <c r="C4838" s="4" t="s">
        <v>432</v>
      </c>
      <c r="D4838" s="4" t="n">
        <v>16</v>
      </c>
      <c r="E4838" s="19" t="s">
        <v>414</v>
      </c>
      <c r="F4838" s="20" t="s">
        <v>430</v>
      </c>
    </row>
    <row r="4839" customFormat="false" ht="15" hidden="false" customHeight="false" outlineLevel="0" collapsed="false">
      <c r="A4839" s="4" t="str">
        <f aca="false">B4839&amp;"|"&amp;C4839</f>
        <v>tdbR00000317 Pro-CGG|17</v>
      </c>
      <c r="B4839" s="4" t="s">
        <v>104</v>
      </c>
      <c r="C4839" s="4" t="s">
        <v>433</v>
      </c>
      <c r="D4839" s="4" t="n">
        <v>17</v>
      </c>
      <c r="E4839" s="19" t="s">
        <v>414</v>
      </c>
      <c r="F4839" s="20" t="s">
        <v>430</v>
      </c>
    </row>
    <row r="4840" customFormat="false" ht="15" hidden="false" customHeight="false" outlineLevel="0" collapsed="false">
      <c r="A4840" s="4" t="str">
        <f aca="false">B4840&amp;"|"&amp;C4840</f>
        <v>tdbR00000317 Pro-CGG|17a</v>
      </c>
      <c r="B4840" s="4" t="s">
        <v>104</v>
      </c>
      <c r="C4840" s="4" t="s">
        <v>496</v>
      </c>
      <c r="D4840" s="4" t="n">
        <v>18</v>
      </c>
      <c r="E4840" s="19" t="s">
        <v>259</v>
      </c>
      <c r="F4840" s="20" t="s">
        <v>430</v>
      </c>
    </row>
    <row r="4841" customFormat="false" ht="15" hidden="false" customHeight="false" outlineLevel="0" collapsed="false">
      <c r="A4841" s="4" t="str">
        <f aca="false">B4841&amp;"|"&amp;C4841</f>
        <v>tdbR00000317 Pro-CGG|18</v>
      </c>
      <c r="B4841" s="4" t="s">
        <v>104</v>
      </c>
      <c r="C4841" s="4" t="s">
        <v>434</v>
      </c>
      <c r="D4841" s="4" t="n">
        <v>19</v>
      </c>
      <c r="E4841" s="19" t="s">
        <v>197</v>
      </c>
      <c r="F4841" s="20" t="s">
        <v>430</v>
      </c>
    </row>
    <row r="4842" customFormat="false" ht="15" hidden="false" customHeight="false" outlineLevel="0" collapsed="false">
      <c r="A4842" s="4" t="str">
        <f aca="false">B4842&amp;"|"&amp;C4842</f>
        <v>tdbR00000317 Pro-CGG|19</v>
      </c>
      <c r="B4842" s="4" t="s">
        <v>104</v>
      </c>
      <c r="C4842" s="4" t="s">
        <v>435</v>
      </c>
      <c r="D4842" s="4" t="n">
        <v>20</v>
      </c>
      <c r="E4842" s="19" t="s">
        <v>197</v>
      </c>
      <c r="F4842" s="20" t="s">
        <v>430</v>
      </c>
    </row>
    <row r="4843" customFormat="false" ht="15" hidden="false" customHeight="false" outlineLevel="0" collapsed="false">
      <c r="A4843" s="4" t="str">
        <f aca="false">B4843&amp;"|"&amp;C4843</f>
        <v>tdbR00000317 Pro-CGG|20</v>
      </c>
      <c r="B4843" s="4" t="s">
        <v>104</v>
      </c>
      <c r="C4843" s="4" t="s">
        <v>436</v>
      </c>
      <c r="D4843" s="4" t="n">
        <v>21</v>
      </c>
      <c r="E4843" s="19" t="s">
        <v>259</v>
      </c>
      <c r="F4843" s="20" t="s">
        <v>430</v>
      </c>
    </row>
    <row r="4844" customFormat="false" ht="15" hidden="false" customHeight="false" outlineLevel="0" collapsed="false">
      <c r="A4844" s="4" t="str">
        <f aca="false">B4844&amp;"|"&amp;C4844</f>
        <v>tdbR00000317 Pro-CGG|21</v>
      </c>
      <c r="B4844" s="4" t="s">
        <v>104</v>
      </c>
      <c r="C4844" s="4" t="s">
        <v>438</v>
      </c>
      <c r="D4844" s="4" t="n">
        <v>22</v>
      </c>
      <c r="E4844" s="19" t="s">
        <v>246</v>
      </c>
      <c r="F4844" s="20" t="s">
        <v>430</v>
      </c>
    </row>
    <row r="4845" customFormat="false" ht="15" hidden="false" customHeight="false" outlineLevel="0" collapsed="false">
      <c r="A4845" s="4" t="str">
        <f aca="false">B4845&amp;"|"&amp;C4845</f>
        <v>tdbR00000317 Pro-CGG|22</v>
      </c>
      <c r="B4845" s="4" t="s">
        <v>104</v>
      </c>
      <c r="C4845" s="4" t="s">
        <v>439</v>
      </c>
      <c r="D4845" s="4" t="n">
        <v>23</v>
      </c>
      <c r="E4845" s="8" t="s">
        <v>197</v>
      </c>
      <c r="F4845" s="7" t="s">
        <v>425</v>
      </c>
    </row>
    <row r="4846" customFormat="false" ht="15" hidden="false" customHeight="false" outlineLevel="0" collapsed="false">
      <c r="A4846" s="4" t="str">
        <f aca="false">B4846&amp;"|"&amp;C4846</f>
        <v>tdbR00000317 Pro-CGG|23</v>
      </c>
      <c r="B4846" s="4" t="s">
        <v>104</v>
      </c>
      <c r="C4846" s="4" t="s">
        <v>440</v>
      </c>
      <c r="D4846" s="4" t="n">
        <v>24</v>
      </c>
      <c r="E4846" s="8" t="s">
        <v>414</v>
      </c>
      <c r="F4846" s="7" t="s">
        <v>425</v>
      </c>
    </row>
    <row r="4847" customFormat="false" ht="15" hidden="false" customHeight="false" outlineLevel="0" collapsed="false">
      <c r="A4847" s="4" t="str">
        <f aca="false">B4847&amp;"|"&amp;C4847</f>
        <v>tdbR00000317 Pro-CGG|24</v>
      </c>
      <c r="B4847" s="4" t="s">
        <v>104</v>
      </c>
      <c r="C4847" s="4" t="s">
        <v>441</v>
      </c>
      <c r="D4847" s="4" t="n">
        <v>25</v>
      </c>
      <c r="E4847" s="8" t="s">
        <v>197</v>
      </c>
      <c r="F4847" s="7" t="s">
        <v>425</v>
      </c>
    </row>
    <row r="4848" customFormat="false" ht="15" hidden="false" customHeight="false" outlineLevel="0" collapsed="false">
      <c r="A4848" s="4" t="str">
        <f aca="false">B4848&amp;"|"&amp;C4848</f>
        <v>tdbR00000317 Pro-CGG|25</v>
      </c>
      <c r="B4848" s="4" t="s">
        <v>104</v>
      </c>
      <c r="C4848" s="4" t="s">
        <v>442</v>
      </c>
      <c r="D4848" s="4" t="n">
        <v>26</v>
      </c>
      <c r="E4848" s="8" t="s">
        <v>414</v>
      </c>
      <c r="F4848" s="7" t="s">
        <v>425</v>
      </c>
    </row>
    <row r="4849" customFormat="false" ht="15" hidden="false" customHeight="false" outlineLevel="0" collapsed="false">
      <c r="A4849" s="4" t="str">
        <f aca="false">B4849&amp;"|"&amp;C4849</f>
        <v>tdbR00000317 Pro-CGG|26</v>
      </c>
      <c r="B4849" s="4" t="s">
        <v>104</v>
      </c>
      <c r="C4849" s="4" t="s">
        <v>443</v>
      </c>
      <c r="D4849" s="4" t="n">
        <v>27</v>
      </c>
      <c r="E4849" s="3" t="s">
        <v>246</v>
      </c>
      <c r="F4849" s="4" t="s">
        <v>444</v>
      </c>
    </row>
    <row r="4850" customFormat="false" ht="15" hidden="false" customHeight="false" outlineLevel="0" collapsed="false">
      <c r="A4850" s="4" t="str">
        <f aca="false">B4850&amp;"|"&amp;C4850</f>
        <v>tdbR00000317 Pro-CGG|27</v>
      </c>
      <c r="B4850" s="4" t="s">
        <v>104</v>
      </c>
      <c r="C4850" s="4" t="s">
        <v>445</v>
      </c>
      <c r="D4850" s="4" t="n">
        <v>28</v>
      </c>
      <c r="E4850" s="21" t="s">
        <v>414</v>
      </c>
      <c r="F4850" s="22" t="s">
        <v>446</v>
      </c>
    </row>
    <row r="4851" customFormat="false" ht="15" hidden="false" customHeight="false" outlineLevel="0" collapsed="false">
      <c r="A4851" s="4" t="str">
        <f aca="false">B4851&amp;"|"&amp;C4851</f>
        <v>tdbR00000317 Pro-CGG|28</v>
      </c>
      <c r="B4851" s="4" t="s">
        <v>104</v>
      </c>
      <c r="C4851" s="4" t="s">
        <v>447</v>
      </c>
      <c r="D4851" s="4" t="n">
        <v>29</v>
      </c>
      <c r="E4851" s="21" t="s">
        <v>259</v>
      </c>
      <c r="F4851" s="22" t="s">
        <v>446</v>
      </c>
    </row>
    <row r="4852" customFormat="false" ht="15" hidden="false" customHeight="false" outlineLevel="0" collapsed="false">
      <c r="A4852" s="4" t="str">
        <f aca="false">B4852&amp;"|"&amp;C4852</f>
        <v>tdbR00000317 Pro-CGG|29</v>
      </c>
      <c r="B4852" s="4" t="s">
        <v>104</v>
      </c>
      <c r="C4852" s="4" t="s">
        <v>448</v>
      </c>
      <c r="D4852" s="4" t="n">
        <v>30</v>
      </c>
      <c r="E4852" s="21" t="s">
        <v>259</v>
      </c>
      <c r="F4852" s="22" t="s">
        <v>446</v>
      </c>
    </row>
    <row r="4853" customFormat="false" ht="15" hidden="false" customHeight="false" outlineLevel="0" collapsed="false">
      <c r="A4853" s="4" t="str">
        <f aca="false">B4853&amp;"|"&amp;C4853</f>
        <v>tdbR00000317 Pro-CGG|30</v>
      </c>
      <c r="B4853" s="4" t="s">
        <v>104</v>
      </c>
      <c r="C4853" s="4" t="s">
        <v>449</v>
      </c>
      <c r="D4853" s="4" t="n">
        <v>31</v>
      </c>
      <c r="E4853" s="21" t="s">
        <v>414</v>
      </c>
      <c r="F4853" s="22" t="s">
        <v>446</v>
      </c>
    </row>
    <row r="4854" customFormat="false" ht="15" hidden="false" customHeight="false" outlineLevel="0" collapsed="false">
      <c r="A4854" s="4" t="str">
        <f aca="false">B4854&amp;"|"&amp;C4854</f>
        <v>tdbR00000317 Pro-CGG|31</v>
      </c>
      <c r="B4854" s="4" t="s">
        <v>104</v>
      </c>
      <c r="C4854" s="4" t="s">
        <v>450</v>
      </c>
      <c r="D4854" s="4" t="n">
        <v>32</v>
      </c>
      <c r="E4854" s="21" t="s">
        <v>197</v>
      </c>
      <c r="F4854" s="22" t="s">
        <v>446</v>
      </c>
    </row>
    <row r="4855" customFormat="false" ht="15" hidden="false" customHeight="false" outlineLevel="0" collapsed="false">
      <c r="A4855" s="4" t="str">
        <f aca="false">B4855&amp;"|"&amp;C4855</f>
        <v>tdbR00000317 Pro-CGG|32</v>
      </c>
      <c r="B4855" s="4" t="s">
        <v>104</v>
      </c>
      <c r="C4855" s="4" t="s">
        <v>451</v>
      </c>
      <c r="D4855" s="4" t="n">
        <v>33</v>
      </c>
      <c r="E4855" s="19" t="s">
        <v>259</v>
      </c>
      <c r="F4855" s="20" t="s">
        <v>452</v>
      </c>
    </row>
    <row r="4856" customFormat="false" ht="15" hidden="false" customHeight="false" outlineLevel="0" collapsed="false">
      <c r="A4856" s="4" t="str">
        <f aca="false">B4856&amp;"|"&amp;C4856</f>
        <v>tdbR00000317 Pro-CGG|33</v>
      </c>
      <c r="B4856" s="4" t="s">
        <v>104</v>
      </c>
      <c r="C4856" s="4" t="s">
        <v>453</v>
      </c>
      <c r="D4856" s="4" t="n">
        <v>34</v>
      </c>
      <c r="E4856" s="19" t="s">
        <v>259</v>
      </c>
      <c r="F4856" s="20" t="s">
        <v>452</v>
      </c>
    </row>
    <row r="4857" customFormat="false" ht="15" hidden="false" customHeight="false" outlineLevel="0" collapsed="false">
      <c r="A4857" s="4" t="str">
        <f aca="false">B4857&amp;"|"&amp;C4857</f>
        <v>tdbR00000317 Pro-CGG|34</v>
      </c>
      <c r="B4857" s="4" t="s">
        <v>104</v>
      </c>
      <c r="C4857" s="4" t="s">
        <v>454</v>
      </c>
      <c r="D4857" s="4" t="n">
        <v>35</v>
      </c>
      <c r="E4857" s="19" t="s">
        <v>414</v>
      </c>
      <c r="F4857" s="20" t="s">
        <v>452</v>
      </c>
    </row>
    <row r="4858" customFormat="false" ht="15" hidden="false" customHeight="false" outlineLevel="0" collapsed="false">
      <c r="A4858" s="4" t="str">
        <f aca="false">B4858&amp;"|"&amp;C4858</f>
        <v>tdbR00000317 Pro-CGG|35</v>
      </c>
      <c r="B4858" s="4" t="s">
        <v>104</v>
      </c>
      <c r="C4858" s="4" t="s">
        <v>455</v>
      </c>
      <c r="D4858" s="4" t="n">
        <v>36</v>
      </c>
      <c r="E4858" s="19" t="s">
        <v>197</v>
      </c>
      <c r="F4858" s="20" t="s">
        <v>452</v>
      </c>
    </row>
    <row r="4859" customFormat="false" ht="15" hidden="false" customHeight="false" outlineLevel="0" collapsed="false">
      <c r="A4859" s="4" t="str">
        <f aca="false">B4859&amp;"|"&amp;C4859</f>
        <v>tdbR00000317 Pro-CGG|36</v>
      </c>
      <c r="B4859" s="4" t="s">
        <v>104</v>
      </c>
      <c r="C4859" s="4" t="s">
        <v>456</v>
      </c>
      <c r="D4859" s="4" t="n">
        <v>37</v>
      </c>
      <c r="E4859" s="19" t="s">
        <v>197</v>
      </c>
      <c r="F4859" s="20" t="s">
        <v>452</v>
      </c>
    </row>
    <row r="4860" customFormat="false" ht="15" hidden="false" customHeight="false" outlineLevel="0" collapsed="false">
      <c r="A4860" s="4" t="str">
        <f aca="false">B4860&amp;"|"&amp;C4860</f>
        <v>tdbR00000317 Pro-CGG|37</v>
      </c>
      <c r="B4860" s="4" t="s">
        <v>104</v>
      </c>
      <c r="C4860" s="4" t="s">
        <v>457</v>
      </c>
      <c r="D4860" s="4" t="n">
        <v>38</v>
      </c>
      <c r="E4860" s="19" t="s">
        <v>197</v>
      </c>
      <c r="F4860" s="20" t="s">
        <v>452</v>
      </c>
    </row>
    <row r="4861" customFormat="false" ht="15" hidden="false" customHeight="false" outlineLevel="0" collapsed="false">
      <c r="A4861" s="4" t="str">
        <f aca="false">B4861&amp;"|"&amp;C4861</f>
        <v>tdbR00000317 Pro-CGG|38</v>
      </c>
      <c r="B4861" s="4" t="s">
        <v>104</v>
      </c>
      <c r="C4861" s="4" t="s">
        <v>458</v>
      </c>
      <c r="D4861" s="4" t="n">
        <v>39</v>
      </c>
      <c r="E4861" s="19" t="s">
        <v>246</v>
      </c>
      <c r="F4861" s="20" t="s">
        <v>452</v>
      </c>
    </row>
    <row r="4862" customFormat="false" ht="15" hidden="false" customHeight="false" outlineLevel="0" collapsed="false">
      <c r="A4862" s="4" t="str">
        <f aca="false">B4862&amp;"|"&amp;C4862</f>
        <v>tdbR00000317 Pro-CGG|39</v>
      </c>
      <c r="B4862" s="4" t="s">
        <v>104</v>
      </c>
      <c r="C4862" s="4" t="s">
        <v>459</v>
      </c>
      <c r="D4862" s="4" t="n">
        <v>40</v>
      </c>
      <c r="E4862" s="21" t="s">
        <v>414</v>
      </c>
      <c r="F4862" s="22" t="s">
        <v>446</v>
      </c>
    </row>
    <row r="4863" customFormat="false" ht="15" hidden="false" customHeight="false" outlineLevel="0" collapsed="false">
      <c r="A4863" s="4" t="str">
        <f aca="false">B4863&amp;"|"&amp;C4863</f>
        <v>tdbR00000317 Pro-CGG|40</v>
      </c>
      <c r="B4863" s="4" t="s">
        <v>104</v>
      </c>
      <c r="C4863" s="4" t="s">
        <v>460</v>
      </c>
      <c r="D4863" s="4" t="n">
        <v>41</v>
      </c>
      <c r="E4863" s="21" t="s">
        <v>197</v>
      </c>
      <c r="F4863" s="22" t="s">
        <v>446</v>
      </c>
    </row>
    <row r="4864" customFormat="false" ht="15" hidden="false" customHeight="false" outlineLevel="0" collapsed="false">
      <c r="A4864" s="4" t="str">
        <f aca="false">B4864&amp;"|"&amp;C4864</f>
        <v>tdbR00000317 Pro-CGG|41</v>
      </c>
      <c r="B4864" s="4" t="s">
        <v>104</v>
      </c>
      <c r="C4864" s="4" t="s">
        <v>461</v>
      </c>
      <c r="D4864" s="4" t="n">
        <v>42</v>
      </c>
      <c r="E4864" s="21" t="s">
        <v>246</v>
      </c>
      <c r="F4864" s="22" t="s">
        <v>446</v>
      </c>
    </row>
    <row r="4865" customFormat="false" ht="15" hidden="false" customHeight="false" outlineLevel="0" collapsed="false">
      <c r="A4865" s="4" t="str">
        <f aca="false">B4865&amp;"|"&amp;C4865</f>
        <v>tdbR00000317 Pro-CGG|42</v>
      </c>
      <c r="B4865" s="4" t="s">
        <v>104</v>
      </c>
      <c r="C4865" s="4" t="s">
        <v>462</v>
      </c>
      <c r="D4865" s="4" t="n">
        <v>43</v>
      </c>
      <c r="E4865" s="21" t="s">
        <v>246</v>
      </c>
      <c r="F4865" s="22" t="s">
        <v>446</v>
      </c>
    </row>
    <row r="4866" customFormat="false" ht="15" hidden="false" customHeight="false" outlineLevel="0" collapsed="false">
      <c r="A4866" s="4" t="str">
        <f aca="false">B4866&amp;"|"&amp;C4866</f>
        <v>tdbR00000317 Pro-CGG|43</v>
      </c>
      <c r="B4866" s="4" t="s">
        <v>104</v>
      </c>
      <c r="C4866" s="4" t="s">
        <v>463</v>
      </c>
      <c r="D4866" s="4" t="n">
        <v>44</v>
      </c>
      <c r="E4866" s="21" t="s">
        <v>197</v>
      </c>
      <c r="F4866" s="22" t="s">
        <v>446</v>
      </c>
    </row>
    <row r="4867" customFormat="false" ht="15" hidden="false" customHeight="false" outlineLevel="0" collapsed="false">
      <c r="A4867" s="4" t="str">
        <f aca="false">B4867&amp;"|"&amp;C4867</f>
        <v>tdbR00000317 Pro-CGG|44</v>
      </c>
      <c r="B4867" s="4" t="s">
        <v>104</v>
      </c>
      <c r="C4867" s="4" t="s">
        <v>464</v>
      </c>
      <c r="D4867" s="4" t="n">
        <v>45</v>
      </c>
      <c r="E4867" s="19" t="s">
        <v>197</v>
      </c>
      <c r="F4867" s="20" t="s">
        <v>465</v>
      </c>
    </row>
    <row r="4868" customFormat="false" ht="15" hidden="false" customHeight="false" outlineLevel="0" collapsed="false">
      <c r="A4868" s="4" t="str">
        <f aca="false">B4868&amp;"|"&amp;C4868</f>
        <v>tdbR00000317 Pro-CGG|45</v>
      </c>
      <c r="B4868" s="4" t="s">
        <v>104</v>
      </c>
      <c r="C4868" s="4" t="s">
        <v>466</v>
      </c>
      <c r="D4868" s="4" t="n">
        <v>46</v>
      </c>
      <c r="E4868" s="19" t="s">
        <v>197</v>
      </c>
      <c r="F4868" s="20" t="s">
        <v>465</v>
      </c>
    </row>
    <row r="4869" customFormat="false" ht="15" hidden="false" customHeight="false" outlineLevel="0" collapsed="false">
      <c r="A4869" s="4" t="str">
        <f aca="false">B4869&amp;"|"&amp;C4869</f>
        <v>tdbR00000317 Pro-CGG|46</v>
      </c>
      <c r="B4869" s="4" t="s">
        <v>104</v>
      </c>
      <c r="C4869" s="4" t="s">
        <v>467</v>
      </c>
      <c r="D4869" s="4" t="n">
        <v>47</v>
      </c>
      <c r="E4869" s="19" t="s">
        <v>197</v>
      </c>
      <c r="F4869" s="20" t="s">
        <v>465</v>
      </c>
    </row>
    <row r="4870" customFormat="false" ht="15" hidden="false" customHeight="false" outlineLevel="0" collapsed="false">
      <c r="A4870" s="4" t="str">
        <f aca="false">B4870&amp;"|"&amp;C4870</f>
        <v>tdbR00000317 Pro-CGG|47</v>
      </c>
      <c r="B4870" s="4" t="s">
        <v>104</v>
      </c>
      <c r="C4870" s="4" t="s">
        <v>468</v>
      </c>
      <c r="D4870" s="4" t="n">
        <v>48</v>
      </c>
      <c r="E4870" s="19" t="s">
        <v>259</v>
      </c>
      <c r="F4870" s="20" t="s">
        <v>465</v>
      </c>
    </row>
    <row r="4871" customFormat="false" ht="15" hidden="false" customHeight="false" outlineLevel="0" collapsed="false">
      <c r="A4871" s="4" t="str">
        <f aca="false">B4871&amp;"|"&amp;C4871</f>
        <v>tdbR00000317 Pro-CGG|48</v>
      </c>
      <c r="B4871" s="4" t="s">
        <v>104</v>
      </c>
      <c r="C4871" s="4" t="s">
        <v>469</v>
      </c>
      <c r="D4871" s="4" t="n">
        <v>49</v>
      </c>
      <c r="E4871" s="19" t="s">
        <v>414</v>
      </c>
      <c r="F4871" s="20" t="s">
        <v>465</v>
      </c>
    </row>
    <row r="4872" customFormat="false" ht="15" hidden="false" customHeight="false" outlineLevel="0" collapsed="false">
      <c r="A4872" s="4" t="str">
        <f aca="false">B4872&amp;"|"&amp;C4872</f>
        <v>tdbR00000317 Pro-CGG|49</v>
      </c>
      <c r="B4872" s="4" t="s">
        <v>104</v>
      </c>
      <c r="C4872" s="4" t="s">
        <v>470</v>
      </c>
      <c r="D4872" s="4" t="n">
        <v>50</v>
      </c>
      <c r="E4872" s="23" t="s">
        <v>197</v>
      </c>
      <c r="F4872" s="10" t="s">
        <v>471</v>
      </c>
    </row>
    <row r="4873" customFormat="false" ht="15" hidden="false" customHeight="false" outlineLevel="0" collapsed="false">
      <c r="A4873" s="4" t="str">
        <f aca="false">B4873&amp;"|"&amp;C4873</f>
        <v>tdbR00000317 Pro-CGG|50</v>
      </c>
      <c r="B4873" s="4" t="s">
        <v>104</v>
      </c>
      <c r="C4873" s="4" t="s">
        <v>472</v>
      </c>
      <c r="D4873" s="4" t="n">
        <v>51</v>
      </c>
      <c r="E4873" s="23" t="s">
        <v>197</v>
      </c>
      <c r="F4873" s="10" t="s">
        <v>471</v>
      </c>
    </row>
    <row r="4874" customFormat="false" ht="15" hidden="false" customHeight="false" outlineLevel="0" collapsed="false">
      <c r="A4874" s="4" t="str">
        <f aca="false">B4874&amp;"|"&amp;C4874</f>
        <v>tdbR00000317 Pro-CGG|51</v>
      </c>
      <c r="B4874" s="4" t="s">
        <v>104</v>
      </c>
      <c r="C4874" s="4" t="s">
        <v>473</v>
      </c>
      <c r="D4874" s="4" t="n">
        <v>52</v>
      </c>
      <c r="E4874" s="23" t="s">
        <v>246</v>
      </c>
      <c r="F4874" s="10" t="s">
        <v>471</v>
      </c>
    </row>
    <row r="4875" customFormat="false" ht="15" hidden="false" customHeight="false" outlineLevel="0" collapsed="false">
      <c r="A4875" s="4" t="str">
        <f aca="false">B4875&amp;"|"&amp;C4875</f>
        <v>tdbR00000317 Pro-CGG|52</v>
      </c>
      <c r="B4875" s="4" t="s">
        <v>104</v>
      </c>
      <c r="C4875" s="4" t="s">
        <v>474</v>
      </c>
      <c r="D4875" s="4" t="n">
        <v>53</v>
      </c>
      <c r="E4875" s="23" t="s">
        <v>197</v>
      </c>
      <c r="F4875" s="10" t="s">
        <v>471</v>
      </c>
    </row>
    <row r="4876" customFormat="false" ht="15" hidden="false" customHeight="false" outlineLevel="0" collapsed="false">
      <c r="A4876" s="4" t="str">
        <f aca="false">B4876&amp;"|"&amp;C4876</f>
        <v>tdbR00000317 Pro-CGG|53</v>
      </c>
      <c r="B4876" s="4" t="s">
        <v>104</v>
      </c>
      <c r="C4876" s="4" t="s">
        <v>475</v>
      </c>
      <c r="D4876" s="4" t="n">
        <v>54</v>
      </c>
      <c r="E4876" s="23" t="s">
        <v>197</v>
      </c>
      <c r="F4876" s="10" t="s">
        <v>471</v>
      </c>
    </row>
    <row r="4877" customFormat="false" ht="15" hidden="false" customHeight="false" outlineLevel="0" collapsed="false">
      <c r="A4877" s="4" t="str">
        <f aca="false">B4877&amp;"|"&amp;C4877</f>
        <v>tdbR00000317 Pro-CGG|54</v>
      </c>
      <c r="B4877" s="4" t="s">
        <v>104</v>
      </c>
      <c r="C4877" s="4" t="s">
        <v>476</v>
      </c>
      <c r="D4877" s="4" t="n">
        <v>55</v>
      </c>
      <c r="E4877" s="19" t="s">
        <v>259</v>
      </c>
      <c r="F4877" s="20" t="s">
        <v>477</v>
      </c>
    </row>
    <row r="4878" customFormat="false" ht="15" hidden="false" customHeight="false" outlineLevel="0" collapsed="false">
      <c r="A4878" s="4" t="str">
        <f aca="false">B4878&amp;"|"&amp;C4878</f>
        <v>tdbR00000317 Pro-CGG|55</v>
      </c>
      <c r="B4878" s="4" t="s">
        <v>104</v>
      </c>
      <c r="C4878" s="4" t="s">
        <v>478</v>
      </c>
      <c r="D4878" s="4" t="n">
        <v>56</v>
      </c>
      <c r="E4878" s="19" t="s">
        <v>259</v>
      </c>
      <c r="F4878" s="20" t="s">
        <v>477</v>
      </c>
    </row>
    <row r="4879" customFormat="false" ht="15" hidden="false" customHeight="false" outlineLevel="0" collapsed="false">
      <c r="A4879" s="4" t="str">
        <f aca="false">B4879&amp;"|"&amp;C4879</f>
        <v>tdbR00000317 Pro-CGG|56</v>
      </c>
      <c r="B4879" s="4" t="s">
        <v>104</v>
      </c>
      <c r="C4879" s="4" t="s">
        <v>479</v>
      </c>
      <c r="D4879" s="4" t="n">
        <v>57</v>
      </c>
      <c r="E4879" s="19" t="s">
        <v>414</v>
      </c>
      <c r="F4879" s="20" t="s">
        <v>477</v>
      </c>
    </row>
    <row r="4880" customFormat="false" ht="15" hidden="false" customHeight="false" outlineLevel="0" collapsed="false">
      <c r="A4880" s="4" t="str">
        <f aca="false">B4880&amp;"|"&amp;C4880</f>
        <v>tdbR00000317 Pro-CGG|57</v>
      </c>
      <c r="B4880" s="4" t="s">
        <v>104</v>
      </c>
      <c r="C4880" s="4" t="s">
        <v>480</v>
      </c>
      <c r="D4880" s="4" t="n">
        <v>58</v>
      </c>
      <c r="E4880" s="19" t="s">
        <v>197</v>
      </c>
      <c r="F4880" s="20" t="s">
        <v>477</v>
      </c>
    </row>
    <row r="4881" customFormat="false" ht="15" hidden="false" customHeight="false" outlineLevel="0" collapsed="false">
      <c r="A4881" s="4" t="str">
        <f aca="false">B4881&amp;"|"&amp;C4881</f>
        <v>tdbR00000317 Pro-CGG|58</v>
      </c>
      <c r="B4881" s="4" t="s">
        <v>104</v>
      </c>
      <c r="C4881" s="4" t="s">
        <v>481</v>
      </c>
      <c r="D4881" s="4" t="n">
        <v>59</v>
      </c>
      <c r="E4881" s="19" t="s">
        <v>246</v>
      </c>
      <c r="F4881" s="20" t="s">
        <v>477</v>
      </c>
    </row>
    <row r="4882" customFormat="false" ht="15" hidden="false" customHeight="false" outlineLevel="0" collapsed="false">
      <c r="A4882" s="4" t="str">
        <f aca="false">B4882&amp;"|"&amp;C4882</f>
        <v>tdbR00000317 Pro-CGG|59</v>
      </c>
      <c r="B4882" s="4" t="s">
        <v>104</v>
      </c>
      <c r="C4882" s="4" t="s">
        <v>482</v>
      </c>
      <c r="D4882" s="4" t="n">
        <v>60</v>
      </c>
      <c r="E4882" s="19" t="s">
        <v>246</v>
      </c>
      <c r="F4882" s="20" t="s">
        <v>477</v>
      </c>
    </row>
    <row r="4883" customFormat="false" ht="15" hidden="false" customHeight="false" outlineLevel="0" collapsed="false">
      <c r="A4883" s="4" t="str">
        <f aca="false">B4883&amp;"|"&amp;C4883</f>
        <v>tdbR00000317 Pro-CGG|60</v>
      </c>
      <c r="B4883" s="4" t="s">
        <v>104</v>
      </c>
      <c r="C4883" s="4" t="s">
        <v>483</v>
      </c>
      <c r="D4883" s="4" t="n">
        <v>61</v>
      </c>
      <c r="E4883" s="19" t="s">
        <v>259</v>
      </c>
      <c r="F4883" s="20" t="s">
        <v>477</v>
      </c>
    </row>
    <row r="4884" customFormat="false" ht="15" hidden="false" customHeight="false" outlineLevel="0" collapsed="false">
      <c r="A4884" s="4" t="str">
        <f aca="false">B4884&amp;"|"&amp;C4884</f>
        <v>tdbR00000317 Pro-CGG|61</v>
      </c>
      <c r="B4884" s="4" t="s">
        <v>104</v>
      </c>
      <c r="C4884" s="4" t="s">
        <v>484</v>
      </c>
      <c r="D4884" s="4" t="n">
        <v>62</v>
      </c>
      <c r="E4884" s="23" t="s">
        <v>414</v>
      </c>
      <c r="F4884" s="10" t="s">
        <v>471</v>
      </c>
    </row>
    <row r="4885" customFormat="false" ht="15" hidden="false" customHeight="false" outlineLevel="0" collapsed="false">
      <c r="A4885" s="4" t="str">
        <f aca="false">B4885&amp;"|"&amp;C4885</f>
        <v>tdbR00000317 Pro-CGG|62</v>
      </c>
      <c r="B4885" s="4" t="s">
        <v>104</v>
      </c>
      <c r="C4885" s="4" t="s">
        <v>485</v>
      </c>
      <c r="D4885" s="4" t="n">
        <v>63</v>
      </c>
      <c r="E4885" s="23" t="s">
        <v>414</v>
      </c>
      <c r="F4885" s="10" t="s">
        <v>471</v>
      </c>
    </row>
    <row r="4886" customFormat="false" ht="15" hidden="false" customHeight="false" outlineLevel="0" collapsed="false">
      <c r="A4886" s="4" t="str">
        <f aca="false">B4886&amp;"|"&amp;C4886</f>
        <v>tdbR00000317 Pro-CGG|63</v>
      </c>
      <c r="B4886" s="4" t="s">
        <v>104</v>
      </c>
      <c r="C4886" s="4" t="s">
        <v>486</v>
      </c>
      <c r="D4886" s="4" t="n">
        <v>64</v>
      </c>
      <c r="E4886" s="23" t="s">
        <v>259</v>
      </c>
      <c r="F4886" s="10" t="s">
        <v>471</v>
      </c>
    </row>
    <row r="4887" customFormat="false" ht="15" hidden="false" customHeight="false" outlineLevel="0" collapsed="false">
      <c r="A4887" s="4" t="str">
        <f aca="false">B4887&amp;"|"&amp;C4887</f>
        <v>tdbR00000317 Pro-CGG|64</v>
      </c>
      <c r="B4887" s="4" t="s">
        <v>104</v>
      </c>
      <c r="C4887" s="4" t="s">
        <v>487</v>
      </c>
      <c r="D4887" s="4" t="n">
        <v>65</v>
      </c>
      <c r="E4887" s="23" t="s">
        <v>414</v>
      </c>
      <c r="F4887" s="10" t="s">
        <v>471</v>
      </c>
    </row>
    <row r="4888" customFormat="false" ht="15" hidden="false" customHeight="false" outlineLevel="0" collapsed="false">
      <c r="A4888" s="4" t="str">
        <f aca="false">B4888&amp;"|"&amp;C4888</f>
        <v>tdbR00000317 Pro-CGG|65</v>
      </c>
      <c r="B4888" s="4" t="s">
        <v>104</v>
      </c>
      <c r="C4888" s="4" t="s">
        <v>488</v>
      </c>
      <c r="D4888" s="4" t="n">
        <v>66</v>
      </c>
      <c r="E4888" s="23" t="s">
        <v>259</v>
      </c>
      <c r="F4888" s="10" t="s">
        <v>471</v>
      </c>
    </row>
    <row r="4889" customFormat="false" ht="15" hidden="false" customHeight="false" outlineLevel="0" collapsed="false">
      <c r="A4889" s="4" t="str">
        <f aca="false">B4889&amp;"|"&amp;C4889</f>
        <v>tdbR00000317 Pro-CGG|66</v>
      </c>
      <c r="B4889" s="4" t="s">
        <v>104</v>
      </c>
      <c r="C4889" s="4" t="s">
        <v>489</v>
      </c>
      <c r="D4889" s="4" t="n">
        <v>67</v>
      </c>
      <c r="E4889" s="17" t="s">
        <v>246</v>
      </c>
      <c r="F4889" s="18" t="s">
        <v>412</v>
      </c>
    </row>
    <row r="4890" customFormat="false" ht="15" hidden="false" customHeight="false" outlineLevel="0" collapsed="false">
      <c r="A4890" s="4" t="str">
        <f aca="false">B4890&amp;"|"&amp;C4890</f>
        <v>tdbR00000317 Pro-CGG|67</v>
      </c>
      <c r="B4890" s="4" t="s">
        <v>104</v>
      </c>
      <c r="C4890" s="4" t="s">
        <v>490</v>
      </c>
      <c r="D4890" s="4" t="n">
        <v>68</v>
      </c>
      <c r="E4890" s="17" t="s">
        <v>259</v>
      </c>
      <c r="F4890" s="18" t="s">
        <v>412</v>
      </c>
    </row>
    <row r="4891" customFormat="false" ht="15" hidden="false" customHeight="false" outlineLevel="0" collapsed="false">
      <c r="A4891" s="4" t="str">
        <f aca="false">B4891&amp;"|"&amp;C4891</f>
        <v>tdbR00000317 Pro-CGG|68</v>
      </c>
      <c r="B4891" s="4" t="s">
        <v>104</v>
      </c>
      <c r="C4891" s="4" t="s">
        <v>491</v>
      </c>
      <c r="D4891" s="4" t="n">
        <v>69</v>
      </c>
      <c r="E4891" s="17" t="s">
        <v>414</v>
      </c>
      <c r="F4891" s="18" t="s">
        <v>412</v>
      </c>
    </row>
    <row r="4892" customFormat="false" ht="15" hidden="false" customHeight="false" outlineLevel="0" collapsed="false">
      <c r="A4892" s="4" t="str">
        <f aca="false">B4892&amp;"|"&amp;C4892</f>
        <v>tdbR00000317 Pro-CGG|69</v>
      </c>
      <c r="B4892" s="4" t="s">
        <v>104</v>
      </c>
      <c r="C4892" s="4" t="s">
        <v>492</v>
      </c>
      <c r="D4892" s="4" t="n">
        <v>70</v>
      </c>
      <c r="E4892" s="17" t="s">
        <v>246</v>
      </c>
      <c r="F4892" s="18" t="s">
        <v>412</v>
      </c>
    </row>
    <row r="4893" customFormat="false" ht="15" hidden="false" customHeight="false" outlineLevel="0" collapsed="false">
      <c r="A4893" s="4" t="str">
        <f aca="false">B4893&amp;"|"&amp;C4893</f>
        <v>tdbR00000317 Pro-CGG|70</v>
      </c>
      <c r="B4893" s="4" t="s">
        <v>104</v>
      </c>
      <c r="C4893" s="4" t="s">
        <v>493</v>
      </c>
      <c r="D4893" s="4" t="n">
        <v>71</v>
      </c>
      <c r="E4893" s="17" t="s">
        <v>414</v>
      </c>
      <c r="F4893" s="18" t="s">
        <v>412</v>
      </c>
    </row>
    <row r="4894" customFormat="false" ht="15" hidden="false" customHeight="false" outlineLevel="0" collapsed="false">
      <c r="A4894" s="4" t="str">
        <f aca="false">B4894&amp;"|"&amp;C4894</f>
        <v>tdbR00000317 Pro-CGG|71</v>
      </c>
      <c r="B4894" s="4" t="s">
        <v>104</v>
      </c>
      <c r="C4894" s="4" t="s">
        <v>494</v>
      </c>
      <c r="D4894" s="4" t="n">
        <v>72</v>
      </c>
      <c r="E4894" s="17" t="s">
        <v>414</v>
      </c>
      <c r="F4894" s="18" t="s">
        <v>412</v>
      </c>
    </row>
    <row r="4895" customFormat="false" ht="15" hidden="false" customHeight="false" outlineLevel="0" collapsed="false">
      <c r="A4895" s="4" t="str">
        <f aca="false">B4895&amp;"|"&amp;C4895</f>
        <v>tdbR00000317 Pro-CGG|72</v>
      </c>
      <c r="B4895" s="4" t="s">
        <v>104</v>
      </c>
      <c r="C4895" s="4" t="s">
        <v>495</v>
      </c>
      <c r="D4895" s="4" t="n">
        <v>73</v>
      </c>
      <c r="E4895" s="17" t="s">
        <v>197</v>
      </c>
      <c r="F4895" s="18" t="s">
        <v>412</v>
      </c>
    </row>
    <row r="4896" customFormat="false" ht="15" hidden="false" customHeight="false" outlineLevel="0" collapsed="false">
      <c r="A4896" s="4" t="str">
        <f aca="false">B4896&amp;"|"&amp;C4896</f>
        <v>tdbR00000318 Pro-GGG|1</v>
      </c>
      <c r="B4896" s="4" t="s">
        <v>105</v>
      </c>
      <c r="C4896" s="4" t="s">
        <v>411</v>
      </c>
      <c r="D4896" s="4" t="n">
        <v>1</v>
      </c>
      <c r="E4896" s="17" t="s">
        <v>414</v>
      </c>
      <c r="F4896" s="18" t="s">
        <v>412</v>
      </c>
    </row>
    <row r="4897" customFormat="false" ht="15" hidden="false" customHeight="false" outlineLevel="0" collapsed="false">
      <c r="A4897" s="4" t="str">
        <f aca="false">B4897&amp;"|"&amp;C4897</f>
        <v>tdbR00000318 Pro-GGG|2</v>
      </c>
      <c r="B4897" s="4" t="s">
        <v>105</v>
      </c>
      <c r="C4897" s="4" t="s">
        <v>413</v>
      </c>
      <c r="D4897" s="4" t="n">
        <v>2</v>
      </c>
      <c r="E4897" s="17" t="s">
        <v>197</v>
      </c>
      <c r="F4897" s="18" t="s">
        <v>412</v>
      </c>
    </row>
    <row r="4898" customFormat="false" ht="15" hidden="false" customHeight="false" outlineLevel="0" collapsed="false">
      <c r="A4898" s="4" t="str">
        <f aca="false">B4898&amp;"|"&amp;C4898</f>
        <v>tdbR00000318 Pro-GGG|3</v>
      </c>
      <c r="B4898" s="4" t="s">
        <v>105</v>
      </c>
      <c r="C4898" s="4" t="s">
        <v>415</v>
      </c>
      <c r="D4898" s="4" t="n">
        <v>3</v>
      </c>
      <c r="E4898" s="17" t="s">
        <v>197</v>
      </c>
      <c r="F4898" s="18" t="s">
        <v>412</v>
      </c>
    </row>
    <row r="4899" customFormat="false" ht="15" hidden="false" customHeight="false" outlineLevel="0" collapsed="false">
      <c r="A4899" s="4" t="str">
        <f aca="false">B4899&amp;"|"&amp;C4899</f>
        <v>tdbR00000318 Pro-GGG|4</v>
      </c>
      <c r="B4899" s="4" t="s">
        <v>105</v>
      </c>
      <c r="C4899" s="4" t="s">
        <v>416</v>
      </c>
      <c r="D4899" s="4" t="n">
        <v>4</v>
      </c>
      <c r="E4899" s="17" t="s">
        <v>414</v>
      </c>
      <c r="F4899" s="18" t="s">
        <v>412</v>
      </c>
    </row>
    <row r="4900" customFormat="false" ht="15" hidden="false" customHeight="false" outlineLevel="0" collapsed="false">
      <c r="A4900" s="4" t="str">
        <f aca="false">B4900&amp;"|"&amp;C4900</f>
        <v>tdbR00000318 Pro-GGG|5</v>
      </c>
      <c r="B4900" s="4" t="s">
        <v>105</v>
      </c>
      <c r="C4900" s="4" t="s">
        <v>417</v>
      </c>
      <c r="D4900" s="4" t="n">
        <v>5</v>
      </c>
      <c r="E4900" s="17" t="s">
        <v>246</v>
      </c>
      <c r="F4900" s="18" t="s">
        <v>412</v>
      </c>
    </row>
    <row r="4901" customFormat="false" ht="15" hidden="false" customHeight="false" outlineLevel="0" collapsed="false">
      <c r="A4901" s="4" t="str">
        <f aca="false">B4901&amp;"|"&amp;C4901</f>
        <v>tdbR00000318 Pro-GGG|6</v>
      </c>
      <c r="B4901" s="4" t="s">
        <v>105</v>
      </c>
      <c r="C4901" s="4" t="s">
        <v>418</v>
      </c>
      <c r="D4901" s="4" t="n">
        <v>6</v>
      </c>
      <c r="E4901" s="17" t="s">
        <v>414</v>
      </c>
      <c r="F4901" s="18" t="s">
        <v>412</v>
      </c>
    </row>
    <row r="4902" customFormat="false" ht="15" hidden="false" customHeight="false" outlineLevel="0" collapsed="false">
      <c r="A4902" s="4" t="str">
        <f aca="false">B4902&amp;"|"&amp;C4902</f>
        <v>tdbR00000318 Pro-GGG|7</v>
      </c>
      <c r="B4902" s="4" t="s">
        <v>105</v>
      </c>
      <c r="C4902" s="4" t="s">
        <v>419</v>
      </c>
      <c r="D4902" s="4" t="n">
        <v>7</v>
      </c>
      <c r="E4902" s="17" t="s">
        <v>197</v>
      </c>
      <c r="F4902" s="18" t="s">
        <v>412</v>
      </c>
    </row>
    <row r="4903" customFormat="false" ht="15" hidden="false" customHeight="false" outlineLevel="0" collapsed="false">
      <c r="A4903" s="4" t="str">
        <f aca="false">B4903&amp;"|"&amp;C4903</f>
        <v>tdbR00000318 Pro-GGG|8</v>
      </c>
      <c r="B4903" s="4" t="s">
        <v>105</v>
      </c>
      <c r="C4903" s="4" t="s">
        <v>420</v>
      </c>
      <c r="D4903" s="4" t="n">
        <v>8</v>
      </c>
      <c r="E4903" s="3" t="s">
        <v>259</v>
      </c>
      <c r="F4903" s="4" t="s">
        <v>421</v>
      </c>
    </row>
    <row r="4904" customFormat="false" ht="15" hidden="false" customHeight="false" outlineLevel="0" collapsed="false">
      <c r="A4904" s="4" t="str">
        <f aca="false">B4904&amp;"|"&amp;C4904</f>
        <v>tdbR00000318 Pro-GGG|9</v>
      </c>
      <c r="B4904" s="4" t="s">
        <v>105</v>
      </c>
      <c r="C4904" s="4" t="s">
        <v>422</v>
      </c>
      <c r="D4904" s="4" t="n">
        <v>9</v>
      </c>
      <c r="E4904" s="3" t="s">
        <v>246</v>
      </c>
      <c r="F4904" s="4" t="s">
        <v>423</v>
      </c>
    </row>
    <row r="4905" customFormat="false" ht="15" hidden="false" customHeight="false" outlineLevel="0" collapsed="false">
      <c r="A4905" s="4" t="str">
        <f aca="false">B4905&amp;"|"&amp;C4905</f>
        <v>tdbR00000318 Pro-GGG|10</v>
      </c>
      <c r="B4905" s="4" t="s">
        <v>105</v>
      </c>
      <c r="C4905" s="4" t="s">
        <v>424</v>
      </c>
      <c r="D4905" s="4" t="n">
        <v>10</v>
      </c>
      <c r="E4905" s="8" t="s">
        <v>197</v>
      </c>
      <c r="F4905" s="7" t="s">
        <v>425</v>
      </c>
    </row>
    <row r="4906" customFormat="false" ht="15" hidden="false" customHeight="false" outlineLevel="0" collapsed="false">
      <c r="A4906" s="4" t="str">
        <f aca="false">B4906&amp;"|"&amp;C4906</f>
        <v>tdbR00000318 Pro-GGG|11</v>
      </c>
      <c r="B4906" s="4" t="s">
        <v>105</v>
      </c>
      <c r="C4906" s="4" t="s">
        <v>426</v>
      </c>
      <c r="D4906" s="4" t="n">
        <v>11</v>
      </c>
      <c r="E4906" s="8" t="s">
        <v>414</v>
      </c>
      <c r="F4906" s="7" t="s">
        <v>425</v>
      </c>
    </row>
    <row r="4907" customFormat="false" ht="15" hidden="false" customHeight="false" outlineLevel="0" collapsed="false">
      <c r="A4907" s="4" t="str">
        <f aca="false">B4907&amp;"|"&amp;C4907</f>
        <v>tdbR00000318 Pro-GGG|12</v>
      </c>
      <c r="B4907" s="4" t="s">
        <v>105</v>
      </c>
      <c r="C4907" s="4" t="s">
        <v>427</v>
      </c>
      <c r="D4907" s="4" t="n">
        <v>12</v>
      </c>
      <c r="E4907" s="8" t="s">
        <v>197</v>
      </c>
      <c r="F4907" s="7" t="s">
        <v>425</v>
      </c>
    </row>
    <row r="4908" customFormat="false" ht="15" hidden="false" customHeight="false" outlineLevel="0" collapsed="false">
      <c r="A4908" s="4" t="str">
        <f aca="false">B4908&amp;"|"&amp;C4908</f>
        <v>tdbR00000318 Pro-GGG|13</v>
      </c>
      <c r="B4908" s="4" t="s">
        <v>105</v>
      </c>
      <c r="C4908" s="4" t="s">
        <v>428</v>
      </c>
      <c r="D4908" s="4" t="n">
        <v>13</v>
      </c>
      <c r="E4908" s="8" t="s">
        <v>414</v>
      </c>
      <c r="F4908" s="7" t="s">
        <v>425</v>
      </c>
    </row>
    <row r="4909" customFormat="false" ht="15" hidden="false" customHeight="false" outlineLevel="0" collapsed="false">
      <c r="A4909" s="4" t="str">
        <f aca="false">B4909&amp;"|"&amp;C4909</f>
        <v>tdbR00000318 Pro-GGG|14</v>
      </c>
      <c r="B4909" s="4" t="s">
        <v>105</v>
      </c>
      <c r="C4909" s="4" t="s">
        <v>429</v>
      </c>
      <c r="D4909" s="4" t="n">
        <v>14</v>
      </c>
      <c r="E4909" s="19" t="s">
        <v>246</v>
      </c>
      <c r="F4909" s="20" t="s">
        <v>430</v>
      </c>
    </row>
    <row r="4910" customFormat="false" ht="15" hidden="false" customHeight="false" outlineLevel="0" collapsed="false">
      <c r="A4910" s="4" t="str">
        <f aca="false">B4910&amp;"|"&amp;C4910</f>
        <v>tdbR00000318 Pro-GGG|15</v>
      </c>
      <c r="B4910" s="4" t="s">
        <v>105</v>
      </c>
      <c r="C4910" s="4" t="s">
        <v>431</v>
      </c>
      <c r="D4910" s="4" t="n">
        <v>15</v>
      </c>
      <c r="E4910" s="19" t="s">
        <v>197</v>
      </c>
      <c r="F4910" s="20" t="s">
        <v>430</v>
      </c>
    </row>
    <row r="4911" customFormat="false" ht="15" hidden="false" customHeight="false" outlineLevel="0" collapsed="false">
      <c r="A4911" s="4" t="str">
        <f aca="false">B4911&amp;"|"&amp;C4911</f>
        <v>tdbR00000318 Pro-GGG|16</v>
      </c>
      <c r="B4911" s="4" t="s">
        <v>105</v>
      </c>
      <c r="C4911" s="4" t="s">
        <v>432</v>
      </c>
      <c r="D4911" s="4" t="n">
        <v>16</v>
      </c>
      <c r="E4911" s="19" t="s">
        <v>414</v>
      </c>
      <c r="F4911" s="20" t="s">
        <v>430</v>
      </c>
    </row>
    <row r="4912" customFormat="false" ht="15" hidden="false" customHeight="false" outlineLevel="0" collapsed="false">
      <c r="A4912" s="4" t="str">
        <f aca="false">B4912&amp;"|"&amp;C4912</f>
        <v>tdbR00000318 Pro-GGG|17</v>
      </c>
      <c r="B4912" s="4" t="s">
        <v>105</v>
      </c>
      <c r="C4912" s="4" t="s">
        <v>433</v>
      </c>
      <c r="D4912" s="4" t="n">
        <v>17</v>
      </c>
      <c r="E4912" s="19" t="s">
        <v>414</v>
      </c>
      <c r="F4912" s="20" t="s">
        <v>430</v>
      </c>
    </row>
    <row r="4913" customFormat="false" ht="15" hidden="false" customHeight="false" outlineLevel="0" collapsed="false">
      <c r="A4913" s="4" t="str">
        <f aca="false">B4913&amp;"|"&amp;C4913</f>
        <v>tdbR00000318 Pro-GGG|17a</v>
      </c>
      <c r="B4913" s="4" t="s">
        <v>105</v>
      </c>
      <c r="C4913" s="4" t="s">
        <v>496</v>
      </c>
      <c r="D4913" s="4" t="n">
        <v>18</v>
      </c>
      <c r="E4913" s="19" t="s">
        <v>259</v>
      </c>
      <c r="F4913" s="20" t="s">
        <v>430</v>
      </c>
    </row>
    <row r="4914" customFormat="false" ht="15" hidden="false" customHeight="false" outlineLevel="0" collapsed="false">
      <c r="A4914" s="4" t="str">
        <f aca="false">B4914&amp;"|"&amp;C4914</f>
        <v>tdbR00000318 Pro-GGG|18</v>
      </c>
      <c r="B4914" s="4" t="s">
        <v>105</v>
      </c>
      <c r="C4914" s="4" t="s">
        <v>434</v>
      </c>
      <c r="D4914" s="4" t="n">
        <v>19</v>
      </c>
      <c r="E4914" s="19" t="s">
        <v>197</v>
      </c>
      <c r="F4914" s="20" t="s">
        <v>430</v>
      </c>
    </row>
    <row r="4915" customFormat="false" ht="15" hidden="false" customHeight="false" outlineLevel="0" collapsed="false">
      <c r="A4915" s="4" t="str">
        <f aca="false">B4915&amp;"|"&amp;C4915</f>
        <v>tdbR00000318 Pro-GGG|19</v>
      </c>
      <c r="B4915" s="4" t="s">
        <v>105</v>
      </c>
      <c r="C4915" s="4" t="s">
        <v>435</v>
      </c>
      <c r="D4915" s="4" t="n">
        <v>20</v>
      </c>
      <c r="E4915" s="19" t="s">
        <v>197</v>
      </c>
      <c r="F4915" s="20" t="s">
        <v>430</v>
      </c>
    </row>
    <row r="4916" customFormat="false" ht="15" hidden="false" customHeight="false" outlineLevel="0" collapsed="false">
      <c r="A4916" s="4" t="str">
        <f aca="false">B4916&amp;"|"&amp;C4916</f>
        <v>tdbR00000318 Pro-GGG|20</v>
      </c>
      <c r="B4916" s="4" t="s">
        <v>105</v>
      </c>
      <c r="C4916" s="4" t="s">
        <v>436</v>
      </c>
      <c r="D4916" s="4" t="n">
        <v>21</v>
      </c>
      <c r="E4916" s="19" t="s">
        <v>259</v>
      </c>
      <c r="F4916" s="20" t="s">
        <v>430</v>
      </c>
    </row>
    <row r="4917" customFormat="false" ht="15" hidden="false" customHeight="false" outlineLevel="0" collapsed="false">
      <c r="A4917" s="4" t="str">
        <f aca="false">B4917&amp;"|"&amp;C4917</f>
        <v>tdbR00000318 Pro-GGG|21</v>
      </c>
      <c r="B4917" s="4" t="s">
        <v>105</v>
      </c>
      <c r="C4917" s="4" t="s">
        <v>438</v>
      </c>
      <c r="D4917" s="4" t="n">
        <v>22</v>
      </c>
      <c r="E4917" s="19" t="s">
        <v>246</v>
      </c>
      <c r="F4917" s="20" t="s">
        <v>430</v>
      </c>
    </row>
    <row r="4918" customFormat="false" ht="15" hidden="false" customHeight="false" outlineLevel="0" collapsed="false">
      <c r="A4918" s="4" t="str">
        <f aca="false">B4918&amp;"|"&amp;C4918</f>
        <v>tdbR00000318 Pro-GGG|22</v>
      </c>
      <c r="B4918" s="4" t="s">
        <v>105</v>
      </c>
      <c r="C4918" s="4" t="s">
        <v>439</v>
      </c>
      <c r="D4918" s="4" t="n">
        <v>23</v>
      </c>
      <c r="E4918" s="8" t="s">
        <v>197</v>
      </c>
      <c r="F4918" s="7" t="s">
        <v>425</v>
      </c>
    </row>
    <row r="4919" customFormat="false" ht="15" hidden="false" customHeight="false" outlineLevel="0" collapsed="false">
      <c r="A4919" s="4" t="str">
        <f aca="false">B4919&amp;"|"&amp;C4919</f>
        <v>tdbR00000318 Pro-GGG|23</v>
      </c>
      <c r="B4919" s="4" t="s">
        <v>105</v>
      </c>
      <c r="C4919" s="4" t="s">
        <v>440</v>
      </c>
      <c r="D4919" s="4" t="n">
        <v>24</v>
      </c>
      <c r="E4919" s="8" t="s">
        <v>414</v>
      </c>
      <c r="F4919" s="7" t="s">
        <v>425</v>
      </c>
    </row>
    <row r="4920" customFormat="false" ht="15" hidden="false" customHeight="false" outlineLevel="0" collapsed="false">
      <c r="A4920" s="4" t="str">
        <f aca="false">B4920&amp;"|"&amp;C4920</f>
        <v>tdbR00000318 Pro-GGG|24</v>
      </c>
      <c r="B4920" s="4" t="s">
        <v>105</v>
      </c>
      <c r="C4920" s="4" t="s">
        <v>441</v>
      </c>
      <c r="D4920" s="4" t="n">
        <v>25</v>
      </c>
      <c r="E4920" s="8" t="s">
        <v>197</v>
      </c>
      <c r="F4920" s="7" t="s">
        <v>425</v>
      </c>
    </row>
    <row r="4921" customFormat="false" ht="15" hidden="false" customHeight="false" outlineLevel="0" collapsed="false">
      <c r="A4921" s="4" t="str">
        <f aca="false">B4921&amp;"|"&amp;C4921</f>
        <v>tdbR00000318 Pro-GGG|25</v>
      </c>
      <c r="B4921" s="4" t="s">
        <v>105</v>
      </c>
      <c r="C4921" s="4" t="s">
        <v>442</v>
      </c>
      <c r="D4921" s="4" t="n">
        <v>26</v>
      </c>
      <c r="E4921" s="8" t="s">
        <v>414</v>
      </c>
      <c r="F4921" s="7" t="s">
        <v>425</v>
      </c>
    </row>
    <row r="4922" customFormat="false" ht="15" hidden="false" customHeight="false" outlineLevel="0" collapsed="false">
      <c r="A4922" s="4" t="str">
        <f aca="false">B4922&amp;"|"&amp;C4922</f>
        <v>tdbR00000318 Pro-GGG|26</v>
      </c>
      <c r="B4922" s="4" t="s">
        <v>105</v>
      </c>
      <c r="C4922" s="4" t="s">
        <v>443</v>
      </c>
      <c r="D4922" s="4" t="n">
        <v>27</v>
      </c>
      <c r="E4922" s="3" t="s">
        <v>246</v>
      </c>
      <c r="F4922" s="4" t="s">
        <v>444</v>
      </c>
    </row>
    <row r="4923" customFormat="false" ht="15" hidden="false" customHeight="false" outlineLevel="0" collapsed="false">
      <c r="A4923" s="4" t="str">
        <f aca="false">B4923&amp;"|"&amp;C4923</f>
        <v>tdbR00000318 Pro-GGG|27</v>
      </c>
      <c r="B4923" s="4" t="s">
        <v>105</v>
      </c>
      <c r="C4923" s="4" t="s">
        <v>445</v>
      </c>
      <c r="D4923" s="4" t="n">
        <v>28</v>
      </c>
      <c r="E4923" s="21" t="s">
        <v>414</v>
      </c>
      <c r="F4923" s="22" t="s">
        <v>446</v>
      </c>
    </row>
    <row r="4924" customFormat="false" ht="15" hidden="false" customHeight="false" outlineLevel="0" collapsed="false">
      <c r="A4924" s="4" t="str">
        <f aca="false">B4924&amp;"|"&amp;C4924</f>
        <v>tdbR00000318 Pro-GGG|28</v>
      </c>
      <c r="B4924" s="4" t="s">
        <v>105</v>
      </c>
      <c r="C4924" s="4" t="s">
        <v>447</v>
      </c>
      <c r="D4924" s="4" t="n">
        <v>29</v>
      </c>
      <c r="E4924" s="21" t="s">
        <v>414</v>
      </c>
      <c r="F4924" s="22" t="s">
        <v>446</v>
      </c>
    </row>
    <row r="4925" customFormat="false" ht="15" hidden="false" customHeight="false" outlineLevel="0" collapsed="false">
      <c r="A4925" s="4" t="str">
        <f aca="false">B4925&amp;"|"&amp;C4925</f>
        <v>tdbR00000318 Pro-GGG|29</v>
      </c>
      <c r="B4925" s="4" t="s">
        <v>105</v>
      </c>
      <c r="C4925" s="4" t="s">
        <v>448</v>
      </c>
      <c r="D4925" s="4" t="n">
        <v>30</v>
      </c>
      <c r="E4925" s="21" t="s">
        <v>197</v>
      </c>
      <c r="F4925" s="22" t="s">
        <v>446</v>
      </c>
    </row>
    <row r="4926" customFormat="false" ht="15" hidden="false" customHeight="false" outlineLevel="0" collapsed="false">
      <c r="A4926" s="4" t="str">
        <f aca="false">B4926&amp;"|"&amp;C4926</f>
        <v>tdbR00000318 Pro-GGG|30</v>
      </c>
      <c r="B4926" s="4" t="s">
        <v>105</v>
      </c>
      <c r="C4926" s="4" t="s">
        <v>449</v>
      </c>
      <c r="D4926" s="4" t="n">
        <v>31</v>
      </c>
      <c r="E4926" s="21" t="s">
        <v>259</v>
      </c>
      <c r="F4926" s="22" t="s">
        <v>446</v>
      </c>
    </row>
    <row r="4927" customFormat="false" ht="15" hidden="false" customHeight="false" outlineLevel="0" collapsed="false">
      <c r="A4927" s="4" t="str">
        <f aca="false">B4927&amp;"|"&amp;C4927</f>
        <v>tdbR00000318 Pro-GGG|31</v>
      </c>
      <c r="B4927" s="4" t="s">
        <v>105</v>
      </c>
      <c r="C4927" s="4" t="s">
        <v>450</v>
      </c>
      <c r="D4927" s="4" t="n">
        <v>32</v>
      </c>
      <c r="E4927" s="21" t="s">
        <v>414</v>
      </c>
      <c r="F4927" s="22" t="s">
        <v>446</v>
      </c>
    </row>
    <row r="4928" customFormat="false" ht="15" hidden="false" customHeight="false" outlineLevel="0" collapsed="false">
      <c r="A4928" s="4" t="str">
        <f aca="false">B4928&amp;"|"&amp;C4928</f>
        <v>tdbR00000318 Pro-GGG|32</v>
      </c>
      <c r="B4928" s="4" t="s">
        <v>105</v>
      </c>
      <c r="C4928" s="4" t="s">
        <v>451</v>
      </c>
      <c r="D4928" s="4" t="n">
        <v>33</v>
      </c>
      <c r="E4928" s="19" t="s">
        <v>414</v>
      </c>
      <c r="F4928" s="20" t="s">
        <v>452</v>
      </c>
    </row>
    <row r="4929" customFormat="false" ht="15" hidden="false" customHeight="false" outlineLevel="0" collapsed="false">
      <c r="A4929" s="4" t="str">
        <f aca="false">B4929&amp;"|"&amp;C4929</f>
        <v>tdbR00000318 Pro-GGG|33</v>
      </c>
      <c r="B4929" s="4" t="s">
        <v>105</v>
      </c>
      <c r="C4929" s="4" t="s">
        <v>453</v>
      </c>
      <c r="D4929" s="4" t="n">
        <v>34</v>
      </c>
      <c r="E4929" s="19" t="s">
        <v>259</v>
      </c>
      <c r="F4929" s="20" t="s">
        <v>452</v>
      </c>
    </row>
    <row r="4930" customFormat="false" ht="15" hidden="false" customHeight="false" outlineLevel="0" collapsed="false">
      <c r="A4930" s="4" t="str">
        <f aca="false">B4930&amp;"|"&amp;C4930</f>
        <v>tdbR00000318 Pro-GGG|34</v>
      </c>
      <c r="B4930" s="4" t="s">
        <v>105</v>
      </c>
      <c r="C4930" s="4" t="s">
        <v>454</v>
      </c>
      <c r="D4930" s="4" t="n">
        <v>35</v>
      </c>
      <c r="E4930" s="19" t="s">
        <v>197</v>
      </c>
      <c r="F4930" s="20" t="s">
        <v>452</v>
      </c>
    </row>
    <row r="4931" customFormat="false" ht="15" hidden="false" customHeight="false" outlineLevel="0" collapsed="false">
      <c r="A4931" s="4" t="str">
        <f aca="false">B4931&amp;"|"&amp;C4931</f>
        <v>tdbR00000318 Pro-GGG|35</v>
      </c>
      <c r="B4931" s="4" t="s">
        <v>105</v>
      </c>
      <c r="C4931" s="4" t="s">
        <v>455</v>
      </c>
      <c r="D4931" s="4" t="n">
        <v>36</v>
      </c>
      <c r="E4931" s="19" t="s">
        <v>197</v>
      </c>
      <c r="F4931" s="20" t="s">
        <v>452</v>
      </c>
    </row>
    <row r="4932" customFormat="false" ht="15" hidden="false" customHeight="false" outlineLevel="0" collapsed="false">
      <c r="A4932" s="4" t="str">
        <f aca="false">B4932&amp;"|"&amp;C4932</f>
        <v>tdbR00000318 Pro-GGG|36</v>
      </c>
      <c r="B4932" s="4" t="s">
        <v>105</v>
      </c>
      <c r="C4932" s="4" t="s">
        <v>456</v>
      </c>
      <c r="D4932" s="4" t="n">
        <v>37</v>
      </c>
      <c r="E4932" s="19" t="s">
        <v>197</v>
      </c>
      <c r="F4932" s="20" t="s">
        <v>452</v>
      </c>
    </row>
    <row r="4933" customFormat="false" ht="15" hidden="false" customHeight="false" outlineLevel="0" collapsed="false">
      <c r="A4933" s="4" t="str">
        <f aca="false">B4933&amp;"|"&amp;C4933</f>
        <v>tdbR00000318 Pro-GGG|37</v>
      </c>
      <c r="B4933" s="4" t="s">
        <v>105</v>
      </c>
      <c r="C4933" s="4" t="s">
        <v>457</v>
      </c>
      <c r="D4933" s="4" t="n">
        <v>38</v>
      </c>
      <c r="E4933" s="19" t="s">
        <v>197</v>
      </c>
      <c r="F4933" s="20" t="s">
        <v>452</v>
      </c>
    </row>
    <row r="4934" customFormat="false" ht="15" hidden="false" customHeight="false" outlineLevel="0" collapsed="false">
      <c r="A4934" s="4" t="str">
        <f aca="false">B4934&amp;"|"&amp;C4934</f>
        <v>tdbR00000318 Pro-GGG|38</v>
      </c>
      <c r="B4934" s="4" t="s">
        <v>105</v>
      </c>
      <c r="C4934" s="4" t="s">
        <v>458</v>
      </c>
      <c r="D4934" s="4" t="n">
        <v>39</v>
      </c>
      <c r="E4934" s="19" t="s">
        <v>259</v>
      </c>
      <c r="F4934" s="20" t="s">
        <v>452</v>
      </c>
    </row>
    <row r="4935" customFormat="false" ht="15" hidden="false" customHeight="false" outlineLevel="0" collapsed="false">
      <c r="A4935" s="4" t="str">
        <f aca="false">B4935&amp;"|"&amp;C4935</f>
        <v>tdbR00000318 Pro-GGG|39</v>
      </c>
      <c r="B4935" s="4" t="s">
        <v>105</v>
      </c>
      <c r="C4935" s="4" t="s">
        <v>459</v>
      </c>
      <c r="D4935" s="4" t="n">
        <v>40</v>
      </c>
      <c r="E4935" s="21" t="s">
        <v>259</v>
      </c>
      <c r="F4935" s="22" t="s">
        <v>446</v>
      </c>
    </row>
    <row r="4936" customFormat="false" ht="15" hidden="false" customHeight="false" outlineLevel="0" collapsed="false">
      <c r="A4936" s="4" t="str">
        <f aca="false">B4936&amp;"|"&amp;C4936</f>
        <v>tdbR00000318 Pro-GGG|40</v>
      </c>
      <c r="B4936" s="4" t="s">
        <v>105</v>
      </c>
      <c r="C4936" s="4" t="s">
        <v>460</v>
      </c>
      <c r="D4936" s="4" t="n">
        <v>41</v>
      </c>
      <c r="E4936" s="21" t="s">
        <v>197</v>
      </c>
      <c r="F4936" s="22" t="s">
        <v>446</v>
      </c>
    </row>
    <row r="4937" customFormat="false" ht="15" hidden="false" customHeight="false" outlineLevel="0" collapsed="false">
      <c r="A4937" s="4" t="str">
        <f aca="false">B4937&amp;"|"&amp;C4937</f>
        <v>tdbR00000318 Pro-GGG|41</v>
      </c>
      <c r="B4937" s="4" t="s">
        <v>105</v>
      </c>
      <c r="C4937" s="4" t="s">
        <v>461</v>
      </c>
      <c r="D4937" s="4" t="n">
        <v>42</v>
      </c>
      <c r="E4937" s="21" t="s">
        <v>414</v>
      </c>
      <c r="F4937" s="22" t="s">
        <v>446</v>
      </c>
    </row>
    <row r="4938" customFormat="false" ht="15" hidden="false" customHeight="false" outlineLevel="0" collapsed="false">
      <c r="A4938" s="4" t="str">
        <f aca="false">B4938&amp;"|"&amp;C4938</f>
        <v>tdbR00000318 Pro-GGG|42</v>
      </c>
      <c r="B4938" s="4" t="s">
        <v>105</v>
      </c>
      <c r="C4938" s="4" t="s">
        <v>462</v>
      </c>
      <c r="D4938" s="4" t="n">
        <v>43</v>
      </c>
      <c r="E4938" s="21" t="s">
        <v>197</v>
      </c>
      <c r="F4938" s="22" t="s">
        <v>446</v>
      </c>
    </row>
    <row r="4939" customFormat="false" ht="15" hidden="false" customHeight="false" outlineLevel="0" collapsed="false">
      <c r="A4939" s="4" t="str">
        <f aca="false">B4939&amp;"|"&amp;C4939</f>
        <v>tdbR00000318 Pro-GGG|43</v>
      </c>
      <c r="B4939" s="4" t="s">
        <v>105</v>
      </c>
      <c r="C4939" s="4" t="s">
        <v>463</v>
      </c>
      <c r="D4939" s="4" t="n">
        <v>44</v>
      </c>
      <c r="E4939" s="21" t="s">
        <v>197</v>
      </c>
      <c r="F4939" s="22" t="s">
        <v>446</v>
      </c>
    </row>
    <row r="4940" customFormat="false" ht="15" hidden="false" customHeight="false" outlineLevel="0" collapsed="false">
      <c r="A4940" s="4" t="str">
        <f aca="false">B4940&amp;"|"&amp;C4940</f>
        <v>tdbR00000318 Pro-GGG|44</v>
      </c>
      <c r="B4940" s="4" t="s">
        <v>105</v>
      </c>
      <c r="C4940" s="4" t="s">
        <v>464</v>
      </c>
      <c r="D4940" s="4" t="n">
        <v>45</v>
      </c>
      <c r="E4940" s="19" t="s">
        <v>197</v>
      </c>
      <c r="F4940" s="20" t="s">
        <v>465</v>
      </c>
    </row>
    <row r="4941" customFormat="false" ht="15" hidden="false" customHeight="false" outlineLevel="0" collapsed="false">
      <c r="A4941" s="4" t="str">
        <f aca="false">B4941&amp;"|"&amp;C4941</f>
        <v>tdbR00000318 Pro-GGG|45</v>
      </c>
      <c r="B4941" s="4" t="s">
        <v>105</v>
      </c>
      <c r="C4941" s="4" t="s">
        <v>466</v>
      </c>
      <c r="D4941" s="4" t="n">
        <v>46</v>
      </c>
      <c r="E4941" s="19" t="s">
        <v>197</v>
      </c>
      <c r="F4941" s="20" t="s">
        <v>465</v>
      </c>
    </row>
    <row r="4942" customFormat="false" ht="15" hidden="false" customHeight="false" outlineLevel="0" collapsed="false">
      <c r="A4942" s="4" t="str">
        <f aca="false">B4942&amp;"|"&amp;C4942</f>
        <v>tdbR00000318 Pro-GGG|46</v>
      </c>
      <c r="B4942" s="4" t="s">
        <v>105</v>
      </c>
      <c r="C4942" s="4" t="s">
        <v>467</v>
      </c>
      <c r="D4942" s="4" t="n">
        <v>47</v>
      </c>
      <c r="E4942" s="19" t="s">
        <v>197</v>
      </c>
      <c r="F4942" s="20" t="s">
        <v>465</v>
      </c>
    </row>
    <row r="4943" customFormat="false" ht="15" hidden="false" customHeight="false" outlineLevel="0" collapsed="false">
      <c r="A4943" s="4" t="str">
        <f aca="false">B4943&amp;"|"&amp;C4943</f>
        <v>tdbR00000318 Pro-GGG|47</v>
      </c>
      <c r="B4943" s="4" t="s">
        <v>105</v>
      </c>
      <c r="C4943" s="4" t="s">
        <v>468</v>
      </c>
      <c r="D4943" s="4" t="n">
        <v>48</v>
      </c>
      <c r="E4943" s="19" t="s">
        <v>259</v>
      </c>
      <c r="F4943" s="20" t="s">
        <v>465</v>
      </c>
    </row>
    <row r="4944" customFormat="false" ht="15" hidden="false" customHeight="false" outlineLevel="0" collapsed="false">
      <c r="A4944" s="4" t="str">
        <f aca="false">B4944&amp;"|"&amp;C4944</f>
        <v>tdbR00000318 Pro-GGG|48</v>
      </c>
      <c r="B4944" s="4" t="s">
        <v>105</v>
      </c>
      <c r="C4944" s="4" t="s">
        <v>469</v>
      </c>
      <c r="D4944" s="4" t="n">
        <v>49</v>
      </c>
      <c r="E4944" s="19" t="s">
        <v>414</v>
      </c>
      <c r="F4944" s="20" t="s">
        <v>465</v>
      </c>
    </row>
    <row r="4945" customFormat="false" ht="15" hidden="false" customHeight="false" outlineLevel="0" collapsed="false">
      <c r="A4945" s="4" t="str">
        <f aca="false">B4945&amp;"|"&amp;C4945</f>
        <v>tdbR00000318 Pro-GGG|49</v>
      </c>
      <c r="B4945" s="4" t="s">
        <v>105</v>
      </c>
      <c r="C4945" s="4" t="s">
        <v>470</v>
      </c>
      <c r="D4945" s="4" t="n">
        <v>50</v>
      </c>
      <c r="E4945" s="23" t="s">
        <v>197</v>
      </c>
      <c r="F4945" s="10" t="s">
        <v>471</v>
      </c>
    </row>
    <row r="4946" customFormat="false" ht="15" hidden="false" customHeight="false" outlineLevel="0" collapsed="false">
      <c r="A4946" s="4" t="str">
        <f aca="false">B4946&amp;"|"&amp;C4946</f>
        <v>tdbR00000318 Pro-GGG|50</v>
      </c>
      <c r="B4946" s="4" t="s">
        <v>105</v>
      </c>
      <c r="C4946" s="4" t="s">
        <v>472</v>
      </c>
      <c r="D4946" s="4" t="n">
        <v>51</v>
      </c>
      <c r="E4946" s="23" t="s">
        <v>197</v>
      </c>
      <c r="F4946" s="10" t="s">
        <v>471</v>
      </c>
    </row>
    <row r="4947" customFormat="false" ht="15" hidden="false" customHeight="false" outlineLevel="0" collapsed="false">
      <c r="A4947" s="4" t="str">
        <f aca="false">B4947&amp;"|"&amp;C4947</f>
        <v>tdbR00000318 Pro-GGG|51</v>
      </c>
      <c r="B4947" s="4" t="s">
        <v>105</v>
      </c>
      <c r="C4947" s="4" t="s">
        <v>473</v>
      </c>
      <c r="D4947" s="4" t="n">
        <v>52</v>
      </c>
      <c r="E4947" s="23" t="s">
        <v>246</v>
      </c>
      <c r="F4947" s="10" t="s">
        <v>471</v>
      </c>
    </row>
    <row r="4948" customFormat="false" ht="15" hidden="false" customHeight="false" outlineLevel="0" collapsed="false">
      <c r="A4948" s="4" t="str">
        <f aca="false">B4948&amp;"|"&amp;C4948</f>
        <v>tdbR00000318 Pro-GGG|52</v>
      </c>
      <c r="B4948" s="4" t="s">
        <v>105</v>
      </c>
      <c r="C4948" s="4" t="s">
        <v>474</v>
      </c>
      <c r="D4948" s="4" t="n">
        <v>53</v>
      </c>
      <c r="E4948" s="23" t="s">
        <v>197</v>
      </c>
      <c r="F4948" s="10" t="s">
        <v>471</v>
      </c>
    </row>
    <row r="4949" customFormat="false" ht="15" hidden="false" customHeight="false" outlineLevel="0" collapsed="false">
      <c r="A4949" s="4" t="str">
        <f aca="false">B4949&amp;"|"&amp;C4949</f>
        <v>tdbR00000318 Pro-GGG|53</v>
      </c>
      <c r="B4949" s="4" t="s">
        <v>105</v>
      </c>
      <c r="C4949" s="4" t="s">
        <v>475</v>
      </c>
      <c r="D4949" s="4" t="n">
        <v>54</v>
      </c>
      <c r="E4949" s="23" t="s">
        <v>197</v>
      </c>
      <c r="F4949" s="10" t="s">
        <v>471</v>
      </c>
    </row>
    <row r="4950" customFormat="false" ht="15" hidden="false" customHeight="false" outlineLevel="0" collapsed="false">
      <c r="A4950" s="4" t="str">
        <f aca="false">B4950&amp;"|"&amp;C4950</f>
        <v>tdbR00000318 Pro-GGG|54</v>
      </c>
      <c r="B4950" s="4" t="s">
        <v>105</v>
      </c>
      <c r="C4950" s="4" t="s">
        <v>476</v>
      </c>
      <c r="D4950" s="4" t="n">
        <v>55</v>
      </c>
      <c r="E4950" s="19" t="s">
        <v>259</v>
      </c>
      <c r="F4950" s="20" t="s">
        <v>477</v>
      </c>
    </row>
    <row r="4951" customFormat="false" ht="15" hidden="false" customHeight="false" outlineLevel="0" collapsed="false">
      <c r="A4951" s="4" t="str">
        <f aca="false">B4951&amp;"|"&amp;C4951</f>
        <v>tdbR00000318 Pro-GGG|55</v>
      </c>
      <c r="B4951" s="4" t="s">
        <v>105</v>
      </c>
      <c r="C4951" s="4" t="s">
        <v>478</v>
      </c>
      <c r="D4951" s="4" t="n">
        <v>56</v>
      </c>
      <c r="E4951" s="19" t="s">
        <v>259</v>
      </c>
      <c r="F4951" s="20" t="s">
        <v>477</v>
      </c>
    </row>
    <row r="4952" customFormat="false" ht="15" hidden="false" customHeight="false" outlineLevel="0" collapsed="false">
      <c r="A4952" s="4" t="str">
        <f aca="false">B4952&amp;"|"&amp;C4952</f>
        <v>tdbR00000318 Pro-GGG|56</v>
      </c>
      <c r="B4952" s="4" t="s">
        <v>105</v>
      </c>
      <c r="C4952" s="4" t="s">
        <v>479</v>
      </c>
      <c r="D4952" s="4" t="n">
        <v>57</v>
      </c>
      <c r="E4952" s="19" t="s">
        <v>414</v>
      </c>
      <c r="F4952" s="20" t="s">
        <v>477</v>
      </c>
    </row>
    <row r="4953" customFormat="false" ht="15" hidden="false" customHeight="false" outlineLevel="0" collapsed="false">
      <c r="A4953" s="4" t="str">
        <f aca="false">B4953&amp;"|"&amp;C4953</f>
        <v>tdbR00000318 Pro-GGG|57</v>
      </c>
      <c r="B4953" s="4" t="s">
        <v>105</v>
      </c>
      <c r="C4953" s="4" t="s">
        <v>480</v>
      </c>
      <c r="D4953" s="4" t="n">
        <v>58</v>
      </c>
      <c r="E4953" s="19" t="s">
        <v>246</v>
      </c>
      <c r="F4953" s="20" t="s">
        <v>477</v>
      </c>
    </row>
    <row r="4954" customFormat="false" ht="15" hidden="false" customHeight="false" outlineLevel="0" collapsed="false">
      <c r="A4954" s="4" t="str">
        <f aca="false">B4954&amp;"|"&amp;C4954</f>
        <v>tdbR00000318 Pro-GGG|58</v>
      </c>
      <c r="B4954" s="4" t="s">
        <v>105</v>
      </c>
      <c r="C4954" s="4" t="s">
        <v>481</v>
      </c>
      <c r="D4954" s="4" t="n">
        <v>59</v>
      </c>
      <c r="E4954" s="19" t="s">
        <v>246</v>
      </c>
      <c r="F4954" s="20" t="s">
        <v>477</v>
      </c>
    </row>
    <row r="4955" customFormat="false" ht="15" hidden="false" customHeight="false" outlineLevel="0" collapsed="false">
      <c r="A4955" s="4" t="str">
        <f aca="false">B4955&amp;"|"&amp;C4955</f>
        <v>tdbR00000318 Pro-GGG|59</v>
      </c>
      <c r="B4955" s="4" t="s">
        <v>105</v>
      </c>
      <c r="C4955" s="4" t="s">
        <v>482</v>
      </c>
      <c r="D4955" s="4" t="n">
        <v>60</v>
      </c>
      <c r="E4955" s="19" t="s">
        <v>246</v>
      </c>
      <c r="F4955" s="20" t="s">
        <v>477</v>
      </c>
    </row>
    <row r="4956" customFormat="false" ht="15" hidden="false" customHeight="false" outlineLevel="0" collapsed="false">
      <c r="A4956" s="4" t="str">
        <f aca="false">B4956&amp;"|"&amp;C4956</f>
        <v>tdbR00000318 Pro-GGG|60</v>
      </c>
      <c r="B4956" s="4" t="s">
        <v>105</v>
      </c>
      <c r="C4956" s="4" t="s">
        <v>483</v>
      </c>
      <c r="D4956" s="4" t="n">
        <v>61</v>
      </c>
      <c r="E4956" s="19" t="s">
        <v>259</v>
      </c>
      <c r="F4956" s="20" t="s">
        <v>477</v>
      </c>
    </row>
    <row r="4957" customFormat="false" ht="15" hidden="false" customHeight="false" outlineLevel="0" collapsed="false">
      <c r="A4957" s="4" t="str">
        <f aca="false">B4957&amp;"|"&amp;C4957</f>
        <v>tdbR00000318 Pro-GGG|61</v>
      </c>
      <c r="B4957" s="4" t="s">
        <v>105</v>
      </c>
      <c r="C4957" s="4" t="s">
        <v>484</v>
      </c>
      <c r="D4957" s="4" t="n">
        <v>62</v>
      </c>
      <c r="E4957" s="23" t="s">
        <v>414</v>
      </c>
      <c r="F4957" s="10" t="s">
        <v>471</v>
      </c>
    </row>
    <row r="4958" customFormat="false" ht="15" hidden="false" customHeight="false" outlineLevel="0" collapsed="false">
      <c r="A4958" s="4" t="str">
        <f aca="false">B4958&amp;"|"&amp;C4958</f>
        <v>tdbR00000318 Pro-GGG|62</v>
      </c>
      <c r="B4958" s="4" t="s">
        <v>105</v>
      </c>
      <c r="C4958" s="4" t="s">
        <v>485</v>
      </c>
      <c r="D4958" s="4" t="n">
        <v>63</v>
      </c>
      <c r="E4958" s="23" t="s">
        <v>414</v>
      </c>
      <c r="F4958" s="10" t="s">
        <v>471</v>
      </c>
    </row>
    <row r="4959" customFormat="false" ht="15" hidden="false" customHeight="false" outlineLevel="0" collapsed="false">
      <c r="A4959" s="4" t="str">
        <f aca="false">B4959&amp;"|"&amp;C4959</f>
        <v>tdbR00000318 Pro-GGG|63</v>
      </c>
      <c r="B4959" s="4" t="s">
        <v>105</v>
      </c>
      <c r="C4959" s="4" t="s">
        <v>486</v>
      </c>
      <c r="D4959" s="4" t="n">
        <v>64</v>
      </c>
      <c r="E4959" s="23" t="s">
        <v>259</v>
      </c>
      <c r="F4959" s="10" t="s">
        <v>471</v>
      </c>
    </row>
    <row r="4960" customFormat="false" ht="15" hidden="false" customHeight="false" outlineLevel="0" collapsed="false">
      <c r="A4960" s="4" t="str">
        <f aca="false">B4960&amp;"|"&amp;C4960</f>
        <v>tdbR00000318 Pro-GGG|64</v>
      </c>
      <c r="B4960" s="4" t="s">
        <v>105</v>
      </c>
      <c r="C4960" s="4" t="s">
        <v>487</v>
      </c>
      <c r="D4960" s="4" t="n">
        <v>65</v>
      </c>
      <c r="E4960" s="23" t="s">
        <v>414</v>
      </c>
      <c r="F4960" s="10" t="s">
        <v>471</v>
      </c>
    </row>
    <row r="4961" customFormat="false" ht="15" hidden="false" customHeight="false" outlineLevel="0" collapsed="false">
      <c r="A4961" s="4" t="str">
        <f aca="false">B4961&amp;"|"&amp;C4961</f>
        <v>tdbR00000318 Pro-GGG|65</v>
      </c>
      <c r="B4961" s="4" t="s">
        <v>105</v>
      </c>
      <c r="C4961" s="4" t="s">
        <v>488</v>
      </c>
      <c r="D4961" s="4" t="n">
        <v>66</v>
      </c>
      <c r="E4961" s="23" t="s">
        <v>259</v>
      </c>
      <c r="F4961" s="10" t="s">
        <v>471</v>
      </c>
    </row>
    <row r="4962" customFormat="false" ht="15" hidden="false" customHeight="false" outlineLevel="0" collapsed="false">
      <c r="A4962" s="4" t="str">
        <f aca="false">B4962&amp;"|"&amp;C4962</f>
        <v>tdbR00000318 Pro-GGG|66</v>
      </c>
      <c r="B4962" s="4" t="s">
        <v>105</v>
      </c>
      <c r="C4962" s="4" t="s">
        <v>489</v>
      </c>
      <c r="D4962" s="4" t="n">
        <v>67</v>
      </c>
      <c r="E4962" s="17" t="s">
        <v>414</v>
      </c>
      <c r="F4962" s="18" t="s">
        <v>412</v>
      </c>
    </row>
    <row r="4963" customFormat="false" ht="15" hidden="false" customHeight="false" outlineLevel="0" collapsed="false">
      <c r="A4963" s="4" t="str">
        <f aca="false">B4963&amp;"|"&amp;C4963</f>
        <v>tdbR00000318 Pro-GGG|67</v>
      </c>
      <c r="B4963" s="4" t="s">
        <v>105</v>
      </c>
      <c r="C4963" s="4" t="s">
        <v>490</v>
      </c>
      <c r="D4963" s="4" t="n">
        <v>68</v>
      </c>
      <c r="E4963" s="17" t="s">
        <v>197</v>
      </c>
      <c r="F4963" s="18" t="s">
        <v>412</v>
      </c>
    </row>
    <row r="4964" customFormat="false" ht="15" hidden="false" customHeight="false" outlineLevel="0" collapsed="false">
      <c r="A4964" s="4" t="str">
        <f aca="false">B4964&amp;"|"&amp;C4964</f>
        <v>tdbR00000318 Pro-GGG|68</v>
      </c>
      <c r="B4964" s="4" t="s">
        <v>105</v>
      </c>
      <c r="C4964" s="4" t="s">
        <v>491</v>
      </c>
      <c r="D4964" s="4" t="n">
        <v>69</v>
      </c>
      <c r="E4964" s="17" t="s">
        <v>259</v>
      </c>
      <c r="F4964" s="18" t="s">
        <v>412</v>
      </c>
    </row>
    <row r="4965" customFormat="false" ht="15" hidden="false" customHeight="false" outlineLevel="0" collapsed="false">
      <c r="A4965" s="4" t="str">
        <f aca="false">B4965&amp;"|"&amp;C4965</f>
        <v>tdbR00000318 Pro-GGG|69</v>
      </c>
      <c r="B4965" s="4" t="s">
        <v>105</v>
      </c>
      <c r="C4965" s="4" t="s">
        <v>492</v>
      </c>
      <c r="D4965" s="4" t="n">
        <v>70</v>
      </c>
      <c r="E4965" s="17" t="s">
        <v>197</v>
      </c>
      <c r="F4965" s="18" t="s">
        <v>412</v>
      </c>
    </row>
    <row r="4966" customFormat="false" ht="15" hidden="false" customHeight="false" outlineLevel="0" collapsed="false">
      <c r="A4966" s="4" t="str">
        <f aca="false">B4966&amp;"|"&amp;C4966</f>
        <v>tdbR00000318 Pro-GGG|70</v>
      </c>
      <c r="B4966" s="4" t="s">
        <v>105</v>
      </c>
      <c r="C4966" s="4" t="s">
        <v>493</v>
      </c>
      <c r="D4966" s="4" t="n">
        <v>71</v>
      </c>
      <c r="E4966" s="17" t="s">
        <v>414</v>
      </c>
      <c r="F4966" s="18" t="s">
        <v>412</v>
      </c>
    </row>
    <row r="4967" customFormat="false" ht="15" hidden="false" customHeight="false" outlineLevel="0" collapsed="false">
      <c r="A4967" s="4" t="str">
        <f aca="false">B4967&amp;"|"&amp;C4967</f>
        <v>tdbR00000318 Pro-GGG|71</v>
      </c>
      <c r="B4967" s="4" t="s">
        <v>105</v>
      </c>
      <c r="C4967" s="4" t="s">
        <v>494</v>
      </c>
      <c r="D4967" s="4" t="n">
        <v>72</v>
      </c>
      <c r="E4967" s="17" t="s">
        <v>414</v>
      </c>
      <c r="F4967" s="18" t="s">
        <v>412</v>
      </c>
    </row>
    <row r="4968" customFormat="false" ht="15" hidden="false" customHeight="false" outlineLevel="0" collapsed="false">
      <c r="A4968" s="4" t="str">
        <f aca="false">B4968&amp;"|"&amp;C4968</f>
        <v>tdbR00000318 Pro-GGG|72</v>
      </c>
      <c r="B4968" s="4" t="s">
        <v>105</v>
      </c>
      <c r="C4968" s="4" t="s">
        <v>495</v>
      </c>
      <c r="D4968" s="4" t="n">
        <v>73</v>
      </c>
      <c r="E4968" s="17" t="s">
        <v>197</v>
      </c>
      <c r="F4968" s="18" t="s">
        <v>412</v>
      </c>
    </row>
    <row r="4969" customFormat="false" ht="15" hidden="false" customHeight="false" outlineLevel="0" collapsed="false">
      <c r="A4969" s="4" t="str">
        <f aca="false">B4969&amp;"|"&amp;C4969</f>
        <v>tdbR00000319 Pro-UGG|1</v>
      </c>
      <c r="B4969" s="4" t="s">
        <v>106</v>
      </c>
      <c r="C4969" s="4" t="s">
        <v>411</v>
      </c>
      <c r="D4969" s="4" t="n">
        <v>1</v>
      </c>
      <c r="E4969" s="17" t="s">
        <v>414</v>
      </c>
      <c r="F4969" s="18" t="s">
        <v>412</v>
      </c>
    </row>
    <row r="4970" customFormat="false" ht="15" hidden="false" customHeight="false" outlineLevel="0" collapsed="false">
      <c r="A4970" s="4" t="str">
        <f aca="false">B4970&amp;"|"&amp;C4970</f>
        <v>tdbR00000319 Pro-UGG|2</v>
      </c>
      <c r="B4970" s="4" t="s">
        <v>106</v>
      </c>
      <c r="C4970" s="4" t="s">
        <v>413</v>
      </c>
      <c r="D4970" s="4" t="n">
        <v>2</v>
      </c>
      <c r="E4970" s="17" t="s">
        <v>197</v>
      </c>
      <c r="F4970" s="18" t="s">
        <v>412</v>
      </c>
    </row>
    <row r="4971" customFormat="false" ht="15" hidden="false" customHeight="false" outlineLevel="0" collapsed="false">
      <c r="A4971" s="4" t="str">
        <f aca="false">B4971&amp;"|"&amp;C4971</f>
        <v>tdbR00000319 Pro-UGG|3</v>
      </c>
      <c r="B4971" s="4" t="s">
        <v>106</v>
      </c>
      <c r="C4971" s="4" t="s">
        <v>415</v>
      </c>
      <c r="D4971" s="4" t="n">
        <v>3</v>
      </c>
      <c r="E4971" s="17" t="s">
        <v>197</v>
      </c>
      <c r="F4971" s="18" t="s">
        <v>412</v>
      </c>
    </row>
    <row r="4972" customFormat="false" ht="15" hidden="false" customHeight="false" outlineLevel="0" collapsed="false">
      <c r="A4972" s="4" t="str">
        <f aca="false">B4972&amp;"|"&amp;C4972</f>
        <v>tdbR00000319 Pro-UGG|4</v>
      </c>
      <c r="B4972" s="4" t="s">
        <v>106</v>
      </c>
      <c r="C4972" s="4" t="s">
        <v>416</v>
      </c>
      <c r="D4972" s="4" t="n">
        <v>4</v>
      </c>
      <c r="E4972" s="17" t="s">
        <v>414</v>
      </c>
      <c r="F4972" s="18" t="s">
        <v>412</v>
      </c>
    </row>
    <row r="4973" customFormat="false" ht="15" hidden="false" customHeight="false" outlineLevel="0" collapsed="false">
      <c r="A4973" s="4" t="str">
        <f aca="false">B4973&amp;"|"&amp;C4973</f>
        <v>tdbR00000319 Pro-UGG|5</v>
      </c>
      <c r="B4973" s="4" t="s">
        <v>106</v>
      </c>
      <c r="C4973" s="4" t="s">
        <v>417</v>
      </c>
      <c r="D4973" s="4" t="n">
        <v>5</v>
      </c>
      <c r="E4973" s="17" t="s">
        <v>197</v>
      </c>
      <c r="F4973" s="18" t="s">
        <v>412</v>
      </c>
    </row>
    <row r="4974" customFormat="false" ht="15" hidden="false" customHeight="false" outlineLevel="0" collapsed="false">
      <c r="A4974" s="4" t="str">
        <f aca="false">B4974&amp;"|"&amp;C4974</f>
        <v>tdbR00000319 Pro-UGG|6</v>
      </c>
      <c r="B4974" s="4" t="s">
        <v>106</v>
      </c>
      <c r="C4974" s="4" t="s">
        <v>418</v>
      </c>
      <c r="D4974" s="4" t="n">
        <v>6</v>
      </c>
      <c r="E4974" s="17" t="s">
        <v>246</v>
      </c>
      <c r="F4974" s="18" t="s">
        <v>412</v>
      </c>
    </row>
    <row r="4975" customFormat="false" ht="15" hidden="false" customHeight="false" outlineLevel="0" collapsed="false">
      <c r="A4975" s="4" t="str">
        <f aca="false">B4975&amp;"|"&amp;C4975</f>
        <v>tdbR00000319 Pro-UGG|7</v>
      </c>
      <c r="B4975" s="4" t="s">
        <v>106</v>
      </c>
      <c r="C4975" s="4" t="s">
        <v>419</v>
      </c>
      <c r="D4975" s="4" t="n">
        <v>7</v>
      </c>
      <c r="E4975" s="17" t="s">
        <v>197</v>
      </c>
      <c r="F4975" s="18" t="s">
        <v>412</v>
      </c>
    </row>
    <row r="4976" customFormat="false" ht="15" hidden="false" customHeight="false" outlineLevel="0" collapsed="false">
      <c r="A4976" s="4" t="str">
        <f aca="false">B4976&amp;"|"&amp;C4976</f>
        <v>tdbR00000319 Pro-UGG|8</v>
      </c>
      <c r="B4976" s="4" t="s">
        <v>106</v>
      </c>
      <c r="C4976" s="4" t="s">
        <v>420</v>
      </c>
      <c r="D4976" s="4" t="n">
        <v>8</v>
      </c>
      <c r="E4976" s="3" t="s">
        <v>259</v>
      </c>
      <c r="F4976" s="4" t="s">
        <v>421</v>
      </c>
    </row>
    <row r="4977" customFormat="false" ht="15" hidden="false" customHeight="false" outlineLevel="0" collapsed="false">
      <c r="A4977" s="4" t="str">
        <f aca="false">B4977&amp;"|"&amp;C4977</f>
        <v>tdbR00000319 Pro-UGG|9</v>
      </c>
      <c r="B4977" s="4" t="s">
        <v>106</v>
      </c>
      <c r="C4977" s="4" t="s">
        <v>422</v>
      </c>
      <c r="D4977" s="4" t="n">
        <v>9</v>
      </c>
      <c r="E4977" s="3" t="s">
        <v>246</v>
      </c>
      <c r="F4977" s="4" t="s">
        <v>423</v>
      </c>
    </row>
    <row r="4978" customFormat="false" ht="15" hidden="false" customHeight="false" outlineLevel="0" collapsed="false">
      <c r="A4978" s="4" t="str">
        <f aca="false">B4978&amp;"|"&amp;C4978</f>
        <v>tdbR00000319 Pro-UGG|10</v>
      </c>
      <c r="B4978" s="4" t="s">
        <v>106</v>
      </c>
      <c r="C4978" s="4" t="s">
        <v>424</v>
      </c>
      <c r="D4978" s="4" t="n">
        <v>10</v>
      </c>
      <c r="E4978" s="8" t="s">
        <v>197</v>
      </c>
      <c r="F4978" s="7" t="s">
        <v>425</v>
      </c>
    </row>
    <row r="4979" customFormat="false" ht="15" hidden="false" customHeight="false" outlineLevel="0" collapsed="false">
      <c r="A4979" s="4" t="str">
        <f aca="false">B4979&amp;"|"&amp;C4979</f>
        <v>tdbR00000319 Pro-UGG|11</v>
      </c>
      <c r="B4979" s="4" t="s">
        <v>106</v>
      </c>
      <c r="C4979" s="4" t="s">
        <v>426</v>
      </c>
      <c r="D4979" s="4" t="n">
        <v>11</v>
      </c>
      <c r="E4979" s="8" t="s">
        <v>414</v>
      </c>
      <c r="F4979" s="7" t="s">
        <v>425</v>
      </c>
    </row>
    <row r="4980" customFormat="false" ht="15" hidden="false" customHeight="false" outlineLevel="0" collapsed="false">
      <c r="A4980" s="4" t="str">
        <f aca="false">B4980&amp;"|"&amp;C4980</f>
        <v>tdbR00000319 Pro-UGG|12</v>
      </c>
      <c r="B4980" s="4" t="s">
        <v>106</v>
      </c>
      <c r="C4980" s="4" t="s">
        <v>427</v>
      </c>
      <c r="D4980" s="4" t="n">
        <v>12</v>
      </c>
      <c r="E4980" s="8" t="s">
        <v>197</v>
      </c>
      <c r="F4980" s="7" t="s">
        <v>425</v>
      </c>
    </row>
    <row r="4981" customFormat="false" ht="15" hidden="false" customHeight="false" outlineLevel="0" collapsed="false">
      <c r="A4981" s="4" t="str">
        <f aca="false">B4981&amp;"|"&amp;C4981</f>
        <v>tdbR00000319 Pro-UGG|13</v>
      </c>
      <c r="B4981" s="4" t="s">
        <v>106</v>
      </c>
      <c r="C4981" s="4" t="s">
        <v>428</v>
      </c>
      <c r="D4981" s="4" t="n">
        <v>13</v>
      </c>
      <c r="E4981" s="8" t="s">
        <v>414</v>
      </c>
      <c r="F4981" s="7" t="s">
        <v>425</v>
      </c>
    </row>
    <row r="4982" customFormat="false" ht="15" hidden="false" customHeight="false" outlineLevel="0" collapsed="false">
      <c r="A4982" s="4" t="str">
        <f aca="false">B4982&amp;"|"&amp;C4982</f>
        <v>tdbR00000319 Pro-UGG|14</v>
      </c>
      <c r="B4982" s="4" t="s">
        <v>106</v>
      </c>
      <c r="C4982" s="4" t="s">
        <v>429</v>
      </c>
      <c r="D4982" s="4" t="n">
        <v>14</v>
      </c>
      <c r="E4982" s="19" t="s">
        <v>246</v>
      </c>
      <c r="F4982" s="20" t="s">
        <v>430</v>
      </c>
    </row>
    <row r="4983" customFormat="false" ht="15" hidden="false" customHeight="false" outlineLevel="0" collapsed="false">
      <c r="A4983" s="4" t="str">
        <f aca="false">B4983&amp;"|"&amp;C4983</f>
        <v>tdbR00000319 Pro-UGG|15</v>
      </c>
      <c r="B4983" s="4" t="s">
        <v>106</v>
      </c>
      <c r="C4983" s="4" t="s">
        <v>431</v>
      </c>
      <c r="D4983" s="4" t="n">
        <v>15</v>
      </c>
      <c r="E4983" s="19" t="s">
        <v>197</v>
      </c>
      <c r="F4983" s="20" t="s">
        <v>430</v>
      </c>
    </row>
    <row r="4984" customFormat="false" ht="15" hidden="false" customHeight="false" outlineLevel="0" collapsed="false">
      <c r="A4984" s="4" t="str">
        <f aca="false">B4984&amp;"|"&amp;C4984</f>
        <v>tdbR00000319 Pro-UGG|16</v>
      </c>
      <c r="B4984" s="4" t="s">
        <v>106</v>
      </c>
      <c r="C4984" s="4" t="s">
        <v>432</v>
      </c>
      <c r="D4984" s="4" t="n">
        <v>16</v>
      </c>
      <c r="E4984" s="19" t="s">
        <v>414</v>
      </c>
      <c r="F4984" s="20" t="s">
        <v>430</v>
      </c>
    </row>
    <row r="4985" customFormat="false" ht="15" hidden="false" customHeight="false" outlineLevel="0" collapsed="false">
      <c r="A4985" s="4" t="str">
        <f aca="false">B4985&amp;"|"&amp;C4985</f>
        <v>tdbR00000319 Pro-UGG|17</v>
      </c>
      <c r="B4985" s="4" t="s">
        <v>106</v>
      </c>
      <c r="C4985" s="4" t="s">
        <v>433</v>
      </c>
      <c r="D4985" s="4" t="n">
        <v>17</v>
      </c>
      <c r="E4985" s="19" t="s">
        <v>259</v>
      </c>
      <c r="F4985" s="20" t="s">
        <v>430</v>
      </c>
    </row>
    <row r="4986" customFormat="false" ht="15" hidden="false" customHeight="false" outlineLevel="0" collapsed="false">
      <c r="A4986" s="4" t="str">
        <f aca="false">B4986&amp;"|"&amp;C4986</f>
        <v>tdbR00000319 Pro-UGG|17a</v>
      </c>
      <c r="B4986" s="4" t="s">
        <v>106</v>
      </c>
      <c r="C4986" s="4" t="s">
        <v>496</v>
      </c>
      <c r="D4986" s="4" t="n">
        <v>18</v>
      </c>
      <c r="E4986" s="19" t="s">
        <v>259</v>
      </c>
      <c r="F4986" s="20" t="s">
        <v>430</v>
      </c>
    </row>
    <row r="4987" customFormat="false" ht="15" hidden="false" customHeight="false" outlineLevel="0" collapsed="false">
      <c r="A4987" s="4" t="str">
        <f aca="false">B4987&amp;"|"&amp;C4987</f>
        <v>tdbR00000319 Pro-UGG|18</v>
      </c>
      <c r="B4987" s="4" t="s">
        <v>106</v>
      </c>
      <c r="C4987" s="4" t="s">
        <v>434</v>
      </c>
      <c r="D4987" s="4" t="n">
        <v>19</v>
      </c>
      <c r="E4987" s="19" t="s">
        <v>197</v>
      </c>
      <c r="F4987" s="20" t="s">
        <v>430</v>
      </c>
    </row>
    <row r="4988" customFormat="false" ht="15" hidden="false" customHeight="false" outlineLevel="0" collapsed="false">
      <c r="A4988" s="4" t="str">
        <f aca="false">B4988&amp;"|"&amp;C4988</f>
        <v>tdbR00000319 Pro-UGG|19</v>
      </c>
      <c r="B4988" s="4" t="s">
        <v>106</v>
      </c>
      <c r="C4988" s="4" t="s">
        <v>435</v>
      </c>
      <c r="D4988" s="4" t="n">
        <v>20</v>
      </c>
      <c r="E4988" s="19" t="s">
        <v>197</v>
      </c>
      <c r="F4988" s="20" t="s">
        <v>430</v>
      </c>
    </row>
    <row r="4989" customFormat="false" ht="15" hidden="false" customHeight="false" outlineLevel="0" collapsed="false">
      <c r="A4989" s="4" t="str">
        <f aca="false">B4989&amp;"|"&amp;C4989</f>
        <v>tdbR00000319 Pro-UGG|20</v>
      </c>
      <c r="B4989" s="4" t="s">
        <v>106</v>
      </c>
      <c r="C4989" s="4" t="s">
        <v>436</v>
      </c>
      <c r="D4989" s="4" t="n">
        <v>21</v>
      </c>
      <c r="E4989" s="19" t="s">
        <v>259</v>
      </c>
      <c r="F4989" s="20" t="s">
        <v>430</v>
      </c>
    </row>
    <row r="4990" customFormat="false" ht="15" hidden="false" customHeight="false" outlineLevel="0" collapsed="false">
      <c r="A4990" s="4" t="str">
        <f aca="false">B4990&amp;"|"&amp;C4990</f>
        <v>tdbR00000319 Pro-UGG|21</v>
      </c>
      <c r="B4990" s="4" t="s">
        <v>106</v>
      </c>
      <c r="C4990" s="4" t="s">
        <v>438</v>
      </c>
      <c r="D4990" s="4" t="n">
        <v>22</v>
      </c>
      <c r="E4990" s="19" t="s">
        <v>246</v>
      </c>
      <c r="F4990" s="20" t="s">
        <v>430</v>
      </c>
    </row>
    <row r="4991" customFormat="false" ht="15" hidden="false" customHeight="false" outlineLevel="0" collapsed="false">
      <c r="A4991" s="4" t="str">
        <f aca="false">B4991&amp;"|"&amp;C4991</f>
        <v>tdbR00000319 Pro-UGG|22</v>
      </c>
      <c r="B4991" s="4" t="s">
        <v>106</v>
      </c>
      <c r="C4991" s="4" t="s">
        <v>439</v>
      </c>
      <c r="D4991" s="4" t="n">
        <v>23</v>
      </c>
      <c r="E4991" s="8" t="s">
        <v>197</v>
      </c>
      <c r="F4991" s="7" t="s">
        <v>425</v>
      </c>
    </row>
    <row r="4992" customFormat="false" ht="15" hidden="false" customHeight="false" outlineLevel="0" collapsed="false">
      <c r="A4992" s="4" t="str">
        <f aca="false">B4992&amp;"|"&amp;C4992</f>
        <v>tdbR00000319 Pro-UGG|23</v>
      </c>
      <c r="B4992" s="4" t="s">
        <v>106</v>
      </c>
      <c r="C4992" s="4" t="s">
        <v>440</v>
      </c>
      <c r="D4992" s="4" t="n">
        <v>24</v>
      </c>
      <c r="E4992" s="8" t="s">
        <v>414</v>
      </c>
      <c r="F4992" s="7" t="s">
        <v>425</v>
      </c>
    </row>
    <row r="4993" customFormat="false" ht="15" hidden="false" customHeight="false" outlineLevel="0" collapsed="false">
      <c r="A4993" s="4" t="str">
        <f aca="false">B4993&amp;"|"&amp;C4993</f>
        <v>tdbR00000319 Pro-UGG|24</v>
      </c>
      <c r="B4993" s="4" t="s">
        <v>106</v>
      </c>
      <c r="C4993" s="4" t="s">
        <v>441</v>
      </c>
      <c r="D4993" s="4" t="n">
        <v>25</v>
      </c>
      <c r="E4993" s="8" t="s">
        <v>197</v>
      </c>
      <c r="F4993" s="7" t="s">
        <v>425</v>
      </c>
    </row>
    <row r="4994" customFormat="false" ht="15" hidden="false" customHeight="false" outlineLevel="0" collapsed="false">
      <c r="A4994" s="4" t="str">
        <f aca="false">B4994&amp;"|"&amp;C4994</f>
        <v>tdbR00000319 Pro-UGG|25</v>
      </c>
      <c r="B4994" s="4" t="s">
        <v>106</v>
      </c>
      <c r="C4994" s="4" t="s">
        <v>442</v>
      </c>
      <c r="D4994" s="4" t="n">
        <v>26</v>
      </c>
      <c r="E4994" s="8" t="s">
        <v>414</v>
      </c>
      <c r="F4994" s="7" t="s">
        <v>425</v>
      </c>
    </row>
    <row r="4995" customFormat="false" ht="15" hidden="false" customHeight="false" outlineLevel="0" collapsed="false">
      <c r="A4995" s="4" t="str">
        <f aca="false">B4995&amp;"|"&amp;C4995</f>
        <v>tdbR00000319 Pro-UGG|26</v>
      </c>
      <c r="B4995" s="4" t="s">
        <v>106</v>
      </c>
      <c r="C4995" s="4" t="s">
        <v>443</v>
      </c>
      <c r="D4995" s="4" t="n">
        <v>27</v>
      </c>
      <c r="E4995" s="3" t="s">
        <v>246</v>
      </c>
      <c r="F4995" s="4" t="s">
        <v>444</v>
      </c>
    </row>
    <row r="4996" customFormat="false" ht="15" hidden="false" customHeight="false" outlineLevel="0" collapsed="false">
      <c r="A4996" s="4" t="str">
        <f aca="false">B4996&amp;"|"&amp;C4996</f>
        <v>tdbR00000319 Pro-UGG|27</v>
      </c>
      <c r="B4996" s="4" t="s">
        <v>106</v>
      </c>
      <c r="C4996" s="4" t="s">
        <v>445</v>
      </c>
      <c r="D4996" s="4" t="n">
        <v>28</v>
      </c>
      <c r="E4996" s="21" t="s">
        <v>246</v>
      </c>
      <c r="F4996" s="22" t="s">
        <v>446</v>
      </c>
    </row>
    <row r="4997" customFormat="false" ht="15" hidden="false" customHeight="false" outlineLevel="0" collapsed="false">
      <c r="A4997" s="4" t="str">
        <f aca="false">B4997&amp;"|"&amp;C4997</f>
        <v>tdbR00000319 Pro-UGG|28</v>
      </c>
      <c r="B4997" s="4" t="s">
        <v>106</v>
      </c>
      <c r="C4997" s="4" t="s">
        <v>447</v>
      </c>
      <c r="D4997" s="4" t="n">
        <v>29</v>
      </c>
      <c r="E4997" s="21" t="s">
        <v>414</v>
      </c>
      <c r="F4997" s="22" t="s">
        <v>446</v>
      </c>
    </row>
    <row r="4998" customFormat="false" ht="15" hidden="false" customHeight="false" outlineLevel="0" collapsed="false">
      <c r="A4998" s="4" t="str">
        <f aca="false">B4998&amp;"|"&amp;C4998</f>
        <v>tdbR00000319 Pro-UGG|29</v>
      </c>
      <c r="B4998" s="4" t="s">
        <v>106</v>
      </c>
      <c r="C4998" s="4" t="s">
        <v>448</v>
      </c>
      <c r="D4998" s="4" t="n">
        <v>30</v>
      </c>
      <c r="E4998" s="21" t="s">
        <v>259</v>
      </c>
      <c r="F4998" s="22" t="s">
        <v>446</v>
      </c>
    </row>
    <row r="4999" customFormat="false" ht="15" hidden="false" customHeight="false" outlineLevel="0" collapsed="false">
      <c r="A4999" s="4" t="str">
        <f aca="false">B4999&amp;"|"&amp;C4999</f>
        <v>tdbR00000319 Pro-UGG|30</v>
      </c>
      <c r="B4999" s="4" t="s">
        <v>106</v>
      </c>
      <c r="C4999" s="4" t="s">
        <v>449</v>
      </c>
      <c r="D4999" s="4" t="n">
        <v>31</v>
      </c>
      <c r="E4999" s="21" t="s">
        <v>197</v>
      </c>
      <c r="F4999" s="22" t="s">
        <v>446</v>
      </c>
    </row>
    <row r="5000" customFormat="false" ht="15" hidden="false" customHeight="false" outlineLevel="0" collapsed="false">
      <c r="A5000" s="4" t="str">
        <f aca="false">B5000&amp;"|"&amp;C5000</f>
        <v>tdbR00000319 Pro-UGG|31</v>
      </c>
      <c r="B5000" s="4" t="s">
        <v>106</v>
      </c>
      <c r="C5000" s="4" t="s">
        <v>450</v>
      </c>
      <c r="D5000" s="4" t="n">
        <v>32</v>
      </c>
      <c r="E5000" s="21" t="s">
        <v>197</v>
      </c>
      <c r="F5000" s="22" t="s">
        <v>446</v>
      </c>
    </row>
    <row r="5001" customFormat="false" ht="15" hidden="false" customHeight="false" outlineLevel="0" collapsed="false">
      <c r="A5001" s="4" t="str">
        <f aca="false">B5001&amp;"|"&amp;C5001</f>
        <v>tdbR00000319 Pro-UGG|32</v>
      </c>
      <c r="B5001" s="4" t="s">
        <v>106</v>
      </c>
      <c r="C5001" s="4" t="s">
        <v>451</v>
      </c>
      <c r="D5001" s="4" t="n">
        <v>33</v>
      </c>
      <c r="E5001" s="19" t="s">
        <v>259</v>
      </c>
      <c r="F5001" s="20" t="s">
        <v>452</v>
      </c>
    </row>
    <row r="5002" customFormat="false" ht="15" hidden="false" customHeight="false" outlineLevel="0" collapsed="false">
      <c r="A5002" s="4" t="str">
        <f aca="false">B5002&amp;"|"&amp;C5002</f>
        <v>tdbR00000319 Pro-UGG|33</v>
      </c>
      <c r="B5002" s="4" t="s">
        <v>106</v>
      </c>
      <c r="C5002" s="4" t="s">
        <v>453</v>
      </c>
      <c r="D5002" s="4" t="n">
        <v>34</v>
      </c>
      <c r="E5002" s="19" t="s">
        <v>259</v>
      </c>
      <c r="F5002" s="20" t="s">
        <v>452</v>
      </c>
    </row>
    <row r="5003" customFormat="false" ht="15" hidden="false" customHeight="false" outlineLevel="0" collapsed="false">
      <c r="A5003" s="4" t="str">
        <f aca="false">B5003&amp;"|"&amp;C5003</f>
        <v>tdbR00000319 Pro-UGG|34</v>
      </c>
      <c r="B5003" s="4" t="s">
        <v>106</v>
      </c>
      <c r="C5003" s="4" t="s">
        <v>454</v>
      </c>
      <c r="D5003" s="4" t="n">
        <v>35</v>
      </c>
      <c r="E5003" s="19" t="s">
        <v>259</v>
      </c>
      <c r="F5003" s="20" t="s">
        <v>452</v>
      </c>
    </row>
    <row r="5004" customFormat="false" ht="15" hidden="false" customHeight="false" outlineLevel="0" collapsed="false">
      <c r="A5004" s="4" t="str">
        <f aca="false">B5004&amp;"|"&amp;C5004</f>
        <v>tdbR00000319 Pro-UGG|35</v>
      </c>
      <c r="B5004" s="4" t="s">
        <v>106</v>
      </c>
      <c r="C5004" s="4" t="s">
        <v>455</v>
      </c>
      <c r="D5004" s="4" t="n">
        <v>36</v>
      </c>
      <c r="E5004" s="19" t="s">
        <v>197</v>
      </c>
      <c r="F5004" s="20" t="s">
        <v>452</v>
      </c>
    </row>
    <row r="5005" customFormat="false" ht="15" hidden="false" customHeight="false" outlineLevel="0" collapsed="false">
      <c r="A5005" s="4" t="str">
        <f aca="false">B5005&amp;"|"&amp;C5005</f>
        <v>tdbR00000319 Pro-UGG|36</v>
      </c>
      <c r="B5005" s="4" t="s">
        <v>106</v>
      </c>
      <c r="C5005" s="4" t="s">
        <v>456</v>
      </c>
      <c r="D5005" s="4" t="n">
        <v>37</v>
      </c>
      <c r="E5005" s="19" t="s">
        <v>197</v>
      </c>
      <c r="F5005" s="20" t="s">
        <v>452</v>
      </c>
    </row>
    <row r="5006" customFormat="false" ht="15" hidden="false" customHeight="false" outlineLevel="0" collapsed="false">
      <c r="A5006" s="4" t="str">
        <f aca="false">B5006&amp;"|"&amp;C5006</f>
        <v>tdbR00000319 Pro-UGG|37</v>
      </c>
      <c r="B5006" s="4" t="s">
        <v>106</v>
      </c>
      <c r="C5006" s="4" t="s">
        <v>457</v>
      </c>
      <c r="D5006" s="4" t="n">
        <v>38</v>
      </c>
      <c r="E5006" s="19" t="s">
        <v>197</v>
      </c>
      <c r="F5006" s="20" t="s">
        <v>452</v>
      </c>
    </row>
    <row r="5007" customFormat="false" ht="15" hidden="false" customHeight="false" outlineLevel="0" collapsed="false">
      <c r="A5007" s="4" t="str">
        <f aca="false">B5007&amp;"|"&amp;C5007</f>
        <v>tdbR00000319 Pro-UGG|38</v>
      </c>
      <c r="B5007" s="4" t="s">
        <v>106</v>
      </c>
      <c r="C5007" s="4" t="s">
        <v>458</v>
      </c>
      <c r="D5007" s="4" t="n">
        <v>39</v>
      </c>
      <c r="E5007" s="19" t="s">
        <v>246</v>
      </c>
      <c r="F5007" s="20" t="s">
        <v>452</v>
      </c>
    </row>
    <row r="5008" customFormat="false" ht="15" hidden="false" customHeight="false" outlineLevel="0" collapsed="false">
      <c r="A5008" s="4" t="str">
        <f aca="false">B5008&amp;"|"&amp;C5008</f>
        <v>tdbR00000319 Pro-UGG|39</v>
      </c>
      <c r="B5008" s="4" t="s">
        <v>106</v>
      </c>
      <c r="C5008" s="4" t="s">
        <v>459</v>
      </c>
      <c r="D5008" s="4" t="n">
        <v>40</v>
      </c>
      <c r="E5008" s="21" t="s">
        <v>414</v>
      </c>
      <c r="F5008" s="22" t="s">
        <v>446</v>
      </c>
    </row>
    <row r="5009" customFormat="false" ht="15" hidden="false" customHeight="false" outlineLevel="0" collapsed="false">
      <c r="A5009" s="4" t="str">
        <f aca="false">B5009&amp;"|"&amp;C5009</f>
        <v>tdbR00000319 Pro-UGG|40</v>
      </c>
      <c r="B5009" s="4" t="s">
        <v>106</v>
      </c>
      <c r="C5009" s="4" t="s">
        <v>460</v>
      </c>
      <c r="D5009" s="4" t="n">
        <v>41</v>
      </c>
      <c r="E5009" s="21" t="s">
        <v>414</v>
      </c>
      <c r="F5009" s="22" t="s">
        <v>446</v>
      </c>
    </row>
    <row r="5010" customFormat="false" ht="15" hidden="false" customHeight="false" outlineLevel="0" collapsed="false">
      <c r="A5010" s="4" t="str">
        <f aca="false">B5010&amp;"|"&amp;C5010</f>
        <v>tdbR00000319 Pro-UGG|41</v>
      </c>
      <c r="B5010" s="4" t="s">
        <v>106</v>
      </c>
      <c r="C5010" s="4" t="s">
        <v>461</v>
      </c>
      <c r="D5010" s="4" t="n">
        <v>42</v>
      </c>
      <c r="E5010" s="21" t="s">
        <v>246</v>
      </c>
      <c r="F5010" s="22" t="s">
        <v>446</v>
      </c>
    </row>
    <row r="5011" customFormat="false" ht="15" hidden="false" customHeight="false" outlineLevel="0" collapsed="false">
      <c r="A5011" s="4" t="str">
        <f aca="false">B5011&amp;"|"&amp;C5011</f>
        <v>tdbR00000319 Pro-UGG|42</v>
      </c>
      <c r="B5011" s="4" t="s">
        <v>106</v>
      </c>
      <c r="C5011" s="4" t="s">
        <v>462</v>
      </c>
      <c r="D5011" s="4" t="n">
        <v>43</v>
      </c>
      <c r="E5011" s="21" t="s">
        <v>197</v>
      </c>
      <c r="F5011" s="22" t="s">
        <v>446</v>
      </c>
    </row>
    <row r="5012" customFormat="false" ht="15" hidden="false" customHeight="false" outlineLevel="0" collapsed="false">
      <c r="A5012" s="4" t="str">
        <f aca="false">B5012&amp;"|"&amp;C5012</f>
        <v>tdbR00000319 Pro-UGG|43</v>
      </c>
      <c r="B5012" s="4" t="s">
        <v>106</v>
      </c>
      <c r="C5012" s="4" t="s">
        <v>463</v>
      </c>
      <c r="D5012" s="4" t="n">
        <v>44</v>
      </c>
      <c r="E5012" s="21" t="s">
        <v>259</v>
      </c>
      <c r="F5012" s="22" t="s">
        <v>446</v>
      </c>
    </row>
    <row r="5013" customFormat="false" ht="15" hidden="false" customHeight="false" outlineLevel="0" collapsed="false">
      <c r="A5013" s="4" t="str">
        <f aca="false">B5013&amp;"|"&amp;C5013</f>
        <v>tdbR00000319 Pro-UGG|44</v>
      </c>
      <c r="B5013" s="4" t="s">
        <v>106</v>
      </c>
      <c r="C5013" s="4" t="s">
        <v>464</v>
      </c>
      <c r="D5013" s="4" t="n">
        <v>45</v>
      </c>
      <c r="E5013" s="19" t="s">
        <v>197</v>
      </c>
      <c r="F5013" s="20" t="s">
        <v>465</v>
      </c>
    </row>
    <row r="5014" customFormat="false" ht="15" hidden="false" customHeight="false" outlineLevel="0" collapsed="false">
      <c r="A5014" s="4" t="str">
        <f aca="false">B5014&amp;"|"&amp;C5014</f>
        <v>tdbR00000319 Pro-UGG|45</v>
      </c>
      <c r="B5014" s="4" t="s">
        <v>106</v>
      </c>
      <c r="C5014" s="4" t="s">
        <v>466</v>
      </c>
      <c r="D5014" s="4" t="n">
        <v>46</v>
      </c>
      <c r="E5014" s="19" t="s">
        <v>197</v>
      </c>
      <c r="F5014" s="20" t="s">
        <v>465</v>
      </c>
    </row>
    <row r="5015" customFormat="false" ht="15" hidden="false" customHeight="false" outlineLevel="0" collapsed="false">
      <c r="A5015" s="4" t="str">
        <f aca="false">B5015&amp;"|"&amp;C5015</f>
        <v>tdbR00000319 Pro-UGG|46</v>
      </c>
      <c r="B5015" s="4" t="s">
        <v>106</v>
      </c>
      <c r="C5015" s="4" t="s">
        <v>467</v>
      </c>
      <c r="D5015" s="4" t="n">
        <v>47</v>
      </c>
      <c r="E5015" s="19" t="s">
        <v>197</v>
      </c>
      <c r="F5015" s="20" t="s">
        <v>465</v>
      </c>
    </row>
    <row r="5016" customFormat="false" ht="15" hidden="false" customHeight="false" outlineLevel="0" collapsed="false">
      <c r="A5016" s="4" t="str">
        <f aca="false">B5016&amp;"|"&amp;C5016</f>
        <v>tdbR00000319 Pro-UGG|47</v>
      </c>
      <c r="B5016" s="4" t="s">
        <v>106</v>
      </c>
      <c r="C5016" s="4" t="s">
        <v>468</v>
      </c>
      <c r="D5016" s="4" t="n">
        <v>48</v>
      </c>
      <c r="E5016" s="19" t="s">
        <v>259</v>
      </c>
      <c r="F5016" s="20" t="s">
        <v>465</v>
      </c>
    </row>
    <row r="5017" customFormat="false" ht="15" hidden="false" customHeight="false" outlineLevel="0" collapsed="false">
      <c r="A5017" s="4" t="str">
        <f aca="false">B5017&amp;"|"&amp;C5017</f>
        <v>tdbR00000319 Pro-UGG|48</v>
      </c>
      <c r="B5017" s="4" t="s">
        <v>106</v>
      </c>
      <c r="C5017" s="4" t="s">
        <v>469</v>
      </c>
      <c r="D5017" s="4" t="n">
        <v>49</v>
      </c>
      <c r="E5017" s="19" t="s">
        <v>414</v>
      </c>
      <c r="F5017" s="20" t="s">
        <v>465</v>
      </c>
    </row>
    <row r="5018" customFormat="false" ht="15" hidden="false" customHeight="false" outlineLevel="0" collapsed="false">
      <c r="A5018" s="4" t="str">
        <f aca="false">B5018&amp;"|"&amp;C5018</f>
        <v>tdbR00000319 Pro-UGG|49</v>
      </c>
      <c r="B5018" s="4" t="s">
        <v>106</v>
      </c>
      <c r="C5018" s="4" t="s">
        <v>470</v>
      </c>
      <c r="D5018" s="4" t="n">
        <v>50</v>
      </c>
      <c r="E5018" s="23" t="s">
        <v>197</v>
      </c>
      <c r="F5018" s="10" t="s">
        <v>471</v>
      </c>
    </row>
    <row r="5019" customFormat="false" ht="15" hidden="false" customHeight="false" outlineLevel="0" collapsed="false">
      <c r="A5019" s="4" t="str">
        <f aca="false">B5019&amp;"|"&amp;C5019</f>
        <v>tdbR00000319 Pro-UGG|50</v>
      </c>
      <c r="B5019" s="4" t="s">
        <v>106</v>
      </c>
      <c r="C5019" s="4" t="s">
        <v>472</v>
      </c>
      <c r="D5019" s="4" t="n">
        <v>51</v>
      </c>
      <c r="E5019" s="23" t="s">
        <v>197</v>
      </c>
      <c r="F5019" s="10" t="s">
        <v>471</v>
      </c>
    </row>
    <row r="5020" customFormat="false" ht="15" hidden="false" customHeight="false" outlineLevel="0" collapsed="false">
      <c r="A5020" s="4" t="str">
        <f aca="false">B5020&amp;"|"&amp;C5020</f>
        <v>tdbR00000319 Pro-UGG|51</v>
      </c>
      <c r="B5020" s="4" t="s">
        <v>106</v>
      </c>
      <c r="C5020" s="4" t="s">
        <v>473</v>
      </c>
      <c r="D5020" s="4" t="n">
        <v>52</v>
      </c>
      <c r="E5020" s="23" t="s">
        <v>246</v>
      </c>
      <c r="F5020" s="10" t="s">
        <v>471</v>
      </c>
    </row>
    <row r="5021" customFormat="false" ht="15" hidden="false" customHeight="false" outlineLevel="0" collapsed="false">
      <c r="A5021" s="4" t="str">
        <f aca="false">B5021&amp;"|"&amp;C5021</f>
        <v>tdbR00000319 Pro-UGG|52</v>
      </c>
      <c r="B5021" s="4" t="s">
        <v>106</v>
      </c>
      <c r="C5021" s="4" t="s">
        <v>474</v>
      </c>
      <c r="D5021" s="4" t="n">
        <v>53</v>
      </c>
      <c r="E5021" s="23" t="s">
        <v>197</v>
      </c>
      <c r="F5021" s="10" t="s">
        <v>471</v>
      </c>
    </row>
    <row r="5022" customFormat="false" ht="15" hidden="false" customHeight="false" outlineLevel="0" collapsed="false">
      <c r="A5022" s="4" t="str">
        <f aca="false">B5022&amp;"|"&amp;C5022</f>
        <v>tdbR00000319 Pro-UGG|53</v>
      </c>
      <c r="B5022" s="4" t="s">
        <v>106</v>
      </c>
      <c r="C5022" s="4" t="s">
        <v>475</v>
      </c>
      <c r="D5022" s="4" t="n">
        <v>54</v>
      </c>
      <c r="E5022" s="23" t="s">
        <v>197</v>
      </c>
      <c r="F5022" s="10" t="s">
        <v>471</v>
      </c>
    </row>
    <row r="5023" customFormat="false" ht="15" hidden="false" customHeight="false" outlineLevel="0" collapsed="false">
      <c r="A5023" s="4" t="str">
        <f aca="false">B5023&amp;"|"&amp;C5023</f>
        <v>tdbR00000319 Pro-UGG|54</v>
      </c>
      <c r="B5023" s="4" t="s">
        <v>106</v>
      </c>
      <c r="C5023" s="4" t="s">
        <v>476</v>
      </c>
      <c r="D5023" s="4" t="n">
        <v>55</v>
      </c>
      <c r="E5023" s="19" t="s">
        <v>259</v>
      </c>
      <c r="F5023" s="20" t="s">
        <v>477</v>
      </c>
    </row>
    <row r="5024" customFormat="false" ht="15" hidden="false" customHeight="false" outlineLevel="0" collapsed="false">
      <c r="A5024" s="4" t="str">
        <f aca="false">B5024&amp;"|"&amp;C5024</f>
        <v>tdbR00000319 Pro-UGG|55</v>
      </c>
      <c r="B5024" s="4" t="s">
        <v>106</v>
      </c>
      <c r="C5024" s="4" t="s">
        <v>478</v>
      </c>
      <c r="D5024" s="4" t="n">
        <v>56</v>
      </c>
      <c r="E5024" s="19" t="s">
        <v>259</v>
      </c>
      <c r="F5024" s="20" t="s">
        <v>477</v>
      </c>
    </row>
    <row r="5025" customFormat="false" ht="15" hidden="false" customHeight="false" outlineLevel="0" collapsed="false">
      <c r="A5025" s="4" t="str">
        <f aca="false">B5025&amp;"|"&amp;C5025</f>
        <v>tdbR00000319 Pro-UGG|56</v>
      </c>
      <c r="B5025" s="4" t="s">
        <v>106</v>
      </c>
      <c r="C5025" s="4" t="s">
        <v>479</v>
      </c>
      <c r="D5025" s="4" t="n">
        <v>57</v>
      </c>
      <c r="E5025" s="19" t="s">
        <v>414</v>
      </c>
      <c r="F5025" s="20" t="s">
        <v>477</v>
      </c>
    </row>
    <row r="5026" customFormat="false" ht="15" hidden="false" customHeight="false" outlineLevel="0" collapsed="false">
      <c r="A5026" s="4" t="str">
        <f aca="false">B5026&amp;"|"&amp;C5026</f>
        <v>tdbR00000319 Pro-UGG|57</v>
      </c>
      <c r="B5026" s="4" t="s">
        <v>106</v>
      </c>
      <c r="C5026" s="4" t="s">
        <v>480</v>
      </c>
      <c r="D5026" s="4" t="n">
        <v>58</v>
      </c>
      <c r="E5026" s="19" t="s">
        <v>197</v>
      </c>
      <c r="F5026" s="20" t="s">
        <v>477</v>
      </c>
    </row>
    <row r="5027" customFormat="false" ht="15" hidden="false" customHeight="false" outlineLevel="0" collapsed="false">
      <c r="A5027" s="4" t="str">
        <f aca="false">B5027&amp;"|"&amp;C5027</f>
        <v>tdbR00000319 Pro-UGG|58</v>
      </c>
      <c r="B5027" s="4" t="s">
        <v>106</v>
      </c>
      <c r="C5027" s="4" t="s">
        <v>481</v>
      </c>
      <c r="D5027" s="4" t="n">
        <v>59</v>
      </c>
      <c r="E5027" s="19" t="s">
        <v>246</v>
      </c>
      <c r="F5027" s="20" t="s">
        <v>477</v>
      </c>
    </row>
    <row r="5028" customFormat="false" ht="15" hidden="false" customHeight="false" outlineLevel="0" collapsed="false">
      <c r="A5028" s="4" t="str">
        <f aca="false">B5028&amp;"|"&amp;C5028</f>
        <v>tdbR00000319 Pro-UGG|59</v>
      </c>
      <c r="B5028" s="4" t="s">
        <v>106</v>
      </c>
      <c r="C5028" s="4" t="s">
        <v>482</v>
      </c>
      <c r="D5028" s="4" t="n">
        <v>60</v>
      </c>
      <c r="E5028" s="19" t="s">
        <v>246</v>
      </c>
      <c r="F5028" s="20" t="s">
        <v>477</v>
      </c>
    </row>
    <row r="5029" customFormat="false" ht="15" hidden="false" customHeight="false" outlineLevel="0" collapsed="false">
      <c r="A5029" s="4" t="str">
        <f aca="false">B5029&amp;"|"&amp;C5029</f>
        <v>tdbR00000319 Pro-UGG|60</v>
      </c>
      <c r="B5029" s="4" t="s">
        <v>106</v>
      </c>
      <c r="C5029" s="4" t="s">
        <v>483</v>
      </c>
      <c r="D5029" s="4" t="n">
        <v>61</v>
      </c>
      <c r="E5029" s="19" t="s">
        <v>259</v>
      </c>
      <c r="F5029" s="20" t="s">
        <v>477</v>
      </c>
    </row>
    <row r="5030" customFormat="false" ht="15" hidden="false" customHeight="false" outlineLevel="0" collapsed="false">
      <c r="A5030" s="4" t="str">
        <f aca="false">B5030&amp;"|"&amp;C5030</f>
        <v>tdbR00000319 Pro-UGG|61</v>
      </c>
      <c r="B5030" s="4" t="s">
        <v>106</v>
      </c>
      <c r="C5030" s="4" t="s">
        <v>484</v>
      </c>
      <c r="D5030" s="4" t="n">
        <v>62</v>
      </c>
      <c r="E5030" s="23" t="s">
        <v>414</v>
      </c>
      <c r="F5030" s="10" t="s">
        <v>471</v>
      </c>
    </row>
    <row r="5031" customFormat="false" ht="15" hidden="false" customHeight="false" outlineLevel="0" collapsed="false">
      <c r="A5031" s="4" t="str">
        <f aca="false">B5031&amp;"|"&amp;C5031</f>
        <v>tdbR00000319 Pro-UGG|62</v>
      </c>
      <c r="B5031" s="4" t="s">
        <v>106</v>
      </c>
      <c r="C5031" s="4" t="s">
        <v>485</v>
      </c>
      <c r="D5031" s="4" t="n">
        <v>63</v>
      </c>
      <c r="E5031" s="23" t="s">
        <v>414</v>
      </c>
      <c r="F5031" s="10" t="s">
        <v>471</v>
      </c>
    </row>
    <row r="5032" customFormat="false" ht="15" hidden="false" customHeight="false" outlineLevel="0" collapsed="false">
      <c r="A5032" s="4" t="str">
        <f aca="false">B5032&amp;"|"&amp;C5032</f>
        <v>tdbR00000319 Pro-UGG|63</v>
      </c>
      <c r="B5032" s="4" t="s">
        <v>106</v>
      </c>
      <c r="C5032" s="4" t="s">
        <v>486</v>
      </c>
      <c r="D5032" s="4" t="n">
        <v>64</v>
      </c>
      <c r="E5032" s="23" t="s">
        <v>259</v>
      </c>
      <c r="F5032" s="10" t="s">
        <v>471</v>
      </c>
    </row>
    <row r="5033" customFormat="false" ht="15" hidden="false" customHeight="false" outlineLevel="0" collapsed="false">
      <c r="A5033" s="4" t="str">
        <f aca="false">B5033&amp;"|"&amp;C5033</f>
        <v>tdbR00000319 Pro-UGG|64</v>
      </c>
      <c r="B5033" s="4" t="s">
        <v>106</v>
      </c>
      <c r="C5033" s="4" t="s">
        <v>487</v>
      </c>
      <c r="D5033" s="4" t="n">
        <v>65</v>
      </c>
      <c r="E5033" s="23" t="s">
        <v>414</v>
      </c>
      <c r="F5033" s="10" t="s">
        <v>471</v>
      </c>
    </row>
    <row r="5034" customFormat="false" ht="15" hidden="false" customHeight="false" outlineLevel="0" collapsed="false">
      <c r="A5034" s="4" t="str">
        <f aca="false">B5034&amp;"|"&amp;C5034</f>
        <v>tdbR00000319 Pro-UGG|65</v>
      </c>
      <c r="B5034" s="4" t="s">
        <v>106</v>
      </c>
      <c r="C5034" s="4" t="s">
        <v>488</v>
      </c>
      <c r="D5034" s="4" t="n">
        <v>66</v>
      </c>
      <c r="E5034" s="23" t="s">
        <v>259</v>
      </c>
      <c r="F5034" s="10" t="s">
        <v>471</v>
      </c>
    </row>
    <row r="5035" customFormat="false" ht="15" hidden="false" customHeight="false" outlineLevel="0" collapsed="false">
      <c r="A5035" s="4" t="str">
        <f aca="false">B5035&amp;"|"&amp;C5035</f>
        <v>tdbR00000319 Pro-UGG|66</v>
      </c>
      <c r="B5035" s="4" t="s">
        <v>106</v>
      </c>
      <c r="C5035" s="4" t="s">
        <v>489</v>
      </c>
      <c r="D5035" s="4" t="n">
        <v>67</v>
      </c>
      <c r="E5035" s="17" t="s">
        <v>414</v>
      </c>
      <c r="F5035" s="18" t="s">
        <v>412</v>
      </c>
    </row>
    <row r="5036" customFormat="false" ht="15" hidden="false" customHeight="false" outlineLevel="0" collapsed="false">
      <c r="A5036" s="4" t="str">
        <f aca="false">B5036&amp;"|"&amp;C5036</f>
        <v>tdbR00000319 Pro-UGG|67</v>
      </c>
      <c r="B5036" s="4" t="s">
        <v>106</v>
      </c>
      <c r="C5036" s="4" t="s">
        <v>490</v>
      </c>
      <c r="D5036" s="4" t="n">
        <v>68</v>
      </c>
      <c r="E5036" s="17" t="s">
        <v>259</v>
      </c>
      <c r="F5036" s="18" t="s">
        <v>412</v>
      </c>
    </row>
    <row r="5037" customFormat="false" ht="15" hidden="false" customHeight="false" outlineLevel="0" collapsed="false">
      <c r="A5037" s="4" t="str">
        <f aca="false">B5037&amp;"|"&amp;C5037</f>
        <v>tdbR00000319 Pro-UGG|68</v>
      </c>
      <c r="B5037" s="4" t="s">
        <v>106</v>
      </c>
      <c r="C5037" s="4" t="s">
        <v>491</v>
      </c>
      <c r="D5037" s="4" t="n">
        <v>69</v>
      </c>
      <c r="E5037" s="17" t="s">
        <v>414</v>
      </c>
      <c r="F5037" s="18" t="s">
        <v>412</v>
      </c>
    </row>
    <row r="5038" customFormat="false" ht="15" hidden="false" customHeight="false" outlineLevel="0" collapsed="false">
      <c r="A5038" s="4" t="str">
        <f aca="false">B5038&amp;"|"&amp;C5038</f>
        <v>tdbR00000319 Pro-UGG|69</v>
      </c>
      <c r="B5038" s="4" t="s">
        <v>106</v>
      </c>
      <c r="C5038" s="4" t="s">
        <v>492</v>
      </c>
      <c r="D5038" s="4" t="n">
        <v>70</v>
      </c>
      <c r="E5038" s="17" t="s">
        <v>197</v>
      </c>
      <c r="F5038" s="18" t="s">
        <v>412</v>
      </c>
    </row>
    <row r="5039" customFormat="false" ht="15" hidden="false" customHeight="false" outlineLevel="0" collapsed="false">
      <c r="A5039" s="4" t="str">
        <f aca="false">B5039&amp;"|"&amp;C5039</f>
        <v>tdbR00000319 Pro-UGG|70</v>
      </c>
      <c r="B5039" s="4" t="s">
        <v>106</v>
      </c>
      <c r="C5039" s="4" t="s">
        <v>493</v>
      </c>
      <c r="D5039" s="4" t="n">
        <v>71</v>
      </c>
      <c r="E5039" s="17" t="s">
        <v>414</v>
      </c>
      <c r="F5039" s="18" t="s">
        <v>412</v>
      </c>
    </row>
    <row r="5040" customFormat="false" ht="15" hidden="false" customHeight="false" outlineLevel="0" collapsed="false">
      <c r="A5040" s="4" t="str">
        <f aca="false">B5040&amp;"|"&amp;C5040</f>
        <v>tdbR00000319 Pro-UGG|71</v>
      </c>
      <c r="B5040" s="4" t="s">
        <v>106</v>
      </c>
      <c r="C5040" s="4" t="s">
        <v>494</v>
      </c>
      <c r="D5040" s="4" t="n">
        <v>72</v>
      </c>
      <c r="E5040" s="17" t="s">
        <v>414</v>
      </c>
      <c r="F5040" s="18" t="s">
        <v>412</v>
      </c>
    </row>
    <row r="5041" customFormat="false" ht="15" hidden="false" customHeight="false" outlineLevel="0" collapsed="false">
      <c r="A5041" s="4" t="str">
        <f aca="false">B5041&amp;"|"&amp;C5041</f>
        <v>tdbR00000319 Pro-UGG|72</v>
      </c>
      <c r="B5041" s="4" t="s">
        <v>106</v>
      </c>
      <c r="C5041" s="4" t="s">
        <v>495</v>
      </c>
      <c r="D5041" s="4" t="n">
        <v>73</v>
      </c>
      <c r="E5041" s="17" t="s">
        <v>197</v>
      </c>
      <c r="F5041" s="18" t="s">
        <v>412</v>
      </c>
    </row>
    <row r="5042" customFormat="false" ht="15" hidden="false" customHeight="false" outlineLevel="0" collapsed="false">
      <c r="A5042" s="4" t="str">
        <f aca="false">B5042&amp;"|"&amp;C5042</f>
        <v>tdbR00000337 Gln-CUA|1</v>
      </c>
      <c r="B5042" s="4" t="s">
        <v>107</v>
      </c>
      <c r="C5042" s="4" t="s">
        <v>411</v>
      </c>
      <c r="D5042" s="4" t="n">
        <v>1</v>
      </c>
      <c r="E5042" s="17" t="s">
        <v>197</v>
      </c>
      <c r="F5042" s="18" t="s">
        <v>412</v>
      </c>
    </row>
    <row r="5043" customFormat="false" ht="15" hidden="false" customHeight="false" outlineLevel="0" collapsed="false">
      <c r="A5043" s="4" t="str">
        <f aca="false">B5043&amp;"|"&amp;C5043</f>
        <v>tdbR00000337 Gln-CUA|2</v>
      </c>
      <c r="B5043" s="4" t="s">
        <v>107</v>
      </c>
      <c r="C5043" s="4" t="s">
        <v>413</v>
      </c>
      <c r="D5043" s="4" t="n">
        <v>2</v>
      </c>
      <c r="E5043" s="17" t="s">
        <v>197</v>
      </c>
      <c r="F5043" s="18" t="s">
        <v>412</v>
      </c>
    </row>
    <row r="5044" customFormat="false" ht="15" hidden="false" customHeight="false" outlineLevel="0" collapsed="false">
      <c r="A5044" s="4" t="str">
        <f aca="false">B5044&amp;"|"&amp;C5044</f>
        <v>tdbR00000337 Gln-CUA|3</v>
      </c>
      <c r="B5044" s="4" t="s">
        <v>107</v>
      </c>
      <c r="C5044" s="4" t="s">
        <v>415</v>
      </c>
      <c r="D5044" s="4" t="n">
        <v>3</v>
      </c>
      <c r="E5044" s="17" t="s">
        <v>259</v>
      </c>
      <c r="F5044" s="18" t="s">
        <v>412</v>
      </c>
    </row>
    <row r="5045" customFormat="false" ht="15" hidden="false" customHeight="false" outlineLevel="0" collapsed="false">
      <c r="A5045" s="4" t="str">
        <f aca="false">B5045&amp;"|"&amp;C5045</f>
        <v>tdbR00000337 Gln-CUA|4</v>
      </c>
      <c r="B5045" s="4" t="s">
        <v>107</v>
      </c>
      <c r="C5045" s="4" t="s">
        <v>416</v>
      </c>
      <c r="D5045" s="4" t="n">
        <v>4</v>
      </c>
      <c r="E5045" s="17" t="s">
        <v>259</v>
      </c>
      <c r="F5045" s="18" t="s">
        <v>412</v>
      </c>
    </row>
    <row r="5046" customFormat="false" ht="15" hidden="false" customHeight="false" outlineLevel="0" collapsed="false">
      <c r="A5046" s="4" t="str">
        <f aca="false">B5046&amp;"|"&amp;C5046</f>
        <v>tdbR00000337 Gln-CUA|5</v>
      </c>
      <c r="B5046" s="4" t="s">
        <v>107</v>
      </c>
      <c r="C5046" s="4" t="s">
        <v>417</v>
      </c>
      <c r="D5046" s="4" t="n">
        <v>5</v>
      </c>
      <c r="E5046" s="17" t="s">
        <v>414</v>
      </c>
      <c r="F5046" s="18" t="s">
        <v>412</v>
      </c>
    </row>
    <row r="5047" customFormat="false" ht="15" hidden="false" customHeight="false" outlineLevel="0" collapsed="false">
      <c r="A5047" s="4" t="str">
        <f aca="false">B5047&amp;"|"&amp;C5047</f>
        <v>tdbR00000337 Gln-CUA|6</v>
      </c>
      <c r="B5047" s="4" t="s">
        <v>107</v>
      </c>
      <c r="C5047" s="4" t="s">
        <v>418</v>
      </c>
      <c r="D5047" s="4" t="n">
        <v>6</v>
      </c>
      <c r="E5047" s="17" t="s">
        <v>259</v>
      </c>
      <c r="F5047" s="18" t="s">
        <v>412</v>
      </c>
    </row>
    <row r="5048" customFormat="false" ht="15" hidden="false" customHeight="false" outlineLevel="0" collapsed="false">
      <c r="A5048" s="4" t="str">
        <f aca="false">B5048&amp;"|"&amp;C5048</f>
        <v>tdbR00000337 Gln-CUA|7</v>
      </c>
      <c r="B5048" s="4" t="s">
        <v>107</v>
      </c>
      <c r="C5048" s="4" t="s">
        <v>419</v>
      </c>
      <c r="D5048" s="4" t="n">
        <v>7</v>
      </c>
      <c r="E5048" s="17" t="s">
        <v>246</v>
      </c>
      <c r="F5048" s="18" t="s">
        <v>412</v>
      </c>
    </row>
    <row r="5049" customFormat="false" ht="15" hidden="false" customHeight="false" outlineLevel="0" collapsed="false">
      <c r="A5049" s="4" t="str">
        <f aca="false">B5049&amp;"|"&amp;C5049</f>
        <v>tdbR00000337 Gln-CUA|8</v>
      </c>
      <c r="B5049" s="4" t="s">
        <v>107</v>
      </c>
      <c r="C5049" s="4" t="s">
        <v>420</v>
      </c>
      <c r="D5049" s="4" t="n">
        <v>8</v>
      </c>
      <c r="E5049" s="3" t="s">
        <v>259</v>
      </c>
      <c r="F5049" s="4" t="s">
        <v>421</v>
      </c>
    </row>
    <row r="5050" customFormat="false" ht="15" hidden="false" customHeight="false" outlineLevel="0" collapsed="false">
      <c r="A5050" s="4" t="str">
        <f aca="false">B5050&amp;"|"&amp;C5050</f>
        <v>tdbR00000337 Gln-CUA|9</v>
      </c>
      <c r="B5050" s="4" t="s">
        <v>107</v>
      </c>
      <c r="C5050" s="4" t="s">
        <v>422</v>
      </c>
      <c r="D5050" s="4" t="n">
        <v>9</v>
      </c>
      <c r="E5050" s="3" t="s">
        <v>246</v>
      </c>
      <c r="F5050" s="4" t="s">
        <v>423</v>
      </c>
    </row>
    <row r="5051" customFormat="false" ht="15" hidden="false" customHeight="false" outlineLevel="0" collapsed="false">
      <c r="A5051" s="4" t="str">
        <f aca="false">B5051&amp;"|"&amp;C5051</f>
        <v>tdbR00000337 Gln-CUA|10</v>
      </c>
      <c r="B5051" s="4" t="s">
        <v>107</v>
      </c>
      <c r="C5051" s="4" t="s">
        <v>424</v>
      </c>
      <c r="D5051" s="4" t="n">
        <v>10</v>
      </c>
      <c r="E5051" s="8" t="s">
        <v>197</v>
      </c>
      <c r="F5051" s="7" t="s">
        <v>425</v>
      </c>
    </row>
    <row r="5052" customFormat="false" ht="15" hidden="false" customHeight="false" outlineLevel="0" collapsed="false">
      <c r="A5052" s="4" t="str">
        <f aca="false">B5052&amp;"|"&amp;C5052</f>
        <v>tdbR00000337 Gln-CUA|11</v>
      </c>
      <c r="B5052" s="4" t="s">
        <v>107</v>
      </c>
      <c r="C5052" s="4" t="s">
        <v>426</v>
      </c>
      <c r="D5052" s="4" t="n">
        <v>11</v>
      </c>
      <c r="E5052" s="8" t="s">
        <v>259</v>
      </c>
      <c r="F5052" s="7" t="s">
        <v>425</v>
      </c>
    </row>
    <row r="5053" customFormat="false" ht="15" hidden="false" customHeight="false" outlineLevel="0" collapsed="false">
      <c r="A5053" s="4" t="str">
        <f aca="false">B5053&amp;"|"&amp;C5053</f>
        <v>tdbR00000337 Gln-CUA|12</v>
      </c>
      <c r="B5053" s="4" t="s">
        <v>107</v>
      </c>
      <c r="C5053" s="4" t="s">
        <v>427</v>
      </c>
      <c r="D5053" s="4" t="n">
        <v>12</v>
      </c>
      <c r="E5053" s="8" t="s">
        <v>246</v>
      </c>
      <c r="F5053" s="7" t="s">
        <v>425</v>
      </c>
    </row>
    <row r="5054" customFormat="false" ht="15" hidden="false" customHeight="false" outlineLevel="0" collapsed="false">
      <c r="A5054" s="4" t="str">
        <f aca="false">B5054&amp;"|"&amp;C5054</f>
        <v>tdbR00000337 Gln-CUA|13</v>
      </c>
      <c r="B5054" s="4" t="s">
        <v>107</v>
      </c>
      <c r="C5054" s="4" t="s">
        <v>428</v>
      </c>
      <c r="D5054" s="4" t="n">
        <v>13</v>
      </c>
      <c r="E5054" s="8" t="s">
        <v>259</v>
      </c>
      <c r="F5054" s="7" t="s">
        <v>425</v>
      </c>
    </row>
    <row r="5055" customFormat="false" ht="15" hidden="false" customHeight="false" outlineLevel="0" collapsed="false">
      <c r="A5055" s="4" t="str">
        <f aca="false">B5055&amp;"|"&amp;C5055</f>
        <v>tdbR00000337 Gln-CUA|14</v>
      </c>
      <c r="B5055" s="4" t="s">
        <v>107</v>
      </c>
      <c r="C5055" s="4" t="s">
        <v>429</v>
      </c>
      <c r="D5055" s="4" t="n">
        <v>14</v>
      </c>
      <c r="E5055" s="19" t="s">
        <v>246</v>
      </c>
      <c r="F5055" s="20" t="s">
        <v>430</v>
      </c>
    </row>
    <row r="5056" customFormat="false" ht="15" hidden="false" customHeight="false" outlineLevel="0" collapsed="false">
      <c r="A5056" s="4" t="str">
        <f aca="false">B5056&amp;"|"&amp;C5056</f>
        <v>tdbR00000337 Gln-CUA|15</v>
      </c>
      <c r="B5056" s="4" t="s">
        <v>107</v>
      </c>
      <c r="C5056" s="4" t="s">
        <v>431</v>
      </c>
      <c r="D5056" s="4" t="n">
        <v>15</v>
      </c>
      <c r="E5056" s="19" t="s">
        <v>197</v>
      </c>
      <c r="F5056" s="20" t="s">
        <v>430</v>
      </c>
    </row>
    <row r="5057" customFormat="false" ht="15" hidden="false" customHeight="false" outlineLevel="0" collapsed="false">
      <c r="A5057" s="4" t="str">
        <f aca="false">B5057&amp;"|"&amp;C5057</f>
        <v>tdbR00000337 Gln-CUA|16</v>
      </c>
      <c r="B5057" s="4" t="s">
        <v>107</v>
      </c>
      <c r="C5057" s="4" t="s">
        <v>432</v>
      </c>
      <c r="D5057" s="4" t="n">
        <v>16</v>
      </c>
      <c r="E5057" s="19" t="s">
        <v>414</v>
      </c>
      <c r="F5057" s="20" t="s">
        <v>430</v>
      </c>
    </row>
    <row r="5058" customFormat="false" ht="15" hidden="false" customHeight="false" outlineLevel="0" collapsed="false">
      <c r="A5058" s="4" t="str">
        <f aca="false">B5058&amp;"|"&amp;C5058</f>
        <v>tdbR00000337 Gln-CUA|17</v>
      </c>
      <c r="B5058" s="4" t="s">
        <v>107</v>
      </c>
      <c r="C5058" s="4" t="s">
        <v>433</v>
      </c>
      <c r="D5058" s="4" t="n">
        <v>17</v>
      </c>
      <c r="E5058" s="19" t="s">
        <v>197</v>
      </c>
      <c r="F5058" s="20" t="s">
        <v>430</v>
      </c>
    </row>
    <row r="5059" customFormat="false" ht="15" hidden="false" customHeight="false" outlineLevel="0" collapsed="false">
      <c r="A5059" s="4" t="str">
        <f aca="false">B5059&amp;"|"&amp;C5059</f>
        <v>tdbR00000337 Gln-CUA|18</v>
      </c>
      <c r="B5059" s="4" t="s">
        <v>107</v>
      </c>
      <c r="C5059" s="4" t="s">
        <v>434</v>
      </c>
      <c r="D5059" s="4" t="n">
        <v>18</v>
      </c>
      <c r="E5059" s="19" t="s">
        <v>414</v>
      </c>
      <c r="F5059" s="20" t="s">
        <v>430</v>
      </c>
    </row>
    <row r="5060" customFormat="false" ht="15" hidden="false" customHeight="false" outlineLevel="0" collapsed="false">
      <c r="A5060" s="4" t="str">
        <f aca="false">B5060&amp;"|"&amp;C5060</f>
        <v>tdbR00000337 Gln-CUA|19</v>
      </c>
      <c r="B5060" s="4" t="s">
        <v>107</v>
      </c>
      <c r="C5060" s="4" t="s">
        <v>435</v>
      </c>
      <c r="D5060" s="4" t="n">
        <v>19</v>
      </c>
      <c r="E5060" s="19" t="s">
        <v>259</v>
      </c>
      <c r="F5060" s="20" t="s">
        <v>430</v>
      </c>
    </row>
    <row r="5061" customFormat="false" ht="15" hidden="false" customHeight="false" outlineLevel="0" collapsed="false">
      <c r="A5061" s="4" t="str">
        <f aca="false">B5061&amp;"|"&amp;C5061</f>
        <v>tdbR00000337 Gln-CUA|20</v>
      </c>
      <c r="B5061" s="4" t="s">
        <v>107</v>
      </c>
      <c r="C5061" s="4" t="s">
        <v>436</v>
      </c>
      <c r="D5061" s="4" t="n">
        <v>20</v>
      </c>
      <c r="E5061" s="19" t="s">
        <v>259</v>
      </c>
      <c r="F5061" s="20" t="s">
        <v>430</v>
      </c>
    </row>
    <row r="5062" customFormat="false" ht="15" hidden="false" customHeight="false" outlineLevel="0" collapsed="false">
      <c r="A5062" s="4" t="str">
        <f aca="false">B5062&amp;"|"&amp;C5062</f>
        <v>tdbR00000337 Gln-CUA|21</v>
      </c>
      <c r="B5062" s="4" t="s">
        <v>107</v>
      </c>
      <c r="C5062" s="4" t="s">
        <v>438</v>
      </c>
      <c r="D5062" s="4" t="n">
        <v>21</v>
      </c>
      <c r="E5062" s="19" t="s">
        <v>246</v>
      </c>
      <c r="F5062" s="20" t="s">
        <v>430</v>
      </c>
    </row>
    <row r="5063" customFormat="false" ht="15" hidden="false" customHeight="false" outlineLevel="0" collapsed="false">
      <c r="A5063" s="4" t="str">
        <f aca="false">B5063&amp;"|"&amp;C5063</f>
        <v>tdbR00000337 Gln-CUA|22</v>
      </c>
      <c r="B5063" s="4" t="s">
        <v>107</v>
      </c>
      <c r="C5063" s="4" t="s">
        <v>439</v>
      </c>
      <c r="D5063" s="4" t="n">
        <v>22</v>
      </c>
      <c r="E5063" s="8" t="s">
        <v>197</v>
      </c>
      <c r="F5063" s="7" t="s">
        <v>425</v>
      </c>
    </row>
    <row r="5064" customFormat="false" ht="15" hidden="false" customHeight="false" outlineLevel="0" collapsed="false">
      <c r="A5064" s="4" t="str">
        <f aca="false">B5064&amp;"|"&amp;C5064</f>
        <v>tdbR00000337 Gln-CUA|23</v>
      </c>
      <c r="B5064" s="4" t="s">
        <v>107</v>
      </c>
      <c r="C5064" s="4" t="s">
        <v>440</v>
      </c>
      <c r="D5064" s="4" t="n">
        <v>23</v>
      </c>
      <c r="E5064" s="8" t="s">
        <v>259</v>
      </c>
      <c r="F5064" s="7" t="s">
        <v>425</v>
      </c>
    </row>
    <row r="5065" customFormat="false" ht="15" hidden="false" customHeight="false" outlineLevel="0" collapsed="false">
      <c r="A5065" s="4" t="str">
        <f aca="false">B5065&amp;"|"&amp;C5065</f>
        <v>tdbR00000337 Gln-CUA|24</v>
      </c>
      <c r="B5065" s="4" t="s">
        <v>107</v>
      </c>
      <c r="C5065" s="4" t="s">
        <v>441</v>
      </c>
      <c r="D5065" s="4" t="n">
        <v>24</v>
      </c>
      <c r="E5065" s="8" t="s">
        <v>246</v>
      </c>
      <c r="F5065" s="7" t="s">
        <v>425</v>
      </c>
    </row>
    <row r="5066" customFormat="false" ht="15" hidden="false" customHeight="false" outlineLevel="0" collapsed="false">
      <c r="A5066" s="4" t="str">
        <f aca="false">B5066&amp;"|"&amp;C5066</f>
        <v>tdbR00000337 Gln-CUA|25</v>
      </c>
      <c r="B5066" s="4" t="s">
        <v>107</v>
      </c>
      <c r="C5066" s="4" t="s">
        <v>442</v>
      </c>
      <c r="D5066" s="4" t="n">
        <v>25</v>
      </c>
      <c r="E5066" s="8" t="s">
        <v>414</v>
      </c>
      <c r="F5066" s="7" t="s">
        <v>425</v>
      </c>
    </row>
    <row r="5067" customFormat="false" ht="15" hidden="false" customHeight="false" outlineLevel="0" collapsed="false">
      <c r="A5067" s="4" t="str">
        <f aca="false">B5067&amp;"|"&amp;C5067</f>
        <v>tdbR00000337 Gln-CUA|26</v>
      </c>
      <c r="B5067" s="4" t="s">
        <v>107</v>
      </c>
      <c r="C5067" s="4" t="s">
        <v>443</v>
      </c>
      <c r="D5067" s="4" t="n">
        <v>26</v>
      </c>
      <c r="E5067" s="3" t="s">
        <v>259</v>
      </c>
      <c r="F5067" s="4" t="s">
        <v>444</v>
      </c>
    </row>
    <row r="5068" customFormat="false" ht="15" hidden="false" customHeight="false" outlineLevel="0" collapsed="false">
      <c r="A5068" s="4" t="str">
        <f aca="false">B5068&amp;"|"&amp;C5068</f>
        <v>tdbR00000337 Gln-CUA|27</v>
      </c>
      <c r="B5068" s="4" t="s">
        <v>107</v>
      </c>
      <c r="C5068" s="4" t="s">
        <v>445</v>
      </c>
      <c r="D5068" s="4" t="n">
        <v>27</v>
      </c>
      <c r="E5068" s="21" t="s">
        <v>197</v>
      </c>
      <c r="F5068" s="22" t="s">
        <v>446</v>
      </c>
    </row>
    <row r="5069" customFormat="false" ht="15" hidden="false" customHeight="false" outlineLevel="0" collapsed="false">
      <c r="A5069" s="4" t="str">
        <f aca="false">B5069&amp;"|"&amp;C5069</f>
        <v>tdbR00000337 Gln-CUA|28</v>
      </c>
      <c r="B5069" s="4" t="s">
        <v>107</v>
      </c>
      <c r="C5069" s="4" t="s">
        <v>447</v>
      </c>
      <c r="D5069" s="4" t="n">
        <v>28</v>
      </c>
      <c r="E5069" s="21" t="s">
        <v>197</v>
      </c>
      <c r="F5069" s="22" t="s">
        <v>446</v>
      </c>
    </row>
    <row r="5070" customFormat="false" ht="15" hidden="false" customHeight="false" outlineLevel="0" collapsed="false">
      <c r="A5070" s="4" t="str">
        <f aca="false">B5070&amp;"|"&amp;C5070</f>
        <v>tdbR00000337 Gln-CUA|29</v>
      </c>
      <c r="B5070" s="4" t="s">
        <v>107</v>
      </c>
      <c r="C5070" s="4" t="s">
        <v>448</v>
      </c>
      <c r="D5070" s="4" t="n">
        <v>29</v>
      </c>
      <c r="E5070" s="21" t="s">
        <v>197</v>
      </c>
      <c r="F5070" s="22" t="s">
        <v>446</v>
      </c>
    </row>
    <row r="5071" customFormat="false" ht="15" hidden="false" customHeight="false" outlineLevel="0" collapsed="false">
      <c r="A5071" s="4" t="str">
        <f aca="false">B5071&amp;"|"&amp;C5071</f>
        <v>tdbR00000337 Gln-CUA|30</v>
      </c>
      <c r="B5071" s="4" t="s">
        <v>107</v>
      </c>
      <c r="C5071" s="4" t="s">
        <v>449</v>
      </c>
      <c r="D5071" s="4" t="n">
        <v>30</v>
      </c>
      <c r="E5071" s="21" t="s">
        <v>197</v>
      </c>
      <c r="F5071" s="22" t="s">
        <v>446</v>
      </c>
    </row>
    <row r="5072" customFormat="false" ht="15" hidden="false" customHeight="false" outlineLevel="0" collapsed="false">
      <c r="A5072" s="4" t="str">
        <f aca="false">B5072&amp;"|"&amp;C5072</f>
        <v>tdbR00000337 Gln-CUA|31</v>
      </c>
      <c r="B5072" s="4" t="s">
        <v>107</v>
      </c>
      <c r="C5072" s="4" t="s">
        <v>450</v>
      </c>
      <c r="D5072" s="4" t="n">
        <v>31</v>
      </c>
      <c r="E5072" s="21" t="s">
        <v>246</v>
      </c>
      <c r="F5072" s="22" t="s">
        <v>446</v>
      </c>
    </row>
    <row r="5073" customFormat="false" ht="15" hidden="false" customHeight="false" outlineLevel="0" collapsed="false">
      <c r="A5073" s="4" t="str">
        <f aca="false">B5073&amp;"|"&amp;C5073</f>
        <v>tdbR00000337 Gln-CUA|32</v>
      </c>
      <c r="B5073" s="4" t="s">
        <v>107</v>
      </c>
      <c r="C5073" s="4" t="s">
        <v>451</v>
      </c>
      <c r="D5073" s="4" t="n">
        <v>32</v>
      </c>
      <c r="E5073" s="19" t="s">
        <v>414</v>
      </c>
      <c r="F5073" s="20" t="s">
        <v>452</v>
      </c>
    </row>
    <row r="5074" customFormat="false" ht="15" hidden="false" customHeight="false" outlineLevel="0" collapsed="false">
      <c r="A5074" s="4" t="str">
        <f aca="false">B5074&amp;"|"&amp;C5074</f>
        <v>tdbR00000337 Gln-CUA|33</v>
      </c>
      <c r="B5074" s="4" t="s">
        <v>107</v>
      </c>
      <c r="C5074" s="4" t="s">
        <v>453</v>
      </c>
      <c r="D5074" s="4" t="n">
        <v>33</v>
      </c>
      <c r="E5074" s="19" t="s">
        <v>259</v>
      </c>
      <c r="F5074" s="20" t="s">
        <v>452</v>
      </c>
    </row>
    <row r="5075" customFormat="false" ht="15" hidden="false" customHeight="false" outlineLevel="0" collapsed="false">
      <c r="A5075" s="4" t="str">
        <f aca="false">B5075&amp;"|"&amp;C5075</f>
        <v>tdbR00000337 Gln-CUA|34</v>
      </c>
      <c r="B5075" s="4" t="s">
        <v>107</v>
      </c>
      <c r="C5075" s="4" t="s">
        <v>454</v>
      </c>
      <c r="D5075" s="4" t="n">
        <v>34</v>
      </c>
      <c r="E5075" s="19" t="s">
        <v>414</v>
      </c>
      <c r="F5075" s="20" t="s">
        <v>452</v>
      </c>
    </row>
    <row r="5076" customFormat="false" ht="15" hidden="false" customHeight="false" outlineLevel="0" collapsed="false">
      <c r="A5076" s="4" t="str">
        <f aca="false">B5076&amp;"|"&amp;C5076</f>
        <v>tdbR00000337 Gln-CUA|35</v>
      </c>
      <c r="B5076" s="4" t="s">
        <v>107</v>
      </c>
      <c r="C5076" s="4" t="s">
        <v>455</v>
      </c>
      <c r="D5076" s="4" t="n">
        <v>35</v>
      </c>
      <c r="E5076" s="19" t="s">
        <v>259</v>
      </c>
      <c r="F5076" s="20" t="s">
        <v>452</v>
      </c>
    </row>
    <row r="5077" customFormat="false" ht="15" hidden="false" customHeight="false" outlineLevel="0" collapsed="false">
      <c r="A5077" s="4" t="str">
        <f aca="false">B5077&amp;"|"&amp;C5077</f>
        <v>tdbR00000337 Gln-CUA|36</v>
      </c>
      <c r="B5077" s="4" t="s">
        <v>107</v>
      </c>
      <c r="C5077" s="4" t="s">
        <v>456</v>
      </c>
      <c r="D5077" s="4" t="n">
        <v>36</v>
      </c>
      <c r="E5077" s="19" t="s">
        <v>246</v>
      </c>
      <c r="F5077" s="20" t="s">
        <v>452</v>
      </c>
    </row>
    <row r="5078" customFormat="false" ht="15" hidden="false" customHeight="false" outlineLevel="0" collapsed="false">
      <c r="A5078" s="4" t="str">
        <f aca="false">B5078&amp;"|"&amp;C5078</f>
        <v>tdbR00000337 Gln-CUA|37</v>
      </c>
      <c r="B5078" s="4" t="s">
        <v>107</v>
      </c>
      <c r="C5078" s="4" t="s">
        <v>457</v>
      </c>
      <c r="D5078" s="4" t="n">
        <v>37</v>
      </c>
      <c r="E5078" s="19" t="s">
        <v>246</v>
      </c>
      <c r="F5078" s="20" t="s">
        <v>452</v>
      </c>
    </row>
    <row r="5079" customFormat="false" ht="15" hidden="false" customHeight="false" outlineLevel="0" collapsed="false">
      <c r="A5079" s="4" t="str">
        <f aca="false">B5079&amp;"|"&amp;C5079</f>
        <v>tdbR00000337 Gln-CUA|38</v>
      </c>
      <c r="B5079" s="4" t="s">
        <v>107</v>
      </c>
      <c r="C5079" s="4" t="s">
        <v>458</v>
      </c>
      <c r="D5079" s="4" t="n">
        <v>38</v>
      </c>
      <c r="E5079" s="19" t="s">
        <v>246</v>
      </c>
      <c r="F5079" s="20" t="s">
        <v>452</v>
      </c>
    </row>
    <row r="5080" customFormat="false" ht="15" hidden="false" customHeight="false" outlineLevel="0" collapsed="false">
      <c r="A5080" s="4" t="str">
        <f aca="false">B5080&amp;"|"&amp;C5080</f>
        <v>tdbR00000337 Gln-CUA|39</v>
      </c>
      <c r="B5080" s="4" t="s">
        <v>107</v>
      </c>
      <c r="C5080" s="4" t="s">
        <v>459</v>
      </c>
      <c r="D5080" s="4" t="n">
        <v>39</v>
      </c>
      <c r="E5080" s="21" t="s">
        <v>259</v>
      </c>
      <c r="F5080" s="22" t="s">
        <v>446</v>
      </c>
    </row>
    <row r="5081" customFormat="false" ht="15" hidden="false" customHeight="false" outlineLevel="0" collapsed="false">
      <c r="A5081" s="4" t="str">
        <f aca="false">B5081&amp;"|"&amp;C5081</f>
        <v>tdbR00000337 Gln-CUA|40</v>
      </c>
      <c r="B5081" s="4" t="s">
        <v>107</v>
      </c>
      <c r="C5081" s="4" t="s">
        <v>460</v>
      </c>
      <c r="D5081" s="4" t="n">
        <v>40</v>
      </c>
      <c r="E5081" s="21" t="s">
        <v>414</v>
      </c>
      <c r="F5081" s="22" t="s">
        <v>446</v>
      </c>
    </row>
    <row r="5082" customFormat="false" ht="15" hidden="false" customHeight="false" outlineLevel="0" collapsed="false">
      <c r="A5082" s="4" t="str">
        <f aca="false">B5082&amp;"|"&amp;C5082</f>
        <v>tdbR00000337 Gln-CUA|41</v>
      </c>
      <c r="B5082" s="4" t="s">
        <v>107</v>
      </c>
      <c r="C5082" s="4" t="s">
        <v>461</v>
      </c>
      <c r="D5082" s="4" t="n">
        <v>41</v>
      </c>
      <c r="E5082" s="21" t="s">
        <v>414</v>
      </c>
      <c r="F5082" s="22" t="s">
        <v>446</v>
      </c>
    </row>
    <row r="5083" customFormat="false" ht="15" hidden="false" customHeight="false" outlineLevel="0" collapsed="false">
      <c r="A5083" s="4" t="str">
        <f aca="false">B5083&amp;"|"&amp;C5083</f>
        <v>tdbR00000337 Gln-CUA|42</v>
      </c>
      <c r="B5083" s="4" t="s">
        <v>107</v>
      </c>
      <c r="C5083" s="4" t="s">
        <v>462</v>
      </c>
      <c r="D5083" s="4" t="n">
        <v>42</v>
      </c>
      <c r="E5083" s="21" t="s">
        <v>414</v>
      </c>
      <c r="F5083" s="22" t="s">
        <v>446</v>
      </c>
    </row>
    <row r="5084" customFormat="false" ht="15" hidden="false" customHeight="false" outlineLevel="0" collapsed="false">
      <c r="A5084" s="4" t="str">
        <f aca="false">B5084&amp;"|"&amp;C5084</f>
        <v>tdbR00000337 Gln-CUA|43</v>
      </c>
      <c r="B5084" s="4" t="s">
        <v>107</v>
      </c>
      <c r="C5084" s="4" t="s">
        <v>463</v>
      </c>
      <c r="D5084" s="4" t="n">
        <v>43</v>
      </c>
      <c r="E5084" s="21" t="s">
        <v>259</v>
      </c>
      <c r="F5084" s="22" t="s">
        <v>446</v>
      </c>
    </row>
    <row r="5085" customFormat="false" ht="15" hidden="false" customHeight="false" outlineLevel="0" collapsed="false">
      <c r="A5085" s="4" t="str">
        <f aca="false">B5085&amp;"|"&amp;C5085</f>
        <v>tdbR00000337 Gln-CUA|44</v>
      </c>
      <c r="B5085" s="4" t="s">
        <v>107</v>
      </c>
      <c r="C5085" s="4" t="s">
        <v>464</v>
      </c>
      <c r="D5085" s="4" t="n">
        <v>44</v>
      </c>
      <c r="E5085" s="19" t="s">
        <v>259</v>
      </c>
      <c r="F5085" s="20" t="s">
        <v>465</v>
      </c>
    </row>
    <row r="5086" customFormat="false" ht="15" hidden="false" customHeight="false" outlineLevel="0" collapsed="false">
      <c r="A5086" s="4" t="str">
        <f aca="false">B5086&amp;"|"&amp;C5086</f>
        <v>tdbR00000337 Gln-CUA|45</v>
      </c>
      <c r="B5086" s="4" t="s">
        <v>107</v>
      </c>
      <c r="C5086" s="4" t="s">
        <v>466</v>
      </c>
      <c r="D5086" s="4" t="n">
        <v>45</v>
      </c>
      <c r="E5086" s="19" t="s">
        <v>197</v>
      </c>
      <c r="F5086" s="20" t="s">
        <v>465</v>
      </c>
    </row>
    <row r="5087" customFormat="false" ht="15" hidden="false" customHeight="false" outlineLevel="0" collapsed="false">
      <c r="A5087" s="4" t="str">
        <f aca="false">B5087&amp;"|"&amp;C5087</f>
        <v>tdbR00000337 Gln-CUA|46</v>
      </c>
      <c r="B5087" s="4" t="s">
        <v>107</v>
      </c>
      <c r="C5087" s="4" t="s">
        <v>467</v>
      </c>
      <c r="D5087" s="4" t="n">
        <v>46</v>
      </c>
      <c r="E5087" s="19" t="s">
        <v>246</v>
      </c>
      <c r="F5087" s="20" t="s">
        <v>465</v>
      </c>
    </row>
    <row r="5088" customFormat="false" ht="15" hidden="false" customHeight="false" outlineLevel="0" collapsed="false">
      <c r="A5088" s="4" t="str">
        <f aca="false">B5088&amp;"|"&amp;C5088</f>
        <v>tdbR00000337 Gln-CUA|48</v>
      </c>
      <c r="B5088" s="4" t="s">
        <v>107</v>
      </c>
      <c r="C5088" s="4" t="s">
        <v>469</v>
      </c>
      <c r="D5088" s="4" t="n">
        <v>47</v>
      </c>
      <c r="E5088" s="19" t="s">
        <v>414</v>
      </c>
      <c r="F5088" s="20" t="s">
        <v>465</v>
      </c>
    </row>
    <row r="5089" customFormat="false" ht="15" hidden="false" customHeight="false" outlineLevel="0" collapsed="false">
      <c r="A5089" s="4" t="str">
        <f aca="false">B5089&amp;"|"&amp;C5089</f>
        <v>tdbR00000337 Gln-CUA|49</v>
      </c>
      <c r="B5089" s="4" t="s">
        <v>107</v>
      </c>
      <c r="C5089" s="4" t="s">
        <v>470</v>
      </c>
      <c r="D5089" s="4" t="n">
        <v>48</v>
      </c>
      <c r="E5089" s="23" t="s">
        <v>414</v>
      </c>
      <c r="F5089" s="10" t="s">
        <v>471</v>
      </c>
    </row>
    <row r="5090" customFormat="false" ht="15" hidden="false" customHeight="false" outlineLevel="0" collapsed="false">
      <c r="A5090" s="4" t="str">
        <f aca="false">B5090&amp;"|"&amp;C5090</f>
        <v>tdbR00000337 Gln-CUA|50</v>
      </c>
      <c r="B5090" s="4" t="s">
        <v>107</v>
      </c>
      <c r="C5090" s="4" t="s">
        <v>472</v>
      </c>
      <c r="D5090" s="4" t="n">
        <v>49</v>
      </c>
      <c r="E5090" s="23" t="s">
        <v>259</v>
      </c>
      <c r="F5090" s="10" t="s">
        <v>471</v>
      </c>
    </row>
    <row r="5091" customFormat="false" ht="15" hidden="false" customHeight="false" outlineLevel="0" collapsed="false">
      <c r="A5091" s="4" t="str">
        <f aca="false">B5091&amp;"|"&amp;C5091</f>
        <v>tdbR00000337 Gln-CUA|51</v>
      </c>
      <c r="B5091" s="4" t="s">
        <v>107</v>
      </c>
      <c r="C5091" s="4" t="s">
        <v>473</v>
      </c>
      <c r="D5091" s="4" t="n">
        <v>50</v>
      </c>
      <c r="E5091" s="23" t="s">
        <v>197</v>
      </c>
      <c r="F5091" s="10" t="s">
        <v>471</v>
      </c>
    </row>
    <row r="5092" customFormat="false" ht="15" hidden="false" customHeight="false" outlineLevel="0" collapsed="false">
      <c r="A5092" s="4" t="str">
        <f aca="false">B5092&amp;"|"&amp;C5092</f>
        <v>tdbR00000337 Gln-CUA|52</v>
      </c>
      <c r="B5092" s="4" t="s">
        <v>107</v>
      </c>
      <c r="C5092" s="4" t="s">
        <v>474</v>
      </c>
      <c r="D5092" s="4" t="n">
        <v>51</v>
      </c>
      <c r="E5092" s="23" t="s">
        <v>197</v>
      </c>
      <c r="F5092" s="10" t="s">
        <v>471</v>
      </c>
    </row>
    <row r="5093" customFormat="false" ht="15" hidden="false" customHeight="false" outlineLevel="0" collapsed="false">
      <c r="A5093" s="4" t="str">
        <f aca="false">B5093&amp;"|"&amp;C5093</f>
        <v>tdbR00000337 Gln-CUA|53</v>
      </c>
      <c r="B5093" s="4" t="s">
        <v>107</v>
      </c>
      <c r="C5093" s="4" t="s">
        <v>475</v>
      </c>
      <c r="D5093" s="4" t="n">
        <v>52</v>
      </c>
      <c r="E5093" s="23" t="s">
        <v>197</v>
      </c>
      <c r="F5093" s="10" t="s">
        <v>471</v>
      </c>
    </row>
    <row r="5094" customFormat="false" ht="15" hidden="false" customHeight="false" outlineLevel="0" collapsed="false">
      <c r="A5094" s="4" t="str">
        <f aca="false">B5094&amp;"|"&amp;C5094</f>
        <v>tdbR00000337 Gln-CUA|54</v>
      </c>
      <c r="B5094" s="4" t="s">
        <v>107</v>
      </c>
      <c r="C5094" s="4" t="s">
        <v>476</v>
      </c>
      <c r="D5094" s="4" t="n">
        <v>53</v>
      </c>
      <c r="E5094" s="19" t="s">
        <v>259</v>
      </c>
      <c r="F5094" s="20" t="s">
        <v>477</v>
      </c>
    </row>
    <row r="5095" customFormat="false" ht="15" hidden="false" customHeight="false" outlineLevel="0" collapsed="false">
      <c r="A5095" s="4" t="str">
        <f aca="false">B5095&amp;"|"&amp;C5095</f>
        <v>tdbR00000337 Gln-CUA|55</v>
      </c>
      <c r="B5095" s="4" t="s">
        <v>107</v>
      </c>
      <c r="C5095" s="4" t="s">
        <v>478</v>
      </c>
      <c r="D5095" s="4" t="n">
        <v>54</v>
      </c>
      <c r="E5095" s="19" t="s">
        <v>259</v>
      </c>
      <c r="F5095" s="20" t="s">
        <v>477</v>
      </c>
    </row>
    <row r="5096" customFormat="false" ht="15" hidden="false" customHeight="false" outlineLevel="0" collapsed="false">
      <c r="A5096" s="4" t="str">
        <f aca="false">B5096&amp;"|"&amp;C5096</f>
        <v>tdbR00000337 Gln-CUA|56</v>
      </c>
      <c r="B5096" s="4" t="s">
        <v>107</v>
      </c>
      <c r="C5096" s="4" t="s">
        <v>479</v>
      </c>
      <c r="D5096" s="4" t="n">
        <v>55</v>
      </c>
      <c r="E5096" s="19" t="s">
        <v>414</v>
      </c>
      <c r="F5096" s="20" t="s">
        <v>477</v>
      </c>
    </row>
    <row r="5097" customFormat="false" ht="15" hidden="false" customHeight="false" outlineLevel="0" collapsed="false">
      <c r="A5097" s="4" t="str">
        <f aca="false">B5097&amp;"|"&amp;C5097</f>
        <v>tdbR00000337 Gln-CUA|57</v>
      </c>
      <c r="B5097" s="4" t="s">
        <v>107</v>
      </c>
      <c r="C5097" s="4" t="s">
        <v>480</v>
      </c>
      <c r="D5097" s="4" t="n">
        <v>56</v>
      </c>
      <c r="E5097" s="19" t="s">
        <v>197</v>
      </c>
      <c r="F5097" s="20" t="s">
        <v>477</v>
      </c>
    </row>
    <row r="5098" customFormat="false" ht="15" hidden="false" customHeight="false" outlineLevel="0" collapsed="false">
      <c r="A5098" s="4" t="str">
        <f aca="false">B5098&amp;"|"&amp;C5098</f>
        <v>tdbR00000337 Gln-CUA|58</v>
      </c>
      <c r="B5098" s="4" t="s">
        <v>107</v>
      </c>
      <c r="C5098" s="4" t="s">
        <v>481</v>
      </c>
      <c r="D5098" s="4" t="n">
        <v>57</v>
      </c>
      <c r="E5098" s="19" t="s">
        <v>246</v>
      </c>
      <c r="F5098" s="20" t="s">
        <v>477</v>
      </c>
    </row>
    <row r="5099" customFormat="false" ht="15" hidden="false" customHeight="false" outlineLevel="0" collapsed="false">
      <c r="A5099" s="4" t="str">
        <f aca="false">B5099&amp;"|"&amp;C5099</f>
        <v>tdbR00000337 Gln-CUA|59</v>
      </c>
      <c r="B5099" s="4" t="s">
        <v>107</v>
      </c>
      <c r="C5099" s="4" t="s">
        <v>482</v>
      </c>
      <c r="D5099" s="4" t="n">
        <v>58</v>
      </c>
      <c r="E5099" s="19" t="s">
        <v>246</v>
      </c>
      <c r="F5099" s="20" t="s">
        <v>477</v>
      </c>
    </row>
    <row r="5100" customFormat="false" ht="15" hidden="false" customHeight="false" outlineLevel="0" collapsed="false">
      <c r="A5100" s="4" t="str">
        <f aca="false">B5100&amp;"|"&amp;C5100</f>
        <v>tdbR00000337 Gln-CUA|60</v>
      </c>
      <c r="B5100" s="4" t="s">
        <v>107</v>
      </c>
      <c r="C5100" s="4" t="s">
        <v>483</v>
      </c>
      <c r="D5100" s="4" t="n">
        <v>59</v>
      </c>
      <c r="E5100" s="19" t="s">
        <v>259</v>
      </c>
      <c r="F5100" s="20" t="s">
        <v>477</v>
      </c>
    </row>
    <row r="5101" customFormat="false" ht="15" hidden="false" customHeight="false" outlineLevel="0" collapsed="false">
      <c r="A5101" s="4" t="str">
        <f aca="false">B5101&amp;"|"&amp;C5101</f>
        <v>tdbR00000337 Gln-CUA|61</v>
      </c>
      <c r="B5101" s="4" t="s">
        <v>107</v>
      </c>
      <c r="C5101" s="4" t="s">
        <v>484</v>
      </c>
      <c r="D5101" s="4" t="n">
        <v>60</v>
      </c>
      <c r="E5101" s="23" t="s">
        <v>414</v>
      </c>
      <c r="F5101" s="10" t="s">
        <v>471</v>
      </c>
    </row>
    <row r="5102" customFormat="false" ht="15" hidden="false" customHeight="false" outlineLevel="0" collapsed="false">
      <c r="A5102" s="4" t="str">
        <f aca="false">B5102&amp;"|"&amp;C5102</f>
        <v>tdbR00000337 Gln-CUA|62</v>
      </c>
      <c r="B5102" s="4" t="s">
        <v>107</v>
      </c>
      <c r="C5102" s="4" t="s">
        <v>485</v>
      </c>
      <c r="D5102" s="4" t="n">
        <v>61</v>
      </c>
      <c r="E5102" s="23" t="s">
        <v>414</v>
      </c>
      <c r="F5102" s="10" t="s">
        <v>471</v>
      </c>
    </row>
    <row r="5103" customFormat="false" ht="15" hidden="false" customHeight="false" outlineLevel="0" collapsed="false">
      <c r="A5103" s="4" t="str">
        <f aca="false">B5103&amp;"|"&amp;C5103</f>
        <v>tdbR00000337 Gln-CUA|63</v>
      </c>
      <c r="B5103" s="4" t="s">
        <v>107</v>
      </c>
      <c r="C5103" s="4" t="s">
        <v>486</v>
      </c>
      <c r="D5103" s="4" t="n">
        <v>62</v>
      </c>
      <c r="E5103" s="23" t="s">
        <v>414</v>
      </c>
      <c r="F5103" s="10" t="s">
        <v>471</v>
      </c>
    </row>
    <row r="5104" customFormat="false" ht="15" hidden="false" customHeight="false" outlineLevel="0" collapsed="false">
      <c r="A5104" s="4" t="str">
        <f aca="false">B5104&amp;"|"&amp;C5104</f>
        <v>tdbR00000337 Gln-CUA|64</v>
      </c>
      <c r="B5104" s="4" t="s">
        <v>107</v>
      </c>
      <c r="C5104" s="4" t="s">
        <v>487</v>
      </c>
      <c r="D5104" s="4" t="n">
        <v>63</v>
      </c>
      <c r="E5104" s="23" t="s">
        <v>246</v>
      </c>
      <c r="F5104" s="10" t="s">
        <v>471</v>
      </c>
    </row>
    <row r="5105" customFormat="false" ht="15" hidden="false" customHeight="false" outlineLevel="0" collapsed="false">
      <c r="A5105" s="4" t="str">
        <f aca="false">B5105&amp;"|"&amp;C5105</f>
        <v>tdbR00000337 Gln-CUA|65</v>
      </c>
      <c r="B5105" s="4" t="s">
        <v>107</v>
      </c>
      <c r="C5105" s="4" t="s">
        <v>488</v>
      </c>
      <c r="D5105" s="4" t="n">
        <v>64</v>
      </c>
      <c r="E5105" s="23" t="s">
        <v>197</v>
      </c>
      <c r="F5105" s="10" t="s">
        <v>471</v>
      </c>
    </row>
    <row r="5106" customFormat="false" ht="15" hidden="false" customHeight="false" outlineLevel="0" collapsed="false">
      <c r="A5106" s="4" t="str">
        <f aca="false">B5106&amp;"|"&amp;C5106</f>
        <v>tdbR00000337 Gln-CUA|66</v>
      </c>
      <c r="B5106" s="4" t="s">
        <v>107</v>
      </c>
      <c r="C5106" s="4" t="s">
        <v>489</v>
      </c>
      <c r="D5106" s="4" t="n">
        <v>65</v>
      </c>
      <c r="E5106" s="17" t="s">
        <v>259</v>
      </c>
      <c r="F5106" s="18" t="s">
        <v>412</v>
      </c>
    </row>
    <row r="5107" customFormat="false" ht="15" hidden="false" customHeight="false" outlineLevel="0" collapsed="false">
      <c r="A5107" s="4" t="str">
        <f aca="false">B5107&amp;"|"&amp;C5107</f>
        <v>tdbR00000337 Gln-CUA|67</v>
      </c>
      <c r="B5107" s="4" t="s">
        <v>107</v>
      </c>
      <c r="C5107" s="4" t="s">
        <v>490</v>
      </c>
      <c r="D5107" s="4" t="n">
        <v>66</v>
      </c>
      <c r="E5107" s="17" t="s">
        <v>246</v>
      </c>
      <c r="F5107" s="18" t="s">
        <v>412</v>
      </c>
    </row>
    <row r="5108" customFormat="false" ht="15" hidden="false" customHeight="false" outlineLevel="0" collapsed="false">
      <c r="A5108" s="4" t="str">
        <f aca="false">B5108&amp;"|"&amp;C5108</f>
        <v>tdbR00000337 Gln-CUA|68</v>
      </c>
      <c r="B5108" s="4" t="s">
        <v>107</v>
      </c>
      <c r="C5108" s="4" t="s">
        <v>491</v>
      </c>
      <c r="D5108" s="4" t="n">
        <v>67</v>
      </c>
      <c r="E5108" s="17" t="s">
        <v>197</v>
      </c>
      <c r="F5108" s="18" t="s">
        <v>412</v>
      </c>
    </row>
    <row r="5109" customFormat="false" ht="15" hidden="false" customHeight="false" outlineLevel="0" collapsed="false">
      <c r="A5109" s="4" t="str">
        <f aca="false">B5109&amp;"|"&amp;C5109</f>
        <v>tdbR00000337 Gln-CUA|69</v>
      </c>
      <c r="B5109" s="4" t="s">
        <v>107</v>
      </c>
      <c r="C5109" s="4" t="s">
        <v>492</v>
      </c>
      <c r="D5109" s="4" t="n">
        <v>68</v>
      </c>
      <c r="E5109" s="17" t="s">
        <v>197</v>
      </c>
      <c r="F5109" s="18" t="s">
        <v>412</v>
      </c>
    </row>
    <row r="5110" customFormat="false" ht="15" hidden="false" customHeight="false" outlineLevel="0" collapsed="false">
      <c r="A5110" s="4" t="str">
        <f aca="false">B5110&amp;"|"&amp;C5110</f>
        <v>tdbR00000337 Gln-CUA|70</v>
      </c>
      <c r="B5110" s="4" t="s">
        <v>107</v>
      </c>
      <c r="C5110" s="4" t="s">
        <v>493</v>
      </c>
      <c r="D5110" s="4" t="n">
        <v>69</v>
      </c>
      <c r="E5110" s="17" t="s">
        <v>246</v>
      </c>
      <c r="F5110" s="18" t="s">
        <v>412</v>
      </c>
    </row>
    <row r="5111" customFormat="false" ht="15" hidden="false" customHeight="false" outlineLevel="0" collapsed="false">
      <c r="A5111" s="4" t="str">
        <f aca="false">B5111&amp;"|"&amp;C5111</f>
        <v>tdbR00000337 Gln-CUA|71</v>
      </c>
      <c r="B5111" s="4" t="s">
        <v>107</v>
      </c>
      <c r="C5111" s="4" t="s">
        <v>494</v>
      </c>
      <c r="D5111" s="4" t="n">
        <v>70</v>
      </c>
      <c r="E5111" s="17" t="s">
        <v>414</v>
      </c>
      <c r="F5111" s="18" t="s">
        <v>412</v>
      </c>
    </row>
    <row r="5112" customFormat="false" ht="15" hidden="false" customHeight="false" outlineLevel="0" collapsed="false">
      <c r="A5112" s="4" t="str">
        <f aca="false">B5112&amp;"|"&amp;C5112</f>
        <v>tdbR00000337 Gln-CUA|72</v>
      </c>
      <c r="B5112" s="4" t="s">
        <v>107</v>
      </c>
      <c r="C5112" s="4" t="s">
        <v>495</v>
      </c>
      <c r="D5112" s="4" t="n">
        <v>71</v>
      </c>
      <c r="E5112" s="17" t="s">
        <v>414</v>
      </c>
      <c r="F5112" s="18" t="s">
        <v>412</v>
      </c>
    </row>
    <row r="5113" customFormat="false" ht="15" hidden="false" customHeight="false" outlineLevel="0" collapsed="false">
      <c r="A5113" s="4" t="str">
        <f aca="false">B5113&amp;"|"&amp;C5113</f>
        <v>tdbR00000338 Gln-UUA|1</v>
      </c>
      <c r="B5113" s="4" t="s">
        <v>108</v>
      </c>
      <c r="C5113" s="4" t="s">
        <v>411</v>
      </c>
      <c r="D5113" s="4" t="n">
        <v>1</v>
      </c>
      <c r="E5113" s="17" t="s">
        <v>197</v>
      </c>
      <c r="F5113" s="18" t="s">
        <v>412</v>
      </c>
    </row>
    <row r="5114" customFormat="false" ht="15" hidden="false" customHeight="false" outlineLevel="0" collapsed="false">
      <c r="A5114" s="4" t="str">
        <f aca="false">B5114&amp;"|"&amp;C5114</f>
        <v>tdbR00000338 Gln-UUA|2</v>
      </c>
      <c r="B5114" s="4" t="s">
        <v>108</v>
      </c>
      <c r="C5114" s="4" t="s">
        <v>413</v>
      </c>
      <c r="D5114" s="4" t="n">
        <v>2</v>
      </c>
      <c r="E5114" s="17" t="s">
        <v>197</v>
      </c>
      <c r="F5114" s="18" t="s">
        <v>412</v>
      </c>
    </row>
    <row r="5115" customFormat="false" ht="15" hidden="false" customHeight="false" outlineLevel="0" collapsed="false">
      <c r="A5115" s="4" t="str">
        <f aca="false">B5115&amp;"|"&amp;C5115</f>
        <v>tdbR00000338 Gln-UUA|3</v>
      </c>
      <c r="B5115" s="4" t="s">
        <v>108</v>
      </c>
      <c r="C5115" s="4" t="s">
        <v>415</v>
      </c>
      <c r="D5115" s="4" t="n">
        <v>3</v>
      </c>
      <c r="E5115" s="17" t="s">
        <v>259</v>
      </c>
      <c r="F5115" s="18" t="s">
        <v>412</v>
      </c>
    </row>
    <row r="5116" customFormat="false" ht="15" hidden="false" customHeight="false" outlineLevel="0" collapsed="false">
      <c r="A5116" s="4" t="str">
        <f aca="false">B5116&amp;"|"&amp;C5116</f>
        <v>tdbR00000338 Gln-UUA|4</v>
      </c>
      <c r="B5116" s="4" t="s">
        <v>108</v>
      </c>
      <c r="C5116" s="4" t="s">
        <v>416</v>
      </c>
      <c r="D5116" s="4" t="n">
        <v>4</v>
      </c>
      <c r="E5116" s="17" t="s">
        <v>259</v>
      </c>
      <c r="F5116" s="18" t="s">
        <v>412</v>
      </c>
    </row>
    <row r="5117" customFormat="false" ht="15" hidden="false" customHeight="false" outlineLevel="0" collapsed="false">
      <c r="A5117" s="4" t="str">
        <f aca="false">B5117&amp;"|"&amp;C5117</f>
        <v>tdbR00000338 Gln-UUA|5</v>
      </c>
      <c r="B5117" s="4" t="s">
        <v>108</v>
      </c>
      <c r="C5117" s="4" t="s">
        <v>417</v>
      </c>
      <c r="D5117" s="4" t="n">
        <v>5</v>
      </c>
      <c r="E5117" s="17" t="s">
        <v>414</v>
      </c>
      <c r="F5117" s="18" t="s">
        <v>412</v>
      </c>
    </row>
    <row r="5118" customFormat="false" ht="15" hidden="false" customHeight="false" outlineLevel="0" collapsed="false">
      <c r="A5118" s="4" t="str">
        <f aca="false">B5118&amp;"|"&amp;C5118</f>
        <v>tdbR00000338 Gln-UUA|6</v>
      </c>
      <c r="B5118" s="4" t="s">
        <v>108</v>
      </c>
      <c r="C5118" s="4" t="s">
        <v>418</v>
      </c>
      <c r="D5118" s="4" t="n">
        <v>6</v>
      </c>
      <c r="E5118" s="17" t="s">
        <v>414</v>
      </c>
      <c r="F5118" s="18" t="s">
        <v>412</v>
      </c>
    </row>
    <row r="5119" customFormat="false" ht="15" hidden="false" customHeight="false" outlineLevel="0" collapsed="false">
      <c r="A5119" s="4" t="str">
        <f aca="false">B5119&amp;"|"&amp;C5119</f>
        <v>tdbR00000338 Gln-UUA|7</v>
      </c>
      <c r="B5119" s="4" t="s">
        <v>108</v>
      </c>
      <c r="C5119" s="4" t="s">
        <v>419</v>
      </c>
      <c r="D5119" s="4" t="n">
        <v>7</v>
      </c>
      <c r="E5119" s="17" t="s">
        <v>246</v>
      </c>
      <c r="F5119" s="18" t="s">
        <v>412</v>
      </c>
    </row>
    <row r="5120" customFormat="false" ht="15" hidden="false" customHeight="false" outlineLevel="0" collapsed="false">
      <c r="A5120" s="4" t="str">
        <f aca="false">B5120&amp;"|"&amp;C5120</f>
        <v>tdbR00000338 Gln-UUA|8</v>
      </c>
      <c r="B5120" s="4" t="s">
        <v>108</v>
      </c>
      <c r="C5120" s="4" t="s">
        <v>420</v>
      </c>
      <c r="D5120" s="4" t="n">
        <v>8</v>
      </c>
      <c r="E5120" s="3" t="s">
        <v>259</v>
      </c>
      <c r="F5120" s="4" t="s">
        <v>421</v>
      </c>
    </row>
    <row r="5121" customFormat="false" ht="15" hidden="false" customHeight="false" outlineLevel="0" collapsed="false">
      <c r="A5121" s="4" t="str">
        <f aca="false">B5121&amp;"|"&amp;C5121</f>
        <v>tdbR00000338 Gln-UUA|9</v>
      </c>
      <c r="B5121" s="4" t="s">
        <v>108</v>
      </c>
      <c r="C5121" s="4" t="s">
        <v>422</v>
      </c>
      <c r="D5121" s="4" t="n">
        <v>9</v>
      </c>
      <c r="E5121" s="3" t="s">
        <v>246</v>
      </c>
      <c r="F5121" s="4" t="s">
        <v>423</v>
      </c>
    </row>
    <row r="5122" customFormat="false" ht="15" hidden="false" customHeight="false" outlineLevel="0" collapsed="false">
      <c r="A5122" s="4" t="str">
        <f aca="false">B5122&amp;"|"&amp;C5122</f>
        <v>tdbR00000338 Gln-UUA|10</v>
      </c>
      <c r="B5122" s="4" t="s">
        <v>108</v>
      </c>
      <c r="C5122" s="4" t="s">
        <v>424</v>
      </c>
      <c r="D5122" s="4" t="n">
        <v>10</v>
      </c>
      <c r="E5122" s="8" t="s">
        <v>197</v>
      </c>
      <c r="F5122" s="7" t="s">
        <v>425</v>
      </c>
    </row>
    <row r="5123" customFormat="false" ht="15" hidden="false" customHeight="false" outlineLevel="0" collapsed="false">
      <c r="A5123" s="4" t="str">
        <f aca="false">B5123&amp;"|"&amp;C5123</f>
        <v>tdbR00000338 Gln-UUA|11</v>
      </c>
      <c r="B5123" s="4" t="s">
        <v>108</v>
      </c>
      <c r="C5123" s="4" t="s">
        <v>426</v>
      </c>
      <c r="D5123" s="4" t="n">
        <v>11</v>
      </c>
      <c r="E5123" s="8" t="s">
        <v>259</v>
      </c>
      <c r="F5123" s="7" t="s">
        <v>425</v>
      </c>
    </row>
    <row r="5124" customFormat="false" ht="15" hidden="false" customHeight="false" outlineLevel="0" collapsed="false">
      <c r="A5124" s="4" t="str">
        <f aca="false">B5124&amp;"|"&amp;C5124</f>
        <v>tdbR00000338 Gln-UUA|12</v>
      </c>
      <c r="B5124" s="4" t="s">
        <v>108</v>
      </c>
      <c r="C5124" s="4" t="s">
        <v>427</v>
      </c>
      <c r="D5124" s="4" t="n">
        <v>12</v>
      </c>
      <c r="E5124" s="8" t="s">
        <v>246</v>
      </c>
      <c r="F5124" s="7" t="s">
        <v>425</v>
      </c>
    </row>
    <row r="5125" customFormat="false" ht="15" hidden="false" customHeight="false" outlineLevel="0" collapsed="false">
      <c r="A5125" s="4" t="str">
        <f aca="false">B5125&amp;"|"&amp;C5125</f>
        <v>tdbR00000338 Gln-UUA|13</v>
      </c>
      <c r="B5125" s="4" t="s">
        <v>108</v>
      </c>
      <c r="C5125" s="4" t="s">
        <v>428</v>
      </c>
      <c r="D5125" s="4" t="n">
        <v>13</v>
      </c>
      <c r="E5125" s="8" t="s">
        <v>259</v>
      </c>
      <c r="F5125" s="7" t="s">
        <v>425</v>
      </c>
    </row>
    <row r="5126" customFormat="false" ht="15" hidden="false" customHeight="false" outlineLevel="0" collapsed="false">
      <c r="A5126" s="4" t="str">
        <f aca="false">B5126&amp;"|"&amp;C5126</f>
        <v>tdbR00000338 Gln-UUA|14</v>
      </c>
      <c r="B5126" s="4" t="s">
        <v>108</v>
      </c>
      <c r="C5126" s="4" t="s">
        <v>429</v>
      </c>
      <c r="D5126" s="4" t="n">
        <v>14</v>
      </c>
      <c r="E5126" s="19" t="s">
        <v>246</v>
      </c>
      <c r="F5126" s="20" t="s">
        <v>430</v>
      </c>
    </row>
    <row r="5127" customFormat="false" ht="15" hidden="false" customHeight="false" outlineLevel="0" collapsed="false">
      <c r="A5127" s="4" t="str">
        <f aca="false">B5127&amp;"|"&amp;C5127</f>
        <v>tdbR00000338 Gln-UUA|15</v>
      </c>
      <c r="B5127" s="4" t="s">
        <v>108</v>
      </c>
      <c r="C5127" s="4" t="s">
        <v>431</v>
      </c>
      <c r="D5127" s="4" t="n">
        <v>15</v>
      </c>
      <c r="E5127" s="19" t="s">
        <v>197</v>
      </c>
      <c r="F5127" s="20" t="s">
        <v>430</v>
      </c>
    </row>
    <row r="5128" customFormat="false" ht="15" hidden="false" customHeight="false" outlineLevel="0" collapsed="false">
      <c r="A5128" s="4" t="str">
        <f aca="false">B5128&amp;"|"&amp;C5128</f>
        <v>tdbR00000338 Gln-UUA|16</v>
      </c>
      <c r="B5128" s="4" t="s">
        <v>108</v>
      </c>
      <c r="C5128" s="4" t="s">
        <v>432</v>
      </c>
      <c r="D5128" s="4" t="n">
        <v>16</v>
      </c>
      <c r="E5128" s="19" t="s">
        <v>259</v>
      </c>
      <c r="F5128" s="20" t="s">
        <v>430</v>
      </c>
    </row>
    <row r="5129" customFormat="false" ht="15" hidden="false" customHeight="false" outlineLevel="0" collapsed="false">
      <c r="A5129" s="4" t="str">
        <f aca="false">B5129&amp;"|"&amp;C5129</f>
        <v>tdbR00000338 Gln-UUA|18</v>
      </c>
      <c r="B5129" s="4" t="s">
        <v>108</v>
      </c>
      <c r="C5129" s="4" t="s">
        <v>434</v>
      </c>
      <c r="D5129" s="4" t="n">
        <v>17</v>
      </c>
      <c r="E5129" s="19" t="s">
        <v>197</v>
      </c>
      <c r="F5129" s="20" t="s">
        <v>430</v>
      </c>
    </row>
    <row r="5130" customFormat="false" ht="15" hidden="false" customHeight="false" outlineLevel="0" collapsed="false">
      <c r="A5130" s="4" t="str">
        <f aca="false">B5130&amp;"|"&amp;C5130</f>
        <v>tdbR00000338 Gln-UUA|19</v>
      </c>
      <c r="B5130" s="4" t="s">
        <v>108</v>
      </c>
      <c r="C5130" s="4" t="s">
        <v>435</v>
      </c>
      <c r="D5130" s="4" t="n">
        <v>18</v>
      </c>
      <c r="E5130" s="19" t="s">
        <v>197</v>
      </c>
      <c r="F5130" s="20" t="s">
        <v>430</v>
      </c>
    </row>
    <row r="5131" customFormat="false" ht="15" hidden="false" customHeight="false" outlineLevel="0" collapsed="false">
      <c r="A5131" s="4" t="str">
        <f aca="false">B5131&amp;"|"&amp;C5131</f>
        <v>tdbR00000338 Gln-UUA|20</v>
      </c>
      <c r="B5131" s="4" t="s">
        <v>108</v>
      </c>
      <c r="C5131" s="4" t="s">
        <v>436</v>
      </c>
      <c r="D5131" s="4" t="n">
        <v>19</v>
      </c>
      <c r="E5131" s="19" t="s">
        <v>259</v>
      </c>
      <c r="F5131" s="20" t="s">
        <v>430</v>
      </c>
    </row>
    <row r="5132" customFormat="false" ht="15" hidden="false" customHeight="false" outlineLevel="0" collapsed="false">
      <c r="A5132" s="4" t="str">
        <f aca="false">B5132&amp;"|"&amp;C5132</f>
        <v>tdbR00000338 Gln-UUA|20a</v>
      </c>
      <c r="B5132" s="4" t="s">
        <v>108</v>
      </c>
      <c r="C5132" s="4" t="s">
        <v>437</v>
      </c>
      <c r="D5132" s="4" t="n">
        <v>20</v>
      </c>
      <c r="E5132" s="19" t="s">
        <v>259</v>
      </c>
      <c r="F5132" s="20" t="s">
        <v>430</v>
      </c>
    </row>
    <row r="5133" customFormat="false" ht="15" hidden="false" customHeight="false" outlineLevel="0" collapsed="false">
      <c r="A5133" s="4" t="str">
        <f aca="false">B5133&amp;"|"&amp;C5133</f>
        <v>tdbR00000338 Gln-UUA|21</v>
      </c>
      <c r="B5133" s="4" t="s">
        <v>108</v>
      </c>
      <c r="C5133" s="4" t="s">
        <v>438</v>
      </c>
      <c r="D5133" s="4" t="n">
        <v>21</v>
      </c>
      <c r="E5133" s="19" t="s">
        <v>246</v>
      </c>
      <c r="F5133" s="20" t="s">
        <v>430</v>
      </c>
    </row>
    <row r="5134" customFormat="false" ht="15" hidden="false" customHeight="false" outlineLevel="0" collapsed="false">
      <c r="A5134" s="4" t="str">
        <f aca="false">B5134&amp;"|"&amp;C5134</f>
        <v>tdbR00000338 Gln-UUA|22</v>
      </c>
      <c r="B5134" s="4" t="s">
        <v>108</v>
      </c>
      <c r="C5134" s="4" t="s">
        <v>439</v>
      </c>
      <c r="D5134" s="4" t="n">
        <v>22</v>
      </c>
      <c r="E5134" s="8" t="s">
        <v>197</v>
      </c>
      <c r="F5134" s="7" t="s">
        <v>425</v>
      </c>
    </row>
    <row r="5135" customFormat="false" ht="15" hidden="false" customHeight="false" outlineLevel="0" collapsed="false">
      <c r="A5135" s="4" t="str">
        <f aca="false">B5135&amp;"|"&amp;C5135</f>
        <v>tdbR00000338 Gln-UUA|23</v>
      </c>
      <c r="B5135" s="4" t="s">
        <v>108</v>
      </c>
      <c r="C5135" s="4" t="s">
        <v>440</v>
      </c>
      <c r="D5135" s="4" t="n">
        <v>23</v>
      </c>
      <c r="E5135" s="8" t="s">
        <v>259</v>
      </c>
      <c r="F5135" s="7" t="s">
        <v>425</v>
      </c>
    </row>
    <row r="5136" customFormat="false" ht="15" hidden="false" customHeight="false" outlineLevel="0" collapsed="false">
      <c r="A5136" s="4" t="str">
        <f aca="false">B5136&amp;"|"&amp;C5136</f>
        <v>tdbR00000338 Gln-UUA|24</v>
      </c>
      <c r="B5136" s="4" t="s">
        <v>108</v>
      </c>
      <c r="C5136" s="4" t="s">
        <v>441</v>
      </c>
      <c r="D5136" s="4" t="n">
        <v>24</v>
      </c>
      <c r="E5136" s="8" t="s">
        <v>246</v>
      </c>
      <c r="F5136" s="7" t="s">
        <v>425</v>
      </c>
    </row>
    <row r="5137" customFormat="false" ht="15" hidden="false" customHeight="false" outlineLevel="0" collapsed="false">
      <c r="A5137" s="4" t="str">
        <f aca="false">B5137&amp;"|"&amp;C5137</f>
        <v>tdbR00000338 Gln-UUA|25</v>
      </c>
      <c r="B5137" s="4" t="s">
        <v>108</v>
      </c>
      <c r="C5137" s="4" t="s">
        <v>442</v>
      </c>
      <c r="D5137" s="4" t="n">
        <v>25</v>
      </c>
      <c r="E5137" s="8" t="s">
        <v>414</v>
      </c>
      <c r="F5137" s="7" t="s">
        <v>425</v>
      </c>
    </row>
    <row r="5138" customFormat="false" ht="15" hidden="false" customHeight="false" outlineLevel="0" collapsed="false">
      <c r="A5138" s="4" t="str">
        <f aca="false">B5138&amp;"|"&amp;C5138</f>
        <v>tdbR00000338 Gln-UUA|26</v>
      </c>
      <c r="B5138" s="4" t="s">
        <v>108</v>
      </c>
      <c r="C5138" s="4" t="s">
        <v>443</v>
      </c>
      <c r="D5138" s="4" t="n">
        <v>26</v>
      </c>
      <c r="E5138" s="3" t="s">
        <v>259</v>
      </c>
      <c r="F5138" s="4" t="s">
        <v>444</v>
      </c>
    </row>
    <row r="5139" customFormat="false" ht="15" hidden="false" customHeight="false" outlineLevel="0" collapsed="false">
      <c r="A5139" s="4" t="str">
        <f aca="false">B5139&amp;"|"&amp;C5139</f>
        <v>tdbR00000338 Gln-UUA|27</v>
      </c>
      <c r="B5139" s="4" t="s">
        <v>108</v>
      </c>
      <c r="C5139" s="4" t="s">
        <v>445</v>
      </c>
      <c r="D5139" s="4" t="n">
        <v>27</v>
      </c>
      <c r="E5139" s="21" t="s">
        <v>197</v>
      </c>
      <c r="F5139" s="22" t="s">
        <v>446</v>
      </c>
    </row>
    <row r="5140" customFormat="false" ht="15" hidden="false" customHeight="false" outlineLevel="0" collapsed="false">
      <c r="A5140" s="4" t="str">
        <f aca="false">B5140&amp;"|"&amp;C5140</f>
        <v>tdbR00000338 Gln-UUA|28</v>
      </c>
      <c r="B5140" s="4" t="s">
        <v>108</v>
      </c>
      <c r="C5140" s="4" t="s">
        <v>447</v>
      </c>
      <c r="D5140" s="4" t="n">
        <v>28</v>
      </c>
      <c r="E5140" s="21" t="s">
        <v>197</v>
      </c>
      <c r="F5140" s="22" t="s">
        <v>446</v>
      </c>
    </row>
    <row r="5141" customFormat="false" ht="15" hidden="false" customHeight="false" outlineLevel="0" collapsed="false">
      <c r="A5141" s="4" t="str">
        <f aca="false">B5141&amp;"|"&amp;C5141</f>
        <v>tdbR00000338 Gln-UUA|29</v>
      </c>
      <c r="B5141" s="4" t="s">
        <v>108</v>
      </c>
      <c r="C5141" s="4" t="s">
        <v>448</v>
      </c>
      <c r="D5141" s="4" t="n">
        <v>29</v>
      </c>
      <c r="E5141" s="21" t="s">
        <v>197</v>
      </c>
      <c r="F5141" s="22" t="s">
        <v>446</v>
      </c>
    </row>
    <row r="5142" customFormat="false" ht="15" hidden="false" customHeight="false" outlineLevel="0" collapsed="false">
      <c r="A5142" s="4" t="str">
        <f aca="false">B5142&amp;"|"&amp;C5142</f>
        <v>tdbR00000338 Gln-UUA|30</v>
      </c>
      <c r="B5142" s="4" t="s">
        <v>108</v>
      </c>
      <c r="C5142" s="4" t="s">
        <v>449</v>
      </c>
      <c r="D5142" s="4" t="n">
        <v>30</v>
      </c>
      <c r="E5142" s="21" t="s">
        <v>197</v>
      </c>
      <c r="F5142" s="22" t="s">
        <v>446</v>
      </c>
    </row>
    <row r="5143" customFormat="false" ht="15" hidden="false" customHeight="false" outlineLevel="0" collapsed="false">
      <c r="A5143" s="4" t="str">
        <f aca="false">B5143&amp;"|"&amp;C5143</f>
        <v>tdbR00000338 Gln-UUA|31</v>
      </c>
      <c r="B5143" s="4" t="s">
        <v>108</v>
      </c>
      <c r="C5143" s="4" t="s">
        <v>450</v>
      </c>
      <c r="D5143" s="4" t="n">
        <v>31</v>
      </c>
      <c r="E5143" s="21" t="s">
        <v>246</v>
      </c>
      <c r="F5143" s="22" t="s">
        <v>446</v>
      </c>
    </row>
    <row r="5144" customFormat="false" ht="15" hidden="false" customHeight="false" outlineLevel="0" collapsed="false">
      <c r="A5144" s="4" t="str">
        <f aca="false">B5144&amp;"|"&amp;C5144</f>
        <v>tdbR00000338 Gln-UUA|32</v>
      </c>
      <c r="B5144" s="4" t="s">
        <v>108</v>
      </c>
      <c r="C5144" s="4" t="s">
        <v>451</v>
      </c>
      <c r="D5144" s="4" t="n">
        <v>32</v>
      </c>
      <c r="E5144" s="19" t="s">
        <v>414</v>
      </c>
      <c r="F5144" s="20" t="s">
        <v>452</v>
      </c>
    </row>
    <row r="5145" customFormat="false" ht="15" hidden="false" customHeight="false" outlineLevel="0" collapsed="false">
      <c r="A5145" s="4" t="str">
        <f aca="false">B5145&amp;"|"&amp;C5145</f>
        <v>tdbR00000338 Gln-UUA|33</v>
      </c>
      <c r="B5145" s="4" t="s">
        <v>108</v>
      </c>
      <c r="C5145" s="4" t="s">
        <v>453</v>
      </c>
      <c r="D5145" s="4" t="n">
        <v>33</v>
      </c>
      <c r="E5145" s="19" t="s">
        <v>259</v>
      </c>
      <c r="F5145" s="20" t="s">
        <v>452</v>
      </c>
    </row>
    <row r="5146" customFormat="false" ht="15" hidden="false" customHeight="false" outlineLevel="0" collapsed="false">
      <c r="A5146" s="4" t="str">
        <f aca="false">B5146&amp;"|"&amp;C5146</f>
        <v>tdbR00000338 Gln-UUA|34</v>
      </c>
      <c r="B5146" s="4" t="s">
        <v>108</v>
      </c>
      <c r="C5146" s="4" t="s">
        <v>454</v>
      </c>
      <c r="D5146" s="4" t="n">
        <v>34</v>
      </c>
      <c r="E5146" s="19" t="s">
        <v>259</v>
      </c>
      <c r="F5146" s="20" t="s">
        <v>452</v>
      </c>
    </row>
    <row r="5147" customFormat="false" ht="15" hidden="false" customHeight="false" outlineLevel="0" collapsed="false">
      <c r="A5147" s="4" t="str">
        <f aca="false">B5147&amp;"|"&amp;C5147</f>
        <v>tdbR00000338 Gln-UUA|35</v>
      </c>
      <c r="B5147" s="4" t="s">
        <v>108</v>
      </c>
      <c r="C5147" s="4" t="s">
        <v>455</v>
      </c>
      <c r="D5147" s="4" t="n">
        <v>35</v>
      </c>
      <c r="E5147" s="19" t="s">
        <v>259</v>
      </c>
      <c r="F5147" s="20" t="s">
        <v>452</v>
      </c>
    </row>
    <row r="5148" customFormat="false" ht="15" hidden="false" customHeight="false" outlineLevel="0" collapsed="false">
      <c r="A5148" s="4" t="str">
        <f aca="false">B5148&amp;"|"&amp;C5148</f>
        <v>tdbR00000338 Gln-UUA|36</v>
      </c>
      <c r="B5148" s="4" t="s">
        <v>108</v>
      </c>
      <c r="C5148" s="4" t="s">
        <v>456</v>
      </c>
      <c r="D5148" s="4" t="n">
        <v>36</v>
      </c>
      <c r="E5148" s="19" t="s">
        <v>246</v>
      </c>
      <c r="F5148" s="20" t="s">
        <v>452</v>
      </c>
    </row>
    <row r="5149" customFormat="false" ht="15" hidden="false" customHeight="false" outlineLevel="0" collapsed="false">
      <c r="A5149" s="4" t="str">
        <f aca="false">B5149&amp;"|"&amp;C5149</f>
        <v>tdbR00000338 Gln-UUA|37</v>
      </c>
      <c r="B5149" s="4" t="s">
        <v>108</v>
      </c>
      <c r="C5149" s="4" t="s">
        <v>457</v>
      </c>
      <c r="D5149" s="4" t="n">
        <v>37</v>
      </c>
      <c r="E5149" s="19" t="s">
        <v>246</v>
      </c>
      <c r="F5149" s="20" t="s">
        <v>452</v>
      </c>
    </row>
    <row r="5150" customFormat="false" ht="15" hidden="false" customHeight="false" outlineLevel="0" collapsed="false">
      <c r="A5150" s="4" t="str">
        <f aca="false">B5150&amp;"|"&amp;C5150</f>
        <v>tdbR00000338 Gln-UUA|38</v>
      </c>
      <c r="B5150" s="4" t="s">
        <v>108</v>
      </c>
      <c r="C5150" s="4" t="s">
        <v>458</v>
      </c>
      <c r="D5150" s="4" t="n">
        <v>38</v>
      </c>
      <c r="E5150" s="19" t="s">
        <v>246</v>
      </c>
      <c r="F5150" s="20" t="s">
        <v>452</v>
      </c>
    </row>
    <row r="5151" customFormat="false" ht="15" hidden="false" customHeight="false" outlineLevel="0" collapsed="false">
      <c r="A5151" s="4" t="str">
        <f aca="false">B5151&amp;"|"&amp;C5151</f>
        <v>tdbR00000338 Gln-UUA|39</v>
      </c>
      <c r="B5151" s="4" t="s">
        <v>108</v>
      </c>
      <c r="C5151" s="4" t="s">
        <v>459</v>
      </c>
      <c r="D5151" s="4" t="n">
        <v>39</v>
      </c>
      <c r="E5151" s="21" t="s">
        <v>259</v>
      </c>
      <c r="F5151" s="22" t="s">
        <v>446</v>
      </c>
    </row>
    <row r="5152" customFormat="false" ht="15" hidden="false" customHeight="false" outlineLevel="0" collapsed="false">
      <c r="A5152" s="4" t="str">
        <f aca="false">B5152&amp;"|"&amp;C5152</f>
        <v>tdbR00000338 Gln-UUA|40</v>
      </c>
      <c r="B5152" s="4" t="s">
        <v>108</v>
      </c>
      <c r="C5152" s="4" t="s">
        <v>460</v>
      </c>
      <c r="D5152" s="4" t="n">
        <v>40</v>
      </c>
      <c r="E5152" s="21" t="s">
        <v>414</v>
      </c>
      <c r="F5152" s="22" t="s">
        <v>446</v>
      </c>
    </row>
    <row r="5153" customFormat="false" ht="15" hidden="false" customHeight="false" outlineLevel="0" collapsed="false">
      <c r="A5153" s="4" t="str">
        <f aca="false">B5153&amp;"|"&amp;C5153</f>
        <v>tdbR00000338 Gln-UUA|41</v>
      </c>
      <c r="B5153" s="4" t="s">
        <v>108</v>
      </c>
      <c r="C5153" s="4" t="s">
        <v>461</v>
      </c>
      <c r="D5153" s="4" t="n">
        <v>41</v>
      </c>
      <c r="E5153" s="21" t="s">
        <v>414</v>
      </c>
      <c r="F5153" s="22" t="s">
        <v>446</v>
      </c>
    </row>
    <row r="5154" customFormat="false" ht="15" hidden="false" customHeight="false" outlineLevel="0" collapsed="false">
      <c r="A5154" s="4" t="str">
        <f aca="false">B5154&amp;"|"&amp;C5154</f>
        <v>tdbR00000338 Gln-UUA|42</v>
      </c>
      <c r="B5154" s="4" t="s">
        <v>108</v>
      </c>
      <c r="C5154" s="4" t="s">
        <v>462</v>
      </c>
      <c r="D5154" s="4" t="n">
        <v>42</v>
      </c>
      <c r="E5154" s="21" t="s">
        <v>414</v>
      </c>
      <c r="F5154" s="22" t="s">
        <v>446</v>
      </c>
    </row>
    <row r="5155" customFormat="false" ht="15" hidden="false" customHeight="false" outlineLevel="0" collapsed="false">
      <c r="A5155" s="4" t="str">
        <f aca="false">B5155&amp;"|"&amp;C5155</f>
        <v>tdbR00000338 Gln-UUA|43</v>
      </c>
      <c r="B5155" s="4" t="s">
        <v>108</v>
      </c>
      <c r="C5155" s="4" t="s">
        <v>463</v>
      </c>
      <c r="D5155" s="4" t="n">
        <v>43</v>
      </c>
      <c r="E5155" s="21" t="s">
        <v>259</v>
      </c>
      <c r="F5155" s="22" t="s">
        <v>446</v>
      </c>
    </row>
    <row r="5156" customFormat="false" ht="15" hidden="false" customHeight="false" outlineLevel="0" collapsed="false">
      <c r="A5156" s="4" t="str">
        <f aca="false">B5156&amp;"|"&amp;C5156</f>
        <v>tdbR00000338 Gln-UUA|44</v>
      </c>
      <c r="B5156" s="4" t="s">
        <v>108</v>
      </c>
      <c r="C5156" s="4" t="s">
        <v>464</v>
      </c>
      <c r="D5156" s="4" t="n">
        <v>44</v>
      </c>
      <c r="E5156" s="19" t="s">
        <v>259</v>
      </c>
      <c r="F5156" s="20" t="s">
        <v>465</v>
      </c>
    </row>
    <row r="5157" customFormat="false" ht="15" hidden="false" customHeight="false" outlineLevel="0" collapsed="false">
      <c r="A5157" s="4" t="str">
        <f aca="false">B5157&amp;"|"&amp;C5157</f>
        <v>tdbR00000338 Gln-UUA|45</v>
      </c>
      <c r="B5157" s="4" t="s">
        <v>108</v>
      </c>
      <c r="C5157" s="4" t="s">
        <v>466</v>
      </c>
      <c r="D5157" s="4" t="n">
        <v>45</v>
      </c>
      <c r="E5157" s="19" t="s">
        <v>197</v>
      </c>
      <c r="F5157" s="20" t="s">
        <v>465</v>
      </c>
    </row>
    <row r="5158" customFormat="false" ht="15" hidden="false" customHeight="false" outlineLevel="0" collapsed="false">
      <c r="A5158" s="4" t="str">
        <f aca="false">B5158&amp;"|"&amp;C5158</f>
        <v>tdbR00000338 Gln-UUA|46</v>
      </c>
      <c r="B5158" s="4" t="s">
        <v>108</v>
      </c>
      <c r="C5158" s="4" t="s">
        <v>467</v>
      </c>
      <c r="D5158" s="4" t="n">
        <v>46</v>
      </c>
      <c r="E5158" s="19" t="s">
        <v>246</v>
      </c>
      <c r="F5158" s="20" t="s">
        <v>465</v>
      </c>
    </row>
    <row r="5159" customFormat="false" ht="15" hidden="false" customHeight="false" outlineLevel="0" collapsed="false">
      <c r="A5159" s="4" t="str">
        <f aca="false">B5159&amp;"|"&amp;C5159</f>
        <v>tdbR00000338 Gln-UUA|48</v>
      </c>
      <c r="B5159" s="4" t="s">
        <v>108</v>
      </c>
      <c r="C5159" s="4" t="s">
        <v>469</v>
      </c>
      <c r="D5159" s="4" t="n">
        <v>47</v>
      </c>
      <c r="E5159" s="19" t="s">
        <v>414</v>
      </c>
      <c r="F5159" s="20" t="s">
        <v>465</v>
      </c>
    </row>
    <row r="5160" customFormat="false" ht="15" hidden="false" customHeight="false" outlineLevel="0" collapsed="false">
      <c r="A5160" s="4" t="str">
        <f aca="false">B5160&amp;"|"&amp;C5160</f>
        <v>tdbR00000338 Gln-UUA|49</v>
      </c>
      <c r="B5160" s="4" t="s">
        <v>108</v>
      </c>
      <c r="C5160" s="4" t="s">
        <v>470</v>
      </c>
      <c r="D5160" s="4" t="n">
        <v>48</v>
      </c>
      <c r="E5160" s="23" t="s">
        <v>414</v>
      </c>
      <c r="F5160" s="10" t="s">
        <v>471</v>
      </c>
    </row>
    <row r="5161" customFormat="false" ht="15" hidden="false" customHeight="false" outlineLevel="0" collapsed="false">
      <c r="A5161" s="4" t="str">
        <f aca="false">B5161&amp;"|"&amp;C5161</f>
        <v>tdbR00000338 Gln-UUA|50</v>
      </c>
      <c r="B5161" s="4" t="s">
        <v>108</v>
      </c>
      <c r="C5161" s="4" t="s">
        <v>472</v>
      </c>
      <c r="D5161" s="4" t="n">
        <v>49</v>
      </c>
      <c r="E5161" s="23" t="s">
        <v>259</v>
      </c>
      <c r="F5161" s="10" t="s">
        <v>471</v>
      </c>
    </row>
    <row r="5162" customFormat="false" ht="15" hidden="false" customHeight="false" outlineLevel="0" collapsed="false">
      <c r="A5162" s="4" t="str">
        <f aca="false">B5162&amp;"|"&amp;C5162</f>
        <v>tdbR00000338 Gln-UUA|51</v>
      </c>
      <c r="B5162" s="4" t="s">
        <v>108</v>
      </c>
      <c r="C5162" s="4" t="s">
        <v>473</v>
      </c>
      <c r="D5162" s="4" t="n">
        <v>50</v>
      </c>
      <c r="E5162" s="23" t="s">
        <v>197</v>
      </c>
      <c r="F5162" s="10" t="s">
        <v>471</v>
      </c>
    </row>
    <row r="5163" customFormat="false" ht="15" hidden="false" customHeight="false" outlineLevel="0" collapsed="false">
      <c r="A5163" s="4" t="str">
        <f aca="false">B5163&amp;"|"&amp;C5163</f>
        <v>tdbR00000338 Gln-UUA|52</v>
      </c>
      <c r="B5163" s="4" t="s">
        <v>108</v>
      </c>
      <c r="C5163" s="4" t="s">
        <v>474</v>
      </c>
      <c r="D5163" s="4" t="n">
        <v>51</v>
      </c>
      <c r="E5163" s="23" t="s">
        <v>197</v>
      </c>
      <c r="F5163" s="10" t="s">
        <v>471</v>
      </c>
    </row>
    <row r="5164" customFormat="false" ht="15" hidden="false" customHeight="false" outlineLevel="0" collapsed="false">
      <c r="A5164" s="4" t="str">
        <f aca="false">B5164&amp;"|"&amp;C5164</f>
        <v>tdbR00000338 Gln-UUA|53</v>
      </c>
      <c r="B5164" s="4" t="s">
        <v>108</v>
      </c>
      <c r="C5164" s="4" t="s">
        <v>475</v>
      </c>
      <c r="D5164" s="4" t="n">
        <v>52</v>
      </c>
      <c r="E5164" s="23" t="s">
        <v>197</v>
      </c>
      <c r="F5164" s="10" t="s">
        <v>471</v>
      </c>
    </row>
    <row r="5165" customFormat="false" ht="15" hidden="false" customHeight="false" outlineLevel="0" collapsed="false">
      <c r="A5165" s="4" t="str">
        <f aca="false">B5165&amp;"|"&amp;C5165</f>
        <v>tdbR00000338 Gln-UUA|54</v>
      </c>
      <c r="B5165" s="4" t="s">
        <v>108</v>
      </c>
      <c r="C5165" s="4" t="s">
        <v>476</v>
      </c>
      <c r="D5165" s="4" t="n">
        <v>53</v>
      </c>
      <c r="E5165" s="19" t="s">
        <v>259</v>
      </c>
      <c r="F5165" s="20" t="s">
        <v>477</v>
      </c>
    </row>
    <row r="5166" customFormat="false" ht="15" hidden="false" customHeight="false" outlineLevel="0" collapsed="false">
      <c r="A5166" s="4" t="str">
        <f aca="false">B5166&amp;"|"&amp;C5166</f>
        <v>tdbR00000338 Gln-UUA|55</v>
      </c>
      <c r="B5166" s="4" t="s">
        <v>108</v>
      </c>
      <c r="C5166" s="4" t="s">
        <v>478</v>
      </c>
      <c r="D5166" s="4" t="n">
        <v>54</v>
      </c>
      <c r="E5166" s="19" t="s">
        <v>259</v>
      </c>
      <c r="F5166" s="20" t="s">
        <v>477</v>
      </c>
    </row>
    <row r="5167" customFormat="false" ht="15" hidden="false" customHeight="false" outlineLevel="0" collapsed="false">
      <c r="A5167" s="4" t="str">
        <f aca="false">B5167&amp;"|"&amp;C5167</f>
        <v>tdbR00000338 Gln-UUA|56</v>
      </c>
      <c r="B5167" s="4" t="s">
        <v>108</v>
      </c>
      <c r="C5167" s="4" t="s">
        <v>479</v>
      </c>
      <c r="D5167" s="4" t="n">
        <v>55</v>
      </c>
      <c r="E5167" s="19" t="s">
        <v>414</v>
      </c>
      <c r="F5167" s="20" t="s">
        <v>477</v>
      </c>
    </row>
    <row r="5168" customFormat="false" ht="15" hidden="false" customHeight="false" outlineLevel="0" collapsed="false">
      <c r="A5168" s="4" t="str">
        <f aca="false">B5168&amp;"|"&amp;C5168</f>
        <v>tdbR00000338 Gln-UUA|57</v>
      </c>
      <c r="B5168" s="4" t="s">
        <v>108</v>
      </c>
      <c r="C5168" s="4" t="s">
        <v>480</v>
      </c>
      <c r="D5168" s="4" t="n">
        <v>56</v>
      </c>
      <c r="E5168" s="19" t="s">
        <v>197</v>
      </c>
      <c r="F5168" s="20" t="s">
        <v>477</v>
      </c>
    </row>
    <row r="5169" customFormat="false" ht="15" hidden="false" customHeight="false" outlineLevel="0" collapsed="false">
      <c r="A5169" s="4" t="str">
        <f aca="false">B5169&amp;"|"&amp;C5169</f>
        <v>tdbR00000338 Gln-UUA|58</v>
      </c>
      <c r="B5169" s="4" t="s">
        <v>108</v>
      </c>
      <c r="C5169" s="4" t="s">
        <v>481</v>
      </c>
      <c r="D5169" s="4" t="n">
        <v>57</v>
      </c>
      <c r="E5169" s="19" t="s">
        <v>246</v>
      </c>
      <c r="F5169" s="20" t="s">
        <v>477</v>
      </c>
    </row>
    <row r="5170" customFormat="false" ht="15" hidden="false" customHeight="false" outlineLevel="0" collapsed="false">
      <c r="A5170" s="4" t="str">
        <f aca="false">B5170&amp;"|"&amp;C5170</f>
        <v>tdbR00000338 Gln-UUA|59</v>
      </c>
      <c r="B5170" s="4" t="s">
        <v>108</v>
      </c>
      <c r="C5170" s="4" t="s">
        <v>482</v>
      </c>
      <c r="D5170" s="4" t="n">
        <v>58</v>
      </c>
      <c r="E5170" s="19" t="s">
        <v>246</v>
      </c>
      <c r="F5170" s="20" t="s">
        <v>477</v>
      </c>
    </row>
    <row r="5171" customFormat="false" ht="15" hidden="false" customHeight="false" outlineLevel="0" collapsed="false">
      <c r="A5171" s="4" t="str">
        <f aca="false">B5171&amp;"|"&amp;C5171</f>
        <v>tdbR00000338 Gln-UUA|60</v>
      </c>
      <c r="B5171" s="4" t="s">
        <v>108</v>
      </c>
      <c r="C5171" s="4" t="s">
        <v>483</v>
      </c>
      <c r="D5171" s="4" t="n">
        <v>59</v>
      </c>
      <c r="E5171" s="19" t="s">
        <v>259</v>
      </c>
      <c r="F5171" s="20" t="s">
        <v>477</v>
      </c>
    </row>
    <row r="5172" customFormat="false" ht="15" hidden="false" customHeight="false" outlineLevel="0" collapsed="false">
      <c r="A5172" s="4" t="str">
        <f aca="false">B5172&amp;"|"&amp;C5172</f>
        <v>tdbR00000338 Gln-UUA|61</v>
      </c>
      <c r="B5172" s="4" t="s">
        <v>108</v>
      </c>
      <c r="C5172" s="4" t="s">
        <v>484</v>
      </c>
      <c r="D5172" s="4" t="n">
        <v>60</v>
      </c>
      <c r="E5172" s="23" t="s">
        <v>414</v>
      </c>
      <c r="F5172" s="10" t="s">
        <v>471</v>
      </c>
    </row>
    <row r="5173" customFormat="false" ht="15" hidden="false" customHeight="false" outlineLevel="0" collapsed="false">
      <c r="A5173" s="4" t="str">
        <f aca="false">B5173&amp;"|"&amp;C5173</f>
        <v>tdbR00000338 Gln-UUA|62</v>
      </c>
      <c r="B5173" s="4" t="s">
        <v>108</v>
      </c>
      <c r="C5173" s="4" t="s">
        <v>485</v>
      </c>
      <c r="D5173" s="4" t="n">
        <v>61</v>
      </c>
      <c r="E5173" s="23" t="s">
        <v>414</v>
      </c>
      <c r="F5173" s="10" t="s">
        <v>471</v>
      </c>
    </row>
    <row r="5174" customFormat="false" ht="15" hidden="false" customHeight="false" outlineLevel="0" collapsed="false">
      <c r="A5174" s="4" t="str">
        <f aca="false">B5174&amp;"|"&amp;C5174</f>
        <v>tdbR00000338 Gln-UUA|63</v>
      </c>
      <c r="B5174" s="4" t="s">
        <v>108</v>
      </c>
      <c r="C5174" s="4" t="s">
        <v>486</v>
      </c>
      <c r="D5174" s="4" t="n">
        <v>62</v>
      </c>
      <c r="E5174" s="23" t="s">
        <v>414</v>
      </c>
      <c r="F5174" s="10" t="s">
        <v>471</v>
      </c>
    </row>
    <row r="5175" customFormat="false" ht="15" hidden="false" customHeight="false" outlineLevel="0" collapsed="false">
      <c r="A5175" s="4" t="str">
        <f aca="false">B5175&amp;"|"&amp;C5175</f>
        <v>tdbR00000338 Gln-UUA|64</v>
      </c>
      <c r="B5175" s="4" t="s">
        <v>108</v>
      </c>
      <c r="C5175" s="4" t="s">
        <v>487</v>
      </c>
      <c r="D5175" s="4" t="n">
        <v>63</v>
      </c>
      <c r="E5175" s="23" t="s">
        <v>246</v>
      </c>
      <c r="F5175" s="10" t="s">
        <v>471</v>
      </c>
    </row>
    <row r="5176" customFormat="false" ht="15" hidden="false" customHeight="false" outlineLevel="0" collapsed="false">
      <c r="A5176" s="4" t="str">
        <f aca="false">B5176&amp;"|"&amp;C5176</f>
        <v>tdbR00000338 Gln-UUA|65</v>
      </c>
      <c r="B5176" s="4" t="s">
        <v>108</v>
      </c>
      <c r="C5176" s="4" t="s">
        <v>488</v>
      </c>
      <c r="D5176" s="4" t="n">
        <v>64</v>
      </c>
      <c r="E5176" s="23" t="s">
        <v>197</v>
      </c>
      <c r="F5176" s="10" t="s">
        <v>471</v>
      </c>
    </row>
    <row r="5177" customFormat="false" ht="15" hidden="false" customHeight="false" outlineLevel="0" collapsed="false">
      <c r="A5177" s="4" t="str">
        <f aca="false">B5177&amp;"|"&amp;C5177</f>
        <v>tdbR00000338 Gln-UUA|66</v>
      </c>
      <c r="B5177" s="4" t="s">
        <v>108</v>
      </c>
      <c r="C5177" s="4" t="s">
        <v>489</v>
      </c>
      <c r="D5177" s="4" t="n">
        <v>65</v>
      </c>
      <c r="E5177" s="17" t="s">
        <v>259</v>
      </c>
      <c r="F5177" s="18" t="s">
        <v>412</v>
      </c>
    </row>
    <row r="5178" customFormat="false" ht="15" hidden="false" customHeight="false" outlineLevel="0" collapsed="false">
      <c r="A5178" s="4" t="str">
        <f aca="false">B5178&amp;"|"&amp;C5178</f>
        <v>tdbR00000338 Gln-UUA|67</v>
      </c>
      <c r="B5178" s="4" t="s">
        <v>108</v>
      </c>
      <c r="C5178" s="4" t="s">
        <v>490</v>
      </c>
      <c r="D5178" s="4" t="n">
        <v>66</v>
      </c>
      <c r="E5178" s="17" t="s">
        <v>197</v>
      </c>
      <c r="F5178" s="18" t="s">
        <v>412</v>
      </c>
    </row>
    <row r="5179" customFormat="false" ht="15" hidden="false" customHeight="false" outlineLevel="0" collapsed="false">
      <c r="A5179" s="4" t="str">
        <f aca="false">B5179&amp;"|"&amp;C5179</f>
        <v>tdbR00000338 Gln-UUA|68</v>
      </c>
      <c r="B5179" s="4" t="s">
        <v>108</v>
      </c>
      <c r="C5179" s="4" t="s">
        <v>491</v>
      </c>
      <c r="D5179" s="4" t="n">
        <v>67</v>
      </c>
      <c r="E5179" s="17" t="s">
        <v>197</v>
      </c>
      <c r="F5179" s="18" t="s">
        <v>412</v>
      </c>
    </row>
    <row r="5180" customFormat="false" ht="15" hidden="false" customHeight="false" outlineLevel="0" collapsed="false">
      <c r="A5180" s="4" t="str">
        <f aca="false">B5180&amp;"|"&amp;C5180</f>
        <v>tdbR00000338 Gln-UUA|69</v>
      </c>
      <c r="B5180" s="4" t="s">
        <v>108</v>
      </c>
      <c r="C5180" s="4" t="s">
        <v>492</v>
      </c>
      <c r="D5180" s="4" t="n">
        <v>68</v>
      </c>
      <c r="E5180" s="17" t="s">
        <v>197</v>
      </c>
      <c r="F5180" s="18" t="s">
        <v>412</v>
      </c>
    </row>
    <row r="5181" customFormat="false" ht="15" hidden="false" customHeight="false" outlineLevel="0" collapsed="false">
      <c r="A5181" s="4" t="str">
        <f aca="false">B5181&amp;"|"&amp;C5181</f>
        <v>tdbR00000338 Gln-UUA|70</v>
      </c>
      <c r="B5181" s="4" t="s">
        <v>108</v>
      </c>
      <c r="C5181" s="4" t="s">
        <v>493</v>
      </c>
      <c r="D5181" s="4" t="n">
        <v>69</v>
      </c>
      <c r="E5181" s="17" t="s">
        <v>246</v>
      </c>
      <c r="F5181" s="18" t="s">
        <v>412</v>
      </c>
    </row>
    <row r="5182" customFormat="false" ht="15" hidden="false" customHeight="false" outlineLevel="0" collapsed="false">
      <c r="A5182" s="4" t="str">
        <f aca="false">B5182&amp;"|"&amp;C5182</f>
        <v>tdbR00000338 Gln-UUA|71</v>
      </c>
      <c r="B5182" s="4" t="s">
        <v>108</v>
      </c>
      <c r="C5182" s="4" t="s">
        <v>494</v>
      </c>
      <c r="D5182" s="4" t="n">
        <v>70</v>
      </c>
      <c r="E5182" s="17" t="s">
        <v>414</v>
      </c>
      <c r="F5182" s="18" t="s">
        <v>412</v>
      </c>
    </row>
    <row r="5183" customFormat="false" ht="15" hidden="false" customHeight="false" outlineLevel="0" collapsed="false">
      <c r="A5183" s="4" t="str">
        <f aca="false">B5183&amp;"|"&amp;C5183</f>
        <v>tdbR00000338 Gln-UUA|72</v>
      </c>
      <c r="B5183" s="4" t="s">
        <v>108</v>
      </c>
      <c r="C5183" s="4" t="s">
        <v>495</v>
      </c>
      <c r="D5183" s="4" t="n">
        <v>71</v>
      </c>
      <c r="E5183" s="17" t="s">
        <v>414</v>
      </c>
      <c r="F5183" s="18" t="s">
        <v>412</v>
      </c>
    </row>
    <row r="5184" customFormat="false" ht="15" hidden="false" customHeight="false" outlineLevel="0" collapsed="false">
      <c r="A5184" s="4" t="str">
        <f aca="false">B5184&amp;"|"&amp;C5184</f>
        <v>tdbR00000339 Gln-UUG|1</v>
      </c>
      <c r="B5184" s="4" t="s">
        <v>109</v>
      </c>
      <c r="C5184" s="4" t="s">
        <v>411</v>
      </c>
      <c r="D5184" s="4" t="n">
        <v>1</v>
      </c>
      <c r="E5184" s="17" t="s">
        <v>197</v>
      </c>
      <c r="F5184" s="18" t="s">
        <v>412</v>
      </c>
    </row>
    <row r="5185" customFormat="false" ht="15" hidden="false" customHeight="false" outlineLevel="0" collapsed="false">
      <c r="A5185" s="4" t="str">
        <f aca="false">B5185&amp;"|"&amp;C5185</f>
        <v>tdbR00000339 Gln-UUG|2</v>
      </c>
      <c r="B5185" s="4" t="s">
        <v>109</v>
      </c>
      <c r="C5185" s="4" t="s">
        <v>413</v>
      </c>
      <c r="D5185" s="4" t="n">
        <v>2</v>
      </c>
      <c r="E5185" s="17" t="s">
        <v>197</v>
      </c>
      <c r="F5185" s="18" t="s">
        <v>412</v>
      </c>
    </row>
    <row r="5186" customFormat="false" ht="15" hidden="false" customHeight="false" outlineLevel="0" collapsed="false">
      <c r="A5186" s="4" t="str">
        <f aca="false">B5186&amp;"|"&amp;C5186</f>
        <v>tdbR00000339 Gln-UUG|3</v>
      </c>
      <c r="B5186" s="4" t="s">
        <v>109</v>
      </c>
      <c r="C5186" s="4" t="s">
        <v>415</v>
      </c>
      <c r="D5186" s="4" t="n">
        <v>3</v>
      </c>
      <c r="E5186" s="17" t="s">
        <v>259</v>
      </c>
      <c r="F5186" s="18" t="s">
        <v>412</v>
      </c>
    </row>
    <row r="5187" customFormat="false" ht="15" hidden="false" customHeight="false" outlineLevel="0" collapsed="false">
      <c r="A5187" s="4" t="str">
        <f aca="false">B5187&amp;"|"&amp;C5187</f>
        <v>tdbR00000339 Gln-UUG|4</v>
      </c>
      <c r="B5187" s="4" t="s">
        <v>109</v>
      </c>
      <c r="C5187" s="4" t="s">
        <v>416</v>
      </c>
      <c r="D5187" s="4" t="n">
        <v>4</v>
      </c>
      <c r="E5187" s="17" t="s">
        <v>259</v>
      </c>
      <c r="F5187" s="18" t="s">
        <v>412</v>
      </c>
    </row>
    <row r="5188" customFormat="false" ht="15" hidden="false" customHeight="false" outlineLevel="0" collapsed="false">
      <c r="A5188" s="4" t="str">
        <f aca="false">B5188&amp;"|"&amp;C5188</f>
        <v>tdbR00000339 Gln-UUG|5</v>
      </c>
      <c r="B5188" s="4" t="s">
        <v>109</v>
      </c>
      <c r="C5188" s="4" t="s">
        <v>417</v>
      </c>
      <c r="D5188" s="4" t="n">
        <v>5</v>
      </c>
      <c r="E5188" s="17" t="s">
        <v>197</v>
      </c>
      <c r="F5188" s="18" t="s">
        <v>412</v>
      </c>
    </row>
    <row r="5189" customFormat="false" ht="15" hidden="false" customHeight="false" outlineLevel="0" collapsed="false">
      <c r="A5189" s="4" t="str">
        <f aca="false">B5189&amp;"|"&amp;C5189</f>
        <v>tdbR00000339 Gln-UUG|6</v>
      </c>
      <c r="B5189" s="4" t="s">
        <v>109</v>
      </c>
      <c r="C5189" s="4" t="s">
        <v>418</v>
      </c>
      <c r="D5189" s="4" t="n">
        <v>6</v>
      </c>
      <c r="E5189" s="17" t="s">
        <v>259</v>
      </c>
      <c r="F5189" s="18" t="s">
        <v>412</v>
      </c>
    </row>
    <row r="5190" customFormat="false" ht="15" hidden="false" customHeight="false" outlineLevel="0" collapsed="false">
      <c r="A5190" s="4" t="str">
        <f aca="false">B5190&amp;"|"&amp;C5190</f>
        <v>tdbR00000339 Gln-UUG|7</v>
      </c>
      <c r="B5190" s="4" t="s">
        <v>109</v>
      </c>
      <c r="C5190" s="4" t="s">
        <v>419</v>
      </c>
      <c r="D5190" s="4" t="n">
        <v>7</v>
      </c>
      <c r="E5190" s="17" t="s">
        <v>246</v>
      </c>
      <c r="F5190" s="18" t="s">
        <v>412</v>
      </c>
    </row>
    <row r="5191" customFormat="false" ht="15" hidden="false" customHeight="false" outlineLevel="0" collapsed="false">
      <c r="A5191" s="4" t="str">
        <f aca="false">B5191&amp;"|"&amp;C5191</f>
        <v>tdbR00000339 Gln-UUG|8</v>
      </c>
      <c r="B5191" s="4" t="s">
        <v>109</v>
      </c>
      <c r="C5191" s="4" t="s">
        <v>420</v>
      </c>
      <c r="D5191" s="4" t="n">
        <v>8</v>
      </c>
      <c r="E5191" s="3" t="s">
        <v>259</v>
      </c>
      <c r="F5191" s="4" t="s">
        <v>421</v>
      </c>
    </row>
    <row r="5192" customFormat="false" ht="15" hidden="false" customHeight="false" outlineLevel="0" collapsed="false">
      <c r="A5192" s="4" t="str">
        <f aca="false">B5192&amp;"|"&amp;C5192</f>
        <v>tdbR00000339 Gln-UUG|9</v>
      </c>
      <c r="B5192" s="4" t="s">
        <v>109</v>
      </c>
      <c r="C5192" s="4" t="s">
        <v>422</v>
      </c>
      <c r="D5192" s="4" t="n">
        <v>9</v>
      </c>
      <c r="E5192" s="3" t="s">
        <v>197</v>
      </c>
      <c r="F5192" s="4" t="s">
        <v>423</v>
      </c>
    </row>
    <row r="5193" customFormat="false" ht="15" hidden="false" customHeight="false" outlineLevel="0" collapsed="false">
      <c r="A5193" s="4" t="str">
        <f aca="false">B5193&amp;"|"&amp;C5193</f>
        <v>tdbR00000339 Gln-UUG|10</v>
      </c>
      <c r="B5193" s="4" t="s">
        <v>109</v>
      </c>
      <c r="C5193" s="4" t="s">
        <v>424</v>
      </c>
      <c r="D5193" s="4" t="n">
        <v>10</v>
      </c>
      <c r="E5193" s="8" t="s">
        <v>197</v>
      </c>
      <c r="F5193" s="7" t="s">
        <v>425</v>
      </c>
    </row>
    <row r="5194" customFormat="false" ht="15" hidden="false" customHeight="false" outlineLevel="0" collapsed="false">
      <c r="A5194" s="4" t="str">
        <f aca="false">B5194&amp;"|"&amp;C5194</f>
        <v>tdbR00000339 Gln-UUG|11</v>
      </c>
      <c r="B5194" s="4" t="s">
        <v>109</v>
      </c>
      <c r="C5194" s="4" t="s">
        <v>426</v>
      </c>
      <c r="D5194" s="4" t="n">
        <v>11</v>
      </c>
      <c r="E5194" s="8" t="s">
        <v>259</v>
      </c>
      <c r="F5194" s="7" t="s">
        <v>425</v>
      </c>
    </row>
    <row r="5195" customFormat="false" ht="15" hidden="false" customHeight="false" outlineLevel="0" collapsed="false">
      <c r="A5195" s="4" t="str">
        <f aca="false">B5195&amp;"|"&amp;C5195</f>
        <v>tdbR00000339 Gln-UUG|12</v>
      </c>
      <c r="B5195" s="4" t="s">
        <v>109</v>
      </c>
      <c r="C5195" s="4" t="s">
        <v>427</v>
      </c>
      <c r="D5195" s="4" t="n">
        <v>12</v>
      </c>
      <c r="E5195" s="8" t="s">
        <v>197</v>
      </c>
      <c r="F5195" s="7" t="s">
        <v>425</v>
      </c>
    </row>
    <row r="5196" customFormat="false" ht="15" hidden="false" customHeight="false" outlineLevel="0" collapsed="false">
      <c r="A5196" s="4" t="str">
        <f aca="false">B5196&amp;"|"&amp;C5196</f>
        <v>tdbR00000339 Gln-UUG|13</v>
      </c>
      <c r="B5196" s="4" t="s">
        <v>109</v>
      </c>
      <c r="C5196" s="4" t="s">
        <v>428</v>
      </c>
      <c r="D5196" s="4" t="n">
        <v>13</v>
      </c>
      <c r="E5196" s="8" t="s">
        <v>259</v>
      </c>
      <c r="F5196" s="7" t="s">
        <v>425</v>
      </c>
    </row>
    <row r="5197" customFormat="false" ht="15" hidden="false" customHeight="false" outlineLevel="0" collapsed="false">
      <c r="A5197" s="4" t="str">
        <f aca="false">B5197&amp;"|"&amp;C5197</f>
        <v>tdbR00000339 Gln-UUG|14</v>
      </c>
      <c r="B5197" s="4" t="s">
        <v>109</v>
      </c>
      <c r="C5197" s="4" t="s">
        <v>429</v>
      </c>
      <c r="D5197" s="4" t="n">
        <v>14</v>
      </c>
      <c r="E5197" s="19" t="s">
        <v>246</v>
      </c>
      <c r="F5197" s="20" t="s">
        <v>430</v>
      </c>
    </row>
    <row r="5198" customFormat="false" ht="15" hidden="false" customHeight="false" outlineLevel="0" collapsed="false">
      <c r="A5198" s="4" t="str">
        <f aca="false">B5198&amp;"|"&amp;C5198</f>
        <v>tdbR00000339 Gln-UUG|15</v>
      </c>
      <c r="B5198" s="4" t="s">
        <v>109</v>
      </c>
      <c r="C5198" s="4" t="s">
        <v>431</v>
      </c>
      <c r="D5198" s="4" t="n">
        <v>15</v>
      </c>
      <c r="E5198" s="19" t="s">
        <v>197</v>
      </c>
      <c r="F5198" s="20" t="s">
        <v>430</v>
      </c>
    </row>
    <row r="5199" customFormat="false" ht="15" hidden="false" customHeight="false" outlineLevel="0" collapsed="false">
      <c r="A5199" s="4" t="str">
        <f aca="false">B5199&amp;"|"&amp;C5199</f>
        <v>tdbR00000339 Gln-UUG|16</v>
      </c>
      <c r="B5199" s="4" t="s">
        <v>109</v>
      </c>
      <c r="C5199" s="4" t="s">
        <v>432</v>
      </c>
      <c r="D5199" s="4" t="n">
        <v>16</v>
      </c>
      <c r="E5199" s="19" t="s">
        <v>414</v>
      </c>
      <c r="F5199" s="20" t="s">
        <v>430</v>
      </c>
    </row>
    <row r="5200" customFormat="false" ht="15" hidden="false" customHeight="false" outlineLevel="0" collapsed="false">
      <c r="A5200" s="4" t="str">
        <f aca="false">B5200&amp;"|"&amp;C5200</f>
        <v>tdbR00000339 Gln-UUG|18</v>
      </c>
      <c r="B5200" s="4" t="s">
        <v>109</v>
      </c>
      <c r="C5200" s="4" t="s">
        <v>434</v>
      </c>
      <c r="D5200" s="4" t="n">
        <v>17</v>
      </c>
      <c r="E5200" s="19" t="s">
        <v>197</v>
      </c>
      <c r="F5200" s="20" t="s">
        <v>430</v>
      </c>
    </row>
    <row r="5201" customFormat="false" ht="15" hidden="false" customHeight="false" outlineLevel="0" collapsed="false">
      <c r="A5201" s="4" t="str">
        <f aca="false">B5201&amp;"|"&amp;C5201</f>
        <v>tdbR00000339 Gln-UUG|19</v>
      </c>
      <c r="B5201" s="4" t="s">
        <v>109</v>
      </c>
      <c r="C5201" s="4" t="s">
        <v>435</v>
      </c>
      <c r="D5201" s="4" t="n">
        <v>18</v>
      </c>
      <c r="E5201" s="19" t="s">
        <v>197</v>
      </c>
      <c r="F5201" s="20" t="s">
        <v>430</v>
      </c>
    </row>
    <row r="5202" customFormat="false" ht="15" hidden="false" customHeight="false" outlineLevel="0" collapsed="false">
      <c r="A5202" s="4" t="str">
        <f aca="false">B5202&amp;"|"&amp;C5202</f>
        <v>tdbR00000339 Gln-UUG|20</v>
      </c>
      <c r="B5202" s="4" t="s">
        <v>109</v>
      </c>
      <c r="C5202" s="4" t="s">
        <v>436</v>
      </c>
      <c r="D5202" s="4" t="n">
        <v>19</v>
      </c>
      <c r="E5202" s="19" t="s">
        <v>259</v>
      </c>
      <c r="F5202" s="20" t="s">
        <v>430</v>
      </c>
    </row>
    <row r="5203" customFormat="false" ht="15" hidden="false" customHeight="false" outlineLevel="0" collapsed="false">
      <c r="A5203" s="4" t="str">
        <f aca="false">B5203&amp;"|"&amp;C5203</f>
        <v>tdbR00000339 Gln-UUG|20a</v>
      </c>
      <c r="B5203" s="4" t="s">
        <v>109</v>
      </c>
      <c r="C5203" s="4" t="s">
        <v>437</v>
      </c>
      <c r="D5203" s="4" t="n">
        <v>20</v>
      </c>
      <c r="E5203" s="19" t="s">
        <v>259</v>
      </c>
      <c r="F5203" s="20" t="s">
        <v>430</v>
      </c>
    </row>
    <row r="5204" customFormat="false" ht="15" hidden="false" customHeight="false" outlineLevel="0" collapsed="false">
      <c r="A5204" s="4" t="str">
        <f aca="false">B5204&amp;"|"&amp;C5204</f>
        <v>tdbR00000339 Gln-UUG|21</v>
      </c>
      <c r="B5204" s="4" t="s">
        <v>109</v>
      </c>
      <c r="C5204" s="4" t="s">
        <v>438</v>
      </c>
      <c r="D5204" s="4" t="n">
        <v>21</v>
      </c>
      <c r="E5204" s="19" t="s">
        <v>246</v>
      </c>
      <c r="F5204" s="20" t="s">
        <v>430</v>
      </c>
    </row>
    <row r="5205" customFormat="false" ht="15" hidden="false" customHeight="false" outlineLevel="0" collapsed="false">
      <c r="A5205" s="4" t="str">
        <f aca="false">B5205&amp;"|"&amp;C5205</f>
        <v>tdbR00000339 Gln-UUG|22</v>
      </c>
      <c r="B5205" s="4" t="s">
        <v>109</v>
      </c>
      <c r="C5205" s="4" t="s">
        <v>439</v>
      </c>
      <c r="D5205" s="4" t="n">
        <v>22</v>
      </c>
      <c r="E5205" s="8" t="s">
        <v>197</v>
      </c>
      <c r="F5205" s="7" t="s">
        <v>425</v>
      </c>
    </row>
    <row r="5206" customFormat="false" ht="15" hidden="false" customHeight="false" outlineLevel="0" collapsed="false">
      <c r="A5206" s="4" t="str">
        <f aca="false">B5206&amp;"|"&amp;C5206</f>
        <v>tdbR00000339 Gln-UUG|23</v>
      </c>
      <c r="B5206" s="4" t="s">
        <v>109</v>
      </c>
      <c r="C5206" s="4" t="s">
        <v>440</v>
      </c>
      <c r="D5206" s="4" t="n">
        <v>23</v>
      </c>
      <c r="E5206" s="8" t="s">
        <v>414</v>
      </c>
      <c r="F5206" s="7" t="s">
        <v>425</v>
      </c>
    </row>
    <row r="5207" customFormat="false" ht="15" hidden="false" customHeight="false" outlineLevel="0" collapsed="false">
      <c r="A5207" s="4" t="str">
        <f aca="false">B5207&amp;"|"&amp;C5207</f>
        <v>tdbR00000339 Gln-UUG|24</v>
      </c>
      <c r="B5207" s="4" t="s">
        <v>109</v>
      </c>
      <c r="C5207" s="4" t="s">
        <v>441</v>
      </c>
      <c r="D5207" s="4" t="n">
        <v>24</v>
      </c>
      <c r="E5207" s="8" t="s">
        <v>246</v>
      </c>
      <c r="F5207" s="7" t="s">
        <v>425</v>
      </c>
    </row>
    <row r="5208" customFormat="false" ht="15" hidden="false" customHeight="false" outlineLevel="0" collapsed="false">
      <c r="A5208" s="4" t="str">
        <f aca="false">B5208&amp;"|"&amp;C5208</f>
        <v>tdbR00000339 Gln-UUG|25</v>
      </c>
      <c r="B5208" s="4" t="s">
        <v>109</v>
      </c>
      <c r="C5208" s="4" t="s">
        <v>442</v>
      </c>
      <c r="D5208" s="4" t="n">
        <v>25</v>
      </c>
      <c r="E5208" s="8" t="s">
        <v>414</v>
      </c>
      <c r="F5208" s="7" t="s">
        <v>425</v>
      </c>
    </row>
    <row r="5209" customFormat="false" ht="15" hidden="false" customHeight="false" outlineLevel="0" collapsed="false">
      <c r="A5209" s="4" t="str">
        <f aca="false">B5209&amp;"|"&amp;C5209</f>
        <v>tdbR00000339 Gln-UUG|26</v>
      </c>
      <c r="B5209" s="4" t="s">
        <v>109</v>
      </c>
      <c r="C5209" s="4" t="s">
        <v>443</v>
      </c>
      <c r="D5209" s="4" t="n">
        <v>26</v>
      </c>
      <c r="E5209" s="3" t="s">
        <v>414</v>
      </c>
      <c r="F5209" s="4" t="s">
        <v>444</v>
      </c>
    </row>
    <row r="5210" customFormat="false" ht="15" hidden="false" customHeight="false" outlineLevel="0" collapsed="false">
      <c r="A5210" s="4" t="str">
        <f aca="false">B5210&amp;"|"&amp;C5210</f>
        <v>tdbR00000339 Gln-UUG|27</v>
      </c>
      <c r="B5210" s="4" t="s">
        <v>109</v>
      </c>
      <c r="C5210" s="4" t="s">
        <v>445</v>
      </c>
      <c r="D5210" s="4" t="n">
        <v>27</v>
      </c>
      <c r="E5210" s="21" t="s">
        <v>197</v>
      </c>
      <c r="F5210" s="22" t="s">
        <v>446</v>
      </c>
    </row>
    <row r="5211" customFormat="false" ht="15" hidden="false" customHeight="false" outlineLevel="0" collapsed="false">
      <c r="A5211" s="4" t="str">
        <f aca="false">B5211&amp;"|"&amp;C5211</f>
        <v>tdbR00000339 Gln-UUG|28</v>
      </c>
      <c r="B5211" s="4" t="s">
        <v>109</v>
      </c>
      <c r="C5211" s="4" t="s">
        <v>447</v>
      </c>
      <c r="D5211" s="4" t="n">
        <v>28</v>
      </c>
      <c r="E5211" s="21" t="s">
        <v>246</v>
      </c>
      <c r="F5211" s="22" t="s">
        <v>446</v>
      </c>
    </row>
    <row r="5212" customFormat="false" ht="15" hidden="false" customHeight="false" outlineLevel="0" collapsed="false">
      <c r="A5212" s="4" t="str">
        <f aca="false">B5212&amp;"|"&amp;C5212</f>
        <v>tdbR00000339 Gln-UUG|29</v>
      </c>
      <c r="B5212" s="4" t="s">
        <v>109</v>
      </c>
      <c r="C5212" s="4" t="s">
        <v>448</v>
      </c>
      <c r="D5212" s="4" t="n">
        <v>29</v>
      </c>
      <c r="E5212" s="21" t="s">
        <v>197</v>
      </c>
      <c r="F5212" s="22" t="s">
        <v>446</v>
      </c>
    </row>
    <row r="5213" customFormat="false" ht="15" hidden="false" customHeight="false" outlineLevel="0" collapsed="false">
      <c r="A5213" s="4" t="str">
        <f aca="false">B5213&amp;"|"&amp;C5213</f>
        <v>tdbR00000339 Gln-UUG|30</v>
      </c>
      <c r="B5213" s="4" t="s">
        <v>109</v>
      </c>
      <c r="C5213" s="4" t="s">
        <v>449</v>
      </c>
      <c r="D5213" s="4" t="n">
        <v>30</v>
      </c>
      <c r="E5213" s="21" t="s">
        <v>197</v>
      </c>
      <c r="F5213" s="22" t="s">
        <v>446</v>
      </c>
    </row>
    <row r="5214" customFormat="false" ht="15" hidden="false" customHeight="false" outlineLevel="0" collapsed="false">
      <c r="A5214" s="4" t="str">
        <f aca="false">B5214&amp;"|"&amp;C5214</f>
        <v>tdbR00000339 Gln-UUG|31</v>
      </c>
      <c r="B5214" s="4" t="s">
        <v>109</v>
      </c>
      <c r="C5214" s="4" t="s">
        <v>450</v>
      </c>
      <c r="D5214" s="4" t="n">
        <v>31</v>
      </c>
      <c r="E5214" s="21" t="s">
        <v>246</v>
      </c>
      <c r="F5214" s="22" t="s">
        <v>446</v>
      </c>
    </row>
    <row r="5215" customFormat="false" ht="15" hidden="false" customHeight="false" outlineLevel="0" collapsed="false">
      <c r="A5215" s="4" t="str">
        <f aca="false">B5215&amp;"|"&amp;C5215</f>
        <v>tdbR00000339 Gln-UUG|32</v>
      </c>
      <c r="B5215" s="4" t="s">
        <v>109</v>
      </c>
      <c r="C5215" s="4" t="s">
        <v>451</v>
      </c>
      <c r="D5215" s="4" t="n">
        <v>32</v>
      </c>
      <c r="E5215" s="19" t="s">
        <v>414</v>
      </c>
      <c r="F5215" s="20" t="s">
        <v>452</v>
      </c>
    </row>
    <row r="5216" customFormat="false" ht="15" hidden="false" customHeight="false" outlineLevel="0" collapsed="false">
      <c r="A5216" s="4" t="str">
        <f aca="false">B5216&amp;"|"&amp;C5216</f>
        <v>tdbR00000339 Gln-UUG|33</v>
      </c>
      <c r="B5216" s="4" t="s">
        <v>109</v>
      </c>
      <c r="C5216" s="4" t="s">
        <v>453</v>
      </c>
      <c r="D5216" s="4" t="n">
        <v>33</v>
      </c>
      <c r="E5216" s="19" t="s">
        <v>259</v>
      </c>
      <c r="F5216" s="20" t="s">
        <v>452</v>
      </c>
    </row>
    <row r="5217" customFormat="false" ht="15" hidden="false" customHeight="false" outlineLevel="0" collapsed="false">
      <c r="A5217" s="4" t="str">
        <f aca="false">B5217&amp;"|"&amp;C5217</f>
        <v>tdbR00000339 Gln-UUG|34</v>
      </c>
      <c r="B5217" s="4" t="s">
        <v>109</v>
      </c>
      <c r="C5217" s="4" t="s">
        <v>454</v>
      </c>
      <c r="D5217" s="4" t="n">
        <v>34</v>
      </c>
      <c r="E5217" s="19" t="s">
        <v>259</v>
      </c>
      <c r="F5217" s="20" t="s">
        <v>452</v>
      </c>
    </row>
    <row r="5218" customFormat="false" ht="15" hidden="false" customHeight="false" outlineLevel="0" collapsed="false">
      <c r="A5218" s="4" t="str">
        <f aca="false">B5218&amp;"|"&amp;C5218</f>
        <v>tdbR00000339 Gln-UUG|35</v>
      </c>
      <c r="B5218" s="4" t="s">
        <v>109</v>
      </c>
      <c r="C5218" s="4" t="s">
        <v>455</v>
      </c>
      <c r="D5218" s="4" t="n">
        <v>35</v>
      </c>
      <c r="E5218" s="19" t="s">
        <v>259</v>
      </c>
      <c r="F5218" s="20" t="s">
        <v>452</v>
      </c>
    </row>
    <row r="5219" customFormat="false" ht="15" hidden="false" customHeight="false" outlineLevel="0" collapsed="false">
      <c r="A5219" s="4" t="str">
        <f aca="false">B5219&amp;"|"&amp;C5219</f>
        <v>tdbR00000339 Gln-UUG|36</v>
      </c>
      <c r="B5219" s="4" t="s">
        <v>109</v>
      </c>
      <c r="C5219" s="4" t="s">
        <v>456</v>
      </c>
      <c r="D5219" s="4" t="n">
        <v>36</v>
      </c>
      <c r="E5219" s="19" t="s">
        <v>197</v>
      </c>
      <c r="F5219" s="20" t="s">
        <v>452</v>
      </c>
    </row>
    <row r="5220" customFormat="false" ht="15" hidden="false" customHeight="false" outlineLevel="0" collapsed="false">
      <c r="A5220" s="4" t="str">
        <f aca="false">B5220&amp;"|"&amp;C5220</f>
        <v>tdbR00000339 Gln-UUG|37</v>
      </c>
      <c r="B5220" s="4" t="s">
        <v>109</v>
      </c>
      <c r="C5220" s="4" t="s">
        <v>457</v>
      </c>
      <c r="D5220" s="4" t="n">
        <v>37</v>
      </c>
      <c r="E5220" s="19" t="s">
        <v>246</v>
      </c>
      <c r="F5220" s="20" t="s">
        <v>452</v>
      </c>
    </row>
    <row r="5221" customFormat="false" ht="15" hidden="false" customHeight="false" outlineLevel="0" collapsed="false">
      <c r="A5221" s="4" t="str">
        <f aca="false">B5221&amp;"|"&amp;C5221</f>
        <v>tdbR00000339 Gln-UUG|38</v>
      </c>
      <c r="B5221" s="4" t="s">
        <v>109</v>
      </c>
      <c r="C5221" s="4" t="s">
        <v>458</v>
      </c>
      <c r="D5221" s="4" t="n">
        <v>38</v>
      </c>
      <c r="E5221" s="19" t="s">
        <v>246</v>
      </c>
      <c r="F5221" s="20" t="s">
        <v>452</v>
      </c>
    </row>
    <row r="5222" customFormat="false" ht="15" hidden="false" customHeight="false" outlineLevel="0" collapsed="false">
      <c r="A5222" s="4" t="str">
        <f aca="false">B5222&amp;"|"&amp;C5222</f>
        <v>tdbR00000339 Gln-UUG|39</v>
      </c>
      <c r="B5222" s="4" t="s">
        <v>109</v>
      </c>
      <c r="C5222" s="4" t="s">
        <v>459</v>
      </c>
      <c r="D5222" s="4" t="n">
        <v>39</v>
      </c>
      <c r="E5222" s="21" t="s">
        <v>259</v>
      </c>
      <c r="F5222" s="22" t="s">
        <v>446</v>
      </c>
    </row>
    <row r="5223" customFormat="false" ht="15" hidden="false" customHeight="false" outlineLevel="0" collapsed="false">
      <c r="A5223" s="4" t="str">
        <f aca="false">B5223&amp;"|"&amp;C5223</f>
        <v>tdbR00000339 Gln-UUG|40</v>
      </c>
      <c r="B5223" s="4" t="s">
        <v>109</v>
      </c>
      <c r="C5223" s="4" t="s">
        <v>460</v>
      </c>
      <c r="D5223" s="4" t="n">
        <v>40</v>
      </c>
      <c r="E5223" s="21" t="s">
        <v>414</v>
      </c>
      <c r="F5223" s="22" t="s">
        <v>446</v>
      </c>
    </row>
    <row r="5224" customFormat="false" ht="15" hidden="false" customHeight="false" outlineLevel="0" collapsed="false">
      <c r="A5224" s="4" t="str">
        <f aca="false">B5224&amp;"|"&amp;C5224</f>
        <v>tdbR00000339 Gln-UUG|41</v>
      </c>
      <c r="B5224" s="4" t="s">
        <v>109</v>
      </c>
      <c r="C5224" s="4" t="s">
        <v>461</v>
      </c>
      <c r="D5224" s="4" t="n">
        <v>41</v>
      </c>
      <c r="E5224" s="21" t="s">
        <v>414</v>
      </c>
      <c r="F5224" s="22" t="s">
        <v>446</v>
      </c>
    </row>
    <row r="5225" customFormat="false" ht="15" hidden="false" customHeight="false" outlineLevel="0" collapsed="false">
      <c r="A5225" s="4" t="str">
        <f aca="false">B5225&amp;"|"&amp;C5225</f>
        <v>tdbR00000339 Gln-UUG|42</v>
      </c>
      <c r="B5225" s="4" t="s">
        <v>109</v>
      </c>
      <c r="C5225" s="4" t="s">
        <v>462</v>
      </c>
      <c r="D5225" s="4" t="n">
        <v>42</v>
      </c>
      <c r="E5225" s="21" t="s">
        <v>259</v>
      </c>
      <c r="F5225" s="22" t="s">
        <v>446</v>
      </c>
    </row>
    <row r="5226" customFormat="false" ht="15" hidden="false" customHeight="false" outlineLevel="0" collapsed="false">
      <c r="A5226" s="4" t="str">
        <f aca="false">B5226&amp;"|"&amp;C5226</f>
        <v>tdbR00000339 Gln-UUG|43</v>
      </c>
      <c r="B5226" s="4" t="s">
        <v>109</v>
      </c>
      <c r="C5226" s="4" t="s">
        <v>463</v>
      </c>
      <c r="D5226" s="4" t="n">
        <v>43</v>
      </c>
      <c r="E5226" s="21" t="s">
        <v>414</v>
      </c>
      <c r="F5226" s="22" t="s">
        <v>446</v>
      </c>
    </row>
    <row r="5227" customFormat="false" ht="15" hidden="false" customHeight="false" outlineLevel="0" collapsed="false">
      <c r="A5227" s="4" t="str">
        <f aca="false">B5227&amp;"|"&amp;C5227</f>
        <v>tdbR00000339 Gln-UUG|44</v>
      </c>
      <c r="B5227" s="4" t="s">
        <v>109</v>
      </c>
      <c r="C5227" s="4" t="s">
        <v>464</v>
      </c>
      <c r="D5227" s="4" t="n">
        <v>44</v>
      </c>
      <c r="E5227" s="19" t="s">
        <v>259</v>
      </c>
      <c r="F5227" s="20" t="s">
        <v>465</v>
      </c>
    </row>
    <row r="5228" customFormat="false" ht="15" hidden="false" customHeight="false" outlineLevel="0" collapsed="false">
      <c r="A5228" s="4" t="str">
        <f aca="false">B5228&amp;"|"&amp;C5228</f>
        <v>tdbR00000339 Gln-UUG|45</v>
      </c>
      <c r="B5228" s="4" t="s">
        <v>109</v>
      </c>
      <c r="C5228" s="4" t="s">
        <v>466</v>
      </c>
      <c r="D5228" s="4" t="n">
        <v>45</v>
      </c>
      <c r="E5228" s="19" t="s">
        <v>197</v>
      </c>
      <c r="F5228" s="20" t="s">
        <v>465</v>
      </c>
    </row>
    <row r="5229" customFormat="false" ht="15" hidden="false" customHeight="false" outlineLevel="0" collapsed="false">
      <c r="A5229" s="4" t="str">
        <f aca="false">B5229&amp;"|"&amp;C5229</f>
        <v>tdbR00000339 Gln-UUG|46</v>
      </c>
      <c r="B5229" s="4" t="s">
        <v>109</v>
      </c>
      <c r="C5229" s="4" t="s">
        <v>467</v>
      </c>
      <c r="D5229" s="4" t="n">
        <v>46</v>
      </c>
      <c r="E5229" s="19" t="s">
        <v>246</v>
      </c>
      <c r="F5229" s="20" t="s">
        <v>465</v>
      </c>
    </row>
    <row r="5230" customFormat="false" ht="15" hidden="false" customHeight="false" outlineLevel="0" collapsed="false">
      <c r="A5230" s="4" t="str">
        <f aca="false">B5230&amp;"|"&amp;C5230</f>
        <v>tdbR00000339 Gln-UUG|48</v>
      </c>
      <c r="B5230" s="4" t="s">
        <v>109</v>
      </c>
      <c r="C5230" s="4" t="s">
        <v>469</v>
      </c>
      <c r="D5230" s="4" t="n">
        <v>47</v>
      </c>
      <c r="E5230" s="19" t="s">
        <v>414</v>
      </c>
      <c r="F5230" s="20" t="s">
        <v>465</v>
      </c>
    </row>
    <row r="5231" customFormat="false" ht="15" hidden="false" customHeight="false" outlineLevel="0" collapsed="false">
      <c r="A5231" s="4" t="str">
        <f aca="false">B5231&amp;"|"&amp;C5231</f>
        <v>tdbR00000339 Gln-UUG|49</v>
      </c>
      <c r="B5231" s="4" t="s">
        <v>109</v>
      </c>
      <c r="C5231" s="4" t="s">
        <v>470</v>
      </c>
      <c r="D5231" s="4" t="n">
        <v>48</v>
      </c>
      <c r="E5231" s="23" t="s">
        <v>414</v>
      </c>
      <c r="F5231" s="10" t="s">
        <v>471</v>
      </c>
    </row>
    <row r="5232" customFormat="false" ht="15" hidden="false" customHeight="false" outlineLevel="0" collapsed="false">
      <c r="A5232" s="4" t="str">
        <f aca="false">B5232&amp;"|"&amp;C5232</f>
        <v>tdbR00000339 Gln-UUG|50</v>
      </c>
      <c r="B5232" s="4" t="s">
        <v>109</v>
      </c>
      <c r="C5232" s="4" t="s">
        <v>472</v>
      </c>
      <c r="D5232" s="4" t="n">
        <v>49</v>
      </c>
      <c r="E5232" s="23" t="s">
        <v>259</v>
      </c>
      <c r="F5232" s="10" t="s">
        <v>471</v>
      </c>
    </row>
    <row r="5233" customFormat="false" ht="15" hidden="false" customHeight="false" outlineLevel="0" collapsed="false">
      <c r="A5233" s="4" t="str">
        <f aca="false">B5233&amp;"|"&amp;C5233</f>
        <v>tdbR00000339 Gln-UUG|51</v>
      </c>
      <c r="B5233" s="4" t="s">
        <v>109</v>
      </c>
      <c r="C5233" s="4" t="s">
        <v>473</v>
      </c>
      <c r="D5233" s="4" t="n">
        <v>50</v>
      </c>
      <c r="E5233" s="23" t="s">
        <v>197</v>
      </c>
      <c r="F5233" s="10" t="s">
        <v>471</v>
      </c>
    </row>
    <row r="5234" customFormat="false" ht="15" hidden="false" customHeight="false" outlineLevel="0" collapsed="false">
      <c r="A5234" s="4" t="str">
        <f aca="false">B5234&amp;"|"&amp;C5234</f>
        <v>tdbR00000339 Gln-UUG|52</v>
      </c>
      <c r="B5234" s="4" t="s">
        <v>109</v>
      </c>
      <c r="C5234" s="4" t="s">
        <v>474</v>
      </c>
      <c r="D5234" s="4" t="n">
        <v>51</v>
      </c>
      <c r="E5234" s="23" t="s">
        <v>197</v>
      </c>
      <c r="F5234" s="10" t="s">
        <v>471</v>
      </c>
    </row>
    <row r="5235" customFormat="false" ht="15" hidden="false" customHeight="false" outlineLevel="0" collapsed="false">
      <c r="A5235" s="4" t="str">
        <f aca="false">B5235&amp;"|"&amp;C5235</f>
        <v>tdbR00000339 Gln-UUG|53</v>
      </c>
      <c r="B5235" s="4" t="s">
        <v>109</v>
      </c>
      <c r="C5235" s="4" t="s">
        <v>475</v>
      </c>
      <c r="D5235" s="4" t="n">
        <v>52</v>
      </c>
      <c r="E5235" s="23" t="s">
        <v>197</v>
      </c>
      <c r="F5235" s="10" t="s">
        <v>471</v>
      </c>
    </row>
    <row r="5236" customFormat="false" ht="15" hidden="false" customHeight="false" outlineLevel="0" collapsed="false">
      <c r="A5236" s="4" t="str">
        <f aca="false">B5236&amp;"|"&amp;C5236</f>
        <v>tdbR00000339 Gln-UUG|54</v>
      </c>
      <c r="B5236" s="4" t="s">
        <v>109</v>
      </c>
      <c r="C5236" s="4" t="s">
        <v>476</v>
      </c>
      <c r="D5236" s="4" t="n">
        <v>53</v>
      </c>
      <c r="E5236" s="19" t="s">
        <v>259</v>
      </c>
      <c r="F5236" s="20" t="s">
        <v>477</v>
      </c>
    </row>
    <row r="5237" customFormat="false" ht="15" hidden="false" customHeight="false" outlineLevel="0" collapsed="false">
      <c r="A5237" s="4" t="str">
        <f aca="false">B5237&amp;"|"&amp;C5237</f>
        <v>tdbR00000339 Gln-UUG|55</v>
      </c>
      <c r="B5237" s="4" t="s">
        <v>109</v>
      </c>
      <c r="C5237" s="4" t="s">
        <v>478</v>
      </c>
      <c r="D5237" s="4" t="n">
        <v>54</v>
      </c>
      <c r="E5237" s="19" t="s">
        <v>259</v>
      </c>
      <c r="F5237" s="20" t="s">
        <v>477</v>
      </c>
    </row>
    <row r="5238" customFormat="false" ht="15" hidden="false" customHeight="false" outlineLevel="0" collapsed="false">
      <c r="A5238" s="4" t="str">
        <f aca="false">B5238&amp;"|"&amp;C5238</f>
        <v>tdbR00000339 Gln-UUG|56</v>
      </c>
      <c r="B5238" s="4" t="s">
        <v>109</v>
      </c>
      <c r="C5238" s="4" t="s">
        <v>479</v>
      </c>
      <c r="D5238" s="4" t="n">
        <v>55</v>
      </c>
      <c r="E5238" s="19" t="s">
        <v>414</v>
      </c>
      <c r="F5238" s="20" t="s">
        <v>477</v>
      </c>
    </row>
    <row r="5239" customFormat="false" ht="15" hidden="false" customHeight="false" outlineLevel="0" collapsed="false">
      <c r="A5239" s="4" t="str">
        <f aca="false">B5239&amp;"|"&amp;C5239</f>
        <v>tdbR00000339 Gln-UUG|57</v>
      </c>
      <c r="B5239" s="4" t="s">
        <v>109</v>
      </c>
      <c r="C5239" s="4" t="s">
        <v>480</v>
      </c>
      <c r="D5239" s="4" t="n">
        <v>56</v>
      </c>
      <c r="E5239" s="19" t="s">
        <v>197</v>
      </c>
      <c r="F5239" s="20" t="s">
        <v>477</v>
      </c>
    </row>
    <row r="5240" customFormat="false" ht="15" hidden="false" customHeight="false" outlineLevel="0" collapsed="false">
      <c r="A5240" s="4" t="str">
        <f aca="false">B5240&amp;"|"&amp;C5240</f>
        <v>tdbR00000339 Gln-UUG|58</v>
      </c>
      <c r="B5240" s="4" t="s">
        <v>109</v>
      </c>
      <c r="C5240" s="4" t="s">
        <v>481</v>
      </c>
      <c r="D5240" s="4" t="n">
        <v>57</v>
      </c>
      <c r="E5240" s="19" t="s">
        <v>246</v>
      </c>
      <c r="F5240" s="20" t="s">
        <v>477</v>
      </c>
    </row>
    <row r="5241" customFormat="false" ht="15" hidden="false" customHeight="false" outlineLevel="0" collapsed="false">
      <c r="A5241" s="4" t="str">
        <f aca="false">B5241&amp;"|"&amp;C5241</f>
        <v>tdbR00000339 Gln-UUG|59</v>
      </c>
      <c r="B5241" s="4" t="s">
        <v>109</v>
      </c>
      <c r="C5241" s="4" t="s">
        <v>482</v>
      </c>
      <c r="D5241" s="4" t="n">
        <v>58</v>
      </c>
      <c r="E5241" s="19" t="s">
        <v>246</v>
      </c>
      <c r="F5241" s="20" t="s">
        <v>477</v>
      </c>
    </row>
    <row r="5242" customFormat="false" ht="15" hidden="false" customHeight="false" outlineLevel="0" collapsed="false">
      <c r="A5242" s="4" t="str">
        <f aca="false">B5242&amp;"|"&amp;C5242</f>
        <v>tdbR00000339 Gln-UUG|60</v>
      </c>
      <c r="B5242" s="4" t="s">
        <v>109</v>
      </c>
      <c r="C5242" s="4" t="s">
        <v>483</v>
      </c>
      <c r="D5242" s="4" t="n">
        <v>59</v>
      </c>
      <c r="E5242" s="19" t="s">
        <v>259</v>
      </c>
      <c r="F5242" s="20" t="s">
        <v>477</v>
      </c>
    </row>
    <row r="5243" customFormat="false" ht="15" hidden="false" customHeight="false" outlineLevel="0" collapsed="false">
      <c r="A5243" s="4" t="str">
        <f aca="false">B5243&amp;"|"&amp;C5243</f>
        <v>tdbR00000339 Gln-UUG|61</v>
      </c>
      <c r="B5243" s="4" t="s">
        <v>109</v>
      </c>
      <c r="C5243" s="4" t="s">
        <v>484</v>
      </c>
      <c r="D5243" s="4" t="n">
        <v>60</v>
      </c>
      <c r="E5243" s="23" t="s">
        <v>414</v>
      </c>
      <c r="F5243" s="10" t="s">
        <v>471</v>
      </c>
    </row>
    <row r="5244" customFormat="false" ht="15" hidden="false" customHeight="false" outlineLevel="0" collapsed="false">
      <c r="A5244" s="4" t="str">
        <f aca="false">B5244&amp;"|"&amp;C5244</f>
        <v>tdbR00000339 Gln-UUG|62</v>
      </c>
      <c r="B5244" s="4" t="s">
        <v>109</v>
      </c>
      <c r="C5244" s="4" t="s">
        <v>485</v>
      </c>
      <c r="D5244" s="4" t="n">
        <v>61</v>
      </c>
      <c r="E5244" s="23" t="s">
        <v>414</v>
      </c>
      <c r="F5244" s="10" t="s">
        <v>471</v>
      </c>
    </row>
    <row r="5245" customFormat="false" ht="15" hidden="false" customHeight="false" outlineLevel="0" collapsed="false">
      <c r="A5245" s="4" t="str">
        <f aca="false">B5245&amp;"|"&amp;C5245</f>
        <v>tdbR00000339 Gln-UUG|63</v>
      </c>
      <c r="B5245" s="4" t="s">
        <v>109</v>
      </c>
      <c r="C5245" s="4" t="s">
        <v>486</v>
      </c>
      <c r="D5245" s="4" t="n">
        <v>62</v>
      </c>
      <c r="E5245" s="23" t="s">
        <v>414</v>
      </c>
      <c r="F5245" s="10" t="s">
        <v>471</v>
      </c>
    </row>
    <row r="5246" customFormat="false" ht="15" hidden="false" customHeight="false" outlineLevel="0" collapsed="false">
      <c r="A5246" s="4" t="str">
        <f aca="false">B5246&amp;"|"&amp;C5246</f>
        <v>tdbR00000339 Gln-UUG|64</v>
      </c>
      <c r="B5246" s="4" t="s">
        <v>109</v>
      </c>
      <c r="C5246" s="4" t="s">
        <v>487</v>
      </c>
      <c r="D5246" s="4" t="n">
        <v>63</v>
      </c>
      <c r="E5246" s="23" t="s">
        <v>246</v>
      </c>
      <c r="F5246" s="10" t="s">
        <v>471</v>
      </c>
    </row>
    <row r="5247" customFormat="false" ht="15" hidden="false" customHeight="false" outlineLevel="0" collapsed="false">
      <c r="A5247" s="4" t="str">
        <f aca="false">B5247&amp;"|"&amp;C5247</f>
        <v>tdbR00000339 Gln-UUG|65</v>
      </c>
      <c r="B5247" s="4" t="s">
        <v>109</v>
      </c>
      <c r="C5247" s="4" t="s">
        <v>488</v>
      </c>
      <c r="D5247" s="4" t="n">
        <v>64</v>
      </c>
      <c r="E5247" s="23" t="s">
        <v>197</v>
      </c>
      <c r="F5247" s="10" t="s">
        <v>471</v>
      </c>
    </row>
    <row r="5248" customFormat="false" ht="15" hidden="false" customHeight="false" outlineLevel="0" collapsed="false">
      <c r="A5248" s="4" t="str">
        <f aca="false">B5248&amp;"|"&amp;C5248</f>
        <v>tdbR00000339 Gln-UUG|66</v>
      </c>
      <c r="B5248" s="4" t="s">
        <v>109</v>
      </c>
      <c r="C5248" s="4" t="s">
        <v>489</v>
      </c>
      <c r="D5248" s="4" t="n">
        <v>65</v>
      </c>
      <c r="E5248" s="17" t="s">
        <v>259</v>
      </c>
      <c r="F5248" s="18" t="s">
        <v>412</v>
      </c>
    </row>
    <row r="5249" customFormat="false" ht="15" hidden="false" customHeight="false" outlineLevel="0" collapsed="false">
      <c r="A5249" s="4" t="str">
        <f aca="false">B5249&amp;"|"&amp;C5249</f>
        <v>tdbR00000339 Gln-UUG|67</v>
      </c>
      <c r="B5249" s="4" t="s">
        <v>109</v>
      </c>
      <c r="C5249" s="4" t="s">
        <v>490</v>
      </c>
      <c r="D5249" s="4" t="n">
        <v>66</v>
      </c>
      <c r="E5249" s="17" t="s">
        <v>246</v>
      </c>
      <c r="F5249" s="18" t="s">
        <v>412</v>
      </c>
    </row>
    <row r="5250" customFormat="false" ht="15" hidden="false" customHeight="false" outlineLevel="0" collapsed="false">
      <c r="A5250" s="4" t="str">
        <f aca="false">B5250&amp;"|"&amp;C5250</f>
        <v>tdbR00000339 Gln-UUG|68</v>
      </c>
      <c r="B5250" s="4" t="s">
        <v>109</v>
      </c>
      <c r="C5250" s="4" t="s">
        <v>491</v>
      </c>
      <c r="D5250" s="4" t="n">
        <v>67</v>
      </c>
      <c r="E5250" s="17" t="s">
        <v>414</v>
      </c>
      <c r="F5250" s="18" t="s">
        <v>412</v>
      </c>
    </row>
    <row r="5251" customFormat="false" ht="15" hidden="false" customHeight="false" outlineLevel="0" collapsed="false">
      <c r="A5251" s="4" t="str">
        <f aca="false">B5251&amp;"|"&amp;C5251</f>
        <v>tdbR00000339 Gln-UUG|69</v>
      </c>
      <c r="B5251" s="4" t="s">
        <v>109</v>
      </c>
      <c r="C5251" s="4" t="s">
        <v>492</v>
      </c>
      <c r="D5251" s="4" t="n">
        <v>68</v>
      </c>
      <c r="E5251" s="17" t="s">
        <v>197</v>
      </c>
      <c r="F5251" s="18" t="s">
        <v>412</v>
      </c>
    </row>
    <row r="5252" customFormat="false" ht="15" hidden="false" customHeight="false" outlineLevel="0" collapsed="false">
      <c r="A5252" s="4" t="str">
        <f aca="false">B5252&amp;"|"&amp;C5252</f>
        <v>tdbR00000339 Gln-UUG|70</v>
      </c>
      <c r="B5252" s="4" t="s">
        <v>109</v>
      </c>
      <c r="C5252" s="4" t="s">
        <v>493</v>
      </c>
      <c r="D5252" s="4" t="n">
        <v>69</v>
      </c>
      <c r="E5252" s="17" t="s">
        <v>246</v>
      </c>
      <c r="F5252" s="18" t="s">
        <v>412</v>
      </c>
    </row>
    <row r="5253" customFormat="false" ht="15" hidden="false" customHeight="false" outlineLevel="0" collapsed="false">
      <c r="A5253" s="4" t="str">
        <f aca="false">B5253&amp;"|"&amp;C5253</f>
        <v>tdbR00000339 Gln-UUG|71</v>
      </c>
      <c r="B5253" s="4" t="s">
        <v>109</v>
      </c>
      <c r="C5253" s="4" t="s">
        <v>494</v>
      </c>
      <c r="D5253" s="4" t="n">
        <v>70</v>
      </c>
      <c r="E5253" s="17" t="s">
        <v>414</v>
      </c>
      <c r="F5253" s="18" t="s">
        <v>412</v>
      </c>
    </row>
    <row r="5254" customFormat="false" ht="15" hidden="false" customHeight="false" outlineLevel="0" collapsed="false">
      <c r="A5254" s="4" t="str">
        <f aca="false">B5254&amp;"|"&amp;C5254</f>
        <v>tdbR00000339 Gln-UUG|72</v>
      </c>
      <c r="B5254" s="4" t="s">
        <v>109</v>
      </c>
      <c r="C5254" s="4" t="s">
        <v>495</v>
      </c>
      <c r="D5254" s="4" t="n">
        <v>71</v>
      </c>
      <c r="E5254" s="17" t="s">
        <v>414</v>
      </c>
      <c r="F5254" s="18" t="s">
        <v>412</v>
      </c>
    </row>
    <row r="5255" customFormat="false" ht="15" hidden="false" customHeight="false" outlineLevel="0" collapsed="false">
      <c r="A5255" s="4" t="str">
        <f aca="false">B5255&amp;"|"&amp;C5255</f>
        <v>tdbR00000523 Ile-CAU|1</v>
      </c>
      <c r="B5255" s="4" t="s">
        <v>110</v>
      </c>
      <c r="C5255" s="4" t="s">
        <v>411</v>
      </c>
      <c r="D5255" s="4" t="n">
        <v>1</v>
      </c>
      <c r="E5255" s="17" t="s">
        <v>246</v>
      </c>
      <c r="F5255" s="18" t="s">
        <v>412</v>
      </c>
    </row>
    <row r="5256" customFormat="false" ht="15" hidden="false" customHeight="false" outlineLevel="0" collapsed="false">
      <c r="A5256" s="4" t="str">
        <f aca="false">B5256&amp;"|"&amp;C5256</f>
        <v>tdbR00000523 Ile-CAU|2</v>
      </c>
      <c r="B5256" s="4" t="s">
        <v>110</v>
      </c>
      <c r="C5256" s="4" t="s">
        <v>413</v>
      </c>
      <c r="D5256" s="4" t="n">
        <v>2</v>
      </c>
      <c r="E5256" s="17" t="s">
        <v>197</v>
      </c>
      <c r="F5256" s="18" t="s">
        <v>412</v>
      </c>
    </row>
    <row r="5257" customFormat="false" ht="15" hidden="false" customHeight="false" outlineLevel="0" collapsed="false">
      <c r="A5257" s="4" t="str">
        <f aca="false">B5257&amp;"|"&amp;C5257</f>
        <v>tdbR00000523 Ile-CAU|3</v>
      </c>
      <c r="B5257" s="4" t="s">
        <v>110</v>
      </c>
      <c r="C5257" s="4" t="s">
        <v>415</v>
      </c>
      <c r="D5257" s="4" t="n">
        <v>3</v>
      </c>
      <c r="E5257" s="17" t="s">
        <v>414</v>
      </c>
      <c r="F5257" s="18" t="s">
        <v>412</v>
      </c>
    </row>
    <row r="5258" customFormat="false" ht="15" hidden="false" customHeight="false" outlineLevel="0" collapsed="false">
      <c r="A5258" s="4" t="str">
        <f aca="false">B5258&amp;"|"&amp;C5258</f>
        <v>tdbR00000523 Ile-CAU|4</v>
      </c>
      <c r="B5258" s="4" t="s">
        <v>110</v>
      </c>
      <c r="C5258" s="4" t="s">
        <v>416</v>
      </c>
      <c r="D5258" s="4" t="n">
        <v>4</v>
      </c>
      <c r="E5258" s="17" t="s">
        <v>246</v>
      </c>
      <c r="F5258" s="18" t="s">
        <v>412</v>
      </c>
    </row>
    <row r="5259" customFormat="false" ht="15" hidden="false" customHeight="false" outlineLevel="0" collapsed="false">
      <c r="A5259" s="4" t="str">
        <f aca="false">B5259&amp;"|"&amp;C5259</f>
        <v>tdbR00000523 Ile-CAU|5</v>
      </c>
      <c r="B5259" s="4" t="s">
        <v>110</v>
      </c>
      <c r="C5259" s="4" t="s">
        <v>417</v>
      </c>
      <c r="D5259" s="4" t="n">
        <v>5</v>
      </c>
      <c r="E5259" s="17" t="s">
        <v>197</v>
      </c>
      <c r="F5259" s="18" t="s">
        <v>412</v>
      </c>
    </row>
    <row r="5260" customFormat="false" ht="15" hidden="false" customHeight="false" outlineLevel="0" collapsed="false">
      <c r="A5260" s="4" t="str">
        <f aca="false">B5260&amp;"|"&amp;C5260</f>
        <v>tdbR00000523 Ile-CAU|6</v>
      </c>
      <c r="B5260" s="4" t="s">
        <v>110</v>
      </c>
      <c r="C5260" s="4" t="s">
        <v>418</v>
      </c>
      <c r="D5260" s="4" t="n">
        <v>6</v>
      </c>
      <c r="E5260" s="17" t="s">
        <v>197</v>
      </c>
      <c r="F5260" s="18" t="s">
        <v>412</v>
      </c>
    </row>
    <row r="5261" customFormat="false" ht="15" hidden="false" customHeight="false" outlineLevel="0" collapsed="false">
      <c r="A5261" s="4" t="str">
        <f aca="false">B5261&amp;"|"&amp;C5261</f>
        <v>tdbR00000523 Ile-CAU|7</v>
      </c>
      <c r="B5261" s="4" t="s">
        <v>110</v>
      </c>
      <c r="C5261" s="4" t="s">
        <v>419</v>
      </c>
      <c r="D5261" s="4" t="n">
        <v>7</v>
      </c>
      <c r="E5261" s="17" t="s">
        <v>197</v>
      </c>
      <c r="F5261" s="18" t="s">
        <v>412</v>
      </c>
    </row>
    <row r="5262" customFormat="false" ht="15" hidden="false" customHeight="false" outlineLevel="0" collapsed="false">
      <c r="A5262" s="4" t="str">
        <f aca="false">B5262&amp;"|"&amp;C5262</f>
        <v>tdbR00000523 Ile-CAU|8</v>
      </c>
      <c r="B5262" s="4" t="s">
        <v>110</v>
      </c>
      <c r="C5262" s="4" t="s">
        <v>420</v>
      </c>
      <c r="D5262" s="4" t="n">
        <v>8</v>
      </c>
      <c r="E5262" s="3" t="s">
        <v>259</v>
      </c>
      <c r="F5262" s="4" t="s">
        <v>421</v>
      </c>
    </row>
    <row r="5263" customFormat="false" ht="15" hidden="false" customHeight="false" outlineLevel="0" collapsed="false">
      <c r="A5263" s="4" t="str">
        <f aca="false">B5263&amp;"|"&amp;C5263</f>
        <v>tdbR00000523 Ile-CAU|9</v>
      </c>
      <c r="B5263" s="4" t="s">
        <v>110</v>
      </c>
      <c r="C5263" s="4" t="s">
        <v>422</v>
      </c>
      <c r="D5263" s="4" t="n">
        <v>9</v>
      </c>
      <c r="E5263" s="3" t="s">
        <v>197</v>
      </c>
      <c r="F5263" s="4" t="s">
        <v>423</v>
      </c>
    </row>
    <row r="5264" customFormat="false" ht="15" hidden="false" customHeight="false" outlineLevel="0" collapsed="false">
      <c r="A5264" s="4" t="str">
        <f aca="false">B5264&amp;"|"&amp;C5264</f>
        <v>tdbR00000523 Ile-CAU|10</v>
      </c>
      <c r="B5264" s="4" t="s">
        <v>110</v>
      </c>
      <c r="C5264" s="4" t="s">
        <v>424</v>
      </c>
      <c r="D5264" s="4" t="n">
        <v>10</v>
      </c>
      <c r="E5264" s="8" t="s">
        <v>197</v>
      </c>
      <c r="F5264" s="7" t="s">
        <v>425</v>
      </c>
    </row>
    <row r="5265" customFormat="false" ht="15" hidden="false" customHeight="false" outlineLevel="0" collapsed="false">
      <c r="A5265" s="4" t="str">
        <f aca="false">B5265&amp;"|"&amp;C5265</f>
        <v>tdbR00000523 Ile-CAU|11</v>
      </c>
      <c r="B5265" s="4" t="s">
        <v>110</v>
      </c>
      <c r="C5265" s="4" t="s">
        <v>426</v>
      </c>
      <c r="D5265" s="4" t="n">
        <v>11</v>
      </c>
      <c r="E5265" s="8" t="s">
        <v>414</v>
      </c>
      <c r="F5265" s="7" t="s">
        <v>425</v>
      </c>
    </row>
    <row r="5266" customFormat="false" ht="15" hidden="false" customHeight="false" outlineLevel="0" collapsed="false">
      <c r="A5266" s="4" t="str">
        <f aca="false">B5266&amp;"|"&amp;C5266</f>
        <v>tdbR00000523 Ile-CAU|12</v>
      </c>
      <c r="B5266" s="4" t="s">
        <v>110</v>
      </c>
      <c r="C5266" s="4" t="s">
        <v>427</v>
      </c>
      <c r="D5266" s="4" t="n">
        <v>12</v>
      </c>
      <c r="E5266" s="8" t="s">
        <v>197</v>
      </c>
      <c r="F5266" s="7" t="s">
        <v>425</v>
      </c>
    </row>
    <row r="5267" customFormat="false" ht="15" hidden="false" customHeight="false" outlineLevel="0" collapsed="false">
      <c r="A5267" s="4" t="str">
        <f aca="false">B5267&amp;"|"&amp;C5267</f>
        <v>tdbR00000523 Ile-CAU|13</v>
      </c>
      <c r="B5267" s="4" t="s">
        <v>110</v>
      </c>
      <c r="C5267" s="4" t="s">
        <v>428</v>
      </c>
      <c r="D5267" s="4" t="n">
        <v>13</v>
      </c>
      <c r="E5267" s="8" t="s">
        <v>246</v>
      </c>
      <c r="F5267" s="7" t="s">
        <v>425</v>
      </c>
    </row>
    <row r="5268" customFormat="false" ht="15" hidden="false" customHeight="false" outlineLevel="0" collapsed="false">
      <c r="A5268" s="4" t="str">
        <f aca="false">B5268&amp;"|"&amp;C5268</f>
        <v>tdbR00000523 Ile-CAU|14</v>
      </c>
      <c r="B5268" s="4" t="s">
        <v>110</v>
      </c>
      <c r="C5268" s="4" t="s">
        <v>429</v>
      </c>
      <c r="D5268" s="4" t="n">
        <v>14</v>
      </c>
      <c r="E5268" s="19" t="s">
        <v>246</v>
      </c>
      <c r="F5268" s="20" t="s">
        <v>430</v>
      </c>
    </row>
    <row r="5269" customFormat="false" ht="15" hidden="false" customHeight="false" outlineLevel="0" collapsed="false">
      <c r="A5269" s="4" t="str">
        <f aca="false">B5269&amp;"|"&amp;C5269</f>
        <v>tdbR00000523 Ile-CAU|15</v>
      </c>
      <c r="B5269" s="4" t="s">
        <v>110</v>
      </c>
      <c r="C5269" s="4" t="s">
        <v>431</v>
      </c>
      <c r="D5269" s="4" t="n">
        <v>15</v>
      </c>
      <c r="E5269" s="19" t="s">
        <v>246</v>
      </c>
      <c r="F5269" s="20" t="s">
        <v>430</v>
      </c>
    </row>
    <row r="5270" customFormat="false" ht="15" hidden="false" customHeight="false" outlineLevel="0" collapsed="false">
      <c r="A5270" s="4" t="str">
        <f aca="false">B5270&amp;"|"&amp;C5270</f>
        <v>tdbR00000523 Ile-CAU|16</v>
      </c>
      <c r="B5270" s="4" t="s">
        <v>110</v>
      </c>
      <c r="C5270" s="4" t="s">
        <v>432</v>
      </c>
      <c r="D5270" s="4" t="n">
        <v>16</v>
      </c>
      <c r="E5270" s="19" t="s">
        <v>259</v>
      </c>
      <c r="F5270" s="20" t="s">
        <v>430</v>
      </c>
    </row>
    <row r="5271" customFormat="false" ht="15" hidden="false" customHeight="false" outlineLevel="0" collapsed="false">
      <c r="A5271" s="4" t="str">
        <f aca="false">B5271&amp;"|"&amp;C5271</f>
        <v>tdbR00000523 Ile-CAU|18</v>
      </c>
      <c r="B5271" s="4" t="s">
        <v>110</v>
      </c>
      <c r="C5271" s="4" t="s">
        <v>434</v>
      </c>
      <c r="D5271" s="4" t="n">
        <v>17</v>
      </c>
      <c r="E5271" s="19" t="s">
        <v>197</v>
      </c>
      <c r="F5271" s="20" t="s">
        <v>430</v>
      </c>
    </row>
    <row r="5272" customFormat="false" ht="15" hidden="false" customHeight="false" outlineLevel="0" collapsed="false">
      <c r="A5272" s="4" t="str">
        <f aca="false">B5272&amp;"|"&amp;C5272</f>
        <v>tdbR00000523 Ile-CAU|19</v>
      </c>
      <c r="B5272" s="4" t="s">
        <v>110</v>
      </c>
      <c r="C5272" s="4" t="s">
        <v>435</v>
      </c>
      <c r="D5272" s="4" t="n">
        <v>18</v>
      </c>
      <c r="E5272" s="19" t="s">
        <v>197</v>
      </c>
      <c r="F5272" s="20" t="s">
        <v>430</v>
      </c>
    </row>
    <row r="5273" customFormat="false" ht="15" hidden="false" customHeight="false" outlineLevel="0" collapsed="false">
      <c r="A5273" s="4" t="str">
        <f aca="false">B5273&amp;"|"&amp;C5273</f>
        <v>tdbR00000523 Ile-CAU|20</v>
      </c>
      <c r="B5273" s="4" t="s">
        <v>110</v>
      </c>
      <c r="C5273" s="4" t="s">
        <v>436</v>
      </c>
      <c r="D5273" s="4" t="n">
        <v>19</v>
      </c>
      <c r="E5273" s="19" t="s">
        <v>246</v>
      </c>
      <c r="F5273" s="20" t="s">
        <v>430</v>
      </c>
    </row>
    <row r="5274" customFormat="false" ht="15" hidden="false" customHeight="false" outlineLevel="0" collapsed="false">
      <c r="A5274" s="4" t="str">
        <f aca="false">B5274&amp;"|"&amp;C5274</f>
        <v>tdbR00000523 Ile-CAU|21</v>
      </c>
      <c r="B5274" s="4" t="s">
        <v>110</v>
      </c>
      <c r="C5274" s="4" t="s">
        <v>438</v>
      </c>
      <c r="D5274" s="4" t="n">
        <v>20</v>
      </c>
      <c r="E5274" s="19" t="s">
        <v>246</v>
      </c>
      <c r="F5274" s="20" t="s">
        <v>430</v>
      </c>
    </row>
    <row r="5275" customFormat="false" ht="15" hidden="false" customHeight="false" outlineLevel="0" collapsed="false">
      <c r="A5275" s="4" t="str">
        <f aca="false">B5275&amp;"|"&amp;C5275</f>
        <v>tdbR00000523 Ile-CAU|22</v>
      </c>
      <c r="B5275" s="4" t="s">
        <v>110</v>
      </c>
      <c r="C5275" s="4" t="s">
        <v>439</v>
      </c>
      <c r="D5275" s="4" t="n">
        <v>21</v>
      </c>
      <c r="E5275" s="8" t="s">
        <v>259</v>
      </c>
      <c r="F5275" s="7" t="s">
        <v>425</v>
      </c>
    </row>
    <row r="5276" customFormat="false" ht="15" hidden="false" customHeight="false" outlineLevel="0" collapsed="false">
      <c r="A5276" s="4" t="str">
        <f aca="false">B5276&amp;"|"&amp;C5276</f>
        <v>tdbR00000523 Ile-CAU|23</v>
      </c>
      <c r="B5276" s="4" t="s">
        <v>110</v>
      </c>
      <c r="C5276" s="4" t="s">
        <v>440</v>
      </c>
      <c r="D5276" s="4" t="n">
        <v>22</v>
      </c>
      <c r="E5276" s="8" t="s">
        <v>414</v>
      </c>
      <c r="F5276" s="7" t="s">
        <v>425</v>
      </c>
    </row>
    <row r="5277" customFormat="false" ht="15" hidden="false" customHeight="false" outlineLevel="0" collapsed="false">
      <c r="A5277" s="4" t="str">
        <f aca="false">B5277&amp;"|"&amp;C5277</f>
        <v>tdbR00000523 Ile-CAU|24</v>
      </c>
      <c r="B5277" s="4" t="s">
        <v>110</v>
      </c>
      <c r="C5277" s="4" t="s">
        <v>441</v>
      </c>
      <c r="D5277" s="4" t="n">
        <v>23</v>
      </c>
      <c r="E5277" s="8" t="s">
        <v>197</v>
      </c>
      <c r="F5277" s="7" t="s">
        <v>425</v>
      </c>
    </row>
    <row r="5278" customFormat="false" ht="15" hidden="false" customHeight="false" outlineLevel="0" collapsed="false">
      <c r="A5278" s="4" t="str">
        <f aca="false">B5278&amp;"|"&amp;C5278</f>
        <v>tdbR00000523 Ile-CAU|25</v>
      </c>
      <c r="B5278" s="4" t="s">
        <v>110</v>
      </c>
      <c r="C5278" s="4" t="s">
        <v>442</v>
      </c>
      <c r="D5278" s="4" t="n">
        <v>24</v>
      </c>
      <c r="E5278" s="8" t="s">
        <v>414</v>
      </c>
      <c r="F5278" s="7" t="s">
        <v>425</v>
      </c>
    </row>
    <row r="5279" customFormat="false" ht="15" hidden="false" customHeight="false" outlineLevel="0" collapsed="false">
      <c r="A5279" s="4" t="str">
        <f aca="false">B5279&amp;"|"&amp;C5279</f>
        <v>tdbR00000523 Ile-CAU|26</v>
      </c>
      <c r="B5279" s="4" t="s">
        <v>110</v>
      </c>
      <c r="C5279" s="4" t="s">
        <v>443</v>
      </c>
      <c r="D5279" s="4" t="n">
        <v>25</v>
      </c>
      <c r="E5279" s="3" t="s">
        <v>197</v>
      </c>
      <c r="F5279" s="4" t="s">
        <v>444</v>
      </c>
    </row>
    <row r="5280" customFormat="false" ht="15" hidden="false" customHeight="false" outlineLevel="0" collapsed="false">
      <c r="A5280" s="4" t="str">
        <f aca="false">B5280&amp;"|"&amp;C5280</f>
        <v>tdbR00000523 Ile-CAU|27</v>
      </c>
      <c r="B5280" s="4" t="s">
        <v>110</v>
      </c>
      <c r="C5280" s="4" t="s">
        <v>445</v>
      </c>
      <c r="D5280" s="4" t="n">
        <v>26</v>
      </c>
      <c r="E5280" s="21" t="s">
        <v>259</v>
      </c>
      <c r="F5280" s="22" t="s">
        <v>446</v>
      </c>
    </row>
    <row r="5281" customFormat="false" ht="15" hidden="false" customHeight="false" outlineLevel="0" collapsed="false">
      <c r="A5281" s="4" t="str">
        <f aca="false">B5281&amp;"|"&amp;C5281</f>
        <v>tdbR00000523 Ile-CAU|28</v>
      </c>
      <c r="B5281" s="4" t="s">
        <v>110</v>
      </c>
      <c r="C5281" s="4" t="s">
        <v>447</v>
      </c>
      <c r="D5281" s="4" t="n">
        <v>27</v>
      </c>
      <c r="E5281" s="21" t="s">
        <v>259</v>
      </c>
      <c r="F5281" s="22" t="s">
        <v>446</v>
      </c>
    </row>
    <row r="5282" customFormat="false" ht="15" hidden="false" customHeight="false" outlineLevel="0" collapsed="false">
      <c r="A5282" s="4" t="str">
        <f aca="false">B5282&amp;"|"&amp;C5282</f>
        <v>tdbR00000523 Ile-CAU|29</v>
      </c>
      <c r="B5282" s="4" t="s">
        <v>110</v>
      </c>
      <c r="C5282" s="4" t="s">
        <v>448</v>
      </c>
      <c r="D5282" s="4" t="n">
        <v>28</v>
      </c>
      <c r="E5282" s="21" t="s">
        <v>197</v>
      </c>
      <c r="F5282" s="22" t="s">
        <v>446</v>
      </c>
    </row>
    <row r="5283" customFormat="false" ht="15" hidden="false" customHeight="false" outlineLevel="0" collapsed="false">
      <c r="A5283" s="4" t="str">
        <f aca="false">B5283&amp;"|"&amp;C5283</f>
        <v>tdbR00000523 Ile-CAU|30</v>
      </c>
      <c r="B5283" s="4" t="s">
        <v>110</v>
      </c>
      <c r="C5283" s="4" t="s">
        <v>449</v>
      </c>
      <c r="D5283" s="4" t="n">
        <v>29</v>
      </c>
      <c r="E5283" s="21" t="s">
        <v>197</v>
      </c>
      <c r="F5283" s="22" t="s">
        <v>446</v>
      </c>
    </row>
    <row r="5284" customFormat="false" ht="15" hidden="false" customHeight="false" outlineLevel="0" collapsed="false">
      <c r="A5284" s="4" t="str">
        <f aca="false">B5284&amp;"|"&amp;C5284</f>
        <v>tdbR00000523 Ile-CAU|31</v>
      </c>
      <c r="B5284" s="4" t="s">
        <v>110</v>
      </c>
      <c r="C5284" s="4" t="s">
        <v>450</v>
      </c>
      <c r="D5284" s="4" t="n">
        <v>30</v>
      </c>
      <c r="E5284" s="21" t="s">
        <v>197</v>
      </c>
      <c r="F5284" s="22" t="s">
        <v>446</v>
      </c>
    </row>
    <row r="5285" customFormat="false" ht="15" hidden="false" customHeight="false" outlineLevel="0" collapsed="false">
      <c r="A5285" s="4" t="str">
        <f aca="false">B5285&amp;"|"&amp;C5285</f>
        <v>tdbR00000523 Ile-CAU|32</v>
      </c>
      <c r="B5285" s="4" t="s">
        <v>110</v>
      </c>
      <c r="C5285" s="4" t="s">
        <v>451</v>
      </c>
      <c r="D5285" s="4" t="n">
        <v>31</v>
      </c>
      <c r="E5285" s="19" t="s">
        <v>414</v>
      </c>
      <c r="F5285" s="20" t="s">
        <v>452</v>
      </c>
    </row>
    <row r="5286" customFormat="false" ht="15" hidden="false" customHeight="false" outlineLevel="0" collapsed="false">
      <c r="A5286" s="4" t="str">
        <f aca="false">B5286&amp;"|"&amp;C5286</f>
        <v>tdbR00000523 Ile-CAU|33</v>
      </c>
      <c r="B5286" s="4" t="s">
        <v>110</v>
      </c>
      <c r="C5286" s="4" t="s">
        <v>453</v>
      </c>
      <c r="D5286" s="4" t="n">
        <v>32</v>
      </c>
      <c r="E5286" s="19" t="s">
        <v>259</v>
      </c>
      <c r="F5286" s="20" t="s">
        <v>452</v>
      </c>
    </row>
    <row r="5287" customFormat="false" ht="15" hidden="false" customHeight="false" outlineLevel="0" collapsed="false">
      <c r="A5287" s="4" t="str">
        <f aca="false">B5287&amp;"|"&amp;C5287</f>
        <v>tdbR00000523 Ile-CAU|34</v>
      </c>
      <c r="B5287" s="4" t="s">
        <v>110</v>
      </c>
      <c r="C5287" s="4" t="s">
        <v>454</v>
      </c>
      <c r="D5287" s="4" t="n">
        <v>33</v>
      </c>
      <c r="E5287" s="19" t="s">
        <v>414</v>
      </c>
      <c r="F5287" s="20" t="s">
        <v>452</v>
      </c>
    </row>
    <row r="5288" customFormat="false" ht="15" hidden="false" customHeight="false" outlineLevel="0" collapsed="false">
      <c r="A5288" s="4" t="str">
        <f aca="false">B5288&amp;"|"&amp;C5288</f>
        <v>tdbR00000523 Ile-CAU|35</v>
      </c>
      <c r="B5288" s="4" t="s">
        <v>110</v>
      </c>
      <c r="C5288" s="4" t="s">
        <v>455</v>
      </c>
      <c r="D5288" s="4" t="n">
        <v>34</v>
      </c>
      <c r="E5288" s="19" t="s">
        <v>246</v>
      </c>
      <c r="F5288" s="20" t="s">
        <v>452</v>
      </c>
    </row>
    <row r="5289" customFormat="false" ht="15" hidden="false" customHeight="false" outlineLevel="0" collapsed="false">
      <c r="A5289" s="4" t="str">
        <f aca="false">B5289&amp;"|"&amp;C5289</f>
        <v>tdbR00000523 Ile-CAU|36</v>
      </c>
      <c r="B5289" s="4" t="s">
        <v>110</v>
      </c>
      <c r="C5289" s="4" t="s">
        <v>456</v>
      </c>
      <c r="D5289" s="4" t="n">
        <v>35</v>
      </c>
      <c r="E5289" s="19" t="s">
        <v>259</v>
      </c>
      <c r="F5289" s="20" t="s">
        <v>452</v>
      </c>
    </row>
    <row r="5290" customFormat="false" ht="15" hidden="false" customHeight="false" outlineLevel="0" collapsed="false">
      <c r="A5290" s="4" t="str">
        <f aca="false">B5290&amp;"|"&amp;C5290</f>
        <v>tdbR00000523 Ile-CAU|37</v>
      </c>
      <c r="B5290" s="4" t="s">
        <v>110</v>
      </c>
      <c r="C5290" s="4" t="s">
        <v>457</v>
      </c>
      <c r="D5290" s="4" t="n">
        <v>36</v>
      </c>
      <c r="E5290" s="19" t="s">
        <v>246</v>
      </c>
      <c r="F5290" s="20" t="s">
        <v>452</v>
      </c>
    </row>
    <row r="5291" customFormat="false" ht="15" hidden="false" customHeight="false" outlineLevel="0" collapsed="false">
      <c r="A5291" s="4" t="str">
        <f aca="false">B5291&amp;"|"&amp;C5291</f>
        <v>tdbR00000523 Ile-CAU|38</v>
      </c>
      <c r="B5291" s="4" t="s">
        <v>110</v>
      </c>
      <c r="C5291" s="4" t="s">
        <v>458</v>
      </c>
      <c r="D5291" s="4" t="n">
        <v>37</v>
      </c>
      <c r="E5291" s="19" t="s">
        <v>246</v>
      </c>
      <c r="F5291" s="20" t="s">
        <v>452</v>
      </c>
    </row>
    <row r="5292" customFormat="false" ht="15" hidden="false" customHeight="false" outlineLevel="0" collapsed="false">
      <c r="A5292" s="4" t="str">
        <f aca="false">B5292&amp;"|"&amp;C5292</f>
        <v>tdbR00000523 Ile-CAU|39</v>
      </c>
      <c r="B5292" s="4" t="s">
        <v>110</v>
      </c>
      <c r="C5292" s="4" t="s">
        <v>459</v>
      </c>
      <c r="D5292" s="4" t="n">
        <v>38</v>
      </c>
      <c r="E5292" s="21" t="s">
        <v>414</v>
      </c>
      <c r="F5292" s="22" t="s">
        <v>446</v>
      </c>
    </row>
    <row r="5293" customFormat="false" ht="15" hidden="false" customHeight="false" outlineLevel="0" collapsed="false">
      <c r="A5293" s="4" t="str">
        <f aca="false">B5293&amp;"|"&amp;C5293</f>
        <v>tdbR00000523 Ile-CAU|40</v>
      </c>
      <c r="B5293" s="4" t="s">
        <v>110</v>
      </c>
      <c r="C5293" s="4" t="s">
        <v>460</v>
      </c>
      <c r="D5293" s="4" t="n">
        <v>39</v>
      </c>
      <c r="E5293" s="21" t="s">
        <v>259</v>
      </c>
      <c r="F5293" s="22" t="s">
        <v>446</v>
      </c>
    </row>
    <row r="5294" customFormat="false" ht="15" hidden="false" customHeight="false" outlineLevel="0" collapsed="false">
      <c r="A5294" s="4" t="str">
        <f aca="false">B5294&amp;"|"&amp;C5294</f>
        <v>tdbR00000523 Ile-CAU|41</v>
      </c>
      <c r="B5294" s="4" t="s">
        <v>110</v>
      </c>
      <c r="C5294" s="4" t="s">
        <v>461</v>
      </c>
      <c r="D5294" s="4" t="n">
        <v>40</v>
      </c>
      <c r="E5294" s="21" t="s">
        <v>414</v>
      </c>
      <c r="F5294" s="22" t="s">
        <v>446</v>
      </c>
    </row>
    <row r="5295" customFormat="false" ht="15" hidden="false" customHeight="false" outlineLevel="0" collapsed="false">
      <c r="A5295" s="4" t="str">
        <f aca="false">B5295&amp;"|"&amp;C5295</f>
        <v>tdbR00000523 Ile-CAU|42</v>
      </c>
      <c r="B5295" s="4" t="s">
        <v>110</v>
      </c>
      <c r="C5295" s="4" t="s">
        <v>462</v>
      </c>
      <c r="D5295" s="4" t="n">
        <v>41</v>
      </c>
      <c r="E5295" s="21" t="s">
        <v>246</v>
      </c>
      <c r="F5295" s="22" t="s">
        <v>446</v>
      </c>
    </row>
    <row r="5296" customFormat="false" ht="15" hidden="false" customHeight="false" outlineLevel="0" collapsed="false">
      <c r="A5296" s="4" t="str">
        <f aca="false">B5296&amp;"|"&amp;C5296</f>
        <v>tdbR00000523 Ile-CAU|43</v>
      </c>
      <c r="B5296" s="4" t="s">
        <v>110</v>
      </c>
      <c r="C5296" s="4" t="s">
        <v>463</v>
      </c>
      <c r="D5296" s="4" t="n">
        <v>42</v>
      </c>
      <c r="E5296" s="21" t="s">
        <v>246</v>
      </c>
      <c r="F5296" s="22" t="s">
        <v>446</v>
      </c>
    </row>
    <row r="5297" customFormat="false" ht="15" hidden="false" customHeight="false" outlineLevel="0" collapsed="false">
      <c r="A5297" s="4" t="str">
        <f aca="false">B5297&amp;"|"&amp;C5297</f>
        <v>tdbR00000523 Ile-CAU|44</v>
      </c>
      <c r="B5297" s="4" t="s">
        <v>110</v>
      </c>
      <c r="C5297" s="4" t="s">
        <v>464</v>
      </c>
      <c r="D5297" s="4" t="n">
        <v>43</v>
      </c>
      <c r="E5297" s="19" t="s">
        <v>246</v>
      </c>
      <c r="F5297" s="20" t="s">
        <v>465</v>
      </c>
    </row>
    <row r="5298" customFormat="false" ht="15" hidden="false" customHeight="false" outlineLevel="0" collapsed="false">
      <c r="A5298" s="4" t="str">
        <f aca="false">B5298&amp;"|"&amp;C5298</f>
        <v>tdbR00000523 Ile-CAU|45</v>
      </c>
      <c r="B5298" s="4" t="s">
        <v>110</v>
      </c>
      <c r="C5298" s="4" t="s">
        <v>466</v>
      </c>
      <c r="D5298" s="4" t="n">
        <v>44</v>
      </c>
      <c r="E5298" s="19" t="s">
        <v>246</v>
      </c>
      <c r="F5298" s="20" t="s">
        <v>465</v>
      </c>
    </row>
    <row r="5299" customFormat="false" ht="15" hidden="false" customHeight="false" outlineLevel="0" collapsed="false">
      <c r="A5299" s="4" t="str">
        <f aca="false">B5299&amp;"|"&amp;C5299</f>
        <v>tdbR00000523 Ile-CAU|46</v>
      </c>
      <c r="B5299" s="4" t="s">
        <v>110</v>
      </c>
      <c r="C5299" s="4" t="s">
        <v>467</v>
      </c>
      <c r="D5299" s="4" t="n">
        <v>45</v>
      </c>
      <c r="E5299" s="19" t="s">
        <v>197</v>
      </c>
      <c r="F5299" s="20" t="s">
        <v>465</v>
      </c>
    </row>
    <row r="5300" customFormat="false" ht="15" hidden="false" customHeight="false" outlineLevel="0" collapsed="false">
      <c r="A5300" s="4" t="str">
        <f aca="false">B5300&amp;"|"&amp;C5300</f>
        <v>tdbR00000523 Ile-CAU|47</v>
      </c>
      <c r="B5300" s="4" t="s">
        <v>110</v>
      </c>
      <c r="C5300" s="4" t="s">
        <v>468</v>
      </c>
      <c r="D5300" s="4" t="n">
        <v>46</v>
      </c>
      <c r="E5300" s="19" t="s">
        <v>259</v>
      </c>
      <c r="F5300" s="20" t="s">
        <v>465</v>
      </c>
    </row>
    <row r="5301" customFormat="false" ht="15" hidden="false" customHeight="false" outlineLevel="0" collapsed="false">
      <c r="A5301" s="4" t="str">
        <f aca="false">B5301&amp;"|"&amp;C5301</f>
        <v>tdbR00000523 Ile-CAU|48</v>
      </c>
      <c r="B5301" s="4" t="s">
        <v>110</v>
      </c>
      <c r="C5301" s="4" t="s">
        <v>469</v>
      </c>
      <c r="D5301" s="4" t="n">
        <v>47</v>
      </c>
      <c r="E5301" s="19" t="s">
        <v>414</v>
      </c>
      <c r="F5301" s="20" t="s">
        <v>465</v>
      </c>
    </row>
    <row r="5302" customFormat="false" ht="15" hidden="false" customHeight="false" outlineLevel="0" collapsed="false">
      <c r="A5302" s="4" t="str">
        <f aca="false">B5302&amp;"|"&amp;C5302</f>
        <v>tdbR00000523 Ile-CAU|49</v>
      </c>
      <c r="B5302" s="4" t="s">
        <v>110</v>
      </c>
      <c r="C5302" s="4" t="s">
        <v>470</v>
      </c>
      <c r="D5302" s="4" t="n">
        <v>48</v>
      </c>
      <c r="E5302" s="23" t="s">
        <v>246</v>
      </c>
      <c r="F5302" s="10" t="s">
        <v>471</v>
      </c>
    </row>
    <row r="5303" customFormat="false" ht="15" hidden="false" customHeight="false" outlineLevel="0" collapsed="false">
      <c r="A5303" s="4" t="str">
        <f aca="false">B5303&amp;"|"&amp;C5303</f>
        <v>tdbR00000523 Ile-CAU|50</v>
      </c>
      <c r="B5303" s="4" t="s">
        <v>110</v>
      </c>
      <c r="C5303" s="4" t="s">
        <v>472</v>
      </c>
      <c r="D5303" s="4" t="n">
        <v>49</v>
      </c>
      <c r="E5303" s="23" t="s">
        <v>197</v>
      </c>
      <c r="F5303" s="10" t="s">
        <v>471</v>
      </c>
    </row>
    <row r="5304" customFormat="false" ht="15" hidden="false" customHeight="false" outlineLevel="0" collapsed="false">
      <c r="A5304" s="4" t="str">
        <f aca="false">B5304&amp;"|"&amp;C5304</f>
        <v>tdbR00000523 Ile-CAU|51</v>
      </c>
      <c r="B5304" s="4" t="s">
        <v>110</v>
      </c>
      <c r="C5304" s="4" t="s">
        <v>473</v>
      </c>
      <c r="D5304" s="4" t="n">
        <v>50</v>
      </c>
      <c r="E5304" s="23" t="s">
        <v>246</v>
      </c>
      <c r="F5304" s="10" t="s">
        <v>471</v>
      </c>
    </row>
    <row r="5305" customFormat="false" ht="15" hidden="false" customHeight="false" outlineLevel="0" collapsed="false">
      <c r="A5305" s="4" t="str">
        <f aca="false">B5305&amp;"|"&amp;C5305</f>
        <v>tdbR00000523 Ile-CAU|52</v>
      </c>
      <c r="B5305" s="4" t="s">
        <v>110</v>
      </c>
      <c r="C5305" s="4" t="s">
        <v>474</v>
      </c>
      <c r="D5305" s="4" t="n">
        <v>51</v>
      </c>
      <c r="E5305" s="23" t="s">
        <v>197</v>
      </c>
      <c r="F5305" s="10" t="s">
        <v>471</v>
      </c>
    </row>
    <row r="5306" customFormat="false" ht="15" hidden="false" customHeight="false" outlineLevel="0" collapsed="false">
      <c r="A5306" s="4" t="str">
        <f aca="false">B5306&amp;"|"&amp;C5306</f>
        <v>tdbR00000523 Ile-CAU|53</v>
      </c>
      <c r="B5306" s="4" t="s">
        <v>110</v>
      </c>
      <c r="C5306" s="4" t="s">
        <v>475</v>
      </c>
      <c r="D5306" s="4" t="n">
        <v>52</v>
      </c>
      <c r="E5306" s="23" t="s">
        <v>197</v>
      </c>
      <c r="F5306" s="10" t="s">
        <v>471</v>
      </c>
    </row>
    <row r="5307" customFormat="false" ht="15" hidden="false" customHeight="false" outlineLevel="0" collapsed="false">
      <c r="A5307" s="4" t="str">
        <f aca="false">B5307&amp;"|"&amp;C5307</f>
        <v>tdbR00000523 Ile-CAU|54</v>
      </c>
      <c r="B5307" s="4" t="s">
        <v>110</v>
      </c>
      <c r="C5307" s="4" t="s">
        <v>476</v>
      </c>
      <c r="D5307" s="4" t="n">
        <v>53</v>
      </c>
      <c r="E5307" s="19" t="s">
        <v>246</v>
      </c>
      <c r="F5307" s="20" t="s">
        <v>477</v>
      </c>
    </row>
    <row r="5308" customFormat="false" ht="15" hidden="false" customHeight="false" outlineLevel="0" collapsed="false">
      <c r="A5308" s="4" t="str">
        <f aca="false">B5308&amp;"|"&amp;C5308</f>
        <v>tdbR00000523 Ile-CAU|55</v>
      </c>
      <c r="B5308" s="4" t="s">
        <v>110</v>
      </c>
      <c r="C5308" s="4" t="s">
        <v>478</v>
      </c>
      <c r="D5308" s="4" t="n">
        <v>54</v>
      </c>
      <c r="E5308" s="19" t="s">
        <v>259</v>
      </c>
      <c r="F5308" s="20" t="s">
        <v>477</v>
      </c>
    </row>
    <row r="5309" customFormat="false" ht="15" hidden="false" customHeight="false" outlineLevel="0" collapsed="false">
      <c r="A5309" s="4" t="str">
        <f aca="false">B5309&amp;"|"&amp;C5309</f>
        <v>tdbR00000523 Ile-CAU|56</v>
      </c>
      <c r="B5309" s="4" t="s">
        <v>110</v>
      </c>
      <c r="C5309" s="4" t="s">
        <v>479</v>
      </c>
      <c r="D5309" s="4" t="n">
        <v>55</v>
      </c>
      <c r="E5309" s="19" t="s">
        <v>414</v>
      </c>
      <c r="F5309" s="20" t="s">
        <v>477</v>
      </c>
    </row>
    <row r="5310" customFormat="false" ht="15" hidden="false" customHeight="false" outlineLevel="0" collapsed="false">
      <c r="A5310" s="4" t="str">
        <f aca="false">B5310&amp;"|"&amp;C5310</f>
        <v>tdbR00000523 Ile-CAU|57</v>
      </c>
      <c r="B5310" s="4" t="s">
        <v>110</v>
      </c>
      <c r="C5310" s="4" t="s">
        <v>480</v>
      </c>
      <c r="D5310" s="4" t="n">
        <v>56</v>
      </c>
      <c r="E5310" s="19" t="s">
        <v>197</v>
      </c>
      <c r="F5310" s="20" t="s">
        <v>477</v>
      </c>
    </row>
    <row r="5311" customFormat="false" ht="15" hidden="false" customHeight="false" outlineLevel="0" collapsed="false">
      <c r="A5311" s="4" t="str">
        <f aca="false">B5311&amp;"|"&amp;C5311</f>
        <v>tdbR00000523 Ile-CAU|58</v>
      </c>
      <c r="B5311" s="4" t="s">
        <v>110</v>
      </c>
      <c r="C5311" s="4" t="s">
        <v>481</v>
      </c>
      <c r="D5311" s="4" t="n">
        <v>57</v>
      </c>
      <c r="E5311" s="19" t="s">
        <v>246</v>
      </c>
      <c r="F5311" s="20" t="s">
        <v>477</v>
      </c>
    </row>
    <row r="5312" customFormat="false" ht="15" hidden="false" customHeight="false" outlineLevel="0" collapsed="false">
      <c r="A5312" s="4" t="str">
        <f aca="false">B5312&amp;"|"&amp;C5312</f>
        <v>tdbR00000523 Ile-CAU|59</v>
      </c>
      <c r="B5312" s="4" t="s">
        <v>110</v>
      </c>
      <c r="C5312" s="4" t="s">
        <v>482</v>
      </c>
      <c r="D5312" s="4" t="n">
        <v>58</v>
      </c>
      <c r="E5312" s="19" t="s">
        <v>246</v>
      </c>
      <c r="F5312" s="20" t="s">
        <v>477</v>
      </c>
    </row>
    <row r="5313" customFormat="false" ht="15" hidden="false" customHeight="false" outlineLevel="0" collapsed="false">
      <c r="A5313" s="4" t="str">
        <f aca="false">B5313&amp;"|"&amp;C5313</f>
        <v>tdbR00000523 Ile-CAU|60</v>
      </c>
      <c r="B5313" s="4" t="s">
        <v>110</v>
      </c>
      <c r="C5313" s="4" t="s">
        <v>483</v>
      </c>
      <c r="D5313" s="4" t="n">
        <v>59</v>
      </c>
      <c r="E5313" s="19" t="s">
        <v>246</v>
      </c>
      <c r="F5313" s="20" t="s">
        <v>477</v>
      </c>
    </row>
    <row r="5314" customFormat="false" ht="15" hidden="false" customHeight="false" outlineLevel="0" collapsed="false">
      <c r="A5314" s="4" t="str">
        <f aca="false">B5314&amp;"|"&amp;C5314</f>
        <v>tdbR00000523 Ile-CAU|61</v>
      </c>
      <c r="B5314" s="4" t="s">
        <v>110</v>
      </c>
      <c r="C5314" s="4" t="s">
        <v>484</v>
      </c>
      <c r="D5314" s="4" t="n">
        <v>60</v>
      </c>
      <c r="E5314" s="23" t="s">
        <v>414</v>
      </c>
      <c r="F5314" s="10" t="s">
        <v>471</v>
      </c>
    </row>
    <row r="5315" customFormat="false" ht="15" hidden="false" customHeight="false" outlineLevel="0" collapsed="false">
      <c r="A5315" s="4" t="str">
        <f aca="false">B5315&amp;"|"&amp;C5315</f>
        <v>tdbR00000523 Ile-CAU|62</v>
      </c>
      <c r="B5315" s="4" t="s">
        <v>110</v>
      </c>
      <c r="C5315" s="4" t="s">
        <v>485</v>
      </c>
      <c r="D5315" s="4" t="n">
        <v>61</v>
      </c>
      <c r="E5315" s="23" t="s">
        <v>414</v>
      </c>
      <c r="F5315" s="10" t="s">
        <v>471</v>
      </c>
    </row>
    <row r="5316" customFormat="false" ht="15" hidden="false" customHeight="false" outlineLevel="0" collapsed="false">
      <c r="A5316" s="4" t="str">
        <f aca="false">B5316&amp;"|"&amp;C5316</f>
        <v>tdbR00000523 Ile-CAU|63</v>
      </c>
      <c r="B5316" s="4" t="s">
        <v>110</v>
      </c>
      <c r="C5316" s="4" t="s">
        <v>486</v>
      </c>
      <c r="D5316" s="4" t="n">
        <v>62</v>
      </c>
      <c r="E5316" s="23" t="s">
        <v>259</v>
      </c>
      <c r="F5316" s="10" t="s">
        <v>471</v>
      </c>
    </row>
    <row r="5317" customFormat="false" ht="15" hidden="false" customHeight="false" outlineLevel="0" collapsed="false">
      <c r="A5317" s="4" t="str">
        <f aca="false">B5317&amp;"|"&amp;C5317</f>
        <v>tdbR00000523 Ile-CAU|64</v>
      </c>
      <c r="B5317" s="4" t="s">
        <v>110</v>
      </c>
      <c r="C5317" s="4" t="s">
        <v>487</v>
      </c>
      <c r="D5317" s="4" t="n">
        <v>63</v>
      </c>
      <c r="E5317" s="23" t="s">
        <v>414</v>
      </c>
      <c r="F5317" s="10" t="s">
        <v>471</v>
      </c>
    </row>
    <row r="5318" customFormat="false" ht="15" hidden="false" customHeight="false" outlineLevel="0" collapsed="false">
      <c r="A5318" s="4" t="str">
        <f aca="false">B5318&amp;"|"&amp;C5318</f>
        <v>tdbR00000523 Ile-CAU|65</v>
      </c>
      <c r="B5318" s="4" t="s">
        <v>110</v>
      </c>
      <c r="C5318" s="4" t="s">
        <v>488</v>
      </c>
      <c r="D5318" s="4" t="n">
        <v>64</v>
      </c>
      <c r="E5318" s="23" t="s">
        <v>259</v>
      </c>
      <c r="F5318" s="10" t="s">
        <v>471</v>
      </c>
    </row>
    <row r="5319" customFormat="false" ht="15" hidden="false" customHeight="false" outlineLevel="0" collapsed="false">
      <c r="A5319" s="4" t="str">
        <f aca="false">B5319&amp;"|"&amp;C5319</f>
        <v>tdbR00000523 Ile-CAU|66</v>
      </c>
      <c r="B5319" s="4" t="s">
        <v>110</v>
      </c>
      <c r="C5319" s="4" t="s">
        <v>489</v>
      </c>
      <c r="D5319" s="4" t="n">
        <v>65</v>
      </c>
      <c r="E5319" s="17" t="s">
        <v>414</v>
      </c>
      <c r="F5319" s="18" t="s">
        <v>412</v>
      </c>
    </row>
    <row r="5320" customFormat="false" ht="15" hidden="false" customHeight="false" outlineLevel="0" collapsed="false">
      <c r="A5320" s="4" t="str">
        <f aca="false">B5320&amp;"|"&amp;C5320</f>
        <v>tdbR00000523 Ile-CAU|67</v>
      </c>
      <c r="B5320" s="4" t="s">
        <v>110</v>
      </c>
      <c r="C5320" s="4" t="s">
        <v>490</v>
      </c>
      <c r="D5320" s="4" t="n">
        <v>66</v>
      </c>
      <c r="E5320" s="17" t="s">
        <v>259</v>
      </c>
      <c r="F5320" s="18" t="s">
        <v>412</v>
      </c>
    </row>
    <row r="5321" customFormat="false" ht="15" hidden="false" customHeight="false" outlineLevel="0" collapsed="false">
      <c r="A5321" s="4" t="str">
        <f aca="false">B5321&amp;"|"&amp;C5321</f>
        <v>tdbR00000523 Ile-CAU|68</v>
      </c>
      <c r="B5321" s="4" t="s">
        <v>110</v>
      </c>
      <c r="C5321" s="4" t="s">
        <v>491</v>
      </c>
      <c r="D5321" s="4" t="n">
        <v>67</v>
      </c>
      <c r="E5321" s="17" t="s">
        <v>414</v>
      </c>
      <c r="F5321" s="18" t="s">
        <v>412</v>
      </c>
    </row>
    <row r="5322" customFormat="false" ht="15" hidden="false" customHeight="false" outlineLevel="0" collapsed="false">
      <c r="A5322" s="4" t="str">
        <f aca="false">B5322&amp;"|"&amp;C5322</f>
        <v>tdbR00000523 Ile-CAU|69</v>
      </c>
      <c r="B5322" s="4" t="s">
        <v>110</v>
      </c>
      <c r="C5322" s="4" t="s">
        <v>492</v>
      </c>
      <c r="D5322" s="4" t="n">
        <v>68</v>
      </c>
      <c r="E5322" s="17" t="s">
        <v>259</v>
      </c>
      <c r="F5322" s="18" t="s">
        <v>412</v>
      </c>
    </row>
    <row r="5323" customFormat="false" ht="15" hidden="false" customHeight="false" outlineLevel="0" collapsed="false">
      <c r="A5323" s="4" t="str">
        <f aca="false">B5323&amp;"|"&amp;C5323</f>
        <v>tdbR00000523 Ile-CAU|70</v>
      </c>
      <c r="B5323" s="4" t="s">
        <v>110</v>
      </c>
      <c r="C5323" s="4" t="s">
        <v>493</v>
      </c>
      <c r="D5323" s="4" t="n">
        <v>69</v>
      </c>
      <c r="E5323" s="17" t="s">
        <v>197</v>
      </c>
      <c r="F5323" s="18" t="s">
        <v>412</v>
      </c>
    </row>
    <row r="5324" customFormat="false" ht="15" hidden="false" customHeight="false" outlineLevel="0" collapsed="false">
      <c r="A5324" s="4" t="str">
        <f aca="false">B5324&amp;"|"&amp;C5324</f>
        <v>tdbR00000523 Ile-CAU|71</v>
      </c>
      <c r="B5324" s="4" t="s">
        <v>110</v>
      </c>
      <c r="C5324" s="4" t="s">
        <v>494</v>
      </c>
      <c r="D5324" s="4" t="n">
        <v>70</v>
      </c>
      <c r="E5324" s="17" t="s">
        <v>414</v>
      </c>
      <c r="F5324" s="18" t="s">
        <v>412</v>
      </c>
    </row>
    <row r="5325" customFormat="false" ht="15" hidden="false" customHeight="false" outlineLevel="0" collapsed="false">
      <c r="A5325" s="4" t="str">
        <f aca="false">B5325&amp;"|"&amp;C5325</f>
        <v>tdbR00000523 Ile-CAU|72</v>
      </c>
      <c r="B5325" s="4" t="s">
        <v>110</v>
      </c>
      <c r="C5325" s="4" t="s">
        <v>495</v>
      </c>
      <c r="D5325" s="4" t="n">
        <v>71</v>
      </c>
      <c r="E5325" s="17" t="s">
        <v>259</v>
      </c>
      <c r="F5325" s="18" t="s">
        <v>412</v>
      </c>
    </row>
    <row r="5326" customFormat="false" ht="15" hidden="false" customHeight="false" outlineLevel="0" collapsed="false">
      <c r="A5326" s="4" t="str">
        <f aca="false">B5326&amp;"|"&amp;C5326</f>
        <v>tdbR00000503 Ile-CAU|1</v>
      </c>
      <c r="B5326" s="4" t="s">
        <v>111</v>
      </c>
      <c r="C5326" s="4" t="s">
        <v>411</v>
      </c>
      <c r="D5326" s="4" t="n">
        <v>1</v>
      </c>
      <c r="E5326" s="17" t="s">
        <v>246</v>
      </c>
      <c r="F5326" s="18" t="s">
        <v>412</v>
      </c>
    </row>
    <row r="5327" customFormat="false" ht="15" hidden="false" customHeight="false" outlineLevel="0" collapsed="false">
      <c r="A5327" s="4" t="str">
        <f aca="false">B5327&amp;"|"&amp;C5327</f>
        <v>tdbR00000503 Ile-CAU|2</v>
      </c>
      <c r="B5327" s="4" t="s">
        <v>111</v>
      </c>
      <c r="C5327" s="4" t="s">
        <v>413</v>
      </c>
      <c r="D5327" s="4" t="n">
        <v>2</v>
      </c>
      <c r="E5327" s="17" t="s">
        <v>197</v>
      </c>
      <c r="F5327" s="18" t="s">
        <v>412</v>
      </c>
    </row>
    <row r="5328" customFormat="false" ht="15" hidden="false" customHeight="false" outlineLevel="0" collapsed="false">
      <c r="A5328" s="4" t="str">
        <f aca="false">B5328&amp;"|"&amp;C5328</f>
        <v>tdbR00000503 Ile-CAU|3</v>
      </c>
      <c r="B5328" s="4" t="s">
        <v>111</v>
      </c>
      <c r="C5328" s="4" t="s">
        <v>415</v>
      </c>
      <c r="D5328" s="4" t="n">
        <v>3</v>
      </c>
      <c r="E5328" s="17" t="s">
        <v>414</v>
      </c>
      <c r="F5328" s="18" t="s">
        <v>412</v>
      </c>
    </row>
    <row r="5329" customFormat="false" ht="15" hidden="false" customHeight="false" outlineLevel="0" collapsed="false">
      <c r="A5329" s="4" t="str">
        <f aca="false">B5329&amp;"|"&amp;C5329</f>
        <v>tdbR00000503 Ile-CAU|4</v>
      </c>
      <c r="B5329" s="4" t="s">
        <v>111</v>
      </c>
      <c r="C5329" s="4" t="s">
        <v>416</v>
      </c>
      <c r="D5329" s="4" t="n">
        <v>4</v>
      </c>
      <c r="E5329" s="17" t="s">
        <v>197</v>
      </c>
      <c r="F5329" s="18" t="s">
        <v>412</v>
      </c>
    </row>
    <row r="5330" customFormat="false" ht="15" hidden="false" customHeight="false" outlineLevel="0" collapsed="false">
      <c r="A5330" s="4" t="str">
        <f aca="false">B5330&amp;"|"&amp;C5330</f>
        <v>tdbR00000503 Ile-CAU|5</v>
      </c>
      <c r="B5330" s="4" t="s">
        <v>111</v>
      </c>
      <c r="C5330" s="4" t="s">
        <v>417</v>
      </c>
      <c r="D5330" s="4" t="n">
        <v>5</v>
      </c>
      <c r="E5330" s="17" t="s">
        <v>197</v>
      </c>
      <c r="F5330" s="18" t="s">
        <v>412</v>
      </c>
    </row>
    <row r="5331" customFormat="false" ht="15" hidden="false" customHeight="false" outlineLevel="0" collapsed="false">
      <c r="A5331" s="4" t="str">
        <f aca="false">B5331&amp;"|"&amp;C5331</f>
        <v>tdbR00000503 Ile-CAU|6</v>
      </c>
      <c r="B5331" s="4" t="s">
        <v>111</v>
      </c>
      <c r="C5331" s="4" t="s">
        <v>418</v>
      </c>
      <c r="D5331" s="4" t="n">
        <v>6</v>
      </c>
      <c r="E5331" s="17" t="s">
        <v>197</v>
      </c>
      <c r="F5331" s="18" t="s">
        <v>412</v>
      </c>
    </row>
    <row r="5332" customFormat="false" ht="15" hidden="false" customHeight="false" outlineLevel="0" collapsed="false">
      <c r="A5332" s="4" t="str">
        <f aca="false">B5332&amp;"|"&amp;C5332</f>
        <v>tdbR00000503 Ile-CAU|7</v>
      </c>
      <c r="B5332" s="4" t="s">
        <v>111</v>
      </c>
      <c r="C5332" s="4" t="s">
        <v>419</v>
      </c>
      <c r="D5332" s="4" t="n">
        <v>7</v>
      </c>
      <c r="E5332" s="17" t="s">
        <v>197</v>
      </c>
      <c r="F5332" s="18" t="s">
        <v>412</v>
      </c>
    </row>
    <row r="5333" customFormat="false" ht="15" hidden="false" customHeight="false" outlineLevel="0" collapsed="false">
      <c r="A5333" s="4" t="str">
        <f aca="false">B5333&amp;"|"&amp;C5333</f>
        <v>tdbR00000503 Ile-CAU|8</v>
      </c>
      <c r="B5333" s="4" t="s">
        <v>111</v>
      </c>
      <c r="C5333" s="4" t="s">
        <v>420</v>
      </c>
      <c r="D5333" s="4" t="n">
        <v>8</v>
      </c>
      <c r="E5333" s="3" t="s">
        <v>259</v>
      </c>
      <c r="F5333" s="4" t="s">
        <v>421</v>
      </c>
    </row>
    <row r="5334" customFormat="false" ht="15" hidden="false" customHeight="false" outlineLevel="0" collapsed="false">
      <c r="A5334" s="4" t="str">
        <f aca="false">B5334&amp;"|"&amp;C5334</f>
        <v>tdbR00000503 Ile-CAU|9</v>
      </c>
      <c r="B5334" s="4" t="s">
        <v>111</v>
      </c>
      <c r="C5334" s="4" t="s">
        <v>422</v>
      </c>
      <c r="D5334" s="4" t="n">
        <v>9</v>
      </c>
      <c r="E5334" s="3" t="s">
        <v>197</v>
      </c>
      <c r="F5334" s="4" t="s">
        <v>423</v>
      </c>
    </row>
    <row r="5335" customFormat="false" ht="15" hidden="false" customHeight="false" outlineLevel="0" collapsed="false">
      <c r="A5335" s="4" t="str">
        <f aca="false">B5335&amp;"|"&amp;C5335</f>
        <v>tdbR00000503 Ile-CAU|10</v>
      </c>
      <c r="B5335" s="4" t="s">
        <v>111</v>
      </c>
      <c r="C5335" s="4" t="s">
        <v>424</v>
      </c>
      <c r="D5335" s="4" t="n">
        <v>10</v>
      </c>
      <c r="E5335" s="8" t="s">
        <v>197</v>
      </c>
      <c r="F5335" s="7" t="s">
        <v>425</v>
      </c>
    </row>
    <row r="5336" customFormat="false" ht="15" hidden="false" customHeight="false" outlineLevel="0" collapsed="false">
      <c r="A5336" s="4" t="str">
        <f aca="false">B5336&amp;"|"&amp;C5336</f>
        <v>tdbR00000503 Ile-CAU|11</v>
      </c>
      <c r="B5336" s="4" t="s">
        <v>111</v>
      </c>
      <c r="C5336" s="4" t="s">
        <v>426</v>
      </c>
      <c r="D5336" s="4" t="n">
        <v>11</v>
      </c>
      <c r="E5336" s="8" t="s">
        <v>197</v>
      </c>
      <c r="F5336" s="7" t="s">
        <v>425</v>
      </c>
    </row>
    <row r="5337" customFormat="false" ht="15" hidden="false" customHeight="false" outlineLevel="0" collapsed="false">
      <c r="A5337" s="4" t="str">
        <f aca="false">B5337&amp;"|"&amp;C5337</f>
        <v>tdbR00000503 Ile-CAU|12</v>
      </c>
      <c r="B5337" s="4" t="s">
        <v>111</v>
      </c>
      <c r="C5337" s="4" t="s">
        <v>427</v>
      </c>
      <c r="D5337" s="4" t="n">
        <v>12</v>
      </c>
      <c r="E5337" s="8" t="s">
        <v>197</v>
      </c>
      <c r="F5337" s="7" t="s">
        <v>425</v>
      </c>
    </row>
    <row r="5338" customFormat="false" ht="15" hidden="false" customHeight="false" outlineLevel="0" collapsed="false">
      <c r="A5338" s="4" t="str">
        <f aca="false">B5338&amp;"|"&amp;C5338</f>
        <v>tdbR00000503 Ile-CAU|13</v>
      </c>
      <c r="B5338" s="4" t="s">
        <v>111</v>
      </c>
      <c r="C5338" s="4" t="s">
        <v>428</v>
      </c>
      <c r="D5338" s="4" t="n">
        <v>13</v>
      </c>
      <c r="E5338" s="8" t="s">
        <v>259</v>
      </c>
      <c r="F5338" s="7" t="s">
        <v>425</v>
      </c>
    </row>
    <row r="5339" customFormat="false" ht="15" hidden="false" customHeight="false" outlineLevel="0" collapsed="false">
      <c r="A5339" s="4" t="str">
        <f aca="false">B5339&amp;"|"&amp;C5339</f>
        <v>tdbR00000503 Ile-CAU|14</v>
      </c>
      <c r="B5339" s="4" t="s">
        <v>111</v>
      </c>
      <c r="C5339" s="4" t="s">
        <v>429</v>
      </c>
      <c r="D5339" s="4" t="n">
        <v>14</v>
      </c>
      <c r="E5339" s="19" t="s">
        <v>246</v>
      </c>
      <c r="F5339" s="20" t="s">
        <v>430</v>
      </c>
    </row>
    <row r="5340" customFormat="false" ht="15" hidden="false" customHeight="false" outlineLevel="0" collapsed="false">
      <c r="A5340" s="4" t="str">
        <f aca="false">B5340&amp;"|"&amp;C5340</f>
        <v>tdbR00000503 Ile-CAU|15</v>
      </c>
      <c r="B5340" s="4" t="s">
        <v>111</v>
      </c>
      <c r="C5340" s="4" t="s">
        <v>431</v>
      </c>
      <c r="D5340" s="4" t="n">
        <v>15</v>
      </c>
      <c r="E5340" s="19" t="s">
        <v>197</v>
      </c>
      <c r="F5340" s="20" t="s">
        <v>430</v>
      </c>
    </row>
    <row r="5341" customFormat="false" ht="15" hidden="false" customHeight="false" outlineLevel="0" collapsed="false">
      <c r="A5341" s="4" t="str">
        <f aca="false">B5341&amp;"|"&amp;C5341</f>
        <v>tdbR00000503 Ile-CAU|16</v>
      </c>
      <c r="B5341" s="4" t="s">
        <v>111</v>
      </c>
      <c r="C5341" s="4" t="s">
        <v>432</v>
      </c>
      <c r="D5341" s="4" t="n">
        <v>16</v>
      </c>
      <c r="E5341" s="19" t="s">
        <v>259</v>
      </c>
      <c r="F5341" s="20" t="s">
        <v>430</v>
      </c>
    </row>
    <row r="5342" customFormat="false" ht="15" hidden="false" customHeight="false" outlineLevel="0" collapsed="false">
      <c r="A5342" s="4" t="str">
        <f aca="false">B5342&amp;"|"&amp;C5342</f>
        <v>tdbR00000503 Ile-CAU|17</v>
      </c>
      <c r="B5342" s="4" t="s">
        <v>111</v>
      </c>
      <c r="C5342" s="4" t="s">
        <v>433</v>
      </c>
      <c r="D5342" s="4" t="n">
        <v>17</v>
      </c>
      <c r="E5342" s="19" t="s">
        <v>414</v>
      </c>
      <c r="F5342" s="20" t="s">
        <v>430</v>
      </c>
    </row>
    <row r="5343" customFormat="false" ht="15" hidden="false" customHeight="false" outlineLevel="0" collapsed="false">
      <c r="A5343" s="4" t="str">
        <f aca="false">B5343&amp;"|"&amp;C5343</f>
        <v>tdbR00000503 Ile-CAU|17a</v>
      </c>
      <c r="B5343" s="4" t="s">
        <v>111</v>
      </c>
      <c r="C5343" s="4" t="s">
        <v>496</v>
      </c>
      <c r="D5343" s="4" t="n">
        <v>18</v>
      </c>
      <c r="E5343" s="19" t="s">
        <v>246</v>
      </c>
      <c r="F5343" s="20" t="s">
        <v>430</v>
      </c>
    </row>
    <row r="5344" customFormat="false" ht="15" hidden="false" customHeight="false" outlineLevel="0" collapsed="false">
      <c r="A5344" s="4" t="str">
        <f aca="false">B5344&amp;"|"&amp;C5344</f>
        <v>tdbR00000503 Ile-CAU|18</v>
      </c>
      <c r="B5344" s="4" t="s">
        <v>111</v>
      </c>
      <c r="C5344" s="4" t="s">
        <v>434</v>
      </c>
      <c r="D5344" s="4" t="n">
        <v>19</v>
      </c>
      <c r="E5344" s="19" t="s">
        <v>197</v>
      </c>
      <c r="F5344" s="20" t="s">
        <v>430</v>
      </c>
    </row>
    <row r="5345" customFormat="false" ht="15" hidden="false" customHeight="false" outlineLevel="0" collapsed="false">
      <c r="A5345" s="4" t="str">
        <f aca="false">B5345&amp;"|"&amp;C5345</f>
        <v>tdbR00000503 Ile-CAU|19</v>
      </c>
      <c r="B5345" s="4" t="s">
        <v>111</v>
      </c>
      <c r="C5345" s="4" t="s">
        <v>435</v>
      </c>
      <c r="D5345" s="4" t="n">
        <v>20</v>
      </c>
      <c r="E5345" s="19" t="s">
        <v>197</v>
      </c>
      <c r="F5345" s="20" t="s">
        <v>430</v>
      </c>
    </row>
    <row r="5346" customFormat="false" ht="15" hidden="false" customHeight="false" outlineLevel="0" collapsed="false">
      <c r="A5346" s="4" t="str">
        <f aca="false">B5346&amp;"|"&amp;C5346</f>
        <v>tdbR00000503 Ile-CAU|20</v>
      </c>
      <c r="B5346" s="4" t="s">
        <v>111</v>
      </c>
      <c r="C5346" s="4" t="s">
        <v>436</v>
      </c>
      <c r="D5346" s="4" t="n">
        <v>21</v>
      </c>
      <c r="E5346" s="19" t="s">
        <v>246</v>
      </c>
      <c r="F5346" s="20" t="s">
        <v>430</v>
      </c>
    </row>
    <row r="5347" customFormat="false" ht="15" hidden="false" customHeight="false" outlineLevel="0" collapsed="false">
      <c r="A5347" s="4" t="str">
        <f aca="false">B5347&amp;"|"&amp;C5347</f>
        <v>tdbR00000503 Ile-CAU|21</v>
      </c>
      <c r="B5347" s="4" t="s">
        <v>111</v>
      </c>
      <c r="C5347" s="4" t="s">
        <v>438</v>
      </c>
      <c r="D5347" s="4" t="n">
        <v>22</v>
      </c>
      <c r="E5347" s="19" t="s">
        <v>246</v>
      </c>
      <c r="F5347" s="20" t="s">
        <v>430</v>
      </c>
    </row>
    <row r="5348" customFormat="false" ht="15" hidden="false" customHeight="false" outlineLevel="0" collapsed="false">
      <c r="A5348" s="4" t="str">
        <f aca="false">B5348&amp;"|"&amp;C5348</f>
        <v>tdbR00000503 Ile-CAU|22</v>
      </c>
      <c r="B5348" s="4" t="s">
        <v>111</v>
      </c>
      <c r="C5348" s="4" t="s">
        <v>439</v>
      </c>
      <c r="D5348" s="4" t="n">
        <v>23</v>
      </c>
      <c r="E5348" s="8" t="s">
        <v>246</v>
      </c>
      <c r="F5348" s="7" t="s">
        <v>425</v>
      </c>
    </row>
    <row r="5349" customFormat="false" ht="15" hidden="false" customHeight="false" outlineLevel="0" collapsed="false">
      <c r="A5349" s="4" t="str">
        <f aca="false">B5349&amp;"|"&amp;C5349</f>
        <v>tdbR00000503 Ile-CAU|23</v>
      </c>
      <c r="B5349" s="4" t="s">
        <v>111</v>
      </c>
      <c r="C5349" s="4" t="s">
        <v>440</v>
      </c>
      <c r="D5349" s="4" t="n">
        <v>24</v>
      </c>
      <c r="E5349" s="8" t="s">
        <v>259</v>
      </c>
      <c r="F5349" s="7" t="s">
        <v>425</v>
      </c>
    </row>
    <row r="5350" customFormat="false" ht="15" hidden="false" customHeight="false" outlineLevel="0" collapsed="false">
      <c r="A5350" s="4" t="str">
        <f aca="false">B5350&amp;"|"&amp;C5350</f>
        <v>tdbR00000503 Ile-CAU|24</v>
      </c>
      <c r="B5350" s="4" t="s">
        <v>111</v>
      </c>
      <c r="C5350" s="4" t="s">
        <v>441</v>
      </c>
      <c r="D5350" s="4" t="n">
        <v>25</v>
      </c>
      <c r="E5350" s="8" t="s">
        <v>414</v>
      </c>
      <c r="F5350" s="7" t="s">
        <v>425</v>
      </c>
    </row>
    <row r="5351" customFormat="false" ht="15" hidden="false" customHeight="false" outlineLevel="0" collapsed="false">
      <c r="A5351" s="4" t="str">
        <f aca="false">B5351&amp;"|"&amp;C5351</f>
        <v>tdbR00000503 Ile-CAU|25</v>
      </c>
      <c r="B5351" s="4" t="s">
        <v>111</v>
      </c>
      <c r="C5351" s="4" t="s">
        <v>442</v>
      </c>
      <c r="D5351" s="4" t="n">
        <v>26</v>
      </c>
      <c r="E5351" s="8" t="s">
        <v>414</v>
      </c>
      <c r="F5351" s="7" t="s">
        <v>425</v>
      </c>
    </row>
    <row r="5352" customFormat="false" ht="15" hidden="false" customHeight="false" outlineLevel="0" collapsed="false">
      <c r="A5352" s="4" t="str">
        <f aca="false">B5352&amp;"|"&amp;C5352</f>
        <v>tdbR00000503 Ile-CAU|26</v>
      </c>
      <c r="B5352" s="4" t="s">
        <v>111</v>
      </c>
      <c r="C5352" s="4" t="s">
        <v>443</v>
      </c>
      <c r="D5352" s="4" t="n">
        <v>27</v>
      </c>
      <c r="E5352" s="3" t="s">
        <v>197</v>
      </c>
      <c r="F5352" s="4" t="s">
        <v>444</v>
      </c>
    </row>
    <row r="5353" customFormat="false" ht="15" hidden="false" customHeight="false" outlineLevel="0" collapsed="false">
      <c r="A5353" s="4" t="str">
        <f aca="false">B5353&amp;"|"&amp;C5353</f>
        <v>tdbR00000503 Ile-CAU|27</v>
      </c>
      <c r="B5353" s="4" t="s">
        <v>111</v>
      </c>
      <c r="C5353" s="4" t="s">
        <v>445</v>
      </c>
      <c r="D5353" s="4" t="n">
        <v>28</v>
      </c>
      <c r="E5353" s="21" t="s">
        <v>246</v>
      </c>
      <c r="F5353" s="22" t="s">
        <v>446</v>
      </c>
    </row>
    <row r="5354" customFormat="false" ht="15" hidden="false" customHeight="false" outlineLevel="0" collapsed="false">
      <c r="A5354" s="4" t="str">
        <f aca="false">B5354&amp;"|"&amp;C5354</f>
        <v>tdbR00000503 Ile-CAU|28</v>
      </c>
      <c r="B5354" s="4" t="s">
        <v>111</v>
      </c>
      <c r="C5354" s="4" t="s">
        <v>447</v>
      </c>
      <c r="D5354" s="4" t="n">
        <v>29</v>
      </c>
      <c r="E5354" s="21" t="s">
        <v>259</v>
      </c>
      <c r="F5354" s="22" t="s">
        <v>446</v>
      </c>
    </row>
    <row r="5355" customFormat="false" ht="15" hidden="false" customHeight="false" outlineLevel="0" collapsed="false">
      <c r="A5355" s="4" t="str">
        <f aca="false">B5355&amp;"|"&amp;C5355</f>
        <v>tdbR00000503 Ile-CAU|29</v>
      </c>
      <c r="B5355" s="4" t="s">
        <v>111</v>
      </c>
      <c r="C5355" s="4" t="s">
        <v>448</v>
      </c>
      <c r="D5355" s="4" t="n">
        <v>30</v>
      </c>
      <c r="E5355" s="21" t="s">
        <v>197</v>
      </c>
      <c r="F5355" s="22" t="s">
        <v>446</v>
      </c>
    </row>
    <row r="5356" customFormat="false" ht="15" hidden="false" customHeight="false" outlineLevel="0" collapsed="false">
      <c r="A5356" s="4" t="str">
        <f aca="false">B5356&amp;"|"&amp;C5356</f>
        <v>tdbR00000503 Ile-CAU|30</v>
      </c>
      <c r="B5356" s="4" t="s">
        <v>111</v>
      </c>
      <c r="C5356" s="4" t="s">
        <v>449</v>
      </c>
      <c r="D5356" s="4" t="n">
        <v>31</v>
      </c>
      <c r="E5356" s="21" t="s">
        <v>197</v>
      </c>
      <c r="F5356" s="22" t="s">
        <v>446</v>
      </c>
    </row>
    <row r="5357" customFormat="false" ht="15" hidden="false" customHeight="false" outlineLevel="0" collapsed="false">
      <c r="A5357" s="4" t="str">
        <f aca="false">B5357&amp;"|"&amp;C5357</f>
        <v>tdbR00000503 Ile-CAU|31</v>
      </c>
      <c r="B5357" s="4" t="s">
        <v>111</v>
      </c>
      <c r="C5357" s="4" t="s">
        <v>450</v>
      </c>
      <c r="D5357" s="4" t="n">
        <v>32</v>
      </c>
      <c r="E5357" s="21" t="s">
        <v>197</v>
      </c>
      <c r="F5357" s="22" t="s">
        <v>446</v>
      </c>
    </row>
    <row r="5358" customFormat="false" ht="15" hidden="false" customHeight="false" outlineLevel="0" collapsed="false">
      <c r="A5358" s="4" t="str">
        <f aca="false">B5358&amp;"|"&amp;C5358</f>
        <v>tdbR00000503 Ile-CAU|32</v>
      </c>
      <c r="B5358" s="4" t="s">
        <v>111</v>
      </c>
      <c r="C5358" s="4" t="s">
        <v>451</v>
      </c>
      <c r="D5358" s="4" t="n">
        <v>33</v>
      </c>
      <c r="E5358" s="19" t="s">
        <v>414</v>
      </c>
      <c r="F5358" s="20" t="s">
        <v>452</v>
      </c>
    </row>
    <row r="5359" customFormat="false" ht="15" hidden="false" customHeight="false" outlineLevel="0" collapsed="false">
      <c r="A5359" s="4" t="str">
        <f aca="false">B5359&amp;"|"&amp;C5359</f>
        <v>tdbR00000503 Ile-CAU|33</v>
      </c>
      <c r="B5359" s="4" t="s">
        <v>111</v>
      </c>
      <c r="C5359" s="4" t="s">
        <v>453</v>
      </c>
      <c r="D5359" s="4" t="n">
        <v>34</v>
      </c>
      <c r="E5359" s="19" t="s">
        <v>259</v>
      </c>
      <c r="F5359" s="20" t="s">
        <v>452</v>
      </c>
    </row>
    <row r="5360" customFormat="false" ht="15" hidden="false" customHeight="false" outlineLevel="0" collapsed="false">
      <c r="A5360" s="4" t="str">
        <f aca="false">B5360&amp;"|"&amp;C5360</f>
        <v>tdbR00000503 Ile-CAU|34</v>
      </c>
      <c r="B5360" s="4" t="s">
        <v>111</v>
      </c>
      <c r="C5360" s="4" t="s">
        <v>454</v>
      </c>
      <c r="D5360" s="4" t="n">
        <v>35</v>
      </c>
      <c r="E5360" s="19" t="s">
        <v>414</v>
      </c>
      <c r="F5360" s="20" t="s">
        <v>452</v>
      </c>
    </row>
    <row r="5361" customFormat="false" ht="15" hidden="false" customHeight="false" outlineLevel="0" collapsed="false">
      <c r="A5361" s="4" t="str">
        <f aca="false">B5361&amp;"|"&amp;C5361</f>
        <v>tdbR00000503 Ile-CAU|35</v>
      </c>
      <c r="B5361" s="4" t="s">
        <v>111</v>
      </c>
      <c r="C5361" s="4" t="s">
        <v>455</v>
      </c>
      <c r="D5361" s="4" t="n">
        <v>36</v>
      </c>
      <c r="E5361" s="19" t="s">
        <v>246</v>
      </c>
      <c r="F5361" s="20" t="s">
        <v>452</v>
      </c>
    </row>
    <row r="5362" customFormat="false" ht="15" hidden="false" customHeight="false" outlineLevel="0" collapsed="false">
      <c r="A5362" s="4" t="str">
        <f aca="false">B5362&amp;"|"&amp;C5362</f>
        <v>tdbR00000503 Ile-CAU|36</v>
      </c>
      <c r="B5362" s="4" t="s">
        <v>111</v>
      </c>
      <c r="C5362" s="4" t="s">
        <v>456</v>
      </c>
      <c r="D5362" s="4" t="n">
        <v>37</v>
      </c>
      <c r="E5362" s="19" t="s">
        <v>259</v>
      </c>
      <c r="F5362" s="20" t="s">
        <v>452</v>
      </c>
    </row>
    <row r="5363" customFormat="false" ht="15" hidden="false" customHeight="false" outlineLevel="0" collapsed="false">
      <c r="A5363" s="4" t="str">
        <f aca="false">B5363&amp;"|"&amp;C5363</f>
        <v>tdbR00000503 Ile-CAU|37</v>
      </c>
      <c r="B5363" s="4" t="s">
        <v>111</v>
      </c>
      <c r="C5363" s="4" t="s">
        <v>457</v>
      </c>
      <c r="D5363" s="4" t="n">
        <v>38</v>
      </c>
      <c r="E5363" s="19" t="s">
        <v>246</v>
      </c>
      <c r="F5363" s="20" t="s">
        <v>452</v>
      </c>
    </row>
    <row r="5364" customFormat="false" ht="15" hidden="false" customHeight="false" outlineLevel="0" collapsed="false">
      <c r="A5364" s="4" t="str">
        <f aca="false">B5364&amp;"|"&amp;C5364</f>
        <v>tdbR00000503 Ile-CAU|38</v>
      </c>
      <c r="B5364" s="4" t="s">
        <v>111</v>
      </c>
      <c r="C5364" s="4" t="s">
        <v>458</v>
      </c>
      <c r="D5364" s="4" t="n">
        <v>39</v>
      </c>
      <c r="E5364" s="19" t="s">
        <v>246</v>
      </c>
      <c r="F5364" s="20" t="s">
        <v>452</v>
      </c>
    </row>
    <row r="5365" customFormat="false" ht="15" hidden="false" customHeight="false" outlineLevel="0" collapsed="false">
      <c r="A5365" s="4" t="str">
        <f aca="false">B5365&amp;"|"&amp;C5365</f>
        <v>tdbR00000503 Ile-CAU|39</v>
      </c>
      <c r="B5365" s="4" t="s">
        <v>111</v>
      </c>
      <c r="C5365" s="4" t="s">
        <v>459</v>
      </c>
      <c r="D5365" s="4" t="n">
        <v>40</v>
      </c>
      <c r="E5365" s="21" t="s">
        <v>414</v>
      </c>
      <c r="F5365" s="22" t="s">
        <v>446</v>
      </c>
    </row>
    <row r="5366" customFormat="false" ht="15" hidden="false" customHeight="false" outlineLevel="0" collapsed="false">
      <c r="A5366" s="4" t="str">
        <f aca="false">B5366&amp;"|"&amp;C5366</f>
        <v>tdbR00000503 Ile-CAU|40</v>
      </c>
      <c r="B5366" s="4" t="s">
        <v>111</v>
      </c>
      <c r="C5366" s="4" t="s">
        <v>460</v>
      </c>
      <c r="D5366" s="4" t="n">
        <v>41</v>
      </c>
      <c r="E5366" s="21" t="s">
        <v>414</v>
      </c>
      <c r="F5366" s="22" t="s">
        <v>446</v>
      </c>
    </row>
    <row r="5367" customFormat="false" ht="15" hidden="false" customHeight="false" outlineLevel="0" collapsed="false">
      <c r="A5367" s="4" t="str">
        <f aca="false">B5367&amp;"|"&amp;C5367</f>
        <v>tdbR00000503 Ile-CAU|41</v>
      </c>
      <c r="B5367" s="4" t="s">
        <v>111</v>
      </c>
      <c r="C5367" s="4" t="s">
        <v>461</v>
      </c>
      <c r="D5367" s="4" t="n">
        <v>42</v>
      </c>
      <c r="E5367" s="21" t="s">
        <v>414</v>
      </c>
      <c r="F5367" s="22" t="s">
        <v>446</v>
      </c>
    </row>
    <row r="5368" customFormat="false" ht="15" hidden="false" customHeight="false" outlineLevel="0" collapsed="false">
      <c r="A5368" s="4" t="str">
        <f aca="false">B5368&amp;"|"&amp;C5368</f>
        <v>tdbR00000503 Ile-CAU|42</v>
      </c>
      <c r="B5368" s="4" t="s">
        <v>111</v>
      </c>
      <c r="C5368" s="4" t="s">
        <v>462</v>
      </c>
      <c r="D5368" s="4" t="n">
        <v>43</v>
      </c>
      <c r="E5368" s="21" t="s">
        <v>197</v>
      </c>
      <c r="F5368" s="22" t="s">
        <v>446</v>
      </c>
    </row>
    <row r="5369" customFormat="false" ht="15" hidden="false" customHeight="false" outlineLevel="0" collapsed="false">
      <c r="A5369" s="4" t="str">
        <f aca="false">B5369&amp;"|"&amp;C5369</f>
        <v>tdbR00000503 Ile-CAU|43</v>
      </c>
      <c r="B5369" s="4" t="s">
        <v>111</v>
      </c>
      <c r="C5369" s="4" t="s">
        <v>463</v>
      </c>
      <c r="D5369" s="4" t="n">
        <v>44</v>
      </c>
      <c r="E5369" s="21" t="s">
        <v>259</v>
      </c>
      <c r="F5369" s="22" t="s">
        <v>446</v>
      </c>
    </row>
    <row r="5370" customFormat="false" ht="15" hidden="false" customHeight="false" outlineLevel="0" collapsed="false">
      <c r="A5370" s="4" t="str">
        <f aca="false">B5370&amp;"|"&amp;C5370</f>
        <v>tdbR00000503 Ile-CAU|44</v>
      </c>
      <c r="B5370" s="4" t="s">
        <v>111</v>
      </c>
      <c r="C5370" s="4" t="s">
        <v>464</v>
      </c>
      <c r="D5370" s="4" t="n">
        <v>45</v>
      </c>
      <c r="E5370" s="19" t="s">
        <v>246</v>
      </c>
      <c r="F5370" s="20" t="s">
        <v>465</v>
      </c>
    </row>
    <row r="5371" customFormat="false" ht="15" hidden="false" customHeight="false" outlineLevel="0" collapsed="false">
      <c r="A5371" s="4" t="str">
        <f aca="false">B5371&amp;"|"&amp;C5371</f>
        <v>tdbR00000503 Ile-CAU|45</v>
      </c>
      <c r="B5371" s="4" t="s">
        <v>111</v>
      </c>
      <c r="C5371" s="4" t="s">
        <v>466</v>
      </c>
      <c r="D5371" s="4" t="n">
        <v>46</v>
      </c>
      <c r="E5371" s="19" t="s">
        <v>197</v>
      </c>
      <c r="F5371" s="20" t="s">
        <v>465</v>
      </c>
    </row>
    <row r="5372" customFormat="false" ht="15" hidden="false" customHeight="false" outlineLevel="0" collapsed="false">
      <c r="A5372" s="4" t="str">
        <f aca="false">B5372&amp;"|"&amp;C5372</f>
        <v>tdbR00000503 Ile-CAU|46</v>
      </c>
      <c r="B5372" s="4" t="s">
        <v>111</v>
      </c>
      <c r="C5372" s="4" t="s">
        <v>467</v>
      </c>
      <c r="D5372" s="4" t="n">
        <v>47</v>
      </c>
      <c r="E5372" s="19" t="s">
        <v>246</v>
      </c>
      <c r="F5372" s="20" t="s">
        <v>465</v>
      </c>
    </row>
    <row r="5373" customFormat="false" ht="15" hidden="false" customHeight="false" outlineLevel="0" collapsed="false">
      <c r="A5373" s="4" t="str">
        <f aca="false">B5373&amp;"|"&amp;C5373</f>
        <v>tdbR00000503 Ile-CAU|47</v>
      </c>
      <c r="B5373" s="4" t="s">
        <v>111</v>
      </c>
      <c r="C5373" s="4" t="s">
        <v>468</v>
      </c>
      <c r="D5373" s="4" t="n">
        <v>48</v>
      </c>
      <c r="E5373" s="19" t="s">
        <v>259</v>
      </c>
      <c r="F5373" s="20" t="s">
        <v>465</v>
      </c>
    </row>
    <row r="5374" customFormat="false" ht="15" hidden="false" customHeight="false" outlineLevel="0" collapsed="false">
      <c r="A5374" s="4" t="str">
        <f aca="false">B5374&amp;"|"&amp;C5374</f>
        <v>tdbR00000503 Ile-CAU|48</v>
      </c>
      <c r="B5374" s="4" t="s">
        <v>111</v>
      </c>
      <c r="C5374" s="4" t="s">
        <v>469</v>
      </c>
      <c r="D5374" s="4" t="n">
        <v>49</v>
      </c>
      <c r="E5374" s="19" t="s">
        <v>414</v>
      </c>
      <c r="F5374" s="20" t="s">
        <v>465</v>
      </c>
    </row>
    <row r="5375" customFormat="false" ht="15" hidden="false" customHeight="false" outlineLevel="0" collapsed="false">
      <c r="A5375" s="4" t="str">
        <f aca="false">B5375&amp;"|"&amp;C5375</f>
        <v>tdbR00000503 Ile-CAU|49</v>
      </c>
      <c r="B5375" s="4" t="s">
        <v>111</v>
      </c>
      <c r="C5375" s="4" t="s">
        <v>470</v>
      </c>
      <c r="D5375" s="4" t="n">
        <v>50</v>
      </c>
      <c r="E5375" s="23" t="s">
        <v>197</v>
      </c>
      <c r="F5375" s="10" t="s">
        <v>471</v>
      </c>
    </row>
    <row r="5376" customFormat="false" ht="15" hidden="false" customHeight="false" outlineLevel="0" collapsed="false">
      <c r="A5376" s="4" t="str">
        <f aca="false">B5376&amp;"|"&amp;C5376</f>
        <v>tdbR00000503 Ile-CAU|50</v>
      </c>
      <c r="B5376" s="4" t="s">
        <v>111</v>
      </c>
      <c r="C5376" s="4" t="s">
        <v>472</v>
      </c>
      <c r="D5376" s="4" t="n">
        <v>51</v>
      </c>
      <c r="E5376" s="23" t="s">
        <v>246</v>
      </c>
      <c r="F5376" s="10" t="s">
        <v>471</v>
      </c>
    </row>
    <row r="5377" customFormat="false" ht="15" hidden="false" customHeight="false" outlineLevel="0" collapsed="false">
      <c r="A5377" s="4" t="str">
        <f aca="false">B5377&amp;"|"&amp;C5377</f>
        <v>tdbR00000503 Ile-CAU|51</v>
      </c>
      <c r="B5377" s="4" t="s">
        <v>111</v>
      </c>
      <c r="C5377" s="4" t="s">
        <v>473</v>
      </c>
      <c r="D5377" s="4" t="n">
        <v>52</v>
      </c>
      <c r="E5377" s="23" t="s">
        <v>259</v>
      </c>
      <c r="F5377" s="10" t="s">
        <v>471</v>
      </c>
    </row>
    <row r="5378" customFormat="false" ht="15" hidden="false" customHeight="false" outlineLevel="0" collapsed="false">
      <c r="A5378" s="4" t="str">
        <f aca="false">B5378&amp;"|"&amp;C5378</f>
        <v>tdbR00000503 Ile-CAU|52</v>
      </c>
      <c r="B5378" s="4" t="s">
        <v>111</v>
      </c>
      <c r="C5378" s="4" t="s">
        <v>474</v>
      </c>
      <c r="D5378" s="4" t="n">
        <v>53</v>
      </c>
      <c r="E5378" s="23" t="s">
        <v>197</v>
      </c>
      <c r="F5378" s="10" t="s">
        <v>471</v>
      </c>
    </row>
    <row r="5379" customFormat="false" ht="15" hidden="false" customHeight="false" outlineLevel="0" collapsed="false">
      <c r="A5379" s="4" t="str">
        <f aca="false">B5379&amp;"|"&amp;C5379</f>
        <v>tdbR00000503 Ile-CAU|53</v>
      </c>
      <c r="B5379" s="4" t="s">
        <v>111</v>
      </c>
      <c r="C5379" s="4" t="s">
        <v>475</v>
      </c>
      <c r="D5379" s="4" t="n">
        <v>54</v>
      </c>
      <c r="E5379" s="23" t="s">
        <v>197</v>
      </c>
      <c r="F5379" s="10" t="s">
        <v>471</v>
      </c>
    </row>
    <row r="5380" customFormat="false" ht="15" hidden="false" customHeight="false" outlineLevel="0" collapsed="false">
      <c r="A5380" s="4" t="str">
        <f aca="false">B5380&amp;"|"&amp;C5380</f>
        <v>tdbR00000503 Ile-CAU|54</v>
      </c>
      <c r="B5380" s="4" t="s">
        <v>111</v>
      </c>
      <c r="C5380" s="4" t="s">
        <v>476</v>
      </c>
      <c r="D5380" s="4" t="n">
        <v>55</v>
      </c>
      <c r="E5380" s="19" t="s">
        <v>259</v>
      </c>
      <c r="F5380" s="20" t="s">
        <v>477</v>
      </c>
    </row>
    <row r="5381" customFormat="false" ht="15" hidden="false" customHeight="false" outlineLevel="0" collapsed="false">
      <c r="A5381" s="4" t="str">
        <f aca="false">B5381&amp;"|"&amp;C5381</f>
        <v>tdbR00000503 Ile-CAU|55</v>
      </c>
      <c r="B5381" s="4" t="s">
        <v>111</v>
      </c>
      <c r="C5381" s="4" t="s">
        <v>478</v>
      </c>
      <c r="D5381" s="4" t="n">
        <v>56</v>
      </c>
      <c r="E5381" s="19" t="s">
        <v>259</v>
      </c>
      <c r="F5381" s="20" t="s">
        <v>477</v>
      </c>
    </row>
    <row r="5382" customFormat="false" ht="15" hidden="false" customHeight="false" outlineLevel="0" collapsed="false">
      <c r="A5382" s="4" t="str">
        <f aca="false">B5382&amp;"|"&amp;C5382</f>
        <v>tdbR00000503 Ile-CAU|56</v>
      </c>
      <c r="B5382" s="4" t="s">
        <v>111</v>
      </c>
      <c r="C5382" s="4" t="s">
        <v>479</v>
      </c>
      <c r="D5382" s="4" t="n">
        <v>57</v>
      </c>
      <c r="E5382" s="19" t="s">
        <v>414</v>
      </c>
      <c r="F5382" s="20" t="s">
        <v>477</v>
      </c>
    </row>
    <row r="5383" customFormat="false" ht="15" hidden="false" customHeight="false" outlineLevel="0" collapsed="false">
      <c r="A5383" s="4" t="str">
        <f aca="false">B5383&amp;"|"&amp;C5383</f>
        <v>tdbR00000503 Ile-CAU|57</v>
      </c>
      <c r="B5383" s="4" t="s">
        <v>111</v>
      </c>
      <c r="C5383" s="4" t="s">
        <v>480</v>
      </c>
      <c r="D5383" s="4" t="n">
        <v>58</v>
      </c>
      <c r="E5383" s="19" t="s">
        <v>246</v>
      </c>
      <c r="F5383" s="20" t="s">
        <v>477</v>
      </c>
    </row>
    <row r="5384" customFormat="false" ht="15" hidden="false" customHeight="false" outlineLevel="0" collapsed="false">
      <c r="A5384" s="4" t="str">
        <f aca="false">B5384&amp;"|"&amp;C5384</f>
        <v>tdbR00000503 Ile-CAU|58</v>
      </c>
      <c r="B5384" s="4" t="s">
        <v>111</v>
      </c>
      <c r="C5384" s="4" t="s">
        <v>481</v>
      </c>
      <c r="D5384" s="4" t="n">
        <v>59</v>
      </c>
      <c r="E5384" s="19" t="s">
        <v>246</v>
      </c>
      <c r="F5384" s="20" t="s">
        <v>477</v>
      </c>
    </row>
    <row r="5385" customFormat="false" ht="15" hidden="false" customHeight="false" outlineLevel="0" collapsed="false">
      <c r="A5385" s="4" t="str">
        <f aca="false">B5385&amp;"|"&amp;C5385</f>
        <v>tdbR00000503 Ile-CAU|59</v>
      </c>
      <c r="B5385" s="4" t="s">
        <v>111</v>
      </c>
      <c r="C5385" s="4" t="s">
        <v>482</v>
      </c>
      <c r="D5385" s="4" t="n">
        <v>60</v>
      </c>
      <c r="E5385" s="19" t="s">
        <v>246</v>
      </c>
      <c r="F5385" s="20" t="s">
        <v>477</v>
      </c>
    </row>
    <row r="5386" customFormat="false" ht="15" hidden="false" customHeight="false" outlineLevel="0" collapsed="false">
      <c r="A5386" s="4" t="str">
        <f aca="false">B5386&amp;"|"&amp;C5386</f>
        <v>tdbR00000503 Ile-CAU|60</v>
      </c>
      <c r="B5386" s="4" t="s">
        <v>111</v>
      </c>
      <c r="C5386" s="4" t="s">
        <v>483</v>
      </c>
      <c r="D5386" s="4" t="n">
        <v>61</v>
      </c>
      <c r="E5386" s="19" t="s">
        <v>259</v>
      </c>
      <c r="F5386" s="20" t="s">
        <v>477</v>
      </c>
    </row>
    <row r="5387" customFormat="false" ht="15" hidden="false" customHeight="false" outlineLevel="0" collapsed="false">
      <c r="A5387" s="4" t="str">
        <f aca="false">B5387&amp;"|"&amp;C5387</f>
        <v>tdbR00000503 Ile-CAU|61</v>
      </c>
      <c r="B5387" s="4" t="s">
        <v>111</v>
      </c>
      <c r="C5387" s="4" t="s">
        <v>484</v>
      </c>
      <c r="D5387" s="4" t="n">
        <v>62</v>
      </c>
      <c r="E5387" s="23" t="s">
        <v>414</v>
      </c>
      <c r="F5387" s="10" t="s">
        <v>471</v>
      </c>
    </row>
    <row r="5388" customFormat="false" ht="15" hidden="false" customHeight="false" outlineLevel="0" collapsed="false">
      <c r="A5388" s="4" t="str">
        <f aca="false">B5388&amp;"|"&amp;C5388</f>
        <v>tdbR00000503 Ile-CAU|62</v>
      </c>
      <c r="B5388" s="4" t="s">
        <v>111</v>
      </c>
      <c r="C5388" s="4" t="s">
        <v>485</v>
      </c>
      <c r="D5388" s="4" t="n">
        <v>63</v>
      </c>
      <c r="E5388" s="23" t="s">
        <v>414</v>
      </c>
      <c r="F5388" s="10" t="s">
        <v>471</v>
      </c>
    </row>
    <row r="5389" customFormat="false" ht="15" hidden="false" customHeight="false" outlineLevel="0" collapsed="false">
      <c r="A5389" s="4" t="str">
        <f aca="false">B5389&amp;"|"&amp;C5389</f>
        <v>tdbR00000503 Ile-CAU|63</v>
      </c>
      <c r="B5389" s="4" t="s">
        <v>111</v>
      </c>
      <c r="C5389" s="4" t="s">
        <v>486</v>
      </c>
      <c r="D5389" s="4" t="n">
        <v>64</v>
      </c>
      <c r="E5389" s="23" t="s">
        <v>246</v>
      </c>
      <c r="F5389" s="10" t="s">
        <v>471</v>
      </c>
    </row>
    <row r="5390" customFormat="false" ht="15" hidden="false" customHeight="false" outlineLevel="0" collapsed="false">
      <c r="A5390" s="4" t="str">
        <f aca="false">B5390&amp;"|"&amp;C5390</f>
        <v>tdbR00000503 Ile-CAU|64</v>
      </c>
      <c r="B5390" s="4" t="s">
        <v>111</v>
      </c>
      <c r="C5390" s="4" t="s">
        <v>487</v>
      </c>
      <c r="D5390" s="4" t="n">
        <v>65</v>
      </c>
      <c r="E5390" s="23" t="s">
        <v>259</v>
      </c>
      <c r="F5390" s="10" t="s">
        <v>471</v>
      </c>
    </row>
    <row r="5391" customFormat="false" ht="15" hidden="false" customHeight="false" outlineLevel="0" collapsed="false">
      <c r="A5391" s="4" t="str">
        <f aca="false">B5391&amp;"|"&amp;C5391</f>
        <v>tdbR00000503 Ile-CAU|65</v>
      </c>
      <c r="B5391" s="4" t="s">
        <v>111</v>
      </c>
      <c r="C5391" s="4" t="s">
        <v>488</v>
      </c>
      <c r="D5391" s="4" t="n">
        <v>66</v>
      </c>
      <c r="E5391" s="23" t="s">
        <v>414</v>
      </c>
      <c r="F5391" s="10" t="s">
        <v>471</v>
      </c>
    </row>
    <row r="5392" customFormat="false" ht="15" hidden="false" customHeight="false" outlineLevel="0" collapsed="false">
      <c r="A5392" s="4" t="str">
        <f aca="false">B5392&amp;"|"&amp;C5392</f>
        <v>tdbR00000503 Ile-CAU|66</v>
      </c>
      <c r="B5392" s="4" t="s">
        <v>111</v>
      </c>
      <c r="C5392" s="4" t="s">
        <v>489</v>
      </c>
      <c r="D5392" s="4" t="n">
        <v>67</v>
      </c>
      <c r="E5392" s="17" t="s">
        <v>414</v>
      </c>
      <c r="F5392" s="18" t="s">
        <v>412</v>
      </c>
    </row>
    <row r="5393" customFormat="false" ht="15" hidden="false" customHeight="false" outlineLevel="0" collapsed="false">
      <c r="A5393" s="4" t="str">
        <f aca="false">B5393&amp;"|"&amp;C5393</f>
        <v>tdbR00000503 Ile-CAU|67</v>
      </c>
      <c r="B5393" s="4" t="s">
        <v>111</v>
      </c>
      <c r="C5393" s="4" t="s">
        <v>490</v>
      </c>
      <c r="D5393" s="4" t="n">
        <v>68</v>
      </c>
      <c r="E5393" s="17" t="s">
        <v>414</v>
      </c>
      <c r="F5393" s="18" t="s">
        <v>412</v>
      </c>
    </row>
    <row r="5394" customFormat="false" ht="15" hidden="false" customHeight="false" outlineLevel="0" collapsed="false">
      <c r="A5394" s="4" t="str">
        <f aca="false">B5394&amp;"|"&amp;C5394</f>
        <v>tdbR00000503 Ile-CAU|68</v>
      </c>
      <c r="B5394" s="4" t="s">
        <v>111</v>
      </c>
      <c r="C5394" s="4" t="s">
        <v>491</v>
      </c>
      <c r="D5394" s="4" t="n">
        <v>69</v>
      </c>
      <c r="E5394" s="17" t="s">
        <v>414</v>
      </c>
      <c r="F5394" s="18" t="s">
        <v>412</v>
      </c>
    </row>
    <row r="5395" customFormat="false" ht="15" hidden="false" customHeight="false" outlineLevel="0" collapsed="false">
      <c r="A5395" s="4" t="str">
        <f aca="false">B5395&amp;"|"&amp;C5395</f>
        <v>tdbR00000503 Ile-CAU|69</v>
      </c>
      <c r="B5395" s="4" t="s">
        <v>111</v>
      </c>
      <c r="C5395" s="4" t="s">
        <v>492</v>
      </c>
      <c r="D5395" s="4" t="n">
        <v>70</v>
      </c>
      <c r="E5395" s="17" t="s">
        <v>414</v>
      </c>
      <c r="F5395" s="18" t="s">
        <v>412</v>
      </c>
    </row>
    <row r="5396" customFormat="false" ht="15" hidden="false" customHeight="false" outlineLevel="0" collapsed="false">
      <c r="A5396" s="4" t="str">
        <f aca="false">B5396&amp;"|"&amp;C5396</f>
        <v>tdbR00000503 Ile-CAU|70</v>
      </c>
      <c r="B5396" s="4" t="s">
        <v>111</v>
      </c>
      <c r="C5396" s="4" t="s">
        <v>493</v>
      </c>
      <c r="D5396" s="4" t="n">
        <v>71</v>
      </c>
      <c r="E5396" s="17" t="s">
        <v>197</v>
      </c>
      <c r="F5396" s="18" t="s">
        <v>412</v>
      </c>
    </row>
    <row r="5397" customFormat="false" ht="15" hidden="false" customHeight="false" outlineLevel="0" collapsed="false">
      <c r="A5397" s="4" t="str">
        <f aca="false">B5397&amp;"|"&amp;C5397</f>
        <v>tdbR00000503 Ile-CAU|71</v>
      </c>
      <c r="B5397" s="4" t="s">
        <v>111</v>
      </c>
      <c r="C5397" s="4" t="s">
        <v>494</v>
      </c>
      <c r="D5397" s="4" t="n">
        <v>72</v>
      </c>
      <c r="E5397" s="17" t="s">
        <v>414</v>
      </c>
      <c r="F5397" s="18" t="s">
        <v>412</v>
      </c>
    </row>
    <row r="5398" customFormat="false" ht="15" hidden="false" customHeight="false" outlineLevel="0" collapsed="false">
      <c r="A5398" s="4" t="str">
        <f aca="false">B5398&amp;"|"&amp;C5398</f>
        <v>tdbR00000503 Ile-CAU|72</v>
      </c>
      <c r="B5398" s="4" t="s">
        <v>111</v>
      </c>
      <c r="C5398" s="4" t="s">
        <v>495</v>
      </c>
      <c r="D5398" s="4" t="n">
        <v>73</v>
      </c>
      <c r="E5398" s="17" t="s">
        <v>259</v>
      </c>
      <c r="F5398" s="18" t="s">
        <v>412</v>
      </c>
    </row>
    <row r="5399" customFormat="false" ht="15" hidden="false" customHeight="false" outlineLevel="0" collapsed="false">
      <c r="A5399" s="4" t="str">
        <f aca="false">B5399&amp;"|"&amp;C5399</f>
        <v>tdbR00000272 Met-CAU|1</v>
      </c>
      <c r="B5399" s="4" t="s">
        <v>112</v>
      </c>
      <c r="C5399" s="4" t="s">
        <v>411</v>
      </c>
      <c r="D5399" s="4" t="n">
        <v>1</v>
      </c>
      <c r="E5399" s="17" t="s">
        <v>197</v>
      </c>
      <c r="F5399" s="18" t="s">
        <v>412</v>
      </c>
    </row>
    <row r="5400" customFormat="false" ht="15" hidden="false" customHeight="false" outlineLevel="0" collapsed="false">
      <c r="A5400" s="4" t="str">
        <f aca="false">B5400&amp;"|"&amp;C5400</f>
        <v>tdbR00000272 Met-CAU|2</v>
      </c>
      <c r="B5400" s="4" t="s">
        <v>112</v>
      </c>
      <c r="C5400" s="4" t="s">
        <v>413</v>
      </c>
      <c r="D5400" s="4" t="n">
        <v>2</v>
      </c>
      <c r="E5400" s="17" t="s">
        <v>414</v>
      </c>
      <c r="F5400" s="18" t="s">
        <v>412</v>
      </c>
    </row>
    <row r="5401" customFormat="false" ht="15" hidden="false" customHeight="false" outlineLevel="0" collapsed="false">
      <c r="A5401" s="4" t="str">
        <f aca="false">B5401&amp;"|"&amp;C5401</f>
        <v>tdbR00000272 Met-CAU|3</v>
      </c>
      <c r="B5401" s="4" t="s">
        <v>112</v>
      </c>
      <c r="C5401" s="4" t="s">
        <v>415</v>
      </c>
      <c r="D5401" s="4" t="n">
        <v>3</v>
      </c>
      <c r="E5401" s="17" t="s">
        <v>414</v>
      </c>
      <c r="F5401" s="18" t="s">
        <v>412</v>
      </c>
    </row>
    <row r="5402" customFormat="false" ht="15" hidden="false" customHeight="false" outlineLevel="0" collapsed="false">
      <c r="A5402" s="4" t="str">
        <f aca="false">B5402&amp;"|"&amp;C5402</f>
        <v>tdbR00000272 Met-CAU|4</v>
      </c>
      <c r="B5402" s="4" t="s">
        <v>112</v>
      </c>
      <c r="C5402" s="4" t="s">
        <v>416</v>
      </c>
      <c r="D5402" s="4" t="n">
        <v>4</v>
      </c>
      <c r="E5402" s="17" t="s">
        <v>197</v>
      </c>
      <c r="F5402" s="18" t="s">
        <v>412</v>
      </c>
    </row>
    <row r="5403" customFormat="false" ht="15" hidden="false" customHeight="false" outlineLevel="0" collapsed="false">
      <c r="A5403" s="4" t="str">
        <f aca="false">B5403&amp;"|"&amp;C5403</f>
        <v>tdbR00000272 Met-CAU|5</v>
      </c>
      <c r="B5403" s="4" t="s">
        <v>112</v>
      </c>
      <c r="C5403" s="4" t="s">
        <v>417</v>
      </c>
      <c r="D5403" s="4" t="n">
        <v>5</v>
      </c>
      <c r="E5403" s="17" t="s">
        <v>197</v>
      </c>
      <c r="F5403" s="18" t="s">
        <v>412</v>
      </c>
    </row>
    <row r="5404" customFormat="false" ht="15" hidden="false" customHeight="false" outlineLevel="0" collapsed="false">
      <c r="A5404" s="4" t="str">
        <f aca="false">B5404&amp;"|"&amp;C5404</f>
        <v>tdbR00000272 Met-CAU|6</v>
      </c>
      <c r="B5404" s="4" t="s">
        <v>112</v>
      </c>
      <c r="C5404" s="4" t="s">
        <v>418</v>
      </c>
      <c r="D5404" s="4" t="n">
        <v>6</v>
      </c>
      <c r="E5404" s="17" t="s">
        <v>197</v>
      </c>
      <c r="F5404" s="18" t="s">
        <v>412</v>
      </c>
    </row>
    <row r="5405" customFormat="false" ht="15" hidden="false" customHeight="false" outlineLevel="0" collapsed="false">
      <c r="A5405" s="4" t="str">
        <f aca="false">B5405&amp;"|"&amp;C5405</f>
        <v>tdbR00000272 Met-CAU|7</v>
      </c>
      <c r="B5405" s="4" t="s">
        <v>112</v>
      </c>
      <c r="C5405" s="4" t="s">
        <v>419</v>
      </c>
      <c r="D5405" s="4" t="n">
        <v>7</v>
      </c>
      <c r="E5405" s="17" t="s">
        <v>197</v>
      </c>
      <c r="F5405" s="18" t="s">
        <v>412</v>
      </c>
    </row>
    <row r="5406" customFormat="false" ht="15" hidden="false" customHeight="false" outlineLevel="0" collapsed="false">
      <c r="A5406" s="4" t="str">
        <f aca="false">B5406&amp;"|"&amp;C5406</f>
        <v>tdbR00000272 Met-CAU|8</v>
      </c>
      <c r="B5406" s="4" t="s">
        <v>112</v>
      </c>
      <c r="C5406" s="4" t="s">
        <v>420</v>
      </c>
      <c r="D5406" s="4" t="n">
        <v>8</v>
      </c>
      <c r="E5406" s="3" t="s">
        <v>259</v>
      </c>
      <c r="F5406" s="4" t="s">
        <v>421</v>
      </c>
    </row>
    <row r="5407" customFormat="false" ht="15" hidden="false" customHeight="false" outlineLevel="0" collapsed="false">
      <c r="A5407" s="4" t="str">
        <f aca="false">B5407&amp;"|"&amp;C5407</f>
        <v>tdbR00000272 Met-CAU|9</v>
      </c>
      <c r="B5407" s="4" t="s">
        <v>112</v>
      </c>
      <c r="C5407" s="4" t="s">
        <v>422</v>
      </c>
      <c r="D5407" s="4" t="n">
        <v>9</v>
      </c>
      <c r="E5407" s="3" t="s">
        <v>197</v>
      </c>
      <c r="F5407" s="4" t="s">
        <v>423</v>
      </c>
    </row>
    <row r="5408" customFormat="false" ht="15" hidden="false" customHeight="false" outlineLevel="0" collapsed="false">
      <c r="A5408" s="4" t="str">
        <f aca="false">B5408&amp;"|"&amp;C5408</f>
        <v>tdbR00000272 Met-CAU|10</v>
      </c>
      <c r="B5408" s="4" t="s">
        <v>112</v>
      </c>
      <c r="C5408" s="4" t="s">
        <v>424</v>
      </c>
      <c r="D5408" s="4" t="n">
        <v>10</v>
      </c>
      <c r="E5408" s="8" t="s">
        <v>197</v>
      </c>
      <c r="F5408" s="7" t="s">
        <v>425</v>
      </c>
    </row>
    <row r="5409" customFormat="false" ht="15" hidden="false" customHeight="false" outlineLevel="0" collapsed="false">
      <c r="A5409" s="4" t="str">
        <f aca="false">B5409&amp;"|"&amp;C5409</f>
        <v>tdbR00000272 Met-CAU|11</v>
      </c>
      <c r="B5409" s="4" t="s">
        <v>112</v>
      </c>
      <c r="C5409" s="4" t="s">
        <v>426</v>
      </c>
      <c r="D5409" s="4" t="n">
        <v>11</v>
      </c>
      <c r="E5409" s="8" t="s">
        <v>414</v>
      </c>
      <c r="F5409" s="7" t="s">
        <v>425</v>
      </c>
    </row>
    <row r="5410" customFormat="false" ht="15" hidden="false" customHeight="false" outlineLevel="0" collapsed="false">
      <c r="A5410" s="4" t="str">
        <f aca="false">B5410&amp;"|"&amp;C5410</f>
        <v>tdbR00000272 Met-CAU|12</v>
      </c>
      <c r="B5410" s="4" t="s">
        <v>112</v>
      </c>
      <c r="C5410" s="4" t="s">
        <v>427</v>
      </c>
      <c r="D5410" s="4" t="n">
        <v>12</v>
      </c>
      <c r="E5410" s="8" t="s">
        <v>259</v>
      </c>
      <c r="F5410" s="7" t="s">
        <v>425</v>
      </c>
    </row>
    <row r="5411" customFormat="false" ht="15" hidden="false" customHeight="false" outlineLevel="0" collapsed="false">
      <c r="A5411" s="4" t="str">
        <f aca="false">B5411&amp;"|"&amp;C5411</f>
        <v>tdbR00000272 Met-CAU|13</v>
      </c>
      <c r="B5411" s="4" t="s">
        <v>112</v>
      </c>
      <c r="C5411" s="4" t="s">
        <v>428</v>
      </c>
      <c r="D5411" s="4" t="n">
        <v>13</v>
      </c>
      <c r="E5411" s="8" t="s">
        <v>414</v>
      </c>
      <c r="F5411" s="7" t="s">
        <v>425</v>
      </c>
    </row>
    <row r="5412" customFormat="false" ht="15" hidden="false" customHeight="false" outlineLevel="0" collapsed="false">
      <c r="A5412" s="4" t="str">
        <f aca="false">B5412&amp;"|"&amp;C5412</f>
        <v>tdbR00000272 Met-CAU|14</v>
      </c>
      <c r="B5412" s="4" t="s">
        <v>112</v>
      </c>
      <c r="C5412" s="4" t="s">
        <v>429</v>
      </c>
      <c r="D5412" s="4" t="n">
        <v>14</v>
      </c>
      <c r="E5412" s="19" t="s">
        <v>246</v>
      </c>
      <c r="F5412" s="20" t="s">
        <v>430</v>
      </c>
    </row>
    <row r="5413" customFormat="false" ht="15" hidden="false" customHeight="false" outlineLevel="0" collapsed="false">
      <c r="A5413" s="4" t="str">
        <f aca="false">B5413&amp;"|"&amp;C5413</f>
        <v>tdbR00000272 Met-CAU|15</v>
      </c>
      <c r="B5413" s="4" t="s">
        <v>112</v>
      </c>
      <c r="C5413" s="4" t="s">
        <v>431</v>
      </c>
      <c r="D5413" s="4" t="n">
        <v>15</v>
      </c>
      <c r="E5413" s="19" t="s">
        <v>197</v>
      </c>
      <c r="F5413" s="20" t="s">
        <v>430</v>
      </c>
    </row>
    <row r="5414" customFormat="false" ht="15" hidden="false" customHeight="false" outlineLevel="0" collapsed="false">
      <c r="A5414" s="4" t="str">
        <f aca="false">B5414&amp;"|"&amp;C5414</f>
        <v>tdbR00000272 Met-CAU|16</v>
      </c>
      <c r="B5414" s="4" t="s">
        <v>112</v>
      </c>
      <c r="C5414" s="4" t="s">
        <v>432</v>
      </c>
      <c r="D5414" s="4" t="n">
        <v>16</v>
      </c>
      <c r="E5414" s="19" t="s">
        <v>414</v>
      </c>
      <c r="F5414" s="20" t="s">
        <v>430</v>
      </c>
    </row>
    <row r="5415" customFormat="false" ht="15" hidden="false" customHeight="false" outlineLevel="0" collapsed="false">
      <c r="A5415" s="4" t="str">
        <f aca="false">B5415&amp;"|"&amp;C5415</f>
        <v>tdbR00000272 Met-CAU|17</v>
      </c>
      <c r="B5415" s="4" t="s">
        <v>112</v>
      </c>
      <c r="C5415" s="4" t="s">
        <v>433</v>
      </c>
      <c r="D5415" s="4" t="n">
        <v>17</v>
      </c>
      <c r="E5415" s="19" t="s">
        <v>259</v>
      </c>
      <c r="F5415" s="20" t="s">
        <v>430</v>
      </c>
    </row>
    <row r="5416" customFormat="false" ht="15" hidden="false" customHeight="false" outlineLevel="0" collapsed="false">
      <c r="A5416" s="4" t="str">
        <f aca="false">B5416&amp;"|"&amp;C5416</f>
        <v>tdbR00000272 Met-CAU|18</v>
      </c>
      <c r="B5416" s="4" t="s">
        <v>112</v>
      </c>
      <c r="C5416" s="4" t="s">
        <v>434</v>
      </c>
      <c r="D5416" s="4" t="n">
        <v>18</v>
      </c>
      <c r="E5416" s="19" t="s">
        <v>197</v>
      </c>
      <c r="F5416" s="20" t="s">
        <v>430</v>
      </c>
    </row>
    <row r="5417" customFormat="false" ht="15" hidden="false" customHeight="false" outlineLevel="0" collapsed="false">
      <c r="A5417" s="4" t="str">
        <f aca="false">B5417&amp;"|"&amp;C5417</f>
        <v>tdbR00000272 Met-CAU|19</v>
      </c>
      <c r="B5417" s="4" t="s">
        <v>112</v>
      </c>
      <c r="C5417" s="4" t="s">
        <v>435</v>
      </c>
      <c r="D5417" s="4" t="n">
        <v>19</v>
      </c>
      <c r="E5417" s="19" t="s">
        <v>197</v>
      </c>
      <c r="F5417" s="20" t="s">
        <v>430</v>
      </c>
    </row>
    <row r="5418" customFormat="false" ht="15" hidden="false" customHeight="false" outlineLevel="0" collapsed="false">
      <c r="A5418" s="4" t="str">
        <f aca="false">B5418&amp;"|"&amp;C5418</f>
        <v>tdbR00000272 Met-CAU|20</v>
      </c>
      <c r="B5418" s="4" t="s">
        <v>112</v>
      </c>
      <c r="C5418" s="4" t="s">
        <v>436</v>
      </c>
      <c r="D5418" s="4" t="n">
        <v>20</v>
      </c>
      <c r="E5418" s="19" t="s">
        <v>246</v>
      </c>
      <c r="F5418" s="20" t="s">
        <v>430</v>
      </c>
    </row>
    <row r="5419" customFormat="false" ht="15" hidden="false" customHeight="false" outlineLevel="0" collapsed="false">
      <c r="A5419" s="4" t="str">
        <f aca="false">B5419&amp;"|"&amp;C5419</f>
        <v>tdbR00000272 Met-CAU|21</v>
      </c>
      <c r="B5419" s="4" t="s">
        <v>112</v>
      </c>
      <c r="C5419" s="4" t="s">
        <v>438</v>
      </c>
      <c r="D5419" s="4" t="n">
        <v>21</v>
      </c>
      <c r="E5419" s="19" t="s">
        <v>197</v>
      </c>
      <c r="F5419" s="20" t="s">
        <v>430</v>
      </c>
    </row>
    <row r="5420" customFormat="false" ht="15" hidden="false" customHeight="false" outlineLevel="0" collapsed="false">
      <c r="A5420" s="4" t="str">
        <f aca="false">B5420&amp;"|"&amp;C5420</f>
        <v>tdbR00000272 Met-CAU|22</v>
      </c>
      <c r="B5420" s="4" t="s">
        <v>112</v>
      </c>
      <c r="C5420" s="4" t="s">
        <v>439</v>
      </c>
      <c r="D5420" s="4" t="n">
        <v>22</v>
      </c>
      <c r="E5420" s="8" t="s">
        <v>197</v>
      </c>
      <c r="F5420" s="7" t="s">
        <v>425</v>
      </c>
    </row>
    <row r="5421" customFormat="false" ht="15" hidden="false" customHeight="false" outlineLevel="0" collapsed="false">
      <c r="A5421" s="4" t="str">
        <f aca="false">B5421&amp;"|"&amp;C5421</f>
        <v>tdbR00000272 Met-CAU|23</v>
      </c>
      <c r="B5421" s="4" t="s">
        <v>112</v>
      </c>
      <c r="C5421" s="4" t="s">
        <v>440</v>
      </c>
      <c r="D5421" s="4" t="n">
        <v>23</v>
      </c>
      <c r="E5421" s="8" t="s">
        <v>246</v>
      </c>
      <c r="F5421" s="7" t="s">
        <v>425</v>
      </c>
    </row>
    <row r="5422" customFormat="false" ht="15" hidden="false" customHeight="false" outlineLevel="0" collapsed="false">
      <c r="A5422" s="4" t="str">
        <f aca="false">B5422&amp;"|"&amp;C5422</f>
        <v>tdbR00000272 Met-CAU|24</v>
      </c>
      <c r="B5422" s="4" t="s">
        <v>112</v>
      </c>
      <c r="C5422" s="4" t="s">
        <v>441</v>
      </c>
      <c r="D5422" s="4" t="n">
        <v>24</v>
      </c>
      <c r="E5422" s="8" t="s">
        <v>197</v>
      </c>
      <c r="F5422" s="7" t="s">
        <v>425</v>
      </c>
    </row>
    <row r="5423" customFormat="false" ht="15" hidden="false" customHeight="false" outlineLevel="0" collapsed="false">
      <c r="A5423" s="4" t="str">
        <f aca="false">B5423&amp;"|"&amp;C5423</f>
        <v>tdbR00000272 Met-CAU|25</v>
      </c>
      <c r="B5423" s="4" t="s">
        <v>112</v>
      </c>
      <c r="C5423" s="4" t="s">
        <v>442</v>
      </c>
      <c r="D5423" s="4" t="n">
        <v>25</v>
      </c>
      <c r="E5423" s="8" t="s">
        <v>414</v>
      </c>
      <c r="F5423" s="7" t="s">
        <v>425</v>
      </c>
    </row>
    <row r="5424" customFormat="false" ht="15" hidden="false" customHeight="false" outlineLevel="0" collapsed="false">
      <c r="A5424" s="4" t="str">
        <f aca="false">B5424&amp;"|"&amp;C5424</f>
        <v>tdbR00000272 Met-CAU|26</v>
      </c>
      <c r="B5424" s="4" t="s">
        <v>112</v>
      </c>
      <c r="C5424" s="4" t="s">
        <v>443</v>
      </c>
      <c r="D5424" s="4" t="n">
        <v>26</v>
      </c>
      <c r="E5424" s="3" t="s">
        <v>197</v>
      </c>
      <c r="F5424" s="4" t="s">
        <v>444</v>
      </c>
    </row>
    <row r="5425" customFormat="false" ht="15" hidden="false" customHeight="false" outlineLevel="0" collapsed="false">
      <c r="A5425" s="4" t="str">
        <f aca="false">B5425&amp;"|"&amp;C5425</f>
        <v>tdbR00000272 Met-CAU|27</v>
      </c>
      <c r="B5425" s="4" t="s">
        <v>112</v>
      </c>
      <c r="C5425" s="4" t="s">
        <v>445</v>
      </c>
      <c r="D5425" s="4" t="n">
        <v>27</v>
      </c>
      <c r="E5425" s="21" t="s">
        <v>414</v>
      </c>
      <c r="F5425" s="22" t="s">
        <v>446</v>
      </c>
    </row>
    <row r="5426" customFormat="false" ht="15" hidden="false" customHeight="false" outlineLevel="0" collapsed="false">
      <c r="A5426" s="4" t="str">
        <f aca="false">B5426&amp;"|"&amp;C5426</f>
        <v>tdbR00000272 Met-CAU|28</v>
      </c>
      <c r="B5426" s="4" t="s">
        <v>112</v>
      </c>
      <c r="C5426" s="4" t="s">
        <v>447</v>
      </c>
      <c r="D5426" s="4" t="n">
        <v>28</v>
      </c>
      <c r="E5426" s="21" t="s">
        <v>414</v>
      </c>
      <c r="F5426" s="22" t="s">
        <v>446</v>
      </c>
    </row>
    <row r="5427" customFormat="false" ht="15" hidden="false" customHeight="false" outlineLevel="0" collapsed="false">
      <c r="A5427" s="4" t="str">
        <f aca="false">B5427&amp;"|"&amp;C5427</f>
        <v>tdbR00000272 Met-CAU|29</v>
      </c>
      <c r="B5427" s="4" t="s">
        <v>112</v>
      </c>
      <c r="C5427" s="4" t="s">
        <v>448</v>
      </c>
      <c r="D5427" s="4" t="n">
        <v>29</v>
      </c>
      <c r="E5427" s="21" t="s">
        <v>197</v>
      </c>
      <c r="F5427" s="22" t="s">
        <v>446</v>
      </c>
    </row>
    <row r="5428" customFormat="false" ht="15" hidden="false" customHeight="false" outlineLevel="0" collapsed="false">
      <c r="A5428" s="4" t="str">
        <f aca="false">B5428&amp;"|"&amp;C5428</f>
        <v>tdbR00000272 Met-CAU|30</v>
      </c>
      <c r="B5428" s="4" t="s">
        <v>112</v>
      </c>
      <c r="C5428" s="4" t="s">
        <v>449</v>
      </c>
      <c r="D5428" s="4" t="n">
        <v>30</v>
      </c>
      <c r="E5428" s="21" t="s">
        <v>197</v>
      </c>
      <c r="F5428" s="22" t="s">
        <v>446</v>
      </c>
    </row>
    <row r="5429" customFormat="false" ht="15" hidden="false" customHeight="false" outlineLevel="0" collapsed="false">
      <c r="A5429" s="4" t="str">
        <f aca="false">B5429&amp;"|"&amp;C5429</f>
        <v>tdbR00000272 Met-CAU|31</v>
      </c>
      <c r="B5429" s="4" t="s">
        <v>112</v>
      </c>
      <c r="C5429" s="4" t="s">
        <v>450</v>
      </c>
      <c r="D5429" s="4" t="n">
        <v>31</v>
      </c>
      <c r="E5429" s="21" t="s">
        <v>246</v>
      </c>
      <c r="F5429" s="22" t="s">
        <v>446</v>
      </c>
    </row>
    <row r="5430" customFormat="false" ht="15" hidden="false" customHeight="false" outlineLevel="0" collapsed="false">
      <c r="A5430" s="4" t="str">
        <f aca="false">B5430&amp;"|"&amp;C5430</f>
        <v>tdbR00000272 Met-CAU|32</v>
      </c>
      <c r="B5430" s="4" t="s">
        <v>112</v>
      </c>
      <c r="C5430" s="4" t="s">
        <v>451</v>
      </c>
      <c r="D5430" s="4" t="n">
        <v>32</v>
      </c>
      <c r="E5430" s="19" t="s">
        <v>414</v>
      </c>
      <c r="F5430" s="20" t="s">
        <v>452</v>
      </c>
    </row>
    <row r="5431" customFormat="false" ht="15" hidden="false" customHeight="false" outlineLevel="0" collapsed="false">
      <c r="A5431" s="4" t="str">
        <f aca="false">B5431&amp;"|"&amp;C5431</f>
        <v>tdbR00000272 Met-CAU|33</v>
      </c>
      <c r="B5431" s="4" t="s">
        <v>112</v>
      </c>
      <c r="C5431" s="4" t="s">
        <v>453</v>
      </c>
      <c r="D5431" s="4" t="n">
        <v>33</v>
      </c>
      <c r="E5431" s="19" t="s">
        <v>259</v>
      </c>
      <c r="F5431" s="20" t="s">
        <v>452</v>
      </c>
    </row>
    <row r="5432" customFormat="false" ht="15" hidden="false" customHeight="false" outlineLevel="0" collapsed="false">
      <c r="A5432" s="4" t="str">
        <f aca="false">B5432&amp;"|"&amp;C5432</f>
        <v>tdbR00000272 Met-CAU|34</v>
      </c>
      <c r="B5432" s="4" t="s">
        <v>112</v>
      </c>
      <c r="C5432" s="4" t="s">
        <v>454</v>
      </c>
      <c r="D5432" s="4" t="n">
        <v>34</v>
      </c>
      <c r="E5432" s="19" t="s">
        <v>414</v>
      </c>
      <c r="F5432" s="20" t="s">
        <v>452</v>
      </c>
    </row>
    <row r="5433" customFormat="false" ht="15" hidden="false" customHeight="false" outlineLevel="0" collapsed="false">
      <c r="A5433" s="4" t="str">
        <f aca="false">B5433&amp;"|"&amp;C5433</f>
        <v>tdbR00000272 Met-CAU|35</v>
      </c>
      <c r="B5433" s="4" t="s">
        <v>112</v>
      </c>
      <c r="C5433" s="4" t="s">
        <v>455</v>
      </c>
      <c r="D5433" s="4" t="n">
        <v>35</v>
      </c>
      <c r="E5433" s="19" t="s">
        <v>246</v>
      </c>
      <c r="F5433" s="20" t="s">
        <v>452</v>
      </c>
    </row>
    <row r="5434" customFormat="false" ht="15" hidden="false" customHeight="false" outlineLevel="0" collapsed="false">
      <c r="A5434" s="4" t="str">
        <f aca="false">B5434&amp;"|"&amp;C5434</f>
        <v>tdbR00000272 Met-CAU|36</v>
      </c>
      <c r="B5434" s="4" t="s">
        <v>112</v>
      </c>
      <c r="C5434" s="4" t="s">
        <v>456</v>
      </c>
      <c r="D5434" s="4" t="n">
        <v>36</v>
      </c>
      <c r="E5434" s="19" t="s">
        <v>259</v>
      </c>
      <c r="F5434" s="20" t="s">
        <v>452</v>
      </c>
    </row>
    <row r="5435" customFormat="false" ht="15" hidden="false" customHeight="false" outlineLevel="0" collapsed="false">
      <c r="A5435" s="4" t="str">
        <f aca="false">B5435&amp;"|"&amp;C5435</f>
        <v>tdbR00000272 Met-CAU|37</v>
      </c>
      <c r="B5435" s="4" t="s">
        <v>112</v>
      </c>
      <c r="C5435" s="4" t="s">
        <v>457</v>
      </c>
      <c r="D5435" s="4" t="n">
        <v>37</v>
      </c>
      <c r="E5435" s="19" t="s">
        <v>246</v>
      </c>
      <c r="F5435" s="20" t="s">
        <v>452</v>
      </c>
    </row>
    <row r="5436" customFormat="false" ht="15" hidden="false" customHeight="false" outlineLevel="0" collapsed="false">
      <c r="A5436" s="4" t="str">
        <f aca="false">B5436&amp;"|"&amp;C5436</f>
        <v>tdbR00000272 Met-CAU|38</v>
      </c>
      <c r="B5436" s="4" t="s">
        <v>112</v>
      </c>
      <c r="C5436" s="4" t="s">
        <v>458</v>
      </c>
      <c r="D5436" s="4" t="n">
        <v>38</v>
      </c>
      <c r="E5436" s="19" t="s">
        <v>246</v>
      </c>
      <c r="F5436" s="20" t="s">
        <v>452</v>
      </c>
    </row>
    <row r="5437" customFormat="false" ht="15" hidden="false" customHeight="false" outlineLevel="0" collapsed="false">
      <c r="A5437" s="4" t="str">
        <f aca="false">B5437&amp;"|"&amp;C5437</f>
        <v>tdbR00000272 Met-CAU|39</v>
      </c>
      <c r="B5437" s="4" t="s">
        <v>112</v>
      </c>
      <c r="C5437" s="4" t="s">
        <v>459</v>
      </c>
      <c r="D5437" s="4" t="n">
        <v>39</v>
      </c>
      <c r="E5437" s="21" t="s">
        <v>259</v>
      </c>
      <c r="F5437" s="22" t="s">
        <v>446</v>
      </c>
    </row>
    <row r="5438" customFormat="false" ht="15" hidden="false" customHeight="false" outlineLevel="0" collapsed="false">
      <c r="A5438" s="4" t="str">
        <f aca="false">B5438&amp;"|"&amp;C5438</f>
        <v>tdbR00000272 Met-CAU|40</v>
      </c>
      <c r="B5438" s="4" t="s">
        <v>112</v>
      </c>
      <c r="C5438" s="4" t="s">
        <v>460</v>
      </c>
      <c r="D5438" s="4" t="n">
        <v>40</v>
      </c>
      <c r="E5438" s="21" t="s">
        <v>414</v>
      </c>
      <c r="F5438" s="22" t="s">
        <v>446</v>
      </c>
    </row>
    <row r="5439" customFormat="false" ht="15" hidden="false" customHeight="false" outlineLevel="0" collapsed="false">
      <c r="A5439" s="4" t="str">
        <f aca="false">B5439&amp;"|"&amp;C5439</f>
        <v>tdbR00000272 Met-CAU|41</v>
      </c>
      <c r="B5439" s="4" t="s">
        <v>112</v>
      </c>
      <c r="C5439" s="4" t="s">
        <v>461</v>
      </c>
      <c r="D5439" s="4" t="n">
        <v>41</v>
      </c>
      <c r="E5439" s="21" t="s">
        <v>414</v>
      </c>
      <c r="F5439" s="22" t="s">
        <v>446</v>
      </c>
    </row>
    <row r="5440" customFormat="false" ht="15" hidden="false" customHeight="false" outlineLevel="0" collapsed="false">
      <c r="A5440" s="4" t="str">
        <f aca="false">B5440&amp;"|"&amp;C5440</f>
        <v>tdbR00000272 Met-CAU|42</v>
      </c>
      <c r="B5440" s="4" t="s">
        <v>112</v>
      </c>
      <c r="C5440" s="4" t="s">
        <v>462</v>
      </c>
      <c r="D5440" s="4" t="n">
        <v>42</v>
      </c>
      <c r="E5440" s="21" t="s">
        <v>197</v>
      </c>
      <c r="F5440" s="22" t="s">
        <v>446</v>
      </c>
    </row>
    <row r="5441" customFormat="false" ht="15" hidden="false" customHeight="false" outlineLevel="0" collapsed="false">
      <c r="A5441" s="4" t="str">
        <f aca="false">B5441&amp;"|"&amp;C5441</f>
        <v>tdbR00000272 Met-CAU|43</v>
      </c>
      <c r="B5441" s="4" t="s">
        <v>112</v>
      </c>
      <c r="C5441" s="4" t="s">
        <v>463</v>
      </c>
      <c r="D5441" s="4" t="n">
        <v>43</v>
      </c>
      <c r="E5441" s="21" t="s">
        <v>197</v>
      </c>
      <c r="F5441" s="22" t="s">
        <v>446</v>
      </c>
    </row>
    <row r="5442" customFormat="false" ht="15" hidden="false" customHeight="false" outlineLevel="0" collapsed="false">
      <c r="A5442" s="4" t="str">
        <f aca="false">B5442&amp;"|"&amp;C5442</f>
        <v>tdbR00000272 Met-CAU|44</v>
      </c>
      <c r="B5442" s="4" t="s">
        <v>112</v>
      </c>
      <c r="C5442" s="4" t="s">
        <v>464</v>
      </c>
      <c r="D5442" s="4" t="n">
        <v>44</v>
      </c>
      <c r="E5442" s="19" t="s">
        <v>246</v>
      </c>
      <c r="F5442" s="20" t="s">
        <v>465</v>
      </c>
    </row>
    <row r="5443" customFormat="false" ht="15" hidden="false" customHeight="false" outlineLevel="0" collapsed="false">
      <c r="A5443" s="4" t="str">
        <f aca="false">B5443&amp;"|"&amp;C5443</f>
        <v>tdbR00000272 Met-CAU|45</v>
      </c>
      <c r="B5443" s="4" t="s">
        <v>112</v>
      </c>
      <c r="C5443" s="4" t="s">
        <v>466</v>
      </c>
      <c r="D5443" s="4" t="n">
        <v>45</v>
      </c>
      <c r="E5443" s="19" t="s">
        <v>197</v>
      </c>
      <c r="F5443" s="20" t="s">
        <v>465</v>
      </c>
    </row>
    <row r="5444" customFormat="false" ht="15" hidden="false" customHeight="false" outlineLevel="0" collapsed="false">
      <c r="A5444" s="4" t="str">
        <f aca="false">B5444&amp;"|"&amp;C5444</f>
        <v>tdbR00000272 Met-CAU|46</v>
      </c>
      <c r="B5444" s="4" t="s">
        <v>112</v>
      </c>
      <c r="C5444" s="4" t="s">
        <v>467</v>
      </c>
      <c r="D5444" s="4" t="n">
        <v>46</v>
      </c>
      <c r="E5444" s="19" t="s">
        <v>197</v>
      </c>
      <c r="F5444" s="20" t="s">
        <v>465</v>
      </c>
    </row>
    <row r="5445" customFormat="false" ht="15" hidden="false" customHeight="false" outlineLevel="0" collapsed="false">
      <c r="A5445" s="4" t="str">
        <f aca="false">B5445&amp;"|"&amp;C5445</f>
        <v>tdbR00000272 Met-CAU|47</v>
      </c>
      <c r="B5445" s="4" t="s">
        <v>112</v>
      </c>
      <c r="C5445" s="4" t="s">
        <v>468</v>
      </c>
      <c r="D5445" s="4" t="n">
        <v>47</v>
      </c>
      <c r="E5445" s="19" t="s">
        <v>259</v>
      </c>
      <c r="F5445" s="20" t="s">
        <v>465</v>
      </c>
    </row>
    <row r="5446" customFormat="false" ht="15" hidden="false" customHeight="false" outlineLevel="0" collapsed="false">
      <c r="A5446" s="4" t="str">
        <f aca="false">B5446&amp;"|"&amp;C5446</f>
        <v>tdbR00000272 Met-CAU|48</v>
      </c>
      <c r="B5446" s="4" t="s">
        <v>112</v>
      </c>
      <c r="C5446" s="4" t="s">
        <v>469</v>
      </c>
      <c r="D5446" s="4" t="n">
        <v>48</v>
      </c>
      <c r="E5446" s="19" t="s">
        <v>414</v>
      </c>
      <c r="F5446" s="20" t="s">
        <v>465</v>
      </c>
    </row>
    <row r="5447" customFormat="false" ht="15" hidden="false" customHeight="false" outlineLevel="0" collapsed="false">
      <c r="A5447" s="4" t="str">
        <f aca="false">B5447&amp;"|"&amp;C5447</f>
        <v>tdbR00000272 Met-CAU|49</v>
      </c>
      <c r="B5447" s="4" t="s">
        <v>112</v>
      </c>
      <c r="C5447" s="4" t="s">
        <v>470</v>
      </c>
      <c r="D5447" s="4" t="n">
        <v>49</v>
      </c>
      <c r="E5447" s="23" t="s">
        <v>259</v>
      </c>
      <c r="F5447" s="10" t="s">
        <v>471</v>
      </c>
    </row>
    <row r="5448" customFormat="false" ht="15" hidden="false" customHeight="false" outlineLevel="0" collapsed="false">
      <c r="A5448" s="4" t="str">
        <f aca="false">B5448&amp;"|"&amp;C5448</f>
        <v>tdbR00000272 Met-CAU|50</v>
      </c>
      <c r="B5448" s="4" t="s">
        <v>112</v>
      </c>
      <c r="C5448" s="4" t="s">
        <v>472</v>
      </c>
      <c r="D5448" s="4" t="n">
        <v>50</v>
      </c>
      <c r="E5448" s="23" t="s">
        <v>414</v>
      </c>
      <c r="F5448" s="10" t="s">
        <v>471</v>
      </c>
    </row>
    <row r="5449" customFormat="false" ht="15" hidden="false" customHeight="false" outlineLevel="0" collapsed="false">
      <c r="A5449" s="4" t="str">
        <f aca="false">B5449&amp;"|"&amp;C5449</f>
        <v>tdbR00000272 Met-CAU|51</v>
      </c>
      <c r="B5449" s="4" t="s">
        <v>112</v>
      </c>
      <c r="C5449" s="4" t="s">
        <v>473</v>
      </c>
      <c r="D5449" s="4" t="n">
        <v>51</v>
      </c>
      <c r="E5449" s="23" t="s">
        <v>197</v>
      </c>
      <c r="F5449" s="10" t="s">
        <v>471</v>
      </c>
    </row>
    <row r="5450" customFormat="false" ht="15" hidden="false" customHeight="false" outlineLevel="0" collapsed="false">
      <c r="A5450" s="4" t="str">
        <f aca="false">B5450&amp;"|"&amp;C5450</f>
        <v>tdbR00000272 Met-CAU|52</v>
      </c>
      <c r="B5450" s="4" t="s">
        <v>112</v>
      </c>
      <c r="C5450" s="4" t="s">
        <v>474</v>
      </c>
      <c r="D5450" s="4" t="n">
        <v>52</v>
      </c>
      <c r="E5450" s="23" t="s">
        <v>197</v>
      </c>
      <c r="F5450" s="10" t="s">
        <v>471</v>
      </c>
    </row>
    <row r="5451" customFormat="false" ht="15" hidden="false" customHeight="false" outlineLevel="0" collapsed="false">
      <c r="A5451" s="4" t="str">
        <f aca="false">B5451&amp;"|"&amp;C5451</f>
        <v>tdbR00000272 Met-CAU|53</v>
      </c>
      <c r="B5451" s="4" t="s">
        <v>112</v>
      </c>
      <c r="C5451" s="4" t="s">
        <v>475</v>
      </c>
      <c r="D5451" s="4" t="n">
        <v>53</v>
      </c>
      <c r="E5451" s="23" t="s">
        <v>197</v>
      </c>
      <c r="F5451" s="10" t="s">
        <v>471</v>
      </c>
    </row>
    <row r="5452" customFormat="false" ht="15" hidden="false" customHeight="false" outlineLevel="0" collapsed="false">
      <c r="A5452" s="4" t="str">
        <f aca="false">B5452&amp;"|"&amp;C5452</f>
        <v>tdbR00000272 Met-CAU|54</v>
      </c>
      <c r="B5452" s="4" t="s">
        <v>112</v>
      </c>
      <c r="C5452" s="4" t="s">
        <v>476</v>
      </c>
      <c r="D5452" s="4" t="n">
        <v>54</v>
      </c>
      <c r="E5452" s="19" t="s">
        <v>259</v>
      </c>
      <c r="F5452" s="20" t="s">
        <v>477</v>
      </c>
    </row>
    <row r="5453" customFormat="false" ht="15" hidden="false" customHeight="false" outlineLevel="0" collapsed="false">
      <c r="A5453" s="4" t="str">
        <f aca="false">B5453&amp;"|"&amp;C5453</f>
        <v>tdbR00000272 Met-CAU|55</v>
      </c>
      <c r="B5453" s="4" t="s">
        <v>112</v>
      </c>
      <c r="C5453" s="4" t="s">
        <v>478</v>
      </c>
      <c r="D5453" s="4" t="n">
        <v>55</v>
      </c>
      <c r="E5453" s="19" t="s">
        <v>259</v>
      </c>
      <c r="F5453" s="20" t="s">
        <v>477</v>
      </c>
    </row>
    <row r="5454" customFormat="false" ht="15" hidden="false" customHeight="false" outlineLevel="0" collapsed="false">
      <c r="A5454" s="4" t="str">
        <f aca="false">B5454&amp;"|"&amp;C5454</f>
        <v>tdbR00000272 Met-CAU|56</v>
      </c>
      <c r="B5454" s="4" t="s">
        <v>112</v>
      </c>
      <c r="C5454" s="4" t="s">
        <v>479</v>
      </c>
      <c r="D5454" s="4" t="n">
        <v>56</v>
      </c>
      <c r="E5454" s="19" t="s">
        <v>414</v>
      </c>
      <c r="F5454" s="20" t="s">
        <v>477</v>
      </c>
    </row>
    <row r="5455" customFormat="false" ht="15" hidden="false" customHeight="false" outlineLevel="0" collapsed="false">
      <c r="A5455" s="4" t="str">
        <f aca="false">B5455&amp;"|"&amp;C5455</f>
        <v>tdbR00000272 Met-CAU|57</v>
      </c>
      <c r="B5455" s="4" t="s">
        <v>112</v>
      </c>
      <c r="C5455" s="4" t="s">
        <v>480</v>
      </c>
      <c r="D5455" s="4" t="n">
        <v>57</v>
      </c>
      <c r="E5455" s="19" t="s">
        <v>197</v>
      </c>
      <c r="F5455" s="20" t="s">
        <v>477</v>
      </c>
    </row>
    <row r="5456" customFormat="false" ht="15" hidden="false" customHeight="false" outlineLevel="0" collapsed="false">
      <c r="A5456" s="4" t="str">
        <f aca="false">B5456&amp;"|"&amp;C5456</f>
        <v>tdbR00000272 Met-CAU|58</v>
      </c>
      <c r="B5456" s="4" t="s">
        <v>112</v>
      </c>
      <c r="C5456" s="4" t="s">
        <v>481</v>
      </c>
      <c r="D5456" s="4" t="n">
        <v>58</v>
      </c>
      <c r="E5456" s="19" t="s">
        <v>246</v>
      </c>
      <c r="F5456" s="20" t="s">
        <v>477</v>
      </c>
    </row>
    <row r="5457" customFormat="false" ht="15" hidden="false" customHeight="false" outlineLevel="0" collapsed="false">
      <c r="A5457" s="4" t="str">
        <f aca="false">B5457&amp;"|"&amp;C5457</f>
        <v>tdbR00000272 Met-CAU|59</v>
      </c>
      <c r="B5457" s="4" t="s">
        <v>112</v>
      </c>
      <c r="C5457" s="4" t="s">
        <v>482</v>
      </c>
      <c r="D5457" s="4" t="n">
        <v>59</v>
      </c>
      <c r="E5457" s="19" t="s">
        <v>259</v>
      </c>
      <c r="F5457" s="20" t="s">
        <v>477</v>
      </c>
    </row>
    <row r="5458" customFormat="false" ht="15" hidden="false" customHeight="false" outlineLevel="0" collapsed="false">
      <c r="A5458" s="4" t="str">
        <f aca="false">B5458&amp;"|"&amp;C5458</f>
        <v>tdbR00000272 Met-CAU|60</v>
      </c>
      <c r="B5458" s="4" t="s">
        <v>112</v>
      </c>
      <c r="C5458" s="4" t="s">
        <v>483</v>
      </c>
      <c r="D5458" s="4" t="n">
        <v>60</v>
      </c>
      <c r="E5458" s="19" t="s">
        <v>414</v>
      </c>
      <c r="F5458" s="20" t="s">
        <v>477</v>
      </c>
    </row>
    <row r="5459" customFormat="false" ht="15" hidden="false" customHeight="false" outlineLevel="0" collapsed="false">
      <c r="A5459" s="4" t="str">
        <f aca="false">B5459&amp;"|"&amp;C5459</f>
        <v>tdbR00000272 Met-CAU|61</v>
      </c>
      <c r="B5459" s="4" t="s">
        <v>112</v>
      </c>
      <c r="C5459" s="4" t="s">
        <v>484</v>
      </c>
      <c r="D5459" s="4" t="n">
        <v>61</v>
      </c>
      <c r="E5459" s="23" t="s">
        <v>414</v>
      </c>
      <c r="F5459" s="10" t="s">
        <v>471</v>
      </c>
    </row>
    <row r="5460" customFormat="false" ht="15" hidden="false" customHeight="false" outlineLevel="0" collapsed="false">
      <c r="A5460" s="4" t="str">
        <f aca="false">B5460&amp;"|"&amp;C5460</f>
        <v>tdbR00000272 Met-CAU|62</v>
      </c>
      <c r="B5460" s="4" t="s">
        <v>112</v>
      </c>
      <c r="C5460" s="4" t="s">
        <v>485</v>
      </c>
      <c r="D5460" s="4" t="n">
        <v>62</v>
      </c>
      <c r="E5460" s="23" t="s">
        <v>414</v>
      </c>
      <c r="F5460" s="10" t="s">
        <v>471</v>
      </c>
    </row>
    <row r="5461" customFormat="false" ht="15" hidden="false" customHeight="false" outlineLevel="0" collapsed="false">
      <c r="A5461" s="4" t="str">
        <f aca="false">B5461&amp;"|"&amp;C5461</f>
        <v>tdbR00000272 Met-CAU|63</v>
      </c>
      <c r="B5461" s="4" t="s">
        <v>112</v>
      </c>
      <c r="C5461" s="4" t="s">
        <v>486</v>
      </c>
      <c r="D5461" s="4" t="n">
        <v>63</v>
      </c>
      <c r="E5461" s="23" t="s">
        <v>414</v>
      </c>
      <c r="F5461" s="10" t="s">
        <v>471</v>
      </c>
    </row>
    <row r="5462" customFormat="false" ht="15" hidden="false" customHeight="false" outlineLevel="0" collapsed="false">
      <c r="A5462" s="4" t="str">
        <f aca="false">B5462&amp;"|"&amp;C5462</f>
        <v>tdbR00000272 Met-CAU|64</v>
      </c>
      <c r="B5462" s="4" t="s">
        <v>112</v>
      </c>
      <c r="C5462" s="4" t="s">
        <v>487</v>
      </c>
      <c r="D5462" s="4" t="n">
        <v>64</v>
      </c>
      <c r="E5462" s="23" t="s">
        <v>197</v>
      </c>
      <c r="F5462" s="10" t="s">
        <v>471</v>
      </c>
    </row>
    <row r="5463" customFormat="false" ht="15" hidden="false" customHeight="false" outlineLevel="0" collapsed="false">
      <c r="A5463" s="4" t="str">
        <f aca="false">B5463&amp;"|"&amp;C5463</f>
        <v>tdbR00000272 Met-CAU|65</v>
      </c>
      <c r="B5463" s="4" t="s">
        <v>112</v>
      </c>
      <c r="C5463" s="4" t="s">
        <v>488</v>
      </c>
      <c r="D5463" s="4" t="n">
        <v>65</v>
      </c>
      <c r="E5463" s="23" t="s">
        <v>246</v>
      </c>
      <c r="F5463" s="10" t="s">
        <v>471</v>
      </c>
    </row>
    <row r="5464" customFormat="false" ht="15" hidden="false" customHeight="false" outlineLevel="0" collapsed="false">
      <c r="A5464" s="4" t="str">
        <f aca="false">B5464&amp;"|"&amp;C5464</f>
        <v>tdbR00000272 Met-CAU|66</v>
      </c>
      <c r="B5464" s="4" t="s">
        <v>112</v>
      </c>
      <c r="C5464" s="4" t="s">
        <v>489</v>
      </c>
      <c r="D5464" s="4" t="n">
        <v>66</v>
      </c>
      <c r="E5464" s="17" t="s">
        <v>259</v>
      </c>
      <c r="F5464" s="18" t="s">
        <v>412</v>
      </c>
    </row>
    <row r="5465" customFormat="false" ht="15" hidden="false" customHeight="false" outlineLevel="0" collapsed="false">
      <c r="A5465" s="4" t="str">
        <f aca="false">B5465&amp;"|"&amp;C5465</f>
        <v>tdbR00000272 Met-CAU|67</v>
      </c>
      <c r="B5465" s="4" t="s">
        <v>112</v>
      </c>
      <c r="C5465" s="4" t="s">
        <v>490</v>
      </c>
      <c r="D5465" s="4" t="n">
        <v>67</v>
      </c>
      <c r="E5465" s="17" t="s">
        <v>414</v>
      </c>
      <c r="F5465" s="18" t="s">
        <v>412</v>
      </c>
    </row>
    <row r="5466" customFormat="false" ht="15" hidden="false" customHeight="false" outlineLevel="0" collapsed="false">
      <c r="A5466" s="4" t="str">
        <f aca="false">B5466&amp;"|"&amp;C5466</f>
        <v>tdbR00000272 Met-CAU|68</v>
      </c>
      <c r="B5466" s="4" t="s">
        <v>112</v>
      </c>
      <c r="C5466" s="4" t="s">
        <v>491</v>
      </c>
      <c r="D5466" s="4" t="n">
        <v>68</v>
      </c>
      <c r="E5466" s="17" t="s">
        <v>414</v>
      </c>
      <c r="F5466" s="18" t="s">
        <v>412</v>
      </c>
    </row>
    <row r="5467" customFormat="false" ht="15" hidden="false" customHeight="false" outlineLevel="0" collapsed="false">
      <c r="A5467" s="4" t="str">
        <f aca="false">B5467&amp;"|"&amp;C5467</f>
        <v>tdbR00000272 Met-CAU|69</v>
      </c>
      <c r="B5467" s="4" t="s">
        <v>112</v>
      </c>
      <c r="C5467" s="4" t="s">
        <v>492</v>
      </c>
      <c r="D5467" s="4" t="n">
        <v>69</v>
      </c>
      <c r="E5467" s="17" t="s">
        <v>414</v>
      </c>
      <c r="F5467" s="18" t="s">
        <v>412</v>
      </c>
    </row>
    <row r="5468" customFormat="false" ht="15" hidden="false" customHeight="false" outlineLevel="0" collapsed="false">
      <c r="A5468" s="4" t="str">
        <f aca="false">B5468&amp;"|"&amp;C5468</f>
        <v>tdbR00000272 Met-CAU|70</v>
      </c>
      <c r="B5468" s="4" t="s">
        <v>112</v>
      </c>
      <c r="C5468" s="4" t="s">
        <v>493</v>
      </c>
      <c r="D5468" s="4" t="n">
        <v>70</v>
      </c>
      <c r="E5468" s="17" t="s">
        <v>197</v>
      </c>
      <c r="F5468" s="18" t="s">
        <v>412</v>
      </c>
    </row>
    <row r="5469" customFormat="false" ht="15" hidden="false" customHeight="false" outlineLevel="0" collapsed="false">
      <c r="A5469" s="4" t="str">
        <f aca="false">B5469&amp;"|"&amp;C5469</f>
        <v>tdbR00000272 Met-CAU|71</v>
      </c>
      <c r="B5469" s="4" t="s">
        <v>112</v>
      </c>
      <c r="C5469" s="4" t="s">
        <v>494</v>
      </c>
      <c r="D5469" s="4" t="n">
        <v>71</v>
      </c>
      <c r="E5469" s="17" t="s">
        <v>197</v>
      </c>
      <c r="F5469" s="18" t="s">
        <v>412</v>
      </c>
    </row>
    <row r="5470" customFormat="false" ht="15" hidden="false" customHeight="false" outlineLevel="0" collapsed="false">
      <c r="A5470" s="4" t="str">
        <f aca="false">B5470&amp;"|"&amp;C5470</f>
        <v>tdbR00000272 Met-CAU|72</v>
      </c>
      <c r="B5470" s="4" t="s">
        <v>112</v>
      </c>
      <c r="C5470" s="4" t="s">
        <v>495</v>
      </c>
      <c r="D5470" s="4" t="n">
        <v>72</v>
      </c>
      <c r="E5470" s="17" t="s">
        <v>414</v>
      </c>
      <c r="F5470" s="18" t="s">
        <v>412</v>
      </c>
    </row>
    <row r="5471" customFormat="false" ht="15" hidden="false" customHeight="false" outlineLevel="0" collapsed="false">
      <c r="A5471" s="4" t="str">
        <f aca="false">B5471&amp;"|"&amp;C5471</f>
        <v>tdbR00000025 Asp-GUC|1</v>
      </c>
      <c r="B5471" s="4" t="s">
        <v>113</v>
      </c>
      <c r="C5471" s="4" t="s">
        <v>411</v>
      </c>
      <c r="D5471" s="4" t="n">
        <v>1</v>
      </c>
      <c r="E5471" s="17" t="s">
        <v>197</v>
      </c>
      <c r="F5471" s="18" t="s">
        <v>412</v>
      </c>
    </row>
    <row r="5472" customFormat="false" ht="15" hidden="false" customHeight="false" outlineLevel="0" collapsed="false">
      <c r="A5472" s="4" t="str">
        <f aca="false">B5472&amp;"|"&amp;C5472</f>
        <v>tdbR00000025 Asp-GUC|2</v>
      </c>
      <c r="B5472" s="4" t="s">
        <v>113</v>
      </c>
      <c r="C5472" s="4" t="s">
        <v>413</v>
      </c>
      <c r="D5472" s="4" t="n">
        <v>2</v>
      </c>
      <c r="E5472" s="17" t="s">
        <v>197</v>
      </c>
      <c r="F5472" s="18" t="s">
        <v>412</v>
      </c>
    </row>
    <row r="5473" customFormat="false" ht="15" hidden="false" customHeight="false" outlineLevel="0" collapsed="false">
      <c r="A5473" s="4" t="str">
        <f aca="false">B5473&amp;"|"&amp;C5473</f>
        <v>tdbR00000025 Asp-GUC|3</v>
      </c>
      <c r="B5473" s="4" t="s">
        <v>113</v>
      </c>
      <c r="C5473" s="4" t="s">
        <v>415</v>
      </c>
      <c r="D5473" s="4" t="n">
        <v>3</v>
      </c>
      <c r="E5473" s="17" t="s">
        <v>414</v>
      </c>
      <c r="F5473" s="18" t="s">
        <v>412</v>
      </c>
    </row>
    <row r="5474" customFormat="false" ht="15" hidden="false" customHeight="false" outlineLevel="0" collapsed="false">
      <c r="A5474" s="4" t="str">
        <f aca="false">B5474&amp;"|"&amp;C5474</f>
        <v>tdbR00000025 Asp-GUC|4</v>
      </c>
      <c r="B5474" s="4" t="s">
        <v>113</v>
      </c>
      <c r="C5474" s="4" t="s">
        <v>416</v>
      </c>
      <c r="D5474" s="4" t="n">
        <v>4</v>
      </c>
      <c r="E5474" s="17" t="s">
        <v>414</v>
      </c>
      <c r="F5474" s="18" t="s">
        <v>412</v>
      </c>
    </row>
    <row r="5475" customFormat="false" ht="15" hidden="false" customHeight="false" outlineLevel="0" collapsed="false">
      <c r="A5475" s="4" t="str">
        <f aca="false">B5475&amp;"|"&amp;C5475</f>
        <v>tdbR00000025 Asp-GUC|5</v>
      </c>
      <c r="B5475" s="4" t="s">
        <v>113</v>
      </c>
      <c r="C5475" s="4" t="s">
        <v>417</v>
      </c>
      <c r="D5475" s="4" t="n">
        <v>5</v>
      </c>
      <c r="E5475" s="17" t="s">
        <v>414</v>
      </c>
      <c r="F5475" s="18" t="s">
        <v>412</v>
      </c>
    </row>
    <row r="5476" customFormat="false" ht="15" hidden="false" customHeight="false" outlineLevel="0" collapsed="false">
      <c r="A5476" s="4" t="str">
        <f aca="false">B5476&amp;"|"&amp;C5476</f>
        <v>tdbR00000025 Asp-GUC|6</v>
      </c>
      <c r="B5476" s="4" t="s">
        <v>113</v>
      </c>
      <c r="C5476" s="4" t="s">
        <v>418</v>
      </c>
      <c r="D5476" s="4" t="n">
        <v>6</v>
      </c>
      <c r="E5476" s="17" t="s">
        <v>414</v>
      </c>
      <c r="F5476" s="18" t="s">
        <v>412</v>
      </c>
    </row>
    <row r="5477" customFormat="false" ht="15" hidden="false" customHeight="false" outlineLevel="0" collapsed="false">
      <c r="A5477" s="4" t="str">
        <f aca="false">B5477&amp;"|"&amp;C5477</f>
        <v>tdbR00000025 Asp-GUC|7</v>
      </c>
      <c r="B5477" s="4" t="s">
        <v>113</v>
      </c>
      <c r="C5477" s="4" t="s">
        <v>419</v>
      </c>
      <c r="D5477" s="4" t="n">
        <v>7</v>
      </c>
      <c r="E5477" s="17" t="s">
        <v>197</v>
      </c>
      <c r="F5477" s="18" t="s">
        <v>412</v>
      </c>
    </row>
    <row r="5478" customFormat="false" ht="15" hidden="false" customHeight="false" outlineLevel="0" collapsed="false">
      <c r="A5478" s="4" t="str">
        <f aca="false">B5478&amp;"|"&amp;C5478</f>
        <v>tdbR00000025 Asp-GUC|8</v>
      </c>
      <c r="B5478" s="4" t="s">
        <v>113</v>
      </c>
      <c r="C5478" s="4" t="s">
        <v>420</v>
      </c>
      <c r="D5478" s="4" t="n">
        <v>8</v>
      </c>
      <c r="E5478" s="3" t="s">
        <v>259</v>
      </c>
      <c r="F5478" s="4" t="s">
        <v>421</v>
      </c>
    </row>
    <row r="5479" customFormat="false" ht="15" hidden="false" customHeight="false" outlineLevel="0" collapsed="false">
      <c r="A5479" s="4" t="str">
        <f aca="false">B5479&amp;"|"&amp;C5479</f>
        <v>tdbR00000025 Asp-GUC|9</v>
      </c>
      <c r="B5479" s="4" t="s">
        <v>113</v>
      </c>
      <c r="C5479" s="4" t="s">
        <v>422</v>
      </c>
      <c r="D5479" s="4" t="n">
        <v>9</v>
      </c>
      <c r="E5479" s="3" t="s">
        <v>197</v>
      </c>
      <c r="F5479" s="4" t="s">
        <v>423</v>
      </c>
    </row>
    <row r="5480" customFormat="false" ht="15" hidden="false" customHeight="false" outlineLevel="0" collapsed="false">
      <c r="A5480" s="4" t="str">
        <f aca="false">B5480&amp;"|"&amp;C5480</f>
        <v>tdbR00000025 Asp-GUC|10</v>
      </c>
      <c r="B5480" s="4" t="s">
        <v>113</v>
      </c>
      <c r="C5480" s="4" t="s">
        <v>424</v>
      </c>
      <c r="D5480" s="4" t="n">
        <v>10</v>
      </c>
      <c r="E5480" s="8" t="s">
        <v>197</v>
      </c>
      <c r="F5480" s="7" t="s">
        <v>425</v>
      </c>
    </row>
    <row r="5481" customFormat="false" ht="15" hidden="false" customHeight="false" outlineLevel="0" collapsed="false">
      <c r="A5481" s="4" t="str">
        <f aca="false">B5481&amp;"|"&amp;C5481</f>
        <v>tdbR00000025 Asp-GUC|11</v>
      </c>
      <c r="B5481" s="4" t="s">
        <v>113</v>
      </c>
      <c r="C5481" s="4" t="s">
        <v>426</v>
      </c>
      <c r="D5481" s="4" t="n">
        <v>11</v>
      </c>
      <c r="E5481" s="8" t="s">
        <v>259</v>
      </c>
      <c r="F5481" s="7" t="s">
        <v>425</v>
      </c>
    </row>
    <row r="5482" customFormat="false" ht="15" hidden="false" customHeight="false" outlineLevel="0" collapsed="false">
      <c r="A5482" s="4" t="str">
        <f aca="false">B5482&amp;"|"&amp;C5482</f>
        <v>tdbR00000025 Asp-GUC|12</v>
      </c>
      <c r="B5482" s="4" t="s">
        <v>113</v>
      </c>
      <c r="C5482" s="4" t="s">
        <v>427</v>
      </c>
      <c r="D5482" s="4" t="n">
        <v>12</v>
      </c>
      <c r="E5482" s="8" t="s">
        <v>197</v>
      </c>
      <c r="F5482" s="7" t="s">
        <v>425</v>
      </c>
    </row>
    <row r="5483" customFormat="false" ht="15" hidden="false" customHeight="false" outlineLevel="0" collapsed="false">
      <c r="A5483" s="4" t="str">
        <f aca="false">B5483&amp;"|"&amp;C5483</f>
        <v>tdbR00000025 Asp-GUC|13</v>
      </c>
      <c r="B5483" s="4" t="s">
        <v>113</v>
      </c>
      <c r="C5483" s="4" t="s">
        <v>428</v>
      </c>
      <c r="D5483" s="4" t="n">
        <v>13</v>
      </c>
      <c r="E5483" s="8" t="s">
        <v>259</v>
      </c>
      <c r="F5483" s="7" t="s">
        <v>425</v>
      </c>
    </row>
    <row r="5484" customFormat="false" ht="15" hidden="false" customHeight="false" outlineLevel="0" collapsed="false">
      <c r="A5484" s="4" t="str">
        <f aca="false">B5484&amp;"|"&amp;C5484</f>
        <v>tdbR00000025 Asp-GUC|14</v>
      </c>
      <c r="B5484" s="4" t="s">
        <v>113</v>
      </c>
      <c r="C5484" s="4" t="s">
        <v>429</v>
      </c>
      <c r="D5484" s="4" t="n">
        <v>14</v>
      </c>
      <c r="E5484" s="19" t="s">
        <v>246</v>
      </c>
      <c r="F5484" s="20" t="s">
        <v>430</v>
      </c>
    </row>
    <row r="5485" customFormat="false" ht="15" hidden="false" customHeight="false" outlineLevel="0" collapsed="false">
      <c r="A5485" s="4" t="str">
        <f aca="false">B5485&amp;"|"&amp;C5485</f>
        <v>tdbR00000025 Asp-GUC|15</v>
      </c>
      <c r="B5485" s="4" t="s">
        <v>113</v>
      </c>
      <c r="C5485" s="4" t="s">
        <v>431</v>
      </c>
      <c r="D5485" s="4" t="n">
        <v>15</v>
      </c>
      <c r="E5485" s="19" t="s">
        <v>197</v>
      </c>
      <c r="F5485" s="20" t="s">
        <v>430</v>
      </c>
    </row>
    <row r="5486" customFormat="false" ht="15" hidden="false" customHeight="false" outlineLevel="0" collapsed="false">
      <c r="A5486" s="4" t="str">
        <f aca="false">B5486&amp;"|"&amp;C5486</f>
        <v>tdbR00000025 Asp-GUC|16</v>
      </c>
      <c r="B5486" s="4" t="s">
        <v>113</v>
      </c>
      <c r="C5486" s="4" t="s">
        <v>432</v>
      </c>
      <c r="D5486" s="4" t="n">
        <v>16</v>
      </c>
      <c r="E5486" s="19" t="s">
        <v>259</v>
      </c>
      <c r="F5486" s="20" t="s">
        <v>430</v>
      </c>
    </row>
    <row r="5487" customFormat="false" ht="15" hidden="false" customHeight="false" outlineLevel="0" collapsed="false">
      <c r="A5487" s="4" t="str">
        <f aca="false">B5487&amp;"|"&amp;C5487</f>
        <v>tdbR00000025 Asp-GUC|17</v>
      </c>
      <c r="B5487" s="4" t="s">
        <v>113</v>
      </c>
      <c r="C5487" s="4" t="s">
        <v>433</v>
      </c>
      <c r="D5487" s="4" t="n">
        <v>17</v>
      </c>
      <c r="E5487" s="19" t="s">
        <v>259</v>
      </c>
      <c r="F5487" s="20" t="s">
        <v>430</v>
      </c>
    </row>
    <row r="5488" customFormat="false" ht="15" hidden="false" customHeight="false" outlineLevel="0" collapsed="false">
      <c r="A5488" s="4" t="str">
        <f aca="false">B5488&amp;"|"&amp;C5488</f>
        <v>tdbR00000025 Asp-GUC|18</v>
      </c>
      <c r="B5488" s="4" t="s">
        <v>113</v>
      </c>
      <c r="C5488" s="4" t="s">
        <v>434</v>
      </c>
      <c r="D5488" s="4" t="n">
        <v>18</v>
      </c>
      <c r="E5488" s="19" t="s">
        <v>197</v>
      </c>
      <c r="F5488" s="20" t="s">
        <v>430</v>
      </c>
    </row>
    <row r="5489" customFormat="false" ht="15" hidden="false" customHeight="false" outlineLevel="0" collapsed="false">
      <c r="A5489" s="4" t="str">
        <f aca="false">B5489&amp;"|"&amp;C5489</f>
        <v>tdbR00000025 Asp-GUC|19</v>
      </c>
      <c r="B5489" s="4" t="s">
        <v>113</v>
      </c>
      <c r="C5489" s="4" t="s">
        <v>435</v>
      </c>
      <c r="D5489" s="4" t="n">
        <v>19</v>
      </c>
      <c r="E5489" s="19" t="s">
        <v>197</v>
      </c>
      <c r="F5489" s="20" t="s">
        <v>430</v>
      </c>
    </row>
    <row r="5490" customFormat="false" ht="15" hidden="false" customHeight="false" outlineLevel="0" collapsed="false">
      <c r="A5490" s="4" t="str">
        <f aca="false">B5490&amp;"|"&amp;C5490</f>
        <v>tdbR00000025 Asp-GUC|20</v>
      </c>
      <c r="B5490" s="4" t="s">
        <v>113</v>
      </c>
      <c r="C5490" s="4" t="s">
        <v>436</v>
      </c>
      <c r="D5490" s="4" t="n">
        <v>20</v>
      </c>
      <c r="E5490" s="19" t="s">
        <v>259</v>
      </c>
      <c r="F5490" s="20" t="s">
        <v>430</v>
      </c>
    </row>
    <row r="5491" customFormat="false" ht="15" hidden="false" customHeight="false" outlineLevel="0" collapsed="false">
      <c r="A5491" s="4" t="str">
        <f aca="false">B5491&amp;"|"&amp;C5491</f>
        <v>tdbR00000025 Asp-GUC|20a</v>
      </c>
      <c r="B5491" s="4" t="s">
        <v>113</v>
      </c>
      <c r="C5491" s="4" t="s">
        <v>437</v>
      </c>
      <c r="D5491" s="4" t="n">
        <v>21</v>
      </c>
      <c r="E5491" s="19" t="s">
        <v>259</v>
      </c>
      <c r="F5491" s="20" t="s">
        <v>430</v>
      </c>
    </row>
    <row r="5492" customFormat="false" ht="15" hidden="false" customHeight="false" outlineLevel="0" collapsed="false">
      <c r="A5492" s="4" t="str">
        <f aca="false">B5492&amp;"|"&amp;C5492</f>
        <v>tdbR00000025 Asp-GUC|21</v>
      </c>
      <c r="B5492" s="4" t="s">
        <v>113</v>
      </c>
      <c r="C5492" s="4" t="s">
        <v>438</v>
      </c>
      <c r="D5492" s="4" t="n">
        <v>22</v>
      </c>
      <c r="E5492" s="19" t="s">
        <v>246</v>
      </c>
      <c r="F5492" s="20" t="s">
        <v>430</v>
      </c>
    </row>
    <row r="5493" customFormat="false" ht="15" hidden="false" customHeight="false" outlineLevel="0" collapsed="false">
      <c r="A5493" s="4" t="str">
        <f aca="false">B5493&amp;"|"&amp;C5493</f>
        <v>tdbR00000025 Asp-GUC|22</v>
      </c>
      <c r="B5493" s="4" t="s">
        <v>113</v>
      </c>
      <c r="C5493" s="4" t="s">
        <v>439</v>
      </c>
      <c r="D5493" s="4" t="n">
        <v>23</v>
      </c>
      <c r="E5493" s="8" t="s">
        <v>246</v>
      </c>
      <c r="F5493" s="7" t="s">
        <v>425</v>
      </c>
    </row>
    <row r="5494" customFormat="false" ht="15" hidden="false" customHeight="false" outlineLevel="0" collapsed="false">
      <c r="A5494" s="4" t="str">
        <f aca="false">B5494&amp;"|"&amp;C5494</f>
        <v>tdbR00000025 Asp-GUC|23</v>
      </c>
      <c r="B5494" s="4" t="s">
        <v>113</v>
      </c>
      <c r="C5494" s="4" t="s">
        <v>440</v>
      </c>
      <c r="D5494" s="4" t="n">
        <v>24</v>
      </c>
      <c r="E5494" s="8" t="s">
        <v>414</v>
      </c>
      <c r="F5494" s="7" t="s">
        <v>425</v>
      </c>
    </row>
    <row r="5495" customFormat="false" ht="15" hidden="false" customHeight="false" outlineLevel="0" collapsed="false">
      <c r="A5495" s="4" t="str">
        <f aca="false">B5495&amp;"|"&amp;C5495</f>
        <v>tdbR00000025 Asp-GUC|24</v>
      </c>
      <c r="B5495" s="4" t="s">
        <v>113</v>
      </c>
      <c r="C5495" s="4" t="s">
        <v>441</v>
      </c>
      <c r="D5495" s="4" t="n">
        <v>25</v>
      </c>
      <c r="E5495" s="8" t="s">
        <v>246</v>
      </c>
      <c r="F5495" s="7" t="s">
        <v>425</v>
      </c>
    </row>
    <row r="5496" customFormat="false" ht="15" hidden="false" customHeight="false" outlineLevel="0" collapsed="false">
      <c r="A5496" s="4" t="str">
        <f aca="false">B5496&amp;"|"&amp;C5496</f>
        <v>tdbR00000025 Asp-GUC|25</v>
      </c>
      <c r="B5496" s="4" t="s">
        <v>113</v>
      </c>
      <c r="C5496" s="4" t="s">
        <v>442</v>
      </c>
      <c r="D5496" s="4" t="n">
        <v>26</v>
      </c>
      <c r="E5496" s="8" t="s">
        <v>414</v>
      </c>
      <c r="F5496" s="7" t="s">
        <v>425</v>
      </c>
    </row>
    <row r="5497" customFormat="false" ht="15" hidden="false" customHeight="false" outlineLevel="0" collapsed="false">
      <c r="A5497" s="4" t="str">
        <f aca="false">B5497&amp;"|"&amp;C5497</f>
        <v>tdbR00000025 Asp-GUC|26</v>
      </c>
      <c r="B5497" s="4" t="s">
        <v>113</v>
      </c>
      <c r="C5497" s="4" t="s">
        <v>443</v>
      </c>
      <c r="D5497" s="4" t="n">
        <v>27</v>
      </c>
      <c r="E5497" s="3" t="s">
        <v>246</v>
      </c>
      <c r="F5497" s="4" t="s">
        <v>444</v>
      </c>
    </row>
    <row r="5498" customFormat="false" ht="15" hidden="false" customHeight="false" outlineLevel="0" collapsed="false">
      <c r="A5498" s="4" t="str">
        <f aca="false">B5498&amp;"|"&amp;C5498</f>
        <v>tdbR00000025 Asp-GUC|27</v>
      </c>
      <c r="B5498" s="4" t="s">
        <v>113</v>
      </c>
      <c r="C5498" s="4" t="s">
        <v>445</v>
      </c>
      <c r="D5498" s="4" t="n">
        <v>28</v>
      </c>
      <c r="E5498" s="21" t="s">
        <v>414</v>
      </c>
      <c r="F5498" s="22" t="s">
        <v>446</v>
      </c>
    </row>
    <row r="5499" customFormat="false" ht="15" hidden="false" customHeight="false" outlineLevel="0" collapsed="false">
      <c r="A5499" s="4" t="str">
        <f aca="false">B5499&amp;"|"&amp;C5499</f>
        <v>tdbR00000025 Asp-GUC|28</v>
      </c>
      <c r="B5499" s="4" t="s">
        <v>113</v>
      </c>
      <c r="C5499" s="4" t="s">
        <v>447</v>
      </c>
      <c r="D5499" s="4" t="n">
        <v>29</v>
      </c>
      <c r="E5499" s="21" t="s">
        <v>414</v>
      </c>
      <c r="F5499" s="22" t="s">
        <v>446</v>
      </c>
    </row>
    <row r="5500" customFormat="false" ht="15" hidden="false" customHeight="false" outlineLevel="0" collapsed="false">
      <c r="A5500" s="4" t="str">
        <f aca="false">B5500&amp;"|"&amp;C5500</f>
        <v>tdbR00000025 Asp-GUC|29</v>
      </c>
      <c r="B5500" s="4" t="s">
        <v>113</v>
      </c>
      <c r="C5500" s="4" t="s">
        <v>448</v>
      </c>
      <c r="D5500" s="4" t="n">
        <v>30</v>
      </c>
      <c r="E5500" s="21" t="s">
        <v>414</v>
      </c>
      <c r="F5500" s="22" t="s">
        <v>446</v>
      </c>
    </row>
    <row r="5501" customFormat="false" ht="15" hidden="false" customHeight="false" outlineLevel="0" collapsed="false">
      <c r="A5501" s="4" t="str">
        <f aca="false">B5501&amp;"|"&amp;C5501</f>
        <v>tdbR00000025 Asp-GUC|30</v>
      </c>
      <c r="B5501" s="4" t="s">
        <v>113</v>
      </c>
      <c r="C5501" s="4" t="s">
        <v>449</v>
      </c>
      <c r="D5501" s="4" t="n">
        <v>31</v>
      </c>
      <c r="E5501" s="21" t="s">
        <v>197</v>
      </c>
      <c r="F5501" s="22" t="s">
        <v>446</v>
      </c>
    </row>
    <row r="5502" customFormat="false" ht="15" hidden="false" customHeight="false" outlineLevel="0" collapsed="false">
      <c r="A5502" s="4" t="str">
        <f aca="false">B5502&amp;"|"&amp;C5502</f>
        <v>tdbR00000025 Asp-GUC|31</v>
      </c>
      <c r="B5502" s="4" t="s">
        <v>113</v>
      </c>
      <c r="C5502" s="4" t="s">
        <v>450</v>
      </c>
      <c r="D5502" s="4" t="n">
        <v>32</v>
      </c>
      <c r="E5502" s="21" t="s">
        <v>414</v>
      </c>
      <c r="F5502" s="22" t="s">
        <v>446</v>
      </c>
    </row>
    <row r="5503" customFormat="false" ht="15" hidden="false" customHeight="false" outlineLevel="0" collapsed="false">
      <c r="A5503" s="4" t="str">
        <f aca="false">B5503&amp;"|"&amp;C5503</f>
        <v>tdbR00000025 Asp-GUC|32</v>
      </c>
      <c r="B5503" s="4" t="s">
        <v>113</v>
      </c>
      <c r="C5503" s="4" t="s">
        <v>451</v>
      </c>
      <c r="D5503" s="4" t="n">
        <v>33</v>
      </c>
      <c r="E5503" s="19" t="s">
        <v>414</v>
      </c>
      <c r="F5503" s="20" t="s">
        <v>452</v>
      </c>
    </row>
    <row r="5504" customFormat="false" ht="15" hidden="false" customHeight="false" outlineLevel="0" collapsed="false">
      <c r="A5504" s="4" t="str">
        <f aca="false">B5504&amp;"|"&amp;C5504</f>
        <v>tdbR00000025 Asp-GUC|33</v>
      </c>
      <c r="B5504" s="4" t="s">
        <v>113</v>
      </c>
      <c r="C5504" s="4" t="s">
        <v>453</v>
      </c>
      <c r="D5504" s="4" t="n">
        <v>34</v>
      </c>
      <c r="E5504" s="19" t="s">
        <v>259</v>
      </c>
      <c r="F5504" s="20" t="s">
        <v>452</v>
      </c>
    </row>
    <row r="5505" customFormat="false" ht="15" hidden="false" customHeight="false" outlineLevel="0" collapsed="false">
      <c r="A5505" s="4" t="str">
        <f aca="false">B5505&amp;"|"&amp;C5505</f>
        <v>tdbR00000025 Asp-GUC|34</v>
      </c>
      <c r="B5505" s="4" t="s">
        <v>113</v>
      </c>
      <c r="C5505" s="4" t="s">
        <v>454</v>
      </c>
      <c r="D5505" s="4" t="n">
        <v>35</v>
      </c>
      <c r="E5505" s="19" t="s">
        <v>197</v>
      </c>
      <c r="F5505" s="20" t="s">
        <v>452</v>
      </c>
    </row>
    <row r="5506" customFormat="false" ht="15" hidden="false" customHeight="false" outlineLevel="0" collapsed="false">
      <c r="A5506" s="4" t="str">
        <f aca="false">B5506&amp;"|"&amp;C5506</f>
        <v>tdbR00000025 Asp-GUC|35</v>
      </c>
      <c r="B5506" s="4" t="s">
        <v>113</v>
      </c>
      <c r="C5506" s="4" t="s">
        <v>455</v>
      </c>
      <c r="D5506" s="4" t="n">
        <v>36</v>
      </c>
      <c r="E5506" s="19" t="s">
        <v>259</v>
      </c>
      <c r="F5506" s="20" t="s">
        <v>452</v>
      </c>
    </row>
    <row r="5507" customFormat="false" ht="15" hidden="false" customHeight="false" outlineLevel="0" collapsed="false">
      <c r="A5507" s="4" t="str">
        <f aca="false">B5507&amp;"|"&amp;C5507</f>
        <v>tdbR00000025 Asp-GUC|36</v>
      </c>
      <c r="B5507" s="4" t="s">
        <v>113</v>
      </c>
      <c r="C5507" s="4" t="s">
        <v>456</v>
      </c>
      <c r="D5507" s="4" t="n">
        <v>37</v>
      </c>
      <c r="E5507" s="19" t="s">
        <v>414</v>
      </c>
      <c r="F5507" s="20" t="s">
        <v>452</v>
      </c>
    </row>
    <row r="5508" customFormat="false" ht="15" hidden="false" customHeight="false" outlineLevel="0" collapsed="false">
      <c r="A5508" s="4" t="str">
        <f aca="false">B5508&amp;"|"&amp;C5508</f>
        <v>tdbR00000025 Asp-GUC|37</v>
      </c>
      <c r="B5508" s="4" t="s">
        <v>113</v>
      </c>
      <c r="C5508" s="4" t="s">
        <v>457</v>
      </c>
      <c r="D5508" s="4" t="n">
        <v>38</v>
      </c>
      <c r="E5508" s="19" t="s">
        <v>246</v>
      </c>
      <c r="F5508" s="20" t="s">
        <v>452</v>
      </c>
    </row>
    <row r="5509" customFormat="false" ht="15" hidden="false" customHeight="false" outlineLevel="0" collapsed="false">
      <c r="A5509" s="4" t="str">
        <f aca="false">B5509&amp;"|"&amp;C5509</f>
        <v>tdbR00000025 Asp-GUC|38</v>
      </c>
      <c r="B5509" s="4" t="s">
        <v>113</v>
      </c>
      <c r="C5509" s="4" t="s">
        <v>458</v>
      </c>
      <c r="D5509" s="4" t="n">
        <v>39</v>
      </c>
      <c r="E5509" s="19" t="s">
        <v>414</v>
      </c>
      <c r="F5509" s="20" t="s">
        <v>452</v>
      </c>
    </row>
    <row r="5510" customFormat="false" ht="15" hidden="false" customHeight="false" outlineLevel="0" collapsed="false">
      <c r="A5510" s="4" t="str">
        <f aca="false">B5510&amp;"|"&amp;C5510</f>
        <v>tdbR00000025 Asp-GUC|39</v>
      </c>
      <c r="B5510" s="4" t="s">
        <v>113</v>
      </c>
      <c r="C5510" s="4" t="s">
        <v>459</v>
      </c>
      <c r="D5510" s="4" t="n">
        <v>40</v>
      </c>
      <c r="E5510" s="21" t="s">
        <v>197</v>
      </c>
      <c r="F5510" s="22" t="s">
        <v>446</v>
      </c>
    </row>
    <row r="5511" customFormat="false" ht="15" hidden="false" customHeight="false" outlineLevel="0" collapsed="false">
      <c r="A5511" s="4" t="str">
        <f aca="false">B5511&amp;"|"&amp;C5511</f>
        <v>tdbR00000025 Asp-GUC|40</v>
      </c>
      <c r="B5511" s="4" t="s">
        <v>113</v>
      </c>
      <c r="C5511" s="4" t="s">
        <v>460</v>
      </c>
      <c r="D5511" s="4" t="n">
        <v>41</v>
      </c>
      <c r="E5511" s="21" t="s">
        <v>259</v>
      </c>
      <c r="F5511" s="22" t="s">
        <v>446</v>
      </c>
    </row>
    <row r="5512" customFormat="false" ht="15" hidden="false" customHeight="false" outlineLevel="0" collapsed="false">
      <c r="A5512" s="4" t="str">
        <f aca="false">B5512&amp;"|"&amp;C5512</f>
        <v>tdbR00000025 Asp-GUC|41</v>
      </c>
      <c r="B5512" s="4" t="s">
        <v>113</v>
      </c>
      <c r="C5512" s="4" t="s">
        <v>461</v>
      </c>
      <c r="D5512" s="4" t="n">
        <v>42</v>
      </c>
      <c r="E5512" s="21" t="s">
        <v>197</v>
      </c>
      <c r="F5512" s="22" t="s">
        <v>446</v>
      </c>
    </row>
    <row r="5513" customFormat="false" ht="15" hidden="false" customHeight="false" outlineLevel="0" collapsed="false">
      <c r="A5513" s="4" t="str">
        <f aca="false">B5513&amp;"|"&amp;C5513</f>
        <v>tdbR00000025 Asp-GUC|42</v>
      </c>
      <c r="B5513" s="4" t="s">
        <v>113</v>
      </c>
      <c r="C5513" s="4" t="s">
        <v>462</v>
      </c>
      <c r="D5513" s="4" t="n">
        <v>43</v>
      </c>
      <c r="E5513" s="21" t="s">
        <v>197</v>
      </c>
      <c r="F5513" s="22" t="s">
        <v>446</v>
      </c>
    </row>
    <row r="5514" customFormat="false" ht="15" hidden="false" customHeight="false" outlineLevel="0" collapsed="false">
      <c r="A5514" s="4" t="str">
        <f aca="false">B5514&amp;"|"&amp;C5514</f>
        <v>tdbR00000025 Asp-GUC|43</v>
      </c>
      <c r="B5514" s="4" t="s">
        <v>113</v>
      </c>
      <c r="C5514" s="4" t="s">
        <v>463</v>
      </c>
      <c r="D5514" s="4" t="n">
        <v>44</v>
      </c>
      <c r="E5514" s="21" t="s">
        <v>197</v>
      </c>
      <c r="F5514" s="22" t="s">
        <v>446</v>
      </c>
    </row>
    <row r="5515" customFormat="false" ht="15" hidden="false" customHeight="false" outlineLevel="0" collapsed="false">
      <c r="A5515" s="4" t="str">
        <f aca="false">B5515&amp;"|"&amp;C5515</f>
        <v>tdbR00000025 Asp-GUC|44</v>
      </c>
      <c r="B5515" s="4" t="s">
        <v>113</v>
      </c>
      <c r="C5515" s="4" t="s">
        <v>464</v>
      </c>
      <c r="D5515" s="4" t="n">
        <v>45</v>
      </c>
      <c r="E5515" s="19" t="s">
        <v>246</v>
      </c>
      <c r="F5515" s="20" t="s">
        <v>465</v>
      </c>
    </row>
    <row r="5516" customFormat="false" ht="15" hidden="false" customHeight="false" outlineLevel="0" collapsed="false">
      <c r="A5516" s="4" t="str">
        <f aca="false">B5516&amp;"|"&amp;C5516</f>
        <v>tdbR00000025 Asp-GUC|45</v>
      </c>
      <c r="B5516" s="4" t="s">
        <v>113</v>
      </c>
      <c r="C5516" s="4" t="s">
        <v>466</v>
      </c>
      <c r="D5516" s="4" t="n">
        <v>46</v>
      </c>
      <c r="E5516" s="19" t="s">
        <v>197</v>
      </c>
      <c r="F5516" s="20" t="s">
        <v>465</v>
      </c>
    </row>
    <row r="5517" customFormat="false" ht="15" hidden="false" customHeight="false" outlineLevel="0" collapsed="false">
      <c r="A5517" s="4" t="str">
        <f aca="false">B5517&amp;"|"&amp;C5517</f>
        <v>tdbR00000025 Asp-GUC|46</v>
      </c>
      <c r="B5517" s="4" t="s">
        <v>113</v>
      </c>
      <c r="C5517" s="4" t="s">
        <v>467</v>
      </c>
      <c r="D5517" s="4" t="n">
        <v>47</v>
      </c>
      <c r="E5517" s="19" t="s">
        <v>246</v>
      </c>
      <c r="F5517" s="20" t="s">
        <v>465</v>
      </c>
    </row>
    <row r="5518" customFormat="false" ht="15" hidden="false" customHeight="false" outlineLevel="0" collapsed="false">
      <c r="A5518" s="4" t="str">
        <f aca="false">B5518&amp;"|"&amp;C5518</f>
        <v>tdbR00000025 Asp-GUC|47</v>
      </c>
      <c r="B5518" s="4" t="s">
        <v>113</v>
      </c>
      <c r="C5518" s="4" t="s">
        <v>468</v>
      </c>
      <c r="D5518" s="4" t="n">
        <v>48</v>
      </c>
      <c r="E5518" s="19" t="s">
        <v>259</v>
      </c>
      <c r="F5518" s="20" t="s">
        <v>465</v>
      </c>
    </row>
    <row r="5519" customFormat="false" ht="15" hidden="false" customHeight="false" outlineLevel="0" collapsed="false">
      <c r="A5519" s="4" t="str">
        <f aca="false">B5519&amp;"|"&amp;C5519</f>
        <v>tdbR00000025 Asp-GUC|48</v>
      </c>
      <c r="B5519" s="4" t="s">
        <v>113</v>
      </c>
      <c r="C5519" s="4" t="s">
        <v>469</v>
      </c>
      <c r="D5519" s="4" t="n">
        <v>49</v>
      </c>
      <c r="E5519" s="19" t="s">
        <v>414</v>
      </c>
      <c r="F5519" s="20" t="s">
        <v>465</v>
      </c>
    </row>
    <row r="5520" customFormat="false" ht="15" hidden="false" customHeight="false" outlineLevel="0" collapsed="false">
      <c r="A5520" s="4" t="str">
        <f aca="false">B5520&amp;"|"&amp;C5520</f>
        <v>tdbR00000025 Asp-GUC|49</v>
      </c>
      <c r="B5520" s="4" t="s">
        <v>113</v>
      </c>
      <c r="C5520" s="4" t="s">
        <v>470</v>
      </c>
      <c r="D5520" s="4" t="n">
        <v>50</v>
      </c>
      <c r="E5520" s="23" t="s">
        <v>197</v>
      </c>
      <c r="F5520" s="10" t="s">
        <v>471</v>
      </c>
    </row>
    <row r="5521" customFormat="false" ht="15" hidden="false" customHeight="false" outlineLevel="0" collapsed="false">
      <c r="A5521" s="4" t="str">
        <f aca="false">B5521&amp;"|"&amp;C5521</f>
        <v>tdbR00000025 Asp-GUC|50</v>
      </c>
      <c r="B5521" s="4" t="s">
        <v>113</v>
      </c>
      <c r="C5521" s="4" t="s">
        <v>472</v>
      </c>
      <c r="D5521" s="4" t="n">
        <v>51</v>
      </c>
      <c r="E5521" s="23" t="s">
        <v>414</v>
      </c>
      <c r="F5521" s="10" t="s">
        <v>471</v>
      </c>
    </row>
    <row r="5522" customFormat="false" ht="15" hidden="false" customHeight="false" outlineLevel="0" collapsed="false">
      <c r="A5522" s="4" t="str">
        <f aca="false">B5522&amp;"|"&amp;C5522</f>
        <v>tdbR00000025 Asp-GUC|51</v>
      </c>
      <c r="B5522" s="4" t="s">
        <v>113</v>
      </c>
      <c r="C5522" s="4" t="s">
        <v>473</v>
      </c>
      <c r="D5522" s="4" t="n">
        <v>52</v>
      </c>
      <c r="E5522" s="23" t="s">
        <v>197</v>
      </c>
      <c r="F5522" s="10" t="s">
        <v>471</v>
      </c>
    </row>
    <row r="5523" customFormat="false" ht="15" hidden="false" customHeight="false" outlineLevel="0" collapsed="false">
      <c r="A5523" s="4" t="str">
        <f aca="false">B5523&amp;"|"&amp;C5523</f>
        <v>tdbR00000025 Asp-GUC|52</v>
      </c>
      <c r="B5523" s="4" t="s">
        <v>113</v>
      </c>
      <c r="C5523" s="4" t="s">
        <v>474</v>
      </c>
      <c r="D5523" s="4" t="n">
        <v>53</v>
      </c>
      <c r="E5523" s="23" t="s">
        <v>197</v>
      </c>
      <c r="F5523" s="10" t="s">
        <v>471</v>
      </c>
    </row>
    <row r="5524" customFormat="false" ht="15" hidden="false" customHeight="false" outlineLevel="0" collapsed="false">
      <c r="A5524" s="4" t="str">
        <f aca="false">B5524&amp;"|"&amp;C5524</f>
        <v>tdbR00000025 Asp-GUC|53</v>
      </c>
      <c r="B5524" s="4" t="s">
        <v>113</v>
      </c>
      <c r="C5524" s="4" t="s">
        <v>475</v>
      </c>
      <c r="D5524" s="4" t="n">
        <v>54</v>
      </c>
      <c r="E5524" s="23" t="s">
        <v>197</v>
      </c>
      <c r="F5524" s="10" t="s">
        <v>471</v>
      </c>
    </row>
    <row r="5525" customFormat="false" ht="15" hidden="false" customHeight="false" outlineLevel="0" collapsed="false">
      <c r="A5525" s="4" t="str">
        <f aca="false">B5525&amp;"|"&amp;C5525</f>
        <v>tdbR00000025 Asp-GUC|54</v>
      </c>
      <c r="B5525" s="4" t="s">
        <v>113</v>
      </c>
      <c r="C5525" s="4" t="s">
        <v>476</v>
      </c>
      <c r="D5525" s="4" t="n">
        <v>55</v>
      </c>
      <c r="E5525" s="19" t="s">
        <v>259</v>
      </c>
      <c r="F5525" s="20" t="s">
        <v>477</v>
      </c>
    </row>
    <row r="5526" customFormat="false" ht="15" hidden="false" customHeight="false" outlineLevel="0" collapsed="false">
      <c r="A5526" s="4" t="str">
        <f aca="false">B5526&amp;"|"&amp;C5526</f>
        <v>tdbR00000025 Asp-GUC|55</v>
      </c>
      <c r="B5526" s="4" t="s">
        <v>113</v>
      </c>
      <c r="C5526" s="4" t="s">
        <v>478</v>
      </c>
      <c r="D5526" s="4" t="n">
        <v>56</v>
      </c>
      <c r="E5526" s="19" t="s">
        <v>259</v>
      </c>
      <c r="F5526" s="20" t="s">
        <v>477</v>
      </c>
    </row>
    <row r="5527" customFormat="false" ht="15" hidden="false" customHeight="false" outlineLevel="0" collapsed="false">
      <c r="A5527" s="4" t="str">
        <f aca="false">B5527&amp;"|"&amp;C5527</f>
        <v>tdbR00000025 Asp-GUC|56</v>
      </c>
      <c r="B5527" s="4" t="s">
        <v>113</v>
      </c>
      <c r="C5527" s="4" t="s">
        <v>479</v>
      </c>
      <c r="D5527" s="4" t="n">
        <v>57</v>
      </c>
      <c r="E5527" s="19" t="s">
        <v>414</v>
      </c>
      <c r="F5527" s="20" t="s">
        <v>477</v>
      </c>
    </row>
    <row r="5528" customFormat="false" ht="15" hidden="false" customHeight="false" outlineLevel="0" collapsed="false">
      <c r="A5528" s="4" t="str">
        <f aca="false">B5528&amp;"|"&amp;C5528</f>
        <v>tdbR00000025 Asp-GUC|57</v>
      </c>
      <c r="B5528" s="4" t="s">
        <v>113</v>
      </c>
      <c r="C5528" s="4" t="s">
        <v>480</v>
      </c>
      <c r="D5528" s="4" t="n">
        <v>58</v>
      </c>
      <c r="E5528" s="19" t="s">
        <v>197</v>
      </c>
      <c r="F5528" s="20" t="s">
        <v>477</v>
      </c>
    </row>
    <row r="5529" customFormat="false" ht="15" hidden="false" customHeight="false" outlineLevel="0" collapsed="false">
      <c r="A5529" s="4" t="str">
        <f aca="false">B5529&amp;"|"&amp;C5529</f>
        <v>tdbR00000025 Asp-GUC|58</v>
      </c>
      <c r="B5529" s="4" t="s">
        <v>113</v>
      </c>
      <c r="C5529" s="4" t="s">
        <v>481</v>
      </c>
      <c r="D5529" s="4" t="n">
        <v>59</v>
      </c>
      <c r="E5529" s="19" t="s">
        <v>246</v>
      </c>
      <c r="F5529" s="20" t="s">
        <v>477</v>
      </c>
    </row>
    <row r="5530" customFormat="false" ht="15" hidden="false" customHeight="false" outlineLevel="0" collapsed="false">
      <c r="A5530" s="4" t="str">
        <f aca="false">B5530&amp;"|"&amp;C5530</f>
        <v>tdbR00000025 Asp-GUC|59</v>
      </c>
      <c r="B5530" s="4" t="s">
        <v>113</v>
      </c>
      <c r="C5530" s="4" t="s">
        <v>482</v>
      </c>
      <c r="D5530" s="4" t="n">
        <v>60</v>
      </c>
      <c r="E5530" s="19" t="s">
        <v>197</v>
      </c>
      <c r="F5530" s="20" t="s">
        <v>477</v>
      </c>
    </row>
    <row r="5531" customFormat="false" ht="15" hidden="false" customHeight="false" outlineLevel="0" collapsed="false">
      <c r="A5531" s="4" t="str">
        <f aca="false">B5531&amp;"|"&amp;C5531</f>
        <v>tdbR00000025 Asp-GUC|60</v>
      </c>
      <c r="B5531" s="4" t="s">
        <v>113</v>
      </c>
      <c r="C5531" s="4" t="s">
        <v>483</v>
      </c>
      <c r="D5531" s="4" t="n">
        <v>61</v>
      </c>
      <c r="E5531" s="19" t="s">
        <v>259</v>
      </c>
      <c r="F5531" s="20" t="s">
        <v>477</v>
      </c>
    </row>
    <row r="5532" customFormat="false" ht="15" hidden="false" customHeight="false" outlineLevel="0" collapsed="false">
      <c r="A5532" s="4" t="str">
        <f aca="false">B5532&amp;"|"&amp;C5532</f>
        <v>tdbR00000025 Asp-GUC|61</v>
      </c>
      <c r="B5532" s="4" t="s">
        <v>113</v>
      </c>
      <c r="C5532" s="4" t="s">
        <v>484</v>
      </c>
      <c r="D5532" s="4" t="n">
        <v>62</v>
      </c>
      <c r="E5532" s="23" t="s">
        <v>414</v>
      </c>
      <c r="F5532" s="10" t="s">
        <v>471</v>
      </c>
    </row>
    <row r="5533" customFormat="false" ht="15" hidden="false" customHeight="false" outlineLevel="0" collapsed="false">
      <c r="A5533" s="4" t="str">
        <f aca="false">B5533&amp;"|"&amp;C5533</f>
        <v>tdbR00000025 Asp-GUC|62</v>
      </c>
      <c r="B5533" s="4" t="s">
        <v>113</v>
      </c>
      <c r="C5533" s="4" t="s">
        <v>485</v>
      </c>
      <c r="D5533" s="4" t="n">
        <v>63</v>
      </c>
      <c r="E5533" s="23" t="s">
        <v>414</v>
      </c>
      <c r="F5533" s="10" t="s">
        <v>471</v>
      </c>
    </row>
    <row r="5534" customFormat="false" ht="15" hidden="false" customHeight="false" outlineLevel="0" collapsed="false">
      <c r="A5534" s="4" t="str">
        <f aca="false">B5534&amp;"|"&amp;C5534</f>
        <v>tdbR00000025 Asp-GUC|63</v>
      </c>
      <c r="B5534" s="4" t="s">
        <v>113</v>
      </c>
      <c r="C5534" s="4" t="s">
        <v>486</v>
      </c>
      <c r="D5534" s="4" t="n">
        <v>64</v>
      </c>
      <c r="E5534" s="23" t="s">
        <v>414</v>
      </c>
      <c r="F5534" s="10" t="s">
        <v>471</v>
      </c>
    </row>
    <row r="5535" customFormat="false" ht="15" hidden="false" customHeight="false" outlineLevel="0" collapsed="false">
      <c r="A5535" s="4" t="str">
        <f aca="false">B5535&amp;"|"&amp;C5535</f>
        <v>tdbR00000025 Asp-GUC|64</v>
      </c>
      <c r="B5535" s="4" t="s">
        <v>113</v>
      </c>
      <c r="C5535" s="4" t="s">
        <v>487</v>
      </c>
      <c r="D5535" s="4" t="n">
        <v>65</v>
      </c>
      <c r="E5535" s="23" t="s">
        <v>197</v>
      </c>
      <c r="F5535" s="10" t="s">
        <v>471</v>
      </c>
    </row>
    <row r="5536" customFormat="false" ht="15" hidden="false" customHeight="false" outlineLevel="0" collapsed="false">
      <c r="A5536" s="4" t="str">
        <f aca="false">B5536&amp;"|"&amp;C5536</f>
        <v>tdbR00000025 Asp-GUC|65</v>
      </c>
      <c r="B5536" s="4" t="s">
        <v>113</v>
      </c>
      <c r="C5536" s="4" t="s">
        <v>488</v>
      </c>
      <c r="D5536" s="4" t="n">
        <v>66</v>
      </c>
      <c r="E5536" s="23" t="s">
        <v>259</v>
      </c>
      <c r="F5536" s="10" t="s">
        <v>471</v>
      </c>
    </row>
    <row r="5537" customFormat="false" ht="15" hidden="false" customHeight="false" outlineLevel="0" collapsed="false">
      <c r="A5537" s="4" t="str">
        <f aca="false">B5537&amp;"|"&amp;C5537</f>
        <v>tdbR00000025 Asp-GUC|66</v>
      </c>
      <c r="B5537" s="4" t="s">
        <v>113</v>
      </c>
      <c r="C5537" s="4" t="s">
        <v>489</v>
      </c>
      <c r="D5537" s="4" t="n">
        <v>67</v>
      </c>
      <c r="E5537" s="17" t="s">
        <v>414</v>
      </c>
      <c r="F5537" s="18" t="s">
        <v>412</v>
      </c>
    </row>
    <row r="5538" customFormat="false" ht="15" hidden="false" customHeight="false" outlineLevel="0" collapsed="false">
      <c r="A5538" s="4" t="str">
        <f aca="false">B5538&amp;"|"&amp;C5538</f>
        <v>tdbR00000025 Asp-GUC|67</v>
      </c>
      <c r="B5538" s="4" t="s">
        <v>113</v>
      </c>
      <c r="C5538" s="4" t="s">
        <v>490</v>
      </c>
      <c r="D5538" s="4" t="n">
        <v>68</v>
      </c>
      <c r="E5538" s="17" t="s">
        <v>197</v>
      </c>
      <c r="F5538" s="18" t="s">
        <v>412</v>
      </c>
    </row>
    <row r="5539" customFormat="false" ht="15" hidden="false" customHeight="false" outlineLevel="0" collapsed="false">
      <c r="A5539" s="4" t="str">
        <f aca="false">B5539&amp;"|"&amp;C5539</f>
        <v>tdbR00000025 Asp-GUC|68</v>
      </c>
      <c r="B5539" s="4" t="s">
        <v>113</v>
      </c>
      <c r="C5539" s="4" t="s">
        <v>491</v>
      </c>
      <c r="D5539" s="4" t="n">
        <v>69</v>
      </c>
      <c r="E5539" s="17" t="s">
        <v>197</v>
      </c>
      <c r="F5539" s="18" t="s">
        <v>412</v>
      </c>
    </row>
    <row r="5540" customFormat="false" ht="15" hidden="false" customHeight="false" outlineLevel="0" collapsed="false">
      <c r="A5540" s="4" t="str">
        <f aca="false">B5540&amp;"|"&amp;C5540</f>
        <v>tdbR00000025 Asp-GUC|69</v>
      </c>
      <c r="B5540" s="4" t="s">
        <v>113</v>
      </c>
      <c r="C5540" s="4" t="s">
        <v>492</v>
      </c>
      <c r="D5540" s="4" t="n">
        <v>70</v>
      </c>
      <c r="E5540" s="17" t="s">
        <v>197</v>
      </c>
      <c r="F5540" s="18" t="s">
        <v>412</v>
      </c>
    </row>
    <row r="5541" customFormat="false" ht="15" hidden="false" customHeight="false" outlineLevel="0" collapsed="false">
      <c r="A5541" s="4" t="str">
        <f aca="false">B5541&amp;"|"&amp;C5541</f>
        <v>tdbR00000025 Asp-GUC|70</v>
      </c>
      <c r="B5541" s="4" t="s">
        <v>113</v>
      </c>
      <c r="C5541" s="4" t="s">
        <v>493</v>
      </c>
      <c r="D5541" s="4" t="n">
        <v>71</v>
      </c>
      <c r="E5541" s="17" t="s">
        <v>197</v>
      </c>
      <c r="F5541" s="18" t="s">
        <v>412</v>
      </c>
    </row>
    <row r="5542" customFormat="false" ht="15" hidden="false" customHeight="false" outlineLevel="0" collapsed="false">
      <c r="A5542" s="4" t="str">
        <f aca="false">B5542&amp;"|"&amp;C5542</f>
        <v>tdbR00000025 Asp-GUC|71</v>
      </c>
      <c r="B5542" s="4" t="s">
        <v>113</v>
      </c>
      <c r="C5542" s="4" t="s">
        <v>494</v>
      </c>
      <c r="D5542" s="4" t="n">
        <v>72</v>
      </c>
      <c r="E5542" s="17" t="s">
        <v>414</v>
      </c>
      <c r="F5542" s="18" t="s">
        <v>412</v>
      </c>
    </row>
    <row r="5543" customFormat="false" ht="15" hidden="false" customHeight="false" outlineLevel="0" collapsed="false">
      <c r="A5543" s="4" t="str">
        <f aca="false">B5543&amp;"|"&amp;C5543</f>
        <v>tdbR00000025 Asp-GUC|72</v>
      </c>
      <c r="B5543" s="4" t="s">
        <v>113</v>
      </c>
      <c r="C5543" s="4" t="s">
        <v>495</v>
      </c>
      <c r="D5543" s="4" t="n">
        <v>73</v>
      </c>
      <c r="E5543" s="17" t="s">
        <v>414</v>
      </c>
      <c r="F5543" s="18" t="s">
        <v>412</v>
      </c>
    </row>
    <row r="5544" customFormat="false" ht="15" hidden="false" customHeight="false" outlineLevel="0" collapsed="false">
      <c r="A5544" s="4" t="str">
        <f aca="false">B5544&amp;"|"&amp;C5544</f>
        <v>tdbR00000157 Ile-GAU|1</v>
      </c>
      <c r="B5544" s="4" t="s">
        <v>114</v>
      </c>
      <c r="C5544" s="4" t="s">
        <v>411</v>
      </c>
      <c r="D5544" s="4" t="n">
        <v>1</v>
      </c>
      <c r="E5544" s="17" t="s">
        <v>197</v>
      </c>
      <c r="F5544" s="18" t="s">
        <v>412</v>
      </c>
    </row>
    <row r="5545" customFormat="false" ht="15" hidden="false" customHeight="false" outlineLevel="0" collapsed="false">
      <c r="A5545" s="4" t="str">
        <f aca="false">B5545&amp;"|"&amp;C5545</f>
        <v>tdbR00000157 Ile-GAU|2</v>
      </c>
      <c r="B5545" s="4" t="s">
        <v>114</v>
      </c>
      <c r="C5545" s="4" t="s">
        <v>413</v>
      </c>
      <c r="D5545" s="4" t="n">
        <v>2</v>
      </c>
      <c r="E5545" s="17" t="s">
        <v>197</v>
      </c>
      <c r="F5545" s="18" t="s">
        <v>412</v>
      </c>
    </row>
    <row r="5546" customFormat="false" ht="15" hidden="false" customHeight="false" outlineLevel="0" collapsed="false">
      <c r="A5546" s="4" t="str">
        <f aca="false">B5546&amp;"|"&amp;C5546</f>
        <v>tdbR00000157 Ile-GAU|3</v>
      </c>
      <c r="B5546" s="4" t="s">
        <v>114</v>
      </c>
      <c r="C5546" s="4" t="s">
        <v>415</v>
      </c>
      <c r="D5546" s="4" t="n">
        <v>3</v>
      </c>
      <c r="E5546" s="17" t="s">
        <v>197</v>
      </c>
      <c r="F5546" s="18" t="s">
        <v>412</v>
      </c>
    </row>
    <row r="5547" customFormat="false" ht="15" hidden="false" customHeight="false" outlineLevel="0" collapsed="false">
      <c r="A5547" s="4" t="str">
        <f aca="false">B5547&amp;"|"&amp;C5547</f>
        <v>tdbR00000157 Ile-GAU|4</v>
      </c>
      <c r="B5547" s="4" t="s">
        <v>114</v>
      </c>
      <c r="C5547" s="4" t="s">
        <v>416</v>
      </c>
      <c r="D5547" s="4" t="n">
        <v>4</v>
      </c>
      <c r="E5547" s="17" t="s">
        <v>414</v>
      </c>
      <c r="F5547" s="18" t="s">
        <v>412</v>
      </c>
    </row>
    <row r="5548" customFormat="false" ht="15" hidden="false" customHeight="false" outlineLevel="0" collapsed="false">
      <c r="A5548" s="4" t="str">
        <f aca="false">B5548&amp;"|"&amp;C5548</f>
        <v>tdbR00000157 Ile-GAU|5</v>
      </c>
      <c r="B5548" s="4" t="s">
        <v>114</v>
      </c>
      <c r="C5548" s="4" t="s">
        <v>417</v>
      </c>
      <c r="D5548" s="4" t="n">
        <v>5</v>
      </c>
      <c r="E5548" s="17" t="s">
        <v>197</v>
      </c>
      <c r="F5548" s="18" t="s">
        <v>412</v>
      </c>
    </row>
    <row r="5549" customFormat="false" ht="15" hidden="false" customHeight="false" outlineLevel="0" collapsed="false">
      <c r="A5549" s="4" t="str">
        <f aca="false">B5549&amp;"|"&amp;C5549</f>
        <v>tdbR00000157 Ile-GAU|6</v>
      </c>
      <c r="B5549" s="4" t="s">
        <v>114</v>
      </c>
      <c r="C5549" s="4" t="s">
        <v>418</v>
      </c>
      <c r="D5549" s="4" t="n">
        <v>6</v>
      </c>
      <c r="E5549" s="17" t="s">
        <v>246</v>
      </c>
      <c r="F5549" s="18" t="s">
        <v>412</v>
      </c>
    </row>
    <row r="5550" customFormat="false" ht="15" hidden="false" customHeight="false" outlineLevel="0" collapsed="false">
      <c r="A5550" s="4" t="str">
        <f aca="false">B5550&amp;"|"&amp;C5550</f>
        <v>tdbR00000157 Ile-GAU|7</v>
      </c>
      <c r="B5550" s="4" t="s">
        <v>114</v>
      </c>
      <c r="C5550" s="4" t="s">
        <v>419</v>
      </c>
      <c r="D5550" s="4" t="n">
        <v>7</v>
      </c>
      <c r="E5550" s="17" t="s">
        <v>259</v>
      </c>
      <c r="F5550" s="18" t="s">
        <v>412</v>
      </c>
    </row>
    <row r="5551" customFormat="false" ht="15" hidden="false" customHeight="false" outlineLevel="0" collapsed="false">
      <c r="A5551" s="4" t="str">
        <f aca="false">B5551&amp;"|"&amp;C5551</f>
        <v>tdbR00000157 Ile-GAU|8</v>
      </c>
      <c r="B5551" s="4" t="s">
        <v>114</v>
      </c>
      <c r="C5551" s="4" t="s">
        <v>420</v>
      </c>
      <c r="D5551" s="4" t="n">
        <v>8</v>
      </c>
      <c r="E5551" s="3" t="s">
        <v>259</v>
      </c>
      <c r="F5551" s="4" t="s">
        <v>421</v>
      </c>
    </row>
    <row r="5552" customFormat="false" ht="15" hidden="false" customHeight="false" outlineLevel="0" collapsed="false">
      <c r="A5552" s="4" t="str">
        <f aca="false">B5552&amp;"|"&amp;C5552</f>
        <v>tdbR00000157 Ile-GAU|9</v>
      </c>
      <c r="B5552" s="4" t="s">
        <v>114</v>
      </c>
      <c r="C5552" s="4" t="s">
        <v>422</v>
      </c>
      <c r="D5552" s="4" t="n">
        <v>9</v>
      </c>
      <c r="E5552" s="3" t="s">
        <v>246</v>
      </c>
      <c r="F5552" s="4" t="s">
        <v>423</v>
      </c>
    </row>
    <row r="5553" customFormat="false" ht="15" hidden="false" customHeight="false" outlineLevel="0" collapsed="false">
      <c r="A5553" s="4" t="str">
        <f aca="false">B5553&amp;"|"&amp;C5553</f>
        <v>tdbR00000157 Ile-GAU|10</v>
      </c>
      <c r="B5553" s="4" t="s">
        <v>114</v>
      </c>
      <c r="C5553" s="4" t="s">
        <v>424</v>
      </c>
      <c r="D5553" s="4" t="n">
        <v>10</v>
      </c>
      <c r="E5553" s="8" t="s">
        <v>197</v>
      </c>
      <c r="F5553" s="7" t="s">
        <v>425</v>
      </c>
    </row>
    <row r="5554" customFormat="false" ht="15" hidden="false" customHeight="false" outlineLevel="0" collapsed="false">
      <c r="A5554" s="4" t="str">
        <f aca="false">B5554&amp;"|"&amp;C5554</f>
        <v>tdbR00000157 Ile-GAU|11</v>
      </c>
      <c r="B5554" s="4" t="s">
        <v>114</v>
      </c>
      <c r="C5554" s="4" t="s">
        <v>426</v>
      </c>
      <c r="D5554" s="4" t="n">
        <v>11</v>
      </c>
      <c r="E5554" s="8" t="s">
        <v>414</v>
      </c>
      <c r="F5554" s="7" t="s">
        <v>425</v>
      </c>
    </row>
    <row r="5555" customFormat="false" ht="15" hidden="false" customHeight="false" outlineLevel="0" collapsed="false">
      <c r="A5555" s="4" t="str">
        <f aca="false">B5555&amp;"|"&amp;C5555</f>
        <v>tdbR00000157 Ile-GAU|12</v>
      </c>
      <c r="B5555" s="4" t="s">
        <v>114</v>
      </c>
      <c r="C5555" s="4" t="s">
        <v>427</v>
      </c>
      <c r="D5555" s="4" t="n">
        <v>12</v>
      </c>
      <c r="E5555" s="8" t="s">
        <v>259</v>
      </c>
      <c r="F5555" s="7" t="s">
        <v>425</v>
      </c>
    </row>
    <row r="5556" customFormat="false" ht="15" hidden="false" customHeight="false" outlineLevel="0" collapsed="false">
      <c r="A5556" s="4" t="str">
        <f aca="false">B5556&amp;"|"&amp;C5556</f>
        <v>tdbR00000157 Ile-GAU|13</v>
      </c>
      <c r="B5556" s="4" t="s">
        <v>114</v>
      </c>
      <c r="C5556" s="4" t="s">
        <v>428</v>
      </c>
      <c r="D5556" s="4" t="n">
        <v>13</v>
      </c>
      <c r="E5556" s="8" t="s">
        <v>414</v>
      </c>
      <c r="F5556" s="7" t="s">
        <v>425</v>
      </c>
    </row>
    <row r="5557" customFormat="false" ht="15" hidden="false" customHeight="false" outlineLevel="0" collapsed="false">
      <c r="A5557" s="4" t="str">
        <f aca="false">B5557&amp;"|"&amp;C5557</f>
        <v>tdbR00000157 Ile-GAU|14</v>
      </c>
      <c r="B5557" s="4" t="s">
        <v>114</v>
      </c>
      <c r="C5557" s="4" t="s">
        <v>429</v>
      </c>
      <c r="D5557" s="4" t="n">
        <v>14</v>
      </c>
      <c r="E5557" s="19" t="s">
        <v>246</v>
      </c>
      <c r="F5557" s="20" t="s">
        <v>430</v>
      </c>
    </row>
    <row r="5558" customFormat="false" ht="15" hidden="false" customHeight="false" outlineLevel="0" collapsed="false">
      <c r="A5558" s="4" t="str">
        <f aca="false">B5558&amp;"|"&amp;C5558</f>
        <v>tdbR00000157 Ile-GAU|15</v>
      </c>
      <c r="B5558" s="4" t="s">
        <v>114</v>
      </c>
      <c r="C5558" s="4" t="s">
        <v>431</v>
      </c>
      <c r="D5558" s="4" t="n">
        <v>15</v>
      </c>
      <c r="E5558" s="19" t="s">
        <v>197</v>
      </c>
      <c r="F5558" s="20" t="s">
        <v>430</v>
      </c>
    </row>
    <row r="5559" customFormat="false" ht="15" hidden="false" customHeight="false" outlineLevel="0" collapsed="false">
      <c r="A5559" s="4" t="str">
        <f aca="false">B5559&amp;"|"&amp;C5559</f>
        <v>tdbR00000157 Ile-GAU|16</v>
      </c>
      <c r="B5559" s="4" t="s">
        <v>114</v>
      </c>
      <c r="C5559" s="4" t="s">
        <v>432</v>
      </c>
      <c r="D5559" s="4" t="n">
        <v>16</v>
      </c>
      <c r="E5559" s="19" t="s">
        <v>414</v>
      </c>
      <c r="F5559" s="20" t="s">
        <v>430</v>
      </c>
    </row>
    <row r="5560" customFormat="false" ht="15" hidden="false" customHeight="false" outlineLevel="0" collapsed="false">
      <c r="A5560" s="4" t="str">
        <f aca="false">B5560&amp;"|"&amp;C5560</f>
        <v>tdbR00000157 Ile-GAU|17</v>
      </c>
      <c r="B5560" s="4" t="s">
        <v>114</v>
      </c>
      <c r="C5560" s="4" t="s">
        <v>433</v>
      </c>
      <c r="D5560" s="4" t="n">
        <v>17</v>
      </c>
      <c r="E5560" s="19" t="s">
        <v>259</v>
      </c>
      <c r="F5560" s="20" t="s">
        <v>430</v>
      </c>
    </row>
    <row r="5561" customFormat="false" ht="15" hidden="false" customHeight="false" outlineLevel="0" collapsed="false">
      <c r="A5561" s="4" t="str">
        <f aca="false">B5561&amp;"|"&amp;C5561</f>
        <v>tdbR00000157 Ile-GAU|18</v>
      </c>
      <c r="B5561" s="4" t="s">
        <v>114</v>
      </c>
      <c r="C5561" s="4" t="s">
        <v>434</v>
      </c>
      <c r="D5561" s="4" t="n">
        <v>18</v>
      </c>
      <c r="E5561" s="19" t="s">
        <v>197</v>
      </c>
      <c r="F5561" s="20" t="s">
        <v>430</v>
      </c>
    </row>
    <row r="5562" customFormat="false" ht="15" hidden="false" customHeight="false" outlineLevel="0" collapsed="false">
      <c r="A5562" s="4" t="str">
        <f aca="false">B5562&amp;"|"&amp;C5562</f>
        <v>tdbR00000157 Ile-GAU|19</v>
      </c>
      <c r="B5562" s="4" t="s">
        <v>114</v>
      </c>
      <c r="C5562" s="4" t="s">
        <v>435</v>
      </c>
      <c r="D5562" s="4" t="n">
        <v>19</v>
      </c>
      <c r="E5562" s="19" t="s">
        <v>197</v>
      </c>
      <c r="F5562" s="20" t="s">
        <v>430</v>
      </c>
    </row>
    <row r="5563" customFormat="false" ht="15" hidden="false" customHeight="false" outlineLevel="0" collapsed="false">
      <c r="A5563" s="4" t="str">
        <f aca="false">B5563&amp;"|"&amp;C5563</f>
        <v>tdbR00000157 Ile-GAU|20</v>
      </c>
      <c r="B5563" s="4" t="s">
        <v>114</v>
      </c>
      <c r="C5563" s="4" t="s">
        <v>436</v>
      </c>
      <c r="D5563" s="4" t="n">
        <v>20</v>
      </c>
      <c r="E5563" s="19" t="s">
        <v>259</v>
      </c>
      <c r="F5563" s="20" t="s">
        <v>430</v>
      </c>
    </row>
    <row r="5564" customFormat="false" ht="15" hidden="false" customHeight="false" outlineLevel="0" collapsed="false">
      <c r="A5564" s="4" t="str">
        <f aca="false">B5564&amp;"|"&amp;C5564</f>
        <v>tdbR00000157 Ile-GAU|20a</v>
      </c>
      <c r="B5564" s="4" t="s">
        <v>114</v>
      </c>
      <c r="C5564" s="4" t="s">
        <v>437</v>
      </c>
      <c r="D5564" s="4" t="n">
        <v>21</v>
      </c>
      <c r="E5564" s="19" t="s">
        <v>259</v>
      </c>
      <c r="F5564" s="20" t="s">
        <v>430</v>
      </c>
    </row>
    <row r="5565" customFormat="false" ht="15" hidden="false" customHeight="false" outlineLevel="0" collapsed="false">
      <c r="A5565" s="4" t="str">
        <f aca="false">B5565&amp;"|"&amp;C5565</f>
        <v>tdbR00000157 Ile-GAU|21</v>
      </c>
      <c r="B5565" s="4" t="s">
        <v>114</v>
      </c>
      <c r="C5565" s="4" t="s">
        <v>438</v>
      </c>
      <c r="D5565" s="4" t="n">
        <v>22</v>
      </c>
      <c r="E5565" s="19" t="s">
        <v>246</v>
      </c>
      <c r="F5565" s="20" t="s">
        <v>430</v>
      </c>
    </row>
    <row r="5566" customFormat="false" ht="15" hidden="false" customHeight="false" outlineLevel="0" collapsed="false">
      <c r="A5566" s="4" t="str">
        <f aca="false">B5566&amp;"|"&amp;C5566</f>
        <v>tdbR00000157 Ile-GAU|22</v>
      </c>
      <c r="B5566" s="4" t="s">
        <v>114</v>
      </c>
      <c r="C5566" s="4" t="s">
        <v>439</v>
      </c>
      <c r="D5566" s="4" t="n">
        <v>23</v>
      </c>
      <c r="E5566" s="8" t="s">
        <v>197</v>
      </c>
      <c r="F5566" s="7" t="s">
        <v>425</v>
      </c>
    </row>
    <row r="5567" customFormat="false" ht="15" hidden="false" customHeight="false" outlineLevel="0" collapsed="false">
      <c r="A5567" s="4" t="str">
        <f aca="false">B5567&amp;"|"&amp;C5567</f>
        <v>tdbR00000157 Ile-GAU|23</v>
      </c>
      <c r="B5567" s="4" t="s">
        <v>114</v>
      </c>
      <c r="C5567" s="4" t="s">
        <v>440</v>
      </c>
      <c r="D5567" s="4" t="n">
        <v>24</v>
      </c>
      <c r="E5567" s="8" t="s">
        <v>246</v>
      </c>
      <c r="F5567" s="7" t="s">
        <v>425</v>
      </c>
    </row>
    <row r="5568" customFormat="false" ht="15" hidden="false" customHeight="false" outlineLevel="0" collapsed="false">
      <c r="A5568" s="4" t="str">
        <f aca="false">B5568&amp;"|"&amp;C5568</f>
        <v>tdbR00000157 Ile-GAU|24</v>
      </c>
      <c r="B5568" s="4" t="s">
        <v>114</v>
      </c>
      <c r="C5568" s="4" t="s">
        <v>441</v>
      </c>
      <c r="D5568" s="4" t="n">
        <v>25</v>
      </c>
      <c r="E5568" s="8" t="s">
        <v>197</v>
      </c>
      <c r="F5568" s="7" t="s">
        <v>425</v>
      </c>
    </row>
    <row r="5569" customFormat="false" ht="15" hidden="false" customHeight="false" outlineLevel="0" collapsed="false">
      <c r="A5569" s="4" t="str">
        <f aca="false">B5569&amp;"|"&amp;C5569</f>
        <v>tdbR00000157 Ile-GAU|25</v>
      </c>
      <c r="B5569" s="4" t="s">
        <v>114</v>
      </c>
      <c r="C5569" s="4" t="s">
        <v>442</v>
      </c>
      <c r="D5569" s="4" t="n">
        <v>26</v>
      </c>
      <c r="E5569" s="8" t="s">
        <v>414</v>
      </c>
      <c r="F5569" s="7" t="s">
        <v>425</v>
      </c>
    </row>
    <row r="5570" customFormat="false" ht="15" hidden="false" customHeight="false" outlineLevel="0" collapsed="false">
      <c r="A5570" s="4" t="str">
        <f aca="false">B5570&amp;"|"&amp;C5570</f>
        <v>tdbR00000157 Ile-GAU|26</v>
      </c>
      <c r="B5570" s="4" t="s">
        <v>114</v>
      </c>
      <c r="C5570" s="4" t="s">
        <v>443</v>
      </c>
      <c r="D5570" s="4" t="n">
        <v>27</v>
      </c>
      <c r="E5570" s="3" t="s">
        <v>197</v>
      </c>
      <c r="F5570" s="4" t="s">
        <v>444</v>
      </c>
    </row>
    <row r="5571" customFormat="false" ht="15" hidden="false" customHeight="false" outlineLevel="0" collapsed="false">
      <c r="A5571" s="4" t="str">
        <f aca="false">B5571&amp;"|"&amp;C5571</f>
        <v>tdbR00000157 Ile-GAU|27</v>
      </c>
      <c r="B5571" s="4" t="s">
        <v>114</v>
      </c>
      <c r="C5571" s="4" t="s">
        <v>445</v>
      </c>
      <c r="D5571" s="4" t="n">
        <v>28</v>
      </c>
      <c r="E5571" s="21" t="s">
        <v>414</v>
      </c>
      <c r="F5571" s="22" t="s">
        <v>446</v>
      </c>
    </row>
    <row r="5572" customFormat="false" ht="15" hidden="false" customHeight="false" outlineLevel="0" collapsed="false">
      <c r="A5572" s="4" t="str">
        <f aca="false">B5572&amp;"|"&amp;C5572</f>
        <v>tdbR00000157 Ile-GAU|28</v>
      </c>
      <c r="B5572" s="4" t="s">
        <v>114</v>
      </c>
      <c r="C5572" s="4" t="s">
        <v>447</v>
      </c>
      <c r="D5572" s="4" t="n">
        <v>29</v>
      </c>
      <c r="E5572" s="21" t="s">
        <v>246</v>
      </c>
      <c r="F5572" s="22" t="s">
        <v>446</v>
      </c>
    </row>
    <row r="5573" customFormat="false" ht="15" hidden="false" customHeight="false" outlineLevel="0" collapsed="false">
      <c r="A5573" s="4" t="str">
        <f aca="false">B5573&amp;"|"&amp;C5573</f>
        <v>tdbR00000157 Ile-GAU|29</v>
      </c>
      <c r="B5573" s="4" t="s">
        <v>114</v>
      </c>
      <c r="C5573" s="4" t="s">
        <v>448</v>
      </c>
      <c r="D5573" s="4" t="n">
        <v>30</v>
      </c>
      <c r="E5573" s="21" t="s">
        <v>414</v>
      </c>
      <c r="F5573" s="22" t="s">
        <v>446</v>
      </c>
    </row>
    <row r="5574" customFormat="false" ht="15" hidden="false" customHeight="false" outlineLevel="0" collapsed="false">
      <c r="A5574" s="4" t="str">
        <f aca="false">B5574&amp;"|"&amp;C5574</f>
        <v>tdbR00000157 Ile-GAU|30</v>
      </c>
      <c r="B5574" s="4" t="s">
        <v>114</v>
      </c>
      <c r="C5574" s="4" t="s">
        <v>449</v>
      </c>
      <c r="D5574" s="4" t="n">
        <v>31</v>
      </c>
      <c r="E5574" s="21" t="s">
        <v>197</v>
      </c>
      <c r="F5574" s="22" t="s">
        <v>446</v>
      </c>
    </row>
    <row r="5575" customFormat="false" ht="15" hidden="false" customHeight="false" outlineLevel="0" collapsed="false">
      <c r="A5575" s="4" t="str">
        <f aca="false">B5575&amp;"|"&amp;C5575</f>
        <v>tdbR00000157 Ile-GAU|31</v>
      </c>
      <c r="B5575" s="4" t="s">
        <v>114</v>
      </c>
      <c r="C5575" s="4" t="s">
        <v>450</v>
      </c>
      <c r="D5575" s="4" t="n">
        <v>32</v>
      </c>
      <c r="E5575" s="21" t="s">
        <v>414</v>
      </c>
      <c r="F5575" s="22" t="s">
        <v>446</v>
      </c>
    </row>
    <row r="5576" customFormat="false" ht="15" hidden="false" customHeight="false" outlineLevel="0" collapsed="false">
      <c r="A5576" s="4" t="str">
        <f aca="false">B5576&amp;"|"&amp;C5576</f>
        <v>tdbR00000157 Ile-GAU|32</v>
      </c>
      <c r="B5576" s="4" t="s">
        <v>114</v>
      </c>
      <c r="C5576" s="4" t="s">
        <v>451</v>
      </c>
      <c r="D5576" s="4" t="n">
        <v>33</v>
      </c>
      <c r="E5576" s="19" t="s">
        <v>414</v>
      </c>
      <c r="F5576" s="20" t="s">
        <v>452</v>
      </c>
    </row>
    <row r="5577" customFormat="false" ht="15" hidden="false" customHeight="false" outlineLevel="0" collapsed="false">
      <c r="A5577" s="4" t="str">
        <f aca="false">B5577&amp;"|"&amp;C5577</f>
        <v>tdbR00000157 Ile-GAU|33</v>
      </c>
      <c r="B5577" s="4" t="s">
        <v>114</v>
      </c>
      <c r="C5577" s="4" t="s">
        <v>453</v>
      </c>
      <c r="D5577" s="4" t="n">
        <v>34</v>
      </c>
      <c r="E5577" s="19" t="s">
        <v>259</v>
      </c>
      <c r="F5577" s="20" t="s">
        <v>452</v>
      </c>
    </row>
    <row r="5578" customFormat="false" ht="15" hidden="false" customHeight="false" outlineLevel="0" collapsed="false">
      <c r="A5578" s="4" t="str">
        <f aca="false">B5578&amp;"|"&amp;C5578</f>
        <v>tdbR00000157 Ile-GAU|34</v>
      </c>
      <c r="B5578" s="4" t="s">
        <v>114</v>
      </c>
      <c r="C5578" s="4" t="s">
        <v>454</v>
      </c>
      <c r="D5578" s="4" t="n">
        <v>35</v>
      </c>
      <c r="E5578" s="19" t="s">
        <v>197</v>
      </c>
      <c r="F5578" s="20" t="s">
        <v>452</v>
      </c>
    </row>
    <row r="5579" customFormat="false" ht="15" hidden="false" customHeight="false" outlineLevel="0" collapsed="false">
      <c r="A5579" s="4" t="str">
        <f aca="false">B5579&amp;"|"&amp;C5579</f>
        <v>tdbR00000157 Ile-GAU|35</v>
      </c>
      <c r="B5579" s="4" t="s">
        <v>114</v>
      </c>
      <c r="C5579" s="4" t="s">
        <v>455</v>
      </c>
      <c r="D5579" s="4" t="n">
        <v>36</v>
      </c>
      <c r="E5579" s="19" t="s">
        <v>246</v>
      </c>
      <c r="F5579" s="20" t="s">
        <v>452</v>
      </c>
    </row>
    <row r="5580" customFormat="false" ht="15" hidden="false" customHeight="false" outlineLevel="0" collapsed="false">
      <c r="A5580" s="4" t="str">
        <f aca="false">B5580&amp;"|"&amp;C5580</f>
        <v>tdbR00000157 Ile-GAU|36</v>
      </c>
      <c r="B5580" s="4" t="s">
        <v>114</v>
      </c>
      <c r="C5580" s="4" t="s">
        <v>456</v>
      </c>
      <c r="D5580" s="4" t="n">
        <v>37</v>
      </c>
      <c r="E5580" s="19" t="s">
        <v>259</v>
      </c>
      <c r="F5580" s="20" t="s">
        <v>452</v>
      </c>
    </row>
    <row r="5581" customFormat="false" ht="15" hidden="false" customHeight="false" outlineLevel="0" collapsed="false">
      <c r="A5581" s="4" t="str">
        <f aca="false">B5581&amp;"|"&amp;C5581</f>
        <v>tdbR00000157 Ile-GAU|37</v>
      </c>
      <c r="B5581" s="4" t="s">
        <v>114</v>
      </c>
      <c r="C5581" s="4" t="s">
        <v>457</v>
      </c>
      <c r="D5581" s="4" t="n">
        <v>38</v>
      </c>
      <c r="E5581" s="19" t="s">
        <v>246</v>
      </c>
      <c r="F5581" s="20" t="s">
        <v>452</v>
      </c>
    </row>
    <row r="5582" customFormat="false" ht="15" hidden="false" customHeight="false" outlineLevel="0" collapsed="false">
      <c r="A5582" s="4" t="str">
        <f aca="false">B5582&amp;"|"&amp;C5582</f>
        <v>tdbR00000157 Ile-GAU|38</v>
      </c>
      <c r="B5582" s="4" t="s">
        <v>114</v>
      </c>
      <c r="C5582" s="4" t="s">
        <v>458</v>
      </c>
      <c r="D5582" s="4" t="n">
        <v>39</v>
      </c>
      <c r="E5582" s="19" t="s">
        <v>246</v>
      </c>
      <c r="F5582" s="20" t="s">
        <v>452</v>
      </c>
    </row>
    <row r="5583" customFormat="false" ht="15" hidden="false" customHeight="false" outlineLevel="0" collapsed="false">
      <c r="A5583" s="4" t="str">
        <f aca="false">B5583&amp;"|"&amp;C5583</f>
        <v>tdbR00000157 Ile-GAU|39</v>
      </c>
      <c r="B5583" s="4" t="s">
        <v>114</v>
      </c>
      <c r="C5583" s="4" t="s">
        <v>459</v>
      </c>
      <c r="D5583" s="4" t="n">
        <v>40</v>
      </c>
      <c r="E5583" s="21" t="s">
        <v>197</v>
      </c>
      <c r="F5583" s="22" t="s">
        <v>446</v>
      </c>
    </row>
    <row r="5584" customFormat="false" ht="15" hidden="false" customHeight="false" outlineLevel="0" collapsed="false">
      <c r="A5584" s="4" t="str">
        <f aca="false">B5584&amp;"|"&amp;C5584</f>
        <v>tdbR00000157 Ile-GAU|40</v>
      </c>
      <c r="B5584" s="4" t="s">
        <v>114</v>
      </c>
      <c r="C5584" s="4" t="s">
        <v>460</v>
      </c>
      <c r="D5584" s="4" t="n">
        <v>41</v>
      </c>
      <c r="E5584" s="21" t="s">
        <v>414</v>
      </c>
      <c r="F5584" s="22" t="s">
        <v>446</v>
      </c>
    </row>
    <row r="5585" customFormat="false" ht="15" hidden="false" customHeight="false" outlineLevel="0" collapsed="false">
      <c r="A5585" s="4" t="str">
        <f aca="false">B5585&amp;"|"&amp;C5585</f>
        <v>tdbR00000157 Ile-GAU|41</v>
      </c>
      <c r="B5585" s="4" t="s">
        <v>114</v>
      </c>
      <c r="C5585" s="4" t="s">
        <v>461</v>
      </c>
      <c r="D5585" s="4" t="n">
        <v>42</v>
      </c>
      <c r="E5585" s="21" t="s">
        <v>197</v>
      </c>
      <c r="F5585" s="22" t="s">
        <v>446</v>
      </c>
    </row>
    <row r="5586" customFormat="false" ht="15" hidden="false" customHeight="false" outlineLevel="0" collapsed="false">
      <c r="A5586" s="4" t="str">
        <f aca="false">B5586&amp;"|"&amp;C5586</f>
        <v>tdbR00000157 Ile-GAU|42</v>
      </c>
      <c r="B5586" s="4" t="s">
        <v>114</v>
      </c>
      <c r="C5586" s="4" t="s">
        <v>462</v>
      </c>
      <c r="D5586" s="4" t="n">
        <v>43</v>
      </c>
      <c r="E5586" s="21" t="s">
        <v>259</v>
      </c>
      <c r="F5586" s="22" t="s">
        <v>446</v>
      </c>
    </row>
    <row r="5587" customFormat="false" ht="15" hidden="false" customHeight="false" outlineLevel="0" collapsed="false">
      <c r="A5587" s="4" t="str">
        <f aca="false">B5587&amp;"|"&amp;C5587</f>
        <v>tdbR00000157 Ile-GAU|43</v>
      </c>
      <c r="B5587" s="4" t="s">
        <v>114</v>
      </c>
      <c r="C5587" s="4" t="s">
        <v>463</v>
      </c>
      <c r="D5587" s="4" t="n">
        <v>44</v>
      </c>
      <c r="E5587" s="21" t="s">
        <v>197</v>
      </c>
      <c r="F5587" s="22" t="s">
        <v>446</v>
      </c>
    </row>
    <row r="5588" customFormat="false" ht="15" hidden="false" customHeight="false" outlineLevel="0" collapsed="false">
      <c r="A5588" s="4" t="str">
        <f aca="false">B5588&amp;"|"&amp;C5588</f>
        <v>tdbR00000157 Ile-GAU|44</v>
      </c>
      <c r="B5588" s="4" t="s">
        <v>114</v>
      </c>
      <c r="C5588" s="4" t="s">
        <v>464</v>
      </c>
      <c r="D5588" s="4" t="n">
        <v>45</v>
      </c>
      <c r="E5588" s="19" t="s">
        <v>246</v>
      </c>
      <c r="F5588" s="20" t="s">
        <v>465</v>
      </c>
    </row>
    <row r="5589" customFormat="false" ht="15" hidden="false" customHeight="false" outlineLevel="0" collapsed="false">
      <c r="A5589" s="4" t="str">
        <f aca="false">B5589&amp;"|"&amp;C5589</f>
        <v>tdbR00000157 Ile-GAU|45</v>
      </c>
      <c r="B5589" s="4" t="s">
        <v>114</v>
      </c>
      <c r="C5589" s="4" t="s">
        <v>466</v>
      </c>
      <c r="D5589" s="4" t="n">
        <v>46</v>
      </c>
      <c r="E5589" s="19" t="s">
        <v>197</v>
      </c>
      <c r="F5589" s="20" t="s">
        <v>465</v>
      </c>
    </row>
    <row r="5590" customFormat="false" ht="15" hidden="false" customHeight="false" outlineLevel="0" collapsed="false">
      <c r="A5590" s="4" t="str">
        <f aca="false">B5590&amp;"|"&amp;C5590</f>
        <v>tdbR00000157 Ile-GAU|46</v>
      </c>
      <c r="B5590" s="4" t="s">
        <v>114</v>
      </c>
      <c r="C5590" s="4" t="s">
        <v>467</v>
      </c>
      <c r="D5590" s="4" t="n">
        <v>47</v>
      </c>
      <c r="E5590" s="19" t="s">
        <v>197</v>
      </c>
      <c r="F5590" s="20" t="s">
        <v>465</v>
      </c>
    </row>
    <row r="5591" customFormat="false" ht="15" hidden="false" customHeight="false" outlineLevel="0" collapsed="false">
      <c r="A5591" s="4" t="str">
        <f aca="false">B5591&amp;"|"&amp;C5591</f>
        <v>tdbR00000157 Ile-GAU|47</v>
      </c>
      <c r="B5591" s="4" t="s">
        <v>114</v>
      </c>
      <c r="C5591" s="4" t="s">
        <v>468</v>
      </c>
      <c r="D5591" s="4" t="n">
        <v>48</v>
      </c>
      <c r="E5591" s="19" t="s">
        <v>259</v>
      </c>
      <c r="F5591" s="20" t="s">
        <v>465</v>
      </c>
    </row>
    <row r="5592" customFormat="false" ht="15" hidden="false" customHeight="false" outlineLevel="0" collapsed="false">
      <c r="A5592" s="4" t="str">
        <f aca="false">B5592&amp;"|"&amp;C5592</f>
        <v>tdbR00000157 Ile-GAU|48</v>
      </c>
      <c r="B5592" s="4" t="s">
        <v>114</v>
      </c>
      <c r="C5592" s="4" t="s">
        <v>469</v>
      </c>
      <c r="D5592" s="4" t="n">
        <v>49</v>
      </c>
      <c r="E5592" s="19" t="s">
        <v>414</v>
      </c>
      <c r="F5592" s="20" t="s">
        <v>465</v>
      </c>
    </row>
    <row r="5593" customFormat="false" ht="15" hidden="false" customHeight="false" outlineLevel="0" collapsed="false">
      <c r="A5593" s="4" t="str">
        <f aca="false">B5593&amp;"|"&amp;C5593</f>
        <v>tdbR00000157 Ile-GAU|49</v>
      </c>
      <c r="B5593" s="4" t="s">
        <v>114</v>
      </c>
      <c r="C5593" s="4" t="s">
        <v>470</v>
      </c>
      <c r="D5593" s="4" t="n">
        <v>50</v>
      </c>
      <c r="E5593" s="23" t="s">
        <v>197</v>
      </c>
      <c r="F5593" s="10" t="s">
        <v>471</v>
      </c>
    </row>
    <row r="5594" customFormat="false" ht="15" hidden="false" customHeight="false" outlineLevel="0" collapsed="false">
      <c r="A5594" s="4" t="str">
        <f aca="false">B5594&amp;"|"&amp;C5594</f>
        <v>tdbR00000157 Ile-GAU|50</v>
      </c>
      <c r="B5594" s="4" t="s">
        <v>114</v>
      </c>
      <c r="C5594" s="4" t="s">
        <v>472</v>
      </c>
      <c r="D5594" s="4" t="n">
        <v>51</v>
      </c>
      <c r="E5594" s="23" t="s">
        <v>197</v>
      </c>
      <c r="F5594" s="10" t="s">
        <v>471</v>
      </c>
    </row>
    <row r="5595" customFormat="false" ht="15" hidden="false" customHeight="false" outlineLevel="0" collapsed="false">
      <c r="A5595" s="4" t="str">
        <f aca="false">B5595&amp;"|"&amp;C5595</f>
        <v>tdbR00000157 Ile-GAU|51</v>
      </c>
      <c r="B5595" s="4" t="s">
        <v>114</v>
      </c>
      <c r="C5595" s="4" t="s">
        <v>473</v>
      </c>
      <c r="D5595" s="4" t="n">
        <v>52</v>
      </c>
      <c r="E5595" s="23" t="s">
        <v>259</v>
      </c>
      <c r="F5595" s="10" t="s">
        <v>471</v>
      </c>
    </row>
    <row r="5596" customFormat="false" ht="15" hidden="false" customHeight="false" outlineLevel="0" collapsed="false">
      <c r="A5596" s="4" t="str">
        <f aca="false">B5596&amp;"|"&amp;C5596</f>
        <v>tdbR00000157 Ile-GAU|52</v>
      </c>
      <c r="B5596" s="4" t="s">
        <v>114</v>
      </c>
      <c r="C5596" s="4" t="s">
        <v>474</v>
      </c>
      <c r="D5596" s="4" t="n">
        <v>53</v>
      </c>
      <c r="E5596" s="23" t="s">
        <v>197</v>
      </c>
      <c r="F5596" s="10" t="s">
        <v>471</v>
      </c>
    </row>
    <row r="5597" customFormat="false" ht="15" hidden="false" customHeight="false" outlineLevel="0" collapsed="false">
      <c r="A5597" s="4" t="str">
        <f aca="false">B5597&amp;"|"&amp;C5597</f>
        <v>tdbR00000157 Ile-GAU|53</v>
      </c>
      <c r="B5597" s="4" t="s">
        <v>114</v>
      </c>
      <c r="C5597" s="4" t="s">
        <v>475</v>
      </c>
      <c r="D5597" s="4" t="n">
        <v>54</v>
      </c>
      <c r="E5597" s="23" t="s">
        <v>197</v>
      </c>
      <c r="F5597" s="10" t="s">
        <v>471</v>
      </c>
    </row>
    <row r="5598" customFormat="false" ht="15" hidden="false" customHeight="false" outlineLevel="0" collapsed="false">
      <c r="A5598" s="4" t="str">
        <f aca="false">B5598&amp;"|"&amp;C5598</f>
        <v>tdbR00000157 Ile-GAU|54</v>
      </c>
      <c r="B5598" s="4" t="s">
        <v>114</v>
      </c>
      <c r="C5598" s="4" t="s">
        <v>476</v>
      </c>
      <c r="D5598" s="4" t="n">
        <v>55</v>
      </c>
      <c r="E5598" s="19" t="s">
        <v>259</v>
      </c>
      <c r="F5598" s="20" t="s">
        <v>477</v>
      </c>
    </row>
    <row r="5599" customFormat="false" ht="15" hidden="false" customHeight="false" outlineLevel="0" collapsed="false">
      <c r="A5599" s="4" t="str">
        <f aca="false">B5599&amp;"|"&amp;C5599</f>
        <v>tdbR00000157 Ile-GAU|55</v>
      </c>
      <c r="B5599" s="4" t="s">
        <v>114</v>
      </c>
      <c r="C5599" s="4" t="s">
        <v>478</v>
      </c>
      <c r="D5599" s="4" t="n">
        <v>56</v>
      </c>
      <c r="E5599" s="19" t="s">
        <v>259</v>
      </c>
      <c r="F5599" s="20" t="s">
        <v>477</v>
      </c>
    </row>
    <row r="5600" customFormat="false" ht="15" hidden="false" customHeight="false" outlineLevel="0" collapsed="false">
      <c r="A5600" s="4" t="str">
        <f aca="false">B5600&amp;"|"&amp;C5600</f>
        <v>tdbR00000157 Ile-GAU|56</v>
      </c>
      <c r="B5600" s="4" t="s">
        <v>114</v>
      </c>
      <c r="C5600" s="4" t="s">
        <v>479</v>
      </c>
      <c r="D5600" s="4" t="n">
        <v>57</v>
      </c>
      <c r="E5600" s="19" t="s">
        <v>414</v>
      </c>
      <c r="F5600" s="20" t="s">
        <v>477</v>
      </c>
    </row>
    <row r="5601" customFormat="false" ht="15" hidden="false" customHeight="false" outlineLevel="0" collapsed="false">
      <c r="A5601" s="4" t="str">
        <f aca="false">B5601&amp;"|"&amp;C5601</f>
        <v>tdbR00000157 Ile-GAU|57</v>
      </c>
      <c r="B5601" s="4" t="s">
        <v>114</v>
      </c>
      <c r="C5601" s="4" t="s">
        <v>480</v>
      </c>
      <c r="D5601" s="4" t="n">
        <v>58</v>
      </c>
      <c r="E5601" s="19" t="s">
        <v>246</v>
      </c>
      <c r="F5601" s="20" t="s">
        <v>477</v>
      </c>
    </row>
    <row r="5602" customFormat="false" ht="15" hidden="false" customHeight="false" outlineLevel="0" collapsed="false">
      <c r="A5602" s="4" t="str">
        <f aca="false">B5602&amp;"|"&amp;C5602</f>
        <v>tdbR00000157 Ile-GAU|58</v>
      </c>
      <c r="B5602" s="4" t="s">
        <v>114</v>
      </c>
      <c r="C5602" s="4" t="s">
        <v>481</v>
      </c>
      <c r="D5602" s="4" t="n">
        <v>59</v>
      </c>
      <c r="E5602" s="19" t="s">
        <v>246</v>
      </c>
      <c r="F5602" s="20" t="s">
        <v>477</v>
      </c>
    </row>
    <row r="5603" customFormat="false" ht="15" hidden="false" customHeight="false" outlineLevel="0" collapsed="false">
      <c r="A5603" s="4" t="str">
        <f aca="false">B5603&amp;"|"&amp;C5603</f>
        <v>tdbR00000157 Ile-GAU|59</v>
      </c>
      <c r="B5603" s="4" t="s">
        <v>114</v>
      </c>
      <c r="C5603" s="4" t="s">
        <v>482</v>
      </c>
      <c r="D5603" s="4" t="n">
        <v>60</v>
      </c>
      <c r="E5603" s="19" t="s">
        <v>197</v>
      </c>
      <c r="F5603" s="20" t="s">
        <v>477</v>
      </c>
    </row>
    <row r="5604" customFormat="false" ht="15" hidden="false" customHeight="false" outlineLevel="0" collapsed="false">
      <c r="A5604" s="4" t="str">
        <f aca="false">B5604&amp;"|"&amp;C5604</f>
        <v>tdbR00000157 Ile-GAU|60</v>
      </c>
      <c r="B5604" s="4" t="s">
        <v>114</v>
      </c>
      <c r="C5604" s="4" t="s">
        <v>483</v>
      </c>
      <c r="D5604" s="4" t="n">
        <v>61</v>
      </c>
      <c r="E5604" s="19" t="s">
        <v>259</v>
      </c>
      <c r="F5604" s="20" t="s">
        <v>477</v>
      </c>
    </row>
    <row r="5605" customFormat="false" ht="15" hidden="false" customHeight="false" outlineLevel="0" collapsed="false">
      <c r="A5605" s="4" t="str">
        <f aca="false">B5605&amp;"|"&amp;C5605</f>
        <v>tdbR00000157 Ile-GAU|61</v>
      </c>
      <c r="B5605" s="4" t="s">
        <v>114</v>
      </c>
      <c r="C5605" s="4" t="s">
        <v>484</v>
      </c>
      <c r="D5605" s="4" t="n">
        <v>62</v>
      </c>
      <c r="E5605" s="23" t="s">
        <v>414</v>
      </c>
      <c r="F5605" s="10" t="s">
        <v>471</v>
      </c>
    </row>
    <row r="5606" customFormat="false" ht="15" hidden="false" customHeight="false" outlineLevel="0" collapsed="false">
      <c r="A5606" s="4" t="str">
        <f aca="false">B5606&amp;"|"&amp;C5606</f>
        <v>tdbR00000157 Ile-GAU|62</v>
      </c>
      <c r="B5606" s="4" t="s">
        <v>114</v>
      </c>
      <c r="C5606" s="4" t="s">
        <v>485</v>
      </c>
      <c r="D5606" s="4" t="n">
        <v>63</v>
      </c>
      <c r="E5606" s="23" t="s">
        <v>414</v>
      </c>
      <c r="F5606" s="10" t="s">
        <v>471</v>
      </c>
    </row>
    <row r="5607" customFormat="false" ht="15" hidden="false" customHeight="false" outlineLevel="0" collapsed="false">
      <c r="A5607" s="4" t="str">
        <f aca="false">B5607&amp;"|"&amp;C5607</f>
        <v>tdbR00000157 Ile-GAU|63</v>
      </c>
      <c r="B5607" s="4" t="s">
        <v>114</v>
      </c>
      <c r="C5607" s="4" t="s">
        <v>486</v>
      </c>
      <c r="D5607" s="4" t="n">
        <v>64</v>
      </c>
      <c r="E5607" s="23" t="s">
        <v>246</v>
      </c>
      <c r="F5607" s="10" t="s">
        <v>471</v>
      </c>
    </row>
    <row r="5608" customFormat="false" ht="15" hidden="false" customHeight="false" outlineLevel="0" collapsed="false">
      <c r="A5608" s="4" t="str">
        <f aca="false">B5608&amp;"|"&amp;C5608</f>
        <v>tdbR00000157 Ile-GAU|64</v>
      </c>
      <c r="B5608" s="4" t="s">
        <v>114</v>
      </c>
      <c r="C5608" s="4" t="s">
        <v>487</v>
      </c>
      <c r="D5608" s="4" t="n">
        <v>65</v>
      </c>
      <c r="E5608" s="23" t="s">
        <v>414</v>
      </c>
      <c r="F5608" s="10" t="s">
        <v>471</v>
      </c>
    </row>
    <row r="5609" customFormat="false" ht="15" hidden="false" customHeight="false" outlineLevel="0" collapsed="false">
      <c r="A5609" s="4" t="str">
        <f aca="false">B5609&amp;"|"&amp;C5609</f>
        <v>tdbR00000157 Ile-GAU|65</v>
      </c>
      <c r="B5609" s="4" t="s">
        <v>114</v>
      </c>
      <c r="C5609" s="4" t="s">
        <v>488</v>
      </c>
      <c r="D5609" s="4" t="n">
        <v>66</v>
      </c>
      <c r="E5609" s="23" t="s">
        <v>414</v>
      </c>
      <c r="F5609" s="10" t="s">
        <v>471</v>
      </c>
    </row>
    <row r="5610" customFormat="false" ht="15" hidden="false" customHeight="false" outlineLevel="0" collapsed="false">
      <c r="A5610" s="4" t="str">
        <f aca="false">B5610&amp;"|"&amp;C5610</f>
        <v>tdbR00000157 Ile-GAU|66</v>
      </c>
      <c r="B5610" s="4" t="s">
        <v>114</v>
      </c>
      <c r="C5610" s="4" t="s">
        <v>489</v>
      </c>
      <c r="D5610" s="4" t="n">
        <v>67</v>
      </c>
      <c r="E5610" s="17" t="s">
        <v>246</v>
      </c>
      <c r="F5610" s="18" t="s">
        <v>412</v>
      </c>
    </row>
    <row r="5611" customFormat="false" ht="15" hidden="false" customHeight="false" outlineLevel="0" collapsed="false">
      <c r="A5611" s="4" t="str">
        <f aca="false">B5611&amp;"|"&amp;C5611</f>
        <v>tdbR00000157 Ile-GAU|67</v>
      </c>
      <c r="B5611" s="4" t="s">
        <v>114</v>
      </c>
      <c r="C5611" s="4" t="s">
        <v>490</v>
      </c>
      <c r="D5611" s="4" t="n">
        <v>68</v>
      </c>
      <c r="E5611" s="17" t="s">
        <v>259</v>
      </c>
      <c r="F5611" s="18" t="s">
        <v>412</v>
      </c>
    </row>
    <row r="5612" customFormat="false" ht="15" hidden="false" customHeight="false" outlineLevel="0" collapsed="false">
      <c r="A5612" s="4" t="str">
        <f aca="false">B5612&amp;"|"&amp;C5612</f>
        <v>tdbR00000157 Ile-GAU|68</v>
      </c>
      <c r="B5612" s="4" t="s">
        <v>114</v>
      </c>
      <c r="C5612" s="4" t="s">
        <v>491</v>
      </c>
      <c r="D5612" s="4" t="n">
        <v>69</v>
      </c>
      <c r="E5612" s="17" t="s">
        <v>414</v>
      </c>
      <c r="F5612" s="18" t="s">
        <v>412</v>
      </c>
    </row>
    <row r="5613" customFormat="false" ht="15" hidden="false" customHeight="false" outlineLevel="0" collapsed="false">
      <c r="A5613" s="4" t="str">
        <f aca="false">B5613&amp;"|"&amp;C5613</f>
        <v>tdbR00000157 Ile-GAU|69</v>
      </c>
      <c r="B5613" s="4" t="s">
        <v>114</v>
      </c>
      <c r="C5613" s="4" t="s">
        <v>492</v>
      </c>
      <c r="D5613" s="4" t="n">
        <v>70</v>
      </c>
      <c r="E5613" s="17" t="s">
        <v>197</v>
      </c>
      <c r="F5613" s="18" t="s">
        <v>412</v>
      </c>
    </row>
    <row r="5614" customFormat="false" ht="15" hidden="false" customHeight="false" outlineLevel="0" collapsed="false">
      <c r="A5614" s="4" t="str">
        <f aca="false">B5614&amp;"|"&amp;C5614</f>
        <v>tdbR00000157 Ile-GAU|70</v>
      </c>
      <c r="B5614" s="4" t="s">
        <v>114</v>
      </c>
      <c r="C5614" s="4" t="s">
        <v>493</v>
      </c>
      <c r="D5614" s="4" t="n">
        <v>71</v>
      </c>
      <c r="E5614" s="17" t="s">
        <v>414</v>
      </c>
      <c r="F5614" s="18" t="s">
        <v>412</v>
      </c>
    </row>
    <row r="5615" customFormat="false" ht="15" hidden="false" customHeight="false" outlineLevel="0" collapsed="false">
      <c r="A5615" s="4" t="str">
        <f aca="false">B5615&amp;"|"&amp;C5615</f>
        <v>tdbR00000157 Ile-GAU|71</v>
      </c>
      <c r="B5615" s="4" t="s">
        <v>114</v>
      </c>
      <c r="C5615" s="4" t="s">
        <v>494</v>
      </c>
      <c r="D5615" s="4" t="n">
        <v>72</v>
      </c>
      <c r="E5615" s="17" t="s">
        <v>414</v>
      </c>
      <c r="F5615" s="18" t="s">
        <v>412</v>
      </c>
    </row>
    <row r="5616" customFormat="false" ht="15" hidden="false" customHeight="false" outlineLevel="0" collapsed="false">
      <c r="A5616" s="4" t="str">
        <f aca="false">B5616&amp;"|"&amp;C5616</f>
        <v>tdbR00000157 Ile-GAU|72</v>
      </c>
      <c r="B5616" s="4" t="s">
        <v>114</v>
      </c>
      <c r="C5616" s="4" t="s">
        <v>495</v>
      </c>
      <c r="D5616" s="4" t="n">
        <v>73</v>
      </c>
      <c r="E5616" s="17" t="s">
        <v>414</v>
      </c>
      <c r="F5616" s="18" t="s">
        <v>412</v>
      </c>
    </row>
    <row r="5617" customFormat="false" ht="15" hidden="false" customHeight="false" outlineLevel="0" collapsed="false">
      <c r="A5617" s="4" t="str">
        <f aca="false">B5617&amp;"|"&amp;C5617</f>
        <v>tdbR00000508 Ile-CAU|1</v>
      </c>
      <c r="B5617" s="4" t="s">
        <v>115</v>
      </c>
      <c r="C5617" s="4" t="s">
        <v>411</v>
      </c>
      <c r="D5617" s="4" t="n">
        <v>1</v>
      </c>
      <c r="E5617" s="17" t="s">
        <v>414</v>
      </c>
      <c r="F5617" s="18" t="s">
        <v>412</v>
      </c>
    </row>
    <row r="5618" customFormat="false" ht="15" hidden="false" customHeight="false" outlineLevel="0" collapsed="false">
      <c r="A5618" s="4" t="str">
        <f aca="false">B5618&amp;"|"&amp;C5618</f>
        <v>tdbR00000508 Ile-CAU|2</v>
      </c>
      <c r="B5618" s="4" t="s">
        <v>115</v>
      </c>
      <c r="C5618" s="4" t="s">
        <v>413</v>
      </c>
      <c r="D5618" s="4" t="n">
        <v>2</v>
      </c>
      <c r="E5618" s="17" t="s">
        <v>197</v>
      </c>
      <c r="F5618" s="18" t="s">
        <v>412</v>
      </c>
    </row>
    <row r="5619" customFormat="false" ht="15" hidden="false" customHeight="false" outlineLevel="0" collapsed="false">
      <c r="A5619" s="4" t="str">
        <f aca="false">B5619&amp;"|"&amp;C5619</f>
        <v>tdbR00000508 Ile-CAU|3</v>
      </c>
      <c r="B5619" s="4" t="s">
        <v>115</v>
      </c>
      <c r="C5619" s="4" t="s">
        <v>415</v>
      </c>
      <c r="D5619" s="4" t="n">
        <v>3</v>
      </c>
      <c r="E5619" s="17" t="s">
        <v>414</v>
      </c>
      <c r="F5619" s="18" t="s">
        <v>412</v>
      </c>
    </row>
    <row r="5620" customFormat="false" ht="15" hidden="false" customHeight="false" outlineLevel="0" collapsed="false">
      <c r="A5620" s="4" t="str">
        <f aca="false">B5620&amp;"|"&amp;C5620</f>
        <v>tdbR00000508 Ile-CAU|4</v>
      </c>
      <c r="B5620" s="4" t="s">
        <v>115</v>
      </c>
      <c r="C5620" s="4" t="s">
        <v>416</v>
      </c>
      <c r="D5620" s="4" t="n">
        <v>4</v>
      </c>
      <c r="E5620" s="17" t="s">
        <v>197</v>
      </c>
      <c r="F5620" s="18" t="s">
        <v>412</v>
      </c>
    </row>
    <row r="5621" customFormat="false" ht="15" hidden="false" customHeight="false" outlineLevel="0" collapsed="false">
      <c r="A5621" s="4" t="str">
        <f aca="false">B5621&amp;"|"&amp;C5621</f>
        <v>tdbR00000508 Ile-CAU|5</v>
      </c>
      <c r="B5621" s="4" t="s">
        <v>115</v>
      </c>
      <c r="C5621" s="4" t="s">
        <v>417</v>
      </c>
      <c r="D5621" s="4" t="n">
        <v>5</v>
      </c>
      <c r="E5621" s="17" t="s">
        <v>197</v>
      </c>
      <c r="F5621" s="18" t="s">
        <v>412</v>
      </c>
    </row>
    <row r="5622" customFormat="false" ht="15" hidden="false" customHeight="false" outlineLevel="0" collapsed="false">
      <c r="A5622" s="4" t="str">
        <f aca="false">B5622&amp;"|"&amp;C5622</f>
        <v>tdbR00000508 Ile-CAU|6</v>
      </c>
      <c r="B5622" s="4" t="s">
        <v>115</v>
      </c>
      <c r="C5622" s="4" t="s">
        <v>418</v>
      </c>
      <c r="D5622" s="4" t="n">
        <v>6</v>
      </c>
      <c r="E5622" s="17" t="s">
        <v>197</v>
      </c>
      <c r="F5622" s="18" t="s">
        <v>412</v>
      </c>
    </row>
    <row r="5623" customFormat="false" ht="15" hidden="false" customHeight="false" outlineLevel="0" collapsed="false">
      <c r="A5623" s="4" t="str">
        <f aca="false">B5623&amp;"|"&amp;C5623</f>
        <v>tdbR00000508 Ile-CAU|7</v>
      </c>
      <c r="B5623" s="4" t="s">
        <v>115</v>
      </c>
      <c r="C5623" s="4" t="s">
        <v>419</v>
      </c>
      <c r="D5623" s="4" t="n">
        <v>7</v>
      </c>
      <c r="E5623" s="17" t="s">
        <v>197</v>
      </c>
      <c r="F5623" s="18" t="s">
        <v>412</v>
      </c>
    </row>
    <row r="5624" customFormat="false" ht="15" hidden="false" customHeight="false" outlineLevel="0" collapsed="false">
      <c r="A5624" s="4" t="str">
        <f aca="false">B5624&amp;"|"&amp;C5624</f>
        <v>tdbR00000508 Ile-CAU|8</v>
      </c>
      <c r="B5624" s="4" t="s">
        <v>115</v>
      </c>
      <c r="C5624" s="4" t="s">
        <v>420</v>
      </c>
      <c r="D5624" s="4" t="n">
        <v>8</v>
      </c>
      <c r="E5624" s="3" t="s">
        <v>259</v>
      </c>
      <c r="F5624" s="4" t="s">
        <v>421</v>
      </c>
    </row>
    <row r="5625" customFormat="false" ht="15" hidden="false" customHeight="false" outlineLevel="0" collapsed="false">
      <c r="A5625" s="4" t="str">
        <f aca="false">B5625&amp;"|"&amp;C5625</f>
        <v>tdbR00000508 Ile-CAU|9</v>
      </c>
      <c r="B5625" s="4" t="s">
        <v>115</v>
      </c>
      <c r="C5625" s="4" t="s">
        <v>422</v>
      </c>
      <c r="D5625" s="4" t="n">
        <v>9</v>
      </c>
      <c r="E5625" s="3" t="s">
        <v>197</v>
      </c>
      <c r="F5625" s="4" t="s">
        <v>423</v>
      </c>
    </row>
    <row r="5626" customFormat="false" ht="15" hidden="false" customHeight="false" outlineLevel="0" collapsed="false">
      <c r="A5626" s="4" t="str">
        <f aca="false">B5626&amp;"|"&amp;C5626</f>
        <v>tdbR00000508 Ile-CAU|10</v>
      </c>
      <c r="B5626" s="4" t="s">
        <v>115</v>
      </c>
      <c r="C5626" s="4" t="s">
        <v>424</v>
      </c>
      <c r="D5626" s="4" t="n">
        <v>10</v>
      </c>
      <c r="E5626" s="8" t="s">
        <v>197</v>
      </c>
      <c r="F5626" s="7" t="s">
        <v>425</v>
      </c>
    </row>
    <row r="5627" customFormat="false" ht="15" hidden="false" customHeight="false" outlineLevel="0" collapsed="false">
      <c r="A5627" s="4" t="str">
        <f aca="false">B5627&amp;"|"&amp;C5627</f>
        <v>tdbR00000508 Ile-CAU|11</v>
      </c>
      <c r="B5627" s="4" t="s">
        <v>115</v>
      </c>
      <c r="C5627" s="4" t="s">
        <v>426</v>
      </c>
      <c r="D5627" s="4" t="n">
        <v>11</v>
      </c>
      <c r="E5627" s="8" t="s">
        <v>246</v>
      </c>
      <c r="F5627" s="7" t="s">
        <v>425</v>
      </c>
    </row>
    <row r="5628" customFormat="false" ht="15" hidden="false" customHeight="false" outlineLevel="0" collapsed="false">
      <c r="A5628" s="4" t="str">
        <f aca="false">B5628&amp;"|"&amp;C5628</f>
        <v>tdbR00000508 Ile-CAU|12</v>
      </c>
      <c r="B5628" s="4" t="s">
        <v>115</v>
      </c>
      <c r="C5628" s="4" t="s">
        <v>427</v>
      </c>
      <c r="D5628" s="4" t="n">
        <v>12</v>
      </c>
      <c r="E5628" s="8" t="s">
        <v>197</v>
      </c>
      <c r="F5628" s="7" t="s">
        <v>425</v>
      </c>
    </row>
    <row r="5629" customFormat="false" ht="15" hidden="false" customHeight="false" outlineLevel="0" collapsed="false">
      <c r="A5629" s="4" t="str">
        <f aca="false">B5629&amp;"|"&amp;C5629</f>
        <v>tdbR00000508 Ile-CAU|13</v>
      </c>
      <c r="B5629" s="4" t="s">
        <v>115</v>
      </c>
      <c r="C5629" s="4" t="s">
        <v>428</v>
      </c>
      <c r="D5629" s="4" t="n">
        <v>13</v>
      </c>
      <c r="E5629" s="8" t="s">
        <v>414</v>
      </c>
      <c r="F5629" s="7" t="s">
        <v>425</v>
      </c>
    </row>
    <row r="5630" customFormat="false" ht="15" hidden="false" customHeight="false" outlineLevel="0" collapsed="false">
      <c r="A5630" s="4" t="str">
        <f aca="false">B5630&amp;"|"&amp;C5630</f>
        <v>tdbR00000508 Ile-CAU|14</v>
      </c>
      <c r="B5630" s="4" t="s">
        <v>115</v>
      </c>
      <c r="C5630" s="4" t="s">
        <v>429</v>
      </c>
      <c r="D5630" s="4" t="n">
        <v>14</v>
      </c>
      <c r="E5630" s="19" t="s">
        <v>246</v>
      </c>
      <c r="F5630" s="20" t="s">
        <v>430</v>
      </c>
    </row>
    <row r="5631" customFormat="false" ht="15" hidden="false" customHeight="false" outlineLevel="0" collapsed="false">
      <c r="A5631" s="4" t="str">
        <f aca="false">B5631&amp;"|"&amp;C5631</f>
        <v>tdbR00000508 Ile-CAU|15</v>
      </c>
      <c r="B5631" s="4" t="s">
        <v>115</v>
      </c>
      <c r="C5631" s="4" t="s">
        <v>431</v>
      </c>
      <c r="D5631" s="4" t="n">
        <v>15</v>
      </c>
      <c r="E5631" s="19" t="s">
        <v>197</v>
      </c>
      <c r="F5631" s="20" t="s">
        <v>430</v>
      </c>
    </row>
    <row r="5632" customFormat="false" ht="15" hidden="false" customHeight="false" outlineLevel="0" collapsed="false">
      <c r="A5632" s="4" t="str">
        <f aca="false">B5632&amp;"|"&amp;C5632</f>
        <v>tdbR00000508 Ile-CAU|16</v>
      </c>
      <c r="B5632" s="4" t="s">
        <v>115</v>
      </c>
      <c r="C5632" s="4" t="s">
        <v>432</v>
      </c>
      <c r="D5632" s="4" t="n">
        <v>16</v>
      </c>
      <c r="E5632" s="19" t="s">
        <v>414</v>
      </c>
      <c r="F5632" s="20" t="s">
        <v>430</v>
      </c>
    </row>
    <row r="5633" customFormat="false" ht="15" hidden="false" customHeight="false" outlineLevel="0" collapsed="false">
      <c r="A5633" s="4" t="str">
        <f aca="false">B5633&amp;"|"&amp;C5633</f>
        <v>tdbR00000508 Ile-CAU|17</v>
      </c>
      <c r="B5633" s="4" t="s">
        <v>115</v>
      </c>
      <c r="C5633" s="4" t="s">
        <v>433</v>
      </c>
      <c r="D5633" s="4" t="n">
        <v>17</v>
      </c>
      <c r="E5633" s="19" t="s">
        <v>414</v>
      </c>
      <c r="F5633" s="20" t="s">
        <v>430</v>
      </c>
    </row>
    <row r="5634" customFormat="false" ht="15" hidden="false" customHeight="false" outlineLevel="0" collapsed="false">
      <c r="A5634" s="4" t="str">
        <f aca="false">B5634&amp;"|"&amp;C5634</f>
        <v>tdbR00000508 Ile-CAU|17a</v>
      </c>
      <c r="B5634" s="4" t="s">
        <v>115</v>
      </c>
      <c r="C5634" s="4" t="s">
        <v>496</v>
      </c>
      <c r="D5634" s="4" t="n">
        <v>18</v>
      </c>
      <c r="E5634" s="19" t="s">
        <v>259</v>
      </c>
      <c r="F5634" s="20" t="s">
        <v>430</v>
      </c>
    </row>
    <row r="5635" customFormat="false" ht="15" hidden="false" customHeight="false" outlineLevel="0" collapsed="false">
      <c r="A5635" s="4" t="str">
        <f aca="false">B5635&amp;"|"&amp;C5635</f>
        <v>tdbR00000508 Ile-CAU|18</v>
      </c>
      <c r="B5635" s="4" t="s">
        <v>115</v>
      </c>
      <c r="C5635" s="4" t="s">
        <v>434</v>
      </c>
      <c r="D5635" s="4" t="n">
        <v>19</v>
      </c>
      <c r="E5635" s="19" t="s">
        <v>197</v>
      </c>
      <c r="F5635" s="20" t="s">
        <v>430</v>
      </c>
    </row>
    <row r="5636" customFormat="false" ht="15" hidden="false" customHeight="false" outlineLevel="0" collapsed="false">
      <c r="A5636" s="4" t="str">
        <f aca="false">B5636&amp;"|"&amp;C5636</f>
        <v>tdbR00000508 Ile-CAU|19</v>
      </c>
      <c r="B5636" s="4" t="s">
        <v>115</v>
      </c>
      <c r="C5636" s="4" t="s">
        <v>435</v>
      </c>
      <c r="D5636" s="4" t="n">
        <v>20</v>
      </c>
      <c r="E5636" s="19" t="s">
        <v>197</v>
      </c>
      <c r="F5636" s="20" t="s">
        <v>430</v>
      </c>
    </row>
    <row r="5637" customFormat="false" ht="15" hidden="false" customHeight="false" outlineLevel="0" collapsed="false">
      <c r="A5637" s="4" t="str">
        <f aca="false">B5637&amp;"|"&amp;C5637</f>
        <v>tdbR00000508 Ile-CAU|20</v>
      </c>
      <c r="B5637" s="4" t="s">
        <v>115</v>
      </c>
      <c r="C5637" s="4" t="s">
        <v>436</v>
      </c>
      <c r="D5637" s="4" t="n">
        <v>21</v>
      </c>
      <c r="E5637" s="19" t="s">
        <v>259</v>
      </c>
      <c r="F5637" s="20" t="s">
        <v>430</v>
      </c>
    </row>
    <row r="5638" customFormat="false" ht="15" hidden="false" customHeight="false" outlineLevel="0" collapsed="false">
      <c r="A5638" s="4" t="str">
        <f aca="false">B5638&amp;"|"&amp;C5638</f>
        <v>tdbR00000508 Ile-CAU|21</v>
      </c>
      <c r="B5638" s="4" t="s">
        <v>115</v>
      </c>
      <c r="C5638" s="4" t="s">
        <v>438</v>
      </c>
      <c r="D5638" s="4" t="n">
        <v>22</v>
      </c>
      <c r="E5638" s="19" t="s">
        <v>246</v>
      </c>
      <c r="F5638" s="20" t="s">
        <v>430</v>
      </c>
    </row>
    <row r="5639" customFormat="false" ht="15" hidden="false" customHeight="false" outlineLevel="0" collapsed="false">
      <c r="A5639" s="4" t="str">
        <f aca="false">B5639&amp;"|"&amp;C5639</f>
        <v>tdbR00000508 Ile-CAU|22</v>
      </c>
      <c r="B5639" s="4" t="s">
        <v>115</v>
      </c>
      <c r="C5639" s="4" t="s">
        <v>439</v>
      </c>
      <c r="D5639" s="4" t="n">
        <v>23</v>
      </c>
      <c r="E5639" s="8" t="s">
        <v>197</v>
      </c>
      <c r="F5639" s="7" t="s">
        <v>425</v>
      </c>
    </row>
    <row r="5640" customFormat="false" ht="15" hidden="false" customHeight="false" outlineLevel="0" collapsed="false">
      <c r="A5640" s="4" t="str">
        <f aca="false">B5640&amp;"|"&amp;C5640</f>
        <v>tdbR00000508 Ile-CAU|23</v>
      </c>
      <c r="B5640" s="4" t="s">
        <v>115</v>
      </c>
      <c r="C5640" s="4" t="s">
        <v>440</v>
      </c>
      <c r="D5640" s="4" t="n">
        <v>24</v>
      </c>
      <c r="E5640" s="8" t="s">
        <v>414</v>
      </c>
      <c r="F5640" s="7" t="s">
        <v>425</v>
      </c>
    </row>
    <row r="5641" customFormat="false" ht="15" hidden="false" customHeight="false" outlineLevel="0" collapsed="false">
      <c r="A5641" s="4" t="str">
        <f aca="false">B5641&amp;"|"&amp;C5641</f>
        <v>tdbR00000508 Ile-CAU|24</v>
      </c>
      <c r="B5641" s="4" t="s">
        <v>115</v>
      </c>
      <c r="C5641" s="4" t="s">
        <v>441</v>
      </c>
      <c r="D5641" s="4" t="n">
        <v>25</v>
      </c>
      <c r="E5641" s="8" t="s">
        <v>259</v>
      </c>
      <c r="F5641" s="7" t="s">
        <v>425</v>
      </c>
    </row>
    <row r="5642" customFormat="false" ht="15" hidden="false" customHeight="false" outlineLevel="0" collapsed="false">
      <c r="A5642" s="4" t="str">
        <f aca="false">B5642&amp;"|"&amp;C5642</f>
        <v>tdbR00000508 Ile-CAU|25</v>
      </c>
      <c r="B5642" s="4" t="s">
        <v>115</v>
      </c>
      <c r="C5642" s="4" t="s">
        <v>442</v>
      </c>
      <c r="D5642" s="4" t="n">
        <v>26</v>
      </c>
      <c r="E5642" s="8" t="s">
        <v>414</v>
      </c>
      <c r="F5642" s="7" t="s">
        <v>425</v>
      </c>
    </row>
    <row r="5643" customFormat="false" ht="15" hidden="false" customHeight="false" outlineLevel="0" collapsed="false">
      <c r="A5643" s="4" t="str">
        <f aca="false">B5643&amp;"|"&amp;C5643</f>
        <v>tdbR00000508 Ile-CAU|26</v>
      </c>
      <c r="B5643" s="4" t="s">
        <v>115</v>
      </c>
      <c r="C5643" s="4" t="s">
        <v>443</v>
      </c>
      <c r="D5643" s="4" t="n">
        <v>27</v>
      </c>
      <c r="E5643" s="3" t="s">
        <v>197</v>
      </c>
      <c r="F5643" s="4" t="s">
        <v>444</v>
      </c>
    </row>
    <row r="5644" customFormat="false" ht="15" hidden="false" customHeight="false" outlineLevel="0" collapsed="false">
      <c r="A5644" s="4" t="str">
        <f aca="false">B5644&amp;"|"&amp;C5644</f>
        <v>tdbR00000508 Ile-CAU|27</v>
      </c>
      <c r="B5644" s="4" t="s">
        <v>115</v>
      </c>
      <c r="C5644" s="4" t="s">
        <v>445</v>
      </c>
      <c r="D5644" s="4" t="n">
        <v>28</v>
      </c>
      <c r="E5644" s="21" t="s">
        <v>259</v>
      </c>
      <c r="F5644" s="22" t="s">
        <v>446</v>
      </c>
    </row>
    <row r="5645" customFormat="false" ht="15" hidden="false" customHeight="false" outlineLevel="0" collapsed="false">
      <c r="A5645" s="4" t="str">
        <f aca="false">B5645&amp;"|"&amp;C5645</f>
        <v>tdbR00000508 Ile-CAU|28</v>
      </c>
      <c r="B5645" s="4" t="s">
        <v>115</v>
      </c>
      <c r="C5645" s="4" t="s">
        <v>447</v>
      </c>
      <c r="D5645" s="4" t="n">
        <v>29</v>
      </c>
      <c r="E5645" s="21" t="s">
        <v>414</v>
      </c>
      <c r="F5645" s="22" t="s">
        <v>446</v>
      </c>
    </row>
    <row r="5646" customFormat="false" ht="15" hidden="false" customHeight="false" outlineLevel="0" collapsed="false">
      <c r="A5646" s="4" t="str">
        <f aca="false">B5646&amp;"|"&amp;C5646</f>
        <v>tdbR00000508 Ile-CAU|29</v>
      </c>
      <c r="B5646" s="4" t="s">
        <v>115</v>
      </c>
      <c r="C5646" s="4" t="s">
        <v>448</v>
      </c>
      <c r="D5646" s="4" t="n">
        <v>30</v>
      </c>
      <c r="E5646" s="21" t="s">
        <v>197</v>
      </c>
      <c r="F5646" s="22" t="s">
        <v>446</v>
      </c>
    </row>
    <row r="5647" customFormat="false" ht="15" hidden="false" customHeight="false" outlineLevel="0" collapsed="false">
      <c r="A5647" s="4" t="str">
        <f aca="false">B5647&amp;"|"&amp;C5647</f>
        <v>tdbR00000508 Ile-CAU|30</v>
      </c>
      <c r="B5647" s="4" t="s">
        <v>115</v>
      </c>
      <c r="C5647" s="4" t="s">
        <v>449</v>
      </c>
      <c r="D5647" s="4" t="n">
        <v>31</v>
      </c>
      <c r="E5647" s="21" t="s">
        <v>197</v>
      </c>
      <c r="F5647" s="22" t="s">
        <v>446</v>
      </c>
    </row>
    <row r="5648" customFormat="false" ht="15" hidden="false" customHeight="false" outlineLevel="0" collapsed="false">
      <c r="A5648" s="4" t="str">
        <f aca="false">B5648&amp;"|"&amp;C5648</f>
        <v>tdbR00000508 Ile-CAU|31</v>
      </c>
      <c r="B5648" s="4" t="s">
        <v>115</v>
      </c>
      <c r="C5648" s="4" t="s">
        <v>450</v>
      </c>
      <c r="D5648" s="4" t="n">
        <v>32</v>
      </c>
      <c r="E5648" s="21" t="s">
        <v>197</v>
      </c>
      <c r="F5648" s="22" t="s">
        <v>446</v>
      </c>
    </row>
    <row r="5649" customFormat="false" ht="15" hidden="false" customHeight="false" outlineLevel="0" collapsed="false">
      <c r="A5649" s="4" t="str">
        <f aca="false">B5649&amp;"|"&amp;C5649</f>
        <v>tdbR00000508 Ile-CAU|32</v>
      </c>
      <c r="B5649" s="4" t="s">
        <v>115</v>
      </c>
      <c r="C5649" s="4" t="s">
        <v>451</v>
      </c>
      <c r="D5649" s="4" t="n">
        <v>33</v>
      </c>
      <c r="E5649" s="19" t="s">
        <v>414</v>
      </c>
      <c r="F5649" s="20" t="s">
        <v>452</v>
      </c>
    </row>
    <row r="5650" customFormat="false" ht="15" hidden="false" customHeight="false" outlineLevel="0" collapsed="false">
      <c r="A5650" s="4" t="str">
        <f aca="false">B5650&amp;"|"&amp;C5650</f>
        <v>tdbR00000508 Ile-CAU|33</v>
      </c>
      <c r="B5650" s="4" t="s">
        <v>115</v>
      </c>
      <c r="C5650" s="4" t="s">
        <v>453</v>
      </c>
      <c r="D5650" s="4" t="n">
        <v>34</v>
      </c>
      <c r="E5650" s="19" t="s">
        <v>259</v>
      </c>
      <c r="F5650" s="20" t="s">
        <v>452</v>
      </c>
    </row>
    <row r="5651" customFormat="false" ht="15" hidden="false" customHeight="false" outlineLevel="0" collapsed="false">
      <c r="A5651" s="4" t="str">
        <f aca="false">B5651&amp;"|"&amp;C5651</f>
        <v>tdbR00000508 Ile-CAU|34</v>
      </c>
      <c r="B5651" s="4" t="s">
        <v>115</v>
      </c>
      <c r="C5651" s="4" t="s">
        <v>454</v>
      </c>
      <c r="D5651" s="4" t="n">
        <v>35</v>
      </c>
      <c r="E5651" s="19" t="s">
        <v>414</v>
      </c>
      <c r="F5651" s="20" t="s">
        <v>452</v>
      </c>
    </row>
    <row r="5652" customFormat="false" ht="15" hidden="false" customHeight="false" outlineLevel="0" collapsed="false">
      <c r="A5652" s="4" t="str">
        <f aca="false">B5652&amp;"|"&amp;C5652</f>
        <v>tdbR00000508 Ile-CAU|35</v>
      </c>
      <c r="B5652" s="4" t="s">
        <v>115</v>
      </c>
      <c r="C5652" s="4" t="s">
        <v>455</v>
      </c>
      <c r="D5652" s="4" t="n">
        <v>36</v>
      </c>
      <c r="E5652" s="19" t="s">
        <v>246</v>
      </c>
      <c r="F5652" s="20" t="s">
        <v>452</v>
      </c>
    </row>
    <row r="5653" customFormat="false" ht="15" hidden="false" customHeight="false" outlineLevel="0" collapsed="false">
      <c r="A5653" s="4" t="str">
        <f aca="false">B5653&amp;"|"&amp;C5653</f>
        <v>tdbR00000508 Ile-CAU|36</v>
      </c>
      <c r="B5653" s="4" t="s">
        <v>115</v>
      </c>
      <c r="C5653" s="4" t="s">
        <v>456</v>
      </c>
      <c r="D5653" s="4" t="n">
        <v>37</v>
      </c>
      <c r="E5653" s="19" t="s">
        <v>259</v>
      </c>
      <c r="F5653" s="20" t="s">
        <v>452</v>
      </c>
    </row>
    <row r="5654" customFormat="false" ht="15" hidden="false" customHeight="false" outlineLevel="0" collapsed="false">
      <c r="A5654" s="4" t="str">
        <f aca="false">B5654&amp;"|"&amp;C5654</f>
        <v>tdbR00000508 Ile-CAU|37</v>
      </c>
      <c r="B5654" s="4" t="s">
        <v>115</v>
      </c>
      <c r="C5654" s="4" t="s">
        <v>457</v>
      </c>
      <c r="D5654" s="4" t="n">
        <v>38</v>
      </c>
      <c r="E5654" s="19" t="s">
        <v>246</v>
      </c>
      <c r="F5654" s="20" t="s">
        <v>452</v>
      </c>
    </row>
    <row r="5655" customFormat="false" ht="15" hidden="false" customHeight="false" outlineLevel="0" collapsed="false">
      <c r="A5655" s="4" t="str">
        <f aca="false">B5655&amp;"|"&amp;C5655</f>
        <v>tdbR00000508 Ile-CAU|38</v>
      </c>
      <c r="B5655" s="4" t="s">
        <v>115</v>
      </c>
      <c r="C5655" s="4" t="s">
        <v>458</v>
      </c>
      <c r="D5655" s="4" t="n">
        <v>39</v>
      </c>
      <c r="E5655" s="19" t="s">
        <v>246</v>
      </c>
      <c r="F5655" s="20" t="s">
        <v>452</v>
      </c>
    </row>
    <row r="5656" customFormat="false" ht="15" hidden="false" customHeight="false" outlineLevel="0" collapsed="false">
      <c r="A5656" s="4" t="str">
        <f aca="false">B5656&amp;"|"&amp;C5656</f>
        <v>tdbR00000508 Ile-CAU|39</v>
      </c>
      <c r="B5656" s="4" t="s">
        <v>115</v>
      </c>
      <c r="C5656" s="4" t="s">
        <v>459</v>
      </c>
      <c r="D5656" s="4" t="n">
        <v>40</v>
      </c>
      <c r="E5656" s="21" t="s">
        <v>414</v>
      </c>
      <c r="F5656" s="22" t="s">
        <v>446</v>
      </c>
    </row>
    <row r="5657" customFormat="false" ht="15" hidden="false" customHeight="false" outlineLevel="0" collapsed="false">
      <c r="A5657" s="4" t="str">
        <f aca="false">B5657&amp;"|"&amp;C5657</f>
        <v>tdbR00000508 Ile-CAU|40</v>
      </c>
      <c r="B5657" s="4" t="s">
        <v>115</v>
      </c>
      <c r="C5657" s="4" t="s">
        <v>460</v>
      </c>
      <c r="D5657" s="4" t="n">
        <v>41</v>
      </c>
      <c r="E5657" s="21" t="s">
        <v>414</v>
      </c>
      <c r="F5657" s="22" t="s">
        <v>446</v>
      </c>
    </row>
    <row r="5658" customFormat="false" ht="15" hidden="false" customHeight="false" outlineLevel="0" collapsed="false">
      <c r="A5658" s="4" t="str">
        <f aca="false">B5658&amp;"|"&amp;C5658</f>
        <v>tdbR00000508 Ile-CAU|41</v>
      </c>
      <c r="B5658" s="4" t="s">
        <v>115</v>
      </c>
      <c r="C5658" s="4" t="s">
        <v>461</v>
      </c>
      <c r="D5658" s="4" t="n">
        <v>42</v>
      </c>
      <c r="E5658" s="21" t="s">
        <v>414</v>
      </c>
      <c r="F5658" s="22" t="s">
        <v>446</v>
      </c>
    </row>
    <row r="5659" customFormat="false" ht="15" hidden="false" customHeight="false" outlineLevel="0" collapsed="false">
      <c r="A5659" s="4" t="str">
        <f aca="false">B5659&amp;"|"&amp;C5659</f>
        <v>tdbR00000508 Ile-CAU|42</v>
      </c>
      <c r="B5659" s="4" t="s">
        <v>115</v>
      </c>
      <c r="C5659" s="4" t="s">
        <v>462</v>
      </c>
      <c r="D5659" s="4" t="n">
        <v>43</v>
      </c>
      <c r="E5659" s="21" t="s">
        <v>197</v>
      </c>
      <c r="F5659" s="22" t="s">
        <v>446</v>
      </c>
    </row>
    <row r="5660" customFormat="false" ht="15" hidden="false" customHeight="false" outlineLevel="0" collapsed="false">
      <c r="A5660" s="4" t="str">
        <f aca="false">B5660&amp;"|"&amp;C5660</f>
        <v>tdbR00000508 Ile-CAU|43</v>
      </c>
      <c r="B5660" s="4" t="s">
        <v>115</v>
      </c>
      <c r="C5660" s="4" t="s">
        <v>463</v>
      </c>
      <c r="D5660" s="4" t="n">
        <v>44</v>
      </c>
      <c r="E5660" s="21" t="s">
        <v>246</v>
      </c>
      <c r="F5660" s="22" t="s">
        <v>446</v>
      </c>
    </row>
    <row r="5661" customFormat="false" ht="15" hidden="false" customHeight="false" outlineLevel="0" collapsed="false">
      <c r="A5661" s="4" t="str">
        <f aca="false">B5661&amp;"|"&amp;C5661</f>
        <v>tdbR00000508 Ile-CAU|44</v>
      </c>
      <c r="B5661" s="4" t="s">
        <v>115</v>
      </c>
      <c r="C5661" s="4" t="s">
        <v>464</v>
      </c>
      <c r="D5661" s="4" t="n">
        <v>45</v>
      </c>
      <c r="E5661" s="19" t="s">
        <v>246</v>
      </c>
      <c r="F5661" s="20" t="s">
        <v>465</v>
      </c>
    </row>
    <row r="5662" customFormat="false" ht="15" hidden="false" customHeight="false" outlineLevel="0" collapsed="false">
      <c r="A5662" s="4" t="str">
        <f aca="false">B5662&amp;"|"&amp;C5662</f>
        <v>tdbR00000508 Ile-CAU|45</v>
      </c>
      <c r="B5662" s="4" t="s">
        <v>115</v>
      </c>
      <c r="C5662" s="4" t="s">
        <v>466</v>
      </c>
      <c r="D5662" s="4" t="n">
        <v>46</v>
      </c>
      <c r="E5662" s="19" t="s">
        <v>197</v>
      </c>
      <c r="F5662" s="20" t="s">
        <v>465</v>
      </c>
    </row>
    <row r="5663" customFormat="false" ht="15" hidden="false" customHeight="false" outlineLevel="0" collapsed="false">
      <c r="A5663" s="4" t="str">
        <f aca="false">B5663&amp;"|"&amp;C5663</f>
        <v>tdbR00000508 Ile-CAU|46</v>
      </c>
      <c r="B5663" s="4" t="s">
        <v>115</v>
      </c>
      <c r="C5663" s="4" t="s">
        <v>467</v>
      </c>
      <c r="D5663" s="4" t="n">
        <v>47</v>
      </c>
      <c r="E5663" s="19" t="s">
        <v>197</v>
      </c>
      <c r="F5663" s="20" t="s">
        <v>465</v>
      </c>
    </row>
    <row r="5664" customFormat="false" ht="15" hidden="false" customHeight="false" outlineLevel="0" collapsed="false">
      <c r="A5664" s="4" t="str">
        <f aca="false">B5664&amp;"|"&amp;C5664</f>
        <v>tdbR00000508 Ile-CAU|47</v>
      </c>
      <c r="B5664" s="4" t="s">
        <v>115</v>
      </c>
      <c r="C5664" s="4" t="s">
        <v>468</v>
      </c>
      <c r="D5664" s="4" t="n">
        <v>48</v>
      </c>
      <c r="E5664" s="19" t="s">
        <v>259</v>
      </c>
      <c r="F5664" s="20" t="s">
        <v>465</v>
      </c>
    </row>
    <row r="5665" customFormat="false" ht="15" hidden="false" customHeight="false" outlineLevel="0" collapsed="false">
      <c r="A5665" s="4" t="str">
        <f aca="false">B5665&amp;"|"&amp;C5665</f>
        <v>tdbR00000508 Ile-CAU|48</v>
      </c>
      <c r="B5665" s="4" t="s">
        <v>115</v>
      </c>
      <c r="C5665" s="4" t="s">
        <v>469</v>
      </c>
      <c r="D5665" s="4" t="n">
        <v>49</v>
      </c>
      <c r="E5665" s="19" t="s">
        <v>414</v>
      </c>
      <c r="F5665" s="20" t="s">
        <v>465</v>
      </c>
    </row>
    <row r="5666" customFormat="false" ht="15" hidden="false" customHeight="false" outlineLevel="0" collapsed="false">
      <c r="A5666" s="4" t="str">
        <f aca="false">B5666&amp;"|"&amp;C5666</f>
        <v>tdbR00000508 Ile-CAU|49</v>
      </c>
      <c r="B5666" s="4" t="s">
        <v>115</v>
      </c>
      <c r="C5666" s="4" t="s">
        <v>470</v>
      </c>
      <c r="D5666" s="4" t="n">
        <v>50</v>
      </c>
      <c r="E5666" s="23" t="s">
        <v>197</v>
      </c>
      <c r="F5666" s="10" t="s">
        <v>471</v>
      </c>
    </row>
    <row r="5667" customFormat="false" ht="15" hidden="false" customHeight="false" outlineLevel="0" collapsed="false">
      <c r="A5667" s="4" t="str">
        <f aca="false">B5667&amp;"|"&amp;C5667</f>
        <v>tdbR00000508 Ile-CAU|50</v>
      </c>
      <c r="B5667" s="4" t="s">
        <v>115</v>
      </c>
      <c r="C5667" s="4" t="s">
        <v>472</v>
      </c>
      <c r="D5667" s="4" t="n">
        <v>51</v>
      </c>
      <c r="E5667" s="23" t="s">
        <v>414</v>
      </c>
      <c r="F5667" s="10" t="s">
        <v>471</v>
      </c>
    </row>
    <row r="5668" customFormat="false" ht="15" hidden="false" customHeight="false" outlineLevel="0" collapsed="false">
      <c r="A5668" s="4" t="str">
        <f aca="false">B5668&amp;"|"&amp;C5668</f>
        <v>tdbR00000508 Ile-CAU|51</v>
      </c>
      <c r="B5668" s="4" t="s">
        <v>115</v>
      </c>
      <c r="C5668" s="4" t="s">
        <v>473</v>
      </c>
      <c r="D5668" s="4" t="n">
        <v>52</v>
      </c>
      <c r="E5668" s="23" t="s">
        <v>414</v>
      </c>
      <c r="F5668" s="10" t="s">
        <v>471</v>
      </c>
    </row>
    <row r="5669" customFormat="false" ht="15" hidden="false" customHeight="false" outlineLevel="0" collapsed="false">
      <c r="A5669" s="4" t="str">
        <f aca="false">B5669&amp;"|"&amp;C5669</f>
        <v>tdbR00000508 Ile-CAU|52</v>
      </c>
      <c r="B5669" s="4" t="s">
        <v>115</v>
      </c>
      <c r="C5669" s="4" t="s">
        <v>474</v>
      </c>
      <c r="D5669" s="4" t="n">
        <v>53</v>
      </c>
      <c r="E5669" s="23" t="s">
        <v>197</v>
      </c>
      <c r="F5669" s="10" t="s">
        <v>471</v>
      </c>
    </row>
    <row r="5670" customFormat="false" ht="15" hidden="false" customHeight="false" outlineLevel="0" collapsed="false">
      <c r="A5670" s="4" t="str">
        <f aca="false">B5670&amp;"|"&amp;C5670</f>
        <v>tdbR00000508 Ile-CAU|53</v>
      </c>
      <c r="B5670" s="4" t="s">
        <v>115</v>
      </c>
      <c r="C5670" s="4" t="s">
        <v>475</v>
      </c>
      <c r="D5670" s="4" t="n">
        <v>54</v>
      </c>
      <c r="E5670" s="23" t="s">
        <v>197</v>
      </c>
      <c r="F5670" s="10" t="s">
        <v>471</v>
      </c>
    </row>
    <row r="5671" customFormat="false" ht="15" hidden="false" customHeight="false" outlineLevel="0" collapsed="false">
      <c r="A5671" s="4" t="str">
        <f aca="false">B5671&amp;"|"&amp;C5671</f>
        <v>tdbR00000508 Ile-CAU|54</v>
      </c>
      <c r="B5671" s="4" t="s">
        <v>115</v>
      </c>
      <c r="C5671" s="4" t="s">
        <v>476</v>
      </c>
      <c r="D5671" s="4" t="n">
        <v>55</v>
      </c>
      <c r="E5671" s="19" t="s">
        <v>259</v>
      </c>
      <c r="F5671" s="20" t="s">
        <v>477</v>
      </c>
    </row>
    <row r="5672" customFormat="false" ht="15" hidden="false" customHeight="false" outlineLevel="0" collapsed="false">
      <c r="A5672" s="4" t="str">
        <f aca="false">B5672&amp;"|"&amp;C5672</f>
        <v>tdbR00000508 Ile-CAU|55</v>
      </c>
      <c r="B5672" s="4" t="s">
        <v>115</v>
      </c>
      <c r="C5672" s="4" t="s">
        <v>478</v>
      </c>
      <c r="D5672" s="4" t="n">
        <v>56</v>
      </c>
      <c r="E5672" s="19" t="s">
        <v>259</v>
      </c>
      <c r="F5672" s="20" t="s">
        <v>477</v>
      </c>
    </row>
    <row r="5673" customFormat="false" ht="15" hidden="false" customHeight="false" outlineLevel="0" collapsed="false">
      <c r="A5673" s="4" t="str">
        <f aca="false">B5673&amp;"|"&amp;C5673</f>
        <v>tdbR00000508 Ile-CAU|56</v>
      </c>
      <c r="B5673" s="4" t="s">
        <v>115</v>
      </c>
      <c r="C5673" s="4" t="s">
        <v>479</v>
      </c>
      <c r="D5673" s="4" t="n">
        <v>57</v>
      </c>
      <c r="E5673" s="19" t="s">
        <v>414</v>
      </c>
      <c r="F5673" s="20" t="s">
        <v>477</v>
      </c>
    </row>
    <row r="5674" customFormat="false" ht="15" hidden="false" customHeight="false" outlineLevel="0" collapsed="false">
      <c r="A5674" s="4" t="str">
        <f aca="false">B5674&amp;"|"&amp;C5674</f>
        <v>tdbR00000508 Ile-CAU|57</v>
      </c>
      <c r="B5674" s="4" t="s">
        <v>115</v>
      </c>
      <c r="C5674" s="4" t="s">
        <v>480</v>
      </c>
      <c r="D5674" s="4" t="n">
        <v>58</v>
      </c>
      <c r="E5674" s="19" t="s">
        <v>246</v>
      </c>
      <c r="F5674" s="20" t="s">
        <v>477</v>
      </c>
    </row>
    <row r="5675" customFormat="false" ht="15" hidden="false" customHeight="false" outlineLevel="0" collapsed="false">
      <c r="A5675" s="4" t="str">
        <f aca="false">B5675&amp;"|"&amp;C5675</f>
        <v>tdbR00000508 Ile-CAU|58</v>
      </c>
      <c r="B5675" s="4" t="s">
        <v>115</v>
      </c>
      <c r="C5675" s="4" t="s">
        <v>481</v>
      </c>
      <c r="D5675" s="4" t="n">
        <v>59</v>
      </c>
      <c r="E5675" s="19" t="s">
        <v>246</v>
      </c>
      <c r="F5675" s="20" t="s">
        <v>477</v>
      </c>
    </row>
    <row r="5676" customFormat="false" ht="15" hidden="false" customHeight="false" outlineLevel="0" collapsed="false">
      <c r="A5676" s="4" t="str">
        <f aca="false">B5676&amp;"|"&amp;C5676</f>
        <v>tdbR00000508 Ile-CAU|59</v>
      </c>
      <c r="B5676" s="4" t="s">
        <v>115</v>
      </c>
      <c r="C5676" s="4" t="s">
        <v>482</v>
      </c>
      <c r="D5676" s="4" t="n">
        <v>60</v>
      </c>
      <c r="E5676" s="19" t="s">
        <v>246</v>
      </c>
      <c r="F5676" s="20" t="s">
        <v>477</v>
      </c>
    </row>
    <row r="5677" customFormat="false" ht="15" hidden="false" customHeight="false" outlineLevel="0" collapsed="false">
      <c r="A5677" s="4" t="str">
        <f aca="false">B5677&amp;"|"&amp;C5677</f>
        <v>tdbR00000508 Ile-CAU|60</v>
      </c>
      <c r="B5677" s="4" t="s">
        <v>115</v>
      </c>
      <c r="C5677" s="4" t="s">
        <v>483</v>
      </c>
      <c r="D5677" s="4" t="n">
        <v>61</v>
      </c>
      <c r="E5677" s="19" t="s">
        <v>259</v>
      </c>
      <c r="F5677" s="20" t="s">
        <v>477</v>
      </c>
    </row>
    <row r="5678" customFormat="false" ht="15" hidden="false" customHeight="false" outlineLevel="0" collapsed="false">
      <c r="A5678" s="4" t="str">
        <f aca="false">B5678&amp;"|"&amp;C5678</f>
        <v>tdbR00000508 Ile-CAU|61</v>
      </c>
      <c r="B5678" s="4" t="s">
        <v>115</v>
      </c>
      <c r="C5678" s="4" t="s">
        <v>484</v>
      </c>
      <c r="D5678" s="4" t="n">
        <v>62</v>
      </c>
      <c r="E5678" s="23" t="s">
        <v>414</v>
      </c>
      <c r="F5678" s="10" t="s">
        <v>471</v>
      </c>
    </row>
    <row r="5679" customFormat="false" ht="15" hidden="false" customHeight="false" outlineLevel="0" collapsed="false">
      <c r="A5679" s="4" t="str">
        <f aca="false">B5679&amp;"|"&amp;C5679</f>
        <v>tdbR00000508 Ile-CAU|62</v>
      </c>
      <c r="B5679" s="4" t="s">
        <v>115</v>
      </c>
      <c r="C5679" s="4" t="s">
        <v>485</v>
      </c>
      <c r="D5679" s="4" t="n">
        <v>63</v>
      </c>
      <c r="E5679" s="23" t="s">
        <v>414</v>
      </c>
      <c r="F5679" s="10" t="s">
        <v>471</v>
      </c>
    </row>
    <row r="5680" customFormat="false" ht="15" hidden="false" customHeight="false" outlineLevel="0" collapsed="false">
      <c r="A5680" s="4" t="str">
        <f aca="false">B5680&amp;"|"&amp;C5680</f>
        <v>tdbR00000508 Ile-CAU|63</v>
      </c>
      <c r="B5680" s="4" t="s">
        <v>115</v>
      </c>
      <c r="C5680" s="4" t="s">
        <v>486</v>
      </c>
      <c r="D5680" s="4" t="n">
        <v>64</v>
      </c>
      <c r="E5680" s="23" t="s">
        <v>197</v>
      </c>
      <c r="F5680" s="10" t="s">
        <v>471</v>
      </c>
    </row>
    <row r="5681" customFormat="false" ht="15" hidden="false" customHeight="false" outlineLevel="0" collapsed="false">
      <c r="A5681" s="4" t="str">
        <f aca="false">B5681&amp;"|"&amp;C5681</f>
        <v>tdbR00000508 Ile-CAU|64</v>
      </c>
      <c r="B5681" s="4" t="s">
        <v>115</v>
      </c>
      <c r="C5681" s="4" t="s">
        <v>487</v>
      </c>
      <c r="D5681" s="4" t="n">
        <v>65</v>
      </c>
      <c r="E5681" s="23" t="s">
        <v>197</v>
      </c>
      <c r="F5681" s="10" t="s">
        <v>471</v>
      </c>
    </row>
    <row r="5682" customFormat="false" ht="15" hidden="false" customHeight="false" outlineLevel="0" collapsed="false">
      <c r="A5682" s="4" t="str">
        <f aca="false">B5682&amp;"|"&amp;C5682</f>
        <v>tdbR00000508 Ile-CAU|65</v>
      </c>
      <c r="B5682" s="4" t="s">
        <v>115</v>
      </c>
      <c r="C5682" s="4" t="s">
        <v>488</v>
      </c>
      <c r="D5682" s="4" t="n">
        <v>66</v>
      </c>
      <c r="E5682" s="23" t="s">
        <v>414</v>
      </c>
      <c r="F5682" s="10" t="s">
        <v>471</v>
      </c>
    </row>
    <row r="5683" customFormat="false" ht="15" hidden="false" customHeight="false" outlineLevel="0" collapsed="false">
      <c r="A5683" s="4" t="str">
        <f aca="false">B5683&amp;"|"&amp;C5683</f>
        <v>tdbR00000508 Ile-CAU|66</v>
      </c>
      <c r="B5683" s="4" t="s">
        <v>115</v>
      </c>
      <c r="C5683" s="4" t="s">
        <v>489</v>
      </c>
      <c r="D5683" s="4" t="n">
        <v>67</v>
      </c>
      <c r="E5683" s="17" t="s">
        <v>414</v>
      </c>
      <c r="F5683" s="18" t="s">
        <v>412</v>
      </c>
    </row>
    <row r="5684" customFormat="false" ht="15" hidden="false" customHeight="false" outlineLevel="0" collapsed="false">
      <c r="A5684" s="4" t="str">
        <f aca="false">B5684&amp;"|"&amp;C5684</f>
        <v>tdbR00000508 Ile-CAU|67</v>
      </c>
      <c r="B5684" s="4" t="s">
        <v>115</v>
      </c>
      <c r="C5684" s="4" t="s">
        <v>490</v>
      </c>
      <c r="D5684" s="4" t="n">
        <v>68</v>
      </c>
      <c r="E5684" s="17" t="s">
        <v>414</v>
      </c>
      <c r="F5684" s="18" t="s">
        <v>412</v>
      </c>
    </row>
    <row r="5685" customFormat="false" ht="15" hidden="false" customHeight="false" outlineLevel="0" collapsed="false">
      <c r="A5685" s="4" t="str">
        <f aca="false">B5685&amp;"|"&amp;C5685</f>
        <v>tdbR00000508 Ile-CAU|68</v>
      </c>
      <c r="B5685" s="4" t="s">
        <v>115</v>
      </c>
      <c r="C5685" s="4" t="s">
        <v>491</v>
      </c>
      <c r="D5685" s="4" t="n">
        <v>69</v>
      </c>
      <c r="E5685" s="17" t="s">
        <v>414</v>
      </c>
      <c r="F5685" s="18" t="s">
        <v>412</v>
      </c>
    </row>
    <row r="5686" customFormat="false" ht="15" hidden="false" customHeight="false" outlineLevel="0" collapsed="false">
      <c r="A5686" s="4" t="str">
        <f aca="false">B5686&amp;"|"&amp;C5686</f>
        <v>tdbR00000508 Ile-CAU|69</v>
      </c>
      <c r="B5686" s="4" t="s">
        <v>115</v>
      </c>
      <c r="C5686" s="4" t="s">
        <v>492</v>
      </c>
      <c r="D5686" s="4" t="n">
        <v>70</v>
      </c>
      <c r="E5686" s="17" t="s">
        <v>414</v>
      </c>
      <c r="F5686" s="18" t="s">
        <v>412</v>
      </c>
    </row>
    <row r="5687" customFormat="false" ht="15" hidden="false" customHeight="false" outlineLevel="0" collapsed="false">
      <c r="A5687" s="4" t="str">
        <f aca="false">B5687&amp;"|"&amp;C5687</f>
        <v>tdbR00000508 Ile-CAU|70</v>
      </c>
      <c r="B5687" s="4" t="s">
        <v>115</v>
      </c>
      <c r="C5687" s="4" t="s">
        <v>493</v>
      </c>
      <c r="D5687" s="4" t="n">
        <v>71</v>
      </c>
      <c r="E5687" s="17" t="s">
        <v>197</v>
      </c>
      <c r="F5687" s="18" t="s">
        <v>412</v>
      </c>
    </row>
    <row r="5688" customFormat="false" ht="15" hidden="false" customHeight="false" outlineLevel="0" collapsed="false">
      <c r="A5688" s="4" t="str">
        <f aca="false">B5688&amp;"|"&amp;C5688</f>
        <v>tdbR00000508 Ile-CAU|71</v>
      </c>
      <c r="B5688" s="4" t="s">
        <v>115</v>
      </c>
      <c r="C5688" s="4" t="s">
        <v>494</v>
      </c>
      <c r="D5688" s="4" t="n">
        <v>72</v>
      </c>
      <c r="E5688" s="17" t="s">
        <v>414</v>
      </c>
      <c r="F5688" s="18" t="s">
        <v>412</v>
      </c>
    </row>
    <row r="5689" customFormat="false" ht="15" hidden="false" customHeight="false" outlineLevel="0" collapsed="false">
      <c r="A5689" s="4" t="str">
        <f aca="false">B5689&amp;"|"&amp;C5689</f>
        <v>tdbR00000508 Ile-CAU|72</v>
      </c>
      <c r="B5689" s="4" t="s">
        <v>115</v>
      </c>
      <c r="C5689" s="4" t="s">
        <v>495</v>
      </c>
      <c r="D5689" s="4" t="n">
        <v>73</v>
      </c>
      <c r="E5689" s="17" t="s">
        <v>246</v>
      </c>
      <c r="F5689" s="18" t="s">
        <v>412</v>
      </c>
    </row>
    <row r="5690" customFormat="false" ht="15" hidden="false" customHeight="false" outlineLevel="0" collapsed="false">
      <c r="A5690" s="4" t="str">
        <f aca="false">B5690&amp;"|"&amp;C5690</f>
        <v>tdbR00000509 Ile-CAU|1</v>
      </c>
      <c r="B5690" s="4" t="s">
        <v>116</v>
      </c>
      <c r="C5690" s="4" t="s">
        <v>411</v>
      </c>
      <c r="D5690" s="4" t="n">
        <v>1</v>
      </c>
      <c r="E5690" s="17" t="s">
        <v>414</v>
      </c>
      <c r="F5690" s="18" t="s">
        <v>412</v>
      </c>
    </row>
    <row r="5691" customFormat="false" ht="15" hidden="false" customHeight="false" outlineLevel="0" collapsed="false">
      <c r="A5691" s="4" t="str">
        <f aca="false">B5691&amp;"|"&amp;C5691</f>
        <v>tdbR00000509 Ile-CAU|2</v>
      </c>
      <c r="B5691" s="4" t="s">
        <v>116</v>
      </c>
      <c r="C5691" s="4" t="s">
        <v>413</v>
      </c>
      <c r="D5691" s="4" t="n">
        <v>2</v>
      </c>
      <c r="E5691" s="17" t="s">
        <v>197</v>
      </c>
      <c r="F5691" s="18" t="s">
        <v>412</v>
      </c>
    </row>
    <row r="5692" customFormat="false" ht="15" hidden="false" customHeight="false" outlineLevel="0" collapsed="false">
      <c r="A5692" s="4" t="str">
        <f aca="false">B5692&amp;"|"&amp;C5692</f>
        <v>tdbR00000509 Ile-CAU|3</v>
      </c>
      <c r="B5692" s="4" t="s">
        <v>116</v>
      </c>
      <c r="C5692" s="4" t="s">
        <v>415</v>
      </c>
      <c r="D5692" s="4" t="n">
        <v>3</v>
      </c>
      <c r="E5692" s="17" t="s">
        <v>414</v>
      </c>
      <c r="F5692" s="18" t="s">
        <v>412</v>
      </c>
    </row>
    <row r="5693" customFormat="false" ht="15" hidden="false" customHeight="false" outlineLevel="0" collapsed="false">
      <c r="A5693" s="4" t="str">
        <f aca="false">B5693&amp;"|"&amp;C5693</f>
        <v>tdbR00000509 Ile-CAU|4</v>
      </c>
      <c r="B5693" s="4" t="s">
        <v>116</v>
      </c>
      <c r="C5693" s="4" t="s">
        <v>416</v>
      </c>
      <c r="D5693" s="4" t="n">
        <v>4</v>
      </c>
      <c r="E5693" s="17" t="s">
        <v>197</v>
      </c>
      <c r="F5693" s="18" t="s">
        <v>412</v>
      </c>
    </row>
    <row r="5694" customFormat="false" ht="15" hidden="false" customHeight="false" outlineLevel="0" collapsed="false">
      <c r="A5694" s="4" t="str">
        <f aca="false">B5694&amp;"|"&amp;C5694</f>
        <v>tdbR00000509 Ile-CAU|5</v>
      </c>
      <c r="B5694" s="4" t="s">
        <v>116</v>
      </c>
      <c r="C5694" s="4" t="s">
        <v>417</v>
      </c>
      <c r="D5694" s="4" t="n">
        <v>5</v>
      </c>
      <c r="E5694" s="17" t="s">
        <v>197</v>
      </c>
      <c r="F5694" s="18" t="s">
        <v>412</v>
      </c>
    </row>
    <row r="5695" customFormat="false" ht="15" hidden="false" customHeight="false" outlineLevel="0" collapsed="false">
      <c r="A5695" s="4" t="str">
        <f aca="false">B5695&amp;"|"&amp;C5695</f>
        <v>tdbR00000509 Ile-CAU|6</v>
      </c>
      <c r="B5695" s="4" t="s">
        <v>116</v>
      </c>
      <c r="C5695" s="4" t="s">
        <v>418</v>
      </c>
      <c r="D5695" s="4" t="n">
        <v>6</v>
      </c>
      <c r="E5695" s="17" t="s">
        <v>197</v>
      </c>
      <c r="F5695" s="18" t="s">
        <v>412</v>
      </c>
    </row>
    <row r="5696" customFormat="false" ht="15" hidden="false" customHeight="false" outlineLevel="0" collapsed="false">
      <c r="A5696" s="4" t="str">
        <f aca="false">B5696&amp;"|"&amp;C5696</f>
        <v>tdbR00000509 Ile-CAU|7</v>
      </c>
      <c r="B5696" s="4" t="s">
        <v>116</v>
      </c>
      <c r="C5696" s="4" t="s">
        <v>419</v>
      </c>
      <c r="D5696" s="4" t="n">
        <v>7</v>
      </c>
      <c r="E5696" s="17" t="s">
        <v>197</v>
      </c>
      <c r="F5696" s="18" t="s">
        <v>412</v>
      </c>
    </row>
    <row r="5697" customFormat="false" ht="15" hidden="false" customHeight="false" outlineLevel="0" collapsed="false">
      <c r="A5697" s="4" t="str">
        <f aca="false">B5697&amp;"|"&amp;C5697</f>
        <v>tdbR00000509 Ile-CAU|8</v>
      </c>
      <c r="B5697" s="4" t="s">
        <v>116</v>
      </c>
      <c r="C5697" s="4" t="s">
        <v>420</v>
      </c>
      <c r="D5697" s="4" t="n">
        <v>8</v>
      </c>
      <c r="E5697" s="3" t="s">
        <v>259</v>
      </c>
      <c r="F5697" s="4" t="s">
        <v>421</v>
      </c>
    </row>
    <row r="5698" customFormat="false" ht="15" hidden="false" customHeight="false" outlineLevel="0" collapsed="false">
      <c r="A5698" s="4" t="str">
        <f aca="false">B5698&amp;"|"&amp;C5698</f>
        <v>tdbR00000509 Ile-CAU|9</v>
      </c>
      <c r="B5698" s="4" t="s">
        <v>116</v>
      </c>
      <c r="C5698" s="4" t="s">
        <v>422</v>
      </c>
      <c r="D5698" s="4" t="n">
        <v>9</v>
      </c>
      <c r="E5698" s="3" t="s">
        <v>197</v>
      </c>
      <c r="F5698" s="4" t="s">
        <v>423</v>
      </c>
    </row>
    <row r="5699" customFormat="false" ht="15" hidden="false" customHeight="false" outlineLevel="0" collapsed="false">
      <c r="A5699" s="4" t="str">
        <f aca="false">B5699&amp;"|"&amp;C5699</f>
        <v>tdbR00000509 Ile-CAU|10</v>
      </c>
      <c r="B5699" s="4" t="s">
        <v>116</v>
      </c>
      <c r="C5699" s="4" t="s">
        <v>424</v>
      </c>
      <c r="D5699" s="4" t="n">
        <v>10</v>
      </c>
      <c r="E5699" s="8" t="s">
        <v>197</v>
      </c>
      <c r="F5699" s="7" t="s">
        <v>425</v>
      </c>
    </row>
    <row r="5700" customFormat="false" ht="15" hidden="false" customHeight="false" outlineLevel="0" collapsed="false">
      <c r="A5700" s="4" t="str">
        <f aca="false">B5700&amp;"|"&amp;C5700</f>
        <v>tdbR00000509 Ile-CAU|11</v>
      </c>
      <c r="B5700" s="4" t="s">
        <v>116</v>
      </c>
      <c r="C5700" s="4" t="s">
        <v>426</v>
      </c>
      <c r="D5700" s="4" t="n">
        <v>11</v>
      </c>
      <c r="E5700" s="8" t="s">
        <v>246</v>
      </c>
      <c r="F5700" s="7" t="s">
        <v>425</v>
      </c>
    </row>
    <row r="5701" customFormat="false" ht="15" hidden="false" customHeight="false" outlineLevel="0" collapsed="false">
      <c r="A5701" s="4" t="str">
        <f aca="false">B5701&amp;"|"&amp;C5701</f>
        <v>tdbR00000509 Ile-CAU|12</v>
      </c>
      <c r="B5701" s="4" t="s">
        <v>116</v>
      </c>
      <c r="C5701" s="4" t="s">
        <v>427</v>
      </c>
      <c r="D5701" s="4" t="n">
        <v>12</v>
      </c>
      <c r="E5701" s="8" t="s">
        <v>197</v>
      </c>
      <c r="F5701" s="7" t="s">
        <v>425</v>
      </c>
    </row>
    <row r="5702" customFormat="false" ht="15" hidden="false" customHeight="false" outlineLevel="0" collapsed="false">
      <c r="A5702" s="4" t="str">
        <f aca="false">B5702&amp;"|"&amp;C5702</f>
        <v>tdbR00000509 Ile-CAU|13</v>
      </c>
      <c r="B5702" s="4" t="s">
        <v>116</v>
      </c>
      <c r="C5702" s="4" t="s">
        <v>428</v>
      </c>
      <c r="D5702" s="4" t="n">
        <v>13</v>
      </c>
      <c r="E5702" s="8" t="s">
        <v>414</v>
      </c>
      <c r="F5702" s="7" t="s">
        <v>425</v>
      </c>
    </row>
    <row r="5703" customFormat="false" ht="15" hidden="false" customHeight="false" outlineLevel="0" collapsed="false">
      <c r="A5703" s="4" t="str">
        <f aca="false">B5703&amp;"|"&amp;C5703</f>
        <v>tdbR00000509 Ile-CAU|14</v>
      </c>
      <c r="B5703" s="4" t="s">
        <v>116</v>
      </c>
      <c r="C5703" s="4" t="s">
        <v>429</v>
      </c>
      <c r="D5703" s="4" t="n">
        <v>14</v>
      </c>
      <c r="E5703" s="19" t="s">
        <v>246</v>
      </c>
      <c r="F5703" s="20" t="s">
        <v>430</v>
      </c>
    </row>
    <row r="5704" customFormat="false" ht="15" hidden="false" customHeight="false" outlineLevel="0" collapsed="false">
      <c r="A5704" s="4" t="str">
        <f aca="false">B5704&amp;"|"&amp;C5704</f>
        <v>tdbR00000509 Ile-CAU|15</v>
      </c>
      <c r="B5704" s="4" t="s">
        <v>116</v>
      </c>
      <c r="C5704" s="4" t="s">
        <v>431</v>
      </c>
      <c r="D5704" s="4" t="n">
        <v>15</v>
      </c>
      <c r="E5704" s="19" t="s">
        <v>197</v>
      </c>
      <c r="F5704" s="20" t="s">
        <v>430</v>
      </c>
    </row>
    <row r="5705" customFormat="false" ht="15" hidden="false" customHeight="false" outlineLevel="0" collapsed="false">
      <c r="A5705" s="4" t="str">
        <f aca="false">B5705&amp;"|"&amp;C5705</f>
        <v>tdbR00000509 Ile-CAU|16</v>
      </c>
      <c r="B5705" s="4" t="s">
        <v>116</v>
      </c>
      <c r="C5705" s="4" t="s">
        <v>432</v>
      </c>
      <c r="D5705" s="4" t="n">
        <v>16</v>
      </c>
      <c r="E5705" s="19" t="s">
        <v>414</v>
      </c>
      <c r="F5705" s="20" t="s">
        <v>430</v>
      </c>
    </row>
    <row r="5706" customFormat="false" ht="15" hidden="false" customHeight="false" outlineLevel="0" collapsed="false">
      <c r="A5706" s="4" t="str">
        <f aca="false">B5706&amp;"|"&amp;C5706</f>
        <v>tdbR00000509 Ile-CAU|17</v>
      </c>
      <c r="B5706" s="4" t="s">
        <v>116</v>
      </c>
      <c r="C5706" s="4" t="s">
        <v>433</v>
      </c>
      <c r="D5706" s="4" t="n">
        <v>17</v>
      </c>
      <c r="E5706" s="19" t="s">
        <v>414</v>
      </c>
      <c r="F5706" s="20" t="s">
        <v>430</v>
      </c>
    </row>
    <row r="5707" customFormat="false" ht="15" hidden="false" customHeight="false" outlineLevel="0" collapsed="false">
      <c r="A5707" s="4" t="str">
        <f aca="false">B5707&amp;"|"&amp;C5707</f>
        <v>tdbR00000509 Ile-CAU|17a</v>
      </c>
      <c r="B5707" s="4" t="s">
        <v>116</v>
      </c>
      <c r="C5707" s="4" t="s">
        <v>496</v>
      </c>
      <c r="D5707" s="4" t="n">
        <v>18</v>
      </c>
      <c r="E5707" s="19" t="s">
        <v>259</v>
      </c>
      <c r="F5707" s="20" t="s">
        <v>430</v>
      </c>
    </row>
    <row r="5708" customFormat="false" ht="15" hidden="false" customHeight="false" outlineLevel="0" collapsed="false">
      <c r="A5708" s="4" t="str">
        <f aca="false">B5708&amp;"|"&amp;C5708</f>
        <v>tdbR00000509 Ile-CAU|18</v>
      </c>
      <c r="B5708" s="4" t="s">
        <v>116</v>
      </c>
      <c r="C5708" s="4" t="s">
        <v>434</v>
      </c>
      <c r="D5708" s="4" t="n">
        <v>19</v>
      </c>
      <c r="E5708" s="19" t="s">
        <v>197</v>
      </c>
      <c r="F5708" s="20" t="s">
        <v>430</v>
      </c>
    </row>
    <row r="5709" customFormat="false" ht="15" hidden="false" customHeight="false" outlineLevel="0" collapsed="false">
      <c r="A5709" s="4" t="str">
        <f aca="false">B5709&amp;"|"&amp;C5709</f>
        <v>tdbR00000509 Ile-CAU|19</v>
      </c>
      <c r="B5709" s="4" t="s">
        <v>116</v>
      </c>
      <c r="C5709" s="4" t="s">
        <v>435</v>
      </c>
      <c r="D5709" s="4" t="n">
        <v>20</v>
      </c>
      <c r="E5709" s="19" t="s">
        <v>197</v>
      </c>
      <c r="F5709" s="20" t="s">
        <v>430</v>
      </c>
    </row>
    <row r="5710" customFormat="false" ht="15" hidden="false" customHeight="false" outlineLevel="0" collapsed="false">
      <c r="A5710" s="4" t="str">
        <f aca="false">B5710&amp;"|"&amp;C5710</f>
        <v>tdbR00000509 Ile-CAU|20</v>
      </c>
      <c r="B5710" s="4" t="s">
        <v>116</v>
      </c>
      <c r="C5710" s="4" t="s">
        <v>436</v>
      </c>
      <c r="D5710" s="4" t="n">
        <v>21</v>
      </c>
      <c r="E5710" s="19" t="s">
        <v>259</v>
      </c>
      <c r="F5710" s="20" t="s">
        <v>430</v>
      </c>
    </row>
    <row r="5711" customFormat="false" ht="15" hidden="false" customHeight="false" outlineLevel="0" collapsed="false">
      <c r="A5711" s="4" t="str">
        <f aca="false">B5711&amp;"|"&amp;C5711</f>
        <v>tdbR00000509 Ile-CAU|21</v>
      </c>
      <c r="B5711" s="4" t="s">
        <v>116</v>
      </c>
      <c r="C5711" s="4" t="s">
        <v>438</v>
      </c>
      <c r="D5711" s="4" t="n">
        <v>22</v>
      </c>
      <c r="E5711" s="19" t="s">
        <v>246</v>
      </c>
      <c r="F5711" s="20" t="s">
        <v>430</v>
      </c>
    </row>
    <row r="5712" customFormat="false" ht="15" hidden="false" customHeight="false" outlineLevel="0" collapsed="false">
      <c r="A5712" s="4" t="str">
        <f aca="false">B5712&amp;"|"&amp;C5712</f>
        <v>tdbR00000509 Ile-CAU|22</v>
      </c>
      <c r="B5712" s="4" t="s">
        <v>116</v>
      </c>
      <c r="C5712" s="4" t="s">
        <v>439</v>
      </c>
      <c r="D5712" s="4" t="n">
        <v>23</v>
      </c>
      <c r="E5712" s="8" t="s">
        <v>197</v>
      </c>
      <c r="F5712" s="7" t="s">
        <v>425</v>
      </c>
    </row>
    <row r="5713" customFormat="false" ht="15" hidden="false" customHeight="false" outlineLevel="0" collapsed="false">
      <c r="A5713" s="4" t="str">
        <f aca="false">B5713&amp;"|"&amp;C5713</f>
        <v>tdbR00000509 Ile-CAU|23</v>
      </c>
      <c r="B5713" s="4" t="s">
        <v>116</v>
      </c>
      <c r="C5713" s="4" t="s">
        <v>440</v>
      </c>
      <c r="D5713" s="4" t="n">
        <v>24</v>
      </c>
      <c r="E5713" s="8" t="s">
        <v>414</v>
      </c>
      <c r="F5713" s="7" t="s">
        <v>425</v>
      </c>
    </row>
    <row r="5714" customFormat="false" ht="15" hidden="false" customHeight="false" outlineLevel="0" collapsed="false">
      <c r="A5714" s="4" t="str">
        <f aca="false">B5714&amp;"|"&amp;C5714</f>
        <v>tdbR00000509 Ile-CAU|24</v>
      </c>
      <c r="B5714" s="4" t="s">
        <v>116</v>
      </c>
      <c r="C5714" s="4" t="s">
        <v>441</v>
      </c>
      <c r="D5714" s="4" t="n">
        <v>25</v>
      </c>
      <c r="E5714" s="8" t="s">
        <v>259</v>
      </c>
      <c r="F5714" s="7" t="s">
        <v>425</v>
      </c>
    </row>
    <row r="5715" customFormat="false" ht="15" hidden="false" customHeight="false" outlineLevel="0" collapsed="false">
      <c r="A5715" s="4" t="str">
        <f aca="false">B5715&amp;"|"&amp;C5715</f>
        <v>tdbR00000509 Ile-CAU|25</v>
      </c>
      <c r="B5715" s="4" t="s">
        <v>116</v>
      </c>
      <c r="C5715" s="4" t="s">
        <v>442</v>
      </c>
      <c r="D5715" s="4" t="n">
        <v>26</v>
      </c>
      <c r="E5715" s="8" t="s">
        <v>414</v>
      </c>
      <c r="F5715" s="7" t="s">
        <v>425</v>
      </c>
    </row>
    <row r="5716" customFormat="false" ht="15" hidden="false" customHeight="false" outlineLevel="0" collapsed="false">
      <c r="A5716" s="4" t="str">
        <f aca="false">B5716&amp;"|"&amp;C5716</f>
        <v>tdbR00000509 Ile-CAU|26</v>
      </c>
      <c r="B5716" s="4" t="s">
        <v>116</v>
      </c>
      <c r="C5716" s="4" t="s">
        <v>443</v>
      </c>
      <c r="D5716" s="4" t="n">
        <v>27</v>
      </c>
      <c r="E5716" s="3" t="s">
        <v>197</v>
      </c>
      <c r="F5716" s="4" t="s">
        <v>444</v>
      </c>
    </row>
    <row r="5717" customFormat="false" ht="15" hidden="false" customHeight="false" outlineLevel="0" collapsed="false">
      <c r="A5717" s="4" t="str">
        <f aca="false">B5717&amp;"|"&amp;C5717</f>
        <v>tdbR00000509 Ile-CAU|27</v>
      </c>
      <c r="B5717" s="4" t="s">
        <v>116</v>
      </c>
      <c r="C5717" s="4" t="s">
        <v>445</v>
      </c>
      <c r="D5717" s="4" t="n">
        <v>28</v>
      </c>
      <c r="E5717" s="21" t="s">
        <v>259</v>
      </c>
      <c r="F5717" s="22" t="s">
        <v>446</v>
      </c>
    </row>
    <row r="5718" customFormat="false" ht="15" hidden="false" customHeight="false" outlineLevel="0" collapsed="false">
      <c r="A5718" s="4" t="str">
        <f aca="false">B5718&amp;"|"&amp;C5718</f>
        <v>tdbR00000509 Ile-CAU|28</v>
      </c>
      <c r="B5718" s="4" t="s">
        <v>116</v>
      </c>
      <c r="C5718" s="4" t="s">
        <v>447</v>
      </c>
      <c r="D5718" s="4" t="n">
        <v>29</v>
      </c>
      <c r="E5718" s="21" t="s">
        <v>414</v>
      </c>
      <c r="F5718" s="22" t="s">
        <v>446</v>
      </c>
    </row>
    <row r="5719" customFormat="false" ht="15" hidden="false" customHeight="false" outlineLevel="0" collapsed="false">
      <c r="A5719" s="4" t="str">
        <f aca="false">B5719&amp;"|"&amp;C5719</f>
        <v>tdbR00000509 Ile-CAU|29</v>
      </c>
      <c r="B5719" s="4" t="s">
        <v>116</v>
      </c>
      <c r="C5719" s="4" t="s">
        <v>448</v>
      </c>
      <c r="D5719" s="4" t="n">
        <v>30</v>
      </c>
      <c r="E5719" s="21" t="s">
        <v>197</v>
      </c>
      <c r="F5719" s="22" t="s">
        <v>446</v>
      </c>
    </row>
    <row r="5720" customFormat="false" ht="15" hidden="false" customHeight="false" outlineLevel="0" collapsed="false">
      <c r="A5720" s="4" t="str">
        <f aca="false">B5720&amp;"|"&amp;C5720</f>
        <v>tdbR00000509 Ile-CAU|30</v>
      </c>
      <c r="B5720" s="4" t="s">
        <v>116</v>
      </c>
      <c r="C5720" s="4" t="s">
        <v>449</v>
      </c>
      <c r="D5720" s="4" t="n">
        <v>31</v>
      </c>
      <c r="E5720" s="21" t="s">
        <v>197</v>
      </c>
      <c r="F5720" s="22" t="s">
        <v>446</v>
      </c>
    </row>
    <row r="5721" customFormat="false" ht="15" hidden="false" customHeight="false" outlineLevel="0" collapsed="false">
      <c r="A5721" s="4" t="str">
        <f aca="false">B5721&amp;"|"&amp;C5721</f>
        <v>tdbR00000509 Ile-CAU|31</v>
      </c>
      <c r="B5721" s="4" t="s">
        <v>116</v>
      </c>
      <c r="C5721" s="4" t="s">
        <v>450</v>
      </c>
      <c r="D5721" s="4" t="n">
        <v>32</v>
      </c>
      <c r="E5721" s="21" t="s">
        <v>197</v>
      </c>
      <c r="F5721" s="22" t="s">
        <v>446</v>
      </c>
    </row>
    <row r="5722" customFormat="false" ht="15" hidden="false" customHeight="false" outlineLevel="0" collapsed="false">
      <c r="A5722" s="4" t="str">
        <f aca="false">B5722&amp;"|"&amp;C5722</f>
        <v>tdbR00000509 Ile-CAU|32</v>
      </c>
      <c r="B5722" s="4" t="s">
        <v>116</v>
      </c>
      <c r="C5722" s="4" t="s">
        <v>451</v>
      </c>
      <c r="D5722" s="4" t="n">
        <v>33</v>
      </c>
      <c r="E5722" s="19" t="s">
        <v>414</v>
      </c>
      <c r="F5722" s="20" t="s">
        <v>452</v>
      </c>
    </row>
    <row r="5723" customFormat="false" ht="15" hidden="false" customHeight="false" outlineLevel="0" collapsed="false">
      <c r="A5723" s="4" t="str">
        <f aca="false">B5723&amp;"|"&amp;C5723</f>
        <v>tdbR00000509 Ile-CAU|33</v>
      </c>
      <c r="B5723" s="4" t="s">
        <v>116</v>
      </c>
      <c r="C5723" s="4" t="s">
        <v>453</v>
      </c>
      <c r="D5723" s="4" t="n">
        <v>34</v>
      </c>
      <c r="E5723" s="19" t="s">
        <v>259</v>
      </c>
      <c r="F5723" s="20" t="s">
        <v>452</v>
      </c>
    </row>
    <row r="5724" customFormat="false" ht="15" hidden="false" customHeight="false" outlineLevel="0" collapsed="false">
      <c r="A5724" s="4" t="str">
        <f aca="false">B5724&amp;"|"&amp;C5724</f>
        <v>tdbR00000509 Ile-CAU|34</v>
      </c>
      <c r="B5724" s="4" t="s">
        <v>116</v>
      </c>
      <c r="C5724" s="4" t="s">
        <v>454</v>
      </c>
      <c r="D5724" s="4" t="n">
        <v>35</v>
      </c>
      <c r="E5724" s="19" t="s">
        <v>414</v>
      </c>
      <c r="F5724" s="20" t="s">
        <v>452</v>
      </c>
    </row>
    <row r="5725" customFormat="false" ht="15" hidden="false" customHeight="false" outlineLevel="0" collapsed="false">
      <c r="A5725" s="4" t="str">
        <f aca="false">B5725&amp;"|"&amp;C5725</f>
        <v>tdbR00000509 Ile-CAU|35</v>
      </c>
      <c r="B5725" s="4" t="s">
        <v>116</v>
      </c>
      <c r="C5725" s="4" t="s">
        <v>455</v>
      </c>
      <c r="D5725" s="4" t="n">
        <v>36</v>
      </c>
      <c r="E5725" s="19" t="s">
        <v>246</v>
      </c>
      <c r="F5725" s="20" t="s">
        <v>452</v>
      </c>
    </row>
    <row r="5726" customFormat="false" ht="15" hidden="false" customHeight="false" outlineLevel="0" collapsed="false">
      <c r="A5726" s="4" t="str">
        <f aca="false">B5726&amp;"|"&amp;C5726</f>
        <v>tdbR00000509 Ile-CAU|36</v>
      </c>
      <c r="B5726" s="4" t="s">
        <v>116</v>
      </c>
      <c r="C5726" s="4" t="s">
        <v>456</v>
      </c>
      <c r="D5726" s="4" t="n">
        <v>37</v>
      </c>
      <c r="E5726" s="19" t="s">
        <v>259</v>
      </c>
      <c r="F5726" s="20" t="s">
        <v>452</v>
      </c>
    </row>
    <row r="5727" customFormat="false" ht="15" hidden="false" customHeight="false" outlineLevel="0" collapsed="false">
      <c r="A5727" s="4" t="str">
        <f aca="false">B5727&amp;"|"&amp;C5727</f>
        <v>tdbR00000509 Ile-CAU|37</v>
      </c>
      <c r="B5727" s="4" t="s">
        <v>116</v>
      </c>
      <c r="C5727" s="4" t="s">
        <v>457</v>
      </c>
      <c r="D5727" s="4" t="n">
        <v>38</v>
      </c>
      <c r="E5727" s="19" t="s">
        <v>246</v>
      </c>
      <c r="F5727" s="20" t="s">
        <v>452</v>
      </c>
    </row>
    <row r="5728" customFormat="false" ht="15" hidden="false" customHeight="false" outlineLevel="0" collapsed="false">
      <c r="A5728" s="4" t="str">
        <f aca="false">B5728&amp;"|"&amp;C5728</f>
        <v>tdbR00000509 Ile-CAU|38</v>
      </c>
      <c r="B5728" s="4" t="s">
        <v>116</v>
      </c>
      <c r="C5728" s="4" t="s">
        <v>458</v>
      </c>
      <c r="D5728" s="4" t="n">
        <v>39</v>
      </c>
      <c r="E5728" s="19" t="s">
        <v>246</v>
      </c>
      <c r="F5728" s="20" t="s">
        <v>452</v>
      </c>
    </row>
    <row r="5729" customFormat="false" ht="15" hidden="false" customHeight="false" outlineLevel="0" collapsed="false">
      <c r="A5729" s="4" t="str">
        <f aca="false">B5729&amp;"|"&amp;C5729</f>
        <v>tdbR00000509 Ile-CAU|39</v>
      </c>
      <c r="B5729" s="4" t="s">
        <v>116</v>
      </c>
      <c r="C5729" s="4" t="s">
        <v>459</v>
      </c>
      <c r="D5729" s="4" t="n">
        <v>40</v>
      </c>
      <c r="E5729" s="21" t="s">
        <v>414</v>
      </c>
      <c r="F5729" s="22" t="s">
        <v>446</v>
      </c>
    </row>
    <row r="5730" customFormat="false" ht="15" hidden="false" customHeight="false" outlineLevel="0" collapsed="false">
      <c r="A5730" s="4" t="str">
        <f aca="false">B5730&amp;"|"&amp;C5730</f>
        <v>tdbR00000509 Ile-CAU|40</v>
      </c>
      <c r="B5730" s="4" t="s">
        <v>116</v>
      </c>
      <c r="C5730" s="4" t="s">
        <v>460</v>
      </c>
      <c r="D5730" s="4" t="n">
        <v>41</v>
      </c>
      <c r="E5730" s="21" t="s">
        <v>414</v>
      </c>
      <c r="F5730" s="22" t="s">
        <v>446</v>
      </c>
    </row>
    <row r="5731" customFormat="false" ht="15" hidden="false" customHeight="false" outlineLevel="0" collapsed="false">
      <c r="A5731" s="4" t="str">
        <f aca="false">B5731&amp;"|"&amp;C5731</f>
        <v>tdbR00000509 Ile-CAU|41</v>
      </c>
      <c r="B5731" s="4" t="s">
        <v>116</v>
      </c>
      <c r="C5731" s="4" t="s">
        <v>461</v>
      </c>
      <c r="D5731" s="4" t="n">
        <v>42</v>
      </c>
      <c r="E5731" s="21" t="s">
        <v>414</v>
      </c>
      <c r="F5731" s="22" t="s">
        <v>446</v>
      </c>
    </row>
    <row r="5732" customFormat="false" ht="15" hidden="false" customHeight="false" outlineLevel="0" collapsed="false">
      <c r="A5732" s="4" t="str">
        <f aca="false">B5732&amp;"|"&amp;C5732</f>
        <v>tdbR00000509 Ile-CAU|42</v>
      </c>
      <c r="B5732" s="4" t="s">
        <v>116</v>
      </c>
      <c r="C5732" s="4" t="s">
        <v>462</v>
      </c>
      <c r="D5732" s="4" t="n">
        <v>43</v>
      </c>
      <c r="E5732" s="21" t="s">
        <v>197</v>
      </c>
      <c r="F5732" s="22" t="s">
        <v>446</v>
      </c>
    </row>
    <row r="5733" customFormat="false" ht="15" hidden="false" customHeight="false" outlineLevel="0" collapsed="false">
      <c r="A5733" s="4" t="str">
        <f aca="false">B5733&amp;"|"&amp;C5733</f>
        <v>tdbR00000509 Ile-CAU|43</v>
      </c>
      <c r="B5733" s="4" t="s">
        <v>116</v>
      </c>
      <c r="C5733" s="4" t="s">
        <v>463</v>
      </c>
      <c r="D5733" s="4" t="n">
        <v>44</v>
      </c>
      <c r="E5733" s="21" t="s">
        <v>246</v>
      </c>
      <c r="F5733" s="22" t="s">
        <v>446</v>
      </c>
    </row>
    <row r="5734" customFormat="false" ht="15" hidden="false" customHeight="false" outlineLevel="0" collapsed="false">
      <c r="A5734" s="4" t="str">
        <f aca="false">B5734&amp;"|"&amp;C5734</f>
        <v>tdbR00000509 Ile-CAU|44</v>
      </c>
      <c r="B5734" s="4" t="s">
        <v>116</v>
      </c>
      <c r="C5734" s="4" t="s">
        <v>464</v>
      </c>
      <c r="D5734" s="4" t="n">
        <v>45</v>
      </c>
      <c r="E5734" s="19" t="s">
        <v>246</v>
      </c>
      <c r="F5734" s="20" t="s">
        <v>465</v>
      </c>
    </row>
    <row r="5735" customFormat="false" ht="15" hidden="false" customHeight="false" outlineLevel="0" collapsed="false">
      <c r="A5735" s="4" t="str">
        <f aca="false">B5735&amp;"|"&amp;C5735</f>
        <v>tdbR00000509 Ile-CAU|45</v>
      </c>
      <c r="B5735" s="4" t="s">
        <v>116</v>
      </c>
      <c r="C5735" s="4" t="s">
        <v>466</v>
      </c>
      <c r="D5735" s="4" t="n">
        <v>46</v>
      </c>
      <c r="E5735" s="19" t="s">
        <v>197</v>
      </c>
      <c r="F5735" s="20" t="s">
        <v>465</v>
      </c>
    </row>
    <row r="5736" customFormat="false" ht="15" hidden="false" customHeight="false" outlineLevel="0" collapsed="false">
      <c r="A5736" s="4" t="str">
        <f aca="false">B5736&amp;"|"&amp;C5736</f>
        <v>tdbR00000509 Ile-CAU|46</v>
      </c>
      <c r="B5736" s="4" t="s">
        <v>116</v>
      </c>
      <c r="C5736" s="4" t="s">
        <v>467</v>
      </c>
      <c r="D5736" s="4" t="n">
        <v>47</v>
      </c>
      <c r="E5736" s="19" t="s">
        <v>197</v>
      </c>
      <c r="F5736" s="20" t="s">
        <v>465</v>
      </c>
    </row>
    <row r="5737" customFormat="false" ht="15" hidden="false" customHeight="false" outlineLevel="0" collapsed="false">
      <c r="A5737" s="4" t="str">
        <f aca="false">B5737&amp;"|"&amp;C5737</f>
        <v>tdbR00000509 Ile-CAU|47</v>
      </c>
      <c r="B5737" s="4" t="s">
        <v>116</v>
      </c>
      <c r="C5737" s="4" t="s">
        <v>468</v>
      </c>
      <c r="D5737" s="4" t="n">
        <v>48</v>
      </c>
      <c r="E5737" s="19" t="s">
        <v>259</v>
      </c>
      <c r="F5737" s="20" t="s">
        <v>465</v>
      </c>
    </row>
    <row r="5738" customFormat="false" ht="15" hidden="false" customHeight="false" outlineLevel="0" collapsed="false">
      <c r="A5738" s="4" t="str">
        <f aca="false">B5738&amp;"|"&amp;C5738</f>
        <v>tdbR00000509 Ile-CAU|48</v>
      </c>
      <c r="B5738" s="4" t="s">
        <v>116</v>
      </c>
      <c r="C5738" s="4" t="s">
        <v>469</v>
      </c>
      <c r="D5738" s="4" t="n">
        <v>49</v>
      </c>
      <c r="E5738" s="19" t="s">
        <v>414</v>
      </c>
      <c r="F5738" s="20" t="s">
        <v>465</v>
      </c>
    </row>
    <row r="5739" customFormat="false" ht="15" hidden="false" customHeight="false" outlineLevel="0" collapsed="false">
      <c r="A5739" s="4" t="str">
        <f aca="false">B5739&amp;"|"&amp;C5739</f>
        <v>tdbR00000509 Ile-CAU|49</v>
      </c>
      <c r="B5739" s="4" t="s">
        <v>116</v>
      </c>
      <c r="C5739" s="4" t="s">
        <v>470</v>
      </c>
      <c r="D5739" s="4" t="n">
        <v>50</v>
      </c>
      <c r="E5739" s="23" t="s">
        <v>197</v>
      </c>
      <c r="F5739" s="10" t="s">
        <v>471</v>
      </c>
    </row>
    <row r="5740" customFormat="false" ht="15" hidden="false" customHeight="false" outlineLevel="0" collapsed="false">
      <c r="A5740" s="4" t="str">
        <f aca="false">B5740&amp;"|"&amp;C5740</f>
        <v>tdbR00000509 Ile-CAU|50</v>
      </c>
      <c r="B5740" s="4" t="s">
        <v>116</v>
      </c>
      <c r="C5740" s="4" t="s">
        <v>472</v>
      </c>
      <c r="D5740" s="4" t="n">
        <v>51</v>
      </c>
      <c r="E5740" s="23" t="s">
        <v>414</v>
      </c>
      <c r="F5740" s="10" t="s">
        <v>471</v>
      </c>
    </row>
    <row r="5741" customFormat="false" ht="15" hidden="false" customHeight="false" outlineLevel="0" collapsed="false">
      <c r="A5741" s="4" t="str">
        <f aca="false">B5741&amp;"|"&amp;C5741</f>
        <v>tdbR00000509 Ile-CAU|51</v>
      </c>
      <c r="B5741" s="4" t="s">
        <v>116</v>
      </c>
      <c r="C5741" s="4" t="s">
        <v>473</v>
      </c>
      <c r="D5741" s="4" t="n">
        <v>52</v>
      </c>
      <c r="E5741" s="23" t="s">
        <v>197</v>
      </c>
      <c r="F5741" s="10" t="s">
        <v>471</v>
      </c>
    </row>
    <row r="5742" customFormat="false" ht="15" hidden="false" customHeight="false" outlineLevel="0" collapsed="false">
      <c r="A5742" s="4" t="str">
        <f aca="false">B5742&amp;"|"&amp;C5742</f>
        <v>tdbR00000509 Ile-CAU|52</v>
      </c>
      <c r="B5742" s="4" t="s">
        <v>116</v>
      </c>
      <c r="C5742" s="4" t="s">
        <v>474</v>
      </c>
      <c r="D5742" s="4" t="n">
        <v>53</v>
      </c>
      <c r="E5742" s="23" t="s">
        <v>197</v>
      </c>
      <c r="F5742" s="10" t="s">
        <v>471</v>
      </c>
    </row>
    <row r="5743" customFormat="false" ht="15" hidden="false" customHeight="false" outlineLevel="0" collapsed="false">
      <c r="A5743" s="4" t="str">
        <f aca="false">B5743&amp;"|"&amp;C5743</f>
        <v>tdbR00000509 Ile-CAU|53</v>
      </c>
      <c r="B5743" s="4" t="s">
        <v>116</v>
      </c>
      <c r="C5743" s="4" t="s">
        <v>475</v>
      </c>
      <c r="D5743" s="4" t="n">
        <v>54</v>
      </c>
      <c r="E5743" s="23" t="s">
        <v>197</v>
      </c>
      <c r="F5743" s="10" t="s">
        <v>471</v>
      </c>
    </row>
    <row r="5744" customFormat="false" ht="15" hidden="false" customHeight="false" outlineLevel="0" collapsed="false">
      <c r="A5744" s="4" t="str">
        <f aca="false">B5744&amp;"|"&amp;C5744</f>
        <v>tdbR00000509 Ile-CAU|54</v>
      </c>
      <c r="B5744" s="4" t="s">
        <v>116</v>
      </c>
      <c r="C5744" s="4" t="s">
        <v>476</v>
      </c>
      <c r="D5744" s="4" t="n">
        <v>55</v>
      </c>
      <c r="E5744" s="19" t="s">
        <v>259</v>
      </c>
      <c r="F5744" s="20" t="s">
        <v>477</v>
      </c>
    </row>
    <row r="5745" customFormat="false" ht="15" hidden="false" customHeight="false" outlineLevel="0" collapsed="false">
      <c r="A5745" s="4" t="str">
        <f aca="false">B5745&amp;"|"&amp;C5745</f>
        <v>tdbR00000509 Ile-CAU|55</v>
      </c>
      <c r="B5745" s="4" t="s">
        <v>116</v>
      </c>
      <c r="C5745" s="4" t="s">
        <v>478</v>
      </c>
      <c r="D5745" s="4" t="n">
        <v>56</v>
      </c>
      <c r="E5745" s="19" t="s">
        <v>259</v>
      </c>
      <c r="F5745" s="20" t="s">
        <v>477</v>
      </c>
    </row>
    <row r="5746" customFormat="false" ht="15" hidden="false" customHeight="false" outlineLevel="0" collapsed="false">
      <c r="A5746" s="4" t="str">
        <f aca="false">B5746&amp;"|"&amp;C5746</f>
        <v>tdbR00000509 Ile-CAU|56</v>
      </c>
      <c r="B5746" s="4" t="s">
        <v>116</v>
      </c>
      <c r="C5746" s="4" t="s">
        <v>479</v>
      </c>
      <c r="D5746" s="4" t="n">
        <v>57</v>
      </c>
      <c r="E5746" s="19" t="s">
        <v>414</v>
      </c>
      <c r="F5746" s="20" t="s">
        <v>477</v>
      </c>
    </row>
    <row r="5747" customFormat="false" ht="15" hidden="false" customHeight="false" outlineLevel="0" collapsed="false">
      <c r="A5747" s="4" t="str">
        <f aca="false">B5747&amp;"|"&amp;C5747</f>
        <v>tdbR00000509 Ile-CAU|57</v>
      </c>
      <c r="B5747" s="4" t="s">
        <v>116</v>
      </c>
      <c r="C5747" s="4" t="s">
        <v>480</v>
      </c>
      <c r="D5747" s="4" t="n">
        <v>58</v>
      </c>
      <c r="E5747" s="19" t="s">
        <v>246</v>
      </c>
      <c r="F5747" s="20" t="s">
        <v>477</v>
      </c>
    </row>
    <row r="5748" customFormat="false" ht="15" hidden="false" customHeight="false" outlineLevel="0" collapsed="false">
      <c r="A5748" s="4" t="str">
        <f aca="false">B5748&amp;"|"&amp;C5748</f>
        <v>tdbR00000509 Ile-CAU|58</v>
      </c>
      <c r="B5748" s="4" t="s">
        <v>116</v>
      </c>
      <c r="C5748" s="4" t="s">
        <v>481</v>
      </c>
      <c r="D5748" s="4" t="n">
        <v>59</v>
      </c>
      <c r="E5748" s="19" t="s">
        <v>246</v>
      </c>
      <c r="F5748" s="20" t="s">
        <v>477</v>
      </c>
    </row>
    <row r="5749" customFormat="false" ht="15" hidden="false" customHeight="false" outlineLevel="0" collapsed="false">
      <c r="A5749" s="4" t="str">
        <f aca="false">B5749&amp;"|"&amp;C5749</f>
        <v>tdbR00000509 Ile-CAU|59</v>
      </c>
      <c r="B5749" s="4" t="s">
        <v>116</v>
      </c>
      <c r="C5749" s="4" t="s">
        <v>482</v>
      </c>
      <c r="D5749" s="4" t="n">
        <v>60</v>
      </c>
      <c r="E5749" s="19" t="s">
        <v>246</v>
      </c>
      <c r="F5749" s="20" t="s">
        <v>477</v>
      </c>
    </row>
    <row r="5750" customFormat="false" ht="15" hidden="false" customHeight="false" outlineLevel="0" collapsed="false">
      <c r="A5750" s="4" t="str">
        <f aca="false">B5750&amp;"|"&amp;C5750</f>
        <v>tdbR00000509 Ile-CAU|60</v>
      </c>
      <c r="B5750" s="4" t="s">
        <v>116</v>
      </c>
      <c r="C5750" s="4" t="s">
        <v>483</v>
      </c>
      <c r="D5750" s="4" t="n">
        <v>61</v>
      </c>
      <c r="E5750" s="19" t="s">
        <v>259</v>
      </c>
      <c r="F5750" s="20" t="s">
        <v>477</v>
      </c>
    </row>
    <row r="5751" customFormat="false" ht="15" hidden="false" customHeight="false" outlineLevel="0" collapsed="false">
      <c r="A5751" s="4" t="str">
        <f aca="false">B5751&amp;"|"&amp;C5751</f>
        <v>tdbR00000509 Ile-CAU|61</v>
      </c>
      <c r="B5751" s="4" t="s">
        <v>116</v>
      </c>
      <c r="C5751" s="4" t="s">
        <v>484</v>
      </c>
      <c r="D5751" s="4" t="n">
        <v>62</v>
      </c>
      <c r="E5751" s="23" t="s">
        <v>414</v>
      </c>
      <c r="F5751" s="10" t="s">
        <v>471</v>
      </c>
    </row>
    <row r="5752" customFormat="false" ht="15" hidden="false" customHeight="false" outlineLevel="0" collapsed="false">
      <c r="A5752" s="4" t="str">
        <f aca="false">B5752&amp;"|"&amp;C5752</f>
        <v>tdbR00000509 Ile-CAU|62</v>
      </c>
      <c r="B5752" s="4" t="s">
        <v>116</v>
      </c>
      <c r="C5752" s="4" t="s">
        <v>485</v>
      </c>
      <c r="D5752" s="4" t="n">
        <v>63</v>
      </c>
      <c r="E5752" s="23" t="s">
        <v>414</v>
      </c>
      <c r="F5752" s="10" t="s">
        <v>471</v>
      </c>
    </row>
    <row r="5753" customFormat="false" ht="15" hidden="false" customHeight="false" outlineLevel="0" collapsed="false">
      <c r="A5753" s="4" t="str">
        <f aca="false">B5753&amp;"|"&amp;C5753</f>
        <v>tdbR00000509 Ile-CAU|63</v>
      </c>
      <c r="B5753" s="4" t="s">
        <v>116</v>
      </c>
      <c r="C5753" s="4" t="s">
        <v>486</v>
      </c>
      <c r="D5753" s="4" t="n">
        <v>64</v>
      </c>
      <c r="E5753" s="23" t="s">
        <v>414</v>
      </c>
      <c r="F5753" s="10" t="s">
        <v>471</v>
      </c>
    </row>
    <row r="5754" customFormat="false" ht="15" hidden="false" customHeight="false" outlineLevel="0" collapsed="false">
      <c r="A5754" s="4" t="str">
        <f aca="false">B5754&amp;"|"&amp;C5754</f>
        <v>tdbR00000509 Ile-CAU|64</v>
      </c>
      <c r="B5754" s="4" t="s">
        <v>116</v>
      </c>
      <c r="C5754" s="4" t="s">
        <v>487</v>
      </c>
      <c r="D5754" s="4" t="n">
        <v>65</v>
      </c>
      <c r="E5754" s="23" t="s">
        <v>197</v>
      </c>
      <c r="F5754" s="10" t="s">
        <v>471</v>
      </c>
    </row>
    <row r="5755" customFormat="false" ht="15" hidden="false" customHeight="false" outlineLevel="0" collapsed="false">
      <c r="A5755" s="4" t="str">
        <f aca="false">B5755&amp;"|"&amp;C5755</f>
        <v>tdbR00000509 Ile-CAU|65</v>
      </c>
      <c r="B5755" s="4" t="s">
        <v>116</v>
      </c>
      <c r="C5755" s="4" t="s">
        <v>488</v>
      </c>
      <c r="D5755" s="4" t="n">
        <v>66</v>
      </c>
      <c r="E5755" s="23" t="s">
        <v>414</v>
      </c>
      <c r="F5755" s="10" t="s">
        <v>471</v>
      </c>
    </row>
    <row r="5756" customFormat="false" ht="15" hidden="false" customHeight="false" outlineLevel="0" collapsed="false">
      <c r="A5756" s="4" t="str">
        <f aca="false">B5756&amp;"|"&amp;C5756</f>
        <v>tdbR00000509 Ile-CAU|66</v>
      </c>
      <c r="B5756" s="4" t="s">
        <v>116</v>
      </c>
      <c r="C5756" s="4" t="s">
        <v>489</v>
      </c>
      <c r="D5756" s="4" t="n">
        <v>67</v>
      </c>
      <c r="E5756" s="17" t="s">
        <v>414</v>
      </c>
      <c r="F5756" s="18" t="s">
        <v>412</v>
      </c>
    </row>
    <row r="5757" customFormat="false" ht="15" hidden="false" customHeight="false" outlineLevel="0" collapsed="false">
      <c r="A5757" s="4" t="str">
        <f aca="false">B5757&amp;"|"&amp;C5757</f>
        <v>tdbR00000509 Ile-CAU|67</v>
      </c>
      <c r="B5757" s="4" t="s">
        <v>116</v>
      </c>
      <c r="C5757" s="4" t="s">
        <v>490</v>
      </c>
      <c r="D5757" s="4" t="n">
        <v>68</v>
      </c>
      <c r="E5757" s="17" t="s">
        <v>414</v>
      </c>
      <c r="F5757" s="18" t="s">
        <v>412</v>
      </c>
    </row>
    <row r="5758" customFormat="false" ht="15" hidden="false" customHeight="false" outlineLevel="0" collapsed="false">
      <c r="A5758" s="4" t="str">
        <f aca="false">B5758&amp;"|"&amp;C5758</f>
        <v>tdbR00000509 Ile-CAU|68</v>
      </c>
      <c r="B5758" s="4" t="s">
        <v>116</v>
      </c>
      <c r="C5758" s="4" t="s">
        <v>491</v>
      </c>
      <c r="D5758" s="4" t="n">
        <v>69</v>
      </c>
      <c r="E5758" s="17" t="s">
        <v>414</v>
      </c>
      <c r="F5758" s="18" t="s">
        <v>412</v>
      </c>
    </row>
    <row r="5759" customFormat="false" ht="15" hidden="false" customHeight="false" outlineLevel="0" collapsed="false">
      <c r="A5759" s="4" t="str">
        <f aca="false">B5759&amp;"|"&amp;C5759</f>
        <v>tdbR00000509 Ile-CAU|69</v>
      </c>
      <c r="B5759" s="4" t="s">
        <v>116</v>
      </c>
      <c r="C5759" s="4" t="s">
        <v>492</v>
      </c>
      <c r="D5759" s="4" t="n">
        <v>70</v>
      </c>
      <c r="E5759" s="17" t="s">
        <v>414</v>
      </c>
      <c r="F5759" s="18" t="s">
        <v>412</v>
      </c>
    </row>
    <row r="5760" customFormat="false" ht="15" hidden="false" customHeight="false" outlineLevel="0" collapsed="false">
      <c r="A5760" s="4" t="str">
        <f aca="false">B5760&amp;"|"&amp;C5760</f>
        <v>tdbR00000509 Ile-CAU|70</v>
      </c>
      <c r="B5760" s="4" t="s">
        <v>116</v>
      </c>
      <c r="C5760" s="4" t="s">
        <v>493</v>
      </c>
      <c r="D5760" s="4" t="n">
        <v>71</v>
      </c>
      <c r="E5760" s="17" t="s">
        <v>197</v>
      </c>
      <c r="F5760" s="18" t="s">
        <v>412</v>
      </c>
    </row>
    <row r="5761" customFormat="false" ht="15" hidden="false" customHeight="false" outlineLevel="0" collapsed="false">
      <c r="A5761" s="4" t="str">
        <f aca="false">B5761&amp;"|"&amp;C5761</f>
        <v>tdbR00000509 Ile-CAU|71</v>
      </c>
      <c r="B5761" s="4" t="s">
        <v>116</v>
      </c>
      <c r="C5761" s="4" t="s">
        <v>494</v>
      </c>
      <c r="D5761" s="4" t="n">
        <v>72</v>
      </c>
      <c r="E5761" s="17" t="s">
        <v>414</v>
      </c>
      <c r="F5761" s="18" t="s">
        <v>412</v>
      </c>
    </row>
    <row r="5762" customFormat="false" ht="15" hidden="false" customHeight="false" outlineLevel="0" collapsed="false">
      <c r="A5762" s="4" t="str">
        <f aca="false">B5762&amp;"|"&amp;C5762</f>
        <v>tdbR00000509 Ile-CAU|72</v>
      </c>
      <c r="B5762" s="4" t="s">
        <v>116</v>
      </c>
      <c r="C5762" s="4" t="s">
        <v>495</v>
      </c>
      <c r="D5762" s="4" t="n">
        <v>73</v>
      </c>
      <c r="E5762" s="17" t="s">
        <v>246</v>
      </c>
      <c r="F5762" s="18" t="s">
        <v>412</v>
      </c>
    </row>
    <row r="5763" customFormat="false" ht="15" hidden="false" customHeight="false" outlineLevel="0" collapsed="false">
      <c r="A5763" s="4" t="str">
        <f aca="false">B5763&amp;"|"&amp;C5763</f>
        <v>tdbR00000275 Met-CAU|1</v>
      </c>
      <c r="B5763" s="4" t="s">
        <v>117</v>
      </c>
      <c r="C5763" s="4" t="s">
        <v>411</v>
      </c>
      <c r="D5763" s="4" t="n">
        <v>1</v>
      </c>
      <c r="E5763" s="17" t="s">
        <v>414</v>
      </c>
      <c r="F5763" s="18" t="s">
        <v>412</v>
      </c>
    </row>
    <row r="5764" customFormat="false" ht="15" hidden="false" customHeight="false" outlineLevel="0" collapsed="false">
      <c r="A5764" s="4" t="str">
        <f aca="false">B5764&amp;"|"&amp;C5764</f>
        <v>tdbR00000275 Met-CAU|2</v>
      </c>
      <c r="B5764" s="4" t="s">
        <v>117</v>
      </c>
      <c r="C5764" s="4" t="s">
        <v>413</v>
      </c>
      <c r="D5764" s="4" t="n">
        <v>2</v>
      </c>
      <c r="E5764" s="17" t="s">
        <v>197</v>
      </c>
      <c r="F5764" s="18" t="s">
        <v>412</v>
      </c>
    </row>
    <row r="5765" customFormat="false" ht="15" hidden="false" customHeight="false" outlineLevel="0" collapsed="false">
      <c r="A5765" s="4" t="str">
        <f aca="false">B5765&amp;"|"&amp;C5765</f>
        <v>tdbR00000275 Met-CAU|3</v>
      </c>
      <c r="B5765" s="4" t="s">
        <v>117</v>
      </c>
      <c r="C5765" s="4" t="s">
        <v>415</v>
      </c>
      <c r="D5765" s="4" t="n">
        <v>3</v>
      </c>
      <c r="E5765" s="17" t="s">
        <v>414</v>
      </c>
      <c r="F5765" s="18" t="s">
        <v>412</v>
      </c>
    </row>
    <row r="5766" customFormat="false" ht="15" hidden="false" customHeight="false" outlineLevel="0" collapsed="false">
      <c r="A5766" s="4" t="str">
        <f aca="false">B5766&amp;"|"&amp;C5766</f>
        <v>tdbR00000275 Met-CAU|4</v>
      </c>
      <c r="B5766" s="4" t="s">
        <v>117</v>
      </c>
      <c r="C5766" s="4" t="s">
        <v>416</v>
      </c>
      <c r="D5766" s="4" t="n">
        <v>4</v>
      </c>
      <c r="E5766" s="17" t="s">
        <v>197</v>
      </c>
      <c r="F5766" s="18" t="s">
        <v>412</v>
      </c>
    </row>
    <row r="5767" customFormat="false" ht="15" hidden="false" customHeight="false" outlineLevel="0" collapsed="false">
      <c r="A5767" s="4" t="str">
        <f aca="false">B5767&amp;"|"&amp;C5767</f>
        <v>tdbR00000275 Met-CAU|5</v>
      </c>
      <c r="B5767" s="4" t="s">
        <v>117</v>
      </c>
      <c r="C5767" s="4" t="s">
        <v>417</v>
      </c>
      <c r="D5767" s="4" t="n">
        <v>5</v>
      </c>
      <c r="E5767" s="17" t="s">
        <v>197</v>
      </c>
      <c r="F5767" s="18" t="s">
        <v>412</v>
      </c>
    </row>
    <row r="5768" customFormat="false" ht="15" hidden="false" customHeight="false" outlineLevel="0" collapsed="false">
      <c r="A5768" s="4" t="str">
        <f aca="false">B5768&amp;"|"&amp;C5768</f>
        <v>tdbR00000275 Met-CAU|6</v>
      </c>
      <c r="B5768" s="4" t="s">
        <v>117</v>
      </c>
      <c r="C5768" s="4" t="s">
        <v>418</v>
      </c>
      <c r="D5768" s="4" t="n">
        <v>6</v>
      </c>
      <c r="E5768" s="17" t="s">
        <v>197</v>
      </c>
      <c r="F5768" s="18" t="s">
        <v>412</v>
      </c>
    </row>
    <row r="5769" customFormat="false" ht="15" hidden="false" customHeight="false" outlineLevel="0" collapsed="false">
      <c r="A5769" s="4" t="str">
        <f aca="false">B5769&amp;"|"&amp;C5769</f>
        <v>tdbR00000275 Met-CAU|7</v>
      </c>
      <c r="B5769" s="4" t="s">
        <v>117</v>
      </c>
      <c r="C5769" s="4" t="s">
        <v>419</v>
      </c>
      <c r="D5769" s="4" t="n">
        <v>7</v>
      </c>
      <c r="E5769" s="17" t="s">
        <v>197</v>
      </c>
      <c r="F5769" s="18" t="s">
        <v>412</v>
      </c>
    </row>
    <row r="5770" customFormat="false" ht="15" hidden="false" customHeight="false" outlineLevel="0" collapsed="false">
      <c r="A5770" s="4" t="str">
        <f aca="false">B5770&amp;"|"&amp;C5770</f>
        <v>tdbR00000275 Met-CAU|8</v>
      </c>
      <c r="B5770" s="4" t="s">
        <v>117</v>
      </c>
      <c r="C5770" s="4" t="s">
        <v>420</v>
      </c>
      <c r="D5770" s="4" t="n">
        <v>8</v>
      </c>
      <c r="E5770" s="3" t="s">
        <v>259</v>
      </c>
      <c r="F5770" s="4" t="s">
        <v>421</v>
      </c>
    </row>
    <row r="5771" customFormat="false" ht="15" hidden="false" customHeight="false" outlineLevel="0" collapsed="false">
      <c r="A5771" s="4" t="str">
        <f aca="false">B5771&amp;"|"&amp;C5771</f>
        <v>tdbR00000275 Met-CAU|9</v>
      </c>
      <c r="B5771" s="4" t="s">
        <v>117</v>
      </c>
      <c r="C5771" s="4" t="s">
        <v>422</v>
      </c>
      <c r="D5771" s="4" t="n">
        <v>9</v>
      </c>
      <c r="E5771" s="3" t="s">
        <v>197</v>
      </c>
      <c r="F5771" s="4" t="s">
        <v>423</v>
      </c>
    </row>
    <row r="5772" customFormat="false" ht="15" hidden="false" customHeight="false" outlineLevel="0" collapsed="false">
      <c r="A5772" s="4" t="str">
        <f aca="false">B5772&amp;"|"&amp;C5772</f>
        <v>tdbR00000275 Met-CAU|10</v>
      </c>
      <c r="B5772" s="4" t="s">
        <v>117</v>
      </c>
      <c r="C5772" s="4" t="s">
        <v>424</v>
      </c>
      <c r="D5772" s="4" t="n">
        <v>10</v>
      </c>
      <c r="E5772" s="8" t="s">
        <v>197</v>
      </c>
      <c r="F5772" s="7" t="s">
        <v>425</v>
      </c>
    </row>
    <row r="5773" customFormat="false" ht="15" hidden="false" customHeight="false" outlineLevel="0" collapsed="false">
      <c r="A5773" s="4" t="str">
        <f aca="false">B5773&amp;"|"&amp;C5773</f>
        <v>tdbR00000275 Met-CAU|11</v>
      </c>
      <c r="B5773" s="4" t="s">
        <v>117</v>
      </c>
      <c r="C5773" s="4" t="s">
        <v>426</v>
      </c>
      <c r="D5773" s="4" t="n">
        <v>11</v>
      </c>
      <c r="E5773" s="8" t="s">
        <v>246</v>
      </c>
      <c r="F5773" s="7" t="s">
        <v>425</v>
      </c>
    </row>
    <row r="5774" customFormat="false" ht="15" hidden="false" customHeight="false" outlineLevel="0" collapsed="false">
      <c r="A5774" s="4" t="str">
        <f aca="false">B5774&amp;"|"&amp;C5774</f>
        <v>tdbR00000275 Met-CAU|12</v>
      </c>
      <c r="B5774" s="4" t="s">
        <v>117</v>
      </c>
      <c r="C5774" s="4" t="s">
        <v>427</v>
      </c>
      <c r="D5774" s="4" t="n">
        <v>12</v>
      </c>
      <c r="E5774" s="8" t="s">
        <v>197</v>
      </c>
      <c r="F5774" s="7" t="s">
        <v>425</v>
      </c>
    </row>
    <row r="5775" customFormat="false" ht="15" hidden="false" customHeight="false" outlineLevel="0" collapsed="false">
      <c r="A5775" s="4" t="str">
        <f aca="false">B5775&amp;"|"&amp;C5775</f>
        <v>tdbR00000275 Met-CAU|13</v>
      </c>
      <c r="B5775" s="4" t="s">
        <v>117</v>
      </c>
      <c r="C5775" s="4" t="s">
        <v>428</v>
      </c>
      <c r="D5775" s="4" t="n">
        <v>13</v>
      </c>
      <c r="E5775" s="8" t="s">
        <v>414</v>
      </c>
      <c r="F5775" s="7" t="s">
        <v>425</v>
      </c>
    </row>
    <row r="5776" customFormat="false" ht="15" hidden="false" customHeight="false" outlineLevel="0" collapsed="false">
      <c r="A5776" s="4" t="str">
        <f aca="false">B5776&amp;"|"&amp;C5776</f>
        <v>tdbR00000275 Met-CAU|14</v>
      </c>
      <c r="B5776" s="4" t="s">
        <v>117</v>
      </c>
      <c r="C5776" s="4" t="s">
        <v>429</v>
      </c>
      <c r="D5776" s="4" t="n">
        <v>14</v>
      </c>
      <c r="E5776" s="19" t="s">
        <v>246</v>
      </c>
      <c r="F5776" s="20" t="s">
        <v>430</v>
      </c>
    </row>
    <row r="5777" customFormat="false" ht="15" hidden="false" customHeight="false" outlineLevel="0" collapsed="false">
      <c r="A5777" s="4" t="str">
        <f aca="false">B5777&amp;"|"&amp;C5777</f>
        <v>tdbR00000275 Met-CAU|15</v>
      </c>
      <c r="B5777" s="4" t="s">
        <v>117</v>
      </c>
      <c r="C5777" s="4" t="s">
        <v>431</v>
      </c>
      <c r="D5777" s="4" t="n">
        <v>15</v>
      </c>
      <c r="E5777" s="19" t="s">
        <v>197</v>
      </c>
      <c r="F5777" s="20" t="s">
        <v>430</v>
      </c>
    </row>
    <row r="5778" customFormat="false" ht="15" hidden="false" customHeight="false" outlineLevel="0" collapsed="false">
      <c r="A5778" s="4" t="str">
        <f aca="false">B5778&amp;"|"&amp;C5778</f>
        <v>tdbR00000275 Met-CAU|16</v>
      </c>
      <c r="B5778" s="4" t="s">
        <v>117</v>
      </c>
      <c r="C5778" s="4" t="s">
        <v>432</v>
      </c>
      <c r="D5778" s="4" t="n">
        <v>16</v>
      </c>
      <c r="E5778" s="19" t="s">
        <v>414</v>
      </c>
      <c r="F5778" s="20" t="s">
        <v>430</v>
      </c>
    </row>
    <row r="5779" customFormat="false" ht="15" hidden="false" customHeight="false" outlineLevel="0" collapsed="false">
      <c r="A5779" s="4" t="str">
        <f aca="false">B5779&amp;"|"&amp;C5779</f>
        <v>tdbR00000275 Met-CAU|17</v>
      </c>
      <c r="B5779" s="4" t="s">
        <v>117</v>
      </c>
      <c r="C5779" s="4" t="s">
        <v>433</v>
      </c>
      <c r="D5779" s="4" t="n">
        <v>17</v>
      </c>
      <c r="E5779" s="19" t="s">
        <v>414</v>
      </c>
      <c r="F5779" s="20" t="s">
        <v>430</v>
      </c>
    </row>
    <row r="5780" customFormat="false" ht="15" hidden="false" customHeight="false" outlineLevel="0" collapsed="false">
      <c r="A5780" s="4" t="str">
        <f aca="false">B5780&amp;"|"&amp;C5780</f>
        <v>tdbR00000275 Met-CAU|17a</v>
      </c>
      <c r="B5780" s="4" t="s">
        <v>117</v>
      </c>
      <c r="C5780" s="4" t="s">
        <v>496</v>
      </c>
      <c r="D5780" s="4" t="n">
        <v>18</v>
      </c>
      <c r="E5780" s="19" t="s">
        <v>259</v>
      </c>
      <c r="F5780" s="20" t="s">
        <v>430</v>
      </c>
    </row>
    <row r="5781" customFormat="false" ht="15" hidden="false" customHeight="false" outlineLevel="0" collapsed="false">
      <c r="A5781" s="4" t="str">
        <f aca="false">B5781&amp;"|"&amp;C5781</f>
        <v>tdbR00000275 Met-CAU|18</v>
      </c>
      <c r="B5781" s="4" t="s">
        <v>117</v>
      </c>
      <c r="C5781" s="4" t="s">
        <v>434</v>
      </c>
      <c r="D5781" s="4" t="n">
        <v>19</v>
      </c>
      <c r="E5781" s="19" t="s">
        <v>197</v>
      </c>
      <c r="F5781" s="20" t="s">
        <v>430</v>
      </c>
    </row>
    <row r="5782" customFormat="false" ht="15" hidden="false" customHeight="false" outlineLevel="0" collapsed="false">
      <c r="A5782" s="4" t="str">
        <f aca="false">B5782&amp;"|"&amp;C5782</f>
        <v>tdbR00000275 Met-CAU|19</v>
      </c>
      <c r="B5782" s="4" t="s">
        <v>117</v>
      </c>
      <c r="C5782" s="4" t="s">
        <v>435</v>
      </c>
      <c r="D5782" s="4" t="n">
        <v>20</v>
      </c>
      <c r="E5782" s="19" t="s">
        <v>197</v>
      </c>
      <c r="F5782" s="20" t="s">
        <v>430</v>
      </c>
    </row>
    <row r="5783" customFormat="false" ht="15" hidden="false" customHeight="false" outlineLevel="0" collapsed="false">
      <c r="A5783" s="4" t="str">
        <f aca="false">B5783&amp;"|"&amp;C5783</f>
        <v>tdbR00000275 Met-CAU|20</v>
      </c>
      <c r="B5783" s="4" t="s">
        <v>117</v>
      </c>
      <c r="C5783" s="4" t="s">
        <v>436</v>
      </c>
      <c r="D5783" s="4" t="n">
        <v>21</v>
      </c>
      <c r="E5783" s="19" t="s">
        <v>259</v>
      </c>
      <c r="F5783" s="20" t="s">
        <v>430</v>
      </c>
    </row>
    <row r="5784" customFormat="false" ht="15" hidden="false" customHeight="false" outlineLevel="0" collapsed="false">
      <c r="A5784" s="4" t="str">
        <f aca="false">B5784&amp;"|"&amp;C5784</f>
        <v>tdbR00000275 Met-CAU|21</v>
      </c>
      <c r="B5784" s="4" t="s">
        <v>117</v>
      </c>
      <c r="C5784" s="4" t="s">
        <v>438</v>
      </c>
      <c r="D5784" s="4" t="n">
        <v>22</v>
      </c>
      <c r="E5784" s="19" t="s">
        <v>246</v>
      </c>
      <c r="F5784" s="20" t="s">
        <v>430</v>
      </c>
    </row>
    <row r="5785" customFormat="false" ht="15" hidden="false" customHeight="false" outlineLevel="0" collapsed="false">
      <c r="A5785" s="4" t="str">
        <f aca="false">B5785&amp;"|"&amp;C5785</f>
        <v>tdbR00000275 Met-CAU|22</v>
      </c>
      <c r="B5785" s="4" t="s">
        <v>117</v>
      </c>
      <c r="C5785" s="4" t="s">
        <v>439</v>
      </c>
      <c r="D5785" s="4" t="n">
        <v>23</v>
      </c>
      <c r="E5785" s="8" t="s">
        <v>197</v>
      </c>
      <c r="F5785" s="7" t="s">
        <v>425</v>
      </c>
    </row>
    <row r="5786" customFormat="false" ht="15" hidden="false" customHeight="false" outlineLevel="0" collapsed="false">
      <c r="A5786" s="4" t="str">
        <f aca="false">B5786&amp;"|"&amp;C5786</f>
        <v>tdbR00000275 Met-CAU|23</v>
      </c>
      <c r="B5786" s="4" t="s">
        <v>117</v>
      </c>
      <c r="C5786" s="4" t="s">
        <v>440</v>
      </c>
      <c r="D5786" s="4" t="n">
        <v>24</v>
      </c>
      <c r="E5786" s="8" t="s">
        <v>414</v>
      </c>
      <c r="F5786" s="7" t="s">
        <v>425</v>
      </c>
    </row>
    <row r="5787" customFormat="false" ht="15" hidden="false" customHeight="false" outlineLevel="0" collapsed="false">
      <c r="A5787" s="4" t="str">
        <f aca="false">B5787&amp;"|"&amp;C5787</f>
        <v>tdbR00000275 Met-CAU|24</v>
      </c>
      <c r="B5787" s="4" t="s">
        <v>117</v>
      </c>
      <c r="C5787" s="4" t="s">
        <v>441</v>
      </c>
      <c r="D5787" s="4" t="n">
        <v>25</v>
      </c>
      <c r="E5787" s="8" t="s">
        <v>259</v>
      </c>
      <c r="F5787" s="7" t="s">
        <v>425</v>
      </c>
    </row>
    <row r="5788" customFormat="false" ht="15" hidden="false" customHeight="false" outlineLevel="0" collapsed="false">
      <c r="A5788" s="4" t="str">
        <f aca="false">B5788&amp;"|"&amp;C5788</f>
        <v>tdbR00000275 Met-CAU|25</v>
      </c>
      <c r="B5788" s="4" t="s">
        <v>117</v>
      </c>
      <c r="C5788" s="4" t="s">
        <v>442</v>
      </c>
      <c r="D5788" s="4" t="n">
        <v>26</v>
      </c>
      <c r="E5788" s="8" t="s">
        <v>414</v>
      </c>
      <c r="F5788" s="7" t="s">
        <v>425</v>
      </c>
    </row>
    <row r="5789" customFormat="false" ht="15" hidden="false" customHeight="false" outlineLevel="0" collapsed="false">
      <c r="A5789" s="4" t="str">
        <f aca="false">B5789&amp;"|"&amp;C5789</f>
        <v>tdbR00000275 Met-CAU|26</v>
      </c>
      <c r="B5789" s="4" t="s">
        <v>117</v>
      </c>
      <c r="C5789" s="4" t="s">
        <v>443</v>
      </c>
      <c r="D5789" s="4" t="n">
        <v>27</v>
      </c>
      <c r="E5789" s="3" t="s">
        <v>197</v>
      </c>
      <c r="F5789" s="4" t="s">
        <v>444</v>
      </c>
    </row>
    <row r="5790" customFormat="false" ht="15" hidden="false" customHeight="false" outlineLevel="0" collapsed="false">
      <c r="A5790" s="4" t="str">
        <f aca="false">B5790&amp;"|"&amp;C5790</f>
        <v>tdbR00000275 Met-CAU|27</v>
      </c>
      <c r="B5790" s="4" t="s">
        <v>117</v>
      </c>
      <c r="C5790" s="4" t="s">
        <v>445</v>
      </c>
      <c r="D5790" s="4" t="n">
        <v>28</v>
      </c>
      <c r="E5790" s="21" t="s">
        <v>259</v>
      </c>
      <c r="F5790" s="22" t="s">
        <v>446</v>
      </c>
    </row>
    <row r="5791" customFormat="false" ht="15" hidden="false" customHeight="false" outlineLevel="0" collapsed="false">
      <c r="A5791" s="4" t="str">
        <f aca="false">B5791&amp;"|"&amp;C5791</f>
        <v>tdbR00000275 Met-CAU|28</v>
      </c>
      <c r="B5791" s="4" t="s">
        <v>117</v>
      </c>
      <c r="C5791" s="4" t="s">
        <v>447</v>
      </c>
      <c r="D5791" s="4" t="n">
        <v>29</v>
      </c>
      <c r="E5791" s="21" t="s">
        <v>414</v>
      </c>
      <c r="F5791" s="22" t="s">
        <v>446</v>
      </c>
    </row>
    <row r="5792" customFormat="false" ht="15" hidden="false" customHeight="false" outlineLevel="0" collapsed="false">
      <c r="A5792" s="4" t="str">
        <f aca="false">B5792&amp;"|"&amp;C5792</f>
        <v>tdbR00000275 Met-CAU|29</v>
      </c>
      <c r="B5792" s="4" t="s">
        <v>117</v>
      </c>
      <c r="C5792" s="4" t="s">
        <v>448</v>
      </c>
      <c r="D5792" s="4" t="n">
        <v>30</v>
      </c>
      <c r="E5792" s="21" t="s">
        <v>197</v>
      </c>
      <c r="F5792" s="22" t="s">
        <v>446</v>
      </c>
    </row>
    <row r="5793" customFormat="false" ht="15" hidden="false" customHeight="false" outlineLevel="0" collapsed="false">
      <c r="A5793" s="4" t="str">
        <f aca="false">B5793&amp;"|"&amp;C5793</f>
        <v>tdbR00000275 Met-CAU|30</v>
      </c>
      <c r="B5793" s="4" t="s">
        <v>117</v>
      </c>
      <c r="C5793" s="4" t="s">
        <v>449</v>
      </c>
      <c r="D5793" s="4" t="n">
        <v>31</v>
      </c>
      <c r="E5793" s="21" t="s">
        <v>197</v>
      </c>
      <c r="F5793" s="22" t="s">
        <v>446</v>
      </c>
    </row>
    <row r="5794" customFormat="false" ht="15" hidden="false" customHeight="false" outlineLevel="0" collapsed="false">
      <c r="A5794" s="4" t="str">
        <f aca="false">B5794&amp;"|"&amp;C5794</f>
        <v>tdbR00000275 Met-CAU|31</v>
      </c>
      <c r="B5794" s="4" t="s">
        <v>117</v>
      </c>
      <c r="C5794" s="4" t="s">
        <v>450</v>
      </c>
      <c r="D5794" s="4" t="n">
        <v>32</v>
      </c>
      <c r="E5794" s="21" t="s">
        <v>197</v>
      </c>
      <c r="F5794" s="22" t="s">
        <v>446</v>
      </c>
    </row>
    <row r="5795" customFormat="false" ht="15" hidden="false" customHeight="false" outlineLevel="0" collapsed="false">
      <c r="A5795" s="4" t="str">
        <f aca="false">B5795&amp;"|"&amp;C5795</f>
        <v>tdbR00000275 Met-CAU|32</v>
      </c>
      <c r="B5795" s="4" t="s">
        <v>117</v>
      </c>
      <c r="C5795" s="4" t="s">
        <v>451</v>
      </c>
      <c r="D5795" s="4" t="n">
        <v>33</v>
      </c>
      <c r="E5795" s="19" t="s">
        <v>414</v>
      </c>
      <c r="F5795" s="20" t="s">
        <v>452</v>
      </c>
    </row>
    <row r="5796" customFormat="false" ht="15" hidden="false" customHeight="false" outlineLevel="0" collapsed="false">
      <c r="A5796" s="4" t="str">
        <f aca="false">B5796&amp;"|"&amp;C5796</f>
        <v>tdbR00000275 Met-CAU|33</v>
      </c>
      <c r="B5796" s="4" t="s">
        <v>117</v>
      </c>
      <c r="C5796" s="4" t="s">
        <v>453</v>
      </c>
      <c r="D5796" s="4" t="n">
        <v>34</v>
      </c>
      <c r="E5796" s="19" t="s">
        <v>259</v>
      </c>
      <c r="F5796" s="20" t="s">
        <v>452</v>
      </c>
    </row>
    <row r="5797" customFormat="false" ht="15" hidden="false" customHeight="false" outlineLevel="0" collapsed="false">
      <c r="A5797" s="4" t="str">
        <f aca="false">B5797&amp;"|"&amp;C5797</f>
        <v>tdbR00000275 Met-CAU|34</v>
      </c>
      <c r="B5797" s="4" t="s">
        <v>117</v>
      </c>
      <c r="C5797" s="4" t="s">
        <v>454</v>
      </c>
      <c r="D5797" s="4" t="n">
        <v>35</v>
      </c>
      <c r="E5797" s="19" t="s">
        <v>414</v>
      </c>
      <c r="F5797" s="20" t="s">
        <v>452</v>
      </c>
    </row>
    <row r="5798" customFormat="false" ht="15" hidden="false" customHeight="false" outlineLevel="0" collapsed="false">
      <c r="A5798" s="4" t="str">
        <f aca="false">B5798&amp;"|"&amp;C5798</f>
        <v>tdbR00000275 Met-CAU|35</v>
      </c>
      <c r="B5798" s="4" t="s">
        <v>117</v>
      </c>
      <c r="C5798" s="4" t="s">
        <v>455</v>
      </c>
      <c r="D5798" s="4" t="n">
        <v>36</v>
      </c>
      <c r="E5798" s="19" t="s">
        <v>246</v>
      </c>
      <c r="F5798" s="20" t="s">
        <v>452</v>
      </c>
    </row>
    <row r="5799" customFormat="false" ht="15" hidden="false" customHeight="false" outlineLevel="0" collapsed="false">
      <c r="A5799" s="4" t="str">
        <f aca="false">B5799&amp;"|"&amp;C5799</f>
        <v>tdbR00000275 Met-CAU|36</v>
      </c>
      <c r="B5799" s="4" t="s">
        <v>117</v>
      </c>
      <c r="C5799" s="4" t="s">
        <v>456</v>
      </c>
      <c r="D5799" s="4" t="n">
        <v>37</v>
      </c>
      <c r="E5799" s="19" t="s">
        <v>259</v>
      </c>
      <c r="F5799" s="20" t="s">
        <v>452</v>
      </c>
    </row>
    <row r="5800" customFormat="false" ht="15" hidden="false" customHeight="false" outlineLevel="0" collapsed="false">
      <c r="A5800" s="4" t="str">
        <f aca="false">B5800&amp;"|"&amp;C5800</f>
        <v>tdbR00000275 Met-CAU|37</v>
      </c>
      <c r="B5800" s="4" t="s">
        <v>117</v>
      </c>
      <c r="C5800" s="4" t="s">
        <v>457</v>
      </c>
      <c r="D5800" s="4" t="n">
        <v>38</v>
      </c>
      <c r="E5800" s="19" t="s">
        <v>246</v>
      </c>
      <c r="F5800" s="20" t="s">
        <v>452</v>
      </c>
    </row>
    <row r="5801" customFormat="false" ht="15" hidden="false" customHeight="false" outlineLevel="0" collapsed="false">
      <c r="A5801" s="4" t="str">
        <f aca="false">B5801&amp;"|"&amp;C5801</f>
        <v>tdbR00000275 Met-CAU|38</v>
      </c>
      <c r="B5801" s="4" t="s">
        <v>117</v>
      </c>
      <c r="C5801" s="4" t="s">
        <v>458</v>
      </c>
      <c r="D5801" s="4" t="n">
        <v>39</v>
      </c>
      <c r="E5801" s="19" t="s">
        <v>246</v>
      </c>
      <c r="F5801" s="20" t="s">
        <v>452</v>
      </c>
    </row>
    <row r="5802" customFormat="false" ht="15" hidden="false" customHeight="false" outlineLevel="0" collapsed="false">
      <c r="A5802" s="4" t="str">
        <f aca="false">B5802&amp;"|"&amp;C5802</f>
        <v>tdbR00000275 Met-CAU|39</v>
      </c>
      <c r="B5802" s="4" t="s">
        <v>117</v>
      </c>
      <c r="C5802" s="4" t="s">
        <v>459</v>
      </c>
      <c r="D5802" s="4" t="n">
        <v>40</v>
      </c>
      <c r="E5802" s="21" t="s">
        <v>414</v>
      </c>
      <c r="F5802" s="22" t="s">
        <v>446</v>
      </c>
    </row>
    <row r="5803" customFormat="false" ht="15" hidden="false" customHeight="false" outlineLevel="0" collapsed="false">
      <c r="A5803" s="4" t="str">
        <f aca="false">B5803&amp;"|"&amp;C5803</f>
        <v>tdbR00000275 Met-CAU|40</v>
      </c>
      <c r="B5803" s="4" t="s">
        <v>117</v>
      </c>
      <c r="C5803" s="4" t="s">
        <v>460</v>
      </c>
      <c r="D5803" s="4" t="n">
        <v>41</v>
      </c>
      <c r="E5803" s="21" t="s">
        <v>414</v>
      </c>
      <c r="F5803" s="22" t="s">
        <v>446</v>
      </c>
    </row>
    <row r="5804" customFormat="false" ht="15" hidden="false" customHeight="false" outlineLevel="0" collapsed="false">
      <c r="A5804" s="4" t="str">
        <f aca="false">B5804&amp;"|"&amp;C5804</f>
        <v>tdbR00000275 Met-CAU|41</v>
      </c>
      <c r="B5804" s="4" t="s">
        <v>117</v>
      </c>
      <c r="C5804" s="4" t="s">
        <v>461</v>
      </c>
      <c r="D5804" s="4" t="n">
        <v>42</v>
      </c>
      <c r="E5804" s="21" t="s">
        <v>414</v>
      </c>
      <c r="F5804" s="22" t="s">
        <v>446</v>
      </c>
    </row>
    <row r="5805" customFormat="false" ht="15" hidden="false" customHeight="false" outlineLevel="0" collapsed="false">
      <c r="A5805" s="4" t="str">
        <f aca="false">B5805&amp;"|"&amp;C5805</f>
        <v>tdbR00000275 Met-CAU|42</v>
      </c>
      <c r="B5805" s="4" t="s">
        <v>117</v>
      </c>
      <c r="C5805" s="4" t="s">
        <v>462</v>
      </c>
      <c r="D5805" s="4" t="n">
        <v>43</v>
      </c>
      <c r="E5805" s="21" t="s">
        <v>197</v>
      </c>
      <c r="F5805" s="22" t="s">
        <v>446</v>
      </c>
    </row>
    <row r="5806" customFormat="false" ht="15" hidden="false" customHeight="false" outlineLevel="0" collapsed="false">
      <c r="A5806" s="4" t="str">
        <f aca="false">B5806&amp;"|"&amp;C5806</f>
        <v>tdbR00000275 Met-CAU|43</v>
      </c>
      <c r="B5806" s="4" t="s">
        <v>117</v>
      </c>
      <c r="C5806" s="4" t="s">
        <v>463</v>
      </c>
      <c r="D5806" s="4" t="n">
        <v>44</v>
      </c>
      <c r="E5806" s="21" t="s">
        <v>246</v>
      </c>
      <c r="F5806" s="22" t="s">
        <v>446</v>
      </c>
    </row>
    <row r="5807" customFormat="false" ht="15" hidden="false" customHeight="false" outlineLevel="0" collapsed="false">
      <c r="A5807" s="4" t="str">
        <f aca="false">B5807&amp;"|"&amp;C5807</f>
        <v>tdbR00000275 Met-CAU|44</v>
      </c>
      <c r="B5807" s="4" t="s">
        <v>117</v>
      </c>
      <c r="C5807" s="4" t="s">
        <v>464</v>
      </c>
      <c r="D5807" s="4" t="n">
        <v>45</v>
      </c>
      <c r="E5807" s="19" t="s">
        <v>246</v>
      </c>
      <c r="F5807" s="20" t="s">
        <v>465</v>
      </c>
    </row>
    <row r="5808" customFormat="false" ht="15" hidden="false" customHeight="false" outlineLevel="0" collapsed="false">
      <c r="A5808" s="4" t="str">
        <f aca="false">B5808&amp;"|"&amp;C5808</f>
        <v>tdbR00000275 Met-CAU|45</v>
      </c>
      <c r="B5808" s="4" t="s">
        <v>117</v>
      </c>
      <c r="C5808" s="4" t="s">
        <v>466</v>
      </c>
      <c r="D5808" s="4" t="n">
        <v>46</v>
      </c>
      <c r="E5808" s="19" t="s">
        <v>197</v>
      </c>
      <c r="F5808" s="20" t="s">
        <v>465</v>
      </c>
    </row>
    <row r="5809" customFormat="false" ht="15" hidden="false" customHeight="false" outlineLevel="0" collapsed="false">
      <c r="A5809" s="4" t="str">
        <f aca="false">B5809&amp;"|"&amp;C5809</f>
        <v>tdbR00000275 Met-CAU|46</v>
      </c>
      <c r="B5809" s="4" t="s">
        <v>117</v>
      </c>
      <c r="C5809" s="4" t="s">
        <v>467</v>
      </c>
      <c r="D5809" s="4" t="n">
        <v>47</v>
      </c>
      <c r="E5809" s="19" t="s">
        <v>197</v>
      </c>
      <c r="F5809" s="20" t="s">
        <v>465</v>
      </c>
    </row>
    <row r="5810" customFormat="false" ht="15" hidden="false" customHeight="false" outlineLevel="0" collapsed="false">
      <c r="A5810" s="4" t="str">
        <f aca="false">B5810&amp;"|"&amp;C5810</f>
        <v>tdbR00000275 Met-CAU|47</v>
      </c>
      <c r="B5810" s="4" t="s">
        <v>117</v>
      </c>
      <c r="C5810" s="4" t="s">
        <v>468</v>
      </c>
      <c r="D5810" s="4" t="n">
        <v>48</v>
      </c>
      <c r="E5810" s="19" t="s">
        <v>259</v>
      </c>
      <c r="F5810" s="20" t="s">
        <v>465</v>
      </c>
    </row>
    <row r="5811" customFormat="false" ht="15" hidden="false" customHeight="false" outlineLevel="0" collapsed="false">
      <c r="A5811" s="4" t="str">
        <f aca="false">B5811&amp;"|"&amp;C5811</f>
        <v>tdbR00000275 Met-CAU|48</v>
      </c>
      <c r="B5811" s="4" t="s">
        <v>117</v>
      </c>
      <c r="C5811" s="4" t="s">
        <v>469</v>
      </c>
      <c r="D5811" s="4" t="n">
        <v>49</v>
      </c>
      <c r="E5811" s="19" t="s">
        <v>414</v>
      </c>
      <c r="F5811" s="20" t="s">
        <v>465</v>
      </c>
    </row>
    <row r="5812" customFormat="false" ht="15" hidden="false" customHeight="false" outlineLevel="0" collapsed="false">
      <c r="A5812" s="4" t="str">
        <f aca="false">B5812&amp;"|"&amp;C5812</f>
        <v>tdbR00000275 Met-CAU|49</v>
      </c>
      <c r="B5812" s="4" t="s">
        <v>117</v>
      </c>
      <c r="C5812" s="4" t="s">
        <v>470</v>
      </c>
      <c r="D5812" s="4" t="n">
        <v>50</v>
      </c>
      <c r="E5812" s="23" t="s">
        <v>197</v>
      </c>
      <c r="F5812" s="10" t="s">
        <v>471</v>
      </c>
    </row>
    <row r="5813" customFormat="false" ht="15" hidden="false" customHeight="false" outlineLevel="0" collapsed="false">
      <c r="A5813" s="4" t="str">
        <f aca="false">B5813&amp;"|"&amp;C5813</f>
        <v>tdbR00000275 Met-CAU|50</v>
      </c>
      <c r="B5813" s="4" t="s">
        <v>117</v>
      </c>
      <c r="C5813" s="4" t="s">
        <v>472</v>
      </c>
      <c r="D5813" s="4" t="n">
        <v>51</v>
      </c>
      <c r="E5813" s="23" t="s">
        <v>414</v>
      </c>
      <c r="F5813" s="10" t="s">
        <v>471</v>
      </c>
    </row>
    <row r="5814" customFormat="false" ht="15" hidden="false" customHeight="false" outlineLevel="0" collapsed="false">
      <c r="A5814" s="4" t="str">
        <f aca="false">B5814&amp;"|"&amp;C5814</f>
        <v>tdbR00000275 Met-CAU|51</v>
      </c>
      <c r="B5814" s="4" t="s">
        <v>117</v>
      </c>
      <c r="C5814" s="4" t="s">
        <v>473</v>
      </c>
      <c r="D5814" s="4" t="n">
        <v>52</v>
      </c>
      <c r="E5814" s="23" t="s">
        <v>197</v>
      </c>
      <c r="F5814" s="10" t="s">
        <v>471</v>
      </c>
    </row>
    <row r="5815" customFormat="false" ht="15" hidden="false" customHeight="false" outlineLevel="0" collapsed="false">
      <c r="A5815" s="4" t="str">
        <f aca="false">B5815&amp;"|"&amp;C5815</f>
        <v>tdbR00000275 Met-CAU|52</v>
      </c>
      <c r="B5815" s="4" t="s">
        <v>117</v>
      </c>
      <c r="C5815" s="4" t="s">
        <v>474</v>
      </c>
      <c r="D5815" s="4" t="n">
        <v>53</v>
      </c>
      <c r="E5815" s="23" t="s">
        <v>197</v>
      </c>
      <c r="F5815" s="10" t="s">
        <v>471</v>
      </c>
    </row>
    <row r="5816" customFormat="false" ht="15" hidden="false" customHeight="false" outlineLevel="0" collapsed="false">
      <c r="A5816" s="4" t="str">
        <f aca="false">B5816&amp;"|"&amp;C5816</f>
        <v>tdbR00000275 Met-CAU|53</v>
      </c>
      <c r="B5816" s="4" t="s">
        <v>117</v>
      </c>
      <c r="C5816" s="4" t="s">
        <v>475</v>
      </c>
      <c r="D5816" s="4" t="n">
        <v>54</v>
      </c>
      <c r="E5816" s="23" t="s">
        <v>197</v>
      </c>
      <c r="F5816" s="10" t="s">
        <v>471</v>
      </c>
    </row>
    <row r="5817" customFormat="false" ht="15" hidden="false" customHeight="false" outlineLevel="0" collapsed="false">
      <c r="A5817" s="4" t="str">
        <f aca="false">B5817&amp;"|"&amp;C5817</f>
        <v>tdbR00000275 Met-CAU|54</v>
      </c>
      <c r="B5817" s="4" t="s">
        <v>117</v>
      </c>
      <c r="C5817" s="4" t="s">
        <v>476</v>
      </c>
      <c r="D5817" s="4" t="n">
        <v>55</v>
      </c>
      <c r="E5817" s="19" t="s">
        <v>259</v>
      </c>
      <c r="F5817" s="20" t="s">
        <v>477</v>
      </c>
    </row>
    <row r="5818" customFormat="false" ht="15" hidden="false" customHeight="false" outlineLevel="0" collapsed="false">
      <c r="A5818" s="4" t="str">
        <f aca="false">B5818&amp;"|"&amp;C5818</f>
        <v>tdbR00000275 Met-CAU|55</v>
      </c>
      <c r="B5818" s="4" t="s">
        <v>117</v>
      </c>
      <c r="C5818" s="4" t="s">
        <v>478</v>
      </c>
      <c r="D5818" s="4" t="n">
        <v>56</v>
      </c>
      <c r="E5818" s="19" t="s">
        <v>259</v>
      </c>
      <c r="F5818" s="20" t="s">
        <v>477</v>
      </c>
    </row>
    <row r="5819" customFormat="false" ht="15" hidden="false" customHeight="false" outlineLevel="0" collapsed="false">
      <c r="A5819" s="4" t="str">
        <f aca="false">B5819&amp;"|"&amp;C5819</f>
        <v>tdbR00000275 Met-CAU|56</v>
      </c>
      <c r="B5819" s="4" t="s">
        <v>117</v>
      </c>
      <c r="C5819" s="4" t="s">
        <v>479</v>
      </c>
      <c r="D5819" s="4" t="n">
        <v>57</v>
      </c>
      <c r="E5819" s="19" t="s">
        <v>414</v>
      </c>
      <c r="F5819" s="20" t="s">
        <v>477</v>
      </c>
    </row>
    <row r="5820" customFormat="false" ht="15" hidden="false" customHeight="false" outlineLevel="0" collapsed="false">
      <c r="A5820" s="4" t="str">
        <f aca="false">B5820&amp;"|"&amp;C5820</f>
        <v>tdbR00000275 Met-CAU|57</v>
      </c>
      <c r="B5820" s="4" t="s">
        <v>117</v>
      </c>
      <c r="C5820" s="4" t="s">
        <v>480</v>
      </c>
      <c r="D5820" s="4" t="n">
        <v>58</v>
      </c>
      <c r="E5820" s="19" t="s">
        <v>246</v>
      </c>
      <c r="F5820" s="20" t="s">
        <v>477</v>
      </c>
    </row>
    <row r="5821" customFormat="false" ht="15" hidden="false" customHeight="false" outlineLevel="0" collapsed="false">
      <c r="A5821" s="4" t="str">
        <f aca="false">B5821&amp;"|"&amp;C5821</f>
        <v>tdbR00000275 Met-CAU|58</v>
      </c>
      <c r="B5821" s="4" t="s">
        <v>117</v>
      </c>
      <c r="C5821" s="4" t="s">
        <v>481</v>
      </c>
      <c r="D5821" s="4" t="n">
        <v>59</v>
      </c>
      <c r="E5821" s="19" t="s">
        <v>246</v>
      </c>
      <c r="F5821" s="20" t="s">
        <v>477</v>
      </c>
    </row>
    <row r="5822" customFormat="false" ht="15" hidden="false" customHeight="false" outlineLevel="0" collapsed="false">
      <c r="A5822" s="4" t="str">
        <f aca="false">B5822&amp;"|"&amp;C5822</f>
        <v>tdbR00000275 Met-CAU|59</v>
      </c>
      <c r="B5822" s="4" t="s">
        <v>117</v>
      </c>
      <c r="C5822" s="4" t="s">
        <v>482</v>
      </c>
      <c r="D5822" s="4" t="n">
        <v>60</v>
      </c>
      <c r="E5822" s="19" t="s">
        <v>246</v>
      </c>
      <c r="F5822" s="20" t="s">
        <v>477</v>
      </c>
    </row>
    <row r="5823" customFormat="false" ht="15" hidden="false" customHeight="false" outlineLevel="0" collapsed="false">
      <c r="A5823" s="4" t="str">
        <f aca="false">B5823&amp;"|"&amp;C5823</f>
        <v>tdbR00000275 Met-CAU|60</v>
      </c>
      <c r="B5823" s="4" t="s">
        <v>117</v>
      </c>
      <c r="C5823" s="4" t="s">
        <v>483</v>
      </c>
      <c r="D5823" s="4" t="n">
        <v>61</v>
      </c>
      <c r="E5823" s="19" t="s">
        <v>259</v>
      </c>
      <c r="F5823" s="20" t="s">
        <v>477</v>
      </c>
    </row>
    <row r="5824" customFormat="false" ht="15" hidden="false" customHeight="false" outlineLevel="0" collapsed="false">
      <c r="A5824" s="4" t="str">
        <f aca="false">B5824&amp;"|"&amp;C5824</f>
        <v>tdbR00000275 Met-CAU|61</v>
      </c>
      <c r="B5824" s="4" t="s">
        <v>117</v>
      </c>
      <c r="C5824" s="4" t="s">
        <v>484</v>
      </c>
      <c r="D5824" s="4" t="n">
        <v>62</v>
      </c>
      <c r="E5824" s="23" t="s">
        <v>414</v>
      </c>
      <c r="F5824" s="10" t="s">
        <v>471</v>
      </c>
    </row>
    <row r="5825" customFormat="false" ht="15" hidden="false" customHeight="false" outlineLevel="0" collapsed="false">
      <c r="A5825" s="4" t="str">
        <f aca="false">B5825&amp;"|"&amp;C5825</f>
        <v>tdbR00000275 Met-CAU|62</v>
      </c>
      <c r="B5825" s="4" t="s">
        <v>117</v>
      </c>
      <c r="C5825" s="4" t="s">
        <v>485</v>
      </c>
      <c r="D5825" s="4" t="n">
        <v>63</v>
      </c>
      <c r="E5825" s="23" t="s">
        <v>414</v>
      </c>
      <c r="F5825" s="10" t="s">
        <v>471</v>
      </c>
    </row>
    <row r="5826" customFormat="false" ht="15" hidden="false" customHeight="false" outlineLevel="0" collapsed="false">
      <c r="A5826" s="4" t="str">
        <f aca="false">B5826&amp;"|"&amp;C5826</f>
        <v>tdbR00000275 Met-CAU|63</v>
      </c>
      <c r="B5826" s="4" t="s">
        <v>117</v>
      </c>
      <c r="C5826" s="4" t="s">
        <v>486</v>
      </c>
      <c r="D5826" s="4" t="n">
        <v>64</v>
      </c>
      <c r="E5826" s="23" t="s">
        <v>414</v>
      </c>
      <c r="F5826" s="10" t="s">
        <v>471</v>
      </c>
    </row>
    <row r="5827" customFormat="false" ht="15" hidden="false" customHeight="false" outlineLevel="0" collapsed="false">
      <c r="A5827" s="4" t="str">
        <f aca="false">B5827&amp;"|"&amp;C5827</f>
        <v>tdbR00000275 Met-CAU|64</v>
      </c>
      <c r="B5827" s="4" t="s">
        <v>117</v>
      </c>
      <c r="C5827" s="4" t="s">
        <v>487</v>
      </c>
      <c r="D5827" s="4" t="n">
        <v>65</v>
      </c>
      <c r="E5827" s="23" t="s">
        <v>197</v>
      </c>
      <c r="F5827" s="10" t="s">
        <v>471</v>
      </c>
    </row>
    <row r="5828" customFormat="false" ht="15" hidden="false" customHeight="false" outlineLevel="0" collapsed="false">
      <c r="A5828" s="4" t="str">
        <f aca="false">B5828&amp;"|"&amp;C5828</f>
        <v>tdbR00000275 Met-CAU|65</v>
      </c>
      <c r="B5828" s="4" t="s">
        <v>117</v>
      </c>
      <c r="C5828" s="4" t="s">
        <v>488</v>
      </c>
      <c r="D5828" s="4" t="n">
        <v>66</v>
      </c>
      <c r="E5828" s="23" t="s">
        <v>414</v>
      </c>
      <c r="F5828" s="10" t="s">
        <v>471</v>
      </c>
    </row>
    <row r="5829" customFormat="false" ht="15" hidden="false" customHeight="false" outlineLevel="0" collapsed="false">
      <c r="A5829" s="4" t="str">
        <f aca="false">B5829&amp;"|"&amp;C5829</f>
        <v>tdbR00000275 Met-CAU|66</v>
      </c>
      <c r="B5829" s="4" t="s">
        <v>117</v>
      </c>
      <c r="C5829" s="4" t="s">
        <v>489</v>
      </c>
      <c r="D5829" s="4" t="n">
        <v>67</v>
      </c>
      <c r="E5829" s="17" t="s">
        <v>414</v>
      </c>
      <c r="F5829" s="18" t="s">
        <v>412</v>
      </c>
    </row>
    <row r="5830" customFormat="false" ht="15" hidden="false" customHeight="false" outlineLevel="0" collapsed="false">
      <c r="A5830" s="4" t="str">
        <f aca="false">B5830&amp;"|"&amp;C5830</f>
        <v>tdbR00000275 Met-CAU|67</v>
      </c>
      <c r="B5830" s="4" t="s">
        <v>117</v>
      </c>
      <c r="C5830" s="4" t="s">
        <v>490</v>
      </c>
      <c r="D5830" s="4" t="n">
        <v>68</v>
      </c>
      <c r="E5830" s="17" t="s">
        <v>414</v>
      </c>
      <c r="F5830" s="18" t="s">
        <v>412</v>
      </c>
    </row>
    <row r="5831" customFormat="false" ht="15" hidden="false" customHeight="false" outlineLevel="0" collapsed="false">
      <c r="A5831" s="4" t="str">
        <f aca="false">B5831&amp;"|"&amp;C5831</f>
        <v>tdbR00000275 Met-CAU|68</v>
      </c>
      <c r="B5831" s="4" t="s">
        <v>117</v>
      </c>
      <c r="C5831" s="4" t="s">
        <v>491</v>
      </c>
      <c r="D5831" s="4" t="n">
        <v>69</v>
      </c>
      <c r="E5831" s="17" t="s">
        <v>414</v>
      </c>
      <c r="F5831" s="18" t="s">
        <v>412</v>
      </c>
    </row>
    <row r="5832" customFormat="false" ht="15" hidden="false" customHeight="false" outlineLevel="0" collapsed="false">
      <c r="A5832" s="4" t="str">
        <f aca="false">B5832&amp;"|"&amp;C5832</f>
        <v>tdbR00000275 Met-CAU|69</v>
      </c>
      <c r="B5832" s="4" t="s">
        <v>117</v>
      </c>
      <c r="C5832" s="4" t="s">
        <v>492</v>
      </c>
      <c r="D5832" s="4" t="n">
        <v>70</v>
      </c>
      <c r="E5832" s="17" t="s">
        <v>414</v>
      </c>
      <c r="F5832" s="18" t="s">
        <v>412</v>
      </c>
    </row>
    <row r="5833" customFormat="false" ht="15" hidden="false" customHeight="false" outlineLevel="0" collapsed="false">
      <c r="A5833" s="4" t="str">
        <f aca="false">B5833&amp;"|"&amp;C5833</f>
        <v>tdbR00000275 Met-CAU|70</v>
      </c>
      <c r="B5833" s="4" t="s">
        <v>117</v>
      </c>
      <c r="C5833" s="4" t="s">
        <v>493</v>
      </c>
      <c r="D5833" s="4" t="n">
        <v>71</v>
      </c>
      <c r="E5833" s="17" t="s">
        <v>197</v>
      </c>
      <c r="F5833" s="18" t="s">
        <v>412</v>
      </c>
    </row>
    <row r="5834" customFormat="false" ht="15" hidden="false" customHeight="false" outlineLevel="0" collapsed="false">
      <c r="A5834" s="4" t="str">
        <f aca="false">B5834&amp;"|"&amp;C5834</f>
        <v>tdbR00000275 Met-CAU|71</v>
      </c>
      <c r="B5834" s="4" t="s">
        <v>117</v>
      </c>
      <c r="C5834" s="4" t="s">
        <v>494</v>
      </c>
      <c r="D5834" s="4" t="n">
        <v>72</v>
      </c>
      <c r="E5834" s="17" t="s">
        <v>414</v>
      </c>
      <c r="F5834" s="18" t="s">
        <v>412</v>
      </c>
    </row>
    <row r="5835" customFormat="false" ht="15" hidden="false" customHeight="false" outlineLevel="0" collapsed="false">
      <c r="A5835" s="4" t="str">
        <f aca="false">B5835&amp;"|"&amp;C5835</f>
        <v>tdbR00000275 Met-CAU|72</v>
      </c>
      <c r="B5835" s="4" t="s">
        <v>117</v>
      </c>
      <c r="C5835" s="4" t="s">
        <v>495</v>
      </c>
      <c r="D5835" s="4" t="n">
        <v>73</v>
      </c>
      <c r="E5835" s="17" t="s">
        <v>246</v>
      </c>
      <c r="F5835" s="18" t="s">
        <v>412</v>
      </c>
    </row>
    <row r="5836" customFormat="false" ht="15" hidden="false" customHeight="false" outlineLevel="0" collapsed="false">
      <c r="A5836" s="4" t="str">
        <f aca="false">B5836&amp;"|"&amp;C5836</f>
        <v>tdbR00000066 Phe-GAA|1</v>
      </c>
      <c r="B5836" s="4" t="s">
        <v>118</v>
      </c>
      <c r="C5836" s="4" t="s">
        <v>411</v>
      </c>
      <c r="D5836" s="4" t="n">
        <v>1</v>
      </c>
      <c r="E5836" s="17" t="s">
        <v>197</v>
      </c>
      <c r="F5836" s="18" t="s">
        <v>412</v>
      </c>
    </row>
    <row r="5837" customFormat="false" ht="15" hidden="false" customHeight="false" outlineLevel="0" collapsed="false">
      <c r="A5837" s="4" t="str">
        <f aca="false">B5837&amp;"|"&amp;C5837</f>
        <v>tdbR00000066 Phe-GAA|2</v>
      </c>
      <c r="B5837" s="4" t="s">
        <v>118</v>
      </c>
      <c r="C5837" s="4" t="s">
        <v>413</v>
      </c>
      <c r="D5837" s="4" t="n">
        <v>2</v>
      </c>
      <c r="E5837" s="17" t="s">
        <v>414</v>
      </c>
      <c r="F5837" s="18" t="s">
        <v>412</v>
      </c>
    </row>
    <row r="5838" customFormat="false" ht="15" hidden="false" customHeight="false" outlineLevel="0" collapsed="false">
      <c r="A5838" s="4" t="str">
        <f aca="false">B5838&amp;"|"&amp;C5838</f>
        <v>tdbR00000066 Phe-GAA|3</v>
      </c>
      <c r="B5838" s="4" t="s">
        <v>118</v>
      </c>
      <c r="C5838" s="4" t="s">
        <v>415</v>
      </c>
      <c r="D5838" s="4" t="n">
        <v>3</v>
      </c>
      <c r="E5838" s="17" t="s">
        <v>414</v>
      </c>
      <c r="F5838" s="18" t="s">
        <v>412</v>
      </c>
    </row>
    <row r="5839" customFormat="false" ht="15" hidden="false" customHeight="false" outlineLevel="0" collapsed="false">
      <c r="A5839" s="4" t="str">
        <f aca="false">B5839&amp;"|"&amp;C5839</f>
        <v>tdbR00000066 Phe-GAA|4</v>
      </c>
      <c r="B5839" s="4" t="s">
        <v>118</v>
      </c>
      <c r="C5839" s="4" t="s">
        <v>416</v>
      </c>
      <c r="D5839" s="4" t="n">
        <v>4</v>
      </c>
      <c r="E5839" s="17" t="s">
        <v>197</v>
      </c>
      <c r="F5839" s="18" t="s">
        <v>412</v>
      </c>
    </row>
    <row r="5840" customFormat="false" ht="15" hidden="false" customHeight="false" outlineLevel="0" collapsed="false">
      <c r="A5840" s="4" t="str">
        <f aca="false">B5840&amp;"|"&amp;C5840</f>
        <v>tdbR00000066 Phe-GAA|5</v>
      </c>
      <c r="B5840" s="4" t="s">
        <v>118</v>
      </c>
      <c r="C5840" s="4" t="s">
        <v>417</v>
      </c>
      <c r="D5840" s="4" t="n">
        <v>5</v>
      </c>
      <c r="E5840" s="17" t="s">
        <v>246</v>
      </c>
      <c r="F5840" s="18" t="s">
        <v>412</v>
      </c>
    </row>
    <row r="5841" customFormat="false" ht="15" hidden="false" customHeight="false" outlineLevel="0" collapsed="false">
      <c r="A5841" s="4" t="str">
        <f aca="false">B5841&amp;"|"&amp;C5841</f>
        <v>tdbR00000066 Phe-GAA|6</v>
      </c>
      <c r="B5841" s="4" t="s">
        <v>118</v>
      </c>
      <c r="C5841" s="4" t="s">
        <v>418</v>
      </c>
      <c r="D5841" s="4" t="n">
        <v>6</v>
      </c>
      <c r="E5841" s="17" t="s">
        <v>197</v>
      </c>
      <c r="F5841" s="18" t="s">
        <v>412</v>
      </c>
    </row>
    <row r="5842" customFormat="false" ht="15" hidden="false" customHeight="false" outlineLevel="0" collapsed="false">
      <c r="A5842" s="4" t="str">
        <f aca="false">B5842&amp;"|"&amp;C5842</f>
        <v>tdbR00000066 Phe-GAA|7</v>
      </c>
      <c r="B5842" s="4" t="s">
        <v>118</v>
      </c>
      <c r="C5842" s="4" t="s">
        <v>419</v>
      </c>
      <c r="D5842" s="4" t="n">
        <v>7</v>
      </c>
      <c r="E5842" s="17" t="s">
        <v>197</v>
      </c>
      <c r="F5842" s="18" t="s">
        <v>412</v>
      </c>
    </row>
    <row r="5843" customFormat="false" ht="15" hidden="false" customHeight="false" outlineLevel="0" collapsed="false">
      <c r="A5843" s="4" t="str">
        <f aca="false">B5843&amp;"|"&amp;C5843</f>
        <v>tdbR00000066 Phe-GAA|8</v>
      </c>
      <c r="B5843" s="4" t="s">
        <v>118</v>
      </c>
      <c r="C5843" s="4" t="s">
        <v>420</v>
      </c>
      <c r="D5843" s="4" t="n">
        <v>8</v>
      </c>
      <c r="E5843" s="3" t="s">
        <v>259</v>
      </c>
      <c r="F5843" s="4" t="s">
        <v>421</v>
      </c>
    </row>
    <row r="5844" customFormat="false" ht="15" hidden="false" customHeight="false" outlineLevel="0" collapsed="false">
      <c r="A5844" s="4" t="str">
        <f aca="false">B5844&amp;"|"&amp;C5844</f>
        <v>tdbR00000066 Phe-GAA|9</v>
      </c>
      <c r="B5844" s="4" t="s">
        <v>118</v>
      </c>
      <c r="C5844" s="4" t="s">
        <v>422</v>
      </c>
      <c r="D5844" s="4" t="n">
        <v>9</v>
      </c>
      <c r="E5844" s="3" t="s">
        <v>246</v>
      </c>
      <c r="F5844" s="4" t="s">
        <v>423</v>
      </c>
    </row>
    <row r="5845" customFormat="false" ht="15" hidden="false" customHeight="false" outlineLevel="0" collapsed="false">
      <c r="A5845" s="4" t="str">
        <f aca="false">B5845&amp;"|"&amp;C5845</f>
        <v>tdbR00000066 Phe-GAA|10</v>
      </c>
      <c r="B5845" s="4" t="s">
        <v>118</v>
      </c>
      <c r="C5845" s="4" t="s">
        <v>424</v>
      </c>
      <c r="D5845" s="4" t="n">
        <v>10</v>
      </c>
      <c r="E5845" s="8" t="s">
        <v>197</v>
      </c>
      <c r="F5845" s="7" t="s">
        <v>425</v>
      </c>
    </row>
    <row r="5846" customFormat="false" ht="15" hidden="false" customHeight="false" outlineLevel="0" collapsed="false">
      <c r="A5846" s="4" t="str">
        <f aca="false">B5846&amp;"|"&amp;C5846</f>
        <v>tdbR00000066 Phe-GAA|11</v>
      </c>
      <c r="B5846" s="4" t="s">
        <v>118</v>
      </c>
      <c r="C5846" s="4" t="s">
        <v>426</v>
      </c>
      <c r="D5846" s="4" t="n">
        <v>11</v>
      </c>
      <c r="E5846" s="8" t="s">
        <v>414</v>
      </c>
      <c r="F5846" s="7" t="s">
        <v>425</v>
      </c>
    </row>
    <row r="5847" customFormat="false" ht="15" hidden="false" customHeight="false" outlineLevel="0" collapsed="false">
      <c r="A5847" s="4" t="str">
        <f aca="false">B5847&amp;"|"&amp;C5847</f>
        <v>tdbR00000066 Phe-GAA|12</v>
      </c>
      <c r="B5847" s="4" t="s">
        <v>118</v>
      </c>
      <c r="C5847" s="4" t="s">
        <v>427</v>
      </c>
      <c r="D5847" s="4" t="n">
        <v>12</v>
      </c>
      <c r="E5847" s="8" t="s">
        <v>259</v>
      </c>
      <c r="F5847" s="7" t="s">
        <v>425</v>
      </c>
    </row>
    <row r="5848" customFormat="false" ht="15" hidden="false" customHeight="false" outlineLevel="0" collapsed="false">
      <c r="A5848" s="4" t="str">
        <f aca="false">B5848&amp;"|"&amp;C5848</f>
        <v>tdbR00000066 Phe-GAA|13</v>
      </c>
      <c r="B5848" s="4" t="s">
        <v>118</v>
      </c>
      <c r="C5848" s="4" t="s">
        <v>428</v>
      </c>
      <c r="D5848" s="4" t="n">
        <v>13</v>
      </c>
      <c r="E5848" s="8" t="s">
        <v>414</v>
      </c>
      <c r="F5848" s="7" t="s">
        <v>425</v>
      </c>
    </row>
    <row r="5849" customFormat="false" ht="15" hidden="false" customHeight="false" outlineLevel="0" collapsed="false">
      <c r="A5849" s="4" t="str">
        <f aca="false">B5849&amp;"|"&amp;C5849</f>
        <v>tdbR00000066 Phe-GAA|14</v>
      </c>
      <c r="B5849" s="4" t="s">
        <v>118</v>
      </c>
      <c r="C5849" s="4" t="s">
        <v>429</v>
      </c>
      <c r="D5849" s="4" t="n">
        <v>14</v>
      </c>
      <c r="E5849" s="19" t="s">
        <v>246</v>
      </c>
      <c r="F5849" s="20" t="s">
        <v>430</v>
      </c>
    </row>
    <row r="5850" customFormat="false" ht="15" hidden="false" customHeight="false" outlineLevel="0" collapsed="false">
      <c r="A5850" s="4" t="str">
        <f aca="false">B5850&amp;"|"&amp;C5850</f>
        <v>tdbR00000066 Phe-GAA|15</v>
      </c>
      <c r="B5850" s="4" t="s">
        <v>118</v>
      </c>
      <c r="C5850" s="4" t="s">
        <v>431</v>
      </c>
      <c r="D5850" s="4" t="n">
        <v>15</v>
      </c>
      <c r="E5850" s="19" t="s">
        <v>197</v>
      </c>
      <c r="F5850" s="20" t="s">
        <v>430</v>
      </c>
    </row>
    <row r="5851" customFormat="false" ht="15" hidden="false" customHeight="false" outlineLevel="0" collapsed="false">
      <c r="A5851" s="4" t="str">
        <f aca="false">B5851&amp;"|"&amp;C5851</f>
        <v>tdbR00000066 Phe-GAA|16</v>
      </c>
      <c r="B5851" s="4" t="s">
        <v>118</v>
      </c>
      <c r="C5851" s="4" t="s">
        <v>432</v>
      </c>
      <c r="D5851" s="4" t="n">
        <v>16</v>
      </c>
      <c r="E5851" s="19" t="s">
        <v>259</v>
      </c>
      <c r="F5851" s="20" t="s">
        <v>430</v>
      </c>
    </row>
    <row r="5852" customFormat="false" ht="15" hidden="false" customHeight="false" outlineLevel="0" collapsed="false">
      <c r="A5852" s="4" t="str">
        <f aca="false">B5852&amp;"|"&amp;C5852</f>
        <v>tdbR00000066 Phe-GAA|17</v>
      </c>
      <c r="B5852" s="4" t="s">
        <v>118</v>
      </c>
      <c r="C5852" s="4" t="s">
        <v>433</v>
      </c>
      <c r="D5852" s="4" t="n">
        <v>17</v>
      </c>
      <c r="E5852" s="19" t="s">
        <v>259</v>
      </c>
      <c r="F5852" s="20" t="s">
        <v>430</v>
      </c>
    </row>
    <row r="5853" customFormat="false" ht="15" hidden="false" customHeight="false" outlineLevel="0" collapsed="false">
      <c r="A5853" s="4" t="str">
        <f aca="false">B5853&amp;"|"&amp;C5853</f>
        <v>tdbR00000066 Phe-GAA|18</v>
      </c>
      <c r="B5853" s="4" t="s">
        <v>118</v>
      </c>
      <c r="C5853" s="4" t="s">
        <v>434</v>
      </c>
      <c r="D5853" s="4" t="n">
        <v>18</v>
      </c>
      <c r="E5853" s="19" t="s">
        <v>197</v>
      </c>
      <c r="F5853" s="20" t="s">
        <v>430</v>
      </c>
    </row>
    <row r="5854" customFormat="false" ht="15" hidden="false" customHeight="false" outlineLevel="0" collapsed="false">
      <c r="A5854" s="4" t="str">
        <f aca="false">B5854&amp;"|"&amp;C5854</f>
        <v>tdbR00000066 Phe-GAA|19</v>
      </c>
      <c r="B5854" s="4" t="s">
        <v>118</v>
      </c>
      <c r="C5854" s="4" t="s">
        <v>435</v>
      </c>
      <c r="D5854" s="4" t="n">
        <v>19</v>
      </c>
      <c r="E5854" s="19" t="s">
        <v>197</v>
      </c>
      <c r="F5854" s="20" t="s">
        <v>430</v>
      </c>
    </row>
    <row r="5855" customFormat="false" ht="15" hidden="false" customHeight="false" outlineLevel="0" collapsed="false">
      <c r="A5855" s="4" t="str">
        <f aca="false">B5855&amp;"|"&amp;C5855</f>
        <v>tdbR00000066 Phe-GAA|20</v>
      </c>
      <c r="B5855" s="4" t="s">
        <v>118</v>
      </c>
      <c r="C5855" s="4" t="s">
        <v>436</v>
      </c>
      <c r="D5855" s="4" t="n">
        <v>20</v>
      </c>
      <c r="E5855" s="19" t="s">
        <v>259</v>
      </c>
      <c r="F5855" s="20" t="s">
        <v>430</v>
      </c>
    </row>
    <row r="5856" customFormat="false" ht="15" hidden="false" customHeight="false" outlineLevel="0" collapsed="false">
      <c r="A5856" s="4" t="str">
        <f aca="false">B5856&amp;"|"&amp;C5856</f>
        <v>tdbR00000066 Phe-GAA|21</v>
      </c>
      <c r="B5856" s="4" t="s">
        <v>118</v>
      </c>
      <c r="C5856" s="4" t="s">
        <v>438</v>
      </c>
      <c r="D5856" s="4" t="n">
        <v>21</v>
      </c>
      <c r="E5856" s="19" t="s">
        <v>246</v>
      </c>
      <c r="F5856" s="20" t="s">
        <v>430</v>
      </c>
    </row>
    <row r="5857" customFormat="false" ht="15" hidden="false" customHeight="false" outlineLevel="0" collapsed="false">
      <c r="A5857" s="4" t="str">
        <f aca="false">B5857&amp;"|"&amp;C5857</f>
        <v>tdbR00000066 Phe-GAA|22</v>
      </c>
      <c r="B5857" s="4" t="s">
        <v>118</v>
      </c>
      <c r="C5857" s="4" t="s">
        <v>439</v>
      </c>
      <c r="D5857" s="4" t="n">
        <v>22</v>
      </c>
      <c r="E5857" s="8" t="s">
        <v>197</v>
      </c>
      <c r="F5857" s="7" t="s">
        <v>425</v>
      </c>
    </row>
    <row r="5858" customFormat="false" ht="15" hidden="false" customHeight="false" outlineLevel="0" collapsed="false">
      <c r="A5858" s="4" t="str">
        <f aca="false">B5858&amp;"|"&amp;C5858</f>
        <v>tdbR00000066 Phe-GAA|23</v>
      </c>
      <c r="B5858" s="4" t="s">
        <v>118</v>
      </c>
      <c r="C5858" s="4" t="s">
        <v>440</v>
      </c>
      <c r="D5858" s="4" t="n">
        <v>23</v>
      </c>
      <c r="E5858" s="8" t="s">
        <v>246</v>
      </c>
      <c r="F5858" s="7" t="s">
        <v>425</v>
      </c>
    </row>
    <row r="5859" customFormat="false" ht="15" hidden="false" customHeight="false" outlineLevel="0" collapsed="false">
      <c r="A5859" s="4" t="str">
        <f aca="false">B5859&amp;"|"&amp;C5859</f>
        <v>tdbR00000066 Phe-GAA|24</v>
      </c>
      <c r="B5859" s="4" t="s">
        <v>118</v>
      </c>
      <c r="C5859" s="4" t="s">
        <v>441</v>
      </c>
      <c r="D5859" s="4" t="n">
        <v>24</v>
      </c>
      <c r="E5859" s="8" t="s">
        <v>197</v>
      </c>
      <c r="F5859" s="7" t="s">
        <v>425</v>
      </c>
    </row>
    <row r="5860" customFormat="false" ht="15" hidden="false" customHeight="false" outlineLevel="0" collapsed="false">
      <c r="A5860" s="4" t="str">
        <f aca="false">B5860&amp;"|"&amp;C5860</f>
        <v>tdbR00000066 Phe-GAA|25</v>
      </c>
      <c r="B5860" s="4" t="s">
        <v>118</v>
      </c>
      <c r="C5860" s="4" t="s">
        <v>442</v>
      </c>
      <c r="D5860" s="4" t="n">
        <v>25</v>
      </c>
      <c r="E5860" s="8" t="s">
        <v>414</v>
      </c>
      <c r="F5860" s="7" t="s">
        <v>425</v>
      </c>
    </row>
    <row r="5861" customFormat="false" ht="15" hidden="false" customHeight="false" outlineLevel="0" collapsed="false">
      <c r="A5861" s="4" t="str">
        <f aca="false">B5861&amp;"|"&amp;C5861</f>
        <v>tdbR00000066 Phe-GAA|26</v>
      </c>
      <c r="B5861" s="4" t="s">
        <v>118</v>
      </c>
      <c r="C5861" s="4" t="s">
        <v>443</v>
      </c>
      <c r="D5861" s="4" t="n">
        <v>26</v>
      </c>
      <c r="E5861" s="3" t="s">
        <v>246</v>
      </c>
      <c r="F5861" s="4" t="s">
        <v>444</v>
      </c>
    </row>
    <row r="5862" customFormat="false" ht="15" hidden="false" customHeight="false" outlineLevel="0" collapsed="false">
      <c r="A5862" s="4" t="str">
        <f aca="false">B5862&amp;"|"&amp;C5862</f>
        <v>tdbR00000066 Phe-GAA|27</v>
      </c>
      <c r="B5862" s="4" t="s">
        <v>118</v>
      </c>
      <c r="C5862" s="4" t="s">
        <v>445</v>
      </c>
      <c r="D5862" s="4" t="n">
        <v>27</v>
      </c>
      <c r="E5862" s="21" t="s">
        <v>259</v>
      </c>
      <c r="F5862" s="22" t="s">
        <v>446</v>
      </c>
    </row>
    <row r="5863" customFormat="false" ht="15" hidden="false" customHeight="false" outlineLevel="0" collapsed="false">
      <c r="A5863" s="4" t="str">
        <f aca="false">B5863&amp;"|"&amp;C5863</f>
        <v>tdbR00000066 Phe-GAA|28</v>
      </c>
      <c r="B5863" s="4" t="s">
        <v>118</v>
      </c>
      <c r="C5863" s="4" t="s">
        <v>447</v>
      </c>
      <c r="D5863" s="4" t="n">
        <v>28</v>
      </c>
      <c r="E5863" s="21" t="s">
        <v>197</v>
      </c>
      <c r="F5863" s="22" t="s">
        <v>446</v>
      </c>
    </row>
    <row r="5864" customFormat="false" ht="15" hidden="false" customHeight="false" outlineLevel="0" collapsed="false">
      <c r="A5864" s="4" t="str">
        <f aca="false">B5864&amp;"|"&amp;C5864</f>
        <v>tdbR00000066 Phe-GAA|29</v>
      </c>
      <c r="B5864" s="4" t="s">
        <v>118</v>
      </c>
      <c r="C5864" s="4" t="s">
        <v>448</v>
      </c>
      <c r="D5864" s="4" t="n">
        <v>29</v>
      </c>
      <c r="E5864" s="21" t="s">
        <v>414</v>
      </c>
      <c r="F5864" s="22" t="s">
        <v>446</v>
      </c>
    </row>
    <row r="5865" customFormat="false" ht="15" hidden="false" customHeight="false" outlineLevel="0" collapsed="false">
      <c r="A5865" s="4" t="str">
        <f aca="false">B5865&amp;"|"&amp;C5865</f>
        <v>tdbR00000066 Phe-GAA|30</v>
      </c>
      <c r="B5865" s="4" t="s">
        <v>118</v>
      </c>
      <c r="C5865" s="4" t="s">
        <v>449</v>
      </c>
      <c r="D5865" s="4" t="n">
        <v>30</v>
      </c>
      <c r="E5865" s="21" t="s">
        <v>197</v>
      </c>
      <c r="F5865" s="22" t="s">
        <v>446</v>
      </c>
    </row>
    <row r="5866" customFormat="false" ht="15" hidden="false" customHeight="false" outlineLevel="0" collapsed="false">
      <c r="A5866" s="4" t="str">
        <f aca="false">B5866&amp;"|"&amp;C5866</f>
        <v>tdbR00000066 Phe-GAA|31</v>
      </c>
      <c r="B5866" s="4" t="s">
        <v>118</v>
      </c>
      <c r="C5866" s="4" t="s">
        <v>450</v>
      </c>
      <c r="D5866" s="4" t="n">
        <v>31</v>
      </c>
      <c r="E5866" s="21" t="s">
        <v>246</v>
      </c>
      <c r="F5866" s="22" t="s">
        <v>446</v>
      </c>
    </row>
    <row r="5867" customFormat="false" ht="15" hidden="false" customHeight="false" outlineLevel="0" collapsed="false">
      <c r="A5867" s="4" t="str">
        <f aca="false">B5867&amp;"|"&amp;C5867</f>
        <v>tdbR00000066 Phe-GAA|32</v>
      </c>
      <c r="B5867" s="4" t="s">
        <v>118</v>
      </c>
      <c r="C5867" s="4" t="s">
        <v>451</v>
      </c>
      <c r="D5867" s="4" t="n">
        <v>32</v>
      </c>
      <c r="E5867" s="19" t="s">
        <v>414</v>
      </c>
      <c r="F5867" s="20" t="s">
        <v>452</v>
      </c>
    </row>
    <row r="5868" customFormat="false" ht="15" hidden="false" customHeight="false" outlineLevel="0" collapsed="false">
      <c r="A5868" s="4" t="str">
        <f aca="false">B5868&amp;"|"&amp;C5868</f>
        <v>tdbR00000066 Phe-GAA|33</v>
      </c>
      <c r="B5868" s="4" t="s">
        <v>118</v>
      </c>
      <c r="C5868" s="4" t="s">
        <v>453</v>
      </c>
      <c r="D5868" s="4" t="n">
        <v>33</v>
      </c>
      <c r="E5868" s="19" t="s">
        <v>259</v>
      </c>
      <c r="F5868" s="20" t="s">
        <v>452</v>
      </c>
    </row>
    <row r="5869" customFormat="false" ht="15" hidden="false" customHeight="false" outlineLevel="0" collapsed="false">
      <c r="A5869" s="4" t="str">
        <f aca="false">B5869&amp;"|"&amp;C5869</f>
        <v>tdbR00000066 Phe-GAA|34</v>
      </c>
      <c r="B5869" s="4" t="s">
        <v>118</v>
      </c>
      <c r="C5869" s="4" t="s">
        <v>454</v>
      </c>
      <c r="D5869" s="4" t="n">
        <v>34</v>
      </c>
      <c r="E5869" s="19" t="s">
        <v>197</v>
      </c>
      <c r="F5869" s="20" t="s">
        <v>452</v>
      </c>
    </row>
    <row r="5870" customFormat="false" ht="15" hidden="false" customHeight="false" outlineLevel="0" collapsed="false">
      <c r="A5870" s="4" t="str">
        <f aca="false">B5870&amp;"|"&amp;C5870</f>
        <v>tdbR00000066 Phe-GAA|35</v>
      </c>
      <c r="B5870" s="4" t="s">
        <v>118</v>
      </c>
      <c r="C5870" s="4" t="s">
        <v>455</v>
      </c>
      <c r="D5870" s="4" t="n">
        <v>35</v>
      </c>
      <c r="E5870" s="19" t="s">
        <v>246</v>
      </c>
      <c r="F5870" s="20" t="s">
        <v>452</v>
      </c>
    </row>
    <row r="5871" customFormat="false" ht="15" hidden="false" customHeight="false" outlineLevel="0" collapsed="false">
      <c r="A5871" s="4" t="str">
        <f aca="false">B5871&amp;"|"&amp;C5871</f>
        <v>tdbR00000066 Phe-GAA|36</v>
      </c>
      <c r="B5871" s="4" t="s">
        <v>118</v>
      </c>
      <c r="C5871" s="4" t="s">
        <v>456</v>
      </c>
      <c r="D5871" s="4" t="n">
        <v>36</v>
      </c>
      <c r="E5871" s="19" t="s">
        <v>246</v>
      </c>
      <c r="F5871" s="20" t="s">
        <v>452</v>
      </c>
    </row>
    <row r="5872" customFormat="false" ht="15" hidden="false" customHeight="false" outlineLevel="0" collapsed="false">
      <c r="A5872" s="4" t="str">
        <f aca="false">B5872&amp;"|"&amp;C5872</f>
        <v>tdbR00000066 Phe-GAA|37</v>
      </c>
      <c r="B5872" s="4" t="s">
        <v>118</v>
      </c>
      <c r="C5872" s="4" t="s">
        <v>457</v>
      </c>
      <c r="D5872" s="4" t="n">
        <v>37</v>
      </c>
      <c r="E5872" s="19" t="s">
        <v>246</v>
      </c>
      <c r="F5872" s="20" t="s">
        <v>452</v>
      </c>
    </row>
    <row r="5873" customFormat="false" ht="15" hidden="false" customHeight="false" outlineLevel="0" collapsed="false">
      <c r="A5873" s="4" t="str">
        <f aca="false">B5873&amp;"|"&amp;C5873</f>
        <v>tdbR00000066 Phe-GAA|38</v>
      </c>
      <c r="B5873" s="4" t="s">
        <v>118</v>
      </c>
      <c r="C5873" s="4" t="s">
        <v>458</v>
      </c>
      <c r="D5873" s="4" t="n">
        <v>38</v>
      </c>
      <c r="E5873" s="19" t="s">
        <v>246</v>
      </c>
      <c r="F5873" s="20" t="s">
        <v>452</v>
      </c>
    </row>
    <row r="5874" customFormat="false" ht="15" hidden="false" customHeight="false" outlineLevel="0" collapsed="false">
      <c r="A5874" s="4" t="str">
        <f aca="false">B5874&amp;"|"&amp;C5874</f>
        <v>tdbR00000066 Phe-GAA|39</v>
      </c>
      <c r="B5874" s="4" t="s">
        <v>118</v>
      </c>
      <c r="C5874" s="4" t="s">
        <v>459</v>
      </c>
      <c r="D5874" s="4" t="n">
        <v>39</v>
      </c>
      <c r="E5874" s="21" t="s">
        <v>259</v>
      </c>
      <c r="F5874" s="22" t="s">
        <v>446</v>
      </c>
    </row>
    <row r="5875" customFormat="false" ht="15" hidden="false" customHeight="false" outlineLevel="0" collapsed="false">
      <c r="A5875" s="4" t="str">
        <f aca="false">B5875&amp;"|"&amp;C5875</f>
        <v>tdbR00000066 Phe-GAA|40</v>
      </c>
      <c r="B5875" s="4" t="s">
        <v>118</v>
      </c>
      <c r="C5875" s="4" t="s">
        <v>460</v>
      </c>
      <c r="D5875" s="4" t="n">
        <v>40</v>
      </c>
      <c r="E5875" s="21" t="s">
        <v>414</v>
      </c>
      <c r="F5875" s="22" t="s">
        <v>446</v>
      </c>
    </row>
    <row r="5876" customFormat="false" ht="15" hidden="false" customHeight="false" outlineLevel="0" collapsed="false">
      <c r="A5876" s="4" t="str">
        <f aca="false">B5876&amp;"|"&amp;C5876</f>
        <v>tdbR00000066 Phe-GAA|41</v>
      </c>
      <c r="B5876" s="4" t="s">
        <v>118</v>
      </c>
      <c r="C5876" s="4" t="s">
        <v>461</v>
      </c>
      <c r="D5876" s="4" t="n">
        <v>41</v>
      </c>
      <c r="E5876" s="21" t="s">
        <v>197</v>
      </c>
      <c r="F5876" s="22" t="s">
        <v>446</v>
      </c>
    </row>
    <row r="5877" customFormat="false" ht="15" hidden="false" customHeight="false" outlineLevel="0" collapsed="false">
      <c r="A5877" s="4" t="str">
        <f aca="false">B5877&amp;"|"&amp;C5877</f>
        <v>tdbR00000066 Phe-GAA|42</v>
      </c>
      <c r="B5877" s="4" t="s">
        <v>118</v>
      </c>
      <c r="C5877" s="4" t="s">
        <v>462</v>
      </c>
      <c r="D5877" s="4" t="n">
        <v>42</v>
      </c>
      <c r="E5877" s="21" t="s">
        <v>414</v>
      </c>
      <c r="F5877" s="22" t="s">
        <v>446</v>
      </c>
    </row>
    <row r="5878" customFormat="false" ht="15" hidden="false" customHeight="false" outlineLevel="0" collapsed="false">
      <c r="A5878" s="4" t="str">
        <f aca="false">B5878&amp;"|"&amp;C5878</f>
        <v>tdbR00000066 Phe-GAA|43</v>
      </c>
      <c r="B5878" s="4" t="s">
        <v>118</v>
      </c>
      <c r="C5878" s="4" t="s">
        <v>463</v>
      </c>
      <c r="D5878" s="4" t="n">
        <v>43</v>
      </c>
      <c r="E5878" s="21" t="s">
        <v>246</v>
      </c>
      <c r="F5878" s="22" t="s">
        <v>446</v>
      </c>
    </row>
    <row r="5879" customFormat="false" ht="15" hidden="false" customHeight="false" outlineLevel="0" collapsed="false">
      <c r="A5879" s="4" t="str">
        <f aca="false">B5879&amp;"|"&amp;C5879</f>
        <v>tdbR00000066 Phe-GAA|44</v>
      </c>
      <c r="B5879" s="4" t="s">
        <v>118</v>
      </c>
      <c r="C5879" s="4" t="s">
        <v>464</v>
      </c>
      <c r="D5879" s="4" t="n">
        <v>44</v>
      </c>
      <c r="E5879" s="19" t="s">
        <v>197</v>
      </c>
      <c r="F5879" s="20" t="s">
        <v>465</v>
      </c>
    </row>
    <row r="5880" customFormat="false" ht="15" hidden="false" customHeight="false" outlineLevel="0" collapsed="false">
      <c r="A5880" s="4" t="str">
        <f aca="false">B5880&amp;"|"&amp;C5880</f>
        <v>tdbR00000066 Phe-GAA|45</v>
      </c>
      <c r="B5880" s="4" t="s">
        <v>118</v>
      </c>
      <c r="C5880" s="4" t="s">
        <v>466</v>
      </c>
      <c r="D5880" s="4" t="n">
        <v>45</v>
      </c>
      <c r="E5880" s="19" t="s">
        <v>259</v>
      </c>
      <c r="F5880" s="20" t="s">
        <v>465</v>
      </c>
    </row>
    <row r="5881" customFormat="false" ht="15" hidden="false" customHeight="false" outlineLevel="0" collapsed="false">
      <c r="A5881" s="4" t="str">
        <f aca="false">B5881&amp;"|"&amp;C5881</f>
        <v>tdbR00000066 Phe-GAA|46</v>
      </c>
      <c r="B5881" s="4" t="s">
        <v>118</v>
      </c>
      <c r="C5881" s="4" t="s">
        <v>467</v>
      </c>
      <c r="D5881" s="4" t="n">
        <v>46</v>
      </c>
      <c r="E5881" s="19" t="s">
        <v>197</v>
      </c>
      <c r="F5881" s="20" t="s">
        <v>465</v>
      </c>
    </row>
    <row r="5882" customFormat="false" ht="15" hidden="false" customHeight="false" outlineLevel="0" collapsed="false">
      <c r="A5882" s="4" t="str">
        <f aca="false">B5882&amp;"|"&amp;C5882</f>
        <v>tdbR00000066 Phe-GAA|47</v>
      </c>
      <c r="B5882" s="4" t="s">
        <v>118</v>
      </c>
      <c r="C5882" s="4" t="s">
        <v>468</v>
      </c>
      <c r="D5882" s="4" t="n">
        <v>47</v>
      </c>
      <c r="E5882" s="19" t="s">
        <v>259</v>
      </c>
      <c r="F5882" s="20" t="s">
        <v>465</v>
      </c>
    </row>
    <row r="5883" customFormat="false" ht="15" hidden="false" customHeight="false" outlineLevel="0" collapsed="false">
      <c r="A5883" s="4" t="str">
        <f aca="false">B5883&amp;"|"&amp;C5883</f>
        <v>tdbR00000066 Phe-GAA|48</v>
      </c>
      <c r="B5883" s="4" t="s">
        <v>118</v>
      </c>
      <c r="C5883" s="4" t="s">
        <v>469</v>
      </c>
      <c r="D5883" s="4" t="n">
        <v>48</v>
      </c>
      <c r="E5883" s="19" t="s">
        <v>414</v>
      </c>
      <c r="F5883" s="20" t="s">
        <v>465</v>
      </c>
    </row>
    <row r="5884" customFormat="false" ht="15" hidden="false" customHeight="false" outlineLevel="0" collapsed="false">
      <c r="A5884" s="4" t="str">
        <f aca="false">B5884&amp;"|"&amp;C5884</f>
        <v>tdbR00000066 Phe-GAA|49</v>
      </c>
      <c r="B5884" s="4" t="s">
        <v>118</v>
      </c>
      <c r="C5884" s="4" t="s">
        <v>470</v>
      </c>
      <c r="D5884" s="4" t="n">
        <v>49</v>
      </c>
      <c r="E5884" s="23" t="s">
        <v>197</v>
      </c>
      <c r="F5884" s="10" t="s">
        <v>471</v>
      </c>
    </row>
    <row r="5885" customFormat="false" ht="15" hidden="false" customHeight="false" outlineLevel="0" collapsed="false">
      <c r="A5885" s="4" t="str">
        <f aca="false">B5885&amp;"|"&amp;C5885</f>
        <v>tdbR00000066 Phe-GAA|50</v>
      </c>
      <c r="B5885" s="4" t="s">
        <v>118</v>
      </c>
      <c r="C5885" s="4" t="s">
        <v>472</v>
      </c>
      <c r="D5885" s="4" t="n">
        <v>50</v>
      </c>
      <c r="E5885" s="23" t="s">
        <v>197</v>
      </c>
      <c r="F5885" s="10" t="s">
        <v>471</v>
      </c>
    </row>
    <row r="5886" customFormat="false" ht="15" hidden="false" customHeight="false" outlineLevel="0" collapsed="false">
      <c r="A5886" s="4" t="str">
        <f aca="false">B5886&amp;"|"&amp;C5886</f>
        <v>tdbR00000066 Phe-GAA|51</v>
      </c>
      <c r="B5886" s="4" t="s">
        <v>118</v>
      </c>
      <c r="C5886" s="4" t="s">
        <v>473</v>
      </c>
      <c r="D5886" s="4" t="n">
        <v>51</v>
      </c>
      <c r="E5886" s="23" t="s">
        <v>414</v>
      </c>
      <c r="F5886" s="10" t="s">
        <v>471</v>
      </c>
    </row>
    <row r="5887" customFormat="false" ht="15" hidden="false" customHeight="false" outlineLevel="0" collapsed="false">
      <c r="A5887" s="4" t="str">
        <f aca="false">B5887&amp;"|"&amp;C5887</f>
        <v>tdbR00000066 Phe-GAA|52</v>
      </c>
      <c r="B5887" s="4" t="s">
        <v>118</v>
      </c>
      <c r="C5887" s="4" t="s">
        <v>474</v>
      </c>
      <c r="D5887" s="4" t="n">
        <v>52</v>
      </c>
      <c r="E5887" s="23" t="s">
        <v>197</v>
      </c>
      <c r="F5887" s="10" t="s">
        <v>471</v>
      </c>
    </row>
    <row r="5888" customFormat="false" ht="15" hidden="false" customHeight="false" outlineLevel="0" collapsed="false">
      <c r="A5888" s="4" t="str">
        <f aca="false">B5888&amp;"|"&amp;C5888</f>
        <v>tdbR00000066 Phe-GAA|53</v>
      </c>
      <c r="B5888" s="4" t="s">
        <v>118</v>
      </c>
      <c r="C5888" s="4" t="s">
        <v>475</v>
      </c>
      <c r="D5888" s="4" t="n">
        <v>53</v>
      </c>
      <c r="E5888" s="23" t="s">
        <v>197</v>
      </c>
      <c r="F5888" s="10" t="s">
        <v>471</v>
      </c>
    </row>
    <row r="5889" customFormat="false" ht="15" hidden="false" customHeight="false" outlineLevel="0" collapsed="false">
      <c r="A5889" s="4" t="str">
        <f aca="false">B5889&amp;"|"&amp;C5889</f>
        <v>tdbR00000066 Phe-GAA|54</v>
      </c>
      <c r="B5889" s="4" t="s">
        <v>118</v>
      </c>
      <c r="C5889" s="4" t="s">
        <v>476</v>
      </c>
      <c r="D5889" s="4" t="n">
        <v>54</v>
      </c>
      <c r="E5889" s="19" t="s">
        <v>259</v>
      </c>
      <c r="F5889" s="20" t="s">
        <v>477</v>
      </c>
    </row>
    <row r="5890" customFormat="false" ht="15" hidden="false" customHeight="false" outlineLevel="0" collapsed="false">
      <c r="A5890" s="4" t="str">
        <f aca="false">B5890&amp;"|"&amp;C5890</f>
        <v>tdbR00000066 Phe-GAA|55</v>
      </c>
      <c r="B5890" s="4" t="s">
        <v>118</v>
      </c>
      <c r="C5890" s="4" t="s">
        <v>478</v>
      </c>
      <c r="D5890" s="4" t="n">
        <v>55</v>
      </c>
      <c r="E5890" s="19" t="s">
        <v>259</v>
      </c>
      <c r="F5890" s="20" t="s">
        <v>477</v>
      </c>
    </row>
    <row r="5891" customFormat="false" ht="15" hidden="false" customHeight="false" outlineLevel="0" collapsed="false">
      <c r="A5891" s="4" t="str">
        <f aca="false">B5891&amp;"|"&amp;C5891</f>
        <v>tdbR00000066 Phe-GAA|56</v>
      </c>
      <c r="B5891" s="4" t="s">
        <v>118</v>
      </c>
      <c r="C5891" s="4" t="s">
        <v>479</v>
      </c>
      <c r="D5891" s="4" t="n">
        <v>56</v>
      </c>
      <c r="E5891" s="19" t="s">
        <v>414</v>
      </c>
      <c r="F5891" s="20" t="s">
        <v>477</v>
      </c>
    </row>
    <row r="5892" customFormat="false" ht="15" hidden="false" customHeight="false" outlineLevel="0" collapsed="false">
      <c r="A5892" s="4" t="str">
        <f aca="false">B5892&amp;"|"&amp;C5892</f>
        <v>tdbR00000066 Phe-GAA|57</v>
      </c>
      <c r="B5892" s="4" t="s">
        <v>118</v>
      </c>
      <c r="C5892" s="4" t="s">
        <v>480</v>
      </c>
      <c r="D5892" s="4" t="n">
        <v>57</v>
      </c>
      <c r="E5892" s="19" t="s">
        <v>197</v>
      </c>
      <c r="F5892" s="20" t="s">
        <v>477</v>
      </c>
    </row>
    <row r="5893" customFormat="false" ht="15" hidden="false" customHeight="false" outlineLevel="0" collapsed="false">
      <c r="A5893" s="4" t="str">
        <f aca="false">B5893&amp;"|"&amp;C5893</f>
        <v>tdbR00000066 Phe-GAA|58</v>
      </c>
      <c r="B5893" s="4" t="s">
        <v>118</v>
      </c>
      <c r="C5893" s="4" t="s">
        <v>481</v>
      </c>
      <c r="D5893" s="4" t="n">
        <v>58</v>
      </c>
      <c r="E5893" s="19" t="s">
        <v>246</v>
      </c>
      <c r="F5893" s="20" t="s">
        <v>477</v>
      </c>
    </row>
    <row r="5894" customFormat="false" ht="15" hidden="false" customHeight="false" outlineLevel="0" collapsed="false">
      <c r="A5894" s="4" t="str">
        <f aca="false">B5894&amp;"|"&amp;C5894</f>
        <v>tdbR00000066 Phe-GAA|59</v>
      </c>
      <c r="B5894" s="4" t="s">
        <v>118</v>
      </c>
      <c r="C5894" s="4" t="s">
        <v>482</v>
      </c>
      <c r="D5894" s="4" t="n">
        <v>59</v>
      </c>
      <c r="E5894" s="19" t="s">
        <v>259</v>
      </c>
      <c r="F5894" s="20" t="s">
        <v>477</v>
      </c>
    </row>
    <row r="5895" customFormat="false" ht="15" hidden="false" customHeight="false" outlineLevel="0" collapsed="false">
      <c r="A5895" s="4" t="str">
        <f aca="false">B5895&amp;"|"&amp;C5895</f>
        <v>tdbR00000066 Phe-GAA|60</v>
      </c>
      <c r="B5895" s="4" t="s">
        <v>118</v>
      </c>
      <c r="C5895" s="4" t="s">
        <v>483</v>
      </c>
      <c r="D5895" s="4" t="n">
        <v>60</v>
      </c>
      <c r="E5895" s="19" t="s">
        <v>259</v>
      </c>
      <c r="F5895" s="20" t="s">
        <v>477</v>
      </c>
    </row>
    <row r="5896" customFormat="false" ht="15" hidden="false" customHeight="false" outlineLevel="0" collapsed="false">
      <c r="A5896" s="4" t="str">
        <f aca="false">B5896&amp;"|"&amp;C5896</f>
        <v>tdbR00000066 Phe-GAA|61</v>
      </c>
      <c r="B5896" s="4" t="s">
        <v>118</v>
      </c>
      <c r="C5896" s="4" t="s">
        <v>484</v>
      </c>
      <c r="D5896" s="4" t="n">
        <v>61</v>
      </c>
      <c r="E5896" s="23" t="s">
        <v>414</v>
      </c>
      <c r="F5896" s="10" t="s">
        <v>471</v>
      </c>
    </row>
    <row r="5897" customFormat="false" ht="15" hidden="false" customHeight="false" outlineLevel="0" collapsed="false">
      <c r="A5897" s="4" t="str">
        <f aca="false">B5897&amp;"|"&amp;C5897</f>
        <v>tdbR00000066 Phe-GAA|62</v>
      </c>
      <c r="B5897" s="4" t="s">
        <v>118</v>
      </c>
      <c r="C5897" s="4" t="s">
        <v>485</v>
      </c>
      <c r="D5897" s="4" t="n">
        <v>62</v>
      </c>
      <c r="E5897" s="23" t="s">
        <v>414</v>
      </c>
      <c r="F5897" s="10" t="s">
        <v>471</v>
      </c>
    </row>
    <row r="5898" customFormat="false" ht="15" hidden="false" customHeight="false" outlineLevel="0" collapsed="false">
      <c r="A5898" s="4" t="str">
        <f aca="false">B5898&amp;"|"&amp;C5898</f>
        <v>tdbR00000066 Phe-GAA|63</v>
      </c>
      <c r="B5898" s="4" t="s">
        <v>118</v>
      </c>
      <c r="C5898" s="4" t="s">
        <v>486</v>
      </c>
      <c r="D5898" s="4" t="n">
        <v>63</v>
      </c>
      <c r="E5898" s="23" t="s">
        <v>197</v>
      </c>
      <c r="F5898" s="10" t="s">
        <v>471</v>
      </c>
    </row>
    <row r="5899" customFormat="false" ht="15" hidden="false" customHeight="false" outlineLevel="0" collapsed="false">
      <c r="A5899" s="4" t="str">
        <f aca="false">B5899&amp;"|"&amp;C5899</f>
        <v>tdbR00000066 Phe-GAA|64</v>
      </c>
      <c r="B5899" s="4" t="s">
        <v>118</v>
      </c>
      <c r="C5899" s="4" t="s">
        <v>487</v>
      </c>
      <c r="D5899" s="4" t="n">
        <v>64</v>
      </c>
      <c r="E5899" s="23" t="s">
        <v>414</v>
      </c>
      <c r="F5899" s="10" t="s">
        <v>471</v>
      </c>
    </row>
    <row r="5900" customFormat="false" ht="15" hidden="false" customHeight="false" outlineLevel="0" collapsed="false">
      <c r="A5900" s="4" t="str">
        <f aca="false">B5900&amp;"|"&amp;C5900</f>
        <v>tdbR00000066 Phe-GAA|65</v>
      </c>
      <c r="B5900" s="4" t="s">
        <v>118</v>
      </c>
      <c r="C5900" s="4" t="s">
        <v>488</v>
      </c>
      <c r="D5900" s="4" t="n">
        <v>65</v>
      </c>
      <c r="E5900" s="23" t="s">
        <v>259</v>
      </c>
      <c r="F5900" s="10" t="s">
        <v>471</v>
      </c>
    </row>
    <row r="5901" customFormat="false" ht="15" hidden="false" customHeight="false" outlineLevel="0" collapsed="false">
      <c r="A5901" s="4" t="str">
        <f aca="false">B5901&amp;"|"&amp;C5901</f>
        <v>tdbR00000066 Phe-GAA|66</v>
      </c>
      <c r="B5901" s="4" t="s">
        <v>118</v>
      </c>
      <c r="C5901" s="4" t="s">
        <v>489</v>
      </c>
      <c r="D5901" s="4" t="n">
        <v>66</v>
      </c>
      <c r="E5901" s="17" t="s">
        <v>414</v>
      </c>
      <c r="F5901" s="18" t="s">
        <v>412</v>
      </c>
    </row>
    <row r="5902" customFormat="false" ht="15" hidden="false" customHeight="false" outlineLevel="0" collapsed="false">
      <c r="A5902" s="4" t="str">
        <f aca="false">B5902&amp;"|"&amp;C5902</f>
        <v>tdbR00000066 Phe-GAA|67</v>
      </c>
      <c r="B5902" s="4" t="s">
        <v>118</v>
      </c>
      <c r="C5902" s="4" t="s">
        <v>490</v>
      </c>
      <c r="D5902" s="4" t="n">
        <v>67</v>
      </c>
      <c r="E5902" s="17" t="s">
        <v>414</v>
      </c>
      <c r="F5902" s="18" t="s">
        <v>412</v>
      </c>
    </row>
    <row r="5903" customFormat="false" ht="15" hidden="false" customHeight="false" outlineLevel="0" collapsed="false">
      <c r="A5903" s="4" t="str">
        <f aca="false">B5903&amp;"|"&amp;C5903</f>
        <v>tdbR00000066 Phe-GAA|68</v>
      </c>
      <c r="B5903" s="4" t="s">
        <v>118</v>
      </c>
      <c r="C5903" s="4" t="s">
        <v>491</v>
      </c>
      <c r="D5903" s="4" t="n">
        <v>68</v>
      </c>
      <c r="E5903" s="17" t="s">
        <v>259</v>
      </c>
      <c r="F5903" s="18" t="s">
        <v>412</v>
      </c>
    </row>
    <row r="5904" customFormat="false" ht="15" hidden="false" customHeight="false" outlineLevel="0" collapsed="false">
      <c r="A5904" s="4" t="str">
        <f aca="false">B5904&amp;"|"&amp;C5904</f>
        <v>tdbR00000066 Phe-GAA|69</v>
      </c>
      <c r="B5904" s="4" t="s">
        <v>118</v>
      </c>
      <c r="C5904" s="4" t="s">
        <v>492</v>
      </c>
      <c r="D5904" s="4" t="n">
        <v>69</v>
      </c>
      <c r="E5904" s="17" t="s">
        <v>414</v>
      </c>
      <c r="F5904" s="18" t="s">
        <v>412</v>
      </c>
    </row>
    <row r="5905" customFormat="false" ht="15" hidden="false" customHeight="false" outlineLevel="0" collapsed="false">
      <c r="A5905" s="4" t="str">
        <f aca="false">B5905&amp;"|"&amp;C5905</f>
        <v>tdbR00000066 Phe-GAA|70</v>
      </c>
      <c r="B5905" s="4" t="s">
        <v>118</v>
      </c>
      <c r="C5905" s="4" t="s">
        <v>493</v>
      </c>
      <c r="D5905" s="4" t="n">
        <v>70</v>
      </c>
      <c r="E5905" s="17" t="s">
        <v>197</v>
      </c>
      <c r="F5905" s="18" t="s">
        <v>412</v>
      </c>
    </row>
    <row r="5906" customFormat="false" ht="15" hidden="false" customHeight="false" outlineLevel="0" collapsed="false">
      <c r="A5906" s="4" t="str">
        <f aca="false">B5906&amp;"|"&amp;C5906</f>
        <v>tdbR00000066 Phe-GAA|71</v>
      </c>
      <c r="B5906" s="4" t="s">
        <v>118</v>
      </c>
      <c r="C5906" s="4" t="s">
        <v>494</v>
      </c>
      <c r="D5906" s="4" t="n">
        <v>71</v>
      </c>
      <c r="E5906" s="17" t="s">
        <v>197</v>
      </c>
      <c r="F5906" s="18" t="s">
        <v>412</v>
      </c>
    </row>
    <row r="5907" customFormat="false" ht="15" hidden="false" customHeight="false" outlineLevel="0" collapsed="false">
      <c r="A5907" s="4" t="str">
        <f aca="false">B5907&amp;"|"&amp;C5907</f>
        <v>tdbR00000066 Phe-GAA|72</v>
      </c>
      <c r="B5907" s="4" t="s">
        <v>118</v>
      </c>
      <c r="C5907" s="4" t="s">
        <v>495</v>
      </c>
      <c r="D5907" s="4" t="n">
        <v>72</v>
      </c>
      <c r="E5907" s="17" t="s">
        <v>414</v>
      </c>
      <c r="F5907" s="18" t="s">
        <v>412</v>
      </c>
    </row>
    <row r="5908" customFormat="false" ht="15" hidden="false" customHeight="false" outlineLevel="0" collapsed="false">
      <c r="A5908" s="4" t="str">
        <f aca="false">B5908&amp;"|"&amp;C5908</f>
        <v>tdbR00000016 Ala-AGC|1</v>
      </c>
      <c r="B5908" s="4" t="s">
        <v>119</v>
      </c>
      <c r="C5908" s="4" t="s">
        <v>411</v>
      </c>
      <c r="D5908" s="4" t="n">
        <v>1</v>
      </c>
      <c r="E5908" s="17" t="s">
        <v>197</v>
      </c>
      <c r="F5908" s="18" t="s">
        <v>412</v>
      </c>
    </row>
    <row r="5909" customFormat="false" ht="15" hidden="false" customHeight="false" outlineLevel="0" collapsed="false">
      <c r="A5909" s="4" t="str">
        <f aca="false">B5909&amp;"|"&amp;C5909</f>
        <v>tdbR00000016 Ala-AGC|2</v>
      </c>
      <c r="B5909" s="4" t="s">
        <v>119</v>
      </c>
      <c r="C5909" s="4" t="s">
        <v>413</v>
      </c>
      <c r="D5909" s="4" t="n">
        <v>2</v>
      </c>
      <c r="E5909" s="17" t="s">
        <v>197</v>
      </c>
      <c r="F5909" s="18" t="s">
        <v>412</v>
      </c>
    </row>
    <row r="5910" customFormat="false" ht="15" hidden="false" customHeight="false" outlineLevel="0" collapsed="false">
      <c r="A5910" s="4" t="str">
        <f aca="false">B5910&amp;"|"&amp;C5910</f>
        <v>tdbR00000016 Ala-AGC|3</v>
      </c>
      <c r="B5910" s="4" t="s">
        <v>119</v>
      </c>
      <c r="C5910" s="4" t="s">
        <v>415</v>
      </c>
      <c r="D5910" s="4" t="n">
        <v>3</v>
      </c>
      <c r="E5910" s="17" t="s">
        <v>197</v>
      </c>
      <c r="F5910" s="18" t="s">
        <v>412</v>
      </c>
    </row>
    <row r="5911" customFormat="false" ht="15" hidden="false" customHeight="false" outlineLevel="0" collapsed="false">
      <c r="A5911" s="4" t="str">
        <f aca="false">B5911&amp;"|"&amp;C5911</f>
        <v>tdbR00000016 Ala-AGC|4</v>
      </c>
      <c r="B5911" s="4" t="s">
        <v>119</v>
      </c>
      <c r="C5911" s="4" t="s">
        <v>416</v>
      </c>
      <c r="D5911" s="4" t="n">
        <v>4</v>
      </c>
      <c r="E5911" s="17" t="s">
        <v>197</v>
      </c>
      <c r="F5911" s="18" t="s">
        <v>412</v>
      </c>
    </row>
    <row r="5912" customFormat="false" ht="15" hidden="false" customHeight="false" outlineLevel="0" collapsed="false">
      <c r="A5912" s="4" t="str">
        <f aca="false">B5912&amp;"|"&amp;C5912</f>
        <v>tdbR00000016 Ala-AGC|5</v>
      </c>
      <c r="B5912" s="4" t="s">
        <v>119</v>
      </c>
      <c r="C5912" s="4" t="s">
        <v>417</v>
      </c>
      <c r="D5912" s="4" t="n">
        <v>5</v>
      </c>
      <c r="E5912" s="17" t="s">
        <v>197</v>
      </c>
      <c r="F5912" s="18" t="s">
        <v>412</v>
      </c>
    </row>
    <row r="5913" customFormat="false" ht="15" hidden="false" customHeight="false" outlineLevel="0" collapsed="false">
      <c r="A5913" s="4" t="str">
        <f aca="false">B5913&amp;"|"&amp;C5913</f>
        <v>tdbR00000016 Ala-AGC|6</v>
      </c>
      <c r="B5913" s="4" t="s">
        <v>119</v>
      </c>
      <c r="C5913" s="4" t="s">
        <v>418</v>
      </c>
      <c r="D5913" s="4" t="n">
        <v>6</v>
      </c>
      <c r="E5913" s="17" t="s">
        <v>246</v>
      </c>
      <c r="F5913" s="18" t="s">
        <v>412</v>
      </c>
    </row>
    <row r="5914" customFormat="false" ht="15" hidden="false" customHeight="false" outlineLevel="0" collapsed="false">
      <c r="A5914" s="4" t="str">
        <f aca="false">B5914&amp;"|"&amp;C5914</f>
        <v>tdbR00000016 Ala-AGC|7</v>
      </c>
      <c r="B5914" s="4" t="s">
        <v>119</v>
      </c>
      <c r="C5914" s="4" t="s">
        <v>419</v>
      </c>
      <c r="D5914" s="4" t="n">
        <v>7</v>
      </c>
      <c r="E5914" s="17" t="s">
        <v>259</v>
      </c>
      <c r="F5914" s="18" t="s">
        <v>412</v>
      </c>
    </row>
    <row r="5915" customFormat="false" ht="15" hidden="false" customHeight="false" outlineLevel="0" collapsed="false">
      <c r="A5915" s="4" t="str">
        <f aca="false">B5915&amp;"|"&amp;C5915</f>
        <v>tdbR00000016 Ala-AGC|8</v>
      </c>
      <c r="B5915" s="4" t="s">
        <v>119</v>
      </c>
      <c r="C5915" s="4" t="s">
        <v>420</v>
      </c>
      <c r="D5915" s="4" t="n">
        <v>8</v>
      </c>
      <c r="E5915" s="3" t="s">
        <v>259</v>
      </c>
      <c r="F5915" s="4" t="s">
        <v>421</v>
      </c>
    </row>
    <row r="5916" customFormat="false" ht="15" hidden="false" customHeight="false" outlineLevel="0" collapsed="false">
      <c r="A5916" s="4" t="str">
        <f aca="false">B5916&amp;"|"&amp;C5916</f>
        <v>tdbR00000016 Ala-AGC|9</v>
      </c>
      <c r="B5916" s="4" t="s">
        <v>119</v>
      </c>
      <c r="C5916" s="4" t="s">
        <v>422</v>
      </c>
      <c r="D5916" s="4" t="n">
        <v>9</v>
      </c>
      <c r="E5916" s="3" t="s">
        <v>246</v>
      </c>
      <c r="F5916" s="4" t="s">
        <v>423</v>
      </c>
    </row>
    <row r="5917" customFormat="false" ht="15" hidden="false" customHeight="false" outlineLevel="0" collapsed="false">
      <c r="A5917" s="4" t="str">
        <f aca="false">B5917&amp;"|"&amp;C5917</f>
        <v>tdbR00000016 Ala-AGC|10</v>
      </c>
      <c r="B5917" s="4" t="s">
        <v>119</v>
      </c>
      <c r="C5917" s="4" t="s">
        <v>424</v>
      </c>
      <c r="D5917" s="4" t="n">
        <v>10</v>
      </c>
      <c r="E5917" s="8" t="s">
        <v>197</v>
      </c>
      <c r="F5917" s="7" t="s">
        <v>425</v>
      </c>
    </row>
    <row r="5918" customFormat="false" ht="15" hidden="false" customHeight="false" outlineLevel="0" collapsed="false">
      <c r="A5918" s="4" t="str">
        <f aca="false">B5918&amp;"|"&amp;C5918</f>
        <v>tdbR00000016 Ala-AGC|11</v>
      </c>
      <c r="B5918" s="4" t="s">
        <v>119</v>
      </c>
      <c r="C5918" s="4" t="s">
        <v>426</v>
      </c>
      <c r="D5918" s="4" t="n">
        <v>11</v>
      </c>
      <c r="E5918" s="8" t="s">
        <v>414</v>
      </c>
      <c r="F5918" s="7" t="s">
        <v>425</v>
      </c>
    </row>
    <row r="5919" customFormat="false" ht="15" hidden="false" customHeight="false" outlineLevel="0" collapsed="false">
      <c r="A5919" s="4" t="str">
        <f aca="false">B5919&amp;"|"&amp;C5919</f>
        <v>tdbR00000016 Ala-AGC|12</v>
      </c>
      <c r="B5919" s="4" t="s">
        <v>119</v>
      </c>
      <c r="C5919" s="4" t="s">
        <v>427</v>
      </c>
      <c r="D5919" s="4" t="n">
        <v>12</v>
      </c>
      <c r="E5919" s="8" t="s">
        <v>259</v>
      </c>
      <c r="F5919" s="7" t="s">
        <v>425</v>
      </c>
    </row>
    <row r="5920" customFormat="false" ht="15" hidden="false" customHeight="false" outlineLevel="0" collapsed="false">
      <c r="A5920" s="4" t="str">
        <f aca="false">B5920&amp;"|"&amp;C5920</f>
        <v>tdbR00000016 Ala-AGC|13</v>
      </c>
      <c r="B5920" s="4" t="s">
        <v>119</v>
      </c>
      <c r="C5920" s="4" t="s">
        <v>428</v>
      </c>
      <c r="D5920" s="4" t="n">
        <v>13</v>
      </c>
      <c r="E5920" s="8" t="s">
        <v>414</v>
      </c>
      <c r="F5920" s="7" t="s">
        <v>425</v>
      </c>
    </row>
    <row r="5921" customFormat="false" ht="15" hidden="false" customHeight="false" outlineLevel="0" collapsed="false">
      <c r="A5921" s="4" t="str">
        <f aca="false">B5921&amp;"|"&amp;C5921</f>
        <v>tdbR00000016 Ala-AGC|14</v>
      </c>
      <c r="B5921" s="4" t="s">
        <v>119</v>
      </c>
      <c r="C5921" s="4" t="s">
        <v>429</v>
      </c>
      <c r="D5921" s="4" t="n">
        <v>14</v>
      </c>
      <c r="E5921" s="19" t="s">
        <v>246</v>
      </c>
      <c r="F5921" s="20" t="s">
        <v>430</v>
      </c>
    </row>
    <row r="5922" customFormat="false" ht="15" hidden="false" customHeight="false" outlineLevel="0" collapsed="false">
      <c r="A5922" s="4" t="str">
        <f aca="false">B5922&amp;"|"&amp;C5922</f>
        <v>tdbR00000016 Ala-AGC|15</v>
      </c>
      <c r="B5922" s="4" t="s">
        <v>119</v>
      </c>
      <c r="C5922" s="4" t="s">
        <v>431</v>
      </c>
      <c r="D5922" s="4" t="n">
        <v>15</v>
      </c>
      <c r="E5922" s="19" t="s">
        <v>246</v>
      </c>
      <c r="F5922" s="20" t="s">
        <v>430</v>
      </c>
    </row>
    <row r="5923" customFormat="false" ht="15" hidden="false" customHeight="false" outlineLevel="0" collapsed="false">
      <c r="A5923" s="4" t="str">
        <f aca="false">B5923&amp;"|"&amp;C5923</f>
        <v>tdbR00000016 Ala-AGC|16</v>
      </c>
      <c r="B5923" s="4" t="s">
        <v>119</v>
      </c>
      <c r="C5923" s="4" t="s">
        <v>432</v>
      </c>
      <c r="D5923" s="4" t="n">
        <v>16</v>
      </c>
      <c r="E5923" s="19" t="s">
        <v>246</v>
      </c>
      <c r="F5923" s="20" t="s">
        <v>430</v>
      </c>
    </row>
    <row r="5924" customFormat="false" ht="15" hidden="false" customHeight="false" outlineLevel="0" collapsed="false">
      <c r="A5924" s="4" t="str">
        <f aca="false">B5924&amp;"|"&amp;C5924</f>
        <v>tdbR00000016 Ala-AGC|17</v>
      </c>
      <c r="B5924" s="4" t="s">
        <v>119</v>
      </c>
      <c r="C5924" s="4" t="s">
        <v>433</v>
      </c>
      <c r="D5924" s="4" t="n">
        <v>17</v>
      </c>
      <c r="E5924" s="19" t="s">
        <v>259</v>
      </c>
      <c r="F5924" s="20" t="s">
        <v>430</v>
      </c>
    </row>
    <row r="5925" customFormat="false" ht="15" hidden="false" customHeight="false" outlineLevel="0" collapsed="false">
      <c r="A5925" s="4" t="str">
        <f aca="false">B5925&amp;"|"&amp;C5925</f>
        <v>tdbR00000016 Ala-AGC|18</v>
      </c>
      <c r="B5925" s="4" t="s">
        <v>119</v>
      </c>
      <c r="C5925" s="4" t="s">
        <v>434</v>
      </c>
      <c r="D5925" s="4" t="n">
        <v>18</v>
      </c>
      <c r="E5925" s="19" t="s">
        <v>197</v>
      </c>
      <c r="F5925" s="20" t="s">
        <v>430</v>
      </c>
    </row>
    <row r="5926" customFormat="false" ht="15" hidden="false" customHeight="false" outlineLevel="0" collapsed="false">
      <c r="A5926" s="4" t="str">
        <f aca="false">B5926&amp;"|"&amp;C5926</f>
        <v>tdbR00000016 Ala-AGC|19</v>
      </c>
      <c r="B5926" s="4" t="s">
        <v>119</v>
      </c>
      <c r="C5926" s="4" t="s">
        <v>435</v>
      </c>
      <c r="D5926" s="4" t="n">
        <v>19</v>
      </c>
      <c r="E5926" s="19" t="s">
        <v>197</v>
      </c>
      <c r="F5926" s="20" t="s">
        <v>430</v>
      </c>
    </row>
    <row r="5927" customFormat="false" ht="15" hidden="false" customHeight="false" outlineLevel="0" collapsed="false">
      <c r="A5927" s="4" t="str">
        <f aca="false">B5927&amp;"|"&amp;C5927</f>
        <v>tdbR00000016 Ala-AGC|20</v>
      </c>
      <c r="B5927" s="4" t="s">
        <v>119</v>
      </c>
      <c r="C5927" s="4" t="s">
        <v>436</v>
      </c>
      <c r="D5927" s="4" t="n">
        <v>20</v>
      </c>
      <c r="E5927" s="19" t="s">
        <v>259</v>
      </c>
      <c r="F5927" s="20" t="s">
        <v>430</v>
      </c>
    </row>
    <row r="5928" customFormat="false" ht="15" hidden="false" customHeight="false" outlineLevel="0" collapsed="false">
      <c r="A5928" s="4" t="str">
        <f aca="false">B5928&amp;"|"&amp;C5928</f>
        <v>tdbR00000016 Ala-AGC|21</v>
      </c>
      <c r="B5928" s="4" t="s">
        <v>119</v>
      </c>
      <c r="C5928" s="4" t="s">
        <v>438</v>
      </c>
      <c r="D5928" s="4" t="n">
        <v>21</v>
      </c>
      <c r="E5928" s="19" t="s">
        <v>246</v>
      </c>
      <c r="F5928" s="20" t="s">
        <v>430</v>
      </c>
    </row>
    <row r="5929" customFormat="false" ht="15" hidden="false" customHeight="false" outlineLevel="0" collapsed="false">
      <c r="A5929" s="4" t="str">
        <f aca="false">B5929&amp;"|"&amp;C5929</f>
        <v>tdbR00000016 Ala-AGC|22</v>
      </c>
      <c r="B5929" s="4" t="s">
        <v>119</v>
      </c>
      <c r="C5929" s="4" t="s">
        <v>439</v>
      </c>
      <c r="D5929" s="4" t="n">
        <v>22</v>
      </c>
      <c r="E5929" s="8" t="s">
        <v>197</v>
      </c>
      <c r="F5929" s="7" t="s">
        <v>425</v>
      </c>
    </row>
    <row r="5930" customFormat="false" ht="15" hidden="false" customHeight="false" outlineLevel="0" collapsed="false">
      <c r="A5930" s="4" t="str">
        <f aca="false">B5930&amp;"|"&amp;C5930</f>
        <v>tdbR00000016 Ala-AGC|23</v>
      </c>
      <c r="B5930" s="4" t="s">
        <v>119</v>
      </c>
      <c r="C5930" s="4" t="s">
        <v>440</v>
      </c>
      <c r="D5930" s="4" t="n">
        <v>23</v>
      </c>
      <c r="E5930" s="8" t="s">
        <v>246</v>
      </c>
      <c r="F5930" s="7" t="s">
        <v>425</v>
      </c>
    </row>
    <row r="5931" customFormat="false" ht="15" hidden="false" customHeight="false" outlineLevel="0" collapsed="false">
      <c r="A5931" s="4" t="str">
        <f aca="false">B5931&amp;"|"&amp;C5931</f>
        <v>tdbR00000016 Ala-AGC|24</v>
      </c>
      <c r="B5931" s="4" t="s">
        <v>119</v>
      </c>
      <c r="C5931" s="4" t="s">
        <v>441</v>
      </c>
      <c r="D5931" s="4" t="n">
        <v>24</v>
      </c>
      <c r="E5931" s="8" t="s">
        <v>197</v>
      </c>
      <c r="F5931" s="7" t="s">
        <v>425</v>
      </c>
    </row>
    <row r="5932" customFormat="false" ht="15" hidden="false" customHeight="false" outlineLevel="0" collapsed="false">
      <c r="A5932" s="4" t="str">
        <f aca="false">B5932&amp;"|"&amp;C5932</f>
        <v>tdbR00000016 Ala-AGC|25</v>
      </c>
      <c r="B5932" s="4" t="s">
        <v>119</v>
      </c>
      <c r="C5932" s="4" t="s">
        <v>442</v>
      </c>
      <c r="D5932" s="4" t="n">
        <v>25</v>
      </c>
      <c r="E5932" s="8" t="s">
        <v>414</v>
      </c>
      <c r="F5932" s="7" t="s">
        <v>425</v>
      </c>
    </row>
    <row r="5933" customFormat="false" ht="15" hidden="false" customHeight="false" outlineLevel="0" collapsed="false">
      <c r="A5933" s="4" t="str">
        <f aca="false">B5933&amp;"|"&amp;C5933</f>
        <v>tdbR00000016 Ala-AGC|26</v>
      </c>
      <c r="B5933" s="4" t="s">
        <v>119</v>
      </c>
      <c r="C5933" s="4" t="s">
        <v>443</v>
      </c>
      <c r="D5933" s="4" t="n">
        <v>26</v>
      </c>
      <c r="E5933" s="3" t="s">
        <v>197</v>
      </c>
      <c r="F5933" s="4" t="s">
        <v>444</v>
      </c>
    </row>
    <row r="5934" customFormat="false" ht="15" hidden="false" customHeight="false" outlineLevel="0" collapsed="false">
      <c r="A5934" s="4" t="str">
        <f aca="false">B5934&amp;"|"&amp;C5934</f>
        <v>tdbR00000016 Ala-AGC|27</v>
      </c>
      <c r="B5934" s="4" t="s">
        <v>119</v>
      </c>
      <c r="C5934" s="4" t="s">
        <v>445</v>
      </c>
      <c r="D5934" s="4" t="n">
        <v>27</v>
      </c>
      <c r="E5934" s="21" t="s">
        <v>414</v>
      </c>
      <c r="F5934" s="22" t="s">
        <v>446</v>
      </c>
    </row>
    <row r="5935" customFormat="false" ht="15" hidden="false" customHeight="false" outlineLevel="0" collapsed="false">
      <c r="A5935" s="4" t="str">
        <f aca="false">B5935&amp;"|"&amp;C5935</f>
        <v>tdbR00000016 Ala-AGC|28</v>
      </c>
      <c r="B5935" s="4" t="s">
        <v>119</v>
      </c>
      <c r="C5935" s="4" t="s">
        <v>447</v>
      </c>
      <c r="D5935" s="4" t="n">
        <v>28</v>
      </c>
      <c r="E5935" s="21" t="s">
        <v>259</v>
      </c>
      <c r="F5935" s="22" t="s">
        <v>446</v>
      </c>
    </row>
    <row r="5936" customFormat="false" ht="15" hidden="false" customHeight="false" outlineLevel="0" collapsed="false">
      <c r="A5936" s="4" t="str">
        <f aca="false">B5936&amp;"|"&amp;C5936</f>
        <v>tdbR00000016 Ala-AGC|29</v>
      </c>
      <c r="B5936" s="4" t="s">
        <v>119</v>
      </c>
      <c r="C5936" s="4" t="s">
        <v>448</v>
      </c>
      <c r="D5936" s="4" t="n">
        <v>29</v>
      </c>
      <c r="E5936" s="21" t="s">
        <v>414</v>
      </c>
      <c r="F5936" s="22" t="s">
        <v>446</v>
      </c>
    </row>
    <row r="5937" customFormat="false" ht="15" hidden="false" customHeight="false" outlineLevel="0" collapsed="false">
      <c r="A5937" s="4" t="str">
        <f aca="false">B5937&amp;"|"&amp;C5937</f>
        <v>tdbR00000016 Ala-AGC|30</v>
      </c>
      <c r="B5937" s="4" t="s">
        <v>119</v>
      </c>
      <c r="C5937" s="4" t="s">
        <v>449</v>
      </c>
      <c r="D5937" s="4" t="n">
        <v>30</v>
      </c>
      <c r="E5937" s="21" t="s">
        <v>197</v>
      </c>
      <c r="F5937" s="22" t="s">
        <v>446</v>
      </c>
    </row>
    <row r="5938" customFormat="false" ht="15" hidden="false" customHeight="false" outlineLevel="0" collapsed="false">
      <c r="A5938" s="4" t="str">
        <f aca="false">B5938&amp;"|"&amp;C5938</f>
        <v>tdbR00000016 Ala-AGC|31</v>
      </c>
      <c r="B5938" s="4" t="s">
        <v>119</v>
      </c>
      <c r="C5938" s="4" t="s">
        <v>450</v>
      </c>
      <c r="D5938" s="4" t="n">
        <v>31</v>
      </c>
      <c r="E5938" s="21" t="s">
        <v>414</v>
      </c>
      <c r="F5938" s="22" t="s">
        <v>446</v>
      </c>
    </row>
    <row r="5939" customFormat="false" ht="15" hidden="false" customHeight="false" outlineLevel="0" collapsed="false">
      <c r="A5939" s="4" t="str">
        <f aca="false">B5939&amp;"|"&amp;C5939</f>
        <v>tdbR00000016 Ala-AGC|32</v>
      </c>
      <c r="B5939" s="4" t="s">
        <v>119</v>
      </c>
      <c r="C5939" s="4" t="s">
        <v>451</v>
      </c>
      <c r="D5939" s="4" t="n">
        <v>32</v>
      </c>
      <c r="E5939" s="19" t="s">
        <v>259</v>
      </c>
      <c r="F5939" s="20" t="s">
        <v>452</v>
      </c>
    </row>
    <row r="5940" customFormat="false" ht="15" hidden="false" customHeight="false" outlineLevel="0" collapsed="false">
      <c r="A5940" s="4" t="str">
        <f aca="false">B5940&amp;"|"&amp;C5940</f>
        <v>tdbR00000016 Ala-AGC|33</v>
      </c>
      <c r="B5940" s="4" t="s">
        <v>119</v>
      </c>
      <c r="C5940" s="4" t="s">
        <v>453</v>
      </c>
      <c r="D5940" s="4" t="n">
        <v>33</v>
      </c>
      <c r="E5940" s="19" t="s">
        <v>259</v>
      </c>
      <c r="F5940" s="20" t="s">
        <v>452</v>
      </c>
    </row>
    <row r="5941" customFormat="false" ht="15" hidden="false" customHeight="false" outlineLevel="0" collapsed="false">
      <c r="A5941" s="4" t="str">
        <f aca="false">B5941&amp;"|"&amp;C5941</f>
        <v>tdbR00000016 Ala-AGC|34</v>
      </c>
      <c r="B5941" s="4" t="s">
        <v>119</v>
      </c>
      <c r="C5941" s="4" t="s">
        <v>454</v>
      </c>
      <c r="D5941" s="4" t="n">
        <v>34</v>
      </c>
      <c r="E5941" s="19" t="s">
        <v>246</v>
      </c>
      <c r="F5941" s="20" t="s">
        <v>452</v>
      </c>
    </row>
    <row r="5942" customFormat="false" ht="15" hidden="false" customHeight="false" outlineLevel="0" collapsed="false">
      <c r="A5942" s="4" t="str">
        <f aca="false">B5942&amp;"|"&amp;C5942</f>
        <v>tdbR00000016 Ala-AGC|35</v>
      </c>
      <c r="B5942" s="4" t="s">
        <v>119</v>
      </c>
      <c r="C5942" s="4" t="s">
        <v>455</v>
      </c>
      <c r="D5942" s="4" t="n">
        <v>35</v>
      </c>
      <c r="E5942" s="19" t="s">
        <v>197</v>
      </c>
      <c r="F5942" s="20" t="s">
        <v>452</v>
      </c>
    </row>
    <row r="5943" customFormat="false" ht="15" hidden="false" customHeight="false" outlineLevel="0" collapsed="false">
      <c r="A5943" s="4" t="str">
        <f aca="false">B5943&amp;"|"&amp;C5943</f>
        <v>tdbR00000016 Ala-AGC|36</v>
      </c>
      <c r="B5943" s="4" t="s">
        <v>119</v>
      </c>
      <c r="C5943" s="4" t="s">
        <v>456</v>
      </c>
      <c r="D5943" s="4" t="n">
        <v>36</v>
      </c>
      <c r="E5943" s="19" t="s">
        <v>414</v>
      </c>
      <c r="F5943" s="20" t="s">
        <v>452</v>
      </c>
    </row>
    <row r="5944" customFormat="false" ht="15" hidden="false" customHeight="false" outlineLevel="0" collapsed="false">
      <c r="A5944" s="4" t="str">
        <f aca="false">B5944&amp;"|"&amp;C5944</f>
        <v>tdbR00000016 Ala-AGC|37</v>
      </c>
      <c r="B5944" s="4" t="s">
        <v>119</v>
      </c>
      <c r="C5944" s="4" t="s">
        <v>457</v>
      </c>
      <c r="D5944" s="4" t="n">
        <v>37</v>
      </c>
      <c r="E5944" s="19" t="s">
        <v>246</v>
      </c>
      <c r="F5944" s="20" t="s">
        <v>452</v>
      </c>
    </row>
    <row r="5945" customFormat="false" ht="15" hidden="false" customHeight="false" outlineLevel="0" collapsed="false">
      <c r="A5945" s="4" t="str">
        <f aca="false">B5945&amp;"|"&amp;C5945</f>
        <v>tdbR00000016 Ala-AGC|38</v>
      </c>
      <c r="B5945" s="4" t="s">
        <v>119</v>
      </c>
      <c r="C5945" s="4" t="s">
        <v>458</v>
      </c>
      <c r="D5945" s="4" t="n">
        <v>38</v>
      </c>
      <c r="E5945" s="19" t="s">
        <v>259</v>
      </c>
      <c r="F5945" s="20" t="s">
        <v>452</v>
      </c>
    </row>
    <row r="5946" customFormat="false" ht="15" hidden="false" customHeight="false" outlineLevel="0" collapsed="false">
      <c r="A5946" s="4" t="str">
        <f aca="false">B5946&amp;"|"&amp;C5946</f>
        <v>tdbR00000016 Ala-AGC|39</v>
      </c>
      <c r="B5946" s="4" t="s">
        <v>119</v>
      </c>
      <c r="C5946" s="4" t="s">
        <v>459</v>
      </c>
      <c r="D5946" s="4" t="n">
        <v>39</v>
      </c>
      <c r="E5946" s="21" t="s">
        <v>197</v>
      </c>
      <c r="F5946" s="22" t="s">
        <v>446</v>
      </c>
    </row>
    <row r="5947" customFormat="false" ht="15" hidden="false" customHeight="false" outlineLevel="0" collapsed="false">
      <c r="A5947" s="4" t="str">
        <f aca="false">B5947&amp;"|"&amp;C5947</f>
        <v>tdbR00000016 Ala-AGC|40</v>
      </c>
      <c r="B5947" s="4" t="s">
        <v>119</v>
      </c>
      <c r="C5947" s="4" t="s">
        <v>460</v>
      </c>
      <c r="D5947" s="4" t="n">
        <v>40</v>
      </c>
      <c r="E5947" s="21" t="s">
        <v>414</v>
      </c>
      <c r="F5947" s="22" t="s">
        <v>446</v>
      </c>
    </row>
    <row r="5948" customFormat="false" ht="15" hidden="false" customHeight="false" outlineLevel="0" collapsed="false">
      <c r="A5948" s="4" t="str">
        <f aca="false">B5948&amp;"|"&amp;C5948</f>
        <v>tdbR00000016 Ala-AGC|41</v>
      </c>
      <c r="B5948" s="4" t="s">
        <v>119</v>
      </c>
      <c r="C5948" s="4" t="s">
        <v>461</v>
      </c>
      <c r="D5948" s="4" t="n">
        <v>41</v>
      </c>
      <c r="E5948" s="21" t="s">
        <v>197</v>
      </c>
      <c r="F5948" s="22" t="s">
        <v>446</v>
      </c>
    </row>
    <row r="5949" customFormat="false" ht="15" hidden="false" customHeight="false" outlineLevel="0" collapsed="false">
      <c r="A5949" s="4" t="str">
        <f aca="false">B5949&amp;"|"&amp;C5949</f>
        <v>tdbR00000016 Ala-AGC|42</v>
      </c>
      <c r="B5949" s="4" t="s">
        <v>119</v>
      </c>
      <c r="C5949" s="4" t="s">
        <v>462</v>
      </c>
      <c r="D5949" s="4" t="n">
        <v>42</v>
      </c>
      <c r="E5949" s="21" t="s">
        <v>246</v>
      </c>
      <c r="F5949" s="22" t="s">
        <v>446</v>
      </c>
    </row>
    <row r="5950" customFormat="false" ht="15" hidden="false" customHeight="false" outlineLevel="0" collapsed="false">
      <c r="A5950" s="4" t="str">
        <f aca="false">B5950&amp;"|"&amp;C5950</f>
        <v>tdbR00000016 Ala-AGC|43</v>
      </c>
      <c r="B5950" s="4" t="s">
        <v>119</v>
      </c>
      <c r="C5950" s="4" t="s">
        <v>463</v>
      </c>
      <c r="D5950" s="4" t="n">
        <v>43</v>
      </c>
      <c r="E5950" s="21" t="s">
        <v>197</v>
      </c>
      <c r="F5950" s="22" t="s">
        <v>446</v>
      </c>
    </row>
    <row r="5951" customFormat="false" ht="15" hidden="false" customHeight="false" outlineLevel="0" collapsed="false">
      <c r="A5951" s="4" t="str">
        <f aca="false">B5951&amp;"|"&amp;C5951</f>
        <v>tdbR00000016 Ala-AGC|44</v>
      </c>
      <c r="B5951" s="4" t="s">
        <v>119</v>
      </c>
      <c r="C5951" s="4" t="s">
        <v>464</v>
      </c>
      <c r="D5951" s="4" t="n">
        <v>44</v>
      </c>
      <c r="E5951" s="19" t="s">
        <v>246</v>
      </c>
      <c r="F5951" s="20" t="s">
        <v>465</v>
      </c>
    </row>
    <row r="5952" customFormat="false" ht="15" hidden="false" customHeight="false" outlineLevel="0" collapsed="false">
      <c r="A5952" s="4" t="str">
        <f aca="false">B5952&amp;"|"&amp;C5952</f>
        <v>tdbR00000016 Ala-AGC|45</v>
      </c>
      <c r="B5952" s="4" t="s">
        <v>119</v>
      </c>
      <c r="C5952" s="4" t="s">
        <v>466</v>
      </c>
      <c r="D5952" s="4" t="n">
        <v>45</v>
      </c>
      <c r="E5952" s="19" t="s">
        <v>197</v>
      </c>
      <c r="F5952" s="20" t="s">
        <v>465</v>
      </c>
    </row>
    <row r="5953" customFormat="false" ht="15" hidden="false" customHeight="false" outlineLevel="0" collapsed="false">
      <c r="A5953" s="4" t="str">
        <f aca="false">B5953&amp;"|"&amp;C5953</f>
        <v>tdbR00000016 Ala-AGC|46</v>
      </c>
      <c r="B5953" s="4" t="s">
        <v>119</v>
      </c>
      <c r="C5953" s="4" t="s">
        <v>467</v>
      </c>
      <c r="D5953" s="4" t="n">
        <v>46</v>
      </c>
      <c r="E5953" s="19" t="s">
        <v>197</v>
      </c>
      <c r="F5953" s="20" t="s">
        <v>465</v>
      </c>
    </row>
    <row r="5954" customFormat="false" ht="15" hidden="false" customHeight="false" outlineLevel="0" collapsed="false">
      <c r="A5954" s="4" t="str">
        <f aca="false">B5954&amp;"|"&amp;C5954</f>
        <v>tdbR00000016 Ala-AGC|47</v>
      </c>
      <c r="B5954" s="4" t="s">
        <v>119</v>
      </c>
      <c r="C5954" s="4" t="s">
        <v>468</v>
      </c>
      <c r="D5954" s="4" t="n">
        <v>47</v>
      </c>
      <c r="E5954" s="19" t="s">
        <v>259</v>
      </c>
      <c r="F5954" s="20" t="s">
        <v>465</v>
      </c>
    </row>
    <row r="5955" customFormat="false" ht="15" hidden="false" customHeight="false" outlineLevel="0" collapsed="false">
      <c r="A5955" s="4" t="str">
        <f aca="false">B5955&amp;"|"&amp;C5955</f>
        <v>tdbR00000016 Ala-AGC|48</v>
      </c>
      <c r="B5955" s="4" t="s">
        <v>119</v>
      </c>
      <c r="C5955" s="4" t="s">
        <v>469</v>
      </c>
      <c r="D5955" s="4" t="n">
        <v>48</v>
      </c>
      <c r="E5955" s="19" t="s">
        <v>246</v>
      </c>
      <c r="F5955" s="20" t="s">
        <v>465</v>
      </c>
    </row>
    <row r="5956" customFormat="false" ht="15" hidden="false" customHeight="false" outlineLevel="0" collapsed="false">
      <c r="A5956" s="4" t="str">
        <f aca="false">B5956&amp;"|"&amp;C5956</f>
        <v>tdbR00000016 Ala-AGC|49</v>
      </c>
      <c r="B5956" s="4" t="s">
        <v>119</v>
      </c>
      <c r="C5956" s="4" t="s">
        <v>470</v>
      </c>
      <c r="D5956" s="4" t="n">
        <v>49</v>
      </c>
      <c r="E5956" s="23" t="s">
        <v>197</v>
      </c>
      <c r="F5956" s="10" t="s">
        <v>471</v>
      </c>
    </row>
    <row r="5957" customFormat="false" ht="15" hidden="false" customHeight="false" outlineLevel="0" collapsed="false">
      <c r="A5957" s="4" t="str">
        <f aca="false">B5957&amp;"|"&amp;C5957</f>
        <v>tdbR00000016 Ala-AGC|50</v>
      </c>
      <c r="B5957" s="4" t="s">
        <v>119</v>
      </c>
      <c r="C5957" s="4" t="s">
        <v>472</v>
      </c>
      <c r="D5957" s="4" t="n">
        <v>50</v>
      </c>
      <c r="E5957" s="23" t="s">
        <v>414</v>
      </c>
      <c r="F5957" s="10" t="s">
        <v>471</v>
      </c>
    </row>
    <row r="5958" customFormat="false" ht="15" hidden="false" customHeight="false" outlineLevel="0" collapsed="false">
      <c r="A5958" s="4" t="str">
        <f aca="false">B5958&amp;"|"&amp;C5958</f>
        <v>tdbR00000016 Ala-AGC|51</v>
      </c>
      <c r="B5958" s="4" t="s">
        <v>119</v>
      </c>
      <c r="C5958" s="4" t="s">
        <v>473</v>
      </c>
      <c r="D5958" s="4" t="n">
        <v>51</v>
      </c>
      <c r="E5958" s="23" t="s">
        <v>197</v>
      </c>
      <c r="F5958" s="10" t="s">
        <v>471</v>
      </c>
    </row>
    <row r="5959" customFormat="false" ht="15" hidden="false" customHeight="false" outlineLevel="0" collapsed="false">
      <c r="A5959" s="4" t="str">
        <f aca="false">B5959&amp;"|"&amp;C5959</f>
        <v>tdbR00000016 Ala-AGC|52</v>
      </c>
      <c r="B5959" s="4" t="s">
        <v>119</v>
      </c>
      <c r="C5959" s="4" t="s">
        <v>474</v>
      </c>
      <c r="D5959" s="4" t="n">
        <v>52</v>
      </c>
      <c r="E5959" s="23" t="s">
        <v>197</v>
      </c>
      <c r="F5959" s="10" t="s">
        <v>471</v>
      </c>
    </row>
    <row r="5960" customFormat="false" ht="15" hidden="false" customHeight="false" outlineLevel="0" collapsed="false">
      <c r="A5960" s="4" t="str">
        <f aca="false">B5960&amp;"|"&amp;C5960</f>
        <v>tdbR00000016 Ala-AGC|53</v>
      </c>
      <c r="B5960" s="4" t="s">
        <v>119</v>
      </c>
      <c r="C5960" s="4" t="s">
        <v>475</v>
      </c>
      <c r="D5960" s="4" t="n">
        <v>53</v>
      </c>
      <c r="E5960" s="23" t="s">
        <v>197</v>
      </c>
      <c r="F5960" s="10" t="s">
        <v>471</v>
      </c>
    </row>
    <row r="5961" customFormat="false" ht="15" hidden="false" customHeight="false" outlineLevel="0" collapsed="false">
      <c r="A5961" s="4" t="str">
        <f aca="false">B5961&amp;"|"&amp;C5961</f>
        <v>tdbR00000016 Ala-AGC|54</v>
      </c>
      <c r="B5961" s="4" t="s">
        <v>119</v>
      </c>
      <c r="C5961" s="4" t="s">
        <v>476</v>
      </c>
      <c r="D5961" s="4" t="n">
        <v>54</v>
      </c>
      <c r="E5961" s="19" t="s">
        <v>246</v>
      </c>
      <c r="F5961" s="20" t="s">
        <v>477</v>
      </c>
    </row>
    <row r="5962" customFormat="false" ht="15" hidden="false" customHeight="false" outlineLevel="0" collapsed="false">
      <c r="A5962" s="4" t="str">
        <f aca="false">B5962&amp;"|"&amp;C5962</f>
        <v>tdbR00000016 Ala-AGC|55</v>
      </c>
      <c r="B5962" s="4" t="s">
        <v>119</v>
      </c>
      <c r="C5962" s="4" t="s">
        <v>478</v>
      </c>
      <c r="D5962" s="4" t="n">
        <v>55</v>
      </c>
      <c r="E5962" s="19" t="s">
        <v>259</v>
      </c>
      <c r="F5962" s="20" t="s">
        <v>477</v>
      </c>
    </row>
    <row r="5963" customFormat="false" ht="15" hidden="false" customHeight="false" outlineLevel="0" collapsed="false">
      <c r="A5963" s="4" t="str">
        <f aca="false">B5963&amp;"|"&amp;C5963</f>
        <v>tdbR00000016 Ala-AGC|56</v>
      </c>
      <c r="B5963" s="4" t="s">
        <v>119</v>
      </c>
      <c r="C5963" s="4" t="s">
        <v>479</v>
      </c>
      <c r="D5963" s="4" t="n">
        <v>56</v>
      </c>
      <c r="E5963" s="19" t="s">
        <v>414</v>
      </c>
      <c r="F5963" s="20" t="s">
        <v>477</v>
      </c>
    </row>
    <row r="5964" customFormat="false" ht="15" hidden="false" customHeight="false" outlineLevel="0" collapsed="false">
      <c r="A5964" s="4" t="str">
        <f aca="false">B5964&amp;"|"&amp;C5964</f>
        <v>tdbR00000016 Ala-AGC|57</v>
      </c>
      <c r="B5964" s="4" t="s">
        <v>119</v>
      </c>
      <c r="C5964" s="4" t="s">
        <v>480</v>
      </c>
      <c r="D5964" s="4" t="n">
        <v>57</v>
      </c>
      <c r="E5964" s="19" t="s">
        <v>197</v>
      </c>
      <c r="F5964" s="20" t="s">
        <v>477</v>
      </c>
    </row>
    <row r="5965" customFormat="false" ht="15" hidden="false" customHeight="false" outlineLevel="0" collapsed="false">
      <c r="A5965" s="4" t="str">
        <f aca="false">B5965&amp;"|"&amp;C5965</f>
        <v>tdbR00000016 Ala-AGC|58</v>
      </c>
      <c r="B5965" s="4" t="s">
        <v>119</v>
      </c>
      <c r="C5965" s="4" t="s">
        <v>481</v>
      </c>
      <c r="D5965" s="4" t="n">
        <v>58</v>
      </c>
      <c r="E5965" s="19" t="s">
        <v>246</v>
      </c>
      <c r="F5965" s="20" t="s">
        <v>477</v>
      </c>
    </row>
    <row r="5966" customFormat="false" ht="15" hidden="false" customHeight="false" outlineLevel="0" collapsed="false">
      <c r="A5966" s="4" t="str">
        <f aca="false">B5966&amp;"|"&amp;C5966</f>
        <v>tdbR00000016 Ala-AGC|59</v>
      </c>
      <c r="B5966" s="4" t="s">
        <v>119</v>
      </c>
      <c r="C5966" s="4" t="s">
        <v>482</v>
      </c>
      <c r="D5966" s="4" t="n">
        <v>59</v>
      </c>
      <c r="E5966" s="19" t="s">
        <v>259</v>
      </c>
      <c r="F5966" s="20" t="s">
        <v>477</v>
      </c>
    </row>
    <row r="5967" customFormat="false" ht="15" hidden="false" customHeight="false" outlineLevel="0" collapsed="false">
      <c r="A5967" s="4" t="str">
        <f aca="false">B5967&amp;"|"&amp;C5967</f>
        <v>tdbR00000016 Ala-AGC|60</v>
      </c>
      <c r="B5967" s="4" t="s">
        <v>119</v>
      </c>
      <c r="C5967" s="4" t="s">
        <v>483</v>
      </c>
      <c r="D5967" s="4" t="n">
        <v>60</v>
      </c>
      <c r="E5967" s="19" t="s">
        <v>197</v>
      </c>
      <c r="F5967" s="20" t="s">
        <v>477</v>
      </c>
    </row>
    <row r="5968" customFormat="false" ht="15" hidden="false" customHeight="false" outlineLevel="0" collapsed="false">
      <c r="A5968" s="4" t="str">
        <f aca="false">B5968&amp;"|"&amp;C5968</f>
        <v>tdbR00000016 Ala-AGC|61</v>
      </c>
      <c r="B5968" s="4" t="s">
        <v>119</v>
      </c>
      <c r="C5968" s="4" t="s">
        <v>484</v>
      </c>
      <c r="D5968" s="4" t="n">
        <v>61</v>
      </c>
      <c r="E5968" s="23" t="s">
        <v>414</v>
      </c>
      <c r="F5968" s="10" t="s">
        <v>471</v>
      </c>
    </row>
    <row r="5969" customFormat="false" ht="15" hidden="false" customHeight="false" outlineLevel="0" collapsed="false">
      <c r="A5969" s="4" t="str">
        <f aca="false">B5969&amp;"|"&amp;C5969</f>
        <v>tdbR00000016 Ala-AGC|62</v>
      </c>
      <c r="B5969" s="4" t="s">
        <v>119</v>
      </c>
      <c r="C5969" s="4" t="s">
        <v>485</v>
      </c>
      <c r="D5969" s="4" t="n">
        <v>62</v>
      </c>
      <c r="E5969" s="23" t="s">
        <v>414</v>
      </c>
      <c r="F5969" s="10" t="s">
        <v>471</v>
      </c>
    </row>
    <row r="5970" customFormat="false" ht="15" hidden="false" customHeight="false" outlineLevel="0" collapsed="false">
      <c r="A5970" s="4" t="str">
        <f aca="false">B5970&amp;"|"&amp;C5970</f>
        <v>tdbR00000016 Ala-AGC|63</v>
      </c>
      <c r="B5970" s="4" t="s">
        <v>119</v>
      </c>
      <c r="C5970" s="4" t="s">
        <v>486</v>
      </c>
      <c r="D5970" s="4" t="n">
        <v>63</v>
      </c>
      <c r="E5970" s="23" t="s">
        <v>414</v>
      </c>
      <c r="F5970" s="10" t="s">
        <v>471</v>
      </c>
    </row>
    <row r="5971" customFormat="false" ht="15" hidden="false" customHeight="false" outlineLevel="0" collapsed="false">
      <c r="A5971" s="4" t="str">
        <f aca="false">B5971&amp;"|"&amp;C5971</f>
        <v>tdbR00000016 Ala-AGC|64</v>
      </c>
      <c r="B5971" s="4" t="s">
        <v>119</v>
      </c>
      <c r="C5971" s="4" t="s">
        <v>487</v>
      </c>
      <c r="D5971" s="4" t="n">
        <v>64</v>
      </c>
      <c r="E5971" s="23" t="s">
        <v>197</v>
      </c>
      <c r="F5971" s="10" t="s">
        <v>471</v>
      </c>
    </row>
    <row r="5972" customFormat="false" ht="15" hidden="false" customHeight="false" outlineLevel="0" collapsed="false">
      <c r="A5972" s="4" t="str">
        <f aca="false">B5972&amp;"|"&amp;C5972</f>
        <v>tdbR00000016 Ala-AGC|65</v>
      </c>
      <c r="B5972" s="4" t="s">
        <v>119</v>
      </c>
      <c r="C5972" s="4" t="s">
        <v>488</v>
      </c>
      <c r="D5972" s="4" t="n">
        <v>65</v>
      </c>
      <c r="E5972" s="23" t="s">
        <v>414</v>
      </c>
      <c r="F5972" s="10" t="s">
        <v>471</v>
      </c>
    </row>
    <row r="5973" customFormat="false" ht="15" hidden="false" customHeight="false" outlineLevel="0" collapsed="false">
      <c r="A5973" s="4" t="str">
        <f aca="false">B5973&amp;"|"&amp;C5973</f>
        <v>tdbR00000016 Ala-AGC|66</v>
      </c>
      <c r="B5973" s="4" t="s">
        <v>119</v>
      </c>
      <c r="C5973" s="4" t="s">
        <v>489</v>
      </c>
      <c r="D5973" s="4" t="n">
        <v>66</v>
      </c>
      <c r="E5973" s="17" t="s">
        <v>246</v>
      </c>
      <c r="F5973" s="18" t="s">
        <v>412</v>
      </c>
    </row>
    <row r="5974" customFormat="false" ht="15" hidden="false" customHeight="false" outlineLevel="0" collapsed="false">
      <c r="A5974" s="4" t="str">
        <f aca="false">B5974&amp;"|"&amp;C5974</f>
        <v>tdbR00000016 Ala-AGC|67</v>
      </c>
      <c r="B5974" s="4" t="s">
        <v>119</v>
      </c>
      <c r="C5974" s="4" t="s">
        <v>490</v>
      </c>
      <c r="D5974" s="4" t="n">
        <v>67</v>
      </c>
      <c r="E5974" s="17" t="s">
        <v>259</v>
      </c>
      <c r="F5974" s="18" t="s">
        <v>412</v>
      </c>
    </row>
    <row r="5975" customFormat="false" ht="15" hidden="false" customHeight="false" outlineLevel="0" collapsed="false">
      <c r="A5975" s="4" t="str">
        <f aca="false">B5975&amp;"|"&amp;C5975</f>
        <v>tdbR00000016 Ala-AGC|68</v>
      </c>
      <c r="B5975" s="4" t="s">
        <v>119</v>
      </c>
      <c r="C5975" s="4" t="s">
        <v>491</v>
      </c>
      <c r="D5975" s="4" t="n">
        <v>68</v>
      </c>
      <c r="E5975" s="17" t="s">
        <v>414</v>
      </c>
      <c r="F5975" s="18" t="s">
        <v>412</v>
      </c>
    </row>
    <row r="5976" customFormat="false" ht="15" hidden="false" customHeight="false" outlineLevel="0" collapsed="false">
      <c r="A5976" s="4" t="str">
        <f aca="false">B5976&amp;"|"&amp;C5976</f>
        <v>tdbR00000016 Ala-AGC|69</v>
      </c>
      <c r="B5976" s="4" t="s">
        <v>119</v>
      </c>
      <c r="C5976" s="4" t="s">
        <v>492</v>
      </c>
      <c r="D5976" s="4" t="n">
        <v>69</v>
      </c>
      <c r="E5976" s="17" t="s">
        <v>414</v>
      </c>
      <c r="F5976" s="18" t="s">
        <v>412</v>
      </c>
    </row>
    <row r="5977" customFormat="false" ht="15" hidden="false" customHeight="false" outlineLevel="0" collapsed="false">
      <c r="A5977" s="4" t="str">
        <f aca="false">B5977&amp;"|"&amp;C5977</f>
        <v>tdbR00000016 Ala-AGC|70</v>
      </c>
      <c r="B5977" s="4" t="s">
        <v>119</v>
      </c>
      <c r="C5977" s="4" t="s">
        <v>493</v>
      </c>
      <c r="D5977" s="4" t="n">
        <v>70</v>
      </c>
      <c r="E5977" s="17" t="s">
        <v>259</v>
      </c>
      <c r="F5977" s="18" t="s">
        <v>412</v>
      </c>
    </row>
    <row r="5978" customFormat="false" ht="15" hidden="false" customHeight="false" outlineLevel="0" collapsed="false">
      <c r="A5978" s="4" t="str">
        <f aca="false">B5978&amp;"|"&amp;C5978</f>
        <v>tdbR00000016 Ala-AGC|71</v>
      </c>
      <c r="B5978" s="4" t="s">
        <v>119</v>
      </c>
      <c r="C5978" s="4" t="s">
        <v>494</v>
      </c>
      <c r="D5978" s="4" t="n">
        <v>71</v>
      </c>
      <c r="E5978" s="17" t="s">
        <v>414</v>
      </c>
      <c r="F5978" s="18" t="s">
        <v>412</v>
      </c>
    </row>
    <row r="5979" customFormat="false" ht="15" hidden="false" customHeight="false" outlineLevel="0" collapsed="false">
      <c r="A5979" s="4" t="str">
        <f aca="false">B5979&amp;"|"&amp;C5979</f>
        <v>tdbR00000016 Ala-AGC|72</v>
      </c>
      <c r="B5979" s="4" t="s">
        <v>119</v>
      </c>
      <c r="C5979" s="4" t="s">
        <v>495</v>
      </c>
      <c r="D5979" s="4" t="n">
        <v>72</v>
      </c>
      <c r="E5979" s="17" t="s">
        <v>414</v>
      </c>
      <c r="F5979" s="18" t="s">
        <v>412</v>
      </c>
    </row>
    <row r="5980" customFormat="false" ht="15" hidden="false" customHeight="false" outlineLevel="0" collapsed="false">
      <c r="A5980" s="4" t="str">
        <f aca="false">B5980&amp;"|"&amp;C5980</f>
        <v>tdbR00000017 Ala-AGC|1</v>
      </c>
      <c r="B5980" s="4" t="s">
        <v>120</v>
      </c>
      <c r="C5980" s="4" t="s">
        <v>411</v>
      </c>
      <c r="D5980" s="4" t="n">
        <v>1</v>
      </c>
      <c r="E5980" s="17" t="s">
        <v>197</v>
      </c>
      <c r="F5980" s="18" t="s">
        <v>412</v>
      </c>
    </row>
    <row r="5981" customFormat="false" ht="15" hidden="false" customHeight="false" outlineLevel="0" collapsed="false">
      <c r="A5981" s="4" t="str">
        <f aca="false">B5981&amp;"|"&amp;C5981</f>
        <v>tdbR00000017 Ala-AGC|2</v>
      </c>
      <c r="B5981" s="4" t="s">
        <v>120</v>
      </c>
      <c r="C5981" s="4" t="s">
        <v>413</v>
      </c>
      <c r="D5981" s="4" t="n">
        <v>2</v>
      </c>
      <c r="E5981" s="17" t="s">
        <v>197</v>
      </c>
      <c r="F5981" s="18" t="s">
        <v>412</v>
      </c>
    </row>
    <row r="5982" customFormat="false" ht="15" hidden="false" customHeight="false" outlineLevel="0" collapsed="false">
      <c r="A5982" s="4" t="str">
        <f aca="false">B5982&amp;"|"&amp;C5982</f>
        <v>tdbR00000017 Ala-AGC|3</v>
      </c>
      <c r="B5982" s="4" t="s">
        <v>120</v>
      </c>
      <c r="C5982" s="4" t="s">
        <v>415</v>
      </c>
      <c r="D5982" s="4" t="n">
        <v>3</v>
      </c>
      <c r="E5982" s="17" t="s">
        <v>197</v>
      </c>
      <c r="F5982" s="18" t="s">
        <v>412</v>
      </c>
    </row>
    <row r="5983" customFormat="false" ht="15" hidden="false" customHeight="false" outlineLevel="0" collapsed="false">
      <c r="A5983" s="4" t="str">
        <f aca="false">B5983&amp;"|"&amp;C5983</f>
        <v>tdbR00000017 Ala-AGC|4</v>
      </c>
      <c r="B5983" s="4" t="s">
        <v>120</v>
      </c>
      <c r="C5983" s="4" t="s">
        <v>416</v>
      </c>
      <c r="D5983" s="4" t="n">
        <v>4</v>
      </c>
      <c r="E5983" s="17" t="s">
        <v>197</v>
      </c>
      <c r="F5983" s="18" t="s">
        <v>412</v>
      </c>
    </row>
    <row r="5984" customFormat="false" ht="15" hidden="false" customHeight="false" outlineLevel="0" collapsed="false">
      <c r="A5984" s="4" t="str">
        <f aca="false">B5984&amp;"|"&amp;C5984</f>
        <v>tdbR00000017 Ala-AGC|5</v>
      </c>
      <c r="B5984" s="4" t="s">
        <v>120</v>
      </c>
      <c r="C5984" s="4" t="s">
        <v>417</v>
      </c>
      <c r="D5984" s="4" t="n">
        <v>5</v>
      </c>
      <c r="E5984" s="17" t="s">
        <v>246</v>
      </c>
      <c r="F5984" s="18" t="s">
        <v>412</v>
      </c>
    </row>
    <row r="5985" customFormat="false" ht="15" hidden="false" customHeight="false" outlineLevel="0" collapsed="false">
      <c r="A5985" s="4" t="str">
        <f aca="false">B5985&amp;"|"&amp;C5985</f>
        <v>tdbR00000017 Ala-AGC|6</v>
      </c>
      <c r="B5985" s="4" t="s">
        <v>120</v>
      </c>
      <c r="C5985" s="4" t="s">
        <v>418</v>
      </c>
      <c r="D5985" s="4" t="n">
        <v>6</v>
      </c>
      <c r="E5985" s="17" t="s">
        <v>246</v>
      </c>
      <c r="F5985" s="18" t="s">
        <v>412</v>
      </c>
    </row>
    <row r="5986" customFormat="false" ht="15" hidden="false" customHeight="false" outlineLevel="0" collapsed="false">
      <c r="A5986" s="4" t="str">
        <f aca="false">B5986&amp;"|"&amp;C5986</f>
        <v>tdbR00000017 Ala-AGC|7</v>
      </c>
      <c r="B5986" s="4" t="s">
        <v>120</v>
      </c>
      <c r="C5986" s="4" t="s">
        <v>419</v>
      </c>
      <c r="D5986" s="4" t="n">
        <v>7</v>
      </c>
      <c r="E5986" s="17" t="s">
        <v>259</v>
      </c>
      <c r="F5986" s="18" t="s">
        <v>412</v>
      </c>
    </row>
    <row r="5987" customFormat="false" ht="15" hidden="false" customHeight="false" outlineLevel="0" collapsed="false">
      <c r="A5987" s="4" t="str">
        <f aca="false">B5987&amp;"|"&amp;C5987</f>
        <v>tdbR00000017 Ala-AGC|8</v>
      </c>
      <c r="B5987" s="4" t="s">
        <v>120</v>
      </c>
      <c r="C5987" s="4" t="s">
        <v>420</v>
      </c>
      <c r="D5987" s="4" t="n">
        <v>8</v>
      </c>
      <c r="E5987" s="3" t="s">
        <v>259</v>
      </c>
      <c r="F5987" s="4" t="s">
        <v>421</v>
      </c>
    </row>
    <row r="5988" customFormat="false" ht="15" hidden="false" customHeight="false" outlineLevel="0" collapsed="false">
      <c r="A5988" s="4" t="str">
        <f aca="false">B5988&amp;"|"&amp;C5988</f>
        <v>tdbR00000017 Ala-AGC|9</v>
      </c>
      <c r="B5988" s="4" t="s">
        <v>120</v>
      </c>
      <c r="C5988" s="4" t="s">
        <v>422</v>
      </c>
      <c r="D5988" s="4" t="n">
        <v>9</v>
      </c>
      <c r="E5988" s="3" t="s">
        <v>246</v>
      </c>
      <c r="F5988" s="4" t="s">
        <v>423</v>
      </c>
    </row>
    <row r="5989" customFormat="false" ht="15" hidden="false" customHeight="false" outlineLevel="0" collapsed="false">
      <c r="A5989" s="4" t="str">
        <f aca="false">B5989&amp;"|"&amp;C5989</f>
        <v>tdbR00000017 Ala-AGC|10</v>
      </c>
      <c r="B5989" s="4" t="s">
        <v>120</v>
      </c>
      <c r="C5989" s="4" t="s">
        <v>424</v>
      </c>
      <c r="D5989" s="4" t="n">
        <v>10</v>
      </c>
      <c r="E5989" s="8" t="s">
        <v>197</v>
      </c>
      <c r="F5989" s="7" t="s">
        <v>425</v>
      </c>
    </row>
    <row r="5990" customFormat="false" ht="15" hidden="false" customHeight="false" outlineLevel="0" collapsed="false">
      <c r="A5990" s="4" t="str">
        <f aca="false">B5990&amp;"|"&amp;C5990</f>
        <v>tdbR00000017 Ala-AGC|11</v>
      </c>
      <c r="B5990" s="4" t="s">
        <v>120</v>
      </c>
      <c r="C5990" s="4" t="s">
        <v>426</v>
      </c>
      <c r="D5990" s="4" t="n">
        <v>11</v>
      </c>
      <c r="E5990" s="8" t="s">
        <v>414</v>
      </c>
      <c r="F5990" s="7" t="s">
        <v>425</v>
      </c>
    </row>
    <row r="5991" customFormat="false" ht="15" hidden="false" customHeight="false" outlineLevel="0" collapsed="false">
      <c r="A5991" s="4" t="str">
        <f aca="false">B5991&amp;"|"&amp;C5991</f>
        <v>tdbR00000017 Ala-AGC|12</v>
      </c>
      <c r="B5991" s="4" t="s">
        <v>120</v>
      </c>
      <c r="C5991" s="4" t="s">
        <v>427</v>
      </c>
      <c r="D5991" s="4" t="n">
        <v>12</v>
      </c>
      <c r="E5991" s="8" t="s">
        <v>259</v>
      </c>
      <c r="F5991" s="7" t="s">
        <v>425</v>
      </c>
    </row>
    <row r="5992" customFormat="false" ht="15" hidden="false" customHeight="false" outlineLevel="0" collapsed="false">
      <c r="A5992" s="4" t="str">
        <f aca="false">B5992&amp;"|"&amp;C5992</f>
        <v>tdbR00000017 Ala-AGC|13</v>
      </c>
      <c r="B5992" s="4" t="s">
        <v>120</v>
      </c>
      <c r="C5992" s="4" t="s">
        <v>428</v>
      </c>
      <c r="D5992" s="4" t="n">
        <v>13</v>
      </c>
      <c r="E5992" s="8" t="s">
        <v>414</v>
      </c>
      <c r="F5992" s="7" t="s">
        <v>425</v>
      </c>
    </row>
    <row r="5993" customFormat="false" ht="15" hidden="false" customHeight="false" outlineLevel="0" collapsed="false">
      <c r="A5993" s="4" t="str">
        <f aca="false">B5993&amp;"|"&amp;C5993</f>
        <v>tdbR00000017 Ala-AGC|14</v>
      </c>
      <c r="B5993" s="4" t="s">
        <v>120</v>
      </c>
      <c r="C5993" s="4" t="s">
        <v>429</v>
      </c>
      <c r="D5993" s="4" t="n">
        <v>14</v>
      </c>
      <c r="E5993" s="19" t="s">
        <v>246</v>
      </c>
      <c r="F5993" s="20" t="s">
        <v>430</v>
      </c>
    </row>
    <row r="5994" customFormat="false" ht="15" hidden="false" customHeight="false" outlineLevel="0" collapsed="false">
      <c r="A5994" s="4" t="str">
        <f aca="false">B5994&amp;"|"&amp;C5994</f>
        <v>tdbR00000017 Ala-AGC|15</v>
      </c>
      <c r="B5994" s="4" t="s">
        <v>120</v>
      </c>
      <c r="C5994" s="4" t="s">
        <v>431</v>
      </c>
      <c r="D5994" s="4" t="n">
        <v>15</v>
      </c>
      <c r="E5994" s="19" t="s">
        <v>246</v>
      </c>
      <c r="F5994" s="20" t="s">
        <v>430</v>
      </c>
    </row>
    <row r="5995" customFormat="false" ht="15" hidden="false" customHeight="false" outlineLevel="0" collapsed="false">
      <c r="A5995" s="4" t="str">
        <f aca="false">B5995&amp;"|"&amp;C5995</f>
        <v>tdbR00000017 Ala-AGC|16</v>
      </c>
      <c r="B5995" s="4" t="s">
        <v>120</v>
      </c>
      <c r="C5995" s="4" t="s">
        <v>432</v>
      </c>
      <c r="D5995" s="4" t="n">
        <v>16</v>
      </c>
      <c r="E5995" s="19" t="s">
        <v>246</v>
      </c>
      <c r="F5995" s="20" t="s">
        <v>430</v>
      </c>
    </row>
    <row r="5996" customFormat="false" ht="15" hidden="false" customHeight="false" outlineLevel="0" collapsed="false">
      <c r="A5996" s="4" t="str">
        <f aca="false">B5996&amp;"|"&amp;C5996</f>
        <v>tdbR00000017 Ala-AGC|17</v>
      </c>
      <c r="B5996" s="4" t="s">
        <v>120</v>
      </c>
      <c r="C5996" s="4" t="s">
        <v>433</v>
      </c>
      <c r="D5996" s="4" t="n">
        <v>17</v>
      </c>
      <c r="E5996" s="19" t="s">
        <v>259</v>
      </c>
      <c r="F5996" s="20" t="s">
        <v>430</v>
      </c>
    </row>
    <row r="5997" customFormat="false" ht="15" hidden="false" customHeight="false" outlineLevel="0" collapsed="false">
      <c r="A5997" s="4" t="str">
        <f aca="false">B5997&amp;"|"&amp;C5997</f>
        <v>tdbR00000017 Ala-AGC|18</v>
      </c>
      <c r="B5997" s="4" t="s">
        <v>120</v>
      </c>
      <c r="C5997" s="4" t="s">
        <v>434</v>
      </c>
      <c r="D5997" s="4" t="n">
        <v>18</v>
      </c>
      <c r="E5997" s="19" t="s">
        <v>197</v>
      </c>
      <c r="F5997" s="20" t="s">
        <v>430</v>
      </c>
    </row>
    <row r="5998" customFormat="false" ht="15" hidden="false" customHeight="false" outlineLevel="0" collapsed="false">
      <c r="A5998" s="4" t="str">
        <f aca="false">B5998&amp;"|"&amp;C5998</f>
        <v>tdbR00000017 Ala-AGC|19</v>
      </c>
      <c r="B5998" s="4" t="s">
        <v>120</v>
      </c>
      <c r="C5998" s="4" t="s">
        <v>435</v>
      </c>
      <c r="D5998" s="4" t="n">
        <v>19</v>
      </c>
      <c r="E5998" s="19" t="s">
        <v>197</v>
      </c>
      <c r="F5998" s="20" t="s">
        <v>430</v>
      </c>
    </row>
    <row r="5999" customFormat="false" ht="15" hidden="false" customHeight="false" outlineLevel="0" collapsed="false">
      <c r="A5999" s="4" t="str">
        <f aca="false">B5999&amp;"|"&amp;C5999</f>
        <v>tdbR00000017 Ala-AGC|20</v>
      </c>
      <c r="B5999" s="4" t="s">
        <v>120</v>
      </c>
      <c r="C5999" s="4" t="s">
        <v>436</v>
      </c>
      <c r="D5999" s="4" t="n">
        <v>20</v>
      </c>
      <c r="E5999" s="19" t="s">
        <v>259</v>
      </c>
      <c r="F5999" s="20" t="s">
        <v>430</v>
      </c>
    </row>
    <row r="6000" customFormat="false" ht="15" hidden="false" customHeight="false" outlineLevel="0" collapsed="false">
      <c r="A6000" s="4" t="str">
        <f aca="false">B6000&amp;"|"&amp;C6000</f>
        <v>tdbR00000017 Ala-AGC|21</v>
      </c>
      <c r="B6000" s="4" t="s">
        <v>120</v>
      </c>
      <c r="C6000" s="4" t="s">
        <v>438</v>
      </c>
      <c r="D6000" s="4" t="n">
        <v>21</v>
      </c>
      <c r="E6000" s="19" t="s">
        <v>246</v>
      </c>
      <c r="F6000" s="20" t="s">
        <v>430</v>
      </c>
    </row>
    <row r="6001" customFormat="false" ht="15" hidden="false" customHeight="false" outlineLevel="0" collapsed="false">
      <c r="A6001" s="4" t="str">
        <f aca="false">B6001&amp;"|"&amp;C6001</f>
        <v>tdbR00000017 Ala-AGC|22</v>
      </c>
      <c r="B6001" s="4" t="s">
        <v>120</v>
      </c>
      <c r="C6001" s="4" t="s">
        <v>439</v>
      </c>
      <c r="D6001" s="4" t="n">
        <v>22</v>
      </c>
      <c r="E6001" s="8" t="s">
        <v>197</v>
      </c>
      <c r="F6001" s="7" t="s">
        <v>425</v>
      </c>
    </row>
    <row r="6002" customFormat="false" ht="15" hidden="false" customHeight="false" outlineLevel="0" collapsed="false">
      <c r="A6002" s="4" t="str">
        <f aca="false">B6002&amp;"|"&amp;C6002</f>
        <v>tdbR00000017 Ala-AGC|23</v>
      </c>
      <c r="B6002" s="4" t="s">
        <v>120</v>
      </c>
      <c r="C6002" s="4" t="s">
        <v>440</v>
      </c>
      <c r="D6002" s="4" t="n">
        <v>23</v>
      </c>
      <c r="E6002" s="8" t="s">
        <v>246</v>
      </c>
      <c r="F6002" s="7" t="s">
        <v>425</v>
      </c>
    </row>
    <row r="6003" customFormat="false" ht="15" hidden="false" customHeight="false" outlineLevel="0" collapsed="false">
      <c r="A6003" s="4" t="str">
        <f aca="false">B6003&amp;"|"&amp;C6003</f>
        <v>tdbR00000017 Ala-AGC|24</v>
      </c>
      <c r="B6003" s="4" t="s">
        <v>120</v>
      </c>
      <c r="C6003" s="4" t="s">
        <v>441</v>
      </c>
      <c r="D6003" s="4" t="n">
        <v>24</v>
      </c>
      <c r="E6003" s="8" t="s">
        <v>197</v>
      </c>
      <c r="F6003" s="7" t="s">
        <v>425</v>
      </c>
    </row>
    <row r="6004" customFormat="false" ht="15" hidden="false" customHeight="false" outlineLevel="0" collapsed="false">
      <c r="A6004" s="4" t="str">
        <f aca="false">B6004&amp;"|"&amp;C6004</f>
        <v>tdbR00000017 Ala-AGC|25</v>
      </c>
      <c r="B6004" s="4" t="s">
        <v>120</v>
      </c>
      <c r="C6004" s="4" t="s">
        <v>442</v>
      </c>
      <c r="D6004" s="4" t="n">
        <v>25</v>
      </c>
      <c r="E6004" s="8" t="s">
        <v>414</v>
      </c>
      <c r="F6004" s="7" t="s">
        <v>425</v>
      </c>
    </row>
    <row r="6005" customFormat="false" ht="15" hidden="false" customHeight="false" outlineLevel="0" collapsed="false">
      <c r="A6005" s="4" t="str">
        <f aca="false">B6005&amp;"|"&amp;C6005</f>
        <v>tdbR00000017 Ala-AGC|26</v>
      </c>
      <c r="B6005" s="4" t="s">
        <v>120</v>
      </c>
      <c r="C6005" s="4" t="s">
        <v>443</v>
      </c>
      <c r="D6005" s="4" t="n">
        <v>26</v>
      </c>
      <c r="E6005" s="3" t="s">
        <v>197</v>
      </c>
      <c r="F6005" s="4" t="s">
        <v>444</v>
      </c>
    </row>
    <row r="6006" customFormat="false" ht="15" hidden="false" customHeight="false" outlineLevel="0" collapsed="false">
      <c r="A6006" s="4" t="str">
        <f aca="false">B6006&amp;"|"&amp;C6006</f>
        <v>tdbR00000017 Ala-AGC|27</v>
      </c>
      <c r="B6006" s="4" t="s">
        <v>120</v>
      </c>
      <c r="C6006" s="4" t="s">
        <v>445</v>
      </c>
      <c r="D6006" s="4" t="n">
        <v>27</v>
      </c>
      <c r="E6006" s="21" t="s">
        <v>414</v>
      </c>
      <c r="F6006" s="22" t="s">
        <v>446</v>
      </c>
    </row>
    <row r="6007" customFormat="false" ht="15" hidden="false" customHeight="false" outlineLevel="0" collapsed="false">
      <c r="A6007" s="4" t="str">
        <f aca="false">B6007&amp;"|"&amp;C6007</f>
        <v>tdbR00000017 Ala-AGC|28</v>
      </c>
      <c r="B6007" s="4" t="s">
        <v>120</v>
      </c>
      <c r="C6007" s="4" t="s">
        <v>447</v>
      </c>
      <c r="D6007" s="4" t="n">
        <v>28</v>
      </c>
      <c r="E6007" s="21" t="s">
        <v>259</v>
      </c>
      <c r="F6007" s="22" t="s">
        <v>446</v>
      </c>
    </row>
    <row r="6008" customFormat="false" ht="15" hidden="false" customHeight="false" outlineLevel="0" collapsed="false">
      <c r="A6008" s="4" t="str">
        <f aca="false">B6008&amp;"|"&amp;C6008</f>
        <v>tdbR00000017 Ala-AGC|29</v>
      </c>
      <c r="B6008" s="4" t="s">
        <v>120</v>
      </c>
      <c r="C6008" s="4" t="s">
        <v>448</v>
      </c>
      <c r="D6008" s="4" t="n">
        <v>29</v>
      </c>
      <c r="E6008" s="21" t="s">
        <v>414</v>
      </c>
      <c r="F6008" s="22" t="s">
        <v>446</v>
      </c>
    </row>
    <row r="6009" customFormat="false" ht="15" hidden="false" customHeight="false" outlineLevel="0" collapsed="false">
      <c r="A6009" s="4" t="str">
        <f aca="false">B6009&amp;"|"&amp;C6009</f>
        <v>tdbR00000017 Ala-AGC|30</v>
      </c>
      <c r="B6009" s="4" t="s">
        <v>120</v>
      </c>
      <c r="C6009" s="4" t="s">
        <v>449</v>
      </c>
      <c r="D6009" s="4" t="n">
        <v>30</v>
      </c>
      <c r="E6009" s="21" t="s">
        <v>197</v>
      </c>
      <c r="F6009" s="22" t="s">
        <v>446</v>
      </c>
    </row>
    <row r="6010" customFormat="false" ht="15" hidden="false" customHeight="false" outlineLevel="0" collapsed="false">
      <c r="A6010" s="4" t="str">
        <f aca="false">B6010&amp;"|"&amp;C6010</f>
        <v>tdbR00000017 Ala-AGC|31</v>
      </c>
      <c r="B6010" s="4" t="s">
        <v>120</v>
      </c>
      <c r="C6010" s="4" t="s">
        <v>450</v>
      </c>
      <c r="D6010" s="4" t="n">
        <v>31</v>
      </c>
      <c r="E6010" s="21" t="s">
        <v>414</v>
      </c>
      <c r="F6010" s="22" t="s">
        <v>446</v>
      </c>
    </row>
    <row r="6011" customFormat="false" ht="15" hidden="false" customHeight="false" outlineLevel="0" collapsed="false">
      <c r="A6011" s="4" t="str">
        <f aca="false">B6011&amp;"|"&amp;C6011</f>
        <v>tdbR00000017 Ala-AGC|32</v>
      </c>
      <c r="B6011" s="4" t="s">
        <v>120</v>
      </c>
      <c r="C6011" s="4" t="s">
        <v>451</v>
      </c>
      <c r="D6011" s="4" t="n">
        <v>32</v>
      </c>
      <c r="E6011" s="19" t="s">
        <v>259</v>
      </c>
      <c r="F6011" s="20" t="s">
        <v>452</v>
      </c>
    </row>
    <row r="6012" customFormat="false" ht="15" hidden="false" customHeight="false" outlineLevel="0" collapsed="false">
      <c r="A6012" s="4" t="str">
        <f aca="false">B6012&amp;"|"&amp;C6012</f>
        <v>tdbR00000017 Ala-AGC|33</v>
      </c>
      <c r="B6012" s="4" t="s">
        <v>120</v>
      </c>
      <c r="C6012" s="4" t="s">
        <v>453</v>
      </c>
      <c r="D6012" s="4" t="n">
        <v>33</v>
      </c>
      <c r="E6012" s="19" t="s">
        <v>259</v>
      </c>
      <c r="F6012" s="20" t="s">
        <v>452</v>
      </c>
    </row>
    <row r="6013" customFormat="false" ht="15" hidden="false" customHeight="false" outlineLevel="0" collapsed="false">
      <c r="A6013" s="4" t="str">
        <f aca="false">B6013&amp;"|"&amp;C6013</f>
        <v>tdbR00000017 Ala-AGC|34</v>
      </c>
      <c r="B6013" s="4" t="s">
        <v>120</v>
      </c>
      <c r="C6013" s="4" t="s">
        <v>454</v>
      </c>
      <c r="D6013" s="4" t="n">
        <v>34</v>
      </c>
      <c r="E6013" s="19" t="s">
        <v>246</v>
      </c>
      <c r="F6013" s="20" t="s">
        <v>452</v>
      </c>
    </row>
    <row r="6014" customFormat="false" ht="15" hidden="false" customHeight="false" outlineLevel="0" collapsed="false">
      <c r="A6014" s="4" t="str">
        <f aca="false">B6014&amp;"|"&amp;C6014</f>
        <v>tdbR00000017 Ala-AGC|35</v>
      </c>
      <c r="B6014" s="4" t="s">
        <v>120</v>
      </c>
      <c r="C6014" s="4" t="s">
        <v>455</v>
      </c>
      <c r="D6014" s="4" t="n">
        <v>35</v>
      </c>
      <c r="E6014" s="19" t="s">
        <v>197</v>
      </c>
      <c r="F6014" s="20" t="s">
        <v>452</v>
      </c>
    </row>
    <row r="6015" customFormat="false" ht="15" hidden="false" customHeight="false" outlineLevel="0" collapsed="false">
      <c r="A6015" s="4" t="str">
        <f aca="false">B6015&amp;"|"&amp;C6015</f>
        <v>tdbR00000017 Ala-AGC|36</v>
      </c>
      <c r="B6015" s="4" t="s">
        <v>120</v>
      </c>
      <c r="C6015" s="4" t="s">
        <v>456</v>
      </c>
      <c r="D6015" s="4" t="n">
        <v>36</v>
      </c>
      <c r="E6015" s="19" t="s">
        <v>414</v>
      </c>
      <c r="F6015" s="20" t="s">
        <v>452</v>
      </c>
    </row>
    <row r="6016" customFormat="false" ht="15" hidden="false" customHeight="false" outlineLevel="0" collapsed="false">
      <c r="A6016" s="4" t="str">
        <f aca="false">B6016&amp;"|"&amp;C6016</f>
        <v>tdbR00000017 Ala-AGC|37</v>
      </c>
      <c r="B6016" s="4" t="s">
        <v>120</v>
      </c>
      <c r="C6016" s="4" t="s">
        <v>457</v>
      </c>
      <c r="D6016" s="4" t="n">
        <v>37</v>
      </c>
      <c r="E6016" s="19" t="s">
        <v>246</v>
      </c>
      <c r="F6016" s="20" t="s">
        <v>452</v>
      </c>
    </row>
    <row r="6017" customFormat="false" ht="15" hidden="false" customHeight="false" outlineLevel="0" collapsed="false">
      <c r="A6017" s="4" t="str">
        <f aca="false">B6017&amp;"|"&amp;C6017</f>
        <v>tdbR00000017 Ala-AGC|38</v>
      </c>
      <c r="B6017" s="4" t="s">
        <v>120</v>
      </c>
      <c r="C6017" s="4" t="s">
        <v>458</v>
      </c>
      <c r="D6017" s="4" t="n">
        <v>38</v>
      </c>
      <c r="E6017" s="19" t="s">
        <v>259</v>
      </c>
      <c r="F6017" s="20" t="s">
        <v>452</v>
      </c>
    </row>
    <row r="6018" customFormat="false" ht="15" hidden="false" customHeight="false" outlineLevel="0" collapsed="false">
      <c r="A6018" s="4" t="str">
        <f aca="false">B6018&amp;"|"&amp;C6018</f>
        <v>tdbR00000017 Ala-AGC|39</v>
      </c>
      <c r="B6018" s="4" t="s">
        <v>120</v>
      </c>
      <c r="C6018" s="4" t="s">
        <v>459</v>
      </c>
      <c r="D6018" s="4" t="n">
        <v>39</v>
      </c>
      <c r="E6018" s="21" t="s">
        <v>197</v>
      </c>
      <c r="F6018" s="22" t="s">
        <v>446</v>
      </c>
    </row>
    <row r="6019" customFormat="false" ht="15" hidden="false" customHeight="false" outlineLevel="0" collapsed="false">
      <c r="A6019" s="4" t="str">
        <f aca="false">B6019&amp;"|"&amp;C6019</f>
        <v>tdbR00000017 Ala-AGC|40</v>
      </c>
      <c r="B6019" s="4" t="s">
        <v>120</v>
      </c>
      <c r="C6019" s="4" t="s">
        <v>460</v>
      </c>
      <c r="D6019" s="4" t="n">
        <v>40</v>
      </c>
      <c r="E6019" s="21" t="s">
        <v>414</v>
      </c>
      <c r="F6019" s="22" t="s">
        <v>446</v>
      </c>
    </row>
    <row r="6020" customFormat="false" ht="15" hidden="false" customHeight="false" outlineLevel="0" collapsed="false">
      <c r="A6020" s="4" t="str">
        <f aca="false">B6020&amp;"|"&amp;C6020</f>
        <v>tdbR00000017 Ala-AGC|41</v>
      </c>
      <c r="B6020" s="4" t="s">
        <v>120</v>
      </c>
      <c r="C6020" s="4" t="s">
        <v>461</v>
      </c>
      <c r="D6020" s="4" t="n">
        <v>41</v>
      </c>
      <c r="E6020" s="21" t="s">
        <v>197</v>
      </c>
      <c r="F6020" s="22" t="s">
        <v>446</v>
      </c>
    </row>
    <row r="6021" customFormat="false" ht="15" hidden="false" customHeight="false" outlineLevel="0" collapsed="false">
      <c r="A6021" s="4" t="str">
        <f aca="false">B6021&amp;"|"&amp;C6021</f>
        <v>tdbR00000017 Ala-AGC|42</v>
      </c>
      <c r="B6021" s="4" t="s">
        <v>120</v>
      </c>
      <c r="C6021" s="4" t="s">
        <v>462</v>
      </c>
      <c r="D6021" s="4" t="n">
        <v>42</v>
      </c>
      <c r="E6021" s="21" t="s">
        <v>246</v>
      </c>
      <c r="F6021" s="22" t="s">
        <v>446</v>
      </c>
    </row>
    <row r="6022" customFormat="false" ht="15" hidden="false" customHeight="false" outlineLevel="0" collapsed="false">
      <c r="A6022" s="4" t="str">
        <f aca="false">B6022&amp;"|"&amp;C6022</f>
        <v>tdbR00000017 Ala-AGC|43</v>
      </c>
      <c r="B6022" s="4" t="s">
        <v>120</v>
      </c>
      <c r="C6022" s="4" t="s">
        <v>463</v>
      </c>
      <c r="D6022" s="4" t="n">
        <v>43</v>
      </c>
      <c r="E6022" s="21" t="s">
        <v>197</v>
      </c>
      <c r="F6022" s="22" t="s">
        <v>446</v>
      </c>
    </row>
    <row r="6023" customFormat="false" ht="15" hidden="false" customHeight="false" outlineLevel="0" collapsed="false">
      <c r="A6023" s="4" t="str">
        <f aca="false">B6023&amp;"|"&amp;C6023</f>
        <v>tdbR00000017 Ala-AGC|44</v>
      </c>
      <c r="B6023" s="4" t="s">
        <v>120</v>
      </c>
      <c r="C6023" s="4" t="s">
        <v>464</v>
      </c>
      <c r="D6023" s="4" t="n">
        <v>44</v>
      </c>
      <c r="E6023" s="19" t="s">
        <v>246</v>
      </c>
      <c r="F6023" s="20" t="s">
        <v>465</v>
      </c>
    </row>
    <row r="6024" customFormat="false" ht="15" hidden="false" customHeight="false" outlineLevel="0" collapsed="false">
      <c r="A6024" s="4" t="str">
        <f aca="false">B6024&amp;"|"&amp;C6024</f>
        <v>tdbR00000017 Ala-AGC|45</v>
      </c>
      <c r="B6024" s="4" t="s">
        <v>120</v>
      </c>
      <c r="C6024" s="4" t="s">
        <v>466</v>
      </c>
      <c r="D6024" s="4" t="n">
        <v>45</v>
      </c>
      <c r="E6024" s="19" t="s">
        <v>197</v>
      </c>
      <c r="F6024" s="20" t="s">
        <v>465</v>
      </c>
    </row>
    <row r="6025" customFormat="false" ht="15" hidden="false" customHeight="false" outlineLevel="0" collapsed="false">
      <c r="A6025" s="4" t="str">
        <f aca="false">B6025&amp;"|"&amp;C6025</f>
        <v>tdbR00000017 Ala-AGC|46</v>
      </c>
      <c r="B6025" s="4" t="s">
        <v>120</v>
      </c>
      <c r="C6025" s="4" t="s">
        <v>467</v>
      </c>
      <c r="D6025" s="4" t="n">
        <v>46</v>
      </c>
      <c r="E6025" s="19" t="s">
        <v>197</v>
      </c>
      <c r="F6025" s="20" t="s">
        <v>465</v>
      </c>
    </row>
    <row r="6026" customFormat="false" ht="15" hidden="false" customHeight="false" outlineLevel="0" collapsed="false">
      <c r="A6026" s="4" t="str">
        <f aca="false">B6026&amp;"|"&amp;C6026</f>
        <v>tdbR00000017 Ala-AGC|47</v>
      </c>
      <c r="B6026" s="4" t="s">
        <v>120</v>
      </c>
      <c r="C6026" s="4" t="s">
        <v>468</v>
      </c>
      <c r="D6026" s="4" t="n">
        <v>47</v>
      </c>
      <c r="E6026" s="19" t="s">
        <v>259</v>
      </c>
      <c r="F6026" s="20" t="s">
        <v>465</v>
      </c>
    </row>
    <row r="6027" customFormat="false" ht="15" hidden="false" customHeight="false" outlineLevel="0" collapsed="false">
      <c r="A6027" s="4" t="str">
        <f aca="false">B6027&amp;"|"&amp;C6027</f>
        <v>tdbR00000017 Ala-AGC|48</v>
      </c>
      <c r="B6027" s="4" t="s">
        <v>120</v>
      </c>
      <c r="C6027" s="4" t="s">
        <v>469</v>
      </c>
      <c r="D6027" s="4" t="n">
        <v>48</v>
      </c>
      <c r="E6027" s="19" t="s">
        <v>246</v>
      </c>
      <c r="F6027" s="20" t="s">
        <v>465</v>
      </c>
    </row>
    <row r="6028" customFormat="false" ht="15" hidden="false" customHeight="false" outlineLevel="0" collapsed="false">
      <c r="A6028" s="4" t="str">
        <f aca="false">B6028&amp;"|"&amp;C6028</f>
        <v>tdbR00000017 Ala-AGC|49</v>
      </c>
      <c r="B6028" s="4" t="s">
        <v>120</v>
      </c>
      <c r="C6028" s="4" t="s">
        <v>470</v>
      </c>
      <c r="D6028" s="4" t="n">
        <v>49</v>
      </c>
      <c r="E6028" s="23" t="s">
        <v>197</v>
      </c>
      <c r="F6028" s="10" t="s">
        <v>471</v>
      </c>
    </row>
    <row r="6029" customFormat="false" ht="15" hidden="false" customHeight="false" outlineLevel="0" collapsed="false">
      <c r="A6029" s="4" t="str">
        <f aca="false">B6029&amp;"|"&amp;C6029</f>
        <v>tdbR00000017 Ala-AGC|50</v>
      </c>
      <c r="B6029" s="4" t="s">
        <v>120</v>
      </c>
      <c r="C6029" s="4" t="s">
        <v>472</v>
      </c>
      <c r="D6029" s="4" t="n">
        <v>50</v>
      </c>
      <c r="E6029" s="23" t="s">
        <v>414</v>
      </c>
      <c r="F6029" s="10" t="s">
        <v>471</v>
      </c>
    </row>
    <row r="6030" customFormat="false" ht="15" hidden="false" customHeight="false" outlineLevel="0" collapsed="false">
      <c r="A6030" s="4" t="str">
        <f aca="false">B6030&amp;"|"&amp;C6030</f>
        <v>tdbR00000017 Ala-AGC|51</v>
      </c>
      <c r="B6030" s="4" t="s">
        <v>120</v>
      </c>
      <c r="C6030" s="4" t="s">
        <v>473</v>
      </c>
      <c r="D6030" s="4" t="n">
        <v>51</v>
      </c>
      <c r="E6030" s="23" t="s">
        <v>197</v>
      </c>
      <c r="F6030" s="10" t="s">
        <v>471</v>
      </c>
    </row>
    <row r="6031" customFormat="false" ht="15" hidden="false" customHeight="false" outlineLevel="0" collapsed="false">
      <c r="A6031" s="4" t="str">
        <f aca="false">B6031&amp;"|"&amp;C6031</f>
        <v>tdbR00000017 Ala-AGC|52</v>
      </c>
      <c r="B6031" s="4" t="s">
        <v>120</v>
      </c>
      <c r="C6031" s="4" t="s">
        <v>474</v>
      </c>
      <c r="D6031" s="4" t="n">
        <v>52</v>
      </c>
      <c r="E6031" s="23" t="s">
        <v>197</v>
      </c>
      <c r="F6031" s="10" t="s">
        <v>471</v>
      </c>
    </row>
    <row r="6032" customFormat="false" ht="15" hidden="false" customHeight="false" outlineLevel="0" collapsed="false">
      <c r="A6032" s="4" t="str">
        <f aca="false">B6032&amp;"|"&amp;C6032</f>
        <v>tdbR00000017 Ala-AGC|53</v>
      </c>
      <c r="B6032" s="4" t="s">
        <v>120</v>
      </c>
      <c r="C6032" s="4" t="s">
        <v>475</v>
      </c>
      <c r="D6032" s="4" t="n">
        <v>53</v>
      </c>
      <c r="E6032" s="23" t="s">
        <v>197</v>
      </c>
      <c r="F6032" s="10" t="s">
        <v>471</v>
      </c>
    </row>
    <row r="6033" customFormat="false" ht="15" hidden="false" customHeight="false" outlineLevel="0" collapsed="false">
      <c r="A6033" s="4" t="str">
        <f aca="false">B6033&amp;"|"&amp;C6033</f>
        <v>tdbR00000017 Ala-AGC|54</v>
      </c>
      <c r="B6033" s="4" t="s">
        <v>120</v>
      </c>
      <c r="C6033" s="4" t="s">
        <v>476</v>
      </c>
      <c r="D6033" s="4" t="n">
        <v>54</v>
      </c>
      <c r="E6033" s="19" t="s">
        <v>246</v>
      </c>
      <c r="F6033" s="20" t="s">
        <v>477</v>
      </c>
    </row>
    <row r="6034" customFormat="false" ht="15" hidden="false" customHeight="false" outlineLevel="0" collapsed="false">
      <c r="A6034" s="4" t="str">
        <f aca="false">B6034&amp;"|"&amp;C6034</f>
        <v>tdbR00000017 Ala-AGC|55</v>
      </c>
      <c r="B6034" s="4" t="s">
        <v>120</v>
      </c>
      <c r="C6034" s="4" t="s">
        <v>478</v>
      </c>
      <c r="D6034" s="4" t="n">
        <v>55</v>
      </c>
      <c r="E6034" s="19" t="s">
        <v>259</v>
      </c>
      <c r="F6034" s="20" t="s">
        <v>477</v>
      </c>
    </row>
    <row r="6035" customFormat="false" ht="15" hidden="false" customHeight="false" outlineLevel="0" collapsed="false">
      <c r="A6035" s="4" t="str">
        <f aca="false">B6035&amp;"|"&amp;C6035</f>
        <v>tdbR00000017 Ala-AGC|56</v>
      </c>
      <c r="B6035" s="4" t="s">
        <v>120</v>
      </c>
      <c r="C6035" s="4" t="s">
        <v>479</v>
      </c>
      <c r="D6035" s="4" t="n">
        <v>56</v>
      </c>
      <c r="E6035" s="19" t="s">
        <v>414</v>
      </c>
      <c r="F6035" s="20" t="s">
        <v>477</v>
      </c>
    </row>
    <row r="6036" customFormat="false" ht="15" hidden="false" customHeight="false" outlineLevel="0" collapsed="false">
      <c r="A6036" s="4" t="str">
        <f aca="false">B6036&amp;"|"&amp;C6036</f>
        <v>tdbR00000017 Ala-AGC|57</v>
      </c>
      <c r="B6036" s="4" t="s">
        <v>120</v>
      </c>
      <c r="C6036" s="4" t="s">
        <v>480</v>
      </c>
      <c r="D6036" s="4" t="n">
        <v>57</v>
      </c>
      <c r="E6036" s="19" t="s">
        <v>197</v>
      </c>
      <c r="F6036" s="20" t="s">
        <v>477</v>
      </c>
    </row>
    <row r="6037" customFormat="false" ht="15" hidden="false" customHeight="false" outlineLevel="0" collapsed="false">
      <c r="A6037" s="4" t="str">
        <f aca="false">B6037&amp;"|"&amp;C6037</f>
        <v>tdbR00000017 Ala-AGC|58</v>
      </c>
      <c r="B6037" s="4" t="s">
        <v>120</v>
      </c>
      <c r="C6037" s="4" t="s">
        <v>481</v>
      </c>
      <c r="D6037" s="4" t="n">
        <v>58</v>
      </c>
      <c r="E6037" s="19" t="s">
        <v>246</v>
      </c>
      <c r="F6037" s="20" t="s">
        <v>477</v>
      </c>
    </row>
    <row r="6038" customFormat="false" ht="15" hidden="false" customHeight="false" outlineLevel="0" collapsed="false">
      <c r="A6038" s="4" t="str">
        <f aca="false">B6038&amp;"|"&amp;C6038</f>
        <v>tdbR00000017 Ala-AGC|59</v>
      </c>
      <c r="B6038" s="4" t="s">
        <v>120</v>
      </c>
      <c r="C6038" s="4" t="s">
        <v>482</v>
      </c>
      <c r="D6038" s="4" t="n">
        <v>59</v>
      </c>
      <c r="E6038" s="19" t="s">
        <v>259</v>
      </c>
      <c r="F6038" s="20" t="s">
        <v>477</v>
      </c>
    </row>
    <row r="6039" customFormat="false" ht="15" hidden="false" customHeight="false" outlineLevel="0" collapsed="false">
      <c r="A6039" s="4" t="str">
        <f aca="false">B6039&amp;"|"&amp;C6039</f>
        <v>tdbR00000017 Ala-AGC|60</v>
      </c>
      <c r="B6039" s="4" t="s">
        <v>120</v>
      </c>
      <c r="C6039" s="4" t="s">
        <v>483</v>
      </c>
      <c r="D6039" s="4" t="n">
        <v>60</v>
      </c>
      <c r="E6039" s="19" t="s">
        <v>197</v>
      </c>
      <c r="F6039" s="20" t="s">
        <v>477</v>
      </c>
    </row>
    <row r="6040" customFormat="false" ht="15" hidden="false" customHeight="false" outlineLevel="0" collapsed="false">
      <c r="A6040" s="4" t="str">
        <f aca="false">B6040&amp;"|"&amp;C6040</f>
        <v>tdbR00000017 Ala-AGC|61</v>
      </c>
      <c r="B6040" s="4" t="s">
        <v>120</v>
      </c>
      <c r="C6040" s="4" t="s">
        <v>484</v>
      </c>
      <c r="D6040" s="4" t="n">
        <v>61</v>
      </c>
      <c r="E6040" s="23" t="s">
        <v>414</v>
      </c>
      <c r="F6040" s="10" t="s">
        <v>471</v>
      </c>
    </row>
    <row r="6041" customFormat="false" ht="15" hidden="false" customHeight="false" outlineLevel="0" collapsed="false">
      <c r="A6041" s="4" t="str">
        <f aca="false">B6041&amp;"|"&amp;C6041</f>
        <v>tdbR00000017 Ala-AGC|62</v>
      </c>
      <c r="B6041" s="4" t="s">
        <v>120</v>
      </c>
      <c r="C6041" s="4" t="s">
        <v>485</v>
      </c>
      <c r="D6041" s="4" t="n">
        <v>62</v>
      </c>
      <c r="E6041" s="23" t="s">
        <v>414</v>
      </c>
      <c r="F6041" s="10" t="s">
        <v>471</v>
      </c>
    </row>
    <row r="6042" customFormat="false" ht="15" hidden="false" customHeight="false" outlineLevel="0" collapsed="false">
      <c r="A6042" s="4" t="str">
        <f aca="false">B6042&amp;"|"&amp;C6042</f>
        <v>tdbR00000017 Ala-AGC|63</v>
      </c>
      <c r="B6042" s="4" t="s">
        <v>120</v>
      </c>
      <c r="C6042" s="4" t="s">
        <v>486</v>
      </c>
      <c r="D6042" s="4" t="n">
        <v>63</v>
      </c>
      <c r="E6042" s="23" t="s">
        <v>414</v>
      </c>
      <c r="F6042" s="10" t="s">
        <v>471</v>
      </c>
    </row>
    <row r="6043" customFormat="false" ht="15" hidden="false" customHeight="false" outlineLevel="0" collapsed="false">
      <c r="A6043" s="4" t="str">
        <f aca="false">B6043&amp;"|"&amp;C6043</f>
        <v>tdbR00000017 Ala-AGC|64</v>
      </c>
      <c r="B6043" s="4" t="s">
        <v>120</v>
      </c>
      <c r="C6043" s="4" t="s">
        <v>487</v>
      </c>
      <c r="D6043" s="4" t="n">
        <v>64</v>
      </c>
      <c r="E6043" s="23" t="s">
        <v>197</v>
      </c>
      <c r="F6043" s="10" t="s">
        <v>471</v>
      </c>
    </row>
    <row r="6044" customFormat="false" ht="15" hidden="false" customHeight="false" outlineLevel="0" collapsed="false">
      <c r="A6044" s="4" t="str">
        <f aca="false">B6044&amp;"|"&amp;C6044</f>
        <v>tdbR00000017 Ala-AGC|65</v>
      </c>
      <c r="B6044" s="4" t="s">
        <v>120</v>
      </c>
      <c r="C6044" s="4" t="s">
        <v>488</v>
      </c>
      <c r="D6044" s="4" t="n">
        <v>65</v>
      </c>
      <c r="E6044" s="23" t="s">
        <v>414</v>
      </c>
      <c r="F6044" s="10" t="s">
        <v>471</v>
      </c>
    </row>
    <row r="6045" customFormat="false" ht="15" hidden="false" customHeight="false" outlineLevel="0" collapsed="false">
      <c r="A6045" s="4" t="str">
        <f aca="false">B6045&amp;"|"&amp;C6045</f>
        <v>tdbR00000017 Ala-AGC|66</v>
      </c>
      <c r="B6045" s="4" t="s">
        <v>120</v>
      </c>
      <c r="C6045" s="4" t="s">
        <v>489</v>
      </c>
      <c r="D6045" s="4" t="n">
        <v>66</v>
      </c>
      <c r="E6045" s="17" t="s">
        <v>246</v>
      </c>
      <c r="F6045" s="18" t="s">
        <v>412</v>
      </c>
    </row>
    <row r="6046" customFormat="false" ht="15" hidden="false" customHeight="false" outlineLevel="0" collapsed="false">
      <c r="A6046" s="4" t="str">
        <f aca="false">B6046&amp;"|"&amp;C6046</f>
        <v>tdbR00000017 Ala-AGC|67</v>
      </c>
      <c r="B6046" s="4" t="s">
        <v>120</v>
      </c>
      <c r="C6046" s="4" t="s">
        <v>490</v>
      </c>
      <c r="D6046" s="4" t="n">
        <v>67</v>
      </c>
      <c r="E6046" s="17" t="s">
        <v>259</v>
      </c>
      <c r="F6046" s="18" t="s">
        <v>412</v>
      </c>
    </row>
    <row r="6047" customFormat="false" ht="15" hidden="false" customHeight="false" outlineLevel="0" collapsed="false">
      <c r="A6047" s="4" t="str">
        <f aca="false">B6047&amp;"|"&amp;C6047</f>
        <v>tdbR00000017 Ala-AGC|68</v>
      </c>
      <c r="B6047" s="4" t="s">
        <v>120</v>
      </c>
      <c r="C6047" s="4" t="s">
        <v>491</v>
      </c>
      <c r="D6047" s="4" t="n">
        <v>68</v>
      </c>
      <c r="E6047" s="17" t="s">
        <v>259</v>
      </c>
      <c r="F6047" s="18" t="s">
        <v>412</v>
      </c>
    </row>
    <row r="6048" customFormat="false" ht="15" hidden="false" customHeight="false" outlineLevel="0" collapsed="false">
      <c r="A6048" s="4" t="str">
        <f aca="false">B6048&amp;"|"&amp;C6048</f>
        <v>tdbR00000017 Ala-AGC|69</v>
      </c>
      <c r="B6048" s="4" t="s">
        <v>120</v>
      </c>
      <c r="C6048" s="4" t="s">
        <v>492</v>
      </c>
      <c r="D6048" s="4" t="n">
        <v>69</v>
      </c>
      <c r="E6048" s="17" t="s">
        <v>414</v>
      </c>
      <c r="F6048" s="18" t="s">
        <v>412</v>
      </c>
    </row>
    <row r="6049" customFormat="false" ht="15" hidden="false" customHeight="false" outlineLevel="0" collapsed="false">
      <c r="A6049" s="4" t="str">
        <f aca="false">B6049&amp;"|"&amp;C6049</f>
        <v>tdbR00000017 Ala-AGC|70</v>
      </c>
      <c r="B6049" s="4" t="s">
        <v>120</v>
      </c>
      <c r="C6049" s="4" t="s">
        <v>493</v>
      </c>
      <c r="D6049" s="4" t="n">
        <v>70</v>
      </c>
      <c r="E6049" s="17" t="s">
        <v>259</v>
      </c>
      <c r="F6049" s="18" t="s">
        <v>412</v>
      </c>
    </row>
    <row r="6050" customFormat="false" ht="15" hidden="false" customHeight="false" outlineLevel="0" collapsed="false">
      <c r="A6050" s="4" t="str">
        <f aca="false">B6050&amp;"|"&amp;C6050</f>
        <v>tdbR00000017 Ala-AGC|71</v>
      </c>
      <c r="B6050" s="4" t="s">
        <v>120</v>
      </c>
      <c r="C6050" s="4" t="s">
        <v>494</v>
      </c>
      <c r="D6050" s="4" t="n">
        <v>71</v>
      </c>
      <c r="E6050" s="17" t="s">
        <v>414</v>
      </c>
      <c r="F6050" s="18" t="s">
        <v>412</v>
      </c>
    </row>
    <row r="6051" customFormat="false" ht="15" hidden="false" customHeight="false" outlineLevel="0" collapsed="false">
      <c r="A6051" s="4" t="str">
        <f aca="false">B6051&amp;"|"&amp;C6051</f>
        <v>tdbR00000017 Ala-AGC|72</v>
      </c>
      <c r="B6051" s="4" t="s">
        <v>120</v>
      </c>
      <c r="C6051" s="4" t="s">
        <v>495</v>
      </c>
      <c r="D6051" s="4" t="n">
        <v>72</v>
      </c>
      <c r="E6051" s="17" t="s">
        <v>414</v>
      </c>
      <c r="F6051" s="18" t="s">
        <v>412</v>
      </c>
    </row>
    <row r="6052" customFormat="false" ht="15" hidden="false" customHeight="false" outlineLevel="0" collapsed="false">
      <c r="A6052" s="4" t="str">
        <f aca="false">B6052&amp;"|"&amp;C6052</f>
        <v>tdbR00000345 Gln-NUG|1</v>
      </c>
      <c r="B6052" s="4" t="s">
        <v>121</v>
      </c>
      <c r="C6052" s="4" t="s">
        <v>411</v>
      </c>
      <c r="D6052" s="4" t="n">
        <v>1</v>
      </c>
      <c r="E6052" s="17" t="s">
        <v>197</v>
      </c>
      <c r="F6052" s="18" t="s">
        <v>412</v>
      </c>
    </row>
    <row r="6053" customFormat="false" ht="15" hidden="false" customHeight="false" outlineLevel="0" collapsed="false">
      <c r="A6053" s="4" t="str">
        <f aca="false">B6053&amp;"|"&amp;C6053</f>
        <v>tdbR00000345 Gln-NUG|2</v>
      </c>
      <c r="B6053" s="4" t="s">
        <v>121</v>
      </c>
      <c r="C6053" s="4" t="s">
        <v>413</v>
      </c>
      <c r="D6053" s="4" t="n">
        <v>2</v>
      </c>
      <c r="E6053" s="17" t="s">
        <v>197</v>
      </c>
      <c r="F6053" s="18" t="s">
        <v>412</v>
      </c>
    </row>
    <row r="6054" customFormat="false" ht="15" hidden="false" customHeight="false" outlineLevel="0" collapsed="false">
      <c r="A6054" s="4" t="str">
        <f aca="false">B6054&amp;"|"&amp;C6054</f>
        <v>tdbR00000345 Gln-NUG|3</v>
      </c>
      <c r="B6054" s="4" t="s">
        <v>121</v>
      </c>
      <c r="C6054" s="4" t="s">
        <v>415</v>
      </c>
      <c r="D6054" s="4" t="n">
        <v>3</v>
      </c>
      <c r="E6054" s="17" t="s">
        <v>414</v>
      </c>
      <c r="F6054" s="18" t="s">
        <v>412</v>
      </c>
    </row>
    <row r="6055" customFormat="false" ht="15" hidden="false" customHeight="false" outlineLevel="0" collapsed="false">
      <c r="A6055" s="4" t="str">
        <f aca="false">B6055&amp;"|"&amp;C6055</f>
        <v>tdbR00000345 Gln-NUG|4</v>
      </c>
      <c r="B6055" s="4" t="s">
        <v>121</v>
      </c>
      <c r="C6055" s="4" t="s">
        <v>416</v>
      </c>
      <c r="D6055" s="4" t="n">
        <v>4</v>
      </c>
      <c r="E6055" s="17" t="s">
        <v>414</v>
      </c>
      <c r="F6055" s="18" t="s">
        <v>412</v>
      </c>
    </row>
    <row r="6056" customFormat="false" ht="15" hidden="false" customHeight="false" outlineLevel="0" collapsed="false">
      <c r="A6056" s="4" t="str">
        <f aca="false">B6056&amp;"|"&amp;C6056</f>
        <v>tdbR00000345 Gln-NUG|5</v>
      </c>
      <c r="B6056" s="4" t="s">
        <v>121</v>
      </c>
      <c r="C6056" s="4" t="s">
        <v>417</v>
      </c>
      <c r="D6056" s="4" t="n">
        <v>5</v>
      </c>
      <c r="E6056" s="17" t="s">
        <v>414</v>
      </c>
      <c r="F6056" s="18" t="s">
        <v>412</v>
      </c>
    </row>
    <row r="6057" customFormat="false" ht="15" hidden="false" customHeight="false" outlineLevel="0" collapsed="false">
      <c r="A6057" s="4" t="str">
        <f aca="false">B6057&amp;"|"&amp;C6057</f>
        <v>tdbR00000345 Gln-NUG|6</v>
      </c>
      <c r="B6057" s="4" t="s">
        <v>121</v>
      </c>
      <c r="C6057" s="4" t="s">
        <v>418</v>
      </c>
      <c r="D6057" s="4" t="n">
        <v>6</v>
      </c>
      <c r="E6057" s="17" t="s">
        <v>414</v>
      </c>
      <c r="F6057" s="18" t="s">
        <v>412</v>
      </c>
    </row>
    <row r="6058" customFormat="false" ht="15" hidden="false" customHeight="false" outlineLevel="0" collapsed="false">
      <c r="A6058" s="4" t="str">
        <f aca="false">B6058&amp;"|"&amp;C6058</f>
        <v>tdbR00000345 Gln-NUG|7</v>
      </c>
      <c r="B6058" s="4" t="s">
        <v>121</v>
      </c>
      <c r="C6058" s="4" t="s">
        <v>419</v>
      </c>
      <c r="D6058" s="4" t="n">
        <v>7</v>
      </c>
      <c r="E6058" s="17" t="s">
        <v>246</v>
      </c>
      <c r="F6058" s="18" t="s">
        <v>412</v>
      </c>
    </row>
    <row r="6059" customFormat="false" ht="15" hidden="false" customHeight="false" outlineLevel="0" collapsed="false">
      <c r="A6059" s="4" t="str">
        <f aca="false">B6059&amp;"|"&amp;C6059</f>
        <v>tdbR00000345 Gln-NUG|8</v>
      </c>
      <c r="B6059" s="4" t="s">
        <v>121</v>
      </c>
      <c r="C6059" s="4" t="s">
        <v>420</v>
      </c>
      <c r="D6059" s="4" t="n">
        <v>8</v>
      </c>
      <c r="E6059" s="3" t="s">
        <v>259</v>
      </c>
      <c r="F6059" s="4" t="s">
        <v>421</v>
      </c>
    </row>
    <row r="6060" customFormat="false" ht="15" hidden="false" customHeight="false" outlineLevel="0" collapsed="false">
      <c r="A6060" s="4" t="str">
        <f aca="false">B6060&amp;"|"&amp;C6060</f>
        <v>tdbR00000345 Gln-NUG|9</v>
      </c>
      <c r="B6060" s="4" t="s">
        <v>121</v>
      </c>
      <c r="C6060" s="4" t="s">
        <v>422</v>
      </c>
      <c r="D6060" s="4" t="n">
        <v>9</v>
      </c>
      <c r="E6060" s="3" t="s">
        <v>197</v>
      </c>
      <c r="F6060" s="4" t="s">
        <v>423</v>
      </c>
    </row>
    <row r="6061" customFormat="false" ht="15" hidden="false" customHeight="false" outlineLevel="0" collapsed="false">
      <c r="A6061" s="4" t="str">
        <f aca="false">B6061&amp;"|"&amp;C6061</f>
        <v>tdbR00000345 Gln-NUG|10</v>
      </c>
      <c r="B6061" s="4" t="s">
        <v>121</v>
      </c>
      <c r="C6061" s="4" t="s">
        <v>424</v>
      </c>
      <c r="D6061" s="4" t="n">
        <v>10</v>
      </c>
      <c r="E6061" s="8" t="s">
        <v>197</v>
      </c>
      <c r="F6061" s="7" t="s">
        <v>425</v>
      </c>
    </row>
    <row r="6062" customFormat="false" ht="15" hidden="false" customHeight="false" outlineLevel="0" collapsed="false">
      <c r="A6062" s="4" t="str">
        <f aca="false">B6062&amp;"|"&amp;C6062</f>
        <v>tdbR00000345 Gln-NUG|11</v>
      </c>
      <c r="B6062" s="4" t="s">
        <v>121</v>
      </c>
      <c r="C6062" s="4" t="s">
        <v>426</v>
      </c>
      <c r="D6062" s="4" t="n">
        <v>11</v>
      </c>
      <c r="E6062" s="8" t="s">
        <v>259</v>
      </c>
      <c r="F6062" s="7" t="s">
        <v>425</v>
      </c>
    </row>
    <row r="6063" customFormat="false" ht="15" hidden="false" customHeight="false" outlineLevel="0" collapsed="false">
      <c r="A6063" s="4" t="str">
        <f aca="false">B6063&amp;"|"&amp;C6063</f>
        <v>tdbR00000345 Gln-NUG|12</v>
      </c>
      <c r="B6063" s="4" t="s">
        <v>121</v>
      </c>
      <c r="C6063" s="4" t="s">
        <v>427</v>
      </c>
      <c r="D6063" s="4" t="n">
        <v>12</v>
      </c>
      <c r="E6063" s="8" t="s">
        <v>197</v>
      </c>
      <c r="F6063" s="7" t="s">
        <v>425</v>
      </c>
    </row>
    <row r="6064" customFormat="false" ht="15" hidden="false" customHeight="false" outlineLevel="0" collapsed="false">
      <c r="A6064" s="4" t="str">
        <f aca="false">B6064&amp;"|"&amp;C6064</f>
        <v>tdbR00000345 Gln-NUG|13</v>
      </c>
      <c r="B6064" s="4" t="s">
        <v>121</v>
      </c>
      <c r="C6064" s="4" t="s">
        <v>428</v>
      </c>
      <c r="D6064" s="4" t="n">
        <v>13</v>
      </c>
      <c r="E6064" s="8" t="s">
        <v>259</v>
      </c>
      <c r="F6064" s="7" t="s">
        <v>425</v>
      </c>
    </row>
    <row r="6065" customFormat="false" ht="15" hidden="false" customHeight="false" outlineLevel="0" collapsed="false">
      <c r="A6065" s="4" t="str">
        <f aca="false">B6065&amp;"|"&amp;C6065</f>
        <v>tdbR00000345 Gln-NUG|14</v>
      </c>
      <c r="B6065" s="4" t="s">
        <v>121</v>
      </c>
      <c r="C6065" s="4" t="s">
        <v>429</v>
      </c>
      <c r="D6065" s="4" t="n">
        <v>14</v>
      </c>
      <c r="E6065" s="19" t="s">
        <v>246</v>
      </c>
      <c r="F6065" s="20" t="s">
        <v>430</v>
      </c>
    </row>
    <row r="6066" customFormat="false" ht="15" hidden="false" customHeight="false" outlineLevel="0" collapsed="false">
      <c r="A6066" s="4" t="str">
        <f aca="false">B6066&amp;"|"&amp;C6066</f>
        <v>tdbR00000345 Gln-NUG|15</v>
      </c>
      <c r="B6066" s="4" t="s">
        <v>121</v>
      </c>
      <c r="C6066" s="4" t="s">
        <v>431</v>
      </c>
      <c r="D6066" s="4" t="n">
        <v>15</v>
      </c>
      <c r="E6066" s="19" t="s">
        <v>246</v>
      </c>
      <c r="F6066" s="20" t="s">
        <v>430</v>
      </c>
    </row>
    <row r="6067" customFormat="false" ht="15" hidden="false" customHeight="false" outlineLevel="0" collapsed="false">
      <c r="A6067" s="4" t="str">
        <f aca="false">B6067&amp;"|"&amp;C6067</f>
        <v>tdbR00000345 Gln-NUG|16</v>
      </c>
      <c r="B6067" s="4" t="s">
        <v>121</v>
      </c>
      <c r="C6067" s="4" t="s">
        <v>432</v>
      </c>
      <c r="D6067" s="4" t="n">
        <v>16</v>
      </c>
      <c r="E6067" s="19" t="s">
        <v>259</v>
      </c>
      <c r="F6067" s="20" t="s">
        <v>430</v>
      </c>
    </row>
    <row r="6068" customFormat="false" ht="15" hidden="false" customHeight="false" outlineLevel="0" collapsed="false">
      <c r="A6068" s="4" t="str">
        <f aca="false">B6068&amp;"|"&amp;C6068</f>
        <v>tdbR00000345 Gln-NUG|18</v>
      </c>
      <c r="B6068" s="4" t="s">
        <v>121</v>
      </c>
      <c r="C6068" s="4" t="s">
        <v>434</v>
      </c>
      <c r="D6068" s="4" t="n">
        <v>17</v>
      </c>
      <c r="E6068" s="19" t="s">
        <v>197</v>
      </c>
      <c r="F6068" s="20" t="s">
        <v>430</v>
      </c>
    </row>
    <row r="6069" customFormat="false" ht="15" hidden="false" customHeight="false" outlineLevel="0" collapsed="false">
      <c r="A6069" s="4" t="str">
        <f aca="false">B6069&amp;"|"&amp;C6069</f>
        <v>tdbR00000345 Gln-NUG|19</v>
      </c>
      <c r="B6069" s="4" t="s">
        <v>121</v>
      </c>
      <c r="C6069" s="4" t="s">
        <v>435</v>
      </c>
      <c r="D6069" s="4" t="n">
        <v>18</v>
      </c>
      <c r="E6069" s="19" t="s">
        <v>197</v>
      </c>
      <c r="F6069" s="20" t="s">
        <v>430</v>
      </c>
    </row>
    <row r="6070" customFormat="false" ht="15" hidden="false" customHeight="false" outlineLevel="0" collapsed="false">
      <c r="A6070" s="4" t="str">
        <f aca="false">B6070&amp;"|"&amp;C6070</f>
        <v>tdbR00000345 Gln-NUG|20</v>
      </c>
      <c r="B6070" s="4" t="s">
        <v>121</v>
      </c>
      <c r="C6070" s="4" t="s">
        <v>436</v>
      </c>
      <c r="D6070" s="4" t="n">
        <v>19</v>
      </c>
      <c r="E6070" s="19" t="s">
        <v>259</v>
      </c>
      <c r="F6070" s="20" t="s">
        <v>430</v>
      </c>
    </row>
    <row r="6071" customFormat="false" ht="15" hidden="false" customHeight="false" outlineLevel="0" collapsed="false">
      <c r="A6071" s="4" t="str">
        <f aca="false">B6071&amp;"|"&amp;C6071</f>
        <v>tdbR00000345 Gln-NUG|20a</v>
      </c>
      <c r="B6071" s="4" t="s">
        <v>121</v>
      </c>
      <c r="C6071" s="4" t="s">
        <v>437</v>
      </c>
      <c r="D6071" s="4" t="n">
        <v>20</v>
      </c>
      <c r="E6071" s="19" t="s">
        <v>259</v>
      </c>
      <c r="F6071" s="20" t="s">
        <v>430</v>
      </c>
    </row>
    <row r="6072" customFormat="false" ht="15" hidden="false" customHeight="false" outlineLevel="0" collapsed="false">
      <c r="A6072" s="4" t="str">
        <f aca="false">B6072&amp;"|"&amp;C6072</f>
        <v>tdbR00000345 Gln-NUG|21</v>
      </c>
      <c r="B6072" s="4" t="s">
        <v>121</v>
      </c>
      <c r="C6072" s="4" t="s">
        <v>438</v>
      </c>
      <c r="D6072" s="4" t="n">
        <v>21</v>
      </c>
      <c r="E6072" s="19" t="s">
        <v>246</v>
      </c>
      <c r="F6072" s="20" t="s">
        <v>430</v>
      </c>
    </row>
    <row r="6073" customFormat="false" ht="15" hidden="false" customHeight="false" outlineLevel="0" collapsed="false">
      <c r="A6073" s="4" t="str">
        <f aca="false">B6073&amp;"|"&amp;C6073</f>
        <v>tdbR00000345 Gln-NUG|22</v>
      </c>
      <c r="B6073" s="4" t="s">
        <v>121</v>
      </c>
      <c r="C6073" s="4" t="s">
        <v>439</v>
      </c>
      <c r="D6073" s="4" t="n">
        <v>22</v>
      </c>
      <c r="E6073" s="8" t="s">
        <v>197</v>
      </c>
      <c r="F6073" s="7" t="s">
        <v>425</v>
      </c>
    </row>
    <row r="6074" customFormat="false" ht="15" hidden="false" customHeight="false" outlineLevel="0" collapsed="false">
      <c r="A6074" s="4" t="str">
        <f aca="false">B6074&amp;"|"&amp;C6074</f>
        <v>tdbR00000345 Gln-NUG|23</v>
      </c>
      <c r="B6074" s="4" t="s">
        <v>121</v>
      </c>
      <c r="C6074" s="4" t="s">
        <v>440</v>
      </c>
      <c r="D6074" s="4" t="n">
        <v>23</v>
      </c>
      <c r="E6074" s="8" t="s">
        <v>414</v>
      </c>
      <c r="F6074" s="7" t="s">
        <v>425</v>
      </c>
    </row>
    <row r="6075" customFormat="false" ht="15" hidden="false" customHeight="false" outlineLevel="0" collapsed="false">
      <c r="A6075" s="4" t="str">
        <f aca="false">B6075&amp;"|"&amp;C6075</f>
        <v>tdbR00000345 Gln-NUG|24</v>
      </c>
      <c r="B6075" s="4" t="s">
        <v>121</v>
      </c>
      <c r="C6075" s="4" t="s">
        <v>441</v>
      </c>
      <c r="D6075" s="4" t="n">
        <v>24</v>
      </c>
      <c r="E6075" s="8" t="s">
        <v>246</v>
      </c>
      <c r="F6075" s="7" t="s">
        <v>425</v>
      </c>
    </row>
    <row r="6076" customFormat="false" ht="15" hidden="false" customHeight="false" outlineLevel="0" collapsed="false">
      <c r="A6076" s="4" t="str">
        <f aca="false">B6076&amp;"|"&amp;C6076</f>
        <v>tdbR00000345 Gln-NUG|25</v>
      </c>
      <c r="B6076" s="4" t="s">
        <v>121</v>
      </c>
      <c r="C6076" s="4" t="s">
        <v>442</v>
      </c>
      <c r="D6076" s="4" t="n">
        <v>25</v>
      </c>
      <c r="E6076" s="8" t="s">
        <v>414</v>
      </c>
      <c r="F6076" s="7" t="s">
        <v>425</v>
      </c>
    </row>
    <row r="6077" customFormat="false" ht="15" hidden="false" customHeight="false" outlineLevel="0" collapsed="false">
      <c r="A6077" s="4" t="str">
        <f aca="false">B6077&amp;"|"&amp;C6077</f>
        <v>tdbR00000345 Gln-NUG|26</v>
      </c>
      <c r="B6077" s="4" t="s">
        <v>121</v>
      </c>
      <c r="C6077" s="4" t="s">
        <v>443</v>
      </c>
      <c r="D6077" s="4" t="n">
        <v>26</v>
      </c>
      <c r="E6077" s="3" t="s">
        <v>259</v>
      </c>
      <c r="F6077" s="4" t="s">
        <v>444</v>
      </c>
    </row>
    <row r="6078" customFormat="false" ht="15" hidden="false" customHeight="false" outlineLevel="0" collapsed="false">
      <c r="A6078" s="4" t="str">
        <f aca="false">B6078&amp;"|"&amp;C6078</f>
        <v>tdbR00000345 Gln-NUG|27</v>
      </c>
      <c r="B6078" s="4" t="s">
        <v>121</v>
      </c>
      <c r="C6078" s="4" t="s">
        <v>445</v>
      </c>
      <c r="D6078" s="4" t="n">
        <v>27</v>
      </c>
      <c r="E6078" s="21" t="s">
        <v>414</v>
      </c>
      <c r="F6078" s="22" t="s">
        <v>446</v>
      </c>
    </row>
    <row r="6079" customFormat="false" ht="15" hidden="false" customHeight="false" outlineLevel="0" collapsed="false">
      <c r="A6079" s="4" t="str">
        <f aca="false">B6079&amp;"|"&amp;C6079</f>
        <v>tdbR00000345 Gln-NUG|28</v>
      </c>
      <c r="B6079" s="4" t="s">
        <v>121</v>
      </c>
      <c r="C6079" s="4" t="s">
        <v>447</v>
      </c>
      <c r="D6079" s="4" t="n">
        <v>28</v>
      </c>
      <c r="E6079" s="21" t="s">
        <v>259</v>
      </c>
      <c r="F6079" s="22" t="s">
        <v>446</v>
      </c>
    </row>
    <row r="6080" customFormat="false" ht="15" hidden="false" customHeight="false" outlineLevel="0" collapsed="false">
      <c r="A6080" s="4" t="str">
        <f aca="false">B6080&amp;"|"&amp;C6080</f>
        <v>tdbR00000345 Gln-NUG|29</v>
      </c>
      <c r="B6080" s="4" t="s">
        <v>121</v>
      </c>
      <c r="C6080" s="4" t="s">
        <v>448</v>
      </c>
      <c r="D6080" s="4" t="n">
        <v>29</v>
      </c>
      <c r="E6080" s="21" t="s">
        <v>197</v>
      </c>
      <c r="F6080" s="22" t="s">
        <v>446</v>
      </c>
    </row>
    <row r="6081" customFormat="false" ht="15" hidden="false" customHeight="false" outlineLevel="0" collapsed="false">
      <c r="A6081" s="4" t="str">
        <f aca="false">B6081&amp;"|"&amp;C6081</f>
        <v>tdbR00000345 Gln-NUG|30</v>
      </c>
      <c r="B6081" s="4" t="s">
        <v>121</v>
      </c>
      <c r="C6081" s="4" t="s">
        <v>449</v>
      </c>
      <c r="D6081" s="4" t="n">
        <v>30</v>
      </c>
      <c r="E6081" s="21" t="s">
        <v>197</v>
      </c>
      <c r="F6081" s="22" t="s">
        <v>446</v>
      </c>
    </row>
    <row r="6082" customFormat="false" ht="15" hidden="false" customHeight="false" outlineLevel="0" collapsed="false">
      <c r="A6082" s="4" t="str">
        <f aca="false">B6082&amp;"|"&amp;C6082</f>
        <v>tdbR00000345 Gln-NUG|31</v>
      </c>
      <c r="B6082" s="4" t="s">
        <v>121</v>
      </c>
      <c r="C6082" s="4" t="s">
        <v>450</v>
      </c>
      <c r="D6082" s="4" t="n">
        <v>31</v>
      </c>
      <c r="E6082" s="21" t="s">
        <v>246</v>
      </c>
      <c r="F6082" s="22" t="s">
        <v>446</v>
      </c>
    </row>
    <row r="6083" customFormat="false" ht="15" hidden="false" customHeight="false" outlineLevel="0" collapsed="false">
      <c r="A6083" s="4" t="str">
        <f aca="false">B6083&amp;"|"&amp;C6083</f>
        <v>tdbR00000345 Gln-NUG|32</v>
      </c>
      <c r="B6083" s="4" t="s">
        <v>121</v>
      </c>
      <c r="C6083" s="4" t="s">
        <v>451</v>
      </c>
      <c r="D6083" s="4" t="n">
        <v>32</v>
      </c>
      <c r="E6083" s="19" t="s">
        <v>414</v>
      </c>
      <c r="F6083" s="20" t="s">
        <v>452</v>
      </c>
    </row>
    <row r="6084" customFormat="false" ht="15" hidden="false" customHeight="false" outlineLevel="0" collapsed="false">
      <c r="A6084" s="4" t="str">
        <f aca="false">B6084&amp;"|"&amp;C6084</f>
        <v>tdbR00000345 Gln-NUG|33</v>
      </c>
      <c r="B6084" s="4" t="s">
        <v>121</v>
      </c>
      <c r="C6084" s="4" t="s">
        <v>453</v>
      </c>
      <c r="D6084" s="4" t="n">
        <v>33</v>
      </c>
      <c r="E6084" s="19" t="s">
        <v>259</v>
      </c>
      <c r="F6084" s="20" t="s">
        <v>452</v>
      </c>
    </row>
    <row r="6085" customFormat="false" ht="15" hidden="false" customHeight="false" outlineLevel="0" collapsed="false">
      <c r="A6085" s="4" t="str">
        <f aca="false">B6085&amp;"|"&amp;C6085</f>
        <v>tdbR00000345 Gln-NUG|34</v>
      </c>
      <c r="B6085" s="4" t="s">
        <v>121</v>
      </c>
      <c r="C6085" s="4" t="s">
        <v>454</v>
      </c>
      <c r="D6085" s="4" t="n">
        <v>34</v>
      </c>
      <c r="E6085" s="19" t="s">
        <v>259</v>
      </c>
      <c r="F6085" s="20" t="s">
        <v>452</v>
      </c>
    </row>
    <row r="6086" customFormat="false" ht="15" hidden="false" customHeight="false" outlineLevel="0" collapsed="false">
      <c r="A6086" s="4" t="str">
        <f aca="false">B6086&amp;"|"&amp;C6086</f>
        <v>tdbR00000345 Gln-NUG|35</v>
      </c>
      <c r="B6086" s="4" t="s">
        <v>121</v>
      </c>
      <c r="C6086" s="4" t="s">
        <v>455</v>
      </c>
      <c r="D6086" s="4" t="n">
        <v>35</v>
      </c>
      <c r="E6086" s="19" t="s">
        <v>259</v>
      </c>
      <c r="F6086" s="20" t="s">
        <v>452</v>
      </c>
    </row>
    <row r="6087" customFormat="false" ht="15" hidden="false" customHeight="false" outlineLevel="0" collapsed="false">
      <c r="A6087" s="4" t="str">
        <f aca="false">B6087&amp;"|"&amp;C6087</f>
        <v>tdbR00000345 Gln-NUG|36</v>
      </c>
      <c r="B6087" s="4" t="s">
        <v>121</v>
      </c>
      <c r="C6087" s="4" t="s">
        <v>456</v>
      </c>
      <c r="D6087" s="4" t="n">
        <v>36</v>
      </c>
      <c r="E6087" s="19" t="s">
        <v>197</v>
      </c>
      <c r="F6087" s="20" t="s">
        <v>452</v>
      </c>
    </row>
    <row r="6088" customFormat="false" ht="15" hidden="false" customHeight="false" outlineLevel="0" collapsed="false">
      <c r="A6088" s="4" t="str">
        <f aca="false">B6088&amp;"|"&amp;C6088</f>
        <v>tdbR00000345 Gln-NUG|37</v>
      </c>
      <c r="B6088" s="4" t="s">
        <v>121</v>
      </c>
      <c r="C6088" s="4" t="s">
        <v>457</v>
      </c>
      <c r="D6088" s="4" t="n">
        <v>37</v>
      </c>
      <c r="E6088" s="19" t="s">
        <v>246</v>
      </c>
      <c r="F6088" s="20" t="s">
        <v>452</v>
      </c>
    </row>
    <row r="6089" customFormat="false" ht="15" hidden="false" customHeight="false" outlineLevel="0" collapsed="false">
      <c r="A6089" s="4" t="str">
        <f aca="false">B6089&amp;"|"&amp;C6089</f>
        <v>tdbR00000345 Gln-NUG|38</v>
      </c>
      <c r="B6089" s="4" t="s">
        <v>121</v>
      </c>
      <c r="C6089" s="4" t="s">
        <v>458</v>
      </c>
      <c r="D6089" s="4" t="n">
        <v>38</v>
      </c>
      <c r="E6089" s="19" t="s">
        <v>246</v>
      </c>
      <c r="F6089" s="20" t="s">
        <v>452</v>
      </c>
    </row>
    <row r="6090" customFormat="false" ht="15" hidden="false" customHeight="false" outlineLevel="0" collapsed="false">
      <c r="A6090" s="4" t="str">
        <f aca="false">B6090&amp;"|"&amp;C6090</f>
        <v>tdbR00000345 Gln-NUG|39</v>
      </c>
      <c r="B6090" s="4" t="s">
        <v>121</v>
      </c>
      <c r="C6090" s="4" t="s">
        <v>459</v>
      </c>
      <c r="D6090" s="4" t="n">
        <v>39</v>
      </c>
      <c r="E6090" s="21" t="s">
        <v>259</v>
      </c>
      <c r="F6090" s="22" t="s">
        <v>446</v>
      </c>
    </row>
    <row r="6091" customFormat="false" ht="15" hidden="false" customHeight="false" outlineLevel="0" collapsed="false">
      <c r="A6091" s="4" t="str">
        <f aca="false">B6091&amp;"|"&amp;C6091</f>
        <v>tdbR00000345 Gln-NUG|40</v>
      </c>
      <c r="B6091" s="4" t="s">
        <v>121</v>
      </c>
      <c r="C6091" s="4" t="s">
        <v>460</v>
      </c>
      <c r="D6091" s="4" t="n">
        <v>40</v>
      </c>
      <c r="E6091" s="21" t="s">
        <v>414</v>
      </c>
      <c r="F6091" s="22" t="s">
        <v>446</v>
      </c>
    </row>
    <row r="6092" customFormat="false" ht="15" hidden="false" customHeight="false" outlineLevel="0" collapsed="false">
      <c r="A6092" s="4" t="str">
        <f aca="false">B6092&amp;"|"&amp;C6092</f>
        <v>tdbR00000345 Gln-NUG|41</v>
      </c>
      <c r="B6092" s="4" t="s">
        <v>121</v>
      </c>
      <c r="C6092" s="4" t="s">
        <v>461</v>
      </c>
      <c r="D6092" s="4" t="n">
        <v>41</v>
      </c>
      <c r="E6092" s="21" t="s">
        <v>414</v>
      </c>
      <c r="F6092" s="22" t="s">
        <v>446</v>
      </c>
    </row>
    <row r="6093" customFormat="false" ht="15" hidden="false" customHeight="false" outlineLevel="0" collapsed="false">
      <c r="A6093" s="4" t="str">
        <f aca="false">B6093&amp;"|"&amp;C6093</f>
        <v>tdbR00000345 Gln-NUG|42</v>
      </c>
      <c r="B6093" s="4" t="s">
        <v>121</v>
      </c>
      <c r="C6093" s="4" t="s">
        <v>462</v>
      </c>
      <c r="D6093" s="4" t="n">
        <v>42</v>
      </c>
      <c r="E6093" s="21" t="s">
        <v>246</v>
      </c>
      <c r="F6093" s="22" t="s">
        <v>446</v>
      </c>
    </row>
    <row r="6094" customFormat="false" ht="15" hidden="false" customHeight="false" outlineLevel="0" collapsed="false">
      <c r="A6094" s="4" t="str">
        <f aca="false">B6094&amp;"|"&amp;C6094</f>
        <v>tdbR00000345 Gln-NUG|43</v>
      </c>
      <c r="B6094" s="4" t="s">
        <v>121</v>
      </c>
      <c r="C6094" s="4" t="s">
        <v>463</v>
      </c>
      <c r="D6094" s="4" t="n">
        <v>43</v>
      </c>
      <c r="E6094" s="21" t="s">
        <v>197</v>
      </c>
      <c r="F6094" s="22" t="s">
        <v>446</v>
      </c>
    </row>
    <row r="6095" customFormat="false" ht="15" hidden="false" customHeight="false" outlineLevel="0" collapsed="false">
      <c r="A6095" s="4" t="str">
        <f aca="false">B6095&amp;"|"&amp;C6095</f>
        <v>tdbR00000345 Gln-NUG|44</v>
      </c>
      <c r="B6095" s="4" t="s">
        <v>121</v>
      </c>
      <c r="C6095" s="4" t="s">
        <v>464</v>
      </c>
      <c r="D6095" s="4" t="n">
        <v>44</v>
      </c>
      <c r="E6095" s="19" t="s">
        <v>414</v>
      </c>
      <c r="F6095" s="20" t="s">
        <v>465</v>
      </c>
    </row>
    <row r="6096" customFormat="false" ht="15" hidden="false" customHeight="false" outlineLevel="0" collapsed="false">
      <c r="A6096" s="4" t="str">
        <f aca="false">B6096&amp;"|"&amp;C6096</f>
        <v>tdbR00000345 Gln-NUG|45</v>
      </c>
      <c r="B6096" s="4" t="s">
        <v>121</v>
      </c>
      <c r="C6096" s="4" t="s">
        <v>466</v>
      </c>
      <c r="D6096" s="4" t="n">
        <v>45</v>
      </c>
      <c r="E6096" s="19" t="s">
        <v>197</v>
      </c>
      <c r="F6096" s="20" t="s">
        <v>465</v>
      </c>
    </row>
    <row r="6097" customFormat="false" ht="15" hidden="false" customHeight="false" outlineLevel="0" collapsed="false">
      <c r="A6097" s="4" t="str">
        <f aca="false">B6097&amp;"|"&amp;C6097</f>
        <v>tdbR00000345 Gln-NUG|46</v>
      </c>
      <c r="B6097" s="4" t="s">
        <v>121</v>
      </c>
      <c r="C6097" s="4" t="s">
        <v>467</v>
      </c>
      <c r="D6097" s="4" t="n">
        <v>46</v>
      </c>
      <c r="E6097" s="19" t="s">
        <v>246</v>
      </c>
      <c r="F6097" s="20" t="s">
        <v>465</v>
      </c>
    </row>
    <row r="6098" customFormat="false" ht="15" hidden="false" customHeight="false" outlineLevel="0" collapsed="false">
      <c r="A6098" s="4" t="str">
        <f aca="false">B6098&amp;"|"&amp;C6098</f>
        <v>tdbR00000345 Gln-NUG|48</v>
      </c>
      <c r="B6098" s="4" t="s">
        <v>121</v>
      </c>
      <c r="C6098" s="4" t="s">
        <v>469</v>
      </c>
      <c r="D6098" s="4" t="n">
        <v>47</v>
      </c>
      <c r="E6098" s="19" t="s">
        <v>259</v>
      </c>
      <c r="F6098" s="20" t="s">
        <v>465</v>
      </c>
    </row>
    <row r="6099" customFormat="false" ht="15" hidden="false" customHeight="false" outlineLevel="0" collapsed="false">
      <c r="A6099" s="4" t="str">
        <f aca="false">B6099&amp;"|"&amp;C6099</f>
        <v>tdbR00000345 Gln-NUG|49</v>
      </c>
      <c r="B6099" s="4" t="s">
        <v>121</v>
      </c>
      <c r="C6099" s="4" t="s">
        <v>470</v>
      </c>
      <c r="D6099" s="4" t="n">
        <v>48</v>
      </c>
      <c r="E6099" s="23" t="s">
        <v>414</v>
      </c>
      <c r="F6099" s="10" t="s">
        <v>471</v>
      </c>
    </row>
    <row r="6100" customFormat="false" ht="15" hidden="false" customHeight="false" outlineLevel="0" collapsed="false">
      <c r="A6100" s="4" t="str">
        <f aca="false">B6100&amp;"|"&amp;C6100</f>
        <v>tdbR00000345 Gln-NUG|50</v>
      </c>
      <c r="B6100" s="4" t="s">
        <v>121</v>
      </c>
      <c r="C6100" s="4" t="s">
        <v>472</v>
      </c>
      <c r="D6100" s="4" t="n">
        <v>49</v>
      </c>
      <c r="E6100" s="23" t="s">
        <v>414</v>
      </c>
      <c r="F6100" s="10" t="s">
        <v>471</v>
      </c>
    </row>
    <row r="6101" customFormat="false" ht="15" hidden="false" customHeight="false" outlineLevel="0" collapsed="false">
      <c r="A6101" s="4" t="str">
        <f aca="false">B6101&amp;"|"&amp;C6101</f>
        <v>tdbR00000345 Gln-NUG|51</v>
      </c>
      <c r="B6101" s="4" t="s">
        <v>121</v>
      </c>
      <c r="C6101" s="4" t="s">
        <v>473</v>
      </c>
      <c r="D6101" s="4" t="n">
        <v>50</v>
      </c>
      <c r="E6101" s="23" t="s">
        <v>197</v>
      </c>
      <c r="F6101" s="10" t="s">
        <v>471</v>
      </c>
    </row>
    <row r="6102" customFormat="false" ht="15" hidden="false" customHeight="false" outlineLevel="0" collapsed="false">
      <c r="A6102" s="4" t="str">
        <f aca="false">B6102&amp;"|"&amp;C6102</f>
        <v>tdbR00000345 Gln-NUG|52</v>
      </c>
      <c r="B6102" s="4" t="s">
        <v>121</v>
      </c>
      <c r="C6102" s="4" t="s">
        <v>474</v>
      </c>
      <c r="D6102" s="4" t="n">
        <v>51</v>
      </c>
      <c r="E6102" s="23" t="s">
        <v>246</v>
      </c>
      <c r="F6102" s="10" t="s">
        <v>471</v>
      </c>
    </row>
    <row r="6103" customFormat="false" ht="15" hidden="false" customHeight="false" outlineLevel="0" collapsed="false">
      <c r="A6103" s="4" t="str">
        <f aca="false">B6103&amp;"|"&amp;C6103</f>
        <v>tdbR00000345 Gln-NUG|53</v>
      </c>
      <c r="B6103" s="4" t="s">
        <v>121</v>
      </c>
      <c r="C6103" s="4" t="s">
        <v>475</v>
      </c>
      <c r="D6103" s="4" t="n">
        <v>52</v>
      </c>
      <c r="E6103" s="23" t="s">
        <v>197</v>
      </c>
      <c r="F6103" s="10" t="s">
        <v>471</v>
      </c>
    </row>
    <row r="6104" customFormat="false" ht="15" hidden="false" customHeight="false" outlineLevel="0" collapsed="false">
      <c r="A6104" s="4" t="str">
        <f aca="false">B6104&amp;"|"&amp;C6104</f>
        <v>tdbR00000345 Gln-NUG|54</v>
      </c>
      <c r="B6104" s="4" t="s">
        <v>121</v>
      </c>
      <c r="C6104" s="4" t="s">
        <v>476</v>
      </c>
      <c r="D6104" s="4" t="n">
        <v>53</v>
      </c>
      <c r="E6104" s="19" t="s">
        <v>259</v>
      </c>
      <c r="F6104" s="20" t="s">
        <v>477</v>
      </c>
    </row>
    <row r="6105" customFormat="false" ht="15" hidden="false" customHeight="false" outlineLevel="0" collapsed="false">
      <c r="A6105" s="4" t="str">
        <f aca="false">B6105&amp;"|"&amp;C6105</f>
        <v>tdbR00000345 Gln-NUG|55</v>
      </c>
      <c r="B6105" s="4" t="s">
        <v>121</v>
      </c>
      <c r="C6105" s="4" t="s">
        <v>478</v>
      </c>
      <c r="D6105" s="4" t="n">
        <v>54</v>
      </c>
      <c r="E6105" s="19" t="s">
        <v>259</v>
      </c>
      <c r="F6105" s="20" t="s">
        <v>477</v>
      </c>
    </row>
    <row r="6106" customFormat="false" ht="15" hidden="false" customHeight="false" outlineLevel="0" collapsed="false">
      <c r="A6106" s="4" t="str">
        <f aca="false">B6106&amp;"|"&amp;C6106</f>
        <v>tdbR00000345 Gln-NUG|56</v>
      </c>
      <c r="B6106" s="4" t="s">
        <v>121</v>
      </c>
      <c r="C6106" s="4" t="s">
        <v>479</v>
      </c>
      <c r="D6106" s="4" t="n">
        <v>55</v>
      </c>
      <c r="E6106" s="19" t="s">
        <v>414</v>
      </c>
      <c r="F6106" s="20" t="s">
        <v>477</v>
      </c>
    </row>
    <row r="6107" customFormat="false" ht="15" hidden="false" customHeight="false" outlineLevel="0" collapsed="false">
      <c r="A6107" s="4" t="str">
        <f aca="false">B6107&amp;"|"&amp;C6107</f>
        <v>tdbR00000345 Gln-NUG|57</v>
      </c>
      <c r="B6107" s="4" t="s">
        <v>121</v>
      </c>
      <c r="C6107" s="4" t="s">
        <v>480</v>
      </c>
      <c r="D6107" s="4" t="n">
        <v>56</v>
      </c>
      <c r="E6107" s="19" t="s">
        <v>246</v>
      </c>
      <c r="F6107" s="20" t="s">
        <v>477</v>
      </c>
    </row>
    <row r="6108" customFormat="false" ht="15" hidden="false" customHeight="false" outlineLevel="0" collapsed="false">
      <c r="A6108" s="4" t="str">
        <f aca="false">B6108&amp;"|"&amp;C6108</f>
        <v>tdbR00000345 Gln-NUG|58</v>
      </c>
      <c r="B6108" s="4" t="s">
        <v>121</v>
      </c>
      <c r="C6108" s="4" t="s">
        <v>481</v>
      </c>
      <c r="D6108" s="4" t="n">
        <v>57</v>
      </c>
      <c r="E6108" s="19" t="s">
        <v>246</v>
      </c>
      <c r="F6108" s="20" t="s">
        <v>477</v>
      </c>
    </row>
    <row r="6109" customFormat="false" ht="15" hidden="false" customHeight="false" outlineLevel="0" collapsed="false">
      <c r="A6109" s="4" t="str">
        <f aca="false">B6109&amp;"|"&amp;C6109</f>
        <v>tdbR00000345 Gln-NUG|59</v>
      </c>
      <c r="B6109" s="4" t="s">
        <v>121</v>
      </c>
      <c r="C6109" s="4" t="s">
        <v>482</v>
      </c>
      <c r="D6109" s="4" t="n">
        <v>58</v>
      </c>
      <c r="E6109" s="19" t="s">
        <v>246</v>
      </c>
      <c r="F6109" s="20" t="s">
        <v>477</v>
      </c>
    </row>
    <row r="6110" customFormat="false" ht="15" hidden="false" customHeight="false" outlineLevel="0" collapsed="false">
      <c r="A6110" s="4" t="str">
        <f aca="false">B6110&amp;"|"&amp;C6110</f>
        <v>tdbR00000345 Gln-NUG|60</v>
      </c>
      <c r="B6110" s="4" t="s">
        <v>121</v>
      </c>
      <c r="C6110" s="4" t="s">
        <v>483</v>
      </c>
      <c r="D6110" s="4" t="n">
        <v>59</v>
      </c>
      <c r="E6110" s="19" t="s">
        <v>259</v>
      </c>
      <c r="F6110" s="20" t="s">
        <v>477</v>
      </c>
    </row>
    <row r="6111" customFormat="false" ht="15" hidden="false" customHeight="false" outlineLevel="0" collapsed="false">
      <c r="A6111" s="4" t="str">
        <f aca="false">B6111&amp;"|"&amp;C6111</f>
        <v>tdbR00000345 Gln-NUG|61</v>
      </c>
      <c r="B6111" s="4" t="s">
        <v>121</v>
      </c>
      <c r="C6111" s="4" t="s">
        <v>484</v>
      </c>
      <c r="D6111" s="4" t="n">
        <v>60</v>
      </c>
      <c r="E6111" s="23" t="s">
        <v>414</v>
      </c>
      <c r="F6111" s="10" t="s">
        <v>471</v>
      </c>
    </row>
    <row r="6112" customFormat="false" ht="15" hidden="false" customHeight="false" outlineLevel="0" collapsed="false">
      <c r="A6112" s="4" t="str">
        <f aca="false">B6112&amp;"|"&amp;C6112</f>
        <v>tdbR00000345 Gln-NUG|62</v>
      </c>
      <c r="B6112" s="4" t="s">
        <v>121</v>
      </c>
      <c r="C6112" s="4" t="s">
        <v>485</v>
      </c>
      <c r="D6112" s="4" t="n">
        <v>61</v>
      </c>
      <c r="E6112" s="23" t="s">
        <v>259</v>
      </c>
      <c r="F6112" s="10" t="s">
        <v>471</v>
      </c>
    </row>
    <row r="6113" customFormat="false" ht="15" hidden="false" customHeight="false" outlineLevel="0" collapsed="false">
      <c r="A6113" s="4" t="str">
        <f aca="false">B6113&amp;"|"&amp;C6113</f>
        <v>tdbR00000345 Gln-NUG|63</v>
      </c>
      <c r="B6113" s="4" t="s">
        <v>121</v>
      </c>
      <c r="C6113" s="4" t="s">
        <v>486</v>
      </c>
      <c r="D6113" s="4" t="n">
        <v>62</v>
      </c>
      <c r="E6113" s="23" t="s">
        <v>414</v>
      </c>
      <c r="F6113" s="10" t="s">
        <v>471</v>
      </c>
    </row>
    <row r="6114" customFormat="false" ht="15" hidden="false" customHeight="false" outlineLevel="0" collapsed="false">
      <c r="A6114" s="4" t="str">
        <f aca="false">B6114&amp;"|"&amp;C6114</f>
        <v>tdbR00000345 Gln-NUG|64</v>
      </c>
      <c r="B6114" s="4" t="s">
        <v>121</v>
      </c>
      <c r="C6114" s="4" t="s">
        <v>487</v>
      </c>
      <c r="D6114" s="4" t="n">
        <v>63</v>
      </c>
      <c r="E6114" s="23" t="s">
        <v>197</v>
      </c>
      <c r="F6114" s="10" t="s">
        <v>471</v>
      </c>
    </row>
    <row r="6115" customFormat="false" ht="15" hidden="false" customHeight="false" outlineLevel="0" collapsed="false">
      <c r="A6115" s="4" t="str">
        <f aca="false">B6115&amp;"|"&amp;C6115</f>
        <v>tdbR00000345 Gln-NUG|65</v>
      </c>
      <c r="B6115" s="4" t="s">
        <v>121</v>
      </c>
      <c r="C6115" s="4" t="s">
        <v>488</v>
      </c>
      <c r="D6115" s="4" t="n">
        <v>64</v>
      </c>
      <c r="E6115" s="23" t="s">
        <v>197</v>
      </c>
      <c r="F6115" s="10" t="s">
        <v>471</v>
      </c>
    </row>
    <row r="6116" customFormat="false" ht="15" hidden="false" customHeight="false" outlineLevel="0" collapsed="false">
      <c r="A6116" s="4" t="str">
        <f aca="false">B6116&amp;"|"&amp;C6116</f>
        <v>tdbR00000345 Gln-NUG|66</v>
      </c>
      <c r="B6116" s="4" t="s">
        <v>121</v>
      </c>
      <c r="C6116" s="4" t="s">
        <v>489</v>
      </c>
      <c r="D6116" s="4" t="n">
        <v>65</v>
      </c>
      <c r="E6116" s="17" t="s">
        <v>259</v>
      </c>
      <c r="F6116" s="18" t="s">
        <v>412</v>
      </c>
    </row>
    <row r="6117" customFormat="false" ht="15" hidden="false" customHeight="false" outlineLevel="0" collapsed="false">
      <c r="A6117" s="4" t="str">
        <f aca="false">B6117&amp;"|"&amp;C6117</f>
        <v>tdbR00000345 Gln-NUG|67</v>
      </c>
      <c r="B6117" s="4" t="s">
        <v>121</v>
      </c>
      <c r="C6117" s="4" t="s">
        <v>490</v>
      </c>
      <c r="D6117" s="4" t="n">
        <v>66</v>
      </c>
      <c r="E6117" s="17" t="s">
        <v>197</v>
      </c>
      <c r="F6117" s="18" t="s">
        <v>412</v>
      </c>
    </row>
    <row r="6118" customFormat="false" ht="15" hidden="false" customHeight="false" outlineLevel="0" collapsed="false">
      <c r="A6118" s="4" t="str">
        <f aca="false">B6118&amp;"|"&amp;C6118</f>
        <v>tdbR00000345 Gln-NUG|68</v>
      </c>
      <c r="B6118" s="4" t="s">
        <v>121</v>
      </c>
      <c r="C6118" s="4" t="s">
        <v>491</v>
      </c>
      <c r="D6118" s="4" t="n">
        <v>67</v>
      </c>
      <c r="E6118" s="17" t="s">
        <v>197</v>
      </c>
      <c r="F6118" s="18" t="s">
        <v>412</v>
      </c>
    </row>
    <row r="6119" customFormat="false" ht="15" hidden="false" customHeight="false" outlineLevel="0" collapsed="false">
      <c r="A6119" s="4" t="str">
        <f aca="false">B6119&amp;"|"&amp;C6119</f>
        <v>tdbR00000345 Gln-NUG|69</v>
      </c>
      <c r="B6119" s="4" t="s">
        <v>121</v>
      </c>
      <c r="C6119" s="4" t="s">
        <v>492</v>
      </c>
      <c r="D6119" s="4" t="n">
        <v>68</v>
      </c>
      <c r="E6119" s="17" t="s">
        <v>197</v>
      </c>
      <c r="F6119" s="18" t="s">
        <v>412</v>
      </c>
    </row>
    <row r="6120" customFormat="false" ht="15" hidden="false" customHeight="false" outlineLevel="0" collapsed="false">
      <c r="A6120" s="4" t="str">
        <f aca="false">B6120&amp;"|"&amp;C6120</f>
        <v>tdbR00000345 Gln-NUG|70</v>
      </c>
      <c r="B6120" s="4" t="s">
        <v>121</v>
      </c>
      <c r="C6120" s="4" t="s">
        <v>493</v>
      </c>
      <c r="D6120" s="4" t="n">
        <v>69</v>
      </c>
      <c r="E6120" s="17" t="s">
        <v>246</v>
      </c>
      <c r="F6120" s="18" t="s">
        <v>412</v>
      </c>
    </row>
    <row r="6121" customFormat="false" ht="15" hidden="false" customHeight="false" outlineLevel="0" collapsed="false">
      <c r="A6121" s="4" t="str">
        <f aca="false">B6121&amp;"|"&amp;C6121</f>
        <v>tdbR00000345 Gln-NUG|71</v>
      </c>
      <c r="B6121" s="4" t="s">
        <v>121</v>
      </c>
      <c r="C6121" s="4" t="s">
        <v>494</v>
      </c>
      <c r="D6121" s="4" t="n">
        <v>70</v>
      </c>
      <c r="E6121" s="17" t="s">
        <v>414</v>
      </c>
      <c r="F6121" s="18" t="s">
        <v>412</v>
      </c>
    </row>
    <row r="6122" customFormat="false" ht="15" hidden="false" customHeight="false" outlineLevel="0" collapsed="false">
      <c r="A6122" s="4" t="str">
        <f aca="false">B6122&amp;"|"&amp;C6122</f>
        <v>tdbR00000345 Gln-NUG|72</v>
      </c>
      <c r="B6122" s="4" t="s">
        <v>121</v>
      </c>
      <c r="C6122" s="4" t="s">
        <v>495</v>
      </c>
      <c r="D6122" s="4" t="n">
        <v>71</v>
      </c>
      <c r="E6122" s="17" t="s">
        <v>414</v>
      </c>
      <c r="F6122" s="18" t="s">
        <v>412</v>
      </c>
    </row>
    <row r="6123" customFormat="false" ht="15" hidden="false" customHeight="false" outlineLevel="0" collapsed="false">
      <c r="A6123" s="4" t="str">
        <f aca="false">B6123&amp;"|"&amp;C6123</f>
        <v>tdbR00000346 Gln-NUG|1</v>
      </c>
      <c r="B6123" s="4" t="s">
        <v>122</v>
      </c>
      <c r="C6123" s="4" t="s">
        <v>411</v>
      </c>
      <c r="D6123" s="4" t="n">
        <v>1</v>
      </c>
      <c r="E6123" s="17" t="s">
        <v>197</v>
      </c>
      <c r="F6123" s="18" t="s">
        <v>412</v>
      </c>
    </row>
    <row r="6124" customFormat="false" ht="15" hidden="false" customHeight="false" outlineLevel="0" collapsed="false">
      <c r="A6124" s="4" t="str">
        <f aca="false">B6124&amp;"|"&amp;C6124</f>
        <v>tdbR00000346 Gln-NUG|2</v>
      </c>
      <c r="B6124" s="4" t="s">
        <v>122</v>
      </c>
      <c r="C6124" s="4" t="s">
        <v>413</v>
      </c>
      <c r="D6124" s="4" t="n">
        <v>2</v>
      </c>
      <c r="E6124" s="17" t="s">
        <v>197</v>
      </c>
      <c r="F6124" s="18" t="s">
        <v>412</v>
      </c>
    </row>
    <row r="6125" customFormat="false" ht="15" hidden="false" customHeight="false" outlineLevel="0" collapsed="false">
      <c r="A6125" s="4" t="str">
        <f aca="false">B6125&amp;"|"&amp;C6125</f>
        <v>tdbR00000346 Gln-NUG|3</v>
      </c>
      <c r="B6125" s="4" t="s">
        <v>122</v>
      </c>
      <c r="C6125" s="4" t="s">
        <v>415</v>
      </c>
      <c r="D6125" s="4" t="n">
        <v>3</v>
      </c>
      <c r="E6125" s="17" t="s">
        <v>259</v>
      </c>
      <c r="F6125" s="18" t="s">
        <v>412</v>
      </c>
    </row>
    <row r="6126" customFormat="false" ht="15" hidden="false" customHeight="false" outlineLevel="0" collapsed="false">
      <c r="A6126" s="4" t="str">
        <f aca="false">B6126&amp;"|"&amp;C6126</f>
        <v>tdbR00000346 Gln-NUG|4</v>
      </c>
      <c r="B6126" s="4" t="s">
        <v>122</v>
      </c>
      <c r="C6126" s="4" t="s">
        <v>416</v>
      </c>
      <c r="D6126" s="4" t="n">
        <v>4</v>
      </c>
      <c r="E6126" s="17" t="s">
        <v>414</v>
      </c>
      <c r="F6126" s="18" t="s">
        <v>412</v>
      </c>
    </row>
    <row r="6127" customFormat="false" ht="15" hidden="false" customHeight="false" outlineLevel="0" collapsed="false">
      <c r="A6127" s="4" t="str">
        <f aca="false">B6127&amp;"|"&amp;C6127</f>
        <v>tdbR00000346 Gln-NUG|5</v>
      </c>
      <c r="B6127" s="4" t="s">
        <v>122</v>
      </c>
      <c r="C6127" s="4" t="s">
        <v>417</v>
      </c>
      <c r="D6127" s="4" t="n">
        <v>5</v>
      </c>
      <c r="E6127" s="17" t="s">
        <v>414</v>
      </c>
      <c r="F6127" s="18" t="s">
        <v>412</v>
      </c>
    </row>
    <row r="6128" customFormat="false" ht="15" hidden="false" customHeight="false" outlineLevel="0" collapsed="false">
      <c r="A6128" s="4" t="str">
        <f aca="false">B6128&amp;"|"&amp;C6128</f>
        <v>tdbR00000346 Gln-NUG|6</v>
      </c>
      <c r="B6128" s="4" t="s">
        <v>122</v>
      </c>
      <c r="C6128" s="4" t="s">
        <v>418</v>
      </c>
      <c r="D6128" s="4" t="n">
        <v>6</v>
      </c>
      <c r="E6128" s="17" t="s">
        <v>414</v>
      </c>
      <c r="F6128" s="18" t="s">
        <v>412</v>
      </c>
    </row>
    <row r="6129" customFormat="false" ht="15" hidden="false" customHeight="false" outlineLevel="0" collapsed="false">
      <c r="A6129" s="4" t="str">
        <f aca="false">B6129&amp;"|"&amp;C6129</f>
        <v>tdbR00000346 Gln-NUG|7</v>
      </c>
      <c r="B6129" s="4" t="s">
        <v>122</v>
      </c>
      <c r="C6129" s="4" t="s">
        <v>419</v>
      </c>
      <c r="D6129" s="4" t="n">
        <v>7</v>
      </c>
      <c r="E6129" s="17" t="s">
        <v>246</v>
      </c>
      <c r="F6129" s="18" t="s">
        <v>412</v>
      </c>
    </row>
    <row r="6130" customFormat="false" ht="15" hidden="false" customHeight="false" outlineLevel="0" collapsed="false">
      <c r="A6130" s="4" t="str">
        <f aca="false">B6130&amp;"|"&amp;C6130</f>
        <v>tdbR00000346 Gln-NUG|8</v>
      </c>
      <c r="B6130" s="4" t="s">
        <v>122</v>
      </c>
      <c r="C6130" s="4" t="s">
        <v>420</v>
      </c>
      <c r="D6130" s="4" t="n">
        <v>8</v>
      </c>
      <c r="E6130" s="3" t="s">
        <v>259</v>
      </c>
      <c r="F6130" s="4" t="s">
        <v>421</v>
      </c>
    </row>
    <row r="6131" customFormat="false" ht="15" hidden="false" customHeight="false" outlineLevel="0" collapsed="false">
      <c r="A6131" s="4" t="str">
        <f aca="false">B6131&amp;"|"&amp;C6131</f>
        <v>tdbR00000346 Gln-NUG|9</v>
      </c>
      <c r="B6131" s="4" t="s">
        <v>122</v>
      </c>
      <c r="C6131" s="4" t="s">
        <v>422</v>
      </c>
      <c r="D6131" s="4" t="n">
        <v>9</v>
      </c>
      <c r="E6131" s="3" t="s">
        <v>197</v>
      </c>
      <c r="F6131" s="4" t="s">
        <v>423</v>
      </c>
    </row>
    <row r="6132" customFormat="false" ht="15" hidden="false" customHeight="false" outlineLevel="0" collapsed="false">
      <c r="A6132" s="4" t="str">
        <f aca="false">B6132&amp;"|"&amp;C6132</f>
        <v>tdbR00000346 Gln-NUG|10</v>
      </c>
      <c r="B6132" s="4" t="s">
        <v>122</v>
      </c>
      <c r="C6132" s="4" t="s">
        <v>424</v>
      </c>
      <c r="D6132" s="4" t="n">
        <v>10</v>
      </c>
      <c r="E6132" s="8" t="s">
        <v>197</v>
      </c>
      <c r="F6132" s="7" t="s">
        <v>425</v>
      </c>
    </row>
    <row r="6133" customFormat="false" ht="15" hidden="false" customHeight="false" outlineLevel="0" collapsed="false">
      <c r="A6133" s="4" t="str">
        <f aca="false">B6133&amp;"|"&amp;C6133</f>
        <v>tdbR00000346 Gln-NUG|11</v>
      </c>
      <c r="B6133" s="4" t="s">
        <v>122</v>
      </c>
      <c r="C6133" s="4" t="s">
        <v>426</v>
      </c>
      <c r="D6133" s="4" t="n">
        <v>11</v>
      </c>
      <c r="E6133" s="8" t="s">
        <v>259</v>
      </c>
      <c r="F6133" s="7" t="s">
        <v>425</v>
      </c>
    </row>
    <row r="6134" customFormat="false" ht="15" hidden="false" customHeight="false" outlineLevel="0" collapsed="false">
      <c r="A6134" s="4" t="str">
        <f aca="false">B6134&amp;"|"&amp;C6134</f>
        <v>tdbR00000346 Gln-NUG|12</v>
      </c>
      <c r="B6134" s="4" t="s">
        <v>122</v>
      </c>
      <c r="C6134" s="4" t="s">
        <v>427</v>
      </c>
      <c r="D6134" s="4" t="n">
        <v>12</v>
      </c>
      <c r="E6134" s="8" t="s">
        <v>197</v>
      </c>
      <c r="F6134" s="7" t="s">
        <v>425</v>
      </c>
    </row>
    <row r="6135" customFormat="false" ht="15" hidden="false" customHeight="false" outlineLevel="0" collapsed="false">
      <c r="A6135" s="4" t="str">
        <f aca="false">B6135&amp;"|"&amp;C6135</f>
        <v>tdbR00000346 Gln-NUG|13</v>
      </c>
      <c r="B6135" s="4" t="s">
        <v>122</v>
      </c>
      <c r="C6135" s="4" t="s">
        <v>428</v>
      </c>
      <c r="D6135" s="4" t="n">
        <v>13</v>
      </c>
      <c r="E6135" s="8" t="s">
        <v>259</v>
      </c>
      <c r="F6135" s="7" t="s">
        <v>425</v>
      </c>
    </row>
    <row r="6136" customFormat="false" ht="15" hidden="false" customHeight="false" outlineLevel="0" collapsed="false">
      <c r="A6136" s="4" t="str">
        <f aca="false">B6136&amp;"|"&amp;C6136</f>
        <v>tdbR00000346 Gln-NUG|14</v>
      </c>
      <c r="B6136" s="4" t="s">
        <v>122</v>
      </c>
      <c r="C6136" s="4" t="s">
        <v>429</v>
      </c>
      <c r="D6136" s="4" t="n">
        <v>14</v>
      </c>
      <c r="E6136" s="19" t="s">
        <v>246</v>
      </c>
      <c r="F6136" s="20" t="s">
        <v>430</v>
      </c>
    </row>
    <row r="6137" customFormat="false" ht="15" hidden="false" customHeight="false" outlineLevel="0" collapsed="false">
      <c r="A6137" s="4" t="str">
        <f aca="false">B6137&amp;"|"&amp;C6137</f>
        <v>tdbR00000346 Gln-NUG|15</v>
      </c>
      <c r="B6137" s="4" t="s">
        <v>122</v>
      </c>
      <c r="C6137" s="4" t="s">
        <v>431</v>
      </c>
      <c r="D6137" s="4" t="n">
        <v>15</v>
      </c>
      <c r="E6137" s="19" t="s">
        <v>246</v>
      </c>
      <c r="F6137" s="20" t="s">
        <v>430</v>
      </c>
    </row>
    <row r="6138" customFormat="false" ht="15" hidden="false" customHeight="false" outlineLevel="0" collapsed="false">
      <c r="A6138" s="4" t="str">
        <f aca="false">B6138&amp;"|"&amp;C6138</f>
        <v>tdbR00000346 Gln-NUG|16</v>
      </c>
      <c r="B6138" s="4" t="s">
        <v>122</v>
      </c>
      <c r="C6138" s="4" t="s">
        <v>432</v>
      </c>
      <c r="D6138" s="4" t="n">
        <v>16</v>
      </c>
      <c r="E6138" s="19" t="s">
        <v>259</v>
      </c>
      <c r="F6138" s="20" t="s">
        <v>430</v>
      </c>
    </row>
    <row r="6139" customFormat="false" ht="15" hidden="false" customHeight="false" outlineLevel="0" collapsed="false">
      <c r="A6139" s="4" t="str">
        <f aca="false">B6139&amp;"|"&amp;C6139</f>
        <v>tdbR00000346 Gln-NUG|18</v>
      </c>
      <c r="B6139" s="4" t="s">
        <v>122</v>
      </c>
      <c r="C6139" s="4" t="s">
        <v>434</v>
      </c>
      <c r="D6139" s="4" t="n">
        <v>17</v>
      </c>
      <c r="E6139" s="19" t="s">
        <v>197</v>
      </c>
      <c r="F6139" s="20" t="s">
        <v>430</v>
      </c>
    </row>
    <row r="6140" customFormat="false" ht="15" hidden="false" customHeight="false" outlineLevel="0" collapsed="false">
      <c r="A6140" s="4" t="str">
        <f aca="false">B6140&amp;"|"&amp;C6140</f>
        <v>tdbR00000346 Gln-NUG|19</v>
      </c>
      <c r="B6140" s="4" t="s">
        <v>122</v>
      </c>
      <c r="C6140" s="4" t="s">
        <v>435</v>
      </c>
      <c r="D6140" s="4" t="n">
        <v>18</v>
      </c>
      <c r="E6140" s="19" t="s">
        <v>197</v>
      </c>
      <c r="F6140" s="20" t="s">
        <v>430</v>
      </c>
    </row>
    <row r="6141" customFormat="false" ht="15" hidden="false" customHeight="false" outlineLevel="0" collapsed="false">
      <c r="A6141" s="4" t="str">
        <f aca="false">B6141&amp;"|"&amp;C6141</f>
        <v>tdbR00000346 Gln-NUG|20</v>
      </c>
      <c r="B6141" s="4" t="s">
        <v>122</v>
      </c>
      <c r="C6141" s="4" t="s">
        <v>436</v>
      </c>
      <c r="D6141" s="4" t="n">
        <v>19</v>
      </c>
      <c r="E6141" s="19" t="s">
        <v>259</v>
      </c>
      <c r="F6141" s="20" t="s">
        <v>430</v>
      </c>
    </row>
    <row r="6142" customFormat="false" ht="15" hidden="false" customHeight="false" outlineLevel="0" collapsed="false">
      <c r="A6142" s="4" t="str">
        <f aca="false">B6142&amp;"|"&amp;C6142</f>
        <v>tdbR00000346 Gln-NUG|20a</v>
      </c>
      <c r="B6142" s="4" t="s">
        <v>122</v>
      </c>
      <c r="C6142" s="4" t="s">
        <v>437</v>
      </c>
      <c r="D6142" s="4" t="n">
        <v>20</v>
      </c>
      <c r="E6142" s="19" t="s">
        <v>259</v>
      </c>
      <c r="F6142" s="20" t="s">
        <v>430</v>
      </c>
    </row>
    <row r="6143" customFormat="false" ht="15" hidden="false" customHeight="false" outlineLevel="0" collapsed="false">
      <c r="A6143" s="4" t="str">
        <f aca="false">B6143&amp;"|"&amp;C6143</f>
        <v>tdbR00000346 Gln-NUG|21</v>
      </c>
      <c r="B6143" s="4" t="s">
        <v>122</v>
      </c>
      <c r="C6143" s="4" t="s">
        <v>438</v>
      </c>
      <c r="D6143" s="4" t="n">
        <v>21</v>
      </c>
      <c r="E6143" s="19" t="s">
        <v>246</v>
      </c>
      <c r="F6143" s="20" t="s">
        <v>430</v>
      </c>
    </row>
    <row r="6144" customFormat="false" ht="15" hidden="false" customHeight="false" outlineLevel="0" collapsed="false">
      <c r="A6144" s="4" t="str">
        <f aca="false">B6144&amp;"|"&amp;C6144</f>
        <v>tdbR00000346 Gln-NUG|22</v>
      </c>
      <c r="B6144" s="4" t="s">
        <v>122</v>
      </c>
      <c r="C6144" s="4" t="s">
        <v>439</v>
      </c>
      <c r="D6144" s="4" t="n">
        <v>22</v>
      </c>
      <c r="E6144" s="8" t="s">
        <v>197</v>
      </c>
      <c r="F6144" s="7" t="s">
        <v>425</v>
      </c>
    </row>
    <row r="6145" customFormat="false" ht="15" hidden="false" customHeight="false" outlineLevel="0" collapsed="false">
      <c r="A6145" s="4" t="str">
        <f aca="false">B6145&amp;"|"&amp;C6145</f>
        <v>tdbR00000346 Gln-NUG|23</v>
      </c>
      <c r="B6145" s="4" t="s">
        <v>122</v>
      </c>
      <c r="C6145" s="4" t="s">
        <v>440</v>
      </c>
      <c r="D6145" s="4" t="n">
        <v>23</v>
      </c>
      <c r="E6145" s="8" t="s">
        <v>414</v>
      </c>
      <c r="F6145" s="7" t="s">
        <v>425</v>
      </c>
    </row>
    <row r="6146" customFormat="false" ht="15" hidden="false" customHeight="false" outlineLevel="0" collapsed="false">
      <c r="A6146" s="4" t="str">
        <f aca="false">B6146&amp;"|"&amp;C6146</f>
        <v>tdbR00000346 Gln-NUG|24</v>
      </c>
      <c r="B6146" s="4" t="s">
        <v>122</v>
      </c>
      <c r="C6146" s="4" t="s">
        <v>441</v>
      </c>
      <c r="D6146" s="4" t="n">
        <v>24</v>
      </c>
      <c r="E6146" s="8" t="s">
        <v>246</v>
      </c>
      <c r="F6146" s="7" t="s">
        <v>425</v>
      </c>
    </row>
    <row r="6147" customFormat="false" ht="15" hidden="false" customHeight="false" outlineLevel="0" collapsed="false">
      <c r="A6147" s="4" t="str">
        <f aca="false">B6147&amp;"|"&amp;C6147</f>
        <v>tdbR00000346 Gln-NUG|25</v>
      </c>
      <c r="B6147" s="4" t="s">
        <v>122</v>
      </c>
      <c r="C6147" s="4" t="s">
        <v>442</v>
      </c>
      <c r="D6147" s="4" t="n">
        <v>25</v>
      </c>
      <c r="E6147" s="8" t="s">
        <v>414</v>
      </c>
      <c r="F6147" s="7" t="s">
        <v>425</v>
      </c>
    </row>
    <row r="6148" customFormat="false" ht="15" hidden="false" customHeight="false" outlineLevel="0" collapsed="false">
      <c r="A6148" s="4" t="str">
        <f aca="false">B6148&amp;"|"&amp;C6148</f>
        <v>tdbR00000346 Gln-NUG|26</v>
      </c>
      <c r="B6148" s="4" t="s">
        <v>122</v>
      </c>
      <c r="C6148" s="4" t="s">
        <v>443</v>
      </c>
      <c r="D6148" s="4" t="n">
        <v>26</v>
      </c>
      <c r="E6148" s="3" t="s">
        <v>259</v>
      </c>
      <c r="F6148" s="4" t="s">
        <v>444</v>
      </c>
    </row>
    <row r="6149" customFormat="false" ht="15" hidden="false" customHeight="false" outlineLevel="0" collapsed="false">
      <c r="A6149" s="4" t="str">
        <f aca="false">B6149&amp;"|"&amp;C6149</f>
        <v>tdbR00000346 Gln-NUG|27</v>
      </c>
      <c r="B6149" s="4" t="s">
        <v>122</v>
      </c>
      <c r="C6149" s="4" t="s">
        <v>445</v>
      </c>
      <c r="D6149" s="4" t="n">
        <v>27</v>
      </c>
      <c r="E6149" s="21" t="s">
        <v>414</v>
      </c>
      <c r="F6149" s="22" t="s">
        <v>446</v>
      </c>
    </row>
    <row r="6150" customFormat="false" ht="15" hidden="false" customHeight="false" outlineLevel="0" collapsed="false">
      <c r="A6150" s="4" t="str">
        <f aca="false">B6150&amp;"|"&amp;C6150</f>
        <v>tdbR00000346 Gln-NUG|28</v>
      </c>
      <c r="B6150" s="4" t="s">
        <v>122</v>
      </c>
      <c r="C6150" s="4" t="s">
        <v>447</v>
      </c>
      <c r="D6150" s="4" t="n">
        <v>28</v>
      </c>
      <c r="E6150" s="21" t="s">
        <v>259</v>
      </c>
      <c r="F6150" s="22" t="s">
        <v>446</v>
      </c>
    </row>
    <row r="6151" customFormat="false" ht="15" hidden="false" customHeight="false" outlineLevel="0" collapsed="false">
      <c r="A6151" s="4" t="str">
        <f aca="false">B6151&amp;"|"&amp;C6151</f>
        <v>tdbR00000346 Gln-NUG|29</v>
      </c>
      <c r="B6151" s="4" t="s">
        <v>122</v>
      </c>
      <c r="C6151" s="4" t="s">
        <v>448</v>
      </c>
      <c r="D6151" s="4" t="n">
        <v>29</v>
      </c>
      <c r="E6151" s="21" t="s">
        <v>197</v>
      </c>
      <c r="F6151" s="22" t="s">
        <v>446</v>
      </c>
    </row>
    <row r="6152" customFormat="false" ht="15" hidden="false" customHeight="false" outlineLevel="0" collapsed="false">
      <c r="A6152" s="4" t="str">
        <f aca="false">B6152&amp;"|"&amp;C6152</f>
        <v>tdbR00000346 Gln-NUG|30</v>
      </c>
      <c r="B6152" s="4" t="s">
        <v>122</v>
      </c>
      <c r="C6152" s="4" t="s">
        <v>449</v>
      </c>
      <c r="D6152" s="4" t="n">
        <v>30</v>
      </c>
      <c r="E6152" s="21" t="s">
        <v>197</v>
      </c>
      <c r="F6152" s="22" t="s">
        <v>446</v>
      </c>
    </row>
    <row r="6153" customFormat="false" ht="15" hidden="false" customHeight="false" outlineLevel="0" collapsed="false">
      <c r="A6153" s="4" t="str">
        <f aca="false">B6153&amp;"|"&amp;C6153</f>
        <v>tdbR00000346 Gln-NUG|31</v>
      </c>
      <c r="B6153" s="4" t="s">
        <v>122</v>
      </c>
      <c r="C6153" s="4" t="s">
        <v>450</v>
      </c>
      <c r="D6153" s="4" t="n">
        <v>31</v>
      </c>
      <c r="E6153" s="21" t="s">
        <v>246</v>
      </c>
      <c r="F6153" s="22" t="s">
        <v>446</v>
      </c>
    </row>
    <row r="6154" customFormat="false" ht="15" hidden="false" customHeight="false" outlineLevel="0" collapsed="false">
      <c r="A6154" s="4" t="str">
        <f aca="false">B6154&amp;"|"&amp;C6154</f>
        <v>tdbR00000346 Gln-NUG|32</v>
      </c>
      <c r="B6154" s="4" t="s">
        <v>122</v>
      </c>
      <c r="C6154" s="4" t="s">
        <v>451</v>
      </c>
      <c r="D6154" s="4" t="n">
        <v>32</v>
      </c>
      <c r="E6154" s="19" t="s">
        <v>414</v>
      </c>
      <c r="F6154" s="20" t="s">
        <v>452</v>
      </c>
    </row>
    <row r="6155" customFormat="false" ht="15" hidden="false" customHeight="false" outlineLevel="0" collapsed="false">
      <c r="A6155" s="4" t="str">
        <f aca="false">B6155&amp;"|"&amp;C6155</f>
        <v>tdbR00000346 Gln-NUG|33</v>
      </c>
      <c r="B6155" s="4" t="s">
        <v>122</v>
      </c>
      <c r="C6155" s="4" t="s">
        <v>453</v>
      </c>
      <c r="D6155" s="4" t="n">
        <v>33</v>
      </c>
      <c r="E6155" s="19" t="s">
        <v>259</v>
      </c>
      <c r="F6155" s="20" t="s">
        <v>452</v>
      </c>
    </row>
    <row r="6156" customFormat="false" ht="15" hidden="false" customHeight="false" outlineLevel="0" collapsed="false">
      <c r="A6156" s="4" t="str">
        <f aca="false">B6156&amp;"|"&amp;C6156</f>
        <v>tdbR00000346 Gln-NUG|34</v>
      </c>
      <c r="B6156" s="4" t="s">
        <v>122</v>
      </c>
      <c r="C6156" s="4" t="s">
        <v>454</v>
      </c>
      <c r="D6156" s="4" t="n">
        <v>34</v>
      </c>
      <c r="E6156" s="19" t="s">
        <v>259</v>
      </c>
      <c r="F6156" s="20" t="s">
        <v>452</v>
      </c>
    </row>
    <row r="6157" customFormat="false" ht="15" hidden="false" customHeight="false" outlineLevel="0" collapsed="false">
      <c r="A6157" s="4" t="str">
        <f aca="false">B6157&amp;"|"&amp;C6157</f>
        <v>tdbR00000346 Gln-NUG|35</v>
      </c>
      <c r="B6157" s="4" t="s">
        <v>122</v>
      </c>
      <c r="C6157" s="4" t="s">
        <v>455</v>
      </c>
      <c r="D6157" s="4" t="n">
        <v>35</v>
      </c>
      <c r="E6157" s="19" t="s">
        <v>259</v>
      </c>
      <c r="F6157" s="20" t="s">
        <v>452</v>
      </c>
    </row>
    <row r="6158" customFormat="false" ht="15" hidden="false" customHeight="false" outlineLevel="0" collapsed="false">
      <c r="A6158" s="4" t="str">
        <f aca="false">B6158&amp;"|"&amp;C6158</f>
        <v>tdbR00000346 Gln-NUG|36</v>
      </c>
      <c r="B6158" s="4" t="s">
        <v>122</v>
      </c>
      <c r="C6158" s="4" t="s">
        <v>456</v>
      </c>
      <c r="D6158" s="4" t="n">
        <v>36</v>
      </c>
      <c r="E6158" s="19" t="s">
        <v>197</v>
      </c>
      <c r="F6158" s="20" t="s">
        <v>452</v>
      </c>
    </row>
    <row r="6159" customFormat="false" ht="15" hidden="false" customHeight="false" outlineLevel="0" collapsed="false">
      <c r="A6159" s="4" t="str">
        <f aca="false">B6159&amp;"|"&amp;C6159</f>
        <v>tdbR00000346 Gln-NUG|37</v>
      </c>
      <c r="B6159" s="4" t="s">
        <v>122</v>
      </c>
      <c r="C6159" s="4" t="s">
        <v>457</v>
      </c>
      <c r="D6159" s="4" t="n">
        <v>37</v>
      </c>
      <c r="E6159" s="19" t="s">
        <v>246</v>
      </c>
      <c r="F6159" s="20" t="s">
        <v>452</v>
      </c>
    </row>
    <row r="6160" customFormat="false" ht="15" hidden="false" customHeight="false" outlineLevel="0" collapsed="false">
      <c r="A6160" s="4" t="str">
        <f aca="false">B6160&amp;"|"&amp;C6160</f>
        <v>tdbR00000346 Gln-NUG|38</v>
      </c>
      <c r="B6160" s="4" t="s">
        <v>122</v>
      </c>
      <c r="C6160" s="4" t="s">
        <v>458</v>
      </c>
      <c r="D6160" s="4" t="n">
        <v>38</v>
      </c>
      <c r="E6160" s="19" t="s">
        <v>246</v>
      </c>
      <c r="F6160" s="20" t="s">
        <v>452</v>
      </c>
    </row>
    <row r="6161" customFormat="false" ht="15" hidden="false" customHeight="false" outlineLevel="0" collapsed="false">
      <c r="A6161" s="4" t="str">
        <f aca="false">B6161&amp;"|"&amp;C6161</f>
        <v>tdbR00000346 Gln-NUG|39</v>
      </c>
      <c r="B6161" s="4" t="s">
        <v>122</v>
      </c>
      <c r="C6161" s="4" t="s">
        <v>459</v>
      </c>
      <c r="D6161" s="4" t="n">
        <v>39</v>
      </c>
      <c r="E6161" s="21" t="s">
        <v>259</v>
      </c>
      <c r="F6161" s="22" t="s">
        <v>446</v>
      </c>
    </row>
    <row r="6162" customFormat="false" ht="15" hidden="false" customHeight="false" outlineLevel="0" collapsed="false">
      <c r="A6162" s="4" t="str">
        <f aca="false">B6162&amp;"|"&amp;C6162</f>
        <v>tdbR00000346 Gln-NUG|40</v>
      </c>
      <c r="B6162" s="4" t="s">
        <v>122</v>
      </c>
      <c r="C6162" s="4" t="s">
        <v>460</v>
      </c>
      <c r="D6162" s="4" t="n">
        <v>40</v>
      </c>
      <c r="E6162" s="21" t="s">
        <v>414</v>
      </c>
      <c r="F6162" s="22" t="s">
        <v>446</v>
      </c>
    </row>
    <row r="6163" customFormat="false" ht="15" hidden="false" customHeight="false" outlineLevel="0" collapsed="false">
      <c r="A6163" s="4" t="str">
        <f aca="false">B6163&amp;"|"&amp;C6163</f>
        <v>tdbR00000346 Gln-NUG|41</v>
      </c>
      <c r="B6163" s="4" t="s">
        <v>122</v>
      </c>
      <c r="C6163" s="4" t="s">
        <v>461</v>
      </c>
      <c r="D6163" s="4" t="n">
        <v>41</v>
      </c>
      <c r="E6163" s="21" t="s">
        <v>414</v>
      </c>
      <c r="F6163" s="22" t="s">
        <v>446</v>
      </c>
    </row>
    <row r="6164" customFormat="false" ht="15" hidden="false" customHeight="false" outlineLevel="0" collapsed="false">
      <c r="A6164" s="4" t="str">
        <f aca="false">B6164&amp;"|"&amp;C6164</f>
        <v>tdbR00000346 Gln-NUG|42</v>
      </c>
      <c r="B6164" s="4" t="s">
        <v>122</v>
      </c>
      <c r="C6164" s="4" t="s">
        <v>462</v>
      </c>
      <c r="D6164" s="4" t="n">
        <v>42</v>
      </c>
      <c r="E6164" s="21" t="s">
        <v>246</v>
      </c>
      <c r="F6164" s="22" t="s">
        <v>446</v>
      </c>
    </row>
    <row r="6165" customFormat="false" ht="15" hidden="false" customHeight="false" outlineLevel="0" collapsed="false">
      <c r="A6165" s="4" t="str">
        <f aca="false">B6165&amp;"|"&amp;C6165</f>
        <v>tdbR00000346 Gln-NUG|43</v>
      </c>
      <c r="B6165" s="4" t="s">
        <v>122</v>
      </c>
      <c r="C6165" s="4" t="s">
        <v>463</v>
      </c>
      <c r="D6165" s="4" t="n">
        <v>43</v>
      </c>
      <c r="E6165" s="21" t="s">
        <v>197</v>
      </c>
      <c r="F6165" s="22" t="s">
        <v>446</v>
      </c>
    </row>
    <row r="6166" customFormat="false" ht="15" hidden="false" customHeight="false" outlineLevel="0" collapsed="false">
      <c r="A6166" s="4" t="str">
        <f aca="false">B6166&amp;"|"&amp;C6166</f>
        <v>tdbR00000346 Gln-NUG|44</v>
      </c>
      <c r="B6166" s="4" t="s">
        <v>122</v>
      </c>
      <c r="C6166" s="4" t="s">
        <v>464</v>
      </c>
      <c r="D6166" s="4" t="n">
        <v>44</v>
      </c>
      <c r="E6166" s="19" t="s">
        <v>414</v>
      </c>
      <c r="F6166" s="20" t="s">
        <v>465</v>
      </c>
    </row>
    <row r="6167" customFormat="false" ht="15" hidden="false" customHeight="false" outlineLevel="0" collapsed="false">
      <c r="A6167" s="4" t="str">
        <f aca="false">B6167&amp;"|"&amp;C6167</f>
        <v>tdbR00000346 Gln-NUG|45</v>
      </c>
      <c r="B6167" s="4" t="s">
        <v>122</v>
      </c>
      <c r="C6167" s="4" t="s">
        <v>466</v>
      </c>
      <c r="D6167" s="4" t="n">
        <v>45</v>
      </c>
      <c r="E6167" s="19" t="s">
        <v>197</v>
      </c>
      <c r="F6167" s="20" t="s">
        <v>465</v>
      </c>
    </row>
    <row r="6168" customFormat="false" ht="15" hidden="false" customHeight="false" outlineLevel="0" collapsed="false">
      <c r="A6168" s="4" t="str">
        <f aca="false">B6168&amp;"|"&amp;C6168</f>
        <v>tdbR00000346 Gln-NUG|46</v>
      </c>
      <c r="B6168" s="4" t="s">
        <v>122</v>
      </c>
      <c r="C6168" s="4" t="s">
        <v>467</v>
      </c>
      <c r="D6168" s="4" t="n">
        <v>46</v>
      </c>
      <c r="E6168" s="19" t="s">
        <v>246</v>
      </c>
      <c r="F6168" s="20" t="s">
        <v>465</v>
      </c>
    </row>
    <row r="6169" customFormat="false" ht="15" hidden="false" customHeight="false" outlineLevel="0" collapsed="false">
      <c r="A6169" s="4" t="str">
        <f aca="false">B6169&amp;"|"&amp;C6169</f>
        <v>tdbR00000346 Gln-NUG|48</v>
      </c>
      <c r="B6169" s="4" t="s">
        <v>122</v>
      </c>
      <c r="C6169" s="4" t="s">
        <v>469</v>
      </c>
      <c r="D6169" s="4" t="n">
        <v>47</v>
      </c>
      <c r="E6169" s="19" t="s">
        <v>259</v>
      </c>
      <c r="F6169" s="20" t="s">
        <v>465</v>
      </c>
    </row>
    <row r="6170" customFormat="false" ht="15" hidden="false" customHeight="false" outlineLevel="0" collapsed="false">
      <c r="A6170" s="4" t="str">
        <f aca="false">B6170&amp;"|"&amp;C6170</f>
        <v>tdbR00000346 Gln-NUG|49</v>
      </c>
      <c r="B6170" s="4" t="s">
        <v>122</v>
      </c>
      <c r="C6170" s="4" t="s">
        <v>470</v>
      </c>
      <c r="D6170" s="4" t="n">
        <v>48</v>
      </c>
      <c r="E6170" s="23" t="s">
        <v>414</v>
      </c>
      <c r="F6170" s="10" t="s">
        <v>471</v>
      </c>
    </row>
    <row r="6171" customFormat="false" ht="15" hidden="false" customHeight="false" outlineLevel="0" collapsed="false">
      <c r="A6171" s="4" t="str">
        <f aca="false">B6171&amp;"|"&amp;C6171</f>
        <v>tdbR00000346 Gln-NUG|50</v>
      </c>
      <c r="B6171" s="4" t="s">
        <v>122</v>
      </c>
      <c r="C6171" s="4" t="s">
        <v>472</v>
      </c>
      <c r="D6171" s="4" t="n">
        <v>49</v>
      </c>
      <c r="E6171" s="23" t="s">
        <v>414</v>
      </c>
      <c r="F6171" s="10" t="s">
        <v>471</v>
      </c>
    </row>
    <row r="6172" customFormat="false" ht="15" hidden="false" customHeight="false" outlineLevel="0" collapsed="false">
      <c r="A6172" s="4" t="str">
        <f aca="false">B6172&amp;"|"&amp;C6172</f>
        <v>tdbR00000346 Gln-NUG|51</v>
      </c>
      <c r="B6172" s="4" t="s">
        <v>122</v>
      </c>
      <c r="C6172" s="4" t="s">
        <v>473</v>
      </c>
      <c r="D6172" s="4" t="n">
        <v>50</v>
      </c>
      <c r="E6172" s="23" t="s">
        <v>197</v>
      </c>
      <c r="F6172" s="10" t="s">
        <v>471</v>
      </c>
    </row>
    <row r="6173" customFormat="false" ht="15" hidden="false" customHeight="false" outlineLevel="0" collapsed="false">
      <c r="A6173" s="4" t="str">
        <f aca="false">B6173&amp;"|"&amp;C6173</f>
        <v>tdbR00000346 Gln-NUG|52</v>
      </c>
      <c r="B6173" s="4" t="s">
        <v>122</v>
      </c>
      <c r="C6173" s="4" t="s">
        <v>474</v>
      </c>
      <c r="D6173" s="4" t="n">
        <v>51</v>
      </c>
      <c r="E6173" s="23" t="s">
        <v>246</v>
      </c>
      <c r="F6173" s="10" t="s">
        <v>471</v>
      </c>
    </row>
    <row r="6174" customFormat="false" ht="15" hidden="false" customHeight="false" outlineLevel="0" collapsed="false">
      <c r="A6174" s="4" t="str">
        <f aca="false">B6174&amp;"|"&amp;C6174</f>
        <v>tdbR00000346 Gln-NUG|53</v>
      </c>
      <c r="B6174" s="4" t="s">
        <v>122</v>
      </c>
      <c r="C6174" s="4" t="s">
        <v>475</v>
      </c>
      <c r="D6174" s="4" t="n">
        <v>52</v>
      </c>
      <c r="E6174" s="23" t="s">
        <v>197</v>
      </c>
      <c r="F6174" s="10" t="s">
        <v>471</v>
      </c>
    </row>
    <row r="6175" customFormat="false" ht="15" hidden="false" customHeight="false" outlineLevel="0" collapsed="false">
      <c r="A6175" s="4" t="str">
        <f aca="false">B6175&amp;"|"&amp;C6175</f>
        <v>tdbR00000346 Gln-NUG|54</v>
      </c>
      <c r="B6175" s="4" t="s">
        <v>122</v>
      </c>
      <c r="C6175" s="4" t="s">
        <v>476</v>
      </c>
      <c r="D6175" s="4" t="n">
        <v>53</v>
      </c>
      <c r="E6175" s="19" t="s">
        <v>259</v>
      </c>
      <c r="F6175" s="20" t="s">
        <v>477</v>
      </c>
    </row>
    <row r="6176" customFormat="false" ht="15" hidden="false" customHeight="false" outlineLevel="0" collapsed="false">
      <c r="A6176" s="4" t="str">
        <f aca="false">B6176&amp;"|"&amp;C6176</f>
        <v>tdbR00000346 Gln-NUG|55</v>
      </c>
      <c r="B6176" s="4" t="s">
        <v>122</v>
      </c>
      <c r="C6176" s="4" t="s">
        <v>478</v>
      </c>
      <c r="D6176" s="4" t="n">
        <v>54</v>
      </c>
      <c r="E6176" s="19" t="s">
        <v>259</v>
      </c>
      <c r="F6176" s="20" t="s">
        <v>477</v>
      </c>
    </row>
    <row r="6177" customFormat="false" ht="15" hidden="false" customHeight="false" outlineLevel="0" collapsed="false">
      <c r="A6177" s="4" t="str">
        <f aca="false">B6177&amp;"|"&amp;C6177</f>
        <v>tdbR00000346 Gln-NUG|56</v>
      </c>
      <c r="B6177" s="4" t="s">
        <v>122</v>
      </c>
      <c r="C6177" s="4" t="s">
        <v>479</v>
      </c>
      <c r="D6177" s="4" t="n">
        <v>55</v>
      </c>
      <c r="E6177" s="19" t="s">
        <v>414</v>
      </c>
      <c r="F6177" s="20" t="s">
        <v>477</v>
      </c>
    </row>
    <row r="6178" customFormat="false" ht="15" hidden="false" customHeight="false" outlineLevel="0" collapsed="false">
      <c r="A6178" s="4" t="str">
        <f aca="false">B6178&amp;"|"&amp;C6178</f>
        <v>tdbR00000346 Gln-NUG|57</v>
      </c>
      <c r="B6178" s="4" t="s">
        <v>122</v>
      </c>
      <c r="C6178" s="4" t="s">
        <v>480</v>
      </c>
      <c r="D6178" s="4" t="n">
        <v>56</v>
      </c>
      <c r="E6178" s="19" t="s">
        <v>246</v>
      </c>
      <c r="F6178" s="20" t="s">
        <v>477</v>
      </c>
    </row>
    <row r="6179" customFormat="false" ht="15" hidden="false" customHeight="false" outlineLevel="0" collapsed="false">
      <c r="A6179" s="4" t="str">
        <f aca="false">B6179&amp;"|"&amp;C6179</f>
        <v>tdbR00000346 Gln-NUG|58</v>
      </c>
      <c r="B6179" s="4" t="s">
        <v>122</v>
      </c>
      <c r="C6179" s="4" t="s">
        <v>481</v>
      </c>
      <c r="D6179" s="4" t="n">
        <v>57</v>
      </c>
      <c r="E6179" s="19" t="s">
        <v>246</v>
      </c>
      <c r="F6179" s="20" t="s">
        <v>477</v>
      </c>
    </row>
    <row r="6180" customFormat="false" ht="15" hidden="false" customHeight="false" outlineLevel="0" collapsed="false">
      <c r="A6180" s="4" t="str">
        <f aca="false">B6180&amp;"|"&amp;C6180</f>
        <v>tdbR00000346 Gln-NUG|59</v>
      </c>
      <c r="B6180" s="4" t="s">
        <v>122</v>
      </c>
      <c r="C6180" s="4" t="s">
        <v>482</v>
      </c>
      <c r="D6180" s="4" t="n">
        <v>58</v>
      </c>
      <c r="E6180" s="19" t="s">
        <v>246</v>
      </c>
      <c r="F6180" s="20" t="s">
        <v>477</v>
      </c>
    </row>
    <row r="6181" customFormat="false" ht="15" hidden="false" customHeight="false" outlineLevel="0" collapsed="false">
      <c r="A6181" s="4" t="str">
        <f aca="false">B6181&amp;"|"&amp;C6181</f>
        <v>tdbR00000346 Gln-NUG|60</v>
      </c>
      <c r="B6181" s="4" t="s">
        <v>122</v>
      </c>
      <c r="C6181" s="4" t="s">
        <v>483</v>
      </c>
      <c r="D6181" s="4" t="n">
        <v>59</v>
      </c>
      <c r="E6181" s="19" t="s">
        <v>259</v>
      </c>
      <c r="F6181" s="20" t="s">
        <v>477</v>
      </c>
    </row>
    <row r="6182" customFormat="false" ht="15" hidden="false" customHeight="false" outlineLevel="0" collapsed="false">
      <c r="A6182" s="4" t="str">
        <f aca="false">B6182&amp;"|"&amp;C6182</f>
        <v>tdbR00000346 Gln-NUG|61</v>
      </c>
      <c r="B6182" s="4" t="s">
        <v>122</v>
      </c>
      <c r="C6182" s="4" t="s">
        <v>484</v>
      </c>
      <c r="D6182" s="4" t="n">
        <v>60</v>
      </c>
      <c r="E6182" s="23" t="s">
        <v>414</v>
      </c>
      <c r="F6182" s="10" t="s">
        <v>471</v>
      </c>
    </row>
    <row r="6183" customFormat="false" ht="15" hidden="false" customHeight="false" outlineLevel="0" collapsed="false">
      <c r="A6183" s="4" t="str">
        <f aca="false">B6183&amp;"|"&amp;C6183</f>
        <v>tdbR00000346 Gln-NUG|62</v>
      </c>
      <c r="B6183" s="4" t="s">
        <v>122</v>
      </c>
      <c r="C6183" s="4" t="s">
        <v>485</v>
      </c>
      <c r="D6183" s="4" t="n">
        <v>61</v>
      </c>
      <c r="E6183" s="23" t="s">
        <v>259</v>
      </c>
      <c r="F6183" s="10" t="s">
        <v>471</v>
      </c>
    </row>
    <row r="6184" customFormat="false" ht="15" hidden="false" customHeight="false" outlineLevel="0" collapsed="false">
      <c r="A6184" s="4" t="str">
        <f aca="false">B6184&amp;"|"&amp;C6184</f>
        <v>tdbR00000346 Gln-NUG|63</v>
      </c>
      <c r="B6184" s="4" t="s">
        <v>122</v>
      </c>
      <c r="C6184" s="4" t="s">
        <v>486</v>
      </c>
      <c r="D6184" s="4" t="n">
        <v>62</v>
      </c>
      <c r="E6184" s="23" t="s">
        <v>414</v>
      </c>
      <c r="F6184" s="10" t="s">
        <v>471</v>
      </c>
    </row>
    <row r="6185" customFormat="false" ht="15" hidden="false" customHeight="false" outlineLevel="0" collapsed="false">
      <c r="A6185" s="4" t="str">
        <f aca="false">B6185&amp;"|"&amp;C6185</f>
        <v>tdbR00000346 Gln-NUG|64</v>
      </c>
      <c r="B6185" s="4" t="s">
        <v>122</v>
      </c>
      <c r="C6185" s="4" t="s">
        <v>487</v>
      </c>
      <c r="D6185" s="4" t="n">
        <v>63</v>
      </c>
      <c r="E6185" s="23" t="s">
        <v>197</v>
      </c>
      <c r="F6185" s="10" t="s">
        <v>471</v>
      </c>
    </row>
    <row r="6186" customFormat="false" ht="15" hidden="false" customHeight="false" outlineLevel="0" collapsed="false">
      <c r="A6186" s="4" t="str">
        <f aca="false">B6186&amp;"|"&amp;C6186</f>
        <v>tdbR00000346 Gln-NUG|65</v>
      </c>
      <c r="B6186" s="4" t="s">
        <v>122</v>
      </c>
      <c r="C6186" s="4" t="s">
        <v>488</v>
      </c>
      <c r="D6186" s="4" t="n">
        <v>64</v>
      </c>
      <c r="E6186" s="23" t="s">
        <v>197</v>
      </c>
      <c r="F6186" s="10" t="s">
        <v>471</v>
      </c>
    </row>
    <row r="6187" customFormat="false" ht="15" hidden="false" customHeight="false" outlineLevel="0" collapsed="false">
      <c r="A6187" s="4" t="str">
        <f aca="false">B6187&amp;"|"&amp;C6187</f>
        <v>tdbR00000346 Gln-NUG|66</v>
      </c>
      <c r="B6187" s="4" t="s">
        <v>122</v>
      </c>
      <c r="C6187" s="4" t="s">
        <v>489</v>
      </c>
      <c r="D6187" s="4" t="n">
        <v>65</v>
      </c>
      <c r="E6187" s="17" t="s">
        <v>259</v>
      </c>
      <c r="F6187" s="18" t="s">
        <v>412</v>
      </c>
    </row>
    <row r="6188" customFormat="false" ht="15" hidden="false" customHeight="false" outlineLevel="0" collapsed="false">
      <c r="A6188" s="4" t="str">
        <f aca="false">B6188&amp;"|"&amp;C6188</f>
        <v>tdbR00000346 Gln-NUG|67</v>
      </c>
      <c r="B6188" s="4" t="s">
        <v>122</v>
      </c>
      <c r="C6188" s="4" t="s">
        <v>490</v>
      </c>
      <c r="D6188" s="4" t="n">
        <v>66</v>
      </c>
      <c r="E6188" s="17" t="s">
        <v>197</v>
      </c>
      <c r="F6188" s="18" t="s">
        <v>412</v>
      </c>
    </row>
    <row r="6189" customFormat="false" ht="15" hidden="false" customHeight="false" outlineLevel="0" collapsed="false">
      <c r="A6189" s="4" t="str">
        <f aca="false">B6189&amp;"|"&amp;C6189</f>
        <v>tdbR00000346 Gln-NUG|68</v>
      </c>
      <c r="B6189" s="4" t="s">
        <v>122</v>
      </c>
      <c r="C6189" s="4" t="s">
        <v>491</v>
      </c>
      <c r="D6189" s="4" t="n">
        <v>67</v>
      </c>
      <c r="E6189" s="17" t="s">
        <v>197</v>
      </c>
      <c r="F6189" s="18" t="s">
        <v>412</v>
      </c>
    </row>
    <row r="6190" customFormat="false" ht="15" hidden="false" customHeight="false" outlineLevel="0" collapsed="false">
      <c r="A6190" s="4" t="str">
        <f aca="false">B6190&amp;"|"&amp;C6190</f>
        <v>tdbR00000346 Gln-NUG|69</v>
      </c>
      <c r="B6190" s="4" t="s">
        <v>122</v>
      </c>
      <c r="C6190" s="4" t="s">
        <v>492</v>
      </c>
      <c r="D6190" s="4" t="n">
        <v>68</v>
      </c>
      <c r="E6190" s="17" t="s">
        <v>197</v>
      </c>
      <c r="F6190" s="18" t="s">
        <v>412</v>
      </c>
    </row>
    <row r="6191" customFormat="false" ht="15" hidden="false" customHeight="false" outlineLevel="0" collapsed="false">
      <c r="A6191" s="4" t="str">
        <f aca="false">B6191&amp;"|"&amp;C6191</f>
        <v>tdbR00000346 Gln-NUG|70</v>
      </c>
      <c r="B6191" s="4" t="s">
        <v>122</v>
      </c>
      <c r="C6191" s="4" t="s">
        <v>493</v>
      </c>
      <c r="D6191" s="4" t="n">
        <v>69</v>
      </c>
      <c r="E6191" s="17" t="s">
        <v>246</v>
      </c>
      <c r="F6191" s="18" t="s">
        <v>412</v>
      </c>
    </row>
    <row r="6192" customFormat="false" ht="15" hidden="false" customHeight="false" outlineLevel="0" collapsed="false">
      <c r="A6192" s="4" t="str">
        <f aca="false">B6192&amp;"|"&amp;C6192</f>
        <v>tdbR00000346 Gln-NUG|71</v>
      </c>
      <c r="B6192" s="4" t="s">
        <v>122</v>
      </c>
      <c r="C6192" s="4" t="s">
        <v>494</v>
      </c>
      <c r="D6192" s="4" t="n">
        <v>70</v>
      </c>
      <c r="E6192" s="17" t="s">
        <v>414</v>
      </c>
      <c r="F6192" s="18" t="s">
        <v>412</v>
      </c>
    </row>
    <row r="6193" customFormat="false" ht="15" hidden="false" customHeight="false" outlineLevel="0" collapsed="false">
      <c r="A6193" s="4" t="str">
        <f aca="false">B6193&amp;"|"&amp;C6193</f>
        <v>tdbR00000346 Gln-NUG|72</v>
      </c>
      <c r="B6193" s="4" t="s">
        <v>122</v>
      </c>
      <c r="C6193" s="4" t="s">
        <v>495</v>
      </c>
      <c r="D6193" s="4" t="n">
        <v>71</v>
      </c>
      <c r="E6193" s="17" t="s">
        <v>414</v>
      </c>
      <c r="F6193" s="18" t="s">
        <v>412</v>
      </c>
    </row>
    <row r="6194" customFormat="false" ht="15" hidden="false" customHeight="false" outlineLevel="0" collapsed="false">
      <c r="A6194" s="4" t="str">
        <f aca="false">B6194&amp;"|"&amp;C6194</f>
        <v>tdbR00000062 Glu-CUC|1</v>
      </c>
      <c r="B6194" s="4" t="s">
        <v>123</v>
      </c>
      <c r="C6194" s="4" t="s">
        <v>411</v>
      </c>
      <c r="D6194" s="4" t="n">
        <v>1</v>
      </c>
      <c r="E6194" s="17" t="s">
        <v>259</v>
      </c>
      <c r="F6194" s="18" t="s">
        <v>412</v>
      </c>
    </row>
    <row r="6195" customFormat="false" ht="15" hidden="false" customHeight="false" outlineLevel="0" collapsed="false">
      <c r="A6195" s="4" t="str">
        <f aca="false">B6195&amp;"|"&amp;C6195</f>
        <v>tdbR00000062 Glu-CUC|2</v>
      </c>
      <c r="B6195" s="4" t="s">
        <v>123</v>
      </c>
      <c r="C6195" s="4" t="s">
        <v>413</v>
      </c>
      <c r="D6195" s="4" t="n">
        <v>2</v>
      </c>
      <c r="E6195" s="17" t="s">
        <v>414</v>
      </c>
      <c r="F6195" s="18" t="s">
        <v>412</v>
      </c>
    </row>
    <row r="6196" customFormat="false" ht="15" hidden="false" customHeight="false" outlineLevel="0" collapsed="false">
      <c r="A6196" s="4" t="str">
        <f aca="false">B6196&amp;"|"&amp;C6196</f>
        <v>tdbR00000062 Glu-CUC|3</v>
      </c>
      <c r="B6196" s="4" t="s">
        <v>123</v>
      </c>
      <c r="C6196" s="4" t="s">
        <v>415</v>
      </c>
      <c r="D6196" s="4" t="n">
        <v>3</v>
      </c>
      <c r="E6196" s="17" t="s">
        <v>414</v>
      </c>
      <c r="F6196" s="18" t="s">
        <v>412</v>
      </c>
    </row>
    <row r="6197" customFormat="false" ht="15" hidden="false" customHeight="false" outlineLevel="0" collapsed="false">
      <c r="A6197" s="4" t="str">
        <f aca="false">B6197&amp;"|"&amp;C6197</f>
        <v>tdbR00000062 Glu-CUC|4</v>
      </c>
      <c r="B6197" s="4" t="s">
        <v>123</v>
      </c>
      <c r="C6197" s="4" t="s">
        <v>416</v>
      </c>
      <c r="D6197" s="4" t="n">
        <v>4</v>
      </c>
      <c r="E6197" s="17" t="s">
        <v>414</v>
      </c>
      <c r="F6197" s="18" t="s">
        <v>412</v>
      </c>
    </row>
    <row r="6198" customFormat="false" ht="15" hidden="false" customHeight="false" outlineLevel="0" collapsed="false">
      <c r="A6198" s="4" t="str">
        <f aca="false">B6198&amp;"|"&amp;C6198</f>
        <v>tdbR00000062 Glu-CUC|5</v>
      </c>
      <c r="B6198" s="4" t="s">
        <v>123</v>
      </c>
      <c r="C6198" s="4" t="s">
        <v>417</v>
      </c>
      <c r="D6198" s="4" t="n">
        <v>5</v>
      </c>
      <c r="E6198" s="17" t="s">
        <v>259</v>
      </c>
      <c r="F6198" s="18" t="s">
        <v>412</v>
      </c>
    </row>
    <row r="6199" customFormat="false" ht="15" hidden="false" customHeight="false" outlineLevel="0" collapsed="false">
      <c r="A6199" s="4" t="str">
        <f aca="false">B6199&amp;"|"&amp;C6199</f>
        <v>tdbR00000062 Glu-CUC|6</v>
      </c>
      <c r="B6199" s="4" t="s">
        <v>123</v>
      </c>
      <c r="C6199" s="4" t="s">
        <v>418</v>
      </c>
      <c r="D6199" s="4" t="n">
        <v>6</v>
      </c>
      <c r="E6199" s="17" t="s">
        <v>197</v>
      </c>
      <c r="F6199" s="18" t="s">
        <v>412</v>
      </c>
    </row>
    <row r="6200" customFormat="false" ht="15" hidden="false" customHeight="false" outlineLevel="0" collapsed="false">
      <c r="A6200" s="4" t="str">
        <f aca="false">B6200&amp;"|"&amp;C6200</f>
        <v>tdbR00000062 Glu-CUC|7</v>
      </c>
      <c r="B6200" s="4" t="s">
        <v>123</v>
      </c>
      <c r="C6200" s="4" t="s">
        <v>419</v>
      </c>
      <c r="D6200" s="4" t="n">
        <v>7</v>
      </c>
      <c r="E6200" s="17" t="s">
        <v>197</v>
      </c>
      <c r="F6200" s="18" t="s">
        <v>412</v>
      </c>
    </row>
    <row r="6201" customFormat="false" ht="15" hidden="false" customHeight="false" outlineLevel="0" collapsed="false">
      <c r="A6201" s="4" t="str">
        <f aca="false">B6201&amp;"|"&amp;C6201</f>
        <v>tdbR00000062 Glu-CUC|8</v>
      </c>
      <c r="B6201" s="4" t="s">
        <v>123</v>
      </c>
      <c r="C6201" s="4" t="s">
        <v>420</v>
      </c>
      <c r="D6201" s="4" t="n">
        <v>8</v>
      </c>
      <c r="E6201" s="3" t="s">
        <v>259</v>
      </c>
      <c r="F6201" s="4" t="s">
        <v>421</v>
      </c>
    </row>
    <row r="6202" customFormat="false" ht="15" hidden="false" customHeight="false" outlineLevel="0" collapsed="false">
      <c r="A6202" s="4" t="str">
        <f aca="false">B6202&amp;"|"&amp;C6202</f>
        <v>tdbR00000062 Glu-CUC|9</v>
      </c>
      <c r="B6202" s="4" t="s">
        <v>123</v>
      </c>
      <c r="C6202" s="4" t="s">
        <v>422</v>
      </c>
      <c r="D6202" s="4" t="n">
        <v>9</v>
      </c>
      <c r="E6202" s="3" t="s">
        <v>197</v>
      </c>
      <c r="F6202" s="4" t="s">
        <v>423</v>
      </c>
    </row>
    <row r="6203" customFormat="false" ht="15" hidden="false" customHeight="false" outlineLevel="0" collapsed="false">
      <c r="A6203" s="4" t="str">
        <f aca="false">B6203&amp;"|"&amp;C6203</f>
        <v>tdbR00000062 Glu-CUC|10</v>
      </c>
      <c r="B6203" s="4" t="s">
        <v>123</v>
      </c>
      <c r="C6203" s="4" t="s">
        <v>424</v>
      </c>
      <c r="D6203" s="4" t="n">
        <v>10</v>
      </c>
      <c r="E6203" s="8" t="s">
        <v>197</v>
      </c>
      <c r="F6203" s="7" t="s">
        <v>425</v>
      </c>
    </row>
    <row r="6204" customFormat="false" ht="15" hidden="false" customHeight="false" outlineLevel="0" collapsed="false">
      <c r="A6204" s="4" t="str">
        <f aca="false">B6204&amp;"|"&amp;C6204</f>
        <v>tdbR00000062 Glu-CUC|11</v>
      </c>
      <c r="B6204" s="4" t="s">
        <v>123</v>
      </c>
      <c r="C6204" s="4" t="s">
        <v>426</v>
      </c>
      <c r="D6204" s="4" t="n">
        <v>11</v>
      </c>
      <c r="E6204" s="8" t="s">
        <v>259</v>
      </c>
      <c r="F6204" s="7" t="s">
        <v>425</v>
      </c>
    </row>
    <row r="6205" customFormat="false" ht="15" hidden="false" customHeight="false" outlineLevel="0" collapsed="false">
      <c r="A6205" s="4" t="str">
        <f aca="false">B6205&amp;"|"&amp;C6205</f>
        <v>tdbR00000062 Glu-CUC|12</v>
      </c>
      <c r="B6205" s="4" t="s">
        <v>123</v>
      </c>
      <c r="C6205" s="4" t="s">
        <v>427</v>
      </c>
      <c r="D6205" s="4" t="n">
        <v>12</v>
      </c>
      <c r="E6205" s="8" t="s">
        <v>414</v>
      </c>
      <c r="F6205" s="7" t="s">
        <v>425</v>
      </c>
    </row>
    <row r="6206" customFormat="false" ht="15" hidden="false" customHeight="false" outlineLevel="0" collapsed="false">
      <c r="A6206" s="4" t="str">
        <f aca="false">B6206&amp;"|"&amp;C6206</f>
        <v>tdbR00000062 Glu-CUC|13</v>
      </c>
      <c r="B6206" s="4" t="s">
        <v>123</v>
      </c>
      <c r="C6206" s="4" t="s">
        <v>428</v>
      </c>
      <c r="D6206" s="4" t="n">
        <v>13</v>
      </c>
      <c r="E6206" s="8" t="s">
        <v>259</v>
      </c>
      <c r="F6206" s="7" t="s">
        <v>425</v>
      </c>
    </row>
    <row r="6207" customFormat="false" ht="15" hidden="false" customHeight="false" outlineLevel="0" collapsed="false">
      <c r="A6207" s="4" t="str">
        <f aca="false">B6207&amp;"|"&amp;C6207</f>
        <v>tdbR00000062 Glu-CUC|14</v>
      </c>
      <c r="B6207" s="4" t="s">
        <v>123</v>
      </c>
      <c r="C6207" s="4" t="s">
        <v>429</v>
      </c>
      <c r="D6207" s="4" t="n">
        <v>14</v>
      </c>
      <c r="E6207" s="19" t="s">
        <v>246</v>
      </c>
      <c r="F6207" s="20" t="s">
        <v>430</v>
      </c>
    </row>
    <row r="6208" customFormat="false" ht="15" hidden="false" customHeight="false" outlineLevel="0" collapsed="false">
      <c r="A6208" s="4" t="str">
        <f aca="false">B6208&amp;"|"&amp;C6208</f>
        <v>tdbR00000062 Glu-CUC|15</v>
      </c>
      <c r="B6208" s="4" t="s">
        <v>123</v>
      </c>
      <c r="C6208" s="4" t="s">
        <v>431</v>
      </c>
      <c r="D6208" s="4" t="n">
        <v>15</v>
      </c>
      <c r="E6208" s="19" t="s">
        <v>197</v>
      </c>
      <c r="F6208" s="20" t="s">
        <v>430</v>
      </c>
    </row>
    <row r="6209" customFormat="false" ht="15" hidden="false" customHeight="false" outlineLevel="0" collapsed="false">
      <c r="A6209" s="4" t="str">
        <f aca="false">B6209&amp;"|"&amp;C6209</f>
        <v>tdbR00000062 Glu-CUC|16</v>
      </c>
      <c r="B6209" s="4" t="s">
        <v>123</v>
      </c>
      <c r="C6209" s="4" t="s">
        <v>432</v>
      </c>
      <c r="D6209" s="4" t="n">
        <v>16</v>
      </c>
      <c r="E6209" s="19" t="s">
        <v>259</v>
      </c>
      <c r="F6209" s="20" t="s">
        <v>430</v>
      </c>
    </row>
    <row r="6210" customFormat="false" ht="15" hidden="false" customHeight="false" outlineLevel="0" collapsed="false">
      <c r="A6210" s="4" t="str">
        <f aca="false">B6210&amp;"|"&amp;C6210</f>
        <v>tdbR00000062 Glu-CUC|18</v>
      </c>
      <c r="B6210" s="4" t="s">
        <v>123</v>
      </c>
      <c r="C6210" s="4" t="s">
        <v>434</v>
      </c>
      <c r="D6210" s="4" t="n">
        <v>17</v>
      </c>
      <c r="E6210" s="19" t="s">
        <v>197</v>
      </c>
      <c r="F6210" s="20" t="s">
        <v>430</v>
      </c>
    </row>
    <row r="6211" customFormat="false" ht="15" hidden="false" customHeight="false" outlineLevel="0" collapsed="false">
      <c r="A6211" s="4" t="str">
        <f aca="false">B6211&amp;"|"&amp;C6211</f>
        <v>tdbR00000062 Glu-CUC|19</v>
      </c>
      <c r="B6211" s="4" t="s">
        <v>123</v>
      </c>
      <c r="C6211" s="4" t="s">
        <v>435</v>
      </c>
      <c r="D6211" s="4" t="n">
        <v>18</v>
      </c>
      <c r="E6211" s="19" t="s">
        <v>197</v>
      </c>
      <c r="F6211" s="20" t="s">
        <v>430</v>
      </c>
    </row>
    <row r="6212" customFormat="false" ht="15" hidden="false" customHeight="false" outlineLevel="0" collapsed="false">
      <c r="A6212" s="4" t="str">
        <f aca="false">B6212&amp;"|"&amp;C6212</f>
        <v>tdbR00000062 Glu-CUC|20</v>
      </c>
      <c r="B6212" s="4" t="s">
        <v>123</v>
      </c>
      <c r="C6212" s="4" t="s">
        <v>436</v>
      </c>
      <c r="D6212" s="4" t="n">
        <v>19</v>
      </c>
      <c r="E6212" s="19" t="s">
        <v>259</v>
      </c>
      <c r="F6212" s="20" t="s">
        <v>430</v>
      </c>
    </row>
    <row r="6213" customFormat="false" ht="15" hidden="false" customHeight="false" outlineLevel="0" collapsed="false">
      <c r="A6213" s="4" t="str">
        <f aca="false">B6213&amp;"|"&amp;C6213</f>
        <v>tdbR00000062 Glu-CUC|20a</v>
      </c>
      <c r="B6213" s="4" t="s">
        <v>123</v>
      </c>
      <c r="C6213" s="4" t="s">
        <v>437</v>
      </c>
      <c r="D6213" s="4" t="n">
        <v>20</v>
      </c>
      <c r="E6213" s="19" t="s">
        <v>259</v>
      </c>
      <c r="F6213" s="20" t="s">
        <v>430</v>
      </c>
    </row>
    <row r="6214" customFormat="false" ht="15" hidden="false" customHeight="false" outlineLevel="0" collapsed="false">
      <c r="A6214" s="4" t="str">
        <f aca="false">B6214&amp;"|"&amp;C6214</f>
        <v>tdbR00000062 Glu-CUC|21</v>
      </c>
      <c r="B6214" s="4" t="s">
        <v>123</v>
      </c>
      <c r="C6214" s="4" t="s">
        <v>438</v>
      </c>
      <c r="D6214" s="4" t="n">
        <v>21</v>
      </c>
      <c r="E6214" s="19" t="s">
        <v>246</v>
      </c>
      <c r="F6214" s="20" t="s">
        <v>430</v>
      </c>
    </row>
    <row r="6215" customFormat="false" ht="15" hidden="false" customHeight="false" outlineLevel="0" collapsed="false">
      <c r="A6215" s="4" t="str">
        <f aca="false">B6215&amp;"|"&amp;C6215</f>
        <v>tdbR00000062 Glu-CUC|22</v>
      </c>
      <c r="B6215" s="4" t="s">
        <v>123</v>
      </c>
      <c r="C6215" s="4" t="s">
        <v>439</v>
      </c>
      <c r="D6215" s="4" t="n">
        <v>22</v>
      </c>
      <c r="E6215" s="8" t="s">
        <v>197</v>
      </c>
      <c r="F6215" s="7" t="s">
        <v>425</v>
      </c>
    </row>
    <row r="6216" customFormat="false" ht="15" hidden="false" customHeight="false" outlineLevel="0" collapsed="false">
      <c r="A6216" s="4" t="str">
        <f aca="false">B6216&amp;"|"&amp;C6216</f>
        <v>tdbR00000062 Glu-CUC|23</v>
      </c>
      <c r="B6216" s="4" t="s">
        <v>123</v>
      </c>
      <c r="C6216" s="4" t="s">
        <v>440</v>
      </c>
      <c r="D6216" s="4" t="n">
        <v>23</v>
      </c>
      <c r="E6216" s="8" t="s">
        <v>197</v>
      </c>
      <c r="F6216" s="7" t="s">
        <v>425</v>
      </c>
    </row>
    <row r="6217" customFormat="false" ht="15" hidden="false" customHeight="false" outlineLevel="0" collapsed="false">
      <c r="A6217" s="4" t="str">
        <f aca="false">B6217&amp;"|"&amp;C6217</f>
        <v>tdbR00000062 Glu-CUC|24</v>
      </c>
      <c r="B6217" s="4" t="s">
        <v>123</v>
      </c>
      <c r="C6217" s="4" t="s">
        <v>441</v>
      </c>
      <c r="D6217" s="4" t="n">
        <v>24</v>
      </c>
      <c r="E6217" s="8" t="s">
        <v>246</v>
      </c>
      <c r="F6217" s="7" t="s">
        <v>425</v>
      </c>
    </row>
    <row r="6218" customFormat="false" ht="15" hidden="false" customHeight="false" outlineLevel="0" collapsed="false">
      <c r="A6218" s="4" t="str">
        <f aca="false">B6218&amp;"|"&amp;C6218</f>
        <v>tdbR00000062 Glu-CUC|25</v>
      </c>
      <c r="B6218" s="4" t="s">
        <v>123</v>
      </c>
      <c r="C6218" s="4" t="s">
        <v>442</v>
      </c>
      <c r="D6218" s="4" t="n">
        <v>25</v>
      </c>
      <c r="E6218" s="8" t="s">
        <v>259</v>
      </c>
      <c r="F6218" s="7" t="s">
        <v>425</v>
      </c>
    </row>
    <row r="6219" customFormat="false" ht="15" hidden="false" customHeight="false" outlineLevel="0" collapsed="false">
      <c r="A6219" s="4" t="str">
        <f aca="false">B6219&amp;"|"&amp;C6219</f>
        <v>tdbR00000062 Glu-CUC|26</v>
      </c>
      <c r="B6219" s="4" t="s">
        <v>123</v>
      </c>
      <c r="C6219" s="4" t="s">
        <v>443</v>
      </c>
      <c r="D6219" s="4" t="n">
        <v>26</v>
      </c>
      <c r="E6219" s="3" t="s">
        <v>259</v>
      </c>
      <c r="F6219" s="4" t="s">
        <v>444</v>
      </c>
    </row>
    <row r="6220" customFormat="false" ht="15" hidden="false" customHeight="false" outlineLevel="0" collapsed="false">
      <c r="A6220" s="4" t="str">
        <f aca="false">B6220&amp;"|"&amp;C6220</f>
        <v>tdbR00000062 Glu-CUC|27</v>
      </c>
      <c r="B6220" s="4" t="s">
        <v>123</v>
      </c>
      <c r="C6220" s="4" t="s">
        <v>445</v>
      </c>
      <c r="D6220" s="4" t="n">
        <v>27</v>
      </c>
      <c r="E6220" s="21" t="s">
        <v>414</v>
      </c>
      <c r="F6220" s="22" t="s">
        <v>446</v>
      </c>
    </row>
    <row r="6221" customFormat="false" ht="15" hidden="false" customHeight="false" outlineLevel="0" collapsed="false">
      <c r="A6221" s="4" t="str">
        <f aca="false">B6221&amp;"|"&amp;C6221</f>
        <v>tdbR00000062 Glu-CUC|28</v>
      </c>
      <c r="B6221" s="4" t="s">
        <v>123</v>
      </c>
      <c r="C6221" s="4" t="s">
        <v>447</v>
      </c>
      <c r="D6221" s="4" t="n">
        <v>28</v>
      </c>
      <c r="E6221" s="21" t="s">
        <v>197</v>
      </c>
      <c r="F6221" s="22" t="s">
        <v>446</v>
      </c>
    </row>
    <row r="6222" customFormat="false" ht="15" hidden="false" customHeight="false" outlineLevel="0" collapsed="false">
      <c r="A6222" s="4" t="str">
        <f aca="false">B6222&amp;"|"&amp;C6222</f>
        <v>tdbR00000062 Glu-CUC|29</v>
      </c>
      <c r="B6222" s="4" t="s">
        <v>123</v>
      </c>
      <c r="C6222" s="4" t="s">
        <v>448</v>
      </c>
      <c r="D6222" s="4" t="n">
        <v>29</v>
      </c>
      <c r="E6222" s="21" t="s">
        <v>197</v>
      </c>
      <c r="F6222" s="22" t="s">
        <v>446</v>
      </c>
    </row>
    <row r="6223" customFormat="false" ht="15" hidden="false" customHeight="false" outlineLevel="0" collapsed="false">
      <c r="A6223" s="4" t="str">
        <f aca="false">B6223&amp;"|"&amp;C6223</f>
        <v>tdbR00000062 Glu-CUC|30</v>
      </c>
      <c r="B6223" s="4" t="s">
        <v>123</v>
      </c>
      <c r="C6223" s="4" t="s">
        <v>449</v>
      </c>
      <c r="D6223" s="4" t="n">
        <v>30</v>
      </c>
      <c r="E6223" s="21" t="s">
        <v>414</v>
      </c>
      <c r="F6223" s="22" t="s">
        <v>446</v>
      </c>
    </row>
    <row r="6224" customFormat="false" ht="15" hidden="false" customHeight="false" outlineLevel="0" collapsed="false">
      <c r="A6224" s="4" t="str">
        <f aca="false">B6224&amp;"|"&amp;C6224</f>
        <v>tdbR00000062 Glu-CUC|31</v>
      </c>
      <c r="B6224" s="4" t="s">
        <v>123</v>
      </c>
      <c r="C6224" s="4" t="s">
        <v>450</v>
      </c>
      <c r="D6224" s="4" t="n">
        <v>31</v>
      </c>
      <c r="E6224" s="21" t="s">
        <v>197</v>
      </c>
      <c r="F6224" s="22" t="s">
        <v>446</v>
      </c>
    </row>
    <row r="6225" customFormat="false" ht="15" hidden="false" customHeight="false" outlineLevel="0" collapsed="false">
      <c r="A6225" s="4" t="str">
        <f aca="false">B6225&amp;"|"&amp;C6225</f>
        <v>tdbR00000062 Glu-CUC|32</v>
      </c>
      <c r="B6225" s="4" t="s">
        <v>123</v>
      </c>
      <c r="C6225" s="4" t="s">
        <v>451</v>
      </c>
      <c r="D6225" s="4" t="n">
        <v>32</v>
      </c>
      <c r="E6225" s="19" t="s">
        <v>414</v>
      </c>
      <c r="F6225" s="20" t="s">
        <v>452</v>
      </c>
    </row>
    <row r="6226" customFormat="false" ht="15" hidden="false" customHeight="false" outlineLevel="0" collapsed="false">
      <c r="A6226" s="4" t="str">
        <f aca="false">B6226&amp;"|"&amp;C6226</f>
        <v>tdbR00000062 Glu-CUC|33</v>
      </c>
      <c r="B6226" s="4" t="s">
        <v>123</v>
      </c>
      <c r="C6226" s="4" t="s">
        <v>453</v>
      </c>
      <c r="D6226" s="4" t="n">
        <v>33</v>
      </c>
      <c r="E6226" s="19" t="s">
        <v>259</v>
      </c>
      <c r="F6226" s="20" t="s">
        <v>452</v>
      </c>
    </row>
    <row r="6227" customFormat="false" ht="15" hidden="false" customHeight="false" outlineLevel="0" collapsed="false">
      <c r="A6227" s="4" t="str">
        <f aca="false">B6227&amp;"|"&amp;C6227</f>
        <v>tdbR00000062 Glu-CUC|34</v>
      </c>
      <c r="B6227" s="4" t="s">
        <v>123</v>
      </c>
      <c r="C6227" s="4" t="s">
        <v>454</v>
      </c>
      <c r="D6227" s="4" t="n">
        <v>34</v>
      </c>
      <c r="E6227" s="19" t="s">
        <v>414</v>
      </c>
      <c r="F6227" s="20" t="s">
        <v>452</v>
      </c>
    </row>
    <row r="6228" customFormat="false" ht="15" hidden="false" customHeight="false" outlineLevel="0" collapsed="false">
      <c r="A6228" s="4" t="str">
        <f aca="false">B6228&amp;"|"&amp;C6228</f>
        <v>tdbR00000062 Glu-CUC|35</v>
      </c>
      <c r="B6228" s="4" t="s">
        <v>123</v>
      </c>
      <c r="C6228" s="4" t="s">
        <v>455</v>
      </c>
      <c r="D6228" s="4" t="n">
        <v>35</v>
      </c>
      <c r="E6228" s="19" t="s">
        <v>259</v>
      </c>
      <c r="F6228" s="20" t="s">
        <v>452</v>
      </c>
    </row>
    <row r="6229" customFormat="false" ht="15" hidden="false" customHeight="false" outlineLevel="0" collapsed="false">
      <c r="A6229" s="4" t="str">
        <f aca="false">B6229&amp;"|"&amp;C6229</f>
        <v>tdbR00000062 Glu-CUC|36</v>
      </c>
      <c r="B6229" s="4" t="s">
        <v>123</v>
      </c>
      <c r="C6229" s="4" t="s">
        <v>456</v>
      </c>
      <c r="D6229" s="4" t="n">
        <v>36</v>
      </c>
      <c r="E6229" s="19" t="s">
        <v>414</v>
      </c>
      <c r="F6229" s="20" t="s">
        <v>452</v>
      </c>
    </row>
    <row r="6230" customFormat="false" ht="15" hidden="false" customHeight="false" outlineLevel="0" collapsed="false">
      <c r="A6230" s="4" t="str">
        <f aca="false">B6230&amp;"|"&amp;C6230</f>
        <v>tdbR00000062 Glu-CUC|37</v>
      </c>
      <c r="B6230" s="4" t="s">
        <v>123</v>
      </c>
      <c r="C6230" s="4" t="s">
        <v>457</v>
      </c>
      <c r="D6230" s="4" t="n">
        <v>37</v>
      </c>
      <c r="E6230" s="19" t="s">
        <v>246</v>
      </c>
      <c r="F6230" s="20" t="s">
        <v>452</v>
      </c>
    </row>
    <row r="6231" customFormat="false" ht="15" hidden="false" customHeight="false" outlineLevel="0" collapsed="false">
      <c r="A6231" s="4" t="str">
        <f aca="false">B6231&amp;"|"&amp;C6231</f>
        <v>tdbR00000062 Glu-CUC|38</v>
      </c>
      <c r="B6231" s="4" t="s">
        <v>123</v>
      </c>
      <c r="C6231" s="4" t="s">
        <v>458</v>
      </c>
      <c r="D6231" s="4" t="n">
        <v>38</v>
      </c>
      <c r="E6231" s="19" t="s">
        <v>414</v>
      </c>
      <c r="F6231" s="20" t="s">
        <v>452</v>
      </c>
    </row>
    <row r="6232" customFormat="false" ht="15" hidden="false" customHeight="false" outlineLevel="0" collapsed="false">
      <c r="A6232" s="4" t="str">
        <f aca="false">B6232&amp;"|"&amp;C6232</f>
        <v>tdbR00000062 Glu-CUC|39</v>
      </c>
      <c r="B6232" s="4" t="s">
        <v>123</v>
      </c>
      <c r="C6232" s="4" t="s">
        <v>459</v>
      </c>
      <c r="D6232" s="4" t="n">
        <v>39</v>
      </c>
      <c r="E6232" s="21" t="s">
        <v>414</v>
      </c>
      <c r="F6232" s="22" t="s">
        <v>446</v>
      </c>
    </row>
    <row r="6233" customFormat="false" ht="15" hidden="false" customHeight="false" outlineLevel="0" collapsed="false">
      <c r="A6233" s="4" t="str">
        <f aca="false">B6233&amp;"|"&amp;C6233</f>
        <v>tdbR00000062 Glu-CUC|40</v>
      </c>
      <c r="B6233" s="4" t="s">
        <v>123</v>
      </c>
      <c r="C6233" s="4" t="s">
        <v>460</v>
      </c>
      <c r="D6233" s="4" t="n">
        <v>40</v>
      </c>
      <c r="E6233" s="21" t="s">
        <v>197</v>
      </c>
      <c r="F6233" s="22" t="s">
        <v>446</v>
      </c>
    </row>
    <row r="6234" customFormat="false" ht="15" hidden="false" customHeight="false" outlineLevel="0" collapsed="false">
      <c r="A6234" s="4" t="str">
        <f aca="false">B6234&amp;"|"&amp;C6234</f>
        <v>tdbR00000062 Glu-CUC|41</v>
      </c>
      <c r="B6234" s="4" t="s">
        <v>123</v>
      </c>
      <c r="C6234" s="4" t="s">
        <v>461</v>
      </c>
      <c r="D6234" s="4" t="n">
        <v>41</v>
      </c>
      <c r="E6234" s="21" t="s">
        <v>414</v>
      </c>
      <c r="F6234" s="22" t="s">
        <v>446</v>
      </c>
    </row>
    <row r="6235" customFormat="false" ht="15" hidden="false" customHeight="false" outlineLevel="0" collapsed="false">
      <c r="A6235" s="4" t="str">
        <f aca="false">B6235&amp;"|"&amp;C6235</f>
        <v>tdbR00000062 Glu-CUC|42</v>
      </c>
      <c r="B6235" s="4" t="s">
        <v>123</v>
      </c>
      <c r="C6235" s="4" t="s">
        <v>462</v>
      </c>
      <c r="D6235" s="4" t="n">
        <v>42</v>
      </c>
      <c r="E6235" s="21" t="s">
        <v>414</v>
      </c>
      <c r="F6235" s="22" t="s">
        <v>446</v>
      </c>
    </row>
    <row r="6236" customFormat="false" ht="15" hidden="false" customHeight="false" outlineLevel="0" collapsed="false">
      <c r="A6236" s="4" t="str">
        <f aca="false">B6236&amp;"|"&amp;C6236</f>
        <v>tdbR00000062 Glu-CUC|43</v>
      </c>
      <c r="B6236" s="4" t="s">
        <v>123</v>
      </c>
      <c r="C6236" s="4" t="s">
        <v>463</v>
      </c>
      <c r="D6236" s="4" t="n">
        <v>43</v>
      </c>
      <c r="E6236" s="21" t="s">
        <v>197</v>
      </c>
      <c r="F6236" s="22" t="s">
        <v>446</v>
      </c>
    </row>
    <row r="6237" customFormat="false" ht="15" hidden="false" customHeight="false" outlineLevel="0" collapsed="false">
      <c r="A6237" s="4" t="str">
        <f aca="false">B6237&amp;"|"&amp;C6237</f>
        <v>tdbR00000062 Glu-CUC|44</v>
      </c>
      <c r="B6237" s="4" t="s">
        <v>123</v>
      </c>
      <c r="C6237" s="4" t="s">
        <v>464</v>
      </c>
      <c r="D6237" s="4" t="n">
        <v>44</v>
      </c>
      <c r="E6237" s="19" t="s">
        <v>414</v>
      </c>
      <c r="F6237" s="20" t="s">
        <v>465</v>
      </c>
    </row>
    <row r="6238" customFormat="false" ht="15" hidden="false" customHeight="false" outlineLevel="0" collapsed="false">
      <c r="A6238" s="4" t="str">
        <f aca="false">B6238&amp;"|"&amp;C6238</f>
        <v>tdbR00000062 Glu-CUC|45</v>
      </c>
      <c r="B6238" s="4" t="s">
        <v>123</v>
      </c>
      <c r="C6238" s="4" t="s">
        <v>466</v>
      </c>
      <c r="D6238" s="4" t="n">
        <v>45</v>
      </c>
      <c r="E6238" s="19" t="s">
        <v>197</v>
      </c>
      <c r="F6238" s="20" t="s">
        <v>465</v>
      </c>
    </row>
    <row r="6239" customFormat="false" ht="15" hidden="false" customHeight="false" outlineLevel="0" collapsed="false">
      <c r="A6239" s="4" t="str">
        <f aca="false">B6239&amp;"|"&amp;C6239</f>
        <v>tdbR00000062 Glu-CUC|46</v>
      </c>
      <c r="B6239" s="4" t="s">
        <v>123</v>
      </c>
      <c r="C6239" s="4" t="s">
        <v>467</v>
      </c>
      <c r="D6239" s="4" t="n">
        <v>46</v>
      </c>
      <c r="E6239" s="19" t="s">
        <v>197</v>
      </c>
      <c r="F6239" s="20" t="s">
        <v>465</v>
      </c>
    </row>
    <row r="6240" customFormat="false" ht="15" hidden="false" customHeight="false" outlineLevel="0" collapsed="false">
      <c r="A6240" s="4" t="str">
        <f aca="false">B6240&amp;"|"&amp;C6240</f>
        <v>tdbR00000062 Glu-CUC|48</v>
      </c>
      <c r="B6240" s="4" t="s">
        <v>123</v>
      </c>
      <c r="C6240" s="4" t="s">
        <v>469</v>
      </c>
      <c r="D6240" s="4" t="n">
        <v>47</v>
      </c>
      <c r="E6240" s="19" t="s">
        <v>414</v>
      </c>
      <c r="F6240" s="20" t="s">
        <v>465</v>
      </c>
    </row>
    <row r="6241" customFormat="false" ht="15" hidden="false" customHeight="false" outlineLevel="0" collapsed="false">
      <c r="A6241" s="4" t="str">
        <f aca="false">B6241&amp;"|"&amp;C6241</f>
        <v>tdbR00000062 Glu-CUC|49</v>
      </c>
      <c r="B6241" s="4" t="s">
        <v>123</v>
      </c>
      <c r="C6241" s="4" t="s">
        <v>470</v>
      </c>
      <c r="D6241" s="4" t="n">
        <v>48</v>
      </c>
      <c r="E6241" s="23" t="s">
        <v>414</v>
      </c>
      <c r="F6241" s="10" t="s">
        <v>471</v>
      </c>
    </row>
    <row r="6242" customFormat="false" ht="15" hidden="false" customHeight="false" outlineLevel="0" collapsed="false">
      <c r="A6242" s="4" t="str">
        <f aca="false">B6242&amp;"|"&amp;C6242</f>
        <v>tdbR00000062 Glu-CUC|50</v>
      </c>
      <c r="B6242" s="4" t="s">
        <v>123</v>
      </c>
      <c r="C6242" s="4" t="s">
        <v>472</v>
      </c>
      <c r="D6242" s="4" t="n">
        <v>49</v>
      </c>
      <c r="E6242" s="23" t="s">
        <v>414</v>
      </c>
      <c r="F6242" s="10" t="s">
        <v>471</v>
      </c>
    </row>
    <row r="6243" customFormat="false" ht="15" hidden="false" customHeight="false" outlineLevel="0" collapsed="false">
      <c r="A6243" s="4" t="str">
        <f aca="false">B6243&amp;"|"&amp;C6243</f>
        <v>tdbR00000062 Glu-CUC|51</v>
      </c>
      <c r="B6243" s="4" t="s">
        <v>123</v>
      </c>
      <c r="C6243" s="4" t="s">
        <v>473</v>
      </c>
      <c r="D6243" s="4" t="n">
        <v>50</v>
      </c>
      <c r="E6243" s="23" t="s">
        <v>197</v>
      </c>
      <c r="F6243" s="10" t="s">
        <v>471</v>
      </c>
    </row>
    <row r="6244" customFormat="false" ht="15" hidden="false" customHeight="false" outlineLevel="0" collapsed="false">
      <c r="A6244" s="4" t="str">
        <f aca="false">B6244&amp;"|"&amp;C6244</f>
        <v>tdbR00000062 Glu-CUC|52</v>
      </c>
      <c r="B6244" s="4" t="s">
        <v>123</v>
      </c>
      <c r="C6244" s="4" t="s">
        <v>474</v>
      </c>
      <c r="D6244" s="4" t="n">
        <v>51</v>
      </c>
      <c r="E6244" s="23" t="s">
        <v>197</v>
      </c>
      <c r="F6244" s="10" t="s">
        <v>471</v>
      </c>
    </row>
    <row r="6245" customFormat="false" ht="15" hidden="false" customHeight="false" outlineLevel="0" collapsed="false">
      <c r="A6245" s="4" t="str">
        <f aca="false">B6245&amp;"|"&amp;C6245</f>
        <v>tdbR00000062 Glu-CUC|53</v>
      </c>
      <c r="B6245" s="4" t="s">
        <v>123</v>
      </c>
      <c r="C6245" s="4" t="s">
        <v>475</v>
      </c>
      <c r="D6245" s="4" t="n">
        <v>52</v>
      </c>
      <c r="E6245" s="23" t="s">
        <v>197</v>
      </c>
      <c r="F6245" s="10" t="s">
        <v>471</v>
      </c>
    </row>
    <row r="6246" customFormat="false" ht="15" hidden="false" customHeight="false" outlineLevel="0" collapsed="false">
      <c r="A6246" s="4" t="str">
        <f aca="false">B6246&amp;"|"&amp;C6246</f>
        <v>tdbR00000062 Glu-CUC|54</v>
      </c>
      <c r="B6246" s="4" t="s">
        <v>123</v>
      </c>
      <c r="C6246" s="4" t="s">
        <v>476</v>
      </c>
      <c r="D6246" s="4" t="n">
        <v>53</v>
      </c>
      <c r="E6246" s="19" t="s">
        <v>259</v>
      </c>
      <c r="F6246" s="20" t="s">
        <v>477</v>
      </c>
    </row>
    <row r="6247" customFormat="false" ht="15" hidden="false" customHeight="false" outlineLevel="0" collapsed="false">
      <c r="A6247" s="4" t="str">
        <f aca="false">B6247&amp;"|"&amp;C6247</f>
        <v>tdbR00000062 Glu-CUC|55</v>
      </c>
      <c r="B6247" s="4" t="s">
        <v>123</v>
      </c>
      <c r="C6247" s="4" t="s">
        <v>478</v>
      </c>
      <c r="D6247" s="4" t="n">
        <v>54</v>
      </c>
      <c r="E6247" s="19" t="s">
        <v>259</v>
      </c>
      <c r="F6247" s="20" t="s">
        <v>477</v>
      </c>
    </row>
    <row r="6248" customFormat="false" ht="15" hidden="false" customHeight="false" outlineLevel="0" collapsed="false">
      <c r="A6248" s="4" t="str">
        <f aca="false">B6248&amp;"|"&amp;C6248</f>
        <v>tdbR00000062 Glu-CUC|56</v>
      </c>
      <c r="B6248" s="4" t="s">
        <v>123</v>
      </c>
      <c r="C6248" s="4" t="s">
        <v>479</v>
      </c>
      <c r="D6248" s="4" t="n">
        <v>55</v>
      </c>
      <c r="E6248" s="19" t="s">
        <v>414</v>
      </c>
      <c r="F6248" s="20" t="s">
        <v>477</v>
      </c>
    </row>
    <row r="6249" customFormat="false" ht="15" hidden="false" customHeight="false" outlineLevel="0" collapsed="false">
      <c r="A6249" s="4" t="str">
        <f aca="false">B6249&amp;"|"&amp;C6249</f>
        <v>tdbR00000062 Glu-CUC|57</v>
      </c>
      <c r="B6249" s="4" t="s">
        <v>123</v>
      </c>
      <c r="C6249" s="4" t="s">
        <v>480</v>
      </c>
      <c r="D6249" s="4" t="n">
        <v>56</v>
      </c>
      <c r="E6249" s="19" t="s">
        <v>197</v>
      </c>
      <c r="F6249" s="20" t="s">
        <v>477</v>
      </c>
    </row>
    <row r="6250" customFormat="false" ht="15" hidden="false" customHeight="false" outlineLevel="0" collapsed="false">
      <c r="A6250" s="4" t="str">
        <f aca="false">B6250&amp;"|"&amp;C6250</f>
        <v>tdbR00000062 Glu-CUC|58</v>
      </c>
      <c r="B6250" s="4" t="s">
        <v>123</v>
      </c>
      <c r="C6250" s="4" t="s">
        <v>481</v>
      </c>
      <c r="D6250" s="4" t="n">
        <v>57</v>
      </c>
      <c r="E6250" s="19" t="s">
        <v>246</v>
      </c>
      <c r="F6250" s="20" t="s">
        <v>477</v>
      </c>
    </row>
    <row r="6251" customFormat="false" ht="15" hidden="false" customHeight="false" outlineLevel="0" collapsed="false">
      <c r="A6251" s="4" t="str">
        <f aca="false">B6251&amp;"|"&amp;C6251</f>
        <v>tdbR00000062 Glu-CUC|59</v>
      </c>
      <c r="B6251" s="4" t="s">
        <v>123</v>
      </c>
      <c r="C6251" s="4" t="s">
        <v>482</v>
      </c>
      <c r="D6251" s="4" t="n">
        <v>58</v>
      </c>
      <c r="E6251" s="19" t="s">
        <v>259</v>
      </c>
      <c r="F6251" s="20" t="s">
        <v>477</v>
      </c>
    </row>
    <row r="6252" customFormat="false" ht="15" hidden="false" customHeight="false" outlineLevel="0" collapsed="false">
      <c r="A6252" s="4" t="str">
        <f aca="false">B6252&amp;"|"&amp;C6252</f>
        <v>tdbR00000062 Glu-CUC|60</v>
      </c>
      <c r="B6252" s="4" t="s">
        <v>123</v>
      </c>
      <c r="C6252" s="4" t="s">
        <v>483</v>
      </c>
      <c r="D6252" s="4" t="n">
        <v>59</v>
      </c>
      <c r="E6252" s="19" t="s">
        <v>259</v>
      </c>
      <c r="F6252" s="20" t="s">
        <v>477</v>
      </c>
    </row>
    <row r="6253" customFormat="false" ht="15" hidden="false" customHeight="false" outlineLevel="0" collapsed="false">
      <c r="A6253" s="4" t="str">
        <f aca="false">B6253&amp;"|"&amp;C6253</f>
        <v>tdbR00000062 Glu-CUC|61</v>
      </c>
      <c r="B6253" s="4" t="s">
        <v>123</v>
      </c>
      <c r="C6253" s="4" t="s">
        <v>484</v>
      </c>
      <c r="D6253" s="4" t="n">
        <v>60</v>
      </c>
      <c r="E6253" s="23" t="s">
        <v>414</v>
      </c>
      <c r="F6253" s="10" t="s">
        <v>471</v>
      </c>
    </row>
    <row r="6254" customFormat="false" ht="15" hidden="false" customHeight="false" outlineLevel="0" collapsed="false">
      <c r="A6254" s="4" t="str">
        <f aca="false">B6254&amp;"|"&amp;C6254</f>
        <v>tdbR00000062 Glu-CUC|62</v>
      </c>
      <c r="B6254" s="4" t="s">
        <v>123</v>
      </c>
      <c r="C6254" s="4" t="s">
        <v>485</v>
      </c>
      <c r="D6254" s="4" t="n">
        <v>61</v>
      </c>
      <c r="E6254" s="23" t="s">
        <v>414</v>
      </c>
      <c r="F6254" s="10" t="s">
        <v>471</v>
      </c>
    </row>
    <row r="6255" customFormat="false" ht="15" hidden="false" customHeight="false" outlineLevel="0" collapsed="false">
      <c r="A6255" s="4" t="str">
        <f aca="false">B6255&amp;"|"&amp;C6255</f>
        <v>tdbR00000062 Glu-CUC|63</v>
      </c>
      <c r="B6255" s="4" t="s">
        <v>123</v>
      </c>
      <c r="C6255" s="4" t="s">
        <v>486</v>
      </c>
      <c r="D6255" s="4" t="n">
        <v>62</v>
      </c>
      <c r="E6255" s="23" t="s">
        <v>414</v>
      </c>
      <c r="F6255" s="10" t="s">
        <v>471</v>
      </c>
    </row>
    <row r="6256" customFormat="false" ht="15" hidden="false" customHeight="false" outlineLevel="0" collapsed="false">
      <c r="A6256" s="4" t="str">
        <f aca="false">B6256&amp;"|"&amp;C6256</f>
        <v>tdbR00000062 Glu-CUC|64</v>
      </c>
      <c r="B6256" s="4" t="s">
        <v>123</v>
      </c>
      <c r="C6256" s="4" t="s">
        <v>487</v>
      </c>
      <c r="D6256" s="4" t="n">
        <v>63</v>
      </c>
      <c r="E6256" s="23" t="s">
        <v>197</v>
      </c>
      <c r="F6256" s="10" t="s">
        <v>471</v>
      </c>
    </row>
    <row r="6257" customFormat="false" ht="15" hidden="false" customHeight="false" outlineLevel="0" collapsed="false">
      <c r="A6257" s="4" t="str">
        <f aca="false">B6257&amp;"|"&amp;C6257</f>
        <v>tdbR00000062 Glu-CUC|65</v>
      </c>
      <c r="B6257" s="4" t="s">
        <v>123</v>
      </c>
      <c r="C6257" s="4" t="s">
        <v>488</v>
      </c>
      <c r="D6257" s="4" t="n">
        <v>64</v>
      </c>
      <c r="E6257" s="23" t="s">
        <v>197</v>
      </c>
      <c r="F6257" s="10" t="s">
        <v>471</v>
      </c>
    </row>
    <row r="6258" customFormat="false" ht="15" hidden="false" customHeight="false" outlineLevel="0" collapsed="false">
      <c r="A6258" s="4" t="str">
        <f aca="false">B6258&amp;"|"&amp;C6258</f>
        <v>tdbR00000062 Glu-CUC|66</v>
      </c>
      <c r="B6258" s="4" t="s">
        <v>123</v>
      </c>
      <c r="C6258" s="4" t="s">
        <v>489</v>
      </c>
      <c r="D6258" s="4" t="n">
        <v>65</v>
      </c>
      <c r="E6258" s="17" t="s">
        <v>259</v>
      </c>
      <c r="F6258" s="18" t="s">
        <v>412</v>
      </c>
    </row>
    <row r="6259" customFormat="false" ht="15" hidden="false" customHeight="false" outlineLevel="0" collapsed="false">
      <c r="A6259" s="4" t="str">
        <f aca="false">B6259&amp;"|"&amp;C6259</f>
        <v>tdbR00000062 Glu-CUC|67</v>
      </c>
      <c r="B6259" s="4" t="s">
        <v>123</v>
      </c>
      <c r="C6259" s="4" t="s">
        <v>490</v>
      </c>
      <c r="D6259" s="4" t="n">
        <v>66</v>
      </c>
      <c r="E6259" s="17" t="s">
        <v>414</v>
      </c>
      <c r="F6259" s="18" t="s">
        <v>412</v>
      </c>
    </row>
    <row r="6260" customFormat="false" ht="15" hidden="false" customHeight="false" outlineLevel="0" collapsed="false">
      <c r="A6260" s="4" t="str">
        <f aca="false">B6260&amp;"|"&amp;C6260</f>
        <v>tdbR00000062 Glu-CUC|68</v>
      </c>
      <c r="B6260" s="4" t="s">
        <v>123</v>
      </c>
      <c r="C6260" s="4" t="s">
        <v>491</v>
      </c>
      <c r="D6260" s="4" t="n">
        <v>67</v>
      </c>
      <c r="E6260" s="17" t="s">
        <v>246</v>
      </c>
      <c r="F6260" s="18" t="s">
        <v>412</v>
      </c>
    </row>
    <row r="6261" customFormat="false" ht="15" hidden="false" customHeight="false" outlineLevel="0" collapsed="false">
      <c r="A6261" s="4" t="str">
        <f aca="false">B6261&amp;"|"&amp;C6261</f>
        <v>tdbR00000062 Glu-CUC|69</v>
      </c>
      <c r="B6261" s="4" t="s">
        <v>123</v>
      </c>
      <c r="C6261" s="4" t="s">
        <v>492</v>
      </c>
      <c r="D6261" s="4" t="n">
        <v>68</v>
      </c>
      <c r="E6261" s="17" t="s">
        <v>197</v>
      </c>
      <c r="F6261" s="18" t="s">
        <v>412</v>
      </c>
    </row>
    <row r="6262" customFormat="false" ht="15" hidden="false" customHeight="false" outlineLevel="0" collapsed="false">
      <c r="A6262" s="4" t="str">
        <f aca="false">B6262&amp;"|"&amp;C6262</f>
        <v>tdbR00000062 Glu-CUC|70</v>
      </c>
      <c r="B6262" s="4" t="s">
        <v>123</v>
      </c>
      <c r="C6262" s="4" t="s">
        <v>493</v>
      </c>
      <c r="D6262" s="4" t="n">
        <v>69</v>
      </c>
      <c r="E6262" s="17" t="s">
        <v>197</v>
      </c>
      <c r="F6262" s="18" t="s">
        <v>412</v>
      </c>
    </row>
    <row r="6263" customFormat="false" ht="15" hidden="false" customHeight="false" outlineLevel="0" collapsed="false">
      <c r="A6263" s="4" t="str">
        <f aca="false">B6263&amp;"|"&amp;C6263</f>
        <v>tdbR00000062 Glu-CUC|71</v>
      </c>
      <c r="B6263" s="4" t="s">
        <v>123</v>
      </c>
      <c r="C6263" s="4" t="s">
        <v>494</v>
      </c>
      <c r="D6263" s="4" t="n">
        <v>70</v>
      </c>
      <c r="E6263" s="17" t="s">
        <v>197</v>
      </c>
      <c r="F6263" s="18" t="s">
        <v>412</v>
      </c>
    </row>
    <row r="6264" customFormat="false" ht="15" hidden="false" customHeight="false" outlineLevel="0" collapsed="false">
      <c r="A6264" s="4" t="str">
        <f aca="false">B6264&amp;"|"&amp;C6264</f>
        <v>tdbR00000062 Glu-CUC|72</v>
      </c>
      <c r="B6264" s="4" t="s">
        <v>123</v>
      </c>
      <c r="C6264" s="4" t="s">
        <v>495</v>
      </c>
      <c r="D6264" s="4" t="n">
        <v>71</v>
      </c>
      <c r="E6264" s="17" t="s">
        <v>246</v>
      </c>
      <c r="F6264" s="18" t="s">
        <v>412</v>
      </c>
    </row>
    <row r="6265" customFormat="false" ht="15" hidden="false" customHeight="false" outlineLevel="0" collapsed="false">
      <c r="A6265" s="4" t="str">
        <f aca="false">B6265&amp;"|"&amp;C6265</f>
        <v>tdbR00000149 His-GUG|1</v>
      </c>
      <c r="B6265" s="4" t="s">
        <v>124</v>
      </c>
      <c r="C6265" s="4" t="s">
        <v>411</v>
      </c>
      <c r="D6265" s="4" t="n">
        <v>1</v>
      </c>
      <c r="E6265" s="17" t="s">
        <v>197</v>
      </c>
      <c r="F6265" s="18" t="s">
        <v>412</v>
      </c>
    </row>
    <row r="6266" customFormat="false" ht="15" hidden="false" customHeight="false" outlineLevel="0" collapsed="false">
      <c r="A6266" s="4" t="str">
        <f aca="false">B6266&amp;"|"&amp;C6266</f>
        <v>tdbR00000149 His-GUG|2</v>
      </c>
      <c r="B6266" s="4" t="s">
        <v>124</v>
      </c>
      <c r="C6266" s="4" t="s">
        <v>413</v>
      </c>
      <c r="D6266" s="4" t="n">
        <v>2</v>
      </c>
      <c r="E6266" s="17" t="s">
        <v>414</v>
      </c>
      <c r="F6266" s="18" t="s">
        <v>412</v>
      </c>
    </row>
    <row r="6267" customFormat="false" ht="15" hidden="false" customHeight="false" outlineLevel="0" collapsed="false">
      <c r="A6267" s="4" t="str">
        <f aca="false">B6267&amp;"|"&amp;C6267</f>
        <v>tdbR00000149 His-GUG|3</v>
      </c>
      <c r="B6267" s="4" t="s">
        <v>124</v>
      </c>
      <c r="C6267" s="4" t="s">
        <v>415</v>
      </c>
      <c r="D6267" s="4" t="n">
        <v>3</v>
      </c>
      <c r="E6267" s="17" t="s">
        <v>414</v>
      </c>
      <c r="F6267" s="18" t="s">
        <v>412</v>
      </c>
    </row>
    <row r="6268" customFormat="false" ht="15" hidden="false" customHeight="false" outlineLevel="0" collapsed="false">
      <c r="A6268" s="4" t="str">
        <f aca="false">B6268&amp;"|"&amp;C6268</f>
        <v>tdbR00000149 His-GUG|4</v>
      </c>
      <c r="B6268" s="4" t="s">
        <v>124</v>
      </c>
      <c r="C6268" s="4" t="s">
        <v>416</v>
      </c>
      <c r="D6268" s="4" t="n">
        <v>4</v>
      </c>
      <c r="E6268" s="17" t="s">
        <v>197</v>
      </c>
      <c r="F6268" s="18" t="s">
        <v>412</v>
      </c>
    </row>
    <row r="6269" customFormat="false" ht="15" hidden="false" customHeight="false" outlineLevel="0" collapsed="false">
      <c r="A6269" s="4" t="str">
        <f aca="false">B6269&amp;"|"&amp;C6269</f>
        <v>tdbR00000149 His-GUG|5</v>
      </c>
      <c r="B6269" s="4" t="s">
        <v>124</v>
      </c>
      <c r="C6269" s="4" t="s">
        <v>417</v>
      </c>
      <c r="D6269" s="4" t="n">
        <v>5</v>
      </c>
      <c r="E6269" s="17" t="s">
        <v>259</v>
      </c>
      <c r="F6269" s="18" t="s">
        <v>412</v>
      </c>
    </row>
    <row r="6270" customFormat="false" ht="15" hidden="false" customHeight="false" outlineLevel="0" collapsed="false">
      <c r="A6270" s="4" t="str">
        <f aca="false">B6270&amp;"|"&amp;C6270</f>
        <v>tdbR00000149 His-GUG|6</v>
      </c>
      <c r="B6270" s="4" t="s">
        <v>124</v>
      </c>
      <c r="C6270" s="4" t="s">
        <v>418</v>
      </c>
      <c r="D6270" s="4" t="n">
        <v>6</v>
      </c>
      <c r="E6270" s="17" t="s">
        <v>197</v>
      </c>
      <c r="F6270" s="18" t="s">
        <v>412</v>
      </c>
    </row>
    <row r="6271" customFormat="false" ht="15" hidden="false" customHeight="false" outlineLevel="0" collapsed="false">
      <c r="A6271" s="4" t="str">
        <f aca="false">B6271&amp;"|"&amp;C6271</f>
        <v>tdbR00000149 His-GUG|7</v>
      </c>
      <c r="B6271" s="4" t="s">
        <v>124</v>
      </c>
      <c r="C6271" s="4" t="s">
        <v>419</v>
      </c>
      <c r="D6271" s="4" t="n">
        <v>7</v>
      </c>
      <c r="E6271" s="17" t="s">
        <v>246</v>
      </c>
      <c r="F6271" s="18" t="s">
        <v>412</v>
      </c>
    </row>
    <row r="6272" customFormat="false" ht="15" hidden="false" customHeight="false" outlineLevel="0" collapsed="false">
      <c r="A6272" s="4" t="str">
        <f aca="false">B6272&amp;"|"&amp;C6272</f>
        <v>tdbR00000149 His-GUG|8</v>
      </c>
      <c r="B6272" s="4" t="s">
        <v>124</v>
      </c>
      <c r="C6272" s="4" t="s">
        <v>420</v>
      </c>
      <c r="D6272" s="4" t="n">
        <v>8</v>
      </c>
      <c r="E6272" s="3" t="s">
        <v>259</v>
      </c>
      <c r="F6272" s="4" t="s">
        <v>421</v>
      </c>
    </row>
    <row r="6273" customFormat="false" ht="15" hidden="false" customHeight="false" outlineLevel="0" collapsed="false">
      <c r="A6273" s="4" t="str">
        <f aca="false">B6273&amp;"|"&amp;C6273</f>
        <v>tdbR00000149 His-GUG|9</v>
      </c>
      <c r="B6273" s="4" t="s">
        <v>124</v>
      </c>
      <c r="C6273" s="4" t="s">
        <v>422</v>
      </c>
      <c r="D6273" s="4" t="n">
        <v>9</v>
      </c>
      <c r="E6273" s="3" t="s">
        <v>414</v>
      </c>
      <c r="F6273" s="4" t="s">
        <v>423</v>
      </c>
    </row>
    <row r="6274" customFormat="false" ht="15" hidden="false" customHeight="false" outlineLevel="0" collapsed="false">
      <c r="A6274" s="4" t="str">
        <f aca="false">B6274&amp;"|"&amp;C6274</f>
        <v>tdbR00000149 His-GUG|10</v>
      </c>
      <c r="B6274" s="4" t="s">
        <v>124</v>
      </c>
      <c r="C6274" s="4" t="s">
        <v>424</v>
      </c>
      <c r="D6274" s="4" t="n">
        <v>10</v>
      </c>
      <c r="E6274" s="8" t="s">
        <v>197</v>
      </c>
      <c r="F6274" s="7" t="s">
        <v>425</v>
      </c>
    </row>
    <row r="6275" customFormat="false" ht="15" hidden="false" customHeight="false" outlineLevel="0" collapsed="false">
      <c r="A6275" s="4" t="str">
        <f aca="false">B6275&amp;"|"&amp;C6275</f>
        <v>tdbR00000149 His-GUG|11</v>
      </c>
      <c r="B6275" s="4" t="s">
        <v>124</v>
      </c>
      <c r="C6275" s="4" t="s">
        <v>426</v>
      </c>
      <c r="D6275" s="4" t="n">
        <v>11</v>
      </c>
      <c r="E6275" s="8" t="s">
        <v>259</v>
      </c>
      <c r="F6275" s="7" t="s">
        <v>425</v>
      </c>
    </row>
    <row r="6276" customFormat="false" ht="15" hidden="false" customHeight="false" outlineLevel="0" collapsed="false">
      <c r="A6276" s="4" t="str">
        <f aca="false">B6276&amp;"|"&amp;C6276</f>
        <v>tdbR00000149 His-GUG|12</v>
      </c>
      <c r="B6276" s="4" t="s">
        <v>124</v>
      </c>
      <c r="C6276" s="4" t="s">
        <v>427</v>
      </c>
      <c r="D6276" s="4" t="n">
        <v>12</v>
      </c>
      <c r="E6276" s="8" t="s">
        <v>246</v>
      </c>
      <c r="F6276" s="7" t="s">
        <v>425</v>
      </c>
    </row>
    <row r="6277" customFormat="false" ht="15" hidden="false" customHeight="false" outlineLevel="0" collapsed="false">
      <c r="A6277" s="4" t="str">
        <f aca="false">B6277&amp;"|"&amp;C6277</f>
        <v>tdbR00000149 His-GUG|13</v>
      </c>
      <c r="B6277" s="4" t="s">
        <v>124</v>
      </c>
      <c r="C6277" s="4" t="s">
        <v>428</v>
      </c>
      <c r="D6277" s="4" t="n">
        <v>13</v>
      </c>
      <c r="E6277" s="8" t="s">
        <v>259</v>
      </c>
      <c r="F6277" s="7" t="s">
        <v>425</v>
      </c>
    </row>
    <row r="6278" customFormat="false" ht="15" hidden="false" customHeight="false" outlineLevel="0" collapsed="false">
      <c r="A6278" s="4" t="str">
        <f aca="false">B6278&amp;"|"&amp;C6278</f>
        <v>tdbR00000149 His-GUG|14</v>
      </c>
      <c r="B6278" s="4" t="s">
        <v>124</v>
      </c>
      <c r="C6278" s="4" t="s">
        <v>429</v>
      </c>
      <c r="D6278" s="4" t="n">
        <v>14</v>
      </c>
      <c r="E6278" s="19" t="s">
        <v>246</v>
      </c>
      <c r="F6278" s="20" t="s">
        <v>430</v>
      </c>
    </row>
    <row r="6279" customFormat="false" ht="15" hidden="false" customHeight="false" outlineLevel="0" collapsed="false">
      <c r="A6279" s="4" t="str">
        <f aca="false">B6279&amp;"|"&amp;C6279</f>
        <v>tdbR00000149 His-GUG|15</v>
      </c>
      <c r="B6279" s="4" t="s">
        <v>124</v>
      </c>
      <c r="C6279" s="4" t="s">
        <v>431</v>
      </c>
      <c r="D6279" s="4" t="n">
        <v>15</v>
      </c>
      <c r="E6279" s="19" t="s">
        <v>197</v>
      </c>
      <c r="F6279" s="20" t="s">
        <v>430</v>
      </c>
    </row>
    <row r="6280" customFormat="false" ht="15" hidden="false" customHeight="false" outlineLevel="0" collapsed="false">
      <c r="A6280" s="4" t="str">
        <f aca="false">B6280&amp;"|"&amp;C6280</f>
        <v>tdbR00000149 His-GUG|16</v>
      </c>
      <c r="B6280" s="4" t="s">
        <v>124</v>
      </c>
      <c r="C6280" s="4" t="s">
        <v>432</v>
      </c>
      <c r="D6280" s="4" t="n">
        <v>16</v>
      </c>
      <c r="E6280" s="19" t="s">
        <v>259</v>
      </c>
      <c r="F6280" s="20" t="s">
        <v>430</v>
      </c>
    </row>
    <row r="6281" customFormat="false" ht="15" hidden="false" customHeight="false" outlineLevel="0" collapsed="false">
      <c r="A6281" s="4" t="str">
        <f aca="false">B6281&amp;"|"&amp;C6281</f>
        <v>tdbR00000149 His-GUG|18</v>
      </c>
      <c r="B6281" s="4" t="s">
        <v>124</v>
      </c>
      <c r="C6281" s="4" t="s">
        <v>434</v>
      </c>
      <c r="D6281" s="4" t="n">
        <v>17</v>
      </c>
      <c r="E6281" s="19" t="s">
        <v>197</v>
      </c>
      <c r="F6281" s="20" t="s">
        <v>430</v>
      </c>
    </row>
    <row r="6282" customFormat="false" ht="15" hidden="false" customHeight="false" outlineLevel="0" collapsed="false">
      <c r="A6282" s="4" t="str">
        <f aca="false">B6282&amp;"|"&amp;C6282</f>
        <v>tdbR00000149 His-GUG|19</v>
      </c>
      <c r="B6282" s="4" t="s">
        <v>124</v>
      </c>
      <c r="C6282" s="4" t="s">
        <v>435</v>
      </c>
      <c r="D6282" s="4" t="n">
        <v>18</v>
      </c>
      <c r="E6282" s="19" t="s">
        <v>197</v>
      </c>
      <c r="F6282" s="20" t="s">
        <v>430</v>
      </c>
    </row>
    <row r="6283" customFormat="false" ht="15" hidden="false" customHeight="false" outlineLevel="0" collapsed="false">
      <c r="A6283" s="4" t="str">
        <f aca="false">B6283&amp;"|"&amp;C6283</f>
        <v>tdbR00000149 His-GUG|20</v>
      </c>
      <c r="B6283" s="4" t="s">
        <v>124</v>
      </c>
      <c r="C6283" s="4" t="s">
        <v>436</v>
      </c>
      <c r="D6283" s="4" t="n">
        <v>19</v>
      </c>
      <c r="E6283" s="19" t="s">
        <v>259</v>
      </c>
      <c r="F6283" s="20" t="s">
        <v>430</v>
      </c>
    </row>
    <row r="6284" customFormat="false" ht="15" hidden="false" customHeight="false" outlineLevel="0" collapsed="false">
      <c r="A6284" s="4" t="str">
        <f aca="false">B6284&amp;"|"&amp;C6284</f>
        <v>tdbR00000149 His-GUG|20a</v>
      </c>
      <c r="B6284" s="4" t="s">
        <v>124</v>
      </c>
      <c r="C6284" s="4" t="s">
        <v>437</v>
      </c>
      <c r="D6284" s="4" t="n">
        <v>20</v>
      </c>
      <c r="E6284" s="19" t="s">
        <v>259</v>
      </c>
      <c r="F6284" s="20" t="s">
        <v>430</v>
      </c>
    </row>
    <row r="6285" customFormat="false" ht="15" hidden="false" customHeight="false" outlineLevel="0" collapsed="false">
      <c r="A6285" s="4" t="str">
        <f aca="false">B6285&amp;"|"&amp;C6285</f>
        <v>tdbR00000149 His-GUG|21</v>
      </c>
      <c r="B6285" s="4" t="s">
        <v>124</v>
      </c>
      <c r="C6285" s="4" t="s">
        <v>438</v>
      </c>
      <c r="D6285" s="4" t="n">
        <v>21</v>
      </c>
      <c r="E6285" s="19" t="s">
        <v>246</v>
      </c>
      <c r="F6285" s="20" t="s">
        <v>430</v>
      </c>
    </row>
    <row r="6286" customFormat="false" ht="15" hidden="false" customHeight="false" outlineLevel="0" collapsed="false">
      <c r="A6286" s="4" t="str">
        <f aca="false">B6286&amp;"|"&amp;C6286</f>
        <v>tdbR00000149 His-GUG|22</v>
      </c>
      <c r="B6286" s="4" t="s">
        <v>124</v>
      </c>
      <c r="C6286" s="4" t="s">
        <v>439</v>
      </c>
      <c r="D6286" s="4" t="n">
        <v>22</v>
      </c>
      <c r="E6286" s="8" t="s">
        <v>197</v>
      </c>
      <c r="F6286" s="7" t="s">
        <v>425</v>
      </c>
    </row>
    <row r="6287" customFormat="false" ht="15" hidden="false" customHeight="false" outlineLevel="0" collapsed="false">
      <c r="A6287" s="4" t="str">
        <f aca="false">B6287&amp;"|"&amp;C6287</f>
        <v>tdbR00000149 His-GUG|23</v>
      </c>
      <c r="B6287" s="4" t="s">
        <v>124</v>
      </c>
      <c r="C6287" s="4" t="s">
        <v>440</v>
      </c>
      <c r="D6287" s="4" t="n">
        <v>23</v>
      </c>
      <c r="E6287" s="8" t="s">
        <v>259</v>
      </c>
      <c r="F6287" s="7" t="s">
        <v>425</v>
      </c>
    </row>
    <row r="6288" customFormat="false" ht="15" hidden="false" customHeight="false" outlineLevel="0" collapsed="false">
      <c r="A6288" s="4" t="str">
        <f aca="false">B6288&amp;"|"&amp;C6288</f>
        <v>tdbR00000149 His-GUG|24</v>
      </c>
      <c r="B6288" s="4" t="s">
        <v>124</v>
      </c>
      <c r="C6288" s="4" t="s">
        <v>441</v>
      </c>
      <c r="D6288" s="4" t="n">
        <v>24</v>
      </c>
      <c r="E6288" s="8" t="s">
        <v>246</v>
      </c>
      <c r="F6288" s="7" t="s">
        <v>425</v>
      </c>
    </row>
    <row r="6289" customFormat="false" ht="15" hidden="false" customHeight="false" outlineLevel="0" collapsed="false">
      <c r="A6289" s="4" t="str">
        <f aca="false">B6289&amp;"|"&amp;C6289</f>
        <v>tdbR00000149 His-GUG|25</v>
      </c>
      <c r="B6289" s="4" t="s">
        <v>124</v>
      </c>
      <c r="C6289" s="4" t="s">
        <v>442</v>
      </c>
      <c r="D6289" s="4" t="n">
        <v>25</v>
      </c>
      <c r="E6289" s="8" t="s">
        <v>414</v>
      </c>
      <c r="F6289" s="7" t="s">
        <v>425</v>
      </c>
    </row>
    <row r="6290" customFormat="false" ht="15" hidden="false" customHeight="false" outlineLevel="0" collapsed="false">
      <c r="A6290" s="4" t="str">
        <f aca="false">B6290&amp;"|"&amp;C6290</f>
        <v>tdbR00000149 His-GUG|26</v>
      </c>
      <c r="B6290" s="4" t="s">
        <v>124</v>
      </c>
      <c r="C6290" s="4" t="s">
        <v>443</v>
      </c>
      <c r="D6290" s="4" t="n">
        <v>26</v>
      </c>
      <c r="E6290" s="3" t="s">
        <v>259</v>
      </c>
      <c r="F6290" s="4" t="s">
        <v>444</v>
      </c>
    </row>
    <row r="6291" customFormat="false" ht="15" hidden="false" customHeight="false" outlineLevel="0" collapsed="false">
      <c r="A6291" s="4" t="str">
        <f aca="false">B6291&amp;"|"&amp;C6291</f>
        <v>tdbR00000149 His-GUG|27</v>
      </c>
      <c r="B6291" s="4" t="s">
        <v>124</v>
      </c>
      <c r="C6291" s="4" t="s">
        <v>445</v>
      </c>
      <c r="D6291" s="4" t="n">
        <v>27</v>
      </c>
      <c r="E6291" s="21" t="s">
        <v>414</v>
      </c>
      <c r="F6291" s="22" t="s">
        <v>446</v>
      </c>
    </row>
    <row r="6292" customFormat="false" ht="15" hidden="false" customHeight="false" outlineLevel="0" collapsed="false">
      <c r="A6292" s="4" t="str">
        <f aca="false">B6292&amp;"|"&amp;C6292</f>
        <v>tdbR00000149 His-GUG|28</v>
      </c>
      <c r="B6292" s="4" t="s">
        <v>124</v>
      </c>
      <c r="C6292" s="4" t="s">
        <v>447</v>
      </c>
      <c r="D6292" s="4" t="n">
        <v>28</v>
      </c>
      <c r="E6292" s="21" t="s">
        <v>259</v>
      </c>
      <c r="F6292" s="22" t="s">
        <v>446</v>
      </c>
    </row>
    <row r="6293" customFormat="false" ht="15" hidden="false" customHeight="false" outlineLevel="0" collapsed="false">
      <c r="A6293" s="4" t="str">
        <f aca="false">B6293&amp;"|"&amp;C6293</f>
        <v>tdbR00000149 His-GUG|29</v>
      </c>
      <c r="B6293" s="4" t="s">
        <v>124</v>
      </c>
      <c r="C6293" s="4" t="s">
        <v>448</v>
      </c>
      <c r="D6293" s="4" t="n">
        <v>29</v>
      </c>
      <c r="E6293" s="21" t="s">
        <v>197</v>
      </c>
      <c r="F6293" s="22" t="s">
        <v>446</v>
      </c>
    </row>
    <row r="6294" customFormat="false" ht="15" hidden="false" customHeight="false" outlineLevel="0" collapsed="false">
      <c r="A6294" s="4" t="str">
        <f aca="false">B6294&amp;"|"&amp;C6294</f>
        <v>tdbR00000149 His-GUG|30</v>
      </c>
      <c r="B6294" s="4" t="s">
        <v>124</v>
      </c>
      <c r="C6294" s="4" t="s">
        <v>449</v>
      </c>
      <c r="D6294" s="4" t="n">
        <v>30</v>
      </c>
      <c r="E6294" s="21" t="s">
        <v>414</v>
      </c>
      <c r="F6294" s="22" t="s">
        <v>446</v>
      </c>
    </row>
    <row r="6295" customFormat="false" ht="15" hidden="false" customHeight="false" outlineLevel="0" collapsed="false">
      <c r="A6295" s="4" t="str">
        <f aca="false">B6295&amp;"|"&amp;C6295</f>
        <v>tdbR00000149 His-GUG|31</v>
      </c>
      <c r="B6295" s="4" t="s">
        <v>124</v>
      </c>
      <c r="C6295" s="4" t="s">
        <v>450</v>
      </c>
      <c r="D6295" s="4" t="n">
        <v>31</v>
      </c>
      <c r="E6295" s="21" t="s">
        <v>197</v>
      </c>
      <c r="F6295" s="22" t="s">
        <v>446</v>
      </c>
    </row>
    <row r="6296" customFormat="false" ht="15" hidden="false" customHeight="false" outlineLevel="0" collapsed="false">
      <c r="A6296" s="4" t="str">
        <f aca="false">B6296&amp;"|"&amp;C6296</f>
        <v>tdbR00000149 His-GUG|32</v>
      </c>
      <c r="B6296" s="4" t="s">
        <v>124</v>
      </c>
      <c r="C6296" s="4" t="s">
        <v>451</v>
      </c>
      <c r="D6296" s="4" t="n">
        <v>32</v>
      </c>
      <c r="E6296" s="19" t="s">
        <v>259</v>
      </c>
      <c r="F6296" s="20" t="s">
        <v>452</v>
      </c>
    </row>
    <row r="6297" customFormat="false" ht="15" hidden="false" customHeight="false" outlineLevel="0" collapsed="false">
      <c r="A6297" s="4" t="str">
        <f aca="false">B6297&amp;"|"&amp;C6297</f>
        <v>tdbR00000149 His-GUG|33</v>
      </c>
      <c r="B6297" s="4" t="s">
        <v>124</v>
      </c>
      <c r="C6297" s="4" t="s">
        <v>453</v>
      </c>
      <c r="D6297" s="4" t="n">
        <v>33</v>
      </c>
      <c r="E6297" s="19" t="s">
        <v>259</v>
      </c>
      <c r="F6297" s="20" t="s">
        <v>452</v>
      </c>
    </row>
    <row r="6298" customFormat="false" ht="15" hidden="false" customHeight="false" outlineLevel="0" collapsed="false">
      <c r="A6298" s="4" t="str">
        <f aca="false">B6298&amp;"|"&amp;C6298</f>
        <v>tdbR00000149 His-GUG|34</v>
      </c>
      <c r="B6298" s="4" t="s">
        <v>124</v>
      </c>
      <c r="C6298" s="4" t="s">
        <v>454</v>
      </c>
      <c r="D6298" s="4" t="n">
        <v>34</v>
      </c>
      <c r="E6298" s="19" t="s">
        <v>197</v>
      </c>
      <c r="F6298" s="20" t="s">
        <v>452</v>
      </c>
    </row>
    <row r="6299" customFormat="false" ht="15" hidden="false" customHeight="false" outlineLevel="0" collapsed="false">
      <c r="A6299" s="4" t="str">
        <f aca="false">B6299&amp;"|"&amp;C6299</f>
        <v>tdbR00000149 His-GUG|35</v>
      </c>
      <c r="B6299" s="4" t="s">
        <v>124</v>
      </c>
      <c r="C6299" s="4" t="s">
        <v>455</v>
      </c>
      <c r="D6299" s="4" t="n">
        <v>35</v>
      </c>
      <c r="E6299" s="19" t="s">
        <v>259</v>
      </c>
      <c r="F6299" s="20" t="s">
        <v>452</v>
      </c>
    </row>
    <row r="6300" customFormat="false" ht="15" hidden="false" customHeight="false" outlineLevel="0" collapsed="false">
      <c r="A6300" s="4" t="str">
        <f aca="false">B6300&amp;"|"&amp;C6300</f>
        <v>tdbR00000149 His-GUG|36</v>
      </c>
      <c r="B6300" s="4" t="s">
        <v>124</v>
      </c>
      <c r="C6300" s="4" t="s">
        <v>456</v>
      </c>
      <c r="D6300" s="4" t="n">
        <v>36</v>
      </c>
      <c r="E6300" s="19" t="s">
        <v>197</v>
      </c>
      <c r="F6300" s="20" t="s">
        <v>452</v>
      </c>
    </row>
    <row r="6301" customFormat="false" ht="15" hidden="false" customHeight="false" outlineLevel="0" collapsed="false">
      <c r="A6301" s="4" t="str">
        <f aca="false">B6301&amp;"|"&amp;C6301</f>
        <v>tdbR00000149 His-GUG|37</v>
      </c>
      <c r="B6301" s="4" t="s">
        <v>124</v>
      </c>
      <c r="C6301" s="4" t="s">
        <v>457</v>
      </c>
      <c r="D6301" s="4" t="n">
        <v>37</v>
      </c>
      <c r="E6301" s="19" t="s">
        <v>197</v>
      </c>
      <c r="F6301" s="20" t="s">
        <v>452</v>
      </c>
    </row>
    <row r="6302" customFormat="false" ht="15" hidden="false" customHeight="false" outlineLevel="0" collapsed="false">
      <c r="A6302" s="4" t="str">
        <f aca="false">B6302&amp;"|"&amp;C6302</f>
        <v>tdbR00000149 His-GUG|38</v>
      </c>
      <c r="B6302" s="4" t="s">
        <v>124</v>
      </c>
      <c r="C6302" s="4" t="s">
        <v>458</v>
      </c>
      <c r="D6302" s="4" t="n">
        <v>38</v>
      </c>
      <c r="E6302" s="19" t="s">
        <v>414</v>
      </c>
      <c r="F6302" s="20" t="s">
        <v>452</v>
      </c>
    </row>
    <row r="6303" customFormat="false" ht="15" hidden="false" customHeight="false" outlineLevel="0" collapsed="false">
      <c r="A6303" s="4" t="str">
        <f aca="false">B6303&amp;"|"&amp;C6303</f>
        <v>tdbR00000149 His-GUG|39</v>
      </c>
      <c r="B6303" s="4" t="s">
        <v>124</v>
      </c>
      <c r="C6303" s="4" t="s">
        <v>459</v>
      </c>
      <c r="D6303" s="4" t="n">
        <v>39</v>
      </c>
      <c r="E6303" s="21" t="s">
        <v>414</v>
      </c>
      <c r="F6303" s="22" t="s">
        <v>446</v>
      </c>
    </row>
    <row r="6304" customFormat="false" ht="15" hidden="false" customHeight="false" outlineLevel="0" collapsed="false">
      <c r="A6304" s="4" t="str">
        <f aca="false">B6304&amp;"|"&amp;C6304</f>
        <v>tdbR00000149 His-GUG|40</v>
      </c>
      <c r="B6304" s="4" t="s">
        <v>124</v>
      </c>
      <c r="C6304" s="4" t="s">
        <v>460</v>
      </c>
      <c r="D6304" s="4" t="n">
        <v>40</v>
      </c>
      <c r="E6304" s="21" t="s">
        <v>197</v>
      </c>
      <c r="F6304" s="22" t="s">
        <v>446</v>
      </c>
    </row>
    <row r="6305" customFormat="false" ht="15" hidden="false" customHeight="false" outlineLevel="0" collapsed="false">
      <c r="A6305" s="4" t="str">
        <f aca="false">B6305&amp;"|"&amp;C6305</f>
        <v>tdbR00000149 His-GUG|41</v>
      </c>
      <c r="B6305" s="4" t="s">
        <v>124</v>
      </c>
      <c r="C6305" s="4" t="s">
        <v>461</v>
      </c>
      <c r="D6305" s="4" t="n">
        <v>41</v>
      </c>
      <c r="E6305" s="21" t="s">
        <v>414</v>
      </c>
      <c r="F6305" s="22" t="s">
        <v>446</v>
      </c>
    </row>
    <row r="6306" customFormat="false" ht="15" hidden="false" customHeight="false" outlineLevel="0" collapsed="false">
      <c r="A6306" s="4" t="str">
        <f aca="false">B6306&amp;"|"&amp;C6306</f>
        <v>tdbR00000149 His-GUG|42</v>
      </c>
      <c r="B6306" s="4" t="s">
        <v>124</v>
      </c>
      <c r="C6306" s="4" t="s">
        <v>462</v>
      </c>
      <c r="D6306" s="4" t="n">
        <v>42</v>
      </c>
      <c r="E6306" s="21" t="s">
        <v>246</v>
      </c>
      <c r="F6306" s="22" t="s">
        <v>446</v>
      </c>
    </row>
    <row r="6307" customFormat="false" ht="15" hidden="false" customHeight="false" outlineLevel="0" collapsed="false">
      <c r="A6307" s="4" t="str">
        <f aca="false">B6307&amp;"|"&amp;C6307</f>
        <v>tdbR00000149 His-GUG|43</v>
      </c>
      <c r="B6307" s="4" t="s">
        <v>124</v>
      </c>
      <c r="C6307" s="4" t="s">
        <v>463</v>
      </c>
      <c r="D6307" s="4" t="n">
        <v>43</v>
      </c>
      <c r="E6307" s="21" t="s">
        <v>197</v>
      </c>
      <c r="F6307" s="22" t="s">
        <v>446</v>
      </c>
    </row>
    <row r="6308" customFormat="false" ht="15" hidden="false" customHeight="false" outlineLevel="0" collapsed="false">
      <c r="A6308" s="4" t="str">
        <f aca="false">B6308&amp;"|"&amp;C6308</f>
        <v>tdbR00000149 His-GUG|44</v>
      </c>
      <c r="B6308" s="4" t="s">
        <v>124</v>
      </c>
      <c r="C6308" s="4" t="s">
        <v>464</v>
      </c>
      <c r="D6308" s="4" t="n">
        <v>44</v>
      </c>
      <c r="E6308" s="19" t="s">
        <v>414</v>
      </c>
      <c r="F6308" s="20" t="s">
        <v>465</v>
      </c>
    </row>
    <row r="6309" customFormat="false" ht="15" hidden="false" customHeight="false" outlineLevel="0" collapsed="false">
      <c r="A6309" s="4" t="str">
        <f aca="false">B6309&amp;"|"&amp;C6309</f>
        <v>tdbR00000149 His-GUG|45</v>
      </c>
      <c r="B6309" s="4" t="s">
        <v>124</v>
      </c>
      <c r="C6309" s="4" t="s">
        <v>466</v>
      </c>
      <c r="D6309" s="4" t="n">
        <v>45</v>
      </c>
      <c r="E6309" s="19" t="s">
        <v>246</v>
      </c>
      <c r="F6309" s="20" t="s">
        <v>465</v>
      </c>
    </row>
    <row r="6310" customFormat="false" ht="15" hidden="false" customHeight="false" outlineLevel="0" collapsed="false">
      <c r="A6310" s="4" t="str">
        <f aca="false">B6310&amp;"|"&amp;C6310</f>
        <v>tdbR00000149 His-GUG|46</v>
      </c>
      <c r="B6310" s="4" t="s">
        <v>124</v>
      </c>
      <c r="C6310" s="4" t="s">
        <v>467</v>
      </c>
      <c r="D6310" s="4" t="n">
        <v>46</v>
      </c>
      <c r="E6310" s="19" t="s">
        <v>246</v>
      </c>
      <c r="F6310" s="20" t="s">
        <v>465</v>
      </c>
    </row>
    <row r="6311" customFormat="false" ht="15" hidden="false" customHeight="false" outlineLevel="0" collapsed="false">
      <c r="A6311" s="4" t="str">
        <f aca="false">B6311&amp;"|"&amp;C6311</f>
        <v>tdbR00000149 His-GUG|48</v>
      </c>
      <c r="B6311" s="4" t="s">
        <v>124</v>
      </c>
      <c r="C6311" s="4" t="s">
        <v>469</v>
      </c>
      <c r="D6311" s="4" t="n">
        <v>47</v>
      </c>
      <c r="E6311" s="19" t="s">
        <v>414</v>
      </c>
      <c r="F6311" s="20" t="s">
        <v>465</v>
      </c>
    </row>
    <row r="6312" customFormat="false" ht="15" hidden="false" customHeight="false" outlineLevel="0" collapsed="false">
      <c r="A6312" s="4" t="str">
        <f aca="false">B6312&amp;"|"&amp;C6312</f>
        <v>tdbR00000149 His-GUG|49</v>
      </c>
      <c r="B6312" s="4" t="s">
        <v>124</v>
      </c>
      <c r="C6312" s="4" t="s">
        <v>470</v>
      </c>
      <c r="D6312" s="4" t="n">
        <v>48</v>
      </c>
      <c r="E6312" s="23" t="s">
        <v>414</v>
      </c>
      <c r="F6312" s="10" t="s">
        <v>471</v>
      </c>
    </row>
    <row r="6313" customFormat="false" ht="15" hidden="false" customHeight="false" outlineLevel="0" collapsed="false">
      <c r="A6313" s="4" t="str">
        <f aca="false">B6313&amp;"|"&amp;C6313</f>
        <v>tdbR00000149 His-GUG|50</v>
      </c>
      <c r="B6313" s="4" t="s">
        <v>124</v>
      </c>
      <c r="C6313" s="4" t="s">
        <v>472</v>
      </c>
      <c r="D6313" s="4" t="n">
        <v>49</v>
      </c>
      <c r="E6313" s="23" t="s">
        <v>259</v>
      </c>
      <c r="F6313" s="10" t="s">
        <v>471</v>
      </c>
    </row>
    <row r="6314" customFormat="false" ht="15" hidden="false" customHeight="false" outlineLevel="0" collapsed="false">
      <c r="A6314" s="4" t="str">
        <f aca="false">B6314&amp;"|"&amp;C6314</f>
        <v>tdbR00000149 His-GUG|51</v>
      </c>
      <c r="B6314" s="4" t="s">
        <v>124</v>
      </c>
      <c r="C6314" s="4" t="s">
        <v>473</v>
      </c>
      <c r="D6314" s="4" t="n">
        <v>50</v>
      </c>
      <c r="E6314" s="23" t="s">
        <v>414</v>
      </c>
      <c r="F6314" s="10" t="s">
        <v>471</v>
      </c>
    </row>
    <row r="6315" customFormat="false" ht="15" hidden="false" customHeight="false" outlineLevel="0" collapsed="false">
      <c r="A6315" s="4" t="str">
        <f aca="false">B6315&amp;"|"&amp;C6315</f>
        <v>tdbR00000149 His-GUG|52</v>
      </c>
      <c r="B6315" s="4" t="s">
        <v>124</v>
      </c>
      <c r="C6315" s="4" t="s">
        <v>474</v>
      </c>
      <c r="D6315" s="4" t="n">
        <v>51</v>
      </c>
      <c r="E6315" s="23" t="s">
        <v>197</v>
      </c>
      <c r="F6315" s="10" t="s">
        <v>471</v>
      </c>
    </row>
    <row r="6316" customFormat="false" ht="15" hidden="false" customHeight="false" outlineLevel="0" collapsed="false">
      <c r="A6316" s="4" t="str">
        <f aca="false">B6316&amp;"|"&amp;C6316</f>
        <v>tdbR00000149 His-GUG|53</v>
      </c>
      <c r="B6316" s="4" t="s">
        <v>124</v>
      </c>
      <c r="C6316" s="4" t="s">
        <v>475</v>
      </c>
      <c r="D6316" s="4" t="n">
        <v>52</v>
      </c>
      <c r="E6316" s="23" t="s">
        <v>197</v>
      </c>
      <c r="F6316" s="10" t="s">
        <v>471</v>
      </c>
    </row>
    <row r="6317" customFormat="false" ht="15" hidden="false" customHeight="false" outlineLevel="0" collapsed="false">
      <c r="A6317" s="4" t="str">
        <f aca="false">B6317&amp;"|"&amp;C6317</f>
        <v>tdbR00000149 His-GUG|54</v>
      </c>
      <c r="B6317" s="4" t="s">
        <v>124</v>
      </c>
      <c r="C6317" s="4" t="s">
        <v>476</v>
      </c>
      <c r="D6317" s="4" t="n">
        <v>53</v>
      </c>
      <c r="E6317" s="19" t="s">
        <v>259</v>
      </c>
      <c r="F6317" s="20" t="s">
        <v>477</v>
      </c>
    </row>
    <row r="6318" customFormat="false" ht="15" hidden="false" customHeight="false" outlineLevel="0" collapsed="false">
      <c r="A6318" s="4" t="str">
        <f aca="false">B6318&amp;"|"&amp;C6318</f>
        <v>tdbR00000149 His-GUG|55</v>
      </c>
      <c r="B6318" s="4" t="s">
        <v>124</v>
      </c>
      <c r="C6318" s="4" t="s">
        <v>478</v>
      </c>
      <c r="D6318" s="4" t="n">
        <v>54</v>
      </c>
      <c r="E6318" s="19" t="s">
        <v>259</v>
      </c>
      <c r="F6318" s="20" t="s">
        <v>477</v>
      </c>
    </row>
    <row r="6319" customFormat="false" ht="15" hidden="false" customHeight="false" outlineLevel="0" collapsed="false">
      <c r="A6319" s="4" t="str">
        <f aca="false">B6319&amp;"|"&amp;C6319</f>
        <v>tdbR00000149 His-GUG|56</v>
      </c>
      <c r="B6319" s="4" t="s">
        <v>124</v>
      </c>
      <c r="C6319" s="4" t="s">
        <v>479</v>
      </c>
      <c r="D6319" s="4" t="n">
        <v>55</v>
      </c>
      <c r="E6319" s="19" t="s">
        <v>414</v>
      </c>
      <c r="F6319" s="20" t="s">
        <v>477</v>
      </c>
    </row>
    <row r="6320" customFormat="false" ht="15" hidden="false" customHeight="false" outlineLevel="0" collapsed="false">
      <c r="A6320" s="4" t="str">
        <f aca="false">B6320&amp;"|"&amp;C6320</f>
        <v>tdbR00000149 His-GUG|57</v>
      </c>
      <c r="B6320" s="4" t="s">
        <v>124</v>
      </c>
      <c r="C6320" s="4" t="s">
        <v>480</v>
      </c>
      <c r="D6320" s="4" t="n">
        <v>56</v>
      </c>
      <c r="E6320" s="19" t="s">
        <v>197</v>
      </c>
      <c r="F6320" s="20" t="s">
        <v>477</v>
      </c>
    </row>
    <row r="6321" customFormat="false" ht="15" hidden="false" customHeight="false" outlineLevel="0" collapsed="false">
      <c r="A6321" s="4" t="str">
        <f aca="false">B6321&amp;"|"&amp;C6321</f>
        <v>tdbR00000149 His-GUG|58</v>
      </c>
      <c r="B6321" s="4" t="s">
        <v>124</v>
      </c>
      <c r="C6321" s="4" t="s">
        <v>481</v>
      </c>
      <c r="D6321" s="4" t="n">
        <v>57</v>
      </c>
      <c r="E6321" s="19" t="s">
        <v>246</v>
      </c>
      <c r="F6321" s="20" t="s">
        <v>477</v>
      </c>
    </row>
    <row r="6322" customFormat="false" ht="15" hidden="false" customHeight="false" outlineLevel="0" collapsed="false">
      <c r="A6322" s="4" t="str">
        <f aca="false">B6322&amp;"|"&amp;C6322</f>
        <v>tdbR00000149 His-GUG|59</v>
      </c>
      <c r="B6322" s="4" t="s">
        <v>124</v>
      </c>
      <c r="C6322" s="4" t="s">
        <v>482</v>
      </c>
      <c r="D6322" s="4" t="n">
        <v>58</v>
      </c>
      <c r="E6322" s="19" t="s">
        <v>246</v>
      </c>
      <c r="F6322" s="20" t="s">
        <v>477</v>
      </c>
    </row>
    <row r="6323" customFormat="false" ht="15" hidden="false" customHeight="false" outlineLevel="0" collapsed="false">
      <c r="A6323" s="4" t="str">
        <f aca="false">B6323&amp;"|"&amp;C6323</f>
        <v>tdbR00000149 His-GUG|60</v>
      </c>
      <c r="B6323" s="4" t="s">
        <v>124</v>
      </c>
      <c r="C6323" s="4" t="s">
        <v>483</v>
      </c>
      <c r="D6323" s="4" t="n">
        <v>59</v>
      </c>
      <c r="E6323" s="19" t="s">
        <v>259</v>
      </c>
      <c r="F6323" s="20" t="s">
        <v>477</v>
      </c>
    </row>
    <row r="6324" customFormat="false" ht="15" hidden="false" customHeight="false" outlineLevel="0" collapsed="false">
      <c r="A6324" s="4" t="str">
        <f aca="false">B6324&amp;"|"&amp;C6324</f>
        <v>tdbR00000149 His-GUG|61</v>
      </c>
      <c r="B6324" s="4" t="s">
        <v>124</v>
      </c>
      <c r="C6324" s="4" t="s">
        <v>484</v>
      </c>
      <c r="D6324" s="4" t="n">
        <v>60</v>
      </c>
      <c r="E6324" s="23" t="s">
        <v>414</v>
      </c>
      <c r="F6324" s="10" t="s">
        <v>471</v>
      </c>
    </row>
    <row r="6325" customFormat="false" ht="15" hidden="false" customHeight="false" outlineLevel="0" collapsed="false">
      <c r="A6325" s="4" t="str">
        <f aca="false">B6325&amp;"|"&amp;C6325</f>
        <v>tdbR00000149 His-GUG|62</v>
      </c>
      <c r="B6325" s="4" t="s">
        <v>124</v>
      </c>
      <c r="C6325" s="4" t="s">
        <v>485</v>
      </c>
      <c r="D6325" s="4" t="n">
        <v>61</v>
      </c>
      <c r="E6325" s="23" t="s">
        <v>414</v>
      </c>
      <c r="F6325" s="10" t="s">
        <v>471</v>
      </c>
    </row>
    <row r="6326" customFormat="false" ht="15" hidden="false" customHeight="false" outlineLevel="0" collapsed="false">
      <c r="A6326" s="4" t="str">
        <f aca="false">B6326&amp;"|"&amp;C6326</f>
        <v>tdbR00000149 His-GUG|63</v>
      </c>
      <c r="B6326" s="4" t="s">
        <v>124</v>
      </c>
      <c r="C6326" s="4" t="s">
        <v>486</v>
      </c>
      <c r="D6326" s="4" t="n">
        <v>62</v>
      </c>
      <c r="E6326" s="23" t="s">
        <v>197</v>
      </c>
      <c r="F6326" s="10" t="s">
        <v>471</v>
      </c>
    </row>
    <row r="6327" customFormat="false" ht="15" hidden="false" customHeight="false" outlineLevel="0" collapsed="false">
      <c r="A6327" s="4" t="str">
        <f aca="false">B6327&amp;"|"&amp;C6327</f>
        <v>tdbR00000149 His-GUG|64</v>
      </c>
      <c r="B6327" s="4" t="s">
        <v>124</v>
      </c>
      <c r="C6327" s="4" t="s">
        <v>487</v>
      </c>
      <c r="D6327" s="4" t="n">
        <v>63</v>
      </c>
      <c r="E6327" s="23" t="s">
        <v>246</v>
      </c>
      <c r="F6327" s="10" t="s">
        <v>471</v>
      </c>
    </row>
    <row r="6328" customFormat="false" ht="15" hidden="false" customHeight="false" outlineLevel="0" collapsed="false">
      <c r="A6328" s="4" t="str">
        <f aca="false">B6328&amp;"|"&amp;C6328</f>
        <v>tdbR00000149 His-GUG|65</v>
      </c>
      <c r="B6328" s="4" t="s">
        <v>124</v>
      </c>
      <c r="C6328" s="4" t="s">
        <v>488</v>
      </c>
      <c r="D6328" s="4" t="n">
        <v>64</v>
      </c>
      <c r="E6328" s="23" t="s">
        <v>197</v>
      </c>
      <c r="F6328" s="10" t="s">
        <v>471</v>
      </c>
    </row>
    <row r="6329" customFormat="false" ht="15" hidden="false" customHeight="false" outlineLevel="0" collapsed="false">
      <c r="A6329" s="4" t="str">
        <f aca="false">B6329&amp;"|"&amp;C6329</f>
        <v>tdbR00000149 His-GUG|66</v>
      </c>
      <c r="B6329" s="4" t="s">
        <v>124</v>
      </c>
      <c r="C6329" s="4" t="s">
        <v>489</v>
      </c>
      <c r="D6329" s="4" t="n">
        <v>65</v>
      </c>
      <c r="E6329" s="17" t="s">
        <v>259</v>
      </c>
      <c r="F6329" s="18" t="s">
        <v>412</v>
      </c>
    </row>
    <row r="6330" customFormat="false" ht="15" hidden="false" customHeight="false" outlineLevel="0" collapsed="false">
      <c r="A6330" s="4" t="str">
        <f aca="false">B6330&amp;"|"&amp;C6330</f>
        <v>tdbR00000149 His-GUG|67</v>
      </c>
      <c r="B6330" s="4" t="s">
        <v>124</v>
      </c>
      <c r="C6330" s="4" t="s">
        <v>490</v>
      </c>
      <c r="D6330" s="4" t="n">
        <v>66</v>
      </c>
      <c r="E6330" s="17" t="s">
        <v>414</v>
      </c>
      <c r="F6330" s="18" t="s">
        <v>412</v>
      </c>
    </row>
    <row r="6331" customFormat="false" ht="15" hidden="false" customHeight="false" outlineLevel="0" collapsed="false">
      <c r="A6331" s="4" t="str">
        <f aca="false">B6331&amp;"|"&amp;C6331</f>
        <v>tdbR00000149 His-GUG|68</v>
      </c>
      <c r="B6331" s="4" t="s">
        <v>124</v>
      </c>
      <c r="C6331" s="4" t="s">
        <v>491</v>
      </c>
      <c r="D6331" s="4" t="n">
        <v>67</v>
      </c>
      <c r="E6331" s="17" t="s">
        <v>246</v>
      </c>
      <c r="F6331" s="18" t="s">
        <v>412</v>
      </c>
    </row>
    <row r="6332" customFormat="false" ht="15" hidden="false" customHeight="false" outlineLevel="0" collapsed="false">
      <c r="A6332" s="4" t="str">
        <f aca="false">B6332&amp;"|"&amp;C6332</f>
        <v>tdbR00000149 His-GUG|69</v>
      </c>
      <c r="B6332" s="4" t="s">
        <v>124</v>
      </c>
      <c r="C6332" s="4" t="s">
        <v>492</v>
      </c>
      <c r="D6332" s="4" t="n">
        <v>68</v>
      </c>
      <c r="E6332" s="17" t="s">
        <v>414</v>
      </c>
      <c r="F6332" s="18" t="s">
        <v>412</v>
      </c>
    </row>
    <row r="6333" customFormat="false" ht="15" hidden="false" customHeight="false" outlineLevel="0" collapsed="false">
      <c r="A6333" s="4" t="str">
        <f aca="false">B6333&amp;"|"&amp;C6333</f>
        <v>tdbR00000149 His-GUG|70</v>
      </c>
      <c r="B6333" s="4" t="s">
        <v>124</v>
      </c>
      <c r="C6333" s="4" t="s">
        <v>493</v>
      </c>
      <c r="D6333" s="4" t="n">
        <v>69</v>
      </c>
      <c r="E6333" s="17" t="s">
        <v>197</v>
      </c>
      <c r="F6333" s="18" t="s">
        <v>412</v>
      </c>
    </row>
    <row r="6334" customFormat="false" ht="15" hidden="false" customHeight="false" outlineLevel="0" collapsed="false">
      <c r="A6334" s="4" t="str">
        <f aca="false">B6334&amp;"|"&amp;C6334</f>
        <v>tdbR00000149 His-GUG|71</v>
      </c>
      <c r="B6334" s="4" t="s">
        <v>124</v>
      </c>
      <c r="C6334" s="4" t="s">
        <v>494</v>
      </c>
      <c r="D6334" s="4" t="n">
        <v>70</v>
      </c>
      <c r="E6334" s="17" t="s">
        <v>197</v>
      </c>
      <c r="F6334" s="18" t="s">
        <v>412</v>
      </c>
    </row>
    <row r="6335" customFormat="false" ht="15" hidden="false" customHeight="false" outlineLevel="0" collapsed="false">
      <c r="A6335" s="4" t="str">
        <f aca="false">B6335&amp;"|"&amp;C6335</f>
        <v>tdbR00000149 His-GUG|72</v>
      </c>
      <c r="B6335" s="4" t="s">
        <v>124</v>
      </c>
      <c r="C6335" s="4" t="s">
        <v>495</v>
      </c>
      <c r="D6335" s="4" t="n">
        <v>71</v>
      </c>
      <c r="E6335" s="17" t="s">
        <v>414</v>
      </c>
      <c r="F6335" s="18" t="s">
        <v>412</v>
      </c>
    </row>
    <row r="6336" customFormat="false" ht="15" hidden="false" customHeight="false" outlineLevel="0" collapsed="false">
      <c r="A6336" s="4" t="str">
        <f aca="false">B6336&amp;"|"&amp;C6336</f>
        <v>tdbR00000289 Met-CAU|1</v>
      </c>
      <c r="B6336" s="4" t="s">
        <v>125</v>
      </c>
      <c r="C6336" s="4" t="s">
        <v>411</v>
      </c>
      <c r="D6336" s="4" t="n">
        <v>1</v>
      </c>
      <c r="E6336" s="17" t="s">
        <v>197</v>
      </c>
      <c r="F6336" s="18" t="s">
        <v>412</v>
      </c>
    </row>
    <row r="6337" customFormat="false" ht="15" hidden="false" customHeight="false" outlineLevel="0" collapsed="false">
      <c r="A6337" s="4" t="str">
        <f aca="false">B6337&amp;"|"&amp;C6337</f>
        <v>tdbR00000289 Met-CAU|2</v>
      </c>
      <c r="B6337" s="4" t="s">
        <v>125</v>
      </c>
      <c r="C6337" s="4" t="s">
        <v>413</v>
      </c>
      <c r="D6337" s="4" t="n">
        <v>2</v>
      </c>
      <c r="E6337" s="17" t="s">
        <v>414</v>
      </c>
      <c r="F6337" s="18" t="s">
        <v>412</v>
      </c>
    </row>
    <row r="6338" customFormat="false" ht="15" hidden="false" customHeight="false" outlineLevel="0" collapsed="false">
      <c r="A6338" s="4" t="str">
        <f aca="false">B6338&amp;"|"&amp;C6338</f>
        <v>tdbR00000289 Met-CAU|3</v>
      </c>
      <c r="B6338" s="4" t="s">
        <v>125</v>
      </c>
      <c r="C6338" s="4" t="s">
        <v>415</v>
      </c>
      <c r="D6338" s="4" t="n">
        <v>3</v>
      </c>
      <c r="E6338" s="17" t="s">
        <v>414</v>
      </c>
      <c r="F6338" s="18" t="s">
        <v>412</v>
      </c>
    </row>
    <row r="6339" customFormat="false" ht="15" hidden="false" customHeight="false" outlineLevel="0" collapsed="false">
      <c r="A6339" s="4" t="str">
        <f aca="false">B6339&amp;"|"&amp;C6339</f>
        <v>tdbR00000289 Met-CAU|4</v>
      </c>
      <c r="B6339" s="4" t="s">
        <v>125</v>
      </c>
      <c r="C6339" s="4" t="s">
        <v>416</v>
      </c>
      <c r="D6339" s="4" t="n">
        <v>4</v>
      </c>
      <c r="E6339" s="17" t="s">
        <v>259</v>
      </c>
      <c r="F6339" s="18" t="s">
        <v>412</v>
      </c>
    </row>
    <row r="6340" customFormat="false" ht="15" hidden="false" customHeight="false" outlineLevel="0" collapsed="false">
      <c r="A6340" s="4" t="str">
        <f aca="false">B6340&amp;"|"&amp;C6340</f>
        <v>tdbR00000289 Met-CAU|5</v>
      </c>
      <c r="B6340" s="4" t="s">
        <v>125</v>
      </c>
      <c r="C6340" s="4" t="s">
        <v>417</v>
      </c>
      <c r="D6340" s="4" t="n">
        <v>5</v>
      </c>
      <c r="E6340" s="17" t="s">
        <v>414</v>
      </c>
      <c r="F6340" s="18" t="s">
        <v>412</v>
      </c>
    </row>
    <row r="6341" customFormat="false" ht="15" hidden="false" customHeight="false" outlineLevel="0" collapsed="false">
      <c r="A6341" s="4" t="str">
        <f aca="false">B6341&amp;"|"&amp;C6341</f>
        <v>tdbR00000289 Met-CAU|6</v>
      </c>
      <c r="B6341" s="4" t="s">
        <v>125</v>
      </c>
      <c r="C6341" s="4" t="s">
        <v>418</v>
      </c>
      <c r="D6341" s="4" t="n">
        <v>6</v>
      </c>
      <c r="E6341" s="17" t="s">
        <v>197</v>
      </c>
      <c r="F6341" s="18" t="s">
        <v>412</v>
      </c>
    </row>
    <row r="6342" customFormat="false" ht="15" hidden="false" customHeight="false" outlineLevel="0" collapsed="false">
      <c r="A6342" s="4" t="str">
        <f aca="false">B6342&amp;"|"&amp;C6342</f>
        <v>tdbR00000289 Met-CAU|7</v>
      </c>
      <c r="B6342" s="4" t="s">
        <v>125</v>
      </c>
      <c r="C6342" s="4" t="s">
        <v>419</v>
      </c>
      <c r="D6342" s="4" t="n">
        <v>7</v>
      </c>
      <c r="E6342" s="17" t="s">
        <v>259</v>
      </c>
      <c r="F6342" s="18" t="s">
        <v>412</v>
      </c>
    </row>
    <row r="6343" customFormat="false" ht="15" hidden="false" customHeight="false" outlineLevel="0" collapsed="false">
      <c r="A6343" s="4" t="str">
        <f aca="false">B6343&amp;"|"&amp;C6343</f>
        <v>tdbR00000289 Met-CAU|8</v>
      </c>
      <c r="B6343" s="4" t="s">
        <v>125</v>
      </c>
      <c r="C6343" s="4" t="s">
        <v>420</v>
      </c>
      <c r="D6343" s="4" t="n">
        <v>8</v>
      </c>
      <c r="E6343" s="3" t="s">
        <v>259</v>
      </c>
      <c r="F6343" s="4" t="s">
        <v>421</v>
      </c>
    </row>
    <row r="6344" customFormat="false" ht="15" hidden="false" customHeight="false" outlineLevel="0" collapsed="false">
      <c r="A6344" s="4" t="str">
        <f aca="false">B6344&amp;"|"&amp;C6344</f>
        <v>tdbR00000289 Met-CAU|9</v>
      </c>
      <c r="B6344" s="4" t="s">
        <v>125</v>
      </c>
      <c r="C6344" s="4" t="s">
        <v>422</v>
      </c>
      <c r="D6344" s="4" t="n">
        <v>9</v>
      </c>
      <c r="E6344" s="3" t="s">
        <v>246</v>
      </c>
      <c r="F6344" s="4" t="s">
        <v>423</v>
      </c>
    </row>
    <row r="6345" customFormat="false" ht="15" hidden="false" customHeight="false" outlineLevel="0" collapsed="false">
      <c r="A6345" s="4" t="str">
        <f aca="false">B6345&amp;"|"&amp;C6345</f>
        <v>tdbR00000289 Met-CAU|10</v>
      </c>
      <c r="B6345" s="4" t="s">
        <v>125</v>
      </c>
      <c r="C6345" s="4" t="s">
        <v>424</v>
      </c>
      <c r="D6345" s="4" t="n">
        <v>10</v>
      </c>
      <c r="E6345" s="8" t="s">
        <v>197</v>
      </c>
      <c r="F6345" s="7" t="s">
        <v>425</v>
      </c>
    </row>
    <row r="6346" customFormat="false" ht="15" hidden="false" customHeight="false" outlineLevel="0" collapsed="false">
      <c r="A6346" s="4" t="str">
        <f aca="false">B6346&amp;"|"&amp;C6346</f>
        <v>tdbR00000289 Met-CAU|11</v>
      </c>
      <c r="B6346" s="4" t="s">
        <v>125</v>
      </c>
      <c r="C6346" s="4" t="s">
        <v>426</v>
      </c>
      <c r="D6346" s="4" t="n">
        <v>11</v>
      </c>
      <c r="E6346" s="8" t="s">
        <v>414</v>
      </c>
      <c r="F6346" s="7" t="s">
        <v>425</v>
      </c>
    </row>
    <row r="6347" customFormat="false" ht="15" hidden="false" customHeight="false" outlineLevel="0" collapsed="false">
      <c r="A6347" s="4" t="str">
        <f aca="false">B6347&amp;"|"&amp;C6347</f>
        <v>tdbR00000289 Met-CAU|12</v>
      </c>
      <c r="B6347" s="4" t="s">
        <v>125</v>
      </c>
      <c r="C6347" s="4" t="s">
        <v>427</v>
      </c>
      <c r="D6347" s="4" t="n">
        <v>12</v>
      </c>
      <c r="E6347" s="8" t="s">
        <v>197</v>
      </c>
      <c r="F6347" s="7" t="s">
        <v>425</v>
      </c>
    </row>
    <row r="6348" customFormat="false" ht="15" hidden="false" customHeight="false" outlineLevel="0" collapsed="false">
      <c r="A6348" s="4" t="str">
        <f aca="false">B6348&amp;"|"&amp;C6348</f>
        <v>tdbR00000289 Met-CAU|13</v>
      </c>
      <c r="B6348" s="4" t="s">
        <v>125</v>
      </c>
      <c r="C6348" s="4" t="s">
        <v>428</v>
      </c>
      <c r="D6348" s="4" t="n">
        <v>13</v>
      </c>
      <c r="E6348" s="8" t="s">
        <v>414</v>
      </c>
      <c r="F6348" s="7" t="s">
        <v>425</v>
      </c>
    </row>
    <row r="6349" customFormat="false" ht="15" hidden="false" customHeight="false" outlineLevel="0" collapsed="false">
      <c r="A6349" s="4" t="str">
        <f aca="false">B6349&amp;"|"&amp;C6349</f>
        <v>tdbR00000289 Met-CAU|14</v>
      </c>
      <c r="B6349" s="4" t="s">
        <v>125</v>
      </c>
      <c r="C6349" s="4" t="s">
        <v>429</v>
      </c>
      <c r="D6349" s="4" t="n">
        <v>14</v>
      </c>
      <c r="E6349" s="19" t="s">
        <v>246</v>
      </c>
      <c r="F6349" s="20" t="s">
        <v>430</v>
      </c>
    </row>
    <row r="6350" customFormat="false" ht="15" hidden="false" customHeight="false" outlineLevel="0" collapsed="false">
      <c r="A6350" s="4" t="str">
        <f aca="false">B6350&amp;"|"&amp;C6350</f>
        <v>tdbR00000289 Met-CAU|15</v>
      </c>
      <c r="B6350" s="4" t="s">
        <v>125</v>
      </c>
      <c r="C6350" s="4" t="s">
        <v>431</v>
      </c>
      <c r="D6350" s="4" t="n">
        <v>15</v>
      </c>
      <c r="E6350" s="19" t="s">
        <v>197</v>
      </c>
      <c r="F6350" s="20" t="s">
        <v>430</v>
      </c>
    </row>
    <row r="6351" customFormat="false" ht="15" hidden="false" customHeight="false" outlineLevel="0" collapsed="false">
      <c r="A6351" s="4" t="str">
        <f aca="false">B6351&amp;"|"&amp;C6351</f>
        <v>tdbR00000289 Met-CAU|16</v>
      </c>
      <c r="B6351" s="4" t="s">
        <v>125</v>
      </c>
      <c r="C6351" s="4" t="s">
        <v>432</v>
      </c>
      <c r="D6351" s="4" t="n">
        <v>16</v>
      </c>
      <c r="E6351" s="19" t="s">
        <v>259</v>
      </c>
      <c r="F6351" s="20" t="s">
        <v>430</v>
      </c>
    </row>
    <row r="6352" customFormat="false" ht="15" hidden="false" customHeight="false" outlineLevel="0" collapsed="false">
      <c r="A6352" s="4" t="str">
        <f aca="false">B6352&amp;"|"&amp;C6352</f>
        <v>tdbR00000289 Met-CAU|17</v>
      </c>
      <c r="B6352" s="4" t="s">
        <v>125</v>
      </c>
      <c r="C6352" s="4" t="s">
        <v>433</v>
      </c>
      <c r="D6352" s="4" t="n">
        <v>17</v>
      </c>
      <c r="E6352" s="19" t="s">
        <v>246</v>
      </c>
      <c r="F6352" s="20" t="s">
        <v>430</v>
      </c>
    </row>
    <row r="6353" customFormat="false" ht="15" hidden="false" customHeight="false" outlineLevel="0" collapsed="false">
      <c r="A6353" s="4" t="str">
        <f aca="false">B6353&amp;"|"&amp;C6353</f>
        <v>tdbR00000289 Met-CAU|18</v>
      </c>
      <c r="B6353" s="4" t="s">
        <v>125</v>
      </c>
      <c r="C6353" s="4" t="s">
        <v>434</v>
      </c>
      <c r="D6353" s="4" t="n">
        <v>18</v>
      </c>
      <c r="E6353" s="19" t="s">
        <v>197</v>
      </c>
      <c r="F6353" s="20" t="s">
        <v>430</v>
      </c>
    </row>
    <row r="6354" customFormat="false" ht="15" hidden="false" customHeight="false" outlineLevel="0" collapsed="false">
      <c r="A6354" s="4" t="str">
        <f aca="false">B6354&amp;"|"&amp;C6354</f>
        <v>tdbR00000289 Met-CAU|19</v>
      </c>
      <c r="B6354" s="4" t="s">
        <v>125</v>
      </c>
      <c r="C6354" s="4" t="s">
        <v>435</v>
      </c>
      <c r="D6354" s="4" t="n">
        <v>19</v>
      </c>
      <c r="E6354" s="19" t="s">
        <v>197</v>
      </c>
      <c r="F6354" s="20" t="s">
        <v>430</v>
      </c>
    </row>
    <row r="6355" customFormat="false" ht="15" hidden="false" customHeight="false" outlineLevel="0" collapsed="false">
      <c r="A6355" s="4" t="str">
        <f aca="false">B6355&amp;"|"&amp;C6355</f>
        <v>tdbR00000289 Met-CAU|20</v>
      </c>
      <c r="B6355" s="4" t="s">
        <v>125</v>
      </c>
      <c r="C6355" s="4" t="s">
        <v>436</v>
      </c>
      <c r="D6355" s="4" t="n">
        <v>20</v>
      </c>
      <c r="E6355" s="19" t="s">
        <v>259</v>
      </c>
      <c r="F6355" s="20" t="s">
        <v>430</v>
      </c>
    </row>
    <row r="6356" customFormat="false" ht="15" hidden="false" customHeight="false" outlineLevel="0" collapsed="false">
      <c r="A6356" s="4" t="str">
        <f aca="false">B6356&amp;"|"&amp;C6356</f>
        <v>tdbR00000289 Met-CAU|21</v>
      </c>
      <c r="B6356" s="4" t="s">
        <v>125</v>
      </c>
      <c r="C6356" s="4" t="s">
        <v>438</v>
      </c>
      <c r="D6356" s="4" t="n">
        <v>21</v>
      </c>
      <c r="E6356" s="19" t="s">
        <v>246</v>
      </c>
      <c r="F6356" s="20" t="s">
        <v>430</v>
      </c>
    </row>
    <row r="6357" customFormat="false" ht="15" hidden="false" customHeight="false" outlineLevel="0" collapsed="false">
      <c r="A6357" s="4" t="str">
        <f aca="false">B6357&amp;"|"&amp;C6357</f>
        <v>tdbR00000289 Met-CAU|22</v>
      </c>
      <c r="B6357" s="4" t="s">
        <v>125</v>
      </c>
      <c r="C6357" s="4" t="s">
        <v>439</v>
      </c>
      <c r="D6357" s="4" t="n">
        <v>22</v>
      </c>
      <c r="E6357" s="8" t="s">
        <v>197</v>
      </c>
      <c r="F6357" s="7" t="s">
        <v>425</v>
      </c>
    </row>
    <row r="6358" customFormat="false" ht="15" hidden="false" customHeight="false" outlineLevel="0" collapsed="false">
      <c r="A6358" s="4" t="str">
        <f aca="false">B6358&amp;"|"&amp;C6358</f>
        <v>tdbR00000289 Met-CAU|23</v>
      </c>
      <c r="B6358" s="4" t="s">
        <v>125</v>
      </c>
      <c r="C6358" s="4" t="s">
        <v>440</v>
      </c>
      <c r="D6358" s="4" t="n">
        <v>23</v>
      </c>
      <c r="E6358" s="8" t="s">
        <v>414</v>
      </c>
      <c r="F6358" s="7" t="s">
        <v>425</v>
      </c>
    </row>
    <row r="6359" customFormat="false" ht="15" hidden="false" customHeight="false" outlineLevel="0" collapsed="false">
      <c r="A6359" s="4" t="str">
        <f aca="false">B6359&amp;"|"&amp;C6359</f>
        <v>tdbR00000289 Met-CAU|24</v>
      </c>
      <c r="B6359" s="4" t="s">
        <v>125</v>
      </c>
      <c r="C6359" s="4" t="s">
        <v>441</v>
      </c>
      <c r="D6359" s="4" t="n">
        <v>24</v>
      </c>
      <c r="E6359" s="8" t="s">
        <v>197</v>
      </c>
      <c r="F6359" s="7" t="s">
        <v>425</v>
      </c>
    </row>
    <row r="6360" customFormat="false" ht="15" hidden="false" customHeight="false" outlineLevel="0" collapsed="false">
      <c r="A6360" s="4" t="str">
        <f aca="false">B6360&amp;"|"&amp;C6360</f>
        <v>tdbR00000289 Met-CAU|25</v>
      </c>
      <c r="B6360" s="4" t="s">
        <v>125</v>
      </c>
      <c r="C6360" s="4" t="s">
        <v>442</v>
      </c>
      <c r="D6360" s="4" t="n">
        <v>25</v>
      </c>
      <c r="E6360" s="8" t="s">
        <v>414</v>
      </c>
      <c r="F6360" s="7" t="s">
        <v>425</v>
      </c>
    </row>
    <row r="6361" customFormat="false" ht="15" hidden="false" customHeight="false" outlineLevel="0" collapsed="false">
      <c r="A6361" s="4" t="str">
        <f aca="false">B6361&amp;"|"&amp;C6361</f>
        <v>tdbR00000289 Met-CAU|26</v>
      </c>
      <c r="B6361" s="4" t="s">
        <v>125</v>
      </c>
      <c r="C6361" s="4" t="s">
        <v>443</v>
      </c>
      <c r="D6361" s="4" t="n">
        <v>26</v>
      </c>
      <c r="E6361" s="3" t="s">
        <v>197</v>
      </c>
      <c r="F6361" s="4" t="s">
        <v>444</v>
      </c>
    </row>
    <row r="6362" customFormat="false" ht="15" hidden="false" customHeight="false" outlineLevel="0" collapsed="false">
      <c r="A6362" s="4" t="str">
        <f aca="false">B6362&amp;"|"&amp;C6362</f>
        <v>tdbR00000289 Met-CAU|27</v>
      </c>
      <c r="B6362" s="4" t="s">
        <v>125</v>
      </c>
      <c r="C6362" s="4" t="s">
        <v>445</v>
      </c>
      <c r="D6362" s="4" t="n">
        <v>27</v>
      </c>
      <c r="E6362" s="21" t="s">
        <v>259</v>
      </c>
      <c r="F6362" s="22" t="s">
        <v>446</v>
      </c>
    </row>
    <row r="6363" customFormat="false" ht="15" hidden="false" customHeight="false" outlineLevel="0" collapsed="false">
      <c r="A6363" s="4" t="str">
        <f aca="false">B6363&amp;"|"&amp;C6363</f>
        <v>tdbR00000289 Met-CAU|28</v>
      </c>
      <c r="B6363" s="4" t="s">
        <v>125</v>
      </c>
      <c r="C6363" s="4" t="s">
        <v>447</v>
      </c>
      <c r="D6363" s="4" t="n">
        <v>28</v>
      </c>
      <c r="E6363" s="21" t="s">
        <v>414</v>
      </c>
      <c r="F6363" s="22" t="s">
        <v>446</v>
      </c>
    </row>
    <row r="6364" customFormat="false" ht="15" hidden="false" customHeight="false" outlineLevel="0" collapsed="false">
      <c r="A6364" s="4" t="str">
        <f aca="false">B6364&amp;"|"&amp;C6364</f>
        <v>tdbR00000289 Met-CAU|29</v>
      </c>
      <c r="B6364" s="4" t="s">
        <v>125</v>
      </c>
      <c r="C6364" s="4" t="s">
        <v>448</v>
      </c>
      <c r="D6364" s="4" t="n">
        <v>29</v>
      </c>
      <c r="E6364" s="21" t="s">
        <v>246</v>
      </c>
      <c r="F6364" s="22" t="s">
        <v>446</v>
      </c>
    </row>
    <row r="6365" customFormat="false" ht="15" hidden="false" customHeight="false" outlineLevel="0" collapsed="false">
      <c r="A6365" s="4" t="str">
        <f aca="false">B6365&amp;"|"&amp;C6365</f>
        <v>tdbR00000289 Met-CAU|30</v>
      </c>
      <c r="B6365" s="4" t="s">
        <v>125</v>
      </c>
      <c r="C6365" s="4" t="s">
        <v>449</v>
      </c>
      <c r="D6365" s="4" t="n">
        <v>30</v>
      </c>
      <c r="E6365" s="21" t="s">
        <v>197</v>
      </c>
      <c r="F6365" s="22" t="s">
        <v>446</v>
      </c>
    </row>
    <row r="6366" customFormat="false" ht="15" hidden="false" customHeight="false" outlineLevel="0" collapsed="false">
      <c r="A6366" s="4" t="str">
        <f aca="false">B6366&amp;"|"&amp;C6366</f>
        <v>tdbR00000289 Met-CAU|31</v>
      </c>
      <c r="B6366" s="4" t="s">
        <v>125</v>
      </c>
      <c r="C6366" s="4" t="s">
        <v>450</v>
      </c>
      <c r="D6366" s="4" t="n">
        <v>31</v>
      </c>
      <c r="E6366" s="21" t="s">
        <v>259</v>
      </c>
      <c r="F6366" s="22" t="s">
        <v>446</v>
      </c>
    </row>
    <row r="6367" customFormat="false" ht="15" hidden="false" customHeight="false" outlineLevel="0" collapsed="false">
      <c r="A6367" s="4" t="str">
        <f aca="false">B6367&amp;"|"&amp;C6367</f>
        <v>tdbR00000289 Met-CAU|32</v>
      </c>
      <c r="B6367" s="4" t="s">
        <v>125</v>
      </c>
      <c r="C6367" s="4" t="s">
        <v>451</v>
      </c>
      <c r="D6367" s="4" t="n">
        <v>32</v>
      </c>
      <c r="E6367" s="19" t="s">
        <v>414</v>
      </c>
      <c r="F6367" s="20" t="s">
        <v>452</v>
      </c>
    </row>
    <row r="6368" customFormat="false" ht="15" hidden="false" customHeight="false" outlineLevel="0" collapsed="false">
      <c r="A6368" s="4" t="str">
        <f aca="false">B6368&amp;"|"&amp;C6368</f>
        <v>tdbR00000289 Met-CAU|33</v>
      </c>
      <c r="B6368" s="4" t="s">
        <v>125</v>
      </c>
      <c r="C6368" s="4" t="s">
        <v>453</v>
      </c>
      <c r="D6368" s="4" t="n">
        <v>33</v>
      </c>
      <c r="E6368" s="19" t="s">
        <v>259</v>
      </c>
      <c r="F6368" s="20" t="s">
        <v>452</v>
      </c>
    </row>
    <row r="6369" customFormat="false" ht="15" hidden="false" customHeight="false" outlineLevel="0" collapsed="false">
      <c r="A6369" s="4" t="str">
        <f aca="false">B6369&amp;"|"&amp;C6369</f>
        <v>tdbR00000289 Met-CAU|34</v>
      </c>
      <c r="B6369" s="4" t="s">
        <v>125</v>
      </c>
      <c r="C6369" s="4" t="s">
        <v>454</v>
      </c>
      <c r="D6369" s="4" t="n">
        <v>34</v>
      </c>
      <c r="E6369" s="19" t="s">
        <v>414</v>
      </c>
      <c r="F6369" s="20" t="s">
        <v>452</v>
      </c>
    </row>
    <row r="6370" customFormat="false" ht="15" hidden="false" customHeight="false" outlineLevel="0" collapsed="false">
      <c r="A6370" s="4" t="str">
        <f aca="false">B6370&amp;"|"&amp;C6370</f>
        <v>tdbR00000289 Met-CAU|35</v>
      </c>
      <c r="B6370" s="4" t="s">
        <v>125</v>
      </c>
      <c r="C6370" s="4" t="s">
        <v>455</v>
      </c>
      <c r="D6370" s="4" t="n">
        <v>35</v>
      </c>
      <c r="E6370" s="19" t="s">
        <v>246</v>
      </c>
      <c r="F6370" s="20" t="s">
        <v>452</v>
      </c>
    </row>
    <row r="6371" customFormat="false" ht="15" hidden="false" customHeight="false" outlineLevel="0" collapsed="false">
      <c r="A6371" s="4" t="str">
        <f aca="false">B6371&amp;"|"&amp;C6371</f>
        <v>tdbR00000289 Met-CAU|36</v>
      </c>
      <c r="B6371" s="4" t="s">
        <v>125</v>
      </c>
      <c r="C6371" s="4" t="s">
        <v>456</v>
      </c>
      <c r="D6371" s="4" t="n">
        <v>36</v>
      </c>
      <c r="E6371" s="19" t="s">
        <v>259</v>
      </c>
      <c r="F6371" s="20" t="s">
        <v>452</v>
      </c>
    </row>
    <row r="6372" customFormat="false" ht="15" hidden="false" customHeight="false" outlineLevel="0" collapsed="false">
      <c r="A6372" s="4" t="str">
        <f aca="false">B6372&amp;"|"&amp;C6372</f>
        <v>tdbR00000289 Met-CAU|37</v>
      </c>
      <c r="B6372" s="4" t="s">
        <v>125</v>
      </c>
      <c r="C6372" s="4" t="s">
        <v>457</v>
      </c>
      <c r="D6372" s="4" t="n">
        <v>37</v>
      </c>
      <c r="E6372" s="19" t="s">
        <v>246</v>
      </c>
      <c r="F6372" s="20" t="s">
        <v>452</v>
      </c>
    </row>
    <row r="6373" customFormat="false" ht="15" hidden="false" customHeight="false" outlineLevel="0" collapsed="false">
      <c r="A6373" s="4" t="str">
        <f aca="false">B6373&amp;"|"&amp;C6373</f>
        <v>tdbR00000289 Met-CAU|38</v>
      </c>
      <c r="B6373" s="4" t="s">
        <v>125</v>
      </c>
      <c r="C6373" s="4" t="s">
        <v>458</v>
      </c>
      <c r="D6373" s="4" t="n">
        <v>38</v>
      </c>
      <c r="E6373" s="19" t="s">
        <v>246</v>
      </c>
      <c r="F6373" s="20" t="s">
        <v>452</v>
      </c>
    </row>
    <row r="6374" customFormat="false" ht="15" hidden="false" customHeight="false" outlineLevel="0" collapsed="false">
      <c r="A6374" s="4" t="str">
        <f aca="false">B6374&amp;"|"&amp;C6374</f>
        <v>tdbR00000289 Met-CAU|39</v>
      </c>
      <c r="B6374" s="4" t="s">
        <v>125</v>
      </c>
      <c r="C6374" s="4" t="s">
        <v>459</v>
      </c>
      <c r="D6374" s="4" t="n">
        <v>39</v>
      </c>
      <c r="E6374" s="21" t="s">
        <v>259</v>
      </c>
      <c r="F6374" s="22" t="s">
        <v>446</v>
      </c>
    </row>
    <row r="6375" customFormat="false" ht="15" hidden="false" customHeight="false" outlineLevel="0" collapsed="false">
      <c r="A6375" s="4" t="str">
        <f aca="false">B6375&amp;"|"&amp;C6375</f>
        <v>tdbR00000289 Met-CAU|40</v>
      </c>
      <c r="B6375" s="4" t="s">
        <v>125</v>
      </c>
      <c r="C6375" s="4" t="s">
        <v>460</v>
      </c>
      <c r="D6375" s="4" t="n">
        <v>40</v>
      </c>
      <c r="E6375" s="21" t="s">
        <v>414</v>
      </c>
      <c r="F6375" s="22" t="s">
        <v>446</v>
      </c>
    </row>
    <row r="6376" customFormat="false" ht="15" hidden="false" customHeight="false" outlineLevel="0" collapsed="false">
      <c r="A6376" s="4" t="str">
        <f aca="false">B6376&amp;"|"&amp;C6376</f>
        <v>tdbR00000289 Met-CAU|41</v>
      </c>
      <c r="B6376" s="4" t="s">
        <v>125</v>
      </c>
      <c r="C6376" s="4" t="s">
        <v>461</v>
      </c>
      <c r="D6376" s="4" t="n">
        <v>41</v>
      </c>
      <c r="E6376" s="21" t="s">
        <v>259</v>
      </c>
      <c r="F6376" s="22" t="s">
        <v>446</v>
      </c>
    </row>
    <row r="6377" customFormat="false" ht="15" hidden="false" customHeight="false" outlineLevel="0" collapsed="false">
      <c r="A6377" s="4" t="str">
        <f aca="false">B6377&amp;"|"&amp;C6377</f>
        <v>tdbR00000289 Met-CAU|42</v>
      </c>
      <c r="B6377" s="4" t="s">
        <v>125</v>
      </c>
      <c r="C6377" s="4" t="s">
        <v>462</v>
      </c>
      <c r="D6377" s="4" t="n">
        <v>42</v>
      </c>
      <c r="E6377" s="21" t="s">
        <v>197</v>
      </c>
      <c r="F6377" s="22" t="s">
        <v>446</v>
      </c>
    </row>
    <row r="6378" customFormat="false" ht="15" hidden="false" customHeight="false" outlineLevel="0" collapsed="false">
      <c r="A6378" s="4" t="str">
        <f aca="false">B6378&amp;"|"&amp;C6378</f>
        <v>tdbR00000289 Met-CAU|43</v>
      </c>
      <c r="B6378" s="4" t="s">
        <v>125</v>
      </c>
      <c r="C6378" s="4" t="s">
        <v>463</v>
      </c>
      <c r="D6378" s="4" t="n">
        <v>43</v>
      </c>
      <c r="E6378" s="21" t="s">
        <v>246</v>
      </c>
      <c r="F6378" s="22" t="s">
        <v>446</v>
      </c>
    </row>
    <row r="6379" customFormat="false" ht="15" hidden="false" customHeight="false" outlineLevel="0" collapsed="false">
      <c r="A6379" s="4" t="str">
        <f aca="false">B6379&amp;"|"&amp;C6379</f>
        <v>tdbR00000289 Met-CAU|44</v>
      </c>
      <c r="B6379" s="4" t="s">
        <v>125</v>
      </c>
      <c r="C6379" s="4" t="s">
        <v>464</v>
      </c>
      <c r="D6379" s="4" t="n">
        <v>44</v>
      </c>
      <c r="E6379" s="19" t="s">
        <v>246</v>
      </c>
      <c r="F6379" s="20" t="s">
        <v>465</v>
      </c>
    </row>
    <row r="6380" customFormat="false" ht="15" hidden="false" customHeight="false" outlineLevel="0" collapsed="false">
      <c r="A6380" s="4" t="str">
        <f aca="false">B6380&amp;"|"&amp;C6380</f>
        <v>tdbR00000289 Met-CAU|45</v>
      </c>
      <c r="B6380" s="4" t="s">
        <v>125</v>
      </c>
      <c r="C6380" s="4" t="s">
        <v>466</v>
      </c>
      <c r="D6380" s="4" t="n">
        <v>45</v>
      </c>
      <c r="E6380" s="19" t="s">
        <v>197</v>
      </c>
      <c r="F6380" s="20" t="s">
        <v>465</v>
      </c>
    </row>
    <row r="6381" customFormat="false" ht="15" hidden="false" customHeight="false" outlineLevel="0" collapsed="false">
      <c r="A6381" s="4" t="str">
        <f aca="false">B6381&amp;"|"&amp;C6381</f>
        <v>tdbR00000289 Met-CAU|46</v>
      </c>
      <c r="B6381" s="4" t="s">
        <v>125</v>
      </c>
      <c r="C6381" s="4" t="s">
        <v>467</v>
      </c>
      <c r="D6381" s="4" t="n">
        <v>46</v>
      </c>
      <c r="E6381" s="19" t="s">
        <v>197</v>
      </c>
      <c r="F6381" s="20" t="s">
        <v>465</v>
      </c>
    </row>
    <row r="6382" customFormat="false" ht="15" hidden="false" customHeight="false" outlineLevel="0" collapsed="false">
      <c r="A6382" s="4" t="str">
        <f aca="false">B6382&amp;"|"&amp;C6382</f>
        <v>tdbR00000289 Met-CAU|47</v>
      </c>
      <c r="B6382" s="4" t="s">
        <v>125</v>
      </c>
      <c r="C6382" s="4" t="s">
        <v>468</v>
      </c>
      <c r="D6382" s="4" t="n">
        <v>47</v>
      </c>
      <c r="E6382" s="19" t="s">
        <v>259</v>
      </c>
      <c r="F6382" s="20" t="s">
        <v>465</v>
      </c>
    </row>
    <row r="6383" customFormat="false" ht="15" hidden="false" customHeight="false" outlineLevel="0" collapsed="false">
      <c r="A6383" s="4" t="str">
        <f aca="false">B6383&amp;"|"&amp;C6383</f>
        <v>tdbR00000289 Met-CAU|48</v>
      </c>
      <c r="B6383" s="4" t="s">
        <v>125</v>
      </c>
      <c r="C6383" s="4" t="s">
        <v>469</v>
      </c>
      <c r="D6383" s="4" t="n">
        <v>48</v>
      </c>
      <c r="E6383" s="19" t="s">
        <v>414</v>
      </c>
      <c r="F6383" s="20" t="s">
        <v>465</v>
      </c>
    </row>
    <row r="6384" customFormat="false" ht="15" hidden="false" customHeight="false" outlineLevel="0" collapsed="false">
      <c r="A6384" s="4" t="str">
        <f aca="false">B6384&amp;"|"&amp;C6384</f>
        <v>tdbR00000289 Met-CAU|49</v>
      </c>
      <c r="B6384" s="4" t="s">
        <v>125</v>
      </c>
      <c r="C6384" s="4" t="s">
        <v>470</v>
      </c>
      <c r="D6384" s="4" t="n">
        <v>49</v>
      </c>
      <c r="E6384" s="23" t="s">
        <v>197</v>
      </c>
      <c r="F6384" s="10" t="s">
        <v>471</v>
      </c>
    </row>
    <row r="6385" customFormat="false" ht="15" hidden="false" customHeight="false" outlineLevel="0" collapsed="false">
      <c r="A6385" s="4" t="str">
        <f aca="false">B6385&amp;"|"&amp;C6385</f>
        <v>tdbR00000289 Met-CAU|50</v>
      </c>
      <c r="B6385" s="4" t="s">
        <v>125</v>
      </c>
      <c r="C6385" s="4" t="s">
        <v>472</v>
      </c>
      <c r="D6385" s="4" t="n">
        <v>50</v>
      </c>
      <c r="E6385" s="23" t="s">
        <v>259</v>
      </c>
      <c r="F6385" s="10" t="s">
        <v>471</v>
      </c>
    </row>
    <row r="6386" customFormat="false" ht="15" hidden="false" customHeight="false" outlineLevel="0" collapsed="false">
      <c r="A6386" s="4" t="str">
        <f aca="false">B6386&amp;"|"&amp;C6386</f>
        <v>tdbR00000289 Met-CAU|51</v>
      </c>
      <c r="B6386" s="4" t="s">
        <v>125</v>
      </c>
      <c r="C6386" s="4" t="s">
        <v>473</v>
      </c>
      <c r="D6386" s="4" t="n">
        <v>51</v>
      </c>
      <c r="E6386" s="23" t="s">
        <v>197</v>
      </c>
      <c r="F6386" s="10" t="s">
        <v>471</v>
      </c>
    </row>
    <row r="6387" customFormat="false" ht="15" hidden="false" customHeight="false" outlineLevel="0" collapsed="false">
      <c r="A6387" s="4" t="str">
        <f aca="false">B6387&amp;"|"&amp;C6387</f>
        <v>tdbR00000289 Met-CAU|52</v>
      </c>
      <c r="B6387" s="4" t="s">
        <v>125</v>
      </c>
      <c r="C6387" s="4" t="s">
        <v>474</v>
      </c>
      <c r="D6387" s="4" t="n">
        <v>52</v>
      </c>
      <c r="E6387" s="23" t="s">
        <v>246</v>
      </c>
      <c r="F6387" s="10" t="s">
        <v>471</v>
      </c>
    </row>
    <row r="6388" customFormat="false" ht="15" hidden="false" customHeight="false" outlineLevel="0" collapsed="false">
      <c r="A6388" s="4" t="str">
        <f aca="false">B6388&amp;"|"&amp;C6388</f>
        <v>tdbR00000289 Met-CAU|53</v>
      </c>
      <c r="B6388" s="4" t="s">
        <v>125</v>
      </c>
      <c r="C6388" s="4" t="s">
        <v>475</v>
      </c>
      <c r="D6388" s="4" t="n">
        <v>53</v>
      </c>
      <c r="E6388" s="23" t="s">
        <v>197</v>
      </c>
      <c r="F6388" s="10" t="s">
        <v>471</v>
      </c>
    </row>
    <row r="6389" customFormat="false" ht="15" hidden="false" customHeight="false" outlineLevel="0" collapsed="false">
      <c r="A6389" s="4" t="str">
        <f aca="false">B6389&amp;"|"&amp;C6389</f>
        <v>tdbR00000289 Met-CAU|54</v>
      </c>
      <c r="B6389" s="4" t="s">
        <v>125</v>
      </c>
      <c r="C6389" s="4" t="s">
        <v>476</v>
      </c>
      <c r="D6389" s="4" t="n">
        <v>54</v>
      </c>
      <c r="E6389" s="19" t="s">
        <v>259</v>
      </c>
      <c r="F6389" s="20" t="s">
        <v>477</v>
      </c>
    </row>
    <row r="6390" customFormat="false" ht="15" hidden="false" customHeight="false" outlineLevel="0" collapsed="false">
      <c r="A6390" s="4" t="str">
        <f aca="false">B6390&amp;"|"&amp;C6390</f>
        <v>tdbR00000289 Met-CAU|55</v>
      </c>
      <c r="B6390" s="4" t="s">
        <v>125</v>
      </c>
      <c r="C6390" s="4" t="s">
        <v>478</v>
      </c>
      <c r="D6390" s="4" t="n">
        <v>55</v>
      </c>
      <c r="E6390" s="19" t="s">
        <v>259</v>
      </c>
      <c r="F6390" s="20" t="s">
        <v>477</v>
      </c>
    </row>
    <row r="6391" customFormat="false" ht="15" hidden="false" customHeight="false" outlineLevel="0" collapsed="false">
      <c r="A6391" s="4" t="str">
        <f aca="false">B6391&amp;"|"&amp;C6391</f>
        <v>tdbR00000289 Met-CAU|56</v>
      </c>
      <c r="B6391" s="4" t="s">
        <v>125</v>
      </c>
      <c r="C6391" s="4" t="s">
        <v>479</v>
      </c>
      <c r="D6391" s="4" t="n">
        <v>56</v>
      </c>
      <c r="E6391" s="19" t="s">
        <v>414</v>
      </c>
      <c r="F6391" s="20" t="s">
        <v>477</v>
      </c>
    </row>
    <row r="6392" customFormat="false" ht="15" hidden="false" customHeight="false" outlineLevel="0" collapsed="false">
      <c r="A6392" s="4" t="str">
        <f aca="false">B6392&amp;"|"&amp;C6392</f>
        <v>tdbR00000289 Met-CAU|57</v>
      </c>
      <c r="B6392" s="4" t="s">
        <v>125</v>
      </c>
      <c r="C6392" s="4" t="s">
        <v>480</v>
      </c>
      <c r="D6392" s="4" t="n">
        <v>57</v>
      </c>
      <c r="E6392" s="19" t="s">
        <v>197</v>
      </c>
      <c r="F6392" s="20" t="s">
        <v>477</v>
      </c>
    </row>
    <row r="6393" customFormat="false" ht="15" hidden="false" customHeight="false" outlineLevel="0" collapsed="false">
      <c r="A6393" s="4" t="str">
        <f aca="false">B6393&amp;"|"&amp;C6393</f>
        <v>tdbR00000289 Met-CAU|58</v>
      </c>
      <c r="B6393" s="4" t="s">
        <v>125</v>
      </c>
      <c r="C6393" s="4" t="s">
        <v>481</v>
      </c>
      <c r="D6393" s="4" t="n">
        <v>58</v>
      </c>
      <c r="E6393" s="19" t="s">
        <v>246</v>
      </c>
      <c r="F6393" s="20" t="s">
        <v>477</v>
      </c>
    </row>
    <row r="6394" customFormat="false" ht="15" hidden="false" customHeight="false" outlineLevel="0" collapsed="false">
      <c r="A6394" s="4" t="str">
        <f aca="false">B6394&amp;"|"&amp;C6394</f>
        <v>tdbR00000289 Met-CAU|59</v>
      </c>
      <c r="B6394" s="4" t="s">
        <v>125</v>
      </c>
      <c r="C6394" s="4" t="s">
        <v>482</v>
      </c>
      <c r="D6394" s="4" t="n">
        <v>59</v>
      </c>
      <c r="E6394" s="19" t="s">
        <v>259</v>
      </c>
      <c r="F6394" s="20" t="s">
        <v>477</v>
      </c>
    </row>
    <row r="6395" customFormat="false" ht="15" hidden="false" customHeight="false" outlineLevel="0" collapsed="false">
      <c r="A6395" s="4" t="str">
        <f aca="false">B6395&amp;"|"&amp;C6395</f>
        <v>tdbR00000289 Met-CAU|60</v>
      </c>
      <c r="B6395" s="4" t="s">
        <v>125</v>
      </c>
      <c r="C6395" s="4" t="s">
        <v>483</v>
      </c>
      <c r="D6395" s="4" t="n">
        <v>60</v>
      </c>
      <c r="E6395" s="19" t="s">
        <v>414</v>
      </c>
      <c r="F6395" s="20" t="s">
        <v>477</v>
      </c>
    </row>
    <row r="6396" customFormat="false" ht="15" hidden="false" customHeight="false" outlineLevel="0" collapsed="false">
      <c r="A6396" s="4" t="str">
        <f aca="false">B6396&amp;"|"&amp;C6396</f>
        <v>tdbR00000289 Met-CAU|61</v>
      </c>
      <c r="B6396" s="4" t="s">
        <v>125</v>
      </c>
      <c r="C6396" s="4" t="s">
        <v>484</v>
      </c>
      <c r="D6396" s="4" t="n">
        <v>61</v>
      </c>
      <c r="E6396" s="23" t="s">
        <v>414</v>
      </c>
      <c r="F6396" s="10" t="s">
        <v>471</v>
      </c>
    </row>
    <row r="6397" customFormat="false" ht="15" hidden="false" customHeight="false" outlineLevel="0" collapsed="false">
      <c r="A6397" s="4" t="str">
        <f aca="false">B6397&amp;"|"&amp;C6397</f>
        <v>tdbR00000289 Met-CAU|62</v>
      </c>
      <c r="B6397" s="4" t="s">
        <v>125</v>
      </c>
      <c r="C6397" s="4" t="s">
        <v>485</v>
      </c>
      <c r="D6397" s="4" t="n">
        <v>62</v>
      </c>
      <c r="E6397" s="23" t="s">
        <v>259</v>
      </c>
      <c r="F6397" s="10" t="s">
        <v>471</v>
      </c>
    </row>
    <row r="6398" customFormat="false" ht="15" hidden="false" customHeight="false" outlineLevel="0" collapsed="false">
      <c r="A6398" s="4" t="str">
        <f aca="false">B6398&amp;"|"&amp;C6398</f>
        <v>tdbR00000289 Met-CAU|63</v>
      </c>
      <c r="B6398" s="4" t="s">
        <v>125</v>
      </c>
      <c r="C6398" s="4" t="s">
        <v>486</v>
      </c>
      <c r="D6398" s="4" t="n">
        <v>63</v>
      </c>
      <c r="E6398" s="23" t="s">
        <v>414</v>
      </c>
      <c r="F6398" s="10" t="s">
        <v>471</v>
      </c>
    </row>
    <row r="6399" customFormat="false" ht="15" hidden="false" customHeight="false" outlineLevel="0" collapsed="false">
      <c r="A6399" s="4" t="str">
        <f aca="false">B6399&amp;"|"&amp;C6399</f>
        <v>tdbR00000289 Met-CAU|64</v>
      </c>
      <c r="B6399" s="4" t="s">
        <v>125</v>
      </c>
      <c r="C6399" s="4" t="s">
        <v>487</v>
      </c>
      <c r="D6399" s="4" t="n">
        <v>64</v>
      </c>
      <c r="E6399" s="23" t="s">
        <v>246</v>
      </c>
      <c r="F6399" s="10" t="s">
        <v>471</v>
      </c>
    </row>
    <row r="6400" customFormat="false" ht="15" hidden="false" customHeight="false" outlineLevel="0" collapsed="false">
      <c r="A6400" s="4" t="str">
        <f aca="false">B6400&amp;"|"&amp;C6400</f>
        <v>tdbR00000289 Met-CAU|65</v>
      </c>
      <c r="B6400" s="4" t="s">
        <v>125</v>
      </c>
      <c r="C6400" s="4" t="s">
        <v>488</v>
      </c>
      <c r="D6400" s="4" t="n">
        <v>65</v>
      </c>
      <c r="E6400" s="23" t="s">
        <v>414</v>
      </c>
      <c r="F6400" s="10" t="s">
        <v>471</v>
      </c>
    </row>
    <row r="6401" customFormat="false" ht="15" hidden="false" customHeight="false" outlineLevel="0" collapsed="false">
      <c r="A6401" s="4" t="str">
        <f aca="false">B6401&amp;"|"&amp;C6401</f>
        <v>tdbR00000289 Met-CAU|66</v>
      </c>
      <c r="B6401" s="4" t="s">
        <v>125</v>
      </c>
      <c r="C6401" s="4" t="s">
        <v>489</v>
      </c>
      <c r="D6401" s="4" t="n">
        <v>66</v>
      </c>
      <c r="E6401" s="17" t="s">
        <v>246</v>
      </c>
      <c r="F6401" s="18" t="s">
        <v>412</v>
      </c>
    </row>
    <row r="6402" customFormat="false" ht="15" hidden="false" customHeight="false" outlineLevel="0" collapsed="false">
      <c r="A6402" s="4" t="str">
        <f aca="false">B6402&amp;"|"&amp;C6402</f>
        <v>tdbR00000289 Met-CAU|67</v>
      </c>
      <c r="B6402" s="4" t="s">
        <v>125</v>
      </c>
      <c r="C6402" s="4" t="s">
        <v>490</v>
      </c>
      <c r="D6402" s="4" t="n">
        <v>67</v>
      </c>
      <c r="E6402" s="17" t="s">
        <v>414</v>
      </c>
      <c r="F6402" s="18" t="s">
        <v>412</v>
      </c>
    </row>
    <row r="6403" customFormat="false" ht="15" hidden="false" customHeight="false" outlineLevel="0" collapsed="false">
      <c r="A6403" s="4" t="str">
        <f aca="false">B6403&amp;"|"&amp;C6403</f>
        <v>tdbR00000289 Met-CAU|68</v>
      </c>
      <c r="B6403" s="4" t="s">
        <v>125</v>
      </c>
      <c r="C6403" s="4" t="s">
        <v>491</v>
      </c>
      <c r="D6403" s="4" t="n">
        <v>68</v>
      </c>
      <c r="E6403" s="17" t="s">
        <v>197</v>
      </c>
      <c r="F6403" s="18" t="s">
        <v>412</v>
      </c>
    </row>
    <row r="6404" customFormat="false" ht="15" hidden="false" customHeight="false" outlineLevel="0" collapsed="false">
      <c r="A6404" s="4" t="str">
        <f aca="false">B6404&amp;"|"&amp;C6404</f>
        <v>tdbR00000289 Met-CAU|69</v>
      </c>
      <c r="B6404" s="4" t="s">
        <v>125</v>
      </c>
      <c r="C6404" s="4" t="s">
        <v>492</v>
      </c>
      <c r="D6404" s="4" t="n">
        <v>69</v>
      </c>
      <c r="E6404" s="17" t="s">
        <v>197</v>
      </c>
      <c r="F6404" s="18" t="s">
        <v>412</v>
      </c>
    </row>
    <row r="6405" customFormat="false" ht="15" hidden="false" customHeight="false" outlineLevel="0" collapsed="false">
      <c r="A6405" s="4" t="str">
        <f aca="false">B6405&amp;"|"&amp;C6405</f>
        <v>tdbR00000289 Met-CAU|70</v>
      </c>
      <c r="B6405" s="4" t="s">
        <v>125</v>
      </c>
      <c r="C6405" s="4" t="s">
        <v>493</v>
      </c>
      <c r="D6405" s="4" t="n">
        <v>70</v>
      </c>
      <c r="E6405" s="17" t="s">
        <v>197</v>
      </c>
      <c r="F6405" s="18" t="s">
        <v>412</v>
      </c>
    </row>
    <row r="6406" customFormat="false" ht="15" hidden="false" customHeight="false" outlineLevel="0" collapsed="false">
      <c r="A6406" s="4" t="str">
        <f aca="false">B6406&amp;"|"&amp;C6406</f>
        <v>tdbR00000289 Met-CAU|71</v>
      </c>
      <c r="B6406" s="4" t="s">
        <v>125</v>
      </c>
      <c r="C6406" s="4" t="s">
        <v>494</v>
      </c>
      <c r="D6406" s="4" t="n">
        <v>71</v>
      </c>
      <c r="E6406" s="17" t="s">
        <v>197</v>
      </c>
      <c r="F6406" s="18" t="s">
        <v>412</v>
      </c>
    </row>
    <row r="6407" customFormat="false" ht="15" hidden="false" customHeight="false" outlineLevel="0" collapsed="false">
      <c r="A6407" s="4" t="str">
        <f aca="false">B6407&amp;"|"&amp;C6407</f>
        <v>tdbR00000289 Met-CAU|72</v>
      </c>
      <c r="B6407" s="4" t="s">
        <v>125</v>
      </c>
      <c r="C6407" s="4" t="s">
        <v>495</v>
      </c>
      <c r="D6407" s="4" t="n">
        <v>72</v>
      </c>
      <c r="E6407" s="17" t="s">
        <v>414</v>
      </c>
      <c r="F6407" s="18" t="s">
        <v>412</v>
      </c>
    </row>
    <row r="6408" customFormat="false" ht="15" hidden="false" customHeight="false" outlineLevel="0" collapsed="false">
      <c r="A6408" s="4" t="str">
        <f aca="false">B6408&amp;"|"&amp;C6408</f>
        <v>tdbR00000540 Ile-CAU|1</v>
      </c>
      <c r="B6408" s="4" t="s">
        <v>126</v>
      </c>
      <c r="C6408" s="4" t="s">
        <v>411</v>
      </c>
      <c r="D6408" s="4" t="n">
        <v>1</v>
      </c>
      <c r="E6408" s="17" t="s">
        <v>246</v>
      </c>
      <c r="F6408" s="18" t="s">
        <v>412</v>
      </c>
    </row>
    <row r="6409" customFormat="false" ht="15" hidden="false" customHeight="false" outlineLevel="0" collapsed="false">
      <c r="A6409" s="4" t="str">
        <f aca="false">B6409&amp;"|"&amp;C6409</f>
        <v>tdbR00000540 Ile-CAU|2</v>
      </c>
      <c r="B6409" s="4" t="s">
        <v>126</v>
      </c>
      <c r="C6409" s="4" t="s">
        <v>413</v>
      </c>
      <c r="D6409" s="4" t="n">
        <v>2</v>
      </c>
      <c r="E6409" s="17" t="s">
        <v>197</v>
      </c>
      <c r="F6409" s="18" t="s">
        <v>412</v>
      </c>
    </row>
    <row r="6410" customFormat="false" ht="15" hidden="false" customHeight="false" outlineLevel="0" collapsed="false">
      <c r="A6410" s="4" t="str">
        <f aca="false">B6410&amp;"|"&amp;C6410</f>
        <v>tdbR00000540 Ile-CAU|3</v>
      </c>
      <c r="B6410" s="4" t="s">
        <v>126</v>
      </c>
      <c r="C6410" s="4" t="s">
        <v>415</v>
      </c>
      <c r="D6410" s="4" t="n">
        <v>3</v>
      </c>
      <c r="E6410" s="17" t="s">
        <v>414</v>
      </c>
      <c r="F6410" s="18" t="s">
        <v>412</v>
      </c>
    </row>
    <row r="6411" customFormat="false" ht="15" hidden="false" customHeight="false" outlineLevel="0" collapsed="false">
      <c r="A6411" s="4" t="str">
        <f aca="false">B6411&amp;"|"&amp;C6411</f>
        <v>tdbR00000540 Ile-CAU|4</v>
      </c>
      <c r="B6411" s="4" t="s">
        <v>126</v>
      </c>
      <c r="C6411" s="4" t="s">
        <v>416</v>
      </c>
      <c r="D6411" s="4" t="n">
        <v>4</v>
      </c>
      <c r="E6411" s="17" t="s">
        <v>246</v>
      </c>
      <c r="F6411" s="18" t="s">
        <v>412</v>
      </c>
    </row>
    <row r="6412" customFormat="false" ht="15" hidden="false" customHeight="false" outlineLevel="0" collapsed="false">
      <c r="A6412" s="4" t="str">
        <f aca="false">B6412&amp;"|"&amp;C6412</f>
        <v>tdbR00000540 Ile-CAU|5</v>
      </c>
      <c r="B6412" s="4" t="s">
        <v>126</v>
      </c>
      <c r="C6412" s="4" t="s">
        <v>417</v>
      </c>
      <c r="D6412" s="4" t="n">
        <v>5</v>
      </c>
      <c r="E6412" s="17" t="s">
        <v>197</v>
      </c>
      <c r="F6412" s="18" t="s">
        <v>412</v>
      </c>
    </row>
    <row r="6413" customFormat="false" ht="15" hidden="false" customHeight="false" outlineLevel="0" collapsed="false">
      <c r="A6413" s="4" t="str">
        <f aca="false">B6413&amp;"|"&amp;C6413</f>
        <v>tdbR00000540 Ile-CAU|6</v>
      </c>
      <c r="B6413" s="4" t="s">
        <v>126</v>
      </c>
      <c r="C6413" s="4" t="s">
        <v>418</v>
      </c>
      <c r="D6413" s="4" t="n">
        <v>6</v>
      </c>
      <c r="E6413" s="17" t="s">
        <v>246</v>
      </c>
      <c r="F6413" s="18" t="s">
        <v>412</v>
      </c>
    </row>
    <row r="6414" customFormat="false" ht="15" hidden="false" customHeight="false" outlineLevel="0" collapsed="false">
      <c r="A6414" s="4" t="str">
        <f aca="false">B6414&amp;"|"&amp;C6414</f>
        <v>tdbR00000540 Ile-CAU|7</v>
      </c>
      <c r="B6414" s="4" t="s">
        <v>126</v>
      </c>
      <c r="C6414" s="4" t="s">
        <v>419</v>
      </c>
      <c r="D6414" s="4" t="n">
        <v>7</v>
      </c>
      <c r="E6414" s="17" t="s">
        <v>197</v>
      </c>
      <c r="F6414" s="18" t="s">
        <v>412</v>
      </c>
    </row>
    <row r="6415" customFormat="false" ht="15" hidden="false" customHeight="false" outlineLevel="0" collapsed="false">
      <c r="A6415" s="4" t="str">
        <f aca="false">B6415&amp;"|"&amp;C6415</f>
        <v>tdbR00000540 Ile-CAU|8</v>
      </c>
      <c r="B6415" s="4" t="s">
        <v>126</v>
      </c>
      <c r="C6415" s="4" t="s">
        <v>420</v>
      </c>
      <c r="D6415" s="4" t="n">
        <v>8</v>
      </c>
      <c r="E6415" s="3" t="s">
        <v>259</v>
      </c>
      <c r="F6415" s="4" t="s">
        <v>421</v>
      </c>
    </row>
    <row r="6416" customFormat="false" ht="15" hidden="false" customHeight="false" outlineLevel="0" collapsed="false">
      <c r="A6416" s="4" t="str">
        <f aca="false">B6416&amp;"|"&amp;C6416</f>
        <v>tdbR00000540 Ile-CAU|9</v>
      </c>
      <c r="B6416" s="4" t="s">
        <v>126</v>
      </c>
      <c r="C6416" s="4" t="s">
        <v>422</v>
      </c>
      <c r="D6416" s="4" t="n">
        <v>9</v>
      </c>
      <c r="E6416" s="3" t="s">
        <v>197</v>
      </c>
      <c r="F6416" s="4" t="s">
        <v>423</v>
      </c>
    </row>
    <row r="6417" customFormat="false" ht="15" hidden="false" customHeight="false" outlineLevel="0" collapsed="false">
      <c r="A6417" s="4" t="str">
        <f aca="false">B6417&amp;"|"&amp;C6417</f>
        <v>tdbR00000540 Ile-CAU|10</v>
      </c>
      <c r="B6417" s="4" t="s">
        <v>126</v>
      </c>
      <c r="C6417" s="4" t="s">
        <v>424</v>
      </c>
      <c r="D6417" s="4" t="n">
        <v>10</v>
      </c>
      <c r="E6417" s="8" t="s">
        <v>197</v>
      </c>
      <c r="F6417" s="7" t="s">
        <v>425</v>
      </c>
    </row>
    <row r="6418" customFormat="false" ht="15" hidden="false" customHeight="false" outlineLevel="0" collapsed="false">
      <c r="A6418" s="4" t="str">
        <f aca="false">B6418&amp;"|"&amp;C6418</f>
        <v>tdbR00000540 Ile-CAU|11</v>
      </c>
      <c r="B6418" s="4" t="s">
        <v>126</v>
      </c>
      <c r="C6418" s="4" t="s">
        <v>426</v>
      </c>
      <c r="D6418" s="4" t="n">
        <v>11</v>
      </c>
      <c r="E6418" s="8" t="s">
        <v>414</v>
      </c>
      <c r="F6418" s="7" t="s">
        <v>425</v>
      </c>
    </row>
    <row r="6419" customFormat="false" ht="15" hidden="false" customHeight="false" outlineLevel="0" collapsed="false">
      <c r="A6419" s="4" t="str">
        <f aca="false">B6419&amp;"|"&amp;C6419</f>
        <v>tdbR00000540 Ile-CAU|12</v>
      </c>
      <c r="B6419" s="4" t="s">
        <v>126</v>
      </c>
      <c r="C6419" s="4" t="s">
        <v>427</v>
      </c>
      <c r="D6419" s="4" t="n">
        <v>12</v>
      </c>
      <c r="E6419" s="8" t="s">
        <v>197</v>
      </c>
      <c r="F6419" s="7" t="s">
        <v>425</v>
      </c>
    </row>
    <row r="6420" customFormat="false" ht="15" hidden="false" customHeight="false" outlineLevel="0" collapsed="false">
      <c r="A6420" s="4" t="str">
        <f aca="false">B6420&amp;"|"&amp;C6420</f>
        <v>tdbR00000540 Ile-CAU|13</v>
      </c>
      <c r="B6420" s="4" t="s">
        <v>126</v>
      </c>
      <c r="C6420" s="4" t="s">
        <v>428</v>
      </c>
      <c r="D6420" s="4" t="n">
        <v>13</v>
      </c>
      <c r="E6420" s="8" t="s">
        <v>414</v>
      </c>
      <c r="F6420" s="7" t="s">
        <v>425</v>
      </c>
    </row>
    <row r="6421" customFormat="false" ht="15" hidden="false" customHeight="false" outlineLevel="0" collapsed="false">
      <c r="A6421" s="4" t="str">
        <f aca="false">B6421&amp;"|"&amp;C6421</f>
        <v>tdbR00000540 Ile-CAU|14</v>
      </c>
      <c r="B6421" s="4" t="s">
        <v>126</v>
      </c>
      <c r="C6421" s="4" t="s">
        <v>429</v>
      </c>
      <c r="D6421" s="4" t="n">
        <v>14</v>
      </c>
      <c r="E6421" s="19" t="s">
        <v>246</v>
      </c>
      <c r="F6421" s="20" t="s">
        <v>430</v>
      </c>
    </row>
    <row r="6422" customFormat="false" ht="15" hidden="false" customHeight="false" outlineLevel="0" collapsed="false">
      <c r="A6422" s="4" t="str">
        <f aca="false">B6422&amp;"|"&amp;C6422</f>
        <v>tdbR00000540 Ile-CAU|15</v>
      </c>
      <c r="B6422" s="4" t="s">
        <v>126</v>
      </c>
      <c r="C6422" s="4" t="s">
        <v>431</v>
      </c>
      <c r="D6422" s="4" t="n">
        <v>15</v>
      </c>
      <c r="E6422" s="19" t="s">
        <v>197</v>
      </c>
      <c r="F6422" s="20" t="s">
        <v>430</v>
      </c>
    </row>
    <row r="6423" customFormat="false" ht="15" hidden="false" customHeight="false" outlineLevel="0" collapsed="false">
      <c r="A6423" s="4" t="str">
        <f aca="false">B6423&amp;"|"&amp;C6423</f>
        <v>tdbR00000540 Ile-CAU|16</v>
      </c>
      <c r="B6423" s="4" t="s">
        <v>126</v>
      </c>
      <c r="C6423" s="4" t="s">
        <v>432</v>
      </c>
      <c r="D6423" s="4" t="n">
        <v>16</v>
      </c>
      <c r="E6423" s="19" t="s">
        <v>414</v>
      </c>
      <c r="F6423" s="20" t="s">
        <v>430</v>
      </c>
    </row>
    <row r="6424" customFormat="false" ht="15" hidden="false" customHeight="false" outlineLevel="0" collapsed="false">
      <c r="A6424" s="4" t="str">
        <f aca="false">B6424&amp;"|"&amp;C6424</f>
        <v>tdbR00000540 Ile-CAU|18</v>
      </c>
      <c r="B6424" s="4" t="s">
        <v>126</v>
      </c>
      <c r="C6424" s="4" t="s">
        <v>434</v>
      </c>
      <c r="D6424" s="4" t="n">
        <v>17</v>
      </c>
      <c r="E6424" s="19" t="s">
        <v>197</v>
      </c>
      <c r="F6424" s="20" t="s">
        <v>430</v>
      </c>
    </row>
    <row r="6425" customFormat="false" ht="15" hidden="false" customHeight="false" outlineLevel="0" collapsed="false">
      <c r="A6425" s="4" t="str">
        <f aca="false">B6425&amp;"|"&amp;C6425</f>
        <v>tdbR00000540 Ile-CAU|19</v>
      </c>
      <c r="B6425" s="4" t="s">
        <v>126</v>
      </c>
      <c r="C6425" s="4" t="s">
        <v>435</v>
      </c>
      <c r="D6425" s="4" t="n">
        <v>18</v>
      </c>
      <c r="E6425" s="19" t="s">
        <v>197</v>
      </c>
      <c r="F6425" s="20" t="s">
        <v>430</v>
      </c>
    </row>
    <row r="6426" customFormat="false" ht="15" hidden="false" customHeight="false" outlineLevel="0" collapsed="false">
      <c r="A6426" s="4" t="str">
        <f aca="false">B6426&amp;"|"&amp;C6426</f>
        <v>tdbR00000540 Ile-CAU|20</v>
      </c>
      <c r="B6426" s="4" t="s">
        <v>126</v>
      </c>
      <c r="C6426" s="4" t="s">
        <v>436</v>
      </c>
      <c r="D6426" s="4" t="n">
        <v>19</v>
      </c>
      <c r="E6426" s="19" t="s">
        <v>246</v>
      </c>
      <c r="F6426" s="20" t="s">
        <v>430</v>
      </c>
    </row>
    <row r="6427" customFormat="false" ht="15" hidden="false" customHeight="false" outlineLevel="0" collapsed="false">
      <c r="A6427" s="4" t="str">
        <f aca="false">B6427&amp;"|"&amp;C6427</f>
        <v>tdbR00000540 Ile-CAU|21</v>
      </c>
      <c r="B6427" s="4" t="s">
        <v>126</v>
      </c>
      <c r="C6427" s="4" t="s">
        <v>438</v>
      </c>
      <c r="D6427" s="4" t="n">
        <v>20</v>
      </c>
      <c r="E6427" s="19" t="s">
        <v>246</v>
      </c>
      <c r="F6427" s="20" t="s">
        <v>430</v>
      </c>
    </row>
    <row r="6428" customFormat="false" ht="15" hidden="false" customHeight="false" outlineLevel="0" collapsed="false">
      <c r="A6428" s="4" t="str">
        <f aca="false">B6428&amp;"|"&amp;C6428</f>
        <v>tdbR00000540 Ile-CAU|22</v>
      </c>
      <c r="B6428" s="4" t="s">
        <v>126</v>
      </c>
      <c r="C6428" s="4" t="s">
        <v>439</v>
      </c>
      <c r="D6428" s="4" t="n">
        <v>21</v>
      </c>
      <c r="E6428" s="8" t="s">
        <v>197</v>
      </c>
      <c r="F6428" s="7" t="s">
        <v>425</v>
      </c>
    </row>
    <row r="6429" customFormat="false" ht="15" hidden="false" customHeight="false" outlineLevel="0" collapsed="false">
      <c r="A6429" s="4" t="str">
        <f aca="false">B6429&amp;"|"&amp;C6429</f>
        <v>tdbR00000540 Ile-CAU|23</v>
      </c>
      <c r="B6429" s="4" t="s">
        <v>126</v>
      </c>
      <c r="C6429" s="4" t="s">
        <v>440</v>
      </c>
      <c r="D6429" s="4" t="n">
        <v>22</v>
      </c>
      <c r="E6429" s="8" t="s">
        <v>414</v>
      </c>
      <c r="F6429" s="7" t="s">
        <v>425</v>
      </c>
    </row>
    <row r="6430" customFormat="false" ht="15" hidden="false" customHeight="false" outlineLevel="0" collapsed="false">
      <c r="A6430" s="4" t="str">
        <f aca="false">B6430&amp;"|"&amp;C6430</f>
        <v>tdbR00000540 Ile-CAU|24</v>
      </c>
      <c r="B6430" s="4" t="s">
        <v>126</v>
      </c>
      <c r="C6430" s="4" t="s">
        <v>441</v>
      </c>
      <c r="D6430" s="4" t="n">
        <v>23</v>
      </c>
      <c r="E6430" s="8" t="s">
        <v>197</v>
      </c>
      <c r="F6430" s="7" t="s">
        <v>425</v>
      </c>
    </row>
    <row r="6431" customFormat="false" ht="15" hidden="false" customHeight="false" outlineLevel="0" collapsed="false">
      <c r="A6431" s="4" t="str">
        <f aca="false">B6431&amp;"|"&amp;C6431</f>
        <v>tdbR00000540 Ile-CAU|25</v>
      </c>
      <c r="B6431" s="4" t="s">
        <v>126</v>
      </c>
      <c r="C6431" s="4" t="s">
        <v>442</v>
      </c>
      <c r="D6431" s="4" t="n">
        <v>24</v>
      </c>
      <c r="E6431" s="8" t="s">
        <v>259</v>
      </c>
      <c r="F6431" s="7" t="s">
        <v>425</v>
      </c>
    </row>
    <row r="6432" customFormat="false" ht="15" hidden="false" customHeight="false" outlineLevel="0" collapsed="false">
      <c r="A6432" s="4" t="str">
        <f aca="false">B6432&amp;"|"&amp;C6432</f>
        <v>tdbR00000540 Ile-CAU|26</v>
      </c>
      <c r="B6432" s="4" t="s">
        <v>126</v>
      </c>
      <c r="C6432" s="4" t="s">
        <v>443</v>
      </c>
      <c r="D6432" s="4" t="n">
        <v>25</v>
      </c>
      <c r="E6432" s="3" t="s">
        <v>197</v>
      </c>
      <c r="F6432" s="4" t="s">
        <v>444</v>
      </c>
    </row>
    <row r="6433" customFormat="false" ht="15" hidden="false" customHeight="false" outlineLevel="0" collapsed="false">
      <c r="A6433" s="4" t="str">
        <f aca="false">B6433&amp;"|"&amp;C6433</f>
        <v>tdbR00000540 Ile-CAU|27</v>
      </c>
      <c r="B6433" s="4" t="s">
        <v>126</v>
      </c>
      <c r="C6433" s="4" t="s">
        <v>445</v>
      </c>
      <c r="D6433" s="4" t="n">
        <v>26</v>
      </c>
      <c r="E6433" s="21" t="s">
        <v>414</v>
      </c>
      <c r="F6433" s="22" t="s">
        <v>446</v>
      </c>
    </row>
    <row r="6434" customFormat="false" ht="15" hidden="false" customHeight="false" outlineLevel="0" collapsed="false">
      <c r="A6434" s="4" t="str">
        <f aca="false">B6434&amp;"|"&amp;C6434</f>
        <v>tdbR00000540 Ile-CAU|28</v>
      </c>
      <c r="B6434" s="4" t="s">
        <v>126</v>
      </c>
      <c r="C6434" s="4" t="s">
        <v>447</v>
      </c>
      <c r="D6434" s="4" t="n">
        <v>27</v>
      </c>
      <c r="E6434" s="21" t="s">
        <v>259</v>
      </c>
      <c r="F6434" s="22" t="s">
        <v>446</v>
      </c>
    </row>
    <row r="6435" customFormat="false" ht="15" hidden="false" customHeight="false" outlineLevel="0" collapsed="false">
      <c r="A6435" s="4" t="str">
        <f aca="false">B6435&amp;"|"&amp;C6435</f>
        <v>tdbR00000540 Ile-CAU|29</v>
      </c>
      <c r="B6435" s="4" t="s">
        <v>126</v>
      </c>
      <c r="C6435" s="4" t="s">
        <v>448</v>
      </c>
      <c r="D6435" s="4" t="n">
        <v>28</v>
      </c>
      <c r="E6435" s="21" t="s">
        <v>197</v>
      </c>
      <c r="F6435" s="22" t="s">
        <v>446</v>
      </c>
    </row>
    <row r="6436" customFormat="false" ht="15" hidden="false" customHeight="false" outlineLevel="0" collapsed="false">
      <c r="A6436" s="4" t="str">
        <f aca="false">B6436&amp;"|"&amp;C6436</f>
        <v>tdbR00000540 Ile-CAU|30</v>
      </c>
      <c r="B6436" s="4" t="s">
        <v>126</v>
      </c>
      <c r="C6436" s="4" t="s">
        <v>449</v>
      </c>
      <c r="D6436" s="4" t="n">
        <v>29</v>
      </c>
      <c r="E6436" s="21" t="s">
        <v>197</v>
      </c>
      <c r="F6436" s="22" t="s">
        <v>446</v>
      </c>
    </row>
    <row r="6437" customFormat="false" ht="15" hidden="false" customHeight="false" outlineLevel="0" collapsed="false">
      <c r="A6437" s="4" t="str">
        <f aca="false">B6437&amp;"|"&amp;C6437</f>
        <v>tdbR00000540 Ile-CAU|31</v>
      </c>
      <c r="B6437" s="4" t="s">
        <v>126</v>
      </c>
      <c r="C6437" s="4" t="s">
        <v>450</v>
      </c>
      <c r="D6437" s="4" t="n">
        <v>30</v>
      </c>
      <c r="E6437" s="21" t="s">
        <v>197</v>
      </c>
      <c r="F6437" s="22" t="s">
        <v>446</v>
      </c>
    </row>
    <row r="6438" customFormat="false" ht="15" hidden="false" customHeight="false" outlineLevel="0" collapsed="false">
      <c r="A6438" s="4" t="str">
        <f aca="false">B6438&amp;"|"&amp;C6438</f>
        <v>tdbR00000540 Ile-CAU|32</v>
      </c>
      <c r="B6438" s="4" t="s">
        <v>126</v>
      </c>
      <c r="C6438" s="4" t="s">
        <v>451</v>
      </c>
      <c r="D6438" s="4" t="n">
        <v>31</v>
      </c>
      <c r="E6438" s="19" t="s">
        <v>414</v>
      </c>
      <c r="F6438" s="20" t="s">
        <v>452</v>
      </c>
    </row>
    <row r="6439" customFormat="false" ht="15" hidden="false" customHeight="false" outlineLevel="0" collapsed="false">
      <c r="A6439" s="4" t="str">
        <f aca="false">B6439&amp;"|"&amp;C6439</f>
        <v>tdbR00000540 Ile-CAU|33</v>
      </c>
      <c r="B6439" s="4" t="s">
        <v>126</v>
      </c>
      <c r="C6439" s="4" t="s">
        <v>453</v>
      </c>
      <c r="D6439" s="4" t="n">
        <v>32</v>
      </c>
      <c r="E6439" s="19" t="s">
        <v>414</v>
      </c>
      <c r="F6439" s="20" t="s">
        <v>452</v>
      </c>
    </row>
    <row r="6440" customFormat="false" ht="15" hidden="false" customHeight="false" outlineLevel="0" collapsed="false">
      <c r="A6440" s="4" t="str">
        <f aca="false">B6440&amp;"|"&amp;C6440</f>
        <v>tdbR00000540 Ile-CAU|34</v>
      </c>
      <c r="B6440" s="4" t="s">
        <v>126</v>
      </c>
      <c r="C6440" s="4" t="s">
        <v>454</v>
      </c>
      <c r="D6440" s="4" t="n">
        <v>33</v>
      </c>
      <c r="E6440" s="19" t="s">
        <v>414</v>
      </c>
      <c r="F6440" s="20" t="s">
        <v>452</v>
      </c>
    </row>
    <row r="6441" customFormat="false" ht="15" hidden="false" customHeight="false" outlineLevel="0" collapsed="false">
      <c r="A6441" s="4" t="str">
        <f aca="false">B6441&amp;"|"&amp;C6441</f>
        <v>tdbR00000540 Ile-CAU|35</v>
      </c>
      <c r="B6441" s="4" t="s">
        <v>126</v>
      </c>
      <c r="C6441" s="4" t="s">
        <v>455</v>
      </c>
      <c r="D6441" s="4" t="n">
        <v>34</v>
      </c>
      <c r="E6441" s="19" t="s">
        <v>246</v>
      </c>
      <c r="F6441" s="20" t="s">
        <v>452</v>
      </c>
    </row>
    <row r="6442" customFormat="false" ht="15" hidden="false" customHeight="false" outlineLevel="0" collapsed="false">
      <c r="A6442" s="4" t="str">
        <f aca="false">B6442&amp;"|"&amp;C6442</f>
        <v>tdbR00000540 Ile-CAU|36</v>
      </c>
      <c r="B6442" s="4" t="s">
        <v>126</v>
      </c>
      <c r="C6442" s="4" t="s">
        <v>456</v>
      </c>
      <c r="D6442" s="4" t="n">
        <v>35</v>
      </c>
      <c r="E6442" s="19" t="s">
        <v>259</v>
      </c>
      <c r="F6442" s="20" t="s">
        <v>452</v>
      </c>
    </row>
    <row r="6443" customFormat="false" ht="15" hidden="false" customHeight="false" outlineLevel="0" collapsed="false">
      <c r="A6443" s="4" t="str">
        <f aca="false">B6443&amp;"|"&amp;C6443</f>
        <v>tdbR00000540 Ile-CAU|37</v>
      </c>
      <c r="B6443" s="4" t="s">
        <v>126</v>
      </c>
      <c r="C6443" s="4" t="s">
        <v>457</v>
      </c>
      <c r="D6443" s="4" t="n">
        <v>36</v>
      </c>
      <c r="E6443" s="19" t="s">
        <v>246</v>
      </c>
      <c r="F6443" s="20" t="s">
        <v>452</v>
      </c>
    </row>
    <row r="6444" customFormat="false" ht="15" hidden="false" customHeight="false" outlineLevel="0" collapsed="false">
      <c r="A6444" s="4" t="str">
        <f aca="false">B6444&amp;"|"&amp;C6444</f>
        <v>tdbR00000540 Ile-CAU|38</v>
      </c>
      <c r="B6444" s="4" t="s">
        <v>126</v>
      </c>
      <c r="C6444" s="4" t="s">
        <v>458</v>
      </c>
      <c r="D6444" s="4" t="n">
        <v>37</v>
      </c>
      <c r="E6444" s="19" t="s">
        <v>246</v>
      </c>
      <c r="F6444" s="20" t="s">
        <v>452</v>
      </c>
    </row>
    <row r="6445" customFormat="false" ht="15" hidden="false" customHeight="false" outlineLevel="0" collapsed="false">
      <c r="A6445" s="4" t="str">
        <f aca="false">B6445&amp;"|"&amp;C6445</f>
        <v>tdbR00000540 Ile-CAU|39</v>
      </c>
      <c r="B6445" s="4" t="s">
        <v>126</v>
      </c>
      <c r="C6445" s="4" t="s">
        <v>459</v>
      </c>
      <c r="D6445" s="4" t="n">
        <v>38</v>
      </c>
      <c r="E6445" s="21" t="s">
        <v>414</v>
      </c>
      <c r="F6445" s="22" t="s">
        <v>446</v>
      </c>
    </row>
    <row r="6446" customFormat="false" ht="15" hidden="false" customHeight="false" outlineLevel="0" collapsed="false">
      <c r="A6446" s="4" t="str">
        <f aca="false">B6446&amp;"|"&amp;C6446</f>
        <v>tdbR00000540 Ile-CAU|40</v>
      </c>
      <c r="B6446" s="4" t="s">
        <v>126</v>
      </c>
      <c r="C6446" s="4" t="s">
        <v>460</v>
      </c>
      <c r="D6446" s="4" t="n">
        <v>39</v>
      </c>
      <c r="E6446" s="21" t="s">
        <v>414</v>
      </c>
      <c r="F6446" s="22" t="s">
        <v>446</v>
      </c>
    </row>
    <row r="6447" customFormat="false" ht="15" hidden="false" customHeight="false" outlineLevel="0" collapsed="false">
      <c r="A6447" s="4" t="str">
        <f aca="false">B6447&amp;"|"&amp;C6447</f>
        <v>tdbR00000540 Ile-CAU|41</v>
      </c>
      <c r="B6447" s="4" t="s">
        <v>126</v>
      </c>
      <c r="C6447" s="4" t="s">
        <v>461</v>
      </c>
      <c r="D6447" s="4" t="n">
        <v>40</v>
      </c>
      <c r="E6447" s="21" t="s">
        <v>414</v>
      </c>
      <c r="F6447" s="22" t="s">
        <v>446</v>
      </c>
    </row>
    <row r="6448" customFormat="false" ht="15" hidden="false" customHeight="false" outlineLevel="0" collapsed="false">
      <c r="A6448" s="4" t="str">
        <f aca="false">B6448&amp;"|"&amp;C6448</f>
        <v>tdbR00000540 Ile-CAU|42</v>
      </c>
      <c r="B6448" s="4" t="s">
        <v>126</v>
      </c>
      <c r="C6448" s="4" t="s">
        <v>462</v>
      </c>
      <c r="D6448" s="4" t="n">
        <v>41</v>
      </c>
      <c r="E6448" s="21" t="s">
        <v>246</v>
      </c>
      <c r="F6448" s="22" t="s">
        <v>446</v>
      </c>
    </row>
    <row r="6449" customFormat="false" ht="15" hidden="false" customHeight="false" outlineLevel="0" collapsed="false">
      <c r="A6449" s="4" t="str">
        <f aca="false">B6449&amp;"|"&amp;C6449</f>
        <v>tdbR00000540 Ile-CAU|43</v>
      </c>
      <c r="B6449" s="4" t="s">
        <v>126</v>
      </c>
      <c r="C6449" s="4" t="s">
        <v>463</v>
      </c>
      <c r="D6449" s="4" t="n">
        <v>42</v>
      </c>
      <c r="E6449" s="21" t="s">
        <v>197</v>
      </c>
      <c r="F6449" s="22" t="s">
        <v>446</v>
      </c>
    </row>
    <row r="6450" customFormat="false" ht="15" hidden="false" customHeight="false" outlineLevel="0" collapsed="false">
      <c r="A6450" s="4" t="str">
        <f aca="false">B6450&amp;"|"&amp;C6450</f>
        <v>tdbR00000540 Ile-CAU|44</v>
      </c>
      <c r="B6450" s="4" t="s">
        <v>126</v>
      </c>
      <c r="C6450" s="4" t="s">
        <v>464</v>
      </c>
      <c r="D6450" s="4" t="n">
        <v>43</v>
      </c>
      <c r="E6450" s="19" t="s">
        <v>246</v>
      </c>
      <c r="F6450" s="20" t="s">
        <v>465</v>
      </c>
    </row>
    <row r="6451" customFormat="false" ht="15" hidden="false" customHeight="false" outlineLevel="0" collapsed="false">
      <c r="A6451" s="4" t="str">
        <f aca="false">B6451&amp;"|"&amp;C6451</f>
        <v>tdbR00000540 Ile-CAU|45</v>
      </c>
      <c r="B6451" s="4" t="s">
        <v>126</v>
      </c>
      <c r="C6451" s="4" t="s">
        <v>466</v>
      </c>
      <c r="D6451" s="4" t="n">
        <v>44</v>
      </c>
      <c r="E6451" s="19" t="s">
        <v>197</v>
      </c>
      <c r="F6451" s="20" t="s">
        <v>465</v>
      </c>
    </row>
    <row r="6452" customFormat="false" ht="15" hidden="false" customHeight="false" outlineLevel="0" collapsed="false">
      <c r="A6452" s="4" t="str">
        <f aca="false">B6452&amp;"|"&amp;C6452</f>
        <v>tdbR00000540 Ile-CAU|46</v>
      </c>
      <c r="B6452" s="4" t="s">
        <v>126</v>
      </c>
      <c r="C6452" s="4" t="s">
        <v>467</v>
      </c>
      <c r="D6452" s="4" t="n">
        <v>45</v>
      </c>
      <c r="E6452" s="19" t="s">
        <v>197</v>
      </c>
      <c r="F6452" s="20" t="s">
        <v>465</v>
      </c>
    </row>
    <row r="6453" customFormat="false" ht="15" hidden="false" customHeight="false" outlineLevel="0" collapsed="false">
      <c r="A6453" s="4" t="str">
        <f aca="false">B6453&amp;"|"&amp;C6453</f>
        <v>tdbR00000540 Ile-CAU|47</v>
      </c>
      <c r="B6453" s="4" t="s">
        <v>126</v>
      </c>
      <c r="C6453" s="4" t="s">
        <v>468</v>
      </c>
      <c r="D6453" s="4" t="n">
        <v>46</v>
      </c>
      <c r="E6453" s="19" t="s">
        <v>259</v>
      </c>
      <c r="F6453" s="20" t="s">
        <v>465</v>
      </c>
    </row>
    <row r="6454" customFormat="false" ht="15" hidden="false" customHeight="false" outlineLevel="0" collapsed="false">
      <c r="A6454" s="4" t="str">
        <f aca="false">B6454&amp;"|"&amp;C6454</f>
        <v>tdbR00000540 Ile-CAU|48</v>
      </c>
      <c r="B6454" s="4" t="s">
        <v>126</v>
      </c>
      <c r="C6454" s="4" t="s">
        <v>469</v>
      </c>
      <c r="D6454" s="4" t="n">
        <v>47</v>
      </c>
      <c r="E6454" s="19" t="s">
        <v>414</v>
      </c>
      <c r="F6454" s="20" t="s">
        <v>465</v>
      </c>
    </row>
    <row r="6455" customFormat="false" ht="15" hidden="false" customHeight="false" outlineLevel="0" collapsed="false">
      <c r="A6455" s="4" t="str">
        <f aca="false">B6455&amp;"|"&amp;C6455</f>
        <v>tdbR00000540 Ile-CAU|49</v>
      </c>
      <c r="B6455" s="4" t="s">
        <v>126</v>
      </c>
      <c r="C6455" s="4" t="s">
        <v>470</v>
      </c>
      <c r="D6455" s="4" t="n">
        <v>48</v>
      </c>
      <c r="E6455" s="23" t="s">
        <v>197</v>
      </c>
      <c r="F6455" s="10" t="s">
        <v>471</v>
      </c>
    </row>
    <row r="6456" customFormat="false" ht="15" hidden="false" customHeight="false" outlineLevel="0" collapsed="false">
      <c r="A6456" s="4" t="str">
        <f aca="false">B6456&amp;"|"&amp;C6456</f>
        <v>tdbR00000540 Ile-CAU|50</v>
      </c>
      <c r="B6456" s="4" t="s">
        <v>126</v>
      </c>
      <c r="C6456" s="4" t="s">
        <v>472</v>
      </c>
      <c r="D6456" s="4" t="n">
        <v>49</v>
      </c>
      <c r="E6456" s="23" t="s">
        <v>246</v>
      </c>
      <c r="F6456" s="10" t="s">
        <v>471</v>
      </c>
    </row>
    <row r="6457" customFormat="false" ht="15" hidden="false" customHeight="false" outlineLevel="0" collapsed="false">
      <c r="A6457" s="4" t="str">
        <f aca="false">B6457&amp;"|"&amp;C6457</f>
        <v>tdbR00000540 Ile-CAU|51</v>
      </c>
      <c r="B6457" s="4" t="s">
        <v>126</v>
      </c>
      <c r="C6457" s="4" t="s">
        <v>473</v>
      </c>
      <c r="D6457" s="4" t="n">
        <v>50</v>
      </c>
      <c r="E6457" s="23" t="s">
        <v>259</v>
      </c>
      <c r="F6457" s="10" t="s">
        <v>471</v>
      </c>
    </row>
    <row r="6458" customFormat="false" ht="15" hidden="false" customHeight="false" outlineLevel="0" collapsed="false">
      <c r="A6458" s="4" t="str">
        <f aca="false">B6458&amp;"|"&amp;C6458</f>
        <v>tdbR00000540 Ile-CAU|52</v>
      </c>
      <c r="B6458" s="4" t="s">
        <v>126</v>
      </c>
      <c r="C6458" s="4" t="s">
        <v>474</v>
      </c>
      <c r="D6458" s="4" t="n">
        <v>51</v>
      </c>
      <c r="E6458" s="23" t="s">
        <v>197</v>
      </c>
      <c r="F6458" s="10" t="s">
        <v>471</v>
      </c>
    </row>
    <row r="6459" customFormat="false" ht="15" hidden="false" customHeight="false" outlineLevel="0" collapsed="false">
      <c r="A6459" s="4" t="str">
        <f aca="false">B6459&amp;"|"&amp;C6459</f>
        <v>tdbR00000540 Ile-CAU|53</v>
      </c>
      <c r="B6459" s="4" t="s">
        <v>126</v>
      </c>
      <c r="C6459" s="4" t="s">
        <v>475</v>
      </c>
      <c r="D6459" s="4" t="n">
        <v>52</v>
      </c>
      <c r="E6459" s="23" t="s">
        <v>197</v>
      </c>
      <c r="F6459" s="10" t="s">
        <v>471</v>
      </c>
    </row>
    <row r="6460" customFormat="false" ht="15" hidden="false" customHeight="false" outlineLevel="0" collapsed="false">
      <c r="A6460" s="4" t="str">
        <f aca="false">B6460&amp;"|"&amp;C6460</f>
        <v>tdbR00000540 Ile-CAU|54</v>
      </c>
      <c r="B6460" s="4" t="s">
        <v>126</v>
      </c>
      <c r="C6460" s="4" t="s">
        <v>476</v>
      </c>
      <c r="D6460" s="4" t="n">
        <v>53</v>
      </c>
      <c r="E6460" s="19" t="s">
        <v>246</v>
      </c>
      <c r="F6460" s="20" t="s">
        <v>477</v>
      </c>
    </row>
    <row r="6461" customFormat="false" ht="15" hidden="false" customHeight="false" outlineLevel="0" collapsed="false">
      <c r="A6461" s="4" t="str">
        <f aca="false">B6461&amp;"|"&amp;C6461</f>
        <v>tdbR00000540 Ile-CAU|55</v>
      </c>
      <c r="B6461" s="4" t="s">
        <v>126</v>
      </c>
      <c r="C6461" s="4" t="s">
        <v>478</v>
      </c>
      <c r="D6461" s="4" t="n">
        <v>54</v>
      </c>
      <c r="E6461" s="19" t="s">
        <v>259</v>
      </c>
      <c r="F6461" s="20" t="s">
        <v>477</v>
      </c>
    </row>
    <row r="6462" customFormat="false" ht="15" hidden="false" customHeight="false" outlineLevel="0" collapsed="false">
      <c r="A6462" s="4" t="str">
        <f aca="false">B6462&amp;"|"&amp;C6462</f>
        <v>tdbR00000540 Ile-CAU|56</v>
      </c>
      <c r="B6462" s="4" t="s">
        <v>126</v>
      </c>
      <c r="C6462" s="4" t="s">
        <v>479</v>
      </c>
      <c r="D6462" s="4" t="n">
        <v>55</v>
      </c>
      <c r="E6462" s="19" t="s">
        <v>414</v>
      </c>
      <c r="F6462" s="20" t="s">
        <v>477</v>
      </c>
    </row>
    <row r="6463" customFormat="false" ht="15" hidden="false" customHeight="false" outlineLevel="0" collapsed="false">
      <c r="A6463" s="4" t="str">
        <f aca="false">B6463&amp;"|"&amp;C6463</f>
        <v>tdbR00000540 Ile-CAU|57</v>
      </c>
      <c r="B6463" s="4" t="s">
        <v>126</v>
      </c>
      <c r="C6463" s="4" t="s">
        <v>480</v>
      </c>
      <c r="D6463" s="4" t="n">
        <v>56</v>
      </c>
      <c r="E6463" s="19" t="s">
        <v>197</v>
      </c>
      <c r="F6463" s="20" t="s">
        <v>477</v>
      </c>
    </row>
    <row r="6464" customFormat="false" ht="15" hidden="false" customHeight="false" outlineLevel="0" collapsed="false">
      <c r="A6464" s="4" t="str">
        <f aca="false">B6464&amp;"|"&amp;C6464</f>
        <v>tdbR00000540 Ile-CAU|58</v>
      </c>
      <c r="B6464" s="4" t="s">
        <v>126</v>
      </c>
      <c r="C6464" s="4" t="s">
        <v>481</v>
      </c>
      <c r="D6464" s="4" t="n">
        <v>57</v>
      </c>
      <c r="E6464" s="19" t="s">
        <v>246</v>
      </c>
      <c r="F6464" s="20" t="s">
        <v>477</v>
      </c>
    </row>
    <row r="6465" customFormat="false" ht="15" hidden="false" customHeight="false" outlineLevel="0" collapsed="false">
      <c r="A6465" s="4" t="str">
        <f aca="false">B6465&amp;"|"&amp;C6465</f>
        <v>tdbR00000540 Ile-CAU|59</v>
      </c>
      <c r="B6465" s="4" t="s">
        <v>126</v>
      </c>
      <c r="C6465" s="4" t="s">
        <v>482</v>
      </c>
      <c r="D6465" s="4" t="n">
        <v>58</v>
      </c>
      <c r="E6465" s="19" t="s">
        <v>246</v>
      </c>
      <c r="F6465" s="20" t="s">
        <v>477</v>
      </c>
    </row>
    <row r="6466" customFormat="false" ht="15" hidden="false" customHeight="false" outlineLevel="0" collapsed="false">
      <c r="A6466" s="4" t="str">
        <f aca="false">B6466&amp;"|"&amp;C6466</f>
        <v>tdbR00000540 Ile-CAU|60</v>
      </c>
      <c r="B6466" s="4" t="s">
        <v>126</v>
      </c>
      <c r="C6466" s="4" t="s">
        <v>483</v>
      </c>
      <c r="D6466" s="4" t="n">
        <v>59</v>
      </c>
      <c r="E6466" s="19" t="s">
        <v>246</v>
      </c>
      <c r="F6466" s="20" t="s">
        <v>477</v>
      </c>
    </row>
    <row r="6467" customFormat="false" ht="15" hidden="false" customHeight="false" outlineLevel="0" collapsed="false">
      <c r="A6467" s="4" t="str">
        <f aca="false">B6467&amp;"|"&amp;C6467</f>
        <v>tdbR00000540 Ile-CAU|61</v>
      </c>
      <c r="B6467" s="4" t="s">
        <v>126</v>
      </c>
      <c r="C6467" s="4" t="s">
        <v>484</v>
      </c>
      <c r="D6467" s="4" t="n">
        <v>60</v>
      </c>
      <c r="E6467" s="23" t="s">
        <v>414</v>
      </c>
      <c r="F6467" s="10" t="s">
        <v>471</v>
      </c>
    </row>
    <row r="6468" customFormat="false" ht="15" hidden="false" customHeight="false" outlineLevel="0" collapsed="false">
      <c r="A6468" s="4" t="str">
        <f aca="false">B6468&amp;"|"&amp;C6468</f>
        <v>tdbR00000540 Ile-CAU|62</v>
      </c>
      <c r="B6468" s="4" t="s">
        <v>126</v>
      </c>
      <c r="C6468" s="4" t="s">
        <v>485</v>
      </c>
      <c r="D6468" s="4" t="n">
        <v>61</v>
      </c>
      <c r="E6468" s="23" t="s">
        <v>414</v>
      </c>
      <c r="F6468" s="10" t="s">
        <v>471</v>
      </c>
    </row>
    <row r="6469" customFormat="false" ht="15" hidden="false" customHeight="false" outlineLevel="0" collapsed="false">
      <c r="A6469" s="4" t="str">
        <f aca="false">B6469&amp;"|"&amp;C6469</f>
        <v>tdbR00000540 Ile-CAU|63</v>
      </c>
      <c r="B6469" s="4" t="s">
        <v>126</v>
      </c>
      <c r="C6469" s="4" t="s">
        <v>486</v>
      </c>
      <c r="D6469" s="4" t="n">
        <v>62</v>
      </c>
      <c r="E6469" s="23" t="s">
        <v>246</v>
      </c>
      <c r="F6469" s="10" t="s">
        <v>471</v>
      </c>
    </row>
    <row r="6470" customFormat="false" ht="15" hidden="false" customHeight="false" outlineLevel="0" collapsed="false">
      <c r="A6470" s="4" t="str">
        <f aca="false">B6470&amp;"|"&amp;C6470</f>
        <v>tdbR00000540 Ile-CAU|64</v>
      </c>
      <c r="B6470" s="4" t="s">
        <v>126</v>
      </c>
      <c r="C6470" s="4" t="s">
        <v>487</v>
      </c>
      <c r="D6470" s="4" t="n">
        <v>63</v>
      </c>
      <c r="E6470" s="23" t="s">
        <v>259</v>
      </c>
      <c r="F6470" s="10" t="s">
        <v>471</v>
      </c>
    </row>
    <row r="6471" customFormat="false" ht="15" hidden="false" customHeight="false" outlineLevel="0" collapsed="false">
      <c r="A6471" s="4" t="str">
        <f aca="false">B6471&amp;"|"&amp;C6471</f>
        <v>tdbR00000540 Ile-CAU|65</v>
      </c>
      <c r="B6471" s="4" t="s">
        <v>126</v>
      </c>
      <c r="C6471" s="4" t="s">
        <v>488</v>
      </c>
      <c r="D6471" s="4" t="n">
        <v>64</v>
      </c>
      <c r="E6471" s="23" t="s">
        <v>414</v>
      </c>
      <c r="F6471" s="10" t="s">
        <v>471</v>
      </c>
    </row>
    <row r="6472" customFormat="false" ht="15" hidden="false" customHeight="false" outlineLevel="0" collapsed="false">
      <c r="A6472" s="4" t="str">
        <f aca="false">B6472&amp;"|"&amp;C6472</f>
        <v>tdbR00000540 Ile-CAU|66</v>
      </c>
      <c r="B6472" s="4" t="s">
        <v>126</v>
      </c>
      <c r="C6472" s="4" t="s">
        <v>489</v>
      </c>
      <c r="D6472" s="4" t="n">
        <v>65</v>
      </c>
      <c r="E6472" s="17" t="s">
        <v>414</v>
      </c>
      <c r="F6472" s="18" t="s">
        <v>412</v>
      </c>
    </row>
    <row r="6473" customFormat="false" ht="15" hidden="false" customHeight="false" outlineLevel="0" collapsed="false">
      <c r="A6473" s="4" t="str">
        <f aca="false">B6473&amp;"|"&amp;C6473</f>
        <v>tdbR00000540 Ile-CAU|67</v>
      </c>
      <c r="B6473" s="4" t="s">
        <v>126</v>
      </c>
      <c r="C6473" s="4" t="s">
        <v>490</v>
      </c>
      <c r="D6473" s="4" t="n">
        <v>66</v>
      </c>
      <c r="E6473" s="17" t="s">
        <v>259</v>
      </c>
      <c r="F6473" s="18" t="s">
        <v>412</v>
      </c>
    </row>
    <row r="6474" customFormat="false" ht="15" hidden="false" customHeight="false" outlineLevel="0" collapsed="false">
      <c r="A6474" s="4" t="str">
        <f aca="false">B6474&amp;"|"&amp;C6474</f>
        <v>tdbR00000540 Ile-CAU|68</v>
      </c>
      <c r="B6474" s="4" t="s">
        <v>126</v>
      </c>
      <c r="C6474" s="4" t="s">
        <v>491</v>
      </c>
      <c r="D6474" s="4" t="n">
        <v>67</v>
      </c>
      <c r="E6474" s="17" t="s">
        <v>414</v>
      </c>
      <c r="F6474" s="18" t="s">
        <v>412</v>
      </c>
    </row>
    <row r="6475" customFormat="false" ht="15" hidden="false" customHeight="false" outlineLevel="0" collapsed="false">
      <c r="A6475" s="4" t="str">
        <f aca="false">B6475&amp;"|"&amp;C6475</f>
        <v>tdbR00000540 Ile-CAU|69</v>
      </c>
      <c r="B6475" s="4" t="s">
        <v>126</v>
      </c>
      <c r="C6475" s="4" t="s">
        <v>492</v>
      </c>
      <c r="D6475" s="4" t="n">
        <v>68</v>
      </c>
      <c r="E6475" s="17" t="s">
        <v>259</v>
      </c>
      <c r="F6475" s="18" t="s">
        <v>412</v>
      </c>
    </row>
    <row r="6476" customFormat="false" ht="15" hidden="false" customHeight="false" outlineLevel="0" collapsed="false">
      <c r="A6476" s="4" t="str">
        <f aca="false">B6476&amp;"|"&amp;C6476</f>
        <v>tdbR00000540 Ile-CAU|70</v>
      </c>
      <c r="B6476" s="4" t="s">
        <v>126</v>
      </c>
      <c r="C6476" s="4" t="s">
        <v>493</v>
      </c>
      <c r="D6476" s="4" t="n">
        <v>69</v>
      </c>
      <c r="E6476" s="17" t="s">
        <v>197</v>
      </c>
      <c r="F6476" s="18" t="s">
        <v>412</v>
      </c>
    </row>
    <row r="6477" customFormat="false" ht="15" hidden="false" customHeight="false" outlineLevel="0" collapsed="false">
      <c r="A6477" s="4" t="str">
        <f aca="false">B6477&amp;"|"&amp;C6477</f>
        <v>tdbR00000540 Ile-CAU|71</v>
      </c>
      <c r="B6477" s="4" t="s">
        <v>126</v>
      </c>
      <c r="C6477" s="4" t="s">
        <v>494</v>
      </c>
      <c r="D6477" s="4" t="n">
        <v>70</v>
      </c>
      <c r="E6477" s="17" t="s">
        <v>414</v>
      </c>
      <c r="F6477" s="18" t="s">
        <v>412</v>
      </c>
    </row>
    <row r="6478" customFormat="false" ht="15" hidden="false" customHeight="false" outlineLevel="0" collapsed="false">
      <c r="A6478" s="4" t="str">
        <f aca="false">B6478&amp;"|"&amp;C6478</f>
        <v>tdbR00000540 Ile-CAU|72</v>
      </c>
      <c r="B6478" s="4" t="s">
        <v>126</v>
      </c>
      <c r="C6478" s="4" t="s">
        <v>495</v>
      </c>
      <c r="D6478" s="4" t="n">
        <v>71</v>
      </c>
      <c r="E6478" s="17" t="s">
        <v>259</v>
      </c>
      <c r="F6478" s="18" t="s">
        <v>412</v>
      </c>
    </row>
    <row r="6479" customFormat="false" ht="15" hidden="false" customHeight="false" outlineLevel="0" collapsed="false">
      <c r="A6479" s="4" t="str">
        <f aca="false">B6479&amp;"|"&amp;C6479</f>
        <v>tdbR00000103 Phe-GAA|1</v>
      </c>
      <c r="B6479" s="4" t="s">
        <v>127</v>
      </c>
      <c r="C6479" s="4" t="s">
        <v>411</v>
      </c>
      <c r="D6479" s="4" t="n">
        <v>1</v>
      </c>
      <c r="E6479" s="17" t="s">
        <v>197</v>
      </c>
      <c r="F6479" s="18" t="s">
        <v>412</v>
      </c>
    </row>
    <row r="6480" customFormat="false" ht="15" hidden="false" customHeight="false" outlineLevel="0" collapsed="false">
      <c r="A6480" s="4" t="str">
        <f aca="false">B6480&amp;"|"&amp;C6480</f>
        <v>tdbR00000103 Phe-GAA|2</v>
      </c>
      <c r="B6480" s="4" t="s">
        <v>127</v>
      </c>
      <c r="C6480" s="4" t="s">
        <v>413</v>
      </c>
      <c r="D6480" s="4" t="n">
        <v>2</v>
      </c>
      <c r="E6480" s="17" t="s">
        <v>414</v>
      </c>
      <c r="F6480" s="18" t="s">
        <v>412</v>
      </c>
    </row>
    <row r="6481" customFormat="false" ht="15" hidden="false" customHeight="false" outlineLevel="0" collapsed="false">
      <c r="A6481" s="4" t="str">
        <f aca="false">B6481&amp;"|"&amp;C6481</f>
        <v>tdbR00000103 Phe-GAA|3</v>
      </c>
      <c r="B6481" s="4" t="s">
        <v>127</v>
      </c>
      <c r="C6481" s="4" t="s">
        <v>415</v>
      </c>
      <c r="D6481" s="4" t="n">
        <v>3</v>
      </c>
      <c r="E6481" s="17" t="s">
        <v>414</v>
      </c>
      <c r="F6481" s="18" t="s">
        <v>412</v>
      </c>
    </row>
    <row r="6482" customFormat="false" ht="15" hidden="false" customHeight="false" outlineLevel="0" collapsed="false">
      <c r="A6482" s="4" t="str">
        <f aca="false">B6482&amp;"|"&amp;C6482</f>
        <v>tdbR00000103 Phe-GAA|4</v>
      </c>
      <c r="B6482" s="4" t="s">
        <v>127</v>
      </c>
      <c r="C6482" s="4" t="s">
        <v>416</v>
      </c>
      <c r="D6482" s="4" t="n">
        <v>4</v>
      </c>
      <c r="E6482" s="17" t="s">
        <v>197</v>
      </c>
      <c r="F6482" s="18" t="s">
        <v>412</v>
      </c>
    </row>
    <row r="6483" customFormat="false" ht="15" hidden="false" customHeight="false" outlineLevel="0" collapsed="false">
      <c r="A6483" s="4" t="str">
        <f aca="false">B6483&amp;"|"&amp;C6483</f>
        <v>tdbR00000103 Phe-GAA|5</v>
      </c>
      <c r="B6483" s="4" t="s">
        <v>127</v>
      </c>
      <c r="C6483" s="4" t="s">
        <v>417</v>
      </c>
      <c r="D6483" s="4" t="n">
        <v>5</v>
      </c>
      <c r="E6483" s="17" t="s">
        <v>246</v>
      </c>
      <c r="F6483" s="18" t="s">
        <v>412</v>
      </c>
    </row>
    <row r="6484" customFormat="false" ht="15" hidden="false" customHeight="false" outlineLevel="0" collapsed="false">
      <c r="A6484" s="4" t="str">
        <f aca="false">B6484&amp;"|"&amp;C6484</f>
        <v>tdbR00000103 Phe-GAA|6</v>
      </c>
      <c r="B6484" s="4" t="s">
        <v>127</v>
      </c>
      <c r="C6484" s="4" t="s">
        <v>418</v>
      </c>
      <c r="D6484" s="4" t="n">
        <v>6</v>
      </c>
      <c r="E6484" s="17" t="s">
        <v>246</v>
      </c>
      <c r="F6484" s="18" t="s">
        <v>412</v>
      </c>
    </row>
    <row r="6485" customFormat="false" ht="15" hidden="false" customHeight="false" outlineLevel="0" collapsed="false">
      <c r="A6485" s="4" t="str">
        <f aca="false">B6485&amp;"|"&amp;C6485</f>
        <v>tdbR00000103 Phe-GAA|7</v>
      </c>
      <c r="B6485" s="4" t="s">
        <v>127</v>
      </c>
      <c r="C6485" s="4" t="s">
        <v>419</v>
      </c>
      <c r="D6485" s="4" t="n">
        <v>7</v>
      </c>
      <c r="E6485" s="17" t="s">
        <v>246</v>
      </c>
      <c r="F6485" s="18" t="s">
        <v>412</v>
      </c>
    </row>
    <row r="6486" customFormat="false" ht="15" hidden="false" customHeight="false" outlineLevel="0" collapsed="false">
      <c r="A6486" s="4" t="str">
        <f aca="false">B6486&amp;"|"&amp;C6486</f>
        <v>tdbR00000103 Phe-GAA|8</v>
      </c>
      <c r="B6486" s="4" t="s">
        <v>127</v>
      </c>
      <c r="C6486" s="4" t="s">
        <v>420</v>
      </c>
      <c r="D6486" s="4" t="n">
        <v>8</v>
      </c>
      <c r="E6486" s="3" t="s">
        <v>259</v>
      </c>
      <c r="F6486" s="4" t="s">
        <v>421</v>
      </c>
    </row>
    <row r="6487" customFormat="false" ht="15" hidden="false" customHeight="false" outlineLevel="0" collapsed="false">
      <c r="A6487" s="4" t="str">
        <f aca="false">B6487&amp;"|"&amp;C6487</f>
        <v>tdbR00000103 Phe-GAA|9</v>
      </c>
      <c r="B6487" s="4" t="s">
        <v>127</v>
      </c>
      <c r="C6487" s="4" t="s">
        <v>422</v>
      </c>
      <c r="D6487" s="4" t="n">
        <v>9</v>
      </c>
      <c r="E6487" s="3" t="s">
        <v>246</v>
      </c>
      <c r="F6487" s="4" t="s">
        <v>423</v>
      </c>
    </row>
    <row r="6488" customFormat="false" ht="15" hidden="false" customHeight="false" outlineLevel="0" collapsed="false">
      <c r="A6488" s="4" t="str">
        <f aca="false">B6488&amp;"|"&amp;C6488</f>
        <v>tdbR00000103 Phe-GAA|10</v>
      </c>
      <c r="B6488" s="4" t="s">
        <v>127</v>
      </c>
      <c r="C6488" s="4" t="s">
        <v>424</v>
      </c>
      <c r="D6488" s="4" t="n">
        <v>10</v>
      </c>
      <c r="E6488" s="8" t="s">
        <v>197</v>
      </c>
      <c r="F6488" s="7" t="s">
        <v>425</v>
      </c>
    </row>
    <row r="6489" customFormat="false" ht="15" hidden="false" customHeight="false" outlineLevel="0" collapsed="false">
      <c r="A6489" s="4" t="str">
        <f aca="false">B6489&amp;"|"&amp;C6489</f>
        <v>tdbR00000103 Phe-GAA|11</v>
      </c>
      <c r="B6489" s="4" t="s">
        <v>127</v>
      </c>
      <c r="C6489" s="4" t="s">
        <v>426</v>
      </c>
      <c r="D6489" s="4" t="n">
        <v>11</v>
      </c>
      <c r="E6489" s="8" t="s">
        <v>414</v>
      </c>
      <c r="F6489" s="7" t="s">
        <v>425</v>
      </c>
    </row>
    <row r="6490" customFormat="false" ht="15" hidden="false" customHeight="false" outlineLevel="0" collapsed="false">
      <c r="A6490" s="4" t="str">
        <f aca="false">B6490&amp;"|"&amp;C6490</f>
        <v>tdbR00000103 Phe-GAA|12</v>
      </c>
      <c r="B6490" s="4" t="s">
        <v>127</v>
      </c>
      <c r="C6490" s="4" t="s">
        <v>427</v>
      </c>
      <c r="D6490" s="4" t="n">
        <v>12</v>
      </c>
      <c r="E6490" s="8" t="s">
        <v>259</v>
      </c>
      <c r="F6490" s="7" t="s">
        <v>425</v>
      </c>
    </row>
    <row r="6491" customFormat="false" ht="15" hidden="false" customHeight="false" outlineLevel="0" collapsed="false">
      <c r="A6491" s="4" t="str">
        <f aca="false">B6491&amp;"|"&amp;C6491</f>
        <v>tdbR00000103 Phe-GAA|13</v>
      </c>
      <c r="B6491" s="4" t="s">
        <v>127</v>
      </c>
      <c r="C6491" s="4" t="s">
        <v>428</v>
      </c>
      <c r="D6491" s="4" t="n">
        <v>13</v>
      </c>
      <c r="E6491" s="8" t="s">
        <v>414</v>
      </c>
      <c r="F6491" s="7" t="s">
        <v>425</v>
      </c>
    </row>
    <row r="6492" customFormat="false" ht="15" hidden="false" customHeight="false" outlineLevel="0" collapsed="false">
      <c r="A6492" s="4" t="str">
        <f aca="false">B6492&amp;"|"&amp;C6492</f>
        <v>tdbR00000103 Phe-GAA|14</v>
      </c>
      <c r="B6492" s="4" t="s">
        <v>127</v>
      </c>
      <c r="C6492" s="4" t="s">
        <v>429</v>
      </c>
      <c r="D6492" s="4" t="n">
        <v>14</v>
      </c>
      <c r="E6492" s="19" t="s">
        <v>246</v>
      </c>
      <c r="F6492" s="20" t="s">
        <v>430</v>
      </c>
    </row>
    <row r="6493" customFormat="false" ht="15" hidden="false" customHeight="false" outlineLevel="0" collapsed="false">
      <c r="A6493" s="4" t="str">
        <f aca="false">B6493&amp;"|"&amp;C6493</f>
        <v>tdbR00000103 Phe-GAA|15</v>
      </c>
      <c r="B6493" s="4" t="s">
        <v>127</v>
      </c>
      <c r="C6493" s="4" t="s">
        <v>431</v>
      </c>
      <c r="D6493" s="4" t="n">
        <v>15</v>
      </c>
      <c r="E6493" s="19" t="s">
        <v>197</v>
      </c>
      <c r="F6493" s="20" t="s">
        <v>430</v>
      </c>
    </row>
    <row r="6494" customFormat="false" ht="15" hidden="false" customHeight="false" outlineLevel="0" collapsed="false">
      <c r="A6494" s="4" t="str">
        <f aca="false">B6494&amp;"|"&amp;C6494</f>
        <v>tdbR00000103 Phe-GAA|16</v>
      </c>
      <c r="B6494" s="4" t="s">
        <v>127</v>
      </c>
      <c r="C6494" s="4" t="s">
        <v>432</v>
      </c>
      <c r="D6494" s="4" t="n">
        <v>16</v>
      </c>
      <c r="E6494" s="19" t="s">
        <v>259</v>
      </c>
      <c r="F6494" s="20" t="s">
        <v>430</v>
      </c>
    </row>
    <row r="6495" customFormat="false" ht="15" hidden="false" customHeight="false" outlineLevel="0" collapsed="false">
      <c r="A6495" s="4" t="str">
        <f aca="false">B6495&amp;"|"&amp;C6495</f>
        <v>tdbR00000103 Phe-GAA|17</v>
      </c>
      <c r="B6495" s="4" t="s">
        <v>127</v>
      </c>
      <c r="C6495" s="4" t="s">
        <v>433</v>
      </c>
      <c r="D6495" s="4" t="n">
        <v>17</v>
      </c>
      <c r="E6495" s="19" t="s">
        <v>259</v>
      </c>
      <c r="F6495" s="20" t="s">
        <v>430</v>
      </c>
    </row>
    <row r="6496" customFormat="false" ht="15" hidden="false" customHeight="false" outlineLevel="0" collapsed="false">
      <c r="A6496" s="4" t="str">
        <f aca="false">B6496&amp;"|"&amp;C6496</f>
        <v>tdbR00000103 Phe-GAA|18</v>
      </c>
      <c r="B6496" s="4" t="s">
        <v>127</v>
      </c>
      <c r="C6496" s="4" t="s">
        <v>434</v>
      </c>
      <c r="D6496" s="4" t="n">
        <v>18</v>
      </c>
      <c r="E6496" s="19" t="s">
        <v>197</v>
      </c>
      <c r="F6496" s="20" t="s">
        <v>430</v>
      </c>
    </row>
    <row r="6497" customFormat="false" ht="15" hidden="false" customHeight="false" outlineLevel="0" collapsed="false">
      <c r="A6497" s="4" t="str">
        <f aca="false">B6497&amp;"|"&amp;C6497</f>
        <v>tdbR00000103 Phe-GAA|19</v>
      </c>
      <c r="B6497" s="4" t="s">
        <v>127</v>
      </c>
      <c r="C6497" s="4" t="s">
        <v>435</v>
      </c>
      <c r="D6497" s="4" t="n">
        <v>19</v>
      </c>
      <c r="E6497" s="19" t="s">
        <v>197</v>
      </c>
      <c r="F6497" s="20" t="s">
        <v>430</v>
      </c>
    </row>
    <row r="6498" customFormat="false" ht="15" hidden="false" customHeight="false" outlineLevel="0" collapsed="false">
      <c r="A6498" s="4" t="str">
        <f aca="false">B6498&amp;"|"&amp;C6498</f>
        <v>tdbR00000103 Phe-GAA|20</v>
      </c>
      <c r="B6498" s="4" t="s">
        <v>127</v>
      </c>
      <c r="C6498" s="4" t="s">
        <v>436</v>
      </c>
      <c r="D6498" s="4" t="n">
        <v>20</v>
      </c>
      <c r="E6498" s="19" t="s">
        <v>197</v>
      </c>
      <c r="F6498" s="20" t="s">
        <v>430</v>
      </c>
    </row>
    <row r="6499" customFormat="false" ht="15" hidden="false" customHeight="false" outlineLevel="0" collapsed="false">
      <c r="A6499" s="4" t="str">
        <f aca="false">B6499&amp;"|"&amp;C6499</f>
        <v>tdbR00000103 Phe-GAA|21</v>
      </c>
      <c r="B6499" s="4" t="s">
        <v>127</v>
      </c>
      <c r="C6499" s="4" t="s">
        <v>438</v>
      </c>
      <c r="D6499" s="4" t="n">
        <v>21</v>
      </c>
      <c r="E6499" s="19" t="s">
        <v>246</v>
      </c>
      <c r="F6499" s="20" t="s">
        <v>430</v>
      </c>
    </row>
    <row r="6500" customFormat="false" ht="15" hidden="false" customHeight="false" outlineLevel="0" collapsed="false">
      <c r="A6500" s="4" t="str">
        <f aca="false">B6500&amp;"|"&amp;C6500</f>
        <v>tdbR00000103 Phe-GAA|22</v>
      </c>
      <c r="B6500" s="4" t="s">
        <v>127</v>
      </c>
      <c r="C6500" s="4" t="s">
        <v>439</v>
      </c>
      <c r="D6500" s="4" t="n">
        <v>22</v>
      </c>
      <c r="E6500" s="8" t="s">
        <v>197</v>
      </c>
      <c r="F6500" s="7" t="s">
        <v>425</v>
      </c>
    </row>
    <row r="6501" customFormat="false" ht="15" hidden="false" customHeight="false" outlineLevel="0" collapsed="false">
      <c r="A6501" s="4" t="str">
        <f aca="false">B6501&amp;"|"&amp;C6501</f>
        <v>tdbR00000103 Phe-GAA|23</v>
      </c>
      <c r="B6501" s="4" t="s">
        <v>127</v>
      </c>
      <c r="C6501" s="4" t="s">
        <v>440</v>
      </c>
      <c r="D6501" s="4" t="n">
        <v>23</v>
      </c>
      <c r="E6501" s="8" t="s">
        <v>246</v>
      </c>
      <c r="F6501" s="7" t="s">
        <v>425</v>
      </c>
    </row>
    <row r="6502" customFormat="false" ht="15" hidden="false" customHeight="false" outlineLevel="0" collapsed="false">
      <c r="A6502" s="4" t="str">
        <f aca="false">B6502&amp;"|"&amp;C6502</f>
        <v>tdbR00000103 Phe-GAA|24</v>
      </c>
      <c r="B6502" s="4" t="s">
        <v>127</v>
      </c>
      <c r="C6502" s="4" t="s">
        <v>441</v>
      </c>
      <c r="D6502" s="4" t="n">
        <v>24</v>
      </c>
      <c r="E6502" s="8" t="s">
        <v>197</v>
      </c>
      <c r="F6502" s="7" t="s">
        <v>425</v>
      </c>
    </row>
    <row r="6503" customFormat="false" ht="15" hidden="false" customHeight="false" outlineLevel="0" collapsed="false">
      <c r="A6503" s="4" t="str">
        <f aca="false">B6503&amp;"|"&amp;C6503</f>
        <v>tdbR00000103 Phe-GAA|25</v>
      </c>
      <c r="B6503" s="4" t="s">
        <v>127</v>
      </c>
      <c r="C6503" s="4" t="s">
        <v>442</v>
      </c>
      <c r="D6503" s="4" t="n">
        <v>25</v>
      </c>
      <c r="E6503" s="8" t="s">
        <v>414</v>
      </c>
      <c r="F6503" s="7" t="s">
        <v>425</v>
      </c>
    </row>
    <row r="6504" customFormat="false" ht="15" hidden="false" customHeight="false" outlineLevel="0" collapsed="false">
      <c r="A6504" s="4" t="str">
        <f aca="false">B6504&amp;"|"&amp;C6504</f>
        <v>tdbR00000103 Phe-GAA|26</v>
      </c>
      <c r="B6504" s="4" t="s">
        <v>127</v>
      </c>
      <c r="C6504" s="4" t="s">
        <v>443</v>
      </c>
      <c r="D6504" s="4" t="n">
        <v>26</v>
      </c>
      <c r="E6504" s="3" t="s">
        <v>197</v>
      </c>
      <c r="F6504" s="4" t="s">
        <v>444</v>
      </c>
    </row>
    <row r="6505" customFormat="false" ht="15" hidden="false" customHeight="false" outlineLevel="0" collapsed="false">
      <c r="A6505" s="4" t="str">
        <f aca="false">B6505&amp;"|"&amp;C6505</f>
        <v>tdbR00000103 Phe-GAA|27</v>
      </c>
      <c r="B6505" s="4" t="s">
        <v>127</v>
      </c>
      <c r="C6505" s="4" t="s">
        <v>445</v>
      </c>
      <c r="D6505" s="4" t="n">
        <v>27</v>
      </c>
      <c r="E6505" s="21" t="s">
        <v>259</v>
      </c>
      <c r="F6505" s="22" t="s">
        <v>446</v>
      </c>
    </row>
    <row r="6506" customFormat="false" ht="15" hidden="false" customHeight="false" outlineLevel="0" collapsed="false">
      <c r="A6506" s="4" t="str">
        <f aca="false">B6506&amp;"|"&amp;C6506</f>
        <v>tdbR00000103 Phe-GAA|28</v>
      </c>
      <c r="B6506" s="4" t="s">
        <v>127</v>
      </c>
      <c r="C6506" s="4" t="s">
        <v>447</v>
      </c>
      <c r="D6506" s="4" t="n">
        <v>28</v>
      </c>
      <c r="E6506" s="21" t="s">
        <v>259</v>
      </c>
      <c r="F6506" s="22" t="s">
        <v>446</v>
      </c>
    </row>
    <row r="6507" customFormat="false" ht="15" hidden="false" customHeight="false" outlineLevel="0" collapsed="false">
      <c r="A6507" s="4" t="str">
        <f aca="false">B6507&amp;"|"&amp;C6507</f>
        <v>tdbR00000103 Phe-GAA|29</v>
      </c>
      <c r="B6507" s="4" t="s">
        <v>127</v>
      </c>
      <c r="C6507" s="4" t="s">
        <v>448</v>
      </c>
      <c r="D6507" s="4" t="n">
        <v>29</v>
      </c>
      <c r="E6507" s="21" t="s">
        <v>246</v>
      </c>
      <c r="F6507" s="22" t="s">
        <v>446</v>
      </c>
    </row>
    <row r="6508" customFormat="false" ht="15" hidden="false" customHeight="false" outlineLevel="0" collapsed="false">
      <c r="A6508" s="4" t="str">
        <f aca="false">B6508&amp;"|"&amp;C6508</f>
        <v>tdbR00000103 Phe-GAA|30</v>
      </c>
      <c r="B6508" s="4" t="s">
        <v>127</v>
      </c>
      <c r="C6508" s="4" t="s">
        <v>449</v>
      </c>
      <c r="D6508" s="4" t="n">
        <v>30</v>
      </c>
      <c r="E6508" s="21" t="s">
        <v>197</v>
      </c>
      <c r="F6508" s="22" t="s">
        <v>446</v>
      </c>
    </row>
    <row r="6509" customFormat="false" ht="15" hidden="false" customHeight="false" outlineLevel="0" collapsed="false">
      <c r="A6509" s="4" t="str">
        <f aca="false">B6509&amp;"|"&amp;C6509</f>
        <v>tdbR00000103 Phe-GAA|31</v>
      </c>
      <c r="B6509" s="4" t="s">
        <v>127</v>
      </c>
      <c r="C6509" s="4" t="s">
        <v>450</v>
      </c>
      <c r="D6509" s="4" t="n">
        <v>31</v>
      </c>
      <c r="E6509" s="21" t="s">
        <v>246</v>
      </c>
      <c r="F6509" s="22" t="s">
        <v>446</v>
      </c>
    </row>
    <row r="6510" customFormat="false" ht="15" hidden="false" customHeight="false" outlineLevel="0" collapsed="false">
      <c r="A6510" s="4" t="str">
        <f aca="false">B6510&amp;"|"&amp;C6510</f>
        <v>tdbR00000103 Phe-GAA|32</v>
      </c>
      <c r="B6510" s="4" t="s">
        <v>127</v>
      </c>
      <c r="C6510" s="4" t="s">
        <v>451</v>
      </c>
      <c r="D6510" s="4" t="n">
        <v>32</v>
      </c>
      <c r="E6510" s="19" t="s">
        <v>414</v>
      </c>
      <c r="F6510" s="20" t="s">
        <v>452</v>
      </c>
    </row>
    <row r="6511" customFormat="false" ht="15" hidden="false" customHeight="false" outlineLevel="0" collapsed="false">
      <c r="A6511" s="4" t="str">
        <f aca="false">B6511&amp;"|"&amp;C6511</f>
        <v>tdbR00000103 Phe-GAA|33</v>
      </c>
      <c r="B6511" s="4" t="s">
        <v>127</v>
      </c>
      <c r="C6511" s="4" t="s">
        <v>453</v>
      </c>
      <c r="D6511" s="4" t="n">
        <v>33</v>
      </c>
      <c r="E6511" s="19" t="s">
        <v>259</v>
      </c>
      <c r="F6511" s="20" t="s">
        <v>452</v>
      </c>
    </row>
    <row r="6512" customFormat="false" ht="15" hidden="false" customHeight="false" outlineLevel="0" collapsed="false">
      <c r="A6512" s="4" t="str">
        <f aca="false">B6512&amp;"|"&amp;C6512</f>
        <v>tdbR00000103 Phe-GAA|34</v>
      </c>
      <c r="B6512" s="4" t="s">
        <v>127</v>
      </c>
      <c r="C6512" s="4" t="s">
        <v>454</v>
      </c>
      <c r="D6512" s="4" t="n">
        <v>34</v>
      </c>
      <c r="E6512" s="19" t="s">
        <v>197</v>
      </c>
      <c r="F6512" s="20" t="s">
        <v>452</v>
      </c>
    </row>
    <row r="6513" customFormat="false" ht="15" hidden="false" customHeight="false" outlineLevel="0" collapsed="false">
      <c r="A6513" s="4" t="str">
        <f aca="false">B6513&amp;"|"&amp;C6513</f>
        <v>tdbR00000103 Phe-GAA|35</v>
      </c>
      <c r="B6513" s="4" t="s">
        <v>127</v>
      </c>
      <c r="C6513" s="4" t="s">
        <v>455</v>
      </c>
      <c r="D6513" s="4" t="n">
        <v>35</v>
      </c>
      <c r="E6513" s="19" t="s">
        <v>246</v>
      </c>
      <c r="F6513" s="20" t="s">
        <v>452</v>
      </c>
    </row>
    <row r="6514" customFormat="false" ht="15" hidden="false" customHeight="false" outlineLevel="0" collapsed="false">
      <c r="A6514" s="4" t="str">
        <f aca="false">B6514&amp;"|"&amp;C6514</f>
        <v>tdbR00000103 Phe-GAA|36</v>
      </c>
      <c r="B6514" s="4" t="s">
        <v>127</v>
      </c>
      <c r="C6514" s="4" t="s">
        <v>456</v>
      </c>
      <c r="D6514" s="4" t="n">
        <v>36</v>
      </c>
      <c r="E6514" s="19" t="s">
        <v>246</v>
      </c>
      <c r="F6514" s="20" t="s">
        <v>452</v>
      </c>
    </row>
    <row r="6515" customFormat="false" ht="15" hidden="false" customHeight="false" outlineLevel="0" collapsed="false">
      <c r="A6515" s="4" t="str">
        <f aca="false">B6515&amp;"|"&amp;C6515</f>
        <v>tdbR00000103 Phe-GAA|37</v>
      </c>
      <c r="B6515" s="4" t="s">
        <v>127</v>
      </c>
      <c r="C6515" s="4" t="s">
        <v>457</v>
      </c>
      <c r="D6515" s="4" t="n">
        <v>37</v>
      </c>
      <c r="E6515" s="19" t="s">
        <v>197</v>
      </c>
      <c r="F6515" s="20" t="s">
        <v>452</v>
      </c>
    </row>
    <row r="6516" customFormat="false" ht="15" hidden="false" customHeight="false" outlineLevel="0" collapsed="false">
      <c r="A6516" s="4" t="str">
        <f aca="false">B6516&amp;"|"&amp;C6516</f>
        <v>tdbR00000103 Phe-GAA|38</v>
      </c>
      <c r="B6516" s="4" t="s">
        <v>127</v>
      </c>
      <c r="C6516" s="4" t="s">
        <v>458</v>
      </c>
      <c r="D6516" s="4" t="n">
        <v>38</v>
      </c>
      <c r="E6516" s="19" t="s">
        <v>246</v>
      </c>
      <c r="F6516" s="20" t="s">
        <v>452</v>
      </c>
    </row>
    <row r="6517" customFormat="false" ht="15" hidden="false" customHeight="false" outlineLevel="0" collapsed="false">
      <c r="A6517" s="4" t="str">
        <f aca="false">B6517&amp;"|"&amp;C6517</f>
        <v>tdbR00000103 Phe-GAA|39</v>
      </c>
      <c r="B6517" s="4" t="s">
        <v>127</v>
      </c>
      <c r="C6517" s="4" t="s">
        <v>459</v>
      </c>
      <c r="D6517" s="4" t="n">
        <v>39</v>
      </c>
      <c r="E6517" s="21" t="s">
        <v>259</v>
      </c>
      <c r="F6517" s="22" t="s">
        <v>446</v>
      </c>
    </row>
    <row r="6518" customFormat="false" ht="15" hidden="false" customHeight="false" outlineLevel="0" collapsed="false">
      <c r="A6518" s="4" t="str">
        <f aca="false">B6518&amp;"|"&amp;C6518</f>
        <v>tdbR00000103 Phe-GAA|40</v>
      </c>
      <c r="B6518" s="4" t="s">
        <v>127</v>
      </c>
      <c r="C6518" s="4" t="s">
        <v>460</v>
      </c>
      <c r="D6518" s="4" t="n">
        <v>40</v>
      </c>
      <c r="E6518" s="21" t="s">
        <v>414</v>
      </c>
      <c r="F6518" s="22" t="s">
        <v>446</v>
      </c>
    </row>
    <row r="6519" customFormat="false" ht="15" hidden="false" customHeight="false" outlineLevel="0" collapsed="false">
      <c r="A6519" s="4" t="str">
        <f aca="false">B6519&amp;"|"&amp;C6519</f>
        <v>tdbR00000103 Phe-GAA|41</v>
      </c>
      <c r="B6519" s="4" t="s">
        <v>127</v>
      </c>
      <c r="C6519" s="4" t="s">
        <v>461</v>
      </c>
      <c r="D6519" s="4" t="n">
        <v>41</v>
      </c>
      <c r="E6519" s="21" t="s">
        <v>259</v>
      </c>
      <c r="F6519" s="22" t="s">
        <v>446</v>
      </c>
    </row>
    <row r="6520" customFormat="false" ht="15" hidden="false" customHeight="false" outlineLevel="0" collapsed="false">
      <c r="A6520" s="4" t="str">
        <f aca="false">B6520&amp;"|"&amp;C6520</f>
        <v>tdbR00000103 Phe-GAA|42</v>
      </c>
      <c r="B6520" s="4" t="s">
        <v>127</v>
      </c>
      <c r="C6520" s="4" t="s">
        <v>462</v>
      </c>
      <c r="D6520" s="4" t="n">
        <v>42</v>
      </c>
      <c r="E6520" s="21" t="s">
        <v>246</v>
      </c>
      <c r="F6520" s="22" t="s">
        <v>446</v>
      </c>
    </row>
    <row r="6521" customFormat="false" ht="15" hidden="false" customHeight="false" outlineLevel="0" collapsed="false">
      <c r="A6521" s="4" t="str">
        <f aca="false">B6521&amp;"|"&amp;C6521</f>
        <v>tdbR00000103 Phe-GAA|43</v>
      </c>
      <c r="B6521" s="4" t="s">
        <v>127</v>
      </c>
      <c r="C6521" s="4" t="s">
        <v>463</v>
      </c>
      <c r="D6521" s="4" t="n">
        <v>43</v>
      </c>
      <c r="E6521" s="21" t="s">
        <v>246</v>
      </c>
      <c r="F6521" s="22" t="s">
        <v>446</v>
      </c>
    </row>
    <row r="6522" customFormat="false" ht="15" hidden="false" customHeight="false" outlineLevel="0" collapsed="false">
      <c r="A6522" s="4" t="str">
        <f aca="false">B6522&amp;"|"&amp;C6522</f>
        <v>tdbR00000103 Phe-GAA|44</v>
      </c>
      <c r="B6522" s="4" t="s">
        <v>127</v>
      </c>
      <c r="C6522" s="4" t="s">
        <v>464</v>
      </c>
      <c r="D6522" s="4" t="n">
        <v>44</v>
      </c>
      <c r="E6522" s="19" t="s">
        <v>246</v>
      </c>
      <c r="F6522" s="20" t="s">
        <v>465</v>
      </c>
    </row>
    <row r="6523" customFormat="false" ht="15" hidden="false" customHeight="false" outlineLevel="0" collapsed="false">
      <c r="A6523" s="4" t="str">
        <f aca="false">B6523&amp;"|"&amp;C6523</f>
        <v>tdbR00000103 Phe-GAA|45</v>
      </c>
      <c r="B6523" s="4" t="s">
        <v>127</v>
      </c>
      <c r="C6523" s="4" t="s">
        <v>466</v>
      </c>
      <c r="D6523" s="4" t="n">
        <v>45</v>
      </c>
      <c r="E6523" s="19" t="s">
        <v>197</v>
      </c>
      <c r="F6523" s="20" t="s">
        <v>465</v>
      </c>
    </row>
    <row r="6524" customFormat="false" ht="15" hidden="false" customHeight="false" outlineLevel="0" collapsed="false">
      <c r="A6524" s="4" t="str">
        <f aca="false">B6524&amp;"|"&amp;C6524</f>
        <v>tdbR00000103 Phe-GAA|46</v>
      </c>
      <c r="B6524" s="4" t="s">
        <v>127</v>
      </c>
      <c r="C6524" s="4" t="s">
        <v>467</v>
      </c>
      <c r="D6524" s="4" t="n">
        <v>46</v>
      </c>
      <c r="E6524" s="19" t="s">
        <v>197</v>
      </c>
      <c r="F6524" s="20" t="s">
        <v>465</v>
      </c>
    </row>
    <row r="6525" customFormat="false" ht="15" hidden="false" customHeight="false" outlineLevel="0" collapsed="false">
      <c r="A6525" s="4" t="str">
        <f aca="false">B6525&amp;"|"&amp;C6525</f>
        <v>tdbR00000103 Phe-GAA|47</v>
      </c>
      <c r="B6525" s="4" t="s">
        <v>127</v>
      </c>
      <c r="C6525" s="4" t="s">
        <v>468</v>
      </c>
      <c r="D6525" s="4" t="n">
        <v>47</v>
      </c>
      <c r="E6525" s="19" t="s">
        <v>259</v>
      </c>
      <c r="F6525" s="20" t="s">
        <v>465</v>
      </c>
    </row>
    <row r="6526" customFormat="false" ht="15" hidden="false" customHeight="false" outlineLevel="0" collapsed="false">
      <c r="A6526" s="4" t="str">
        <f aca="false">B6526&amp;"|"&amp;C6526</f>
        <v>tdbR00000103 Phe-GAA|48</v>
      </c>
      <c r="B6526" s="4" t="s">
        <v>127</v>
      </c>
      <c r="C6526" s="4" t="s">
        <v>469</v>
      </c>
      <c r="D6526" s="4" t="n">
        <v>48</v>
      </c>
      <c r="E6526" s="19" t="s">
        <v>414</v>
      </c>
      <c r="F6526" s="20" t="s">
        <v>465</v>
      </c>
    </row>
    <row r="6527" customFormat="false" ht="15" hidden="false" customHeight="false" outlineLevel="0" collapsed="false">
      <c r="A6527" s="4" t="str">
        <f aca="false">B6527&amp;"|"&amp;C6527</f>
        <v>tdbR00000103 Phe-GAA|49</v>
      </c>
      <c r="B6527" s="4" t="s">
        <v>127</v>
      </c>
      <c r="C6527" s="4" t="s">
        <v>470</v>
      </c>
      <c r="D6527" s="4" t="n">
        <v>49</v>
      </c>
      <c r="E6527" s="23" t="s">
        <v>414</v>
      </c>
      <c r="F6527" s="10" t="s">
        <v>471</v>
      </c>
    </row>
    <row r="6528" customFormat="false" ht="15" hidden="false" customHeight="false" outlineLevel="0" collapsed="false">
      <c r="A6528" s="4" t="str">
        <f aca="false">B6528&amp;"|"&amp;C6528</f>
        <v>tdbR00000103 Phe-GAA|50</v>
      </c>
      <c r="B6528" s="4" t="s">
        <v>127</v>
      </c>
      <c r="C6528" s="4" t="s">
        <v>472</v>
      </c>
      <c r="D6528" s="4" t="n">
        <v>50</v>
      </c>
      <c r="E6528" s="23" t="s">
        <v>414</v>
      </c>
      <c r="F6528" s="10" t="s">
        <v>471</v>
      </c>
    </row>
    <row r="6529" customFormat="false" ht="15" hidden="false" customHeight="false" outlineLevel="0" collapsed="false">
      <c r="A6529" s="4" t="str">
        <f aca="false">B6529&amp;"|"&amp;C6529</f>
        <v>tdbR00000103 Phe-GAA|51</v>
      </c>
      <c r="B6529" s="4" t="s">
        <v>127</v>
      </c>
      <c r="C6529" s="4" t="s">
        <v>473</v>
      </c>
      <c r="D6529" s="4" t="n">
        <v>51</v>
      </c>
      <c r="E6529" s="23" t="s">
        <v>259</v>
      </c>
      <c r="F6529" s="10" t="s">
        <v>471</v>
      </c>
    </row>
    <row r="6530" customFormat="false" ht="15" hidden="false" customHeight="false" outlineLevel="0" collapsed="false">
      <c r="A6530" s="4" t="str">
        <f aca="false">B6530&amp;"|"&amp;C6530</f>
        <v>tdbR00000103 Phe-GAA|52</v>
      </c>
      <c r="B6530" s="4" t="s">
        <v>127</v>
      </c>
      <c r="C6530" s="4" t="s">
        <v>474</v>
      </c>
      <c r="D6530" s="4" t="n">
        <v>52</v>
      </c>
      <c r="E6530" s="23" t="s">
        <v>197</v>
      </c>
      <c r="F6530" s="10" t="s">
        <v>471</v>
      </c>
    </row>
    <row r="6531" customFormat="false" ht="15" hidden="false" customHeight="false" outlineLevel="0" collapsed="false">
      <c r="A6531" s="4" t="str">
        <f aca="false">B6531&amp;"|"&amp;C6531</f>
        <v>tdbR00000103 Phe-GAA|53</v>
      </c>
      <c r="B6531" s="4" t="s">
        <v>127</v>
      </c>
      <c r="C6531" s="4" t="s">
        <v>475</v>
      </c>
      <c r="D6531" s="4" t="n">
        <v>53</v>
      </c>
      <c r="E6531" s="23" t="s">
        <v>197</v>
      </c>
      <c r="F6531" s="10" t="s">
        <v>471</v>
      </c>
    </row>
    <row r="6532" customFormat="false" ht="15" hidden="false" customHeight="false" outlineLevel="0" collapsed="false">
      <c r="A6532" s="4" t="str">
        <f aca="false">B6532&amp;"|"&amp;C6532</f>
        <v>tdbR00000103 Phe-GAA|54</v>
      </c>
      <c r="B6532" s="4" t="s">
        <v>127</v>
      </c>
      <c r="C6532" s="4" t="s">
        <v>476</v>
      </c>
      <c r="D6532" s="4" t="n">
        <v>54</v>
      </c>
      <c r="E6532" s="19" t="s">
        <v>259</v>
      </c>
      <c r="F6532" s="20" t="s">
        <v>477</v>
      </c>
    </row>
    <row r="6533" customFormat="false" ht="15" hidden="false" customHeight="false" outlineLevel="0" collapsed="false">
      <c r="A6533" s="4" t="str">
        <f aca="false">B6533&amp;"|"&amp;C6533</f>
        <v>tdbR00000103 Phe-GAA|55</v>
      </c>
      <c r="B6533" s="4" t="s">
        <v>127</v>
      </c>
      <c r="C6533" s="4" t="s">
        <v>478</v>
      </c>
      <c r="D6533" s="4" t="n">
        <v>55</v>
      </c>
      <c r="E6533" s="19" t="s">
        <v>259</v>
      </c>
      <c r="F6533" s="20" t="s">
        <v>477</v>
      </c>
    </row>
    <row r="6534" customFormat="false" ht="15" hidden="false" customHeight="false" outlineLevel="0" collapsed="false">
      <c r="A6534" s="4" t="str">
        <f aca="false">B6534&amp;"|"&amp;C6534</f>
        <v>tdbR00000103 Phe-GAA|56</v>
      </c>
      <c r="B6534" s="4" t="s">
        <v>127</v>
      </c>
      <c r="C6534" s="4" t="s">
        <v>479</v>
      </c>
      <c r="D6534" s="4" t="n">
        <v>56</v>
      </c>
      <c r="E6534" s="19" t="s">
        <v>414</v>
      </c>
      <c r="F6534" s="20" t="s">
        <v>477</v>
      </c>
    </row>
    <row r="6535" customFormat="false" ht="15" hidden="false" customHeight="false" outlineLevel="0" collapsed="false">
      <c r="A6535" s="4" t="str">
        <f aca="false">B6535&amp;"|"&amp;C6535</f>
        <v>tdbR00000103 Phe-GAA|57</v>
      </c>
      <c r="B6535" s="4" t="s">
        <v>127</v>
      </c>
      <c r="C6535" s="4" t="s">
        <v>480</v>
      </c>
      <c r="D6535" s="4" t="n">
        <v>57</v>
      </c>
      <c r="E6535" s="19" t="s">
        <v>197</v>
      </c>
      <c r="F6535" s="20" t="s">
        <v>477</v>
      </c>
    </row>
    <row r="6536" customFormat="false" ht="15" hidden="false" customHeight="false" outlineLevel="0" collapsed="false">
      <c r="A6536" s="4" t="str">
        <f aca="false">B6536&amp;"|"&amp;C6536</f>
        <v>tdbR00000103 Phe-GAA|58</v>
      </c>
      <c r="B6536" s="4" t="s">
        <v>127</v>
      </c>
      <c r="C6536" s="4" t="s">
        <v>481</v>
      </c>
      <c r="D6536" s="4" t="n">
        <v>58</v>
      </c>
      <c r="E6536" s="19" t="s">
        <v>246</v>
      </c>
      <c r="F6536" s="20" t="s">
        <v>477</v>
      </c>
    </row>
    <row r="6537" customFormat="false" ht="15" hidden="false" customHeight="false" outlineLevel="0" collapsed="false">
      <c r="A6537" s="4" t="str">
        <f aca="false">B6537&amp;"|"&amp;C6537</f>
        <v>tdbR00000103 Phe-GAA|59</v>
      </c>
      <c r="B6537" s="4" t="s">
        <v>127</v>
      </c>
      <c r="C6537" s="4" t="s">
        <v>482</v>
      </c>
      <c r="D6537" s="4" t="n">
        <v>59</v>
      </c>
      <c r="E6537" s="19" t="s">
        <v>259</v>
      </c>
      <c r="F6537" s="20" t="s">
        <v>477</v>
      </c>
    </row>
    <row r="6538" customFormat="false" ht="15" hidden="false" customHeight="false" outlineLevel="0" collapsed="false">
      <c r="A6538" s="4" t="str">
        <f aca="false">B6538&amp;"|"&amp;C6538</f>
        <v>tdbR00000103 Phe-GAA|60</v>
      </c>
      <c r="B6538" s="4" t="s">
        <v>127</v>
      </c>
      <c r="C6538" s="4" t="s">
        <v>483</v>
      </c>
      <c r="D6538" s="4" t="n">
        <v>60</v>
      </c>
      <c r="E6538" s="19" t="s">
        <v>414</v>
      </c>
      <c r="F6538" s="20" t="s">
        <v>477</v>
      </c>
    </row>
    <row r="6539" customFormat="false" ht="15" hidden="false" customHeight="false" outlineLevel="0" collapsed="false">
      <c r="A6539" s="4" t="str">
        <f aca="false">B6539&amp;"|"&amp;C6539</f>
        <v>tdbR00000103 Phe-GAA|61</v>
      </c>
      <c r="B6539" s="4" t="s">
        <v>127</v>
      </c>
      <c r="C6539" s="4" t="s">
        <v>484</v>
      </c>
      <c r="D6539" s="4" t="n">
        <v>61</v>
      </c>
      <c r="E6539" s="23" t="s">
        <v>414</v>
      </c>
      <c r="F6539" s="10" t="s">
        <v>471</v>
      </c>
    </row>
    <row r="6540" customFormat="false" ht="15" hidden="false" customHeight="false" outlineLevel="0" collapsed="false">
      <c r="A6540" s="4" t="str">
        <f aca="false">B6540&amp;"|"&amp;C6540</f>
        <v>tdbR00000103 Phe-GAA|62</v>
      </c>
      <c r="B6540" s="4" t="s">
        <v>127</v>
      </c>
      <c r="C6540" s="4" t="s">
        <v>485</v>
      </c>
      <c r="D6540" s="4" t="n">
        <v>62</v>
      </c>
      <c r="E6540" s="23" t="s">
        <v>414</v>
      </c>
      <c r="F6540" s="10" t="s">
        <v>471</v>
      </c>
    </row>
    <row r="6541" customFormat="false" ht="15" hidden="false" customHeight="false" outlineLevel="0" collapsed="false">
      <c r="A6541" s="4" t="str">
        <f aca="false">B6541&amp;"|"&amp;C6541</f>
        <v>tdbR00000103 Phe-GAA|63</v>
      </c>
      <c r="B6541" s="4" t="s">
        <v>127</v>
      </c>
      <c r="C6541" s="4" t="s">
        <v>486</v>
      </c>
      <c r="D6541" s="4" t="n">
        <v>63</v>
      </c>
      <c r="E6541" s="23" t="s">
        <v>197</v>
      </c>
      <c r="F6541" s="10" t="s">
        <v>471</v>
      </c>
    </row>
    <row r="6542" customFormat="false" ht="15" hidden="false" customHeight="false" outlineLevel="0" collapsed="false">
      <c r="A6542" s="4" t="str">
        <f aca="false">B6542&amp;"|"&amp;C6542</f>
        <v>tdbR00000103 Phe-GAA|64</v>
      </c>
      <c r="B6542" s="4" t="s">
        <v>127</v>
      </c>
      <c r="C6542" s="4" t="s">
        <v>487</v>
      </c>
      <c r="D6542" s="4" t="n">
        <v>64</v>
      </c>
      <c r="E6542" s="23" t="s">
        <v>197</v>
      </c>
      <c r="F6542" s="10" t="s">
        <v>471</v>
      </c>
    </row>
    <row r="6543" customFormat="false" ht="15" hidden="false" customHeight="false" outlineLevel="0" collapsed="false">
      <c r="A6543" s="4" t="str">
        <f aca="false">B6543&amp;"|"&amp;C6543</f>
        <v>tdbR00000103 Phe-GAA|65</v>
      </c>
      <c r="B6543" s="4" t="s">
        <v>127</v>
      </c>
      <c r="C6543" s="4" t="s">
        <v>488</v>
      </c>
      <c r="D6543" s="4" t="n">
        <v>65</v>
      </c>
      <c r="E6543" s="23" t="s">
        <v>197</v>
      </c>
      <c r="F6543" s="10" t="s">
        <v>471</v>
      </c>
    </row>
    <row r="6544" customFormat="false" ht="15" hidden="false" customHeight="false" outlineLevel="0" collapsed="false">
      <c r="A6544" s="4" t="str">
        <f aca="false">B6544&amp;"|"&amp;C6544</f>
        <v>tdbR00000103 Phe-GAA|66</v>
      </c>
      <c r="B6544" s="4" t="s">
        <v>127</v>
      </c>
      <c r="C6544" s="4" t="s">
        <v>489</v>
      </c>
      <c r="D6544" s="4" t="n">
        <v>66</v>
      </c>
      <c r="E6544" s="17" t="s">
        <v>259</v>
      </c>
      <c r="F6544" s="18" t="s">
        <v>412</v>
      </c>
    </row>
    <row r="6545" customFormat="false" ht="15" hidden="false" customHeight="false" outlineLevel="0" collapsed="false">
      <c r="A6545" s="4" t="str">
        <f aca="false">B6545&amp;"|"&amp;C6545</f>
        <v>tdbR00000103 Phe-GAA|67</v>
      </c>
      <c r="B6545" s="4" t="s">
        <v>127</v>
      </c>
      <c r="C6545" s="4" t="s">
        <v>490</v>
      </c>
      <c r="D6545" s="4" t="n">
        <v>67</v>
      </c>
      <c r="E6545" s="17" t="s">
        <v>259</v>
      </c>
      <c r="F6545" s="18" t="s">
        <v>412</v>
      </c>
    </row>
    <row r="6546" customFormat="false" ht="15" hidden="false" customHeight="false" outlineLevel="0" collapsed="false">
      <c r="A6546" s="4" t="str">
        <f aca="false">B6546&amp;"|"&amp;C6546</f>
        <v>tdbR00000103 Phe-GAA|68</v>
      </c>
      <c r="B6546" s="4" t="s">
        <v>127</v>
      </c>
      <c r="C6546" s="4" t="s">
        <v>491</v>
      </c>
      <c r="D6546" s="4" t="n">
        <v>68</v>
      </c>
      <c r="E6546" s="17" t="s">
        <v>259</v>
      </c>
      <c r="F6546" s="18" t="s">
        <v>412</v>
      </c>
    </row>
    <row r="6547" customFormat="false" ht="15" hidden="false" customHeight="false" outlineLevel="0" collapsed="false">
      <c r="A6547" s="4" t="str">
        <f aca="false">B6547&amp;"|"&amp;C6547</f>
        <v>tdbR00000103 Phe-GAA|69</v>
      </c>
      <c r="B6547" s="4" t="s">
        <v>127</v>
      </c>
      <c r="C6547" s="4" t="s">
        <v>492</v>
      </c>
      <c r="D6547" s="4" t="n">
        <v>69</v>
      </c>
      <c r="E6547" s="17" t="s">
        <v>414</v>
      </c>
      <c r="F6547" s="18" t="s">
        <v>412</v>
      </c>
    </row>
    <row r="6548" customFormat="false" ht="15" hidden="false" customHeight="false" outlineLevel="0" collapsed="false">
      <c r="A6548" s="4" t="str">
        <f aca="false">B6548&amp;"|"&amp;C6548</f>
        <v>tdbR00000103 Phe-GAA|70</v>
      </c>
      <c r="B6548" s="4" t="s">
        <v>127</v>
      </c>
      <c r="C6548" s="4" t="s">
        <v>493</v>
      </c>
      <c r="D6548" s="4" t="n">
        <v>70</v>
      </c>
      <c r="E6548" s="17" t="s">
        <v>197</v>
      </c>
      <c r="F6548" s="18" t="s">
        <v>412</v>
      </c>
    </row>
    <row r="6549" customFormat="false" ht="15" hidden="false" customHeight="false" outlineLevel="0" collapsed="false">
      <c r="A6549" s="4" t="str">
        <f aca="false">B6549&amp;"|"&amp;C6549</f>
        <v>tdbR00000103 Phe-GAA|71</v>
      </c>
      <c r="B6549" s="4" t="s">
        <v>127</v>
      </c>
      <c r="C6549" s="4" t="s">
        <v>494</v>
      </c>
      <c r="D6549" s="4" t="n">
        <v>71</v>
      </c>
      <c r="E6549" s="17" t="s">
        <v>197</v>
      </c>
      <c r="F6549" s="18" t="s">
        <v>412</v>
      </c>
    </row>
    <row r="6550" customFormat="false" ht="15" hidden="false" customHeight="false" outlineLevel="0" collapsed="false">
      <c r="A6550" s="4" t="str">
        <f aca="false">B6550&amp;"|"&amp;C6550</f>
        <v>tdbR00000103 Phe-GAA|72</v>
      </c>
      <c r="B6550" s="4" t="s">
        <v>127</v>
      </c>
      <c r="C6550" s="4" t="s">
        <v>495</v>
      </c>
      <c r="D6550" s="4" t="n">
        <v>72</v>
      </c>
      <c r="E6550" s="17" t="s">
        <v>414</v>
      </c>
      <c r="F6550" s="18" t="s">
        <v>412</v>
      </c>
    </row>
    <row r="6551" customFormat="false" ht="15" hidden="false" customHeight="false" outlineLevel="0" collapsed="false">
      <c r="A6551" s="4" t="str">
        <f aca="false">B6551&amp;"|"&amp;C6551</f>
        <v>tdbR00000566 Tyr-GUA|1</v>
      </c>
      <c r="B6551" s="4" t="s">
        <v>128</v>
      </c>
      <c r="C6551" s="4" t="s">
        <v>411</v>
      </c>
      <c r="D6551" s="4" t="n">
        <v>1</v>
      </c>
      <c r="E6551" s="17" t="s">
        <v>414</v>
      </c>
      <c r="F6551" s="18" t="s">
        <v>412</v>
      </c>
    </row>
    <row r="6552" customFormat="false" ht="15" hidden="false" customHeight="false" outlineLevel="0" collapsed="false">
      <c r="A6552" s="4" t="str">
        <f aca="false">B6552&amp;"|"&amp;C6552</f>
        <v>tdbR00000566 Tyr-GUA|2</v>
      </c>
      <c r="B6552" s="4" t="s">
        <v>128</v>
      </c>
      <c r="C6552" s="4" t="s">
        <v>413</v>
      </c>
      <c r="D6552" s="4" t="n">
        <v>2</v>
      </c>
      <c r="E6552" s="17" t="s">
        <v>414</v>
      </c>
      <c r="F6552" s="18" t="s">
        <v>412</v>
      </c>
    </row>
    <row r="6553" customFormat="false" ht="15" hidden="false" customHeight="false" outlineLevel="0" collapsed="false">
      <c r="A6553" s="4" t="str">
        <f aca="false">B6553&amp;"|"&amp;C6553</f>
        <v>tdbR00000566 Tyr-GUA|3</v>
      </c>
      <c r="B6553" s="4" t="s">
        <v>128</v>
      </c>
      <c r="C6553" s="4" t="s">
        <v>415</v>
      </c>
      <c r="D6553" s="4" t="n">
        <v>3</v>
      </c>
      <c r="E6553" s="17" t="s">
        <v>259</v>
      </c>
      <c r="F6553" s="18" t="s">
        <v>412</v>
      </c>
    </row>
    <row r="6554" customFormat="false" ht="15" hidden="false" customHeight="false" outlineLevel="0" collapsed="false">
      <c r="A6554" s="4" t="str">
        <f aca="false">B6554&amp;"|"&amp;C6554</f>
        <v>tdbR00000566 Tyr-GUA|4</v>
      </c>
      <c r="B6554" s="4" t="s">
        <v>128</v>
      </c>
      <c r="C6554" s="4" t="s">
        <v>416</v>
      </c>
      <c r="D6554" s="4" t="n">
        <v>4</v>
      </c>
      <c r="E6554" s="17" t="s">
        <v>259</v>
      </c>
      <c r="F6554" s="18" t="s">
        <v>412</v>
      </c>
    </row>
    <row r="6555" customFormat="false" ht="15" hidden="false" customHeight="false" outlineLevel="0" collapsed="false">
      <c r="A6555" s="4" t="str">
        <f aca="false">B6555&amp;"|"&amp;C6555</f>
        <v>tdbR00000566 Tyr-GUA|5</v>
      </c>
      <c r="B6555" s="4" t="s">
        <v>128</v>
      </c>
      <c r="C6555" s="4" t="s">
        <v>417</v>
      </c>
      <c r="D6555" s="4" t="n">
        <v>5</v>
      </c>
      <c r="E6555" s="17" t="s">
        <v>414</v>
      </c>
      <c r="F6555" s="18" t="s">
        <v>412</v>
      </c>
    </row>
    <row r="6556" customFormat="false" ht="15" hidden="false" customHeight="false" outlineLevel="0" collapsed="false">
      <c r="A6556" s="4" t="str">
        <f aca="false">B6556&amp;"|"&amp;C6556</f>
        <v>tdbR00000566 Tyr-GUA|6</v>
      </c>
      <c r="B6556" s="4" t="s">
        <v>128</v>
      </c>
      <c r="C6556" s="4" t="s">
        <v>418</v>
      </c>
      <c r="D6556" s="4" t="n">
        <v>6</v>
      </c>
      <c r="E6556" s="17" t="s">
        <v>197</v>
      </c>
      <c r="F6556" s="18" t="s">
        <v>412</v>
      </c>
    </row>
    <row r="6557" customFormat="false" ht="15" hidden="false" customHeight="false" outlineLevel="0" collapsed="false">
      <c r="A6557" s="4" t="str">
        <f aca="false">B6557&amp;"|"&amp;C6557</f>
        <v>tdbR00000566 Tyr-GUA|7</v>
      </c>
      <c r="B6557" s="4" t="s">
        <v>128</v>
      </c>
      <c r="C6557" s="4" t="s">
        <v>419</v>
      </c>
      <c r="D6557" s="4" t="n">
        <v>7</v>
      </c>
      <c r="E6557" s="17" t="s">
        <v>246</v>
      </c>
      <c r="F6557" s="18" t="s">
        <v>412</v>
      </c>
    </row>
    <row r="6558" customFormat="false" ht="15" hidden="false" customHeight="false" outlineLevel="0" collapsed="false">
      <c r="A6558" s="4" t="str">
        <f aca="false">B6558&amp;"|"&amp;C6558</f>
        <v>tdbR00000566 Tyr-GUA|8</v>
      </c>
      <c r="B6558" s="4" t="s">
        <v>128</v>
      </c>
      <c r="C6558" s="4" t="s">
        <v>420</v>
      </c>
      <c r="D6558" s="4" t="n">
        <v>8</v>
      </c>
      <c r="E6558" s="3" t="s">
        <v>259</v>
      </c>
      <c r="F6558" s="4" t="s">
        <v>421</v>
      </c>
    </row>
    <row r="6559" customFormat="false" ht="15" hidden="false" customHeight="false" outlineLevel="0" collapsed="false">
      <c r="A6559" s="4" t="str">
        <f aca="false">B6559&amp;"|"&amp;C6559</f>
        <v>tdbR00000566 Tyr-GUA|9</v>
      </c>
      <c r="B6559" s="4" t="s">
        <v>128</v>
      </c>
      <c r="C6559" s="4" t="s">
        <v>422</v>
      </c>
      <c r="D6559" s="4" t="n">
        <v>9</v>
      </c>
      <c r="E6559" s="3" t="s">
        <v>246</v>
      </c>
      <c r="F6559" s="4" t="s">
        <v>423</v>
      </c>
    </row>
    <row r="6560" customFormat="false" ht="15" hidden="false" customHeight="false" outlineLevel="0" collapsed="false">
      <c r="A6560" s="4" t="str">
        <f aca="false">B6560&amp;"|"&amp;C6560</f>
        <v>tdbR00000566 Tyr-GUA|10</v>
      </c>
      <c r="B6560" s="4" t="s">
        <v>128</v>
      </c>
      <c r="C6560" s="4" t="s">
        <v>424</v>
      </c>
      <c r="D6560" s="4" t="n">
        <v>10</v>
      </c>
      <c r="E6560" s="8" t="s">
        <v>197</v>
      </c>
      <c r="F6560" s="7" t="s">
        <v>425</v>
      </c>
    </row>
    <row r="6561" customFormat="false" ht="15" hidden="false" customHeight="false" outlineLevel="0" collapsed="false">
      <c r="A6561" s="4" t="str">
        <f aca="false">B6561&amp;"|"&amp;C6561</f>
        <v>tdbR00000566 Tyr-GUA|11</v>
      </c>
      <c r="B6561" s="4" t="s">
        <v>128</v>
      </c>
      <c r="C6561" s="4" t="s">
        <v>426</v>
      </c>
      <c r="D6561" s="4" t="n">
        <v>11</v>
      </c>
      <c r="E6561" s="8" t="s">
        <v>414</v>
      </c>
      <c r="F6561" s="7" t="s">
        <v>425</v>
      </c>
    </row>
    <row r="6562" customFormat="false" ht="15" hidden="false" customHeight="false" outlineLevel="0" collapsed="false">
      <c r="A6562" s="4" t="str">
        <f aca="false">B6562&amp;"|"&amp;C6562</f>
        <v>tdbR00000566 Tyr-GUA|12</v>
      </c>
      <c r="B6562" s="4" t="s">
        <v>128</v>
      </c>
      <c r="C6562" s="4" t="s">
        <v>427</v>
      </c>
      <c r="D6562" s="4" t="n">
        <v>12</v>
      </c>
      <c r="E6562" s="8" t="s">
        <v>259</v>
      </c>
      <c r="F6562" s="7" t="s">
        <v>425</v>
      </c>
    </row>
    <row r="6563" customFormat="false" ht="15" hidden="false" customHeight="false" outlineLevel="0" collapsed="false">
      <c r="A6563" s="4" t="str">
        <f aca="false">B6563&amp;"|"&amp;C6563</f>
        <v>tdbR00000566 Tyr-GUA|13</v>
      </c>
      <c r="B6563" s="4" t="s">
        <v>128</v>
      </c>
      <c r="C6563" s="4" t="s">
        <v>428</v>
      </c>
      <c r="D6563" s="4" t="n">
        <v>13</v>
      </c>
      <c r="E6563" s="8" t="s">
        <v>414</v>
      </c>
      <c r="F6563" s="7" t="s">
        <v>425</v>
      </c>
    </row>
    <row r="6564" customFormat="false" ht="15" hidden="false" customHeight="false" outlineLevel="0" collapsed="false">
      <c r="A6564" s="4" t="str">
        <f aca="false">B6564&amp;"|"&amp;C6564</f>
        <v>tdbR00000566 Tyr-GUA|14</v>
      </c>
      <c r="B6564" s="4" t="s">
        <v>128</v>
      </c>
      <c r="C6564" s="4" t="s">
        <v>429</v>
      </c>
      <c r="D6564" s="4" t="n">
        <v>14</v>
      </c>
      <c r="E6564" s="19" t="s">
        <v>246</v>
      </c>
      <c r="F6564" s="20" t="s">
        <v>430</v>
      </c>
    </row>
    <row r="6565" customFormat="false" ht="15" hidden="false" customHeight="false" outlineLevel="0" collapsed="false">
      <c r="A6565" s="4" t="str">
        <f aca="false">B6565&amp;"|"&amp;C6565</f>
        <v>tdbR00000566 Tyr-GUA|15</v>
      </c>
      <c r="B6565" s="4" t="s">
        <v>128</v>
      </c>
      <c r="C6565" s="4" t="s">
        <v>431</v>
      </c>
      <c r="D6565" s="4" t="n">
        <v>15</v>
      </c>
      <c r="E6565" s="19" t="s">
        <v>197</v>
      </c>
      <c r="F6565" s="20" t="s">
        <v>430</v>
      </c>
    </row>
    <row r="6566" customFormat="false" ht="15" hidden="false" customHeight="false" outlineLevel="0" collapsed="false">
      <c r="A6566" s="4" t="str">
        <f aca="false">B6566&amp;"|"&amp;C6566</f>
        <v>tdbR00000566 Tyr-GUA|16</v>
      </c>
      <c r="B6566" s="4" t="s">
        <v>128</v>
      </c>
      <c r="C6566" s="4" t="s">
        <v>432</v>
      </c>
      <c r="D6566" s="4" t="n">
        <v>16</v>
      </c>
      <c r="E6566" s="19" t="s">
        <v>414</v>
      </c>
      <c r="F6566" s="20" t="s">
        <v>430</v>
      </c>
    </row>
    <row r="6567" customFormat="false" ht="15" hidden="false" customHeight="false" outlineLevel="0" collapsed="false">
      <c r="A6567" s="4" t="str">
        <f aca="false">B6567&amp;"|"&amp;C6567</f>
        <v>tdbR00000566 Tyr-GUA|17</v>
      </c>
      <c r="B6567" s="4" t="s">
        <v>128</v>
      </c>
      <c r="C6567" s="4" t="s">
        <v>433</v>
      </c>
      <c r="D6567" s="4" t="n">
        <v>17</v>
      </c>
      <c r="E6567" s="19" t="s">
        <v>259</v>
      </c>
      <c r="F6567" s="20" t="s">
        <v>430</v>
      </c>
    </row>
    <row r="6568" customFormat="false" ht="15" hidden="false" customHeight="false" outlineLevel="0" collapsed="false">
      <c r="A6568" s="4" t="str">
        <f aca="false">B6568&amp;"|"&amp;C6568</f>
        <v>tdbR00000566 Tyr-GUA|18</v>
      </c>
      <c r="B6568" s="4" t="s">
        <v>128</v>
      </c>
      <c r="C6568" s="4" t="s">
        <v>434</v>
      </c>
      <c r="D6568" s="4" t="n">
        <v>18</v>
      </c>
      <c r="E6568" s="19" t="s">
        <v>197</v>
      </c>
      <c r="F6568" s="20" t="s">
        <v>430</v>
      </c>
    </row>
    <row r="6569" customFormat="false" ht="15" hidden="false" customHeight="false" outlineLevel="0" collapsed="false">
      <c r="A6569" s="4" t="str">
        <f aca="false">B6569&amp;"|"&amp;C6569</f>
        <v>tdbR00000566 Tyr-GUA|19</v>
      </c>
      <c r="B6569" s="4" t="s">
        <v>128</v>
      </c>
      <c r="C6569" s="4" t="s">
        <v>435</v>
      </c>
      <c r="D6569" s="4" t="n">
        <v>19</v>
      </c>
      <c r="E6569" s="19" t="s">
        <v>197</v>
      </c>
      <c r="F6569" s="20" t="s">
        <v>430</v>
      </c>
    </row>
    <row r="6570" customFormat="false" ht="15" hidden="false" customHeight="false" outlineLevel="0" collapsed="false">
      <c r="A6570" s="4" t="str">
        <f aca="false">B6570&amp;"|"&amp;C6570</f>
        <v>tdbR00000566 Tyr-GUA|20</v>
      </c>
      <c r="B6570" s="4" t="s">
        <v>128</v>
      </c>
      <c r="C6570" s="4" t="s">
        <v>436</v>
      </c>
      <c r="D6570" s="4" t="n">
        <v>20</v>
      </c>
      <c r="E6570" s="19" t="s">
        <v>259</v>
      </c>
      <c r="F6570" s="20" t="s">
        <v>430</v>
      </c>
    </row>
    <row r="6571" customFormat="false" ht="15" hidden="false" customHeight="false" outlineLevel="0" collapsed="false">
      <c r="A6571" s="4" t="str">
        <f aca="false">B6571&amp;"|"&amp;C6571</f>
        <v>tdbR00000566 Tyr-GUA|21</v>
      </c>
      <c r="B6571" s="4" t="s">
        <v>128</v>
      </c>
      <c r="C6571" s="4" t="s">
        <v>438</v>
      </c>
      <c r="D6571" s="4" t="n">
        <v>21</v>
      </c>
      <c r="E6571" s="19" t="s">
        <v>246</v>
      </c>
      <c r="F6571" s="20" t="s">
        <v>430</v>
      </c>
    </row>
    <row r="6572" customFormat="false" ht="15" hidden="false" customHeight="false" outlineLevel="0" collapsed="false">
      <c r="A6572" s="4" t="str">
        <f aca="false">B6572&amp;"|"&amp;C6572</f>
        <v>tdbR00000566 Tyr-GUA|22</v>
      </c>
      <c r="B6572" s="4" t="s">
        <v>128</v>
      </c>
      <c r="C6572" s="4" t="s">
        <v>439</v>
      </c>
      <c r="D6572" s="4" t="n">
        <v>22</v>
      </c>
      <c r="E6572" s="8" t="s">
        <v>197</v>
      </c>
      <c r="F6572" s="7" t="s">
        <v>425</v>
      </c>
    </row>
    <row r="6573" customFormat="false" ht="15" hidden="false" customHeight="false" outlineLevel="0" collapsed="false">
      <c r="A6573" s="4" t="str">
        <f aca="false">B6573&amp;"|"&amp;C6573</f>
        <v>tdbR00000566 Tyr-GUA|23</v>
      </c>
      <c r="B6573" s="4" t="s">
        <v>128</v>
      </c>
      <c r="C6573" s="4" t="s">
        <v>440</v>
      </c>
      <c r="D6573" s="4" t="n">
        <v>23</v>
      </c>
      <c r="E6573" s="8" t="s">
        <v>246</v>
      </c>
      <c r="F6573" s="7" t="s">
        <v>425</v>
      </c>
    </row>
    <row r="6574" customFormat="false" ht="15" hidden="false" customHeight="false" outlineLevel="0" collapsed="false">
      <c r="A6574" s="4" t="str">
        <f aca="false">B6574&amp;"|"&amp;C6574</f>
        <v>tdbR00000566 Tyr-GUA|24</v>
      </c>
      <c r="B6574" s="4" t="s">
        <v>128</v>
      </c>
      <c r="C6574" s="4" t="s">
        <v>441</v>
      </c>
      <c r="D6574" s="4" t="n">
        <v>24</v>
      </c>
      <c r="E6574" s="8" t="s">
        <v>197</v>
      </c>
      <c r="F6574" s="7" t="s">
        <v>425</v>
      </c>
    </row>
    <row r="6575" customFormat="false" ht="15" hidden="false" customHeight="false" outlineLevel="0" collapsed="false">
      <c r="A6575" s="4" t="str">
        <f aca="false">B6575&amp;"|"&amp;C6575</f>
        <v>tdbR00000566 Tyr-GUA|25</v>
      </c>
      <c r="B6575" s="4" t="s">
        <v>128</v>
      </c>
      <c r="C6575" s="4" t="s">
        <v>442</v>
      </c>
      <c r="D6575" s="4" t="n">
        <v>25</v>
      </c>
      <c r="E6575" s="8" t="s">
        <v>414</v>
      </c>
      <c r="F6575" s="7" t="s">
        <v>425</v>
      </c>
    </row>
    <row r="6576" customFormat="false" ht="15" hidden="false" customHeight="false" outlineLevel="0" collapsed="false">
      <c r="A6576" s="4" t="str">
        <f aca="false">B6576&amp;"|"&amp;C6576</f>
        <v>tdbR00000566 Tyr-GUA|26</v>
      </c>
      <c r="B6576" s="4" t="s">
        <v>128</v>
      </c>
      <c r="C6576" s="4" t="s">
        <v>443</v>
      </c>
      <c r="D6576" s="4" t="n">
        <v>26</v>
      </c>
      <c r="E6576" s="3" t="s">
        <v>197</v>
      </c>
      <c r="F6576" s="4" t="s">
        <v>444</v>
      </c>
    </row>
    <row r="6577" customFormat="false" ht="15" hidden="false" customHeight="false" outlineLevel="0" collapsed="false">
      <c r="A6577" s="4" t="str">
        <f aca="false">B6577&amp;"|"&amp;C6577</f>
        <v>tdbR00000566 Tyr-GUA|27</v>
      </c>
      <c r="B6577" s="4" t="s">
        <v>128</v>
      </c>
      <c r="C6577" s="4" t="s">
        <v>445</v>
      </c>
      <c r="D6577" s="4" t="n">
        <v>27</v>
      </c>
      <c r="E6577" s="21" t="s">
        <v>197</v>
      </c>
      <c r="F6577" s="22" t="s">
        <v>446</v>
      </c>
    </row>
    <row r="6578" customFormat="false" ht="15" hidden="false" customHeight="false" outlineLevel="0" collapsed="false">
      <c r="A6578" s="4" t="str">
        <f aca="false">B6578&amp;"|"&amp;C6578</f>
        <v>tdbR00000566 Tyr-GUA|28</v>
      </c>
      <c r="B6578" s="4" t="s">
        <v>128</v>
      </c>
      <c r="C6578" s="4" t="s">
        <v>447</v>
      </c>
      <c r="D6578" s="4" t="n">
        <v>28</v>
      </c>
      <c r="E6578" s="21" t="s">
        <v>246</v>
      </c>
      <c r="F6578" s="22" t="s">
        <v>446</v>
      </c>
    </row>
    <row r="6579" customFormat="false" ht="15" hidden="false" customHeight="false" outlineLevel="0" collapsed="false">
      <c r="A6579" s="4" t="str">
        <f aca="false">B6579&amp;"|"&amp;C6579</f>
        <v>tdbR00000566 Tyr-GUA|29</v>
      </c>
      <c r="B6579" s="4" t="s">
        <v>128</v>
      </c>
      <c r="C6579" s="4" t="s">
        <v>448</v>
      </c>
      <c r="D6579" s="4" t="n">
        <v>29</v>
      </c>
      <c r="E6579" s="21" t="s">
        <v>197</v>
      </c>
      <c r="F6579" s="22" t="s">
        <v>446</v>
      </c>
    </row>
    <row r="6580" customFormat="false" ht="15" hidden="false" customHeight="false" outlineLevel="0" collapsed="false">
      <c r="A6580" s="4" t="str">
        <f aca="false">B6580&amp;"|"&amp;C6580</f>
        <v>tdbR00000566 Tyr-GUA|30</v>
      </c>
      <c r="B6580" s="4" t="s">
        <v>128</v>
      </c>
      <c r="C6580" s="4" t="s">
        <v>449</v>
      </c>
      <c r="D6580" s="4" t="n">
        <v>30</v>
      </c>
      <c r="E6580" s="21" t="s">
        <v>197</v>
      </c>
      <c r="F6580" s="22" t="s">
        <v>446</v>
      </c>
    </row>
    <row r="6581" customFormat="false" ht="15" hidden="false" customHeight="false" outlineLevel="0" collapsed="false">
      <c r="A6581" s="4" t="str">
        <f aca="false">B6581&amp;"|"&amp;C6581</f>
        <v>tdbR00000566 Tyr-GUA|31</v>
      </c>
      <c r="B6581" s="4" t="s">
        <v>128</v>
      </c>
      <c r="C6581" s="4" t="s">
        <v>450</v>
      </c>
      <c r="D6581" s="4" t="n">
        <v>31</v>
      </c>
      <c r="E6581" s="21" t="s">
        <v>246</v>
      </c>
      <c r="F6581" s="22" t="s">
        <v>446</v>
      </c>
    </row>
    <row r="6582" customFormat="false" ht="15" hidden="false" customHeight="false" outlineLevel="0" collapsed="false">
      <c r="A6582" s="4" t="str">
        <f aca="false">B6582&amp;"|"&amp;C6582</f>
        <v>tdbR00000566 Tyr-GUA|32</v>
      </c>
      <c r="B6582" s="4" t="s">
        <v>128</v>
      </c>
      <c r="C6582" s="4" t="s">
        <v>451</v>
      </c>
      <c r="D6582" s="4" t="n">
        <v>32</v>
      </c>
      <c r="E6582" s="19" t="s">
        <v>414</v>
      </c>
      <c r="F6582" s="20" t="s">
        <v>452</v>
      </c>
    </row>
    <row r="6583" customFormat="false" ht="15" hidden="false" customHeight="false" outlineLevel="0" collapsed="false">
      <c r="A6583" s="4" t="str">
        <f aca="false">B6583&amp;"|"&amp;C6583</f>
        <v>tdbR00000566 Tyr-GUA|33</v>
      </c>
      <c r="B6583" s="4" t="s">
        <v>128</v>
      </c>
      <c r="C6583" s="4" t="s">
        <v>453</v>
      </c>
      <c r="D6583" s="4" t="n">
        <v>33</v>
      </c>
      <c r="E6583" s="19" t="s">
        <v>259</v>
      </c>
      <c r="F6583" s="20" t="s">
        <v>452</v>
      </c>
    </row>
    <row r="6584" customFormat="false" ht="15" hidden="false" customHeight="false" outlineLevel="0" collapsed="false">
      <c r="A6584" s="4" t="str">
        <f aca="false">B6584&amp;"|"&amp;C6584</f>
        <v>tdbR00000566 Tyr-GUA|34</v>
      </c>
      <c r="B6584" s="4" t="s">
        <v>128</v>
      </c>
      <c r="C6584" s="4" t="s">
        <v>454</v>
      </c>
      <c r="D6584" s="4" t="n">
        <v>34</v>
      </c>
      <c r="E6584" s="19" t="s">
        <v>197</v>
      </c>
      <c r="F6584" s="20" t="s">
        <v>452</v>
      </c>
    </row>
    <row r="6585" customFormat="false" ht="15" hidden="false" customHeight="false" outlineLevel="0" collapsed="false">
      <c r="A6585" s="4" t="str">
        <f aca="false">B6585&amp;"|"&amp;C6585</f>
        <v>tdbR00000566 Tyr-GUA|35</v>
      </c>
      <c r="B6585" s="4" t="s">
        <v>128</v>
      </c>
      <c r="C6585" s="4" t="s">
        <v>455</v>
      </c>
      <c r="D6585" s="4" t="n">
        <v>35</v>
      </c>
      <c r="E6585" s="19" t="s">
        <v>259</v>
      </c>
      <c r="F6585" s="20" t="s">
        <v>452</v>
      </c>
    </row>
    <row r="6586" customFormat="false" ht="15" hidden="false" customHeight="false" outlineLevel="0" collapsed="false">
      <c r="A6586" s="4" t="str">
        <f aca="false">B6586&amp;"|"&amp;C6586</f>
        <v>tdbR00000566 Tyr-GUA|36</v>
      </c>
      <c r="B6586" s="4" t="s">
        <v>128</v>
      </c>
      <c r="C6586" s="4" t="s">
        <v>456</v>
      </c>
      <c r="D6586" s="4" t="n">
        <v>36</v>
      </c>
      <c r="E6586" s="19" t="s">
        <v>246</v>
      </c>
      <c r="F6586" s="20" t="s">
        <v>452</v>
      </c>
    </row>
    <row r="6587" customFormat="false" ht="15" hidden="false" customHeight="false" outlineLevel="0" collapsed="false">
      <c r="A6587" s="4" t="str">
        <f aca="false">B6587&amp;"|"&amp;C6587</f>
        <v>tdbR00000566 Tyr-GUA|37</v>
      </c>
      <c r="B6587" s="4" t="s">
        <v>128</v>
      </c>
      <c r="C6587" s="4" t="s">
        <v>457</v>
      </c>
      <c r="D6587" s="4" t="n">
        <v>37</v>
      </c>
      <c r="E6587" s="19" t="s">
        <v>197</v>
      </c>
      <c r="F6587" s="20" t="s">
        <v>452</v>
      </c>
    </row>
    <row r="6588" customFormat="false" ht="15" hidden="false" customHeight="false" outlineLevel="0" collapsed="false">
      <c r="A6588" s="4" t="str">
        <f aca="false">B6588&amp;"|"&amp;C6588</f>
        <v>tdbR00000566 Tyr-GUA|38</v>
      </c>
      <c r="B6588" s="4" t="s">
        <v>128</v>
      </c>
      <c r="C6588" s="4" t="s">
        <v>458</v>
      </c>
      <c r="D6588" s="4" t="n">
        <v>38</v>
      </c>
      <c r="E6588" s="19" t="s">
        <v>246</v>
      </c>
      <c r="F6588" s="20" t="s">
        <v>452</v>
      </c>
    </row>
    <row r="6589" customFormat="false" ht="15" hidden="false" customHeight="false" outlineLevel="0" collapsed="false">
      <c r="A6589" s="4" t="str">
        <f aca="false">B6589&amp;"|"&amp;C6589</f>
        <v>tdbR00000566 Tyr-GUA|39</v>
      </c>
      <c r="B6589" s="4" t="s">
        <v>128</v>
      </c>
      <c r="C6589" s="4" t="s">
        <v>459</v>
      </c>
      <c r="D6589" s="4" t="n">
        <v>39</v>
      </c>
      <c r="E6589" s="21" t="s">
        <v>259</v>
      </c>
      <c r="F6589" s="22" t="s">
        <v>446</v>
      </c>
    </row>
    <row r="6590" customFormat="false" ht="15" hidden="false" customHeight="false" outlineLevel="0" collapsed="false">
      <c r="A6590" s="4" t="str">
        <f aca="false">B6590&amp;"|"&amp;C6590</f>
        <v>tdbR00000566 Tyr-GUA|40</v>
      </c>
      <c r="B6590" s="4" t="s">
        <v>128</v>
      </c>
      <c r="C6590" s="4" t="s">
        <v>460</v>
      </c>
      <c r="D6590" s="4" t="n">
        <v>40</v>
      </c>
      <c r="E6590" s="21" t="s">
        <v>414</v>
      </c>
      <c r="F6590" s="22" t="s">
        <v>446</v>
      </c>
    </row>
    <row r="6591" customFormat="false" ht="15" hidden="false" customHeight="false" outlineLevel="0" collapsed="false">
      <c r="A6591" s="4" t="str">
        <f aca="false">B6591&amp;"|"&amp;C6591</f>
        <v>tdbR00000566 Tyr-GUA|41</v>
      </c>
      <c r="B6591" s="4" t="s">
        <v>128</v>
      </c>
      <c r="C6591" s="4" t="s">
        <v>461</v>
      </c>
      <c r="D6591" s="4" t="n">
        <v>41</v>
      </c>
      <c r="E6591" s="21" t="s">
        <v>414</v>
      </c>
      <c r="F6591" s="22" t="s">
        <v>446</v>
      </c>
    </row>
    <row r="6592" customFormat="false" ht="15" hidden="false" customHeight="false" outlineLevel="0" collapsed="false">
      <c r="A6592" s="4" t="str">
        <f aca="false">B6592&amp;"|"&amp;C6592</f>
        <v>tdbR00000566 Tyr-GUA|42</v>
      </c>
      <c r="B6592" s="4" t="s">
        <v>128</v>
      </c>
      <c r="C6592" s="4" t="s">
        <v>462</v>
      </c>
      <c r="D6592" s="4" t="n">
        <v>42</v>
      </c>
      <c r="E6592" s="21" t="s">
        <v>259</v>
      </c>
      <c r="F6592" s="22" t="s">
        <v>446</v>
      </c>
    </row>
    <row r="6593" customFormat="false" ht="15" hidden="false" customHeight="false" outlineLevel="0" collapsed="false">
      <c r="A6593" s="4" t="str">
        <f aca="false">B6593&amp;"|"&amp;C6593</f>
        <v>tdbR00000566 Tyr-GUA|43</v>
      </c>
      <c r="B6593" s="4" t="s">
        <v>128</v>
      </c>
      <c r="C6593" s="4" t="s">
        <v>463</v>
      </c>
      <c r="D6593" s="4" t="n">
        <v>43</v>
      </c>
      <c r="E6593" s="21" t="s">
        <v>259</v>
      </c>
      <c r="F6593" s="22" t="s">
        <v>446</v>
      </c>
    </row>
    <row r="6594" customFormat="false" ht="15" hidden="false" customHeight="false" outlineLevel="0" collapsed="false">
      <c r="A6594" s="4" t="str">
        <f aca="false">B6594&amp;"|"&amp;C6594</f>
        <v>tdbR00000566 Tyr-GUA|44</v>
      </c>
      <c r="B6594" s="4" t="s">
        <v>128</v>
      </c>
      <c r="C6594" s="4" t="s">
        <v>464</v>
      </c>
      <c r="D6594" s="4" t="n">
        <v>44</v>
      </c>
      <c r="E6594" s="19" t="s">
        <v>246</v>
      </c>
      <c r="F6594" s="20" t="s">
        <v>465</v>
      </c>
    </row>
    <row r="6595" customFormat="false" ht="15" hidden="false" customHeight="false" outlineLevel="0" collapsed="false">
      <c r="A6595" s="4" t="str">
        <f aca="false">B6595&amp;"|"&amp;C6595</f>
        <v>tdbR00000566 Tyr-GUA|45</v>
      </c>
      <c r="B6595" s="4" t="s">
        <v>128</v>
      </c>
      <c r="C6595" s="4" t="s">
        <v>466</v>
      </c>
      <c r="D6595" s="4" t="n">
        <v>45</v>
      </c>
      <c r="E6595" s="19" t="s">
        <v>197</v>
      </c>
      <c r="F6595" s="20" t="s">
        <v>465</v>
      </c>
    </row>
    <row r="6596" customFormat="false" ht="15" hidden="false" customHeight="false" outlineLevel="0" collapsed="false">
      <c r="A6596" s="4" t="str">
        <f aca="false">B6596&amp;"|"&amp;C6596</f>
        <v>tdbR00000566 Tyr-GUA|46</v>
      </c>
      <c r="B6596" s="4" t="s">
        <v>128</v>
      </c>
      <c r="C6596" s="4" t="s">
        <v>467</v>
      </c>
      <c r="D6596" s="4" t="n">
        <v>46</v>
      </c>
      <c r="E6596" s="19" t="s">
        <v>197</v>
      </c>
      <c r="F6596" s="20" t="s">
        <v>465</v>
      </c>
    </row>
    <row r="6597" customFormat="false" ht="15" hidden="false" customHeight="false" outlineLevel="0" collapsed="false">
      <c r="A6597" s="4" t="str">
        <f aca="false">B6597&amp;"|"&amp;C6597</f>
        <v>tdbR00000566 Tyr-GUA|47</v>
      </c>
      <c r="B6597" s="4" t="s">
        <v>128</v>
      </c>
      <c r="C6597" s="4" t="s">
        <v>468</v>
      </c>
      <c r="D6597" s="4" t="n">
        <v>47</v>
      </c>
      <c r="E6597" s="19" t="s">
        <v>259</v>
      </c>
      <c r="F6597" s="20" t="s">
        <v>465</v>
      </c>
    </row>
    <row r="6598" customFormat="false" ht="15" hidden="false" customHeight="false" outlineLevel="0" collapsed="false">
      <c r="A6598" s="4" t="str">
        <f aca="false">B6598&amp;"|"&amp;C6598</f>
        <v>tdbR00000566 Tyr-GUA|48</v>
      </c>
      <c r="B6598" s="4" t="s">
        <v>128</v>
      </c>
      <c r="C6598" s="4" t="s">
        <v>469</v>
      </c>
      <c r="D6598" s="4" t="n">
        <v>48</v>
      </c>
      <c r="E6598" s="19" t="s">
        <v>414</v>
      </c>
      <c r="F6598" s="20" t="s">
        <v>465</v>
      </c>
    </row>
    <row r="6599" customFormat="false" ht="15" hidden="false" customHeight="false" outlineLevel="0" collapsed="false">
      <c r="A6599" s="4" t="str">
        <f aca="false">B6599&amp;"|"&amp;C6599</f>
        <v>tdbR00000566 Tyr-GUA|49</v>
      </c>
      <c r="B6599" s="4" t="s">
        <v>128</v>
      </c>
      <c r="C6599" s="4" t="s">
        <v>470</v>
      </c>
      <c r="D6599" s="4" t="n">
        <v>49</v>
      </c>
      <c r="E6599" s="23" t="s">
        <v>197</v>
      </c>
      <c r="F6599" s="10" t="s">
        <v>471</v>
      </c>
    </row>
    <row r="6600" customFormat="false" ht="15" hidden="false" customHeight="false" outlineLevel="0" collapsed="false">
      <c r="A6600" s="4" t="str">
        <f aca="false">B6600&amp;"|"&amp;C6600</f>
        <v>tdbR00000566 Tyr-GUA|50</v>
      </c>
      <c r="B6600" s="4" t="s">
        <v>128</v>
      </c>
      <c r="C6600" s="4" t="s">
        <v>472</v>
      </c>
      <c r="D6600" s="4" t="n">
        <v>50</v>
      </c>
      <c r="E6600" s="23" t="s">
        <v>414</v>
      </c>
      <c r="F6600" s="10" t="s">
        <v>471</v>
      </c>
    </row>
    <row r="6601" customFormat="false" ht="15" hidden="false" customHeight="false" outlineLevel="0" collapsed="false">
      <c r="A6601" s="4" t="str">
        <f aca="false">B6601&amp;"|"&amp;C6601</f>
        <v>tdbR00000566 Tyr-GUA|51</v>
      </c>
      <c r="B6601" s="4" t="s">
        <v>128</v>
      </c>
      <c r="C6601" s="4" t="s">
        <v>473</v>
      </c>
      <c r="D6601" s="4" t="n">
        <v>51</v>
      </c>
      <c r="E6601" s="23" t="s">
        <v>259</v>
      </c>
      <c r="F6601" s="10" t="s">
        <v>471</v>
      </c>
    </row>
    <row r="6602" customFormat="false" ht="15" hidden="false" customHeight="false" outlineLevel="0" collapsed="false">
      <c r="A6602" s="4" t="str">
        <f aca="false">B6602&amp;"|"&amp;C6602</f>
        <v>tdbR00000566 Tyr-GUA|52</v>
      </c>
      <c r="B6602" s="4" t="s">
        <v>128</v>
      </c>
      <c r="C6602" s="4" t="s">
        <v>474</v>
      </c>
      <c r="D6602" s="4" t="n">
        <v>52</v>
      </c>
      <c r="E6602" s="23" t="s">
        <v>197</v>
      </c>
      <c r="F6602" s="10" t="s">
        <v>471</v>
      </c>
    </row>
    <row r="6603" customFormat="false" ht="15" hidden="false" customHeight="false" outlineLevel="0" collapsed="false">
      <c r="A6603" s="4" t="str">
        <f aca="false">B6603&amp;"|"&amp;C6603</f>
        <v>tdbR00000566 Tyr-GUA|53</v>
      </c>
      <c r="B6603" s="4" t="s">
        <v>128</v>
      </c>
      <c r="C6603" s="4" t="s">
        <v>475</v>
      </c>
      <c r="D6603" s="4" t="n">
        <v>53</v>
      </c>
      <c r="E6603" s="23" t="s">
        <v>197</v>
      </c>
      <c r="F6603" s="10" t="s">
        <v>471</v>
      </c>
    </row>
    <row r="6604" customFormat="false" ht="15" hidden="false" customHeight="false" outlineLevel="0" collapsed="false">
      <c r="A6604" s="4" t="str">
        <f aca="false">B6604&amp;"|"&amp;C6604</f>
        <v>tdbR00000566 Tyr-GUA|54</v>
      </c>
      <c r="B6604" s="4" t="s">
        <v>128</v>
      </c>
      <c r="C6604" s="4" t="s">
        <v>476</v>
      </c>
      <c r="D6604" s="4" t="n">
        <v>54</v>
      </c>
      <c r="E6604" s="19" t="s">
        <v>259</v>
      </c>
      <c r="F6604" s="20" t="s">
        <v>477</v>
      </c>
    </row>
    <row r="6605" customFormat="false" ht="15" hidden="false" customHeight="false" outlineLevel="0" collapsed="false">
      <c r="A6605" s="4" t="str">
        <f aca="false">B6605&amp;"|"&amp;C6605</f>
        <v>tdbR00000566 Tyr-GUA|55</v>
      </c>
      <c r="B6605" s="4" t="s">
        <v>128</v>
      </c>
      <c r="C6605" s="4" t="s">
        <v>478</v>
      </c>
      <c r="D6605" s="4" t="n">
        <v>55</v>
      </c>
      <c r="E6605" s="19" t="s">
        <v>259</v>
      </c>
      <c r="F6605" s="20" t="s">
        <v>477</v>
      </c>
    </row>
    <row r="6606" customFormat="false" ht="15" hidden="false" customHeight="false" outlineLevel="0" collapsed="false">
      <c r="A6606" s="4" t="str">
        <f aca="false">B6606&amp;"|"&amp;C6606</f>
        <v>tdbR00000566 Tyr-GUA|56</v>
      </c>
      <c r="B6606" s="4" t="s">
        <v>128</v>
      </c>
      <c r="C6606" s="4" t="s">
        <v>479</v>
      </c>
      <c r="D6606" s="4" t="n">
        <v>56</v>
      </c>
      <c r="E6606" s="19" t="s">
        <v>414</v>
      </c>
      <c r="F6606" s="20" t="s">
        <v>477</v>
      </c>
    </row>
    <row r="6607" customFormat="false" ht="15" hidden="false" customHeight="false" outlineLevel="0" collapsed="false">
      <c r="A6607" s="4" t="str">
        <f aca="false">B6607&amp;"|"&amp;C6607</f>
        <v>tdbR00000566 Tyr-GUA|57</v>
      </c>
      <c r="B6607" s="4" t="s">
        <v>128</v>
      </c>
      <c r="C6607" s="4" t="s">
        <v>480</v>
      </c>
      <c r="D6607" s="4" t="n">
        <v>57</v>
      </c>
      <c r="E6607" s="19" t="s">
        <v>197</v>
      </c>
      <c r="F6607" s="20" t="s">
        <v>477</v>
      </c>
    </row>
    <row r="6608" customFormat="false" ht="15" hidden="false" customHeight="false" outlineLevel="0" collapsed="false">
      <c r="A6608" s="4" t="str">
        <f aca="false">B6608&amp;"|"&amp;C6608</f>
        <v>tdbR00000566 Tyr-GUA|58</v>
      </c>
      <c r="B6608" s="4" t="s">
        <v>128</v>
      </c>
      <c r="C6608" s="4" t="s">
        <v>481</v>
      </c>
      <c r="D6608" s="4" t="n">
        <v>58</v>
      </c>
      <c r="E6608" s="19" t="s">
        <v>246</v>
      </c>
      <c r="F6608" s="20" t="s">
        <v>477</v>
      </c>
    </row>
    <row r="6609" customFormat="false" ht="15" hidden="false" customHeight="false" outlineLevel="0" collapsed="false">
      <c r="A6609" s="4" t="str">
        <f aca="false">B6609&amp;"|"&amp;C6609</f>
        <v>tdbR00000566 Tyr-GUA|59</v>
      </c>
      <c r="B6609" s="4" t="s">
        <v>128</v>
      </c>
      <c r="C6609" s="4" t="s">
        <v>482</v>
      </c>
      <c r="D6609" s="4" t="n">
        <v>59</v>
      </c>
      <c r="E6609" s="19" t="s">
        <v>259</v>
      </c>
      <c r="F6609" s="20" t="s">
        <v>477</v>
      </c>
    </row>
    <row r="6610" customFormat="false" ht="15" hidden="false" customHeight="false" outlineLevel="0" collapsed="false">
      <c r="A6610" s="4" t="str">
        <f aca="false">B6610&amp;"|"&amp;C6610</f>
        <v>tdbR00000566 Tyr-GUA|60</v>
      </c>
      <c r="B6610" s="4" t="s">
        <v>128</v>
      </c>
      <c r="C6610" s="4" t="s">
        <v>483</v>
      </c>
      <c r="D6610" s="4" t="n">
        <v>60</v>
      </c>
      <c r="E6610" s="19" t="s">
        <v>259</v>
      </c>
      <c r="F6610" s="20" t="s">
        <v>477</v>
      </c>
    </row>
    <row r="6611" customFormat="false" ht="15" hidden="false" customHeight="false" outlineLevel="0" collapsed="false">
      <c r="A6611" s="4" t="str">
        <f aca="false">B6611&amp;"|"&amp;C6611</f>
        <v>tdbR00000566 Tyr-GUA|61</v>
      </c>
      <c r="B6611" s="4" t="s">
        <v>128</v>
      </c>
      <c r="C6611" s="4" t="s">
        <v>484</v>
      </c>
      <c r="D6611" s="4" t="n">
        <v>61</v>
      </c>
      <c r="E6611" s="23" t="s">
        <v>414</v>
      </c>
      <c r="F6611" s="10" t="s">
        <v>471</v>
      </c>
    </row>
    <row r="6612" customFormat="false" ht="15" hidden="false" customHeight="false" outlineLevel="0" collapsed="false">
      <c r="A6612" s="4" t="str">
        <f aca="false">B6612&amp;"|"&amp;C6612</f>
        <v>tdbR00000566 Tyr-GUA|62</v>
      </c>
      <c r="B6612" s="4" t="s">
        <v>128</v>
      </c>
      <c r="C6612" s="4" t="s">
        <v>485</v>
      </c>
      <c r="D6612" s="4" t="n">
        <v>62</v>
      </c>
      <c r="E6612" s="23" t="s">
        <v>414</v>
      </c>
      <c r="F6612" s="10" t="s">
        <v>471</v>
      </c>
    </row>
    <row r="6613" customFormat="false" ht="15" hidden="false" customHeight="false" outlineLevel="0" collapsed="false">
      <c r="A6613" s="4" t="str">
        <f aca="false">B6613&amp;"|"&amp;C6613</f>
        <v>tdbR00000566 Tyr-GUA|63</v>
      </c>
      <c r="B6613" s="4" t="s">
        <v>128</v>
      </c>
      <c r="C6613" s="4" t="s">
        <v>486</v>
      </c>
      <c r="D6613" s="4" t="n">
        <v>63</v>
      </c>
      <c r="E6613" s="23" t="s">
        <v>197</v>
      </c>
      <c r="F6613" s="10" t="s">
        <v>471</v>
      </c>
    </row>
    <row r="6614" customFormat="false" ht="15" hidden="false" customHeight="false" outlineLevel="0" collapsed="false">
      <c r="A6614" s="4" t="str">
        <f aca="false">B6614&amp;"|"&amp;C6614</f>
        <v>tdbR00000566 Tyr-GUA|64</v>
      </c>
      <c r="B6614" s="4" t="s">
        <v>128</v>
      </c>
      <c r="C6614" s="4" t="s">
        <v>487</v>
      </c>
      <c r="D6614" s="4" t="n">
        <v>64</v>
      </c>
      <c r="E6614" s="23" t="s">
        <v>197</v>
      </c>
      <c r="F6614" s="10" t="s">
        <v>471</v>
      </c>
    </row>
    <row r="6615" customFormat="false" ht="15" hidden="false" customHeight="false" outlineLevel="0" collapsed="false">
      <c r="A6615" s="4" t="str">
        <f aca="false">B6615&amp;"|"&amp;C6615</f>
        <v>tdbR00000566 Tyr-GUA|65</v>
      </c>
      <c r="B6615" s="4" t="s">
        <v>128</v>
      </c>
      <c r="C6615" s="4" t="s">
        <v>488</v>
      </c>
      <c r="D6615" s="4" t="n">
        <v>65</v>
      </c>
      <c r="E6615" s="23" t="s">
        <v>414</v>
      </c>
      <c r="F6615" s="10" t="s">
        <v>471</v>
      </c>
    </row>
    <row r="6616" customFormat="false" ht="15" hidden="false" customHeight="false" outlineLevel="0" collapsed="false">
      <c r="A6616" s="4" t="str">
        <f aca="false">B6616&amp;"|"&amp;C6616</f>
        <v>tdbR00000566 Tyr-GUA|66</v>
      </c>
      <c r="B6616" s="4" t="s">
        <v>128</v>
      </c>
      <c r="C6616" s="4" t="s">
        <v>489</v>
      </c>
      <c r="D6616" s="4" t="n">
        <v>66</v>
      </c>
      <c r="E6616" s="17" t="s">
        <v>259</v>
      </c>
      <c r="F6616" s="18" t="s">
        <v>412</v>
      </c>
    </row>
    <row r="6617" customFormat="false" ht="15" hidden="false" customHeight="false" outlineLevel="0" collapsed="false">
      <c r="A6617" s="4" t="str">
        <f aca="false">B6617&amp;"|"&amp;C6617</f>
        <v>tdbR00000566 Tyr-GUA|67</v>
      </c>
      <c r="B6617" s="4" t="s">
        <v>128</v>
      </c>
      <c r="C6617" s="4" t="s">
        <v>490</v>
      </c>
      <c r="D6617" s="4" t="n">
        <v>67</v>
      </c>
      <c r="E6617" s="17" t="s">
        <v>414</v>
      </c>
      <c r="F6617" s="18" t="s">
        <v>412</v>
      </c>
    </row>
    <row r="6618" customFormat="false" ht="15" hidden="false" customHeight="false" outlineLevel="0" collapsed="false">
      <c r="A6618" s="4" t="str">
        <f aca="false">B6618&amp;"|"&amp;C6618</f>
        <v>tdbR00000566 Tyr-GUA|68</v>
      </c>
      <c r="B6618" s="4" t="s">
        <v>128</v>
      </c>
      <c r="C6618" s="4" t="s">
        <v>491</v>
      </c>
      <c r="D6618" s="4" t="n">
        <v>68</v>
      </c>
      <c r="E6618" s="17" t="s">
        <v>197</v>
      </c>
      <c r="F6618" s="18" t="s">
        <v>412</v>
      </c>
    </row>
    <row r="6619" customFormat="false" ht="15" hidden="false" customHeight="false" outlineLevel="0" collapsed="false">
      <c r="A6619" s="4" t="str">
        <f aca="false">B6619&amp;"|"&amp;C6619</f>
        <v>tdbR00000566 Tyr-GUA|69</v>
      </c>
      <c r="B6619" s="4" t="s">
        <v>128</v>
      </c>
      <c r="C6619" s="4" t="s">
        <v>492</v>
      </c>
      <c r="D6619" s="4" t="n">
        <v>69</v>
      </c>
      <c r="E6619" s="17" t="s">
        <v>246</v>
      </c>
      <c r="F6619" s="18" t="s">
        <v>412</v>
      </c>
    </row>
    <row r="6620" customFormat="false" ht="15" hidden="false" customHeight="false" outlineLevel="0" collapsed="false">
      <c r="A6620" s="4" t="str">
        <f aca="false">B6620&amp;"|"&amp;C6620</f>
        <v>tdbR00000566 Tyr-GUA|70</v>
      </c>
      <c r="B6620" s="4" t="s">
        <v>128</v>
      </c>
      <c r="C6620" s="4" t="s">
        <v>493</v>
      </c>
      <c r="D6620" s="4" t="n">
        <v>70</v>
      </c>
      <c r="E6620" s="17" t="s">
        <v>246</v>
      </c>
      <c r="F6620" s="18" t="s">
        <v>412</v>
      </c>
    </row>
    <row r="6621" customFormat="false" ht="15" hidden="false" customHeight="false" outlineLevel="0" collapsed="false">
      <c r="A6621" s="4" t="str">
        <f aca="false">B6621&amp;"|"&amp;C6621</f>
        <v>tdbR00000566 Tyr-GUA|71</v>
      </c>
      <c r="B6621" s="4" t="s">
        <v>128</v>
      </c>
      <c r="C6621" s="4" t="s">
        <v>494</v>
      </c>
      <c r="D6621" s="4" t="n">
        <v>71</v>
      </c>
      <c r="E6621" s="17" t="s">
        <v>197</v>
      </c>
      <c r="F6621" s="18" t="s">
        <v>412</v>
      </c>
    </row>
    <row r="6622" customFormat="false" ht="15" hidden="false" customHeight="false" outlineLevel="0" collapsed="false">
      <c r="A6622" s="4" t="str">
        <f aca="false">B6622&amp;"|"&amp;C6622</f>
        <v>tdbR00000566 Tyr-GUA|72</v>
      </c>
      <c r="B6622" s="4" t="s">
        <v>128</v>
      </c>
      <c r="C6622" s="4" t="s">
        <v>495</v>
      </c>
      <c r="D6622" s="4" t="n">
        <v>72</v>
      </c>
      <c r="E6622" s="17" t="s">
        <v>197</v>
      </c>
      <c r="F6622" s="18" t="s">
        <v>412</v>
      </c>
    </row>
    <row r="6623" customFormat="false" ht="15" hidden="false" customHeight="false" outlineLevel="0" collapsed="false">
      <c r="A6623" s="4" t="str">
        <f aca="false">B6623&amp;"|"&amp;C6623</f>
        <v>tdbR00000567 Tyr-GUA|1</v>
      </c>
      <c r="B6623" s="4" t="s">
        <v>129</v>
      </c>
      <c r="C6623" s="4" t="s">
        <v>411</v>
      </c>
      <c r="D6623" s="4" t="n">
        <v>1</v>
      </c>
      <c r="E6623" s="17" t="s">
        <v>414</v>
      </c>
      <c r="F6623" s="18" t="s">
        <v>412</v>
      </c>
    </row>
    <row r="6624" customFormat="false" ht="15" hidden="false" customHeight="false" outlineLevel="0" collapsed="false">
      <c r="A6624" s="4" t="str">
        <f aca="false">B6624&amp;"|"&amp;C6624</f>
        <v>tdbR00000567 Tyr-GUA|2</v>
      </c>
      <c r="B6624" s="4" t="s">
        <v>129</v>
      </c>
      <c r="C6624" s="4" t="s">
        <v>413</v>
      </c>
      <c r="D6624" s="4" t="n">
        <v>2</v>
      </c>
      <c r="E6624" s="17" t="s">
        <v>414</v>
      </c>
      <c r="F6624" s="18" t="s">
        <v>412</v>
      </c>
    </row>
    <row r="6625" customFormat="false" ht="15" hidden="false" customHeight="false" outlineLevel="0" collapsed="false">
      <c r="A6625" s="4" t="str">
        <f aca="false">B6625&amp;"|"&amp;C6625</f>
        <v>tdbR00000567 Tyr-GUA|3</v>
      </c>
      <c r="B6625" s="4" t="s">
        <v>129</v>
      </c>
      <c r="C6625" s="4" t="s">
        <v>415</v>
      </c>
      <c r="D6625" s="4" t="n">
        <v>3</v>
      </c>
      <c r="E6625" s="17" t="s">
        <v>259</v>
      </c>
      <c r="F6625" s="18" t="s">
        <v>412</v>
      </c>
    </row>
    <row r="6626" customFormat="false" ht="15" hidden="false" customHeight="false" outlineLevel="0" collapsed="false">
      <c r="A6626" s="4" t="str">
        <f aca="false">B6626&amp;"|"&amp;C6626</f>
        <v>tdbR00000567 Tyr-GUA|4</v>
      </c>
      <c r="B6626" s="4" t="s">
        <v>129</v>
      </c>
      <c r="C6626" s="4" t="s">
        <v>416</v>
      </c>
      <c r="D6626" s="4" t="n">
        <v>4</v>
      </c>
      <c r="E6626" s="17" t="s">
        <v>259</v>
      </c>
      <c r="F6626" s="18" t="s">
        <v>412</v>
      </c>
    </row>
    <row r="6627" customFormat="false" ht="15" hidden="false" customHeight="false" outlineLevel="0" collapsed="false">
      <c r="A6627" s="4" t="str">
        <f aca="false">B6627&amp;"|"&amp;C6627</f>
        <v>tdbR00000567 Tyr-GUA|5</v>
      </c>
      <c r="B6627" s="4" t="s">
        <v>129</v>
      </c>
      <c r="C6627" s="4" t="s">
        <v>417</v>
      </c>
      <c r="D6627" s="4" t="n">
        <v>5</v>
      </c>
      <c r="E6627" s="17" t="s">
        <v>414</v>
      </c>
      <c r="F6627" s="18" t="s">
        <v>412</v>
      </c>
    </row>
    <row r="6628" customFormat="false" ht="15" hidden="false" customHeight="false" outlineLevel="0" collapsed="false">
      <c r="A6628" s="4" t="str">
        <f aca="false">B6628&amp;"|"&amp;C6628</f>
        <v>tdbR00000567 Tyr-GUA|6</v>
      </c>
      <c r="B6628" s="4" t="s">
        <v>129</v>
      </c>
      <c r="C6628" s="4" t="s">
        <v>418</v>
      </c>
      <c r="D6628" s="4" t="n">
        <v>6</v>
      </c>
      <c r="E6628" s="17" t="s">
        <v>197</v>
      </c>
      <c r="F6628" s="18" t="s">
        <v>412</v>
      </c>
    </row>
    <row r="6629" customFormat="false" ht="15" hidden="false" customHeight="false" outlineLevel="0" collapsed="false">
      <c r="A6629" s="4" t="str">
        <f aca="false">B6629&amp;"|"&amp;C6629</f>
        <v>tdbR00000567 Tyr-GUA|7</v>
      </c>
      <c r="B6629" s="4" t="s">
        <v>129</v>
      </c>
      <c r="C6629" s="4" t="s">
        <v>419</v>
      </c>
      <c r="D6629" s="4" t="n">
        <v>7</v>
      </c>
      <c r="E6629" s="17" t="s">
        <v>246</v>
      </c>
      <c r="F6629" s="18" t="s">
        <v>412</v>
      </c>
    </row>
    <row r="6630" customFormat="false" ht="15" hidden="false" customHeight="false" outlineLevel="0" collapsed="false">
      <c r="A6630" s="4" t="str">
        <f aca="false">B6630&amp;"|"&amp;C6630</f>
        <v>tdbR00000567 Tyr-GUA|8</v>
      </c>
      <c r="B6630" s="4" t="s">
        <v>129</v>
      </c>
      <c r="C6630" s="4" t="s">
        <v>420</v>
      </c>
      <c r="D6630" s="4" t="n">
        <v>8</v>
      </c>
      <c r="E6630" s="3" t="s">
        <v>259</v>
      </c>
      <c r="F6630" s="4" t="s">
        <v>421</v>
      </c>
    </row>
    <row r="6631" customFormat="false" ht="15" hidden="false" customHeight="false" outlineLevel="0" collapsed="false">
      <c r="A6631" s="4" t="str">
        <f aca="false">B6631&amp;"|"&amp;C6631</f>
        <v>tdbR00000567 Tyr-GUA|9</v>
      </c>
      <c r="B6631" s="4" t="s">
        <v>129</v>
      </c>
      <c r="C6631" s="4" t="s">
        <v>422</v>
      </c>
      <c r="D6631" s="4" t="n">
        <v>9</v>
      </c>
      <c r="E6631" s="3" t="s">
        <v>246</v>
      </c>
      <c r="F6631" s="4" t="s">
        <v>423</v>
      </c>
    </row>
    <row r="6632" customFormat="false" ht="15" hidden="false" customHeight="false" outlineLevel="0" collapsed="false">
      <c r="A6632" s="4" t="str">
        <f aca="false">B6632&amp;"|"&amp;C6632</f>
        <v>tdbR00000567 Tyr-GUA|10</v>
      </c>
      <c r="B6632" s="4" t="s">
        <v>129</v>
      </c>
      <c r="C6632" s="4" t="s">
        <v>424</v>
      </c>
      <c r="D6632" s="4" t="n">
        <v>10</v>
      </c>
      <c r="E6632" s="8" t="s">
        <v>197</v>
      </c>
      <c r="F6632" s="7" t="s">
        <v>425</v>
      </c>
    </row>
    <row r="6633" customFormat="false" ht="15" hidden="false" customHeight="false" outlineLevel="0" collapsed="false">
      <c r="A6633" s="4" t="str">
        <f aca="false">B6633&amp;"|"&amp;C6633</f>
        <v>tdbR00000567 Tyr-GUA|11</v>
      </c>
      <c r="B6633" s="4" t="s">
        <v>129</v>
      </c>
      <c r="C6633" s="4" t="s">
        <v>426</v>
      </c>
      <c r="D6633" s="4" t="n">
        <v>11</v>
      </c>
      <c r="E6633" s="8" t="s">
        <v>414</v>
      </c>
      <c r="F6633" s="7" t="s">
        <v>425</v>
      </c>
    </row>
    <row r="6634" customFormat="false" ht="15" hidden="false" customHeight="false" outlineLevel="0" collapsed="false">
      <c r="A6634" s="4" t="str">
        <f aca="false">B6634&amp;"|"&amp;C6634</f>
        <v>tdbR00000567 Tyr-GUA|12</v>
      </c>
      <c r="B6634" s="4" t="s">
        <v>129</v>
      </c>
      <c r="C6634" s="4" t="s">
        <v>427</v>
      </c>
      <c r="D6634" s="4" t="n">
        <v>12</v>
      </c>
      <c r="E6634" s="8" t="s">
        <v>259</v>
      </c>
      <c r="F6634" s="7" t="s">
        <v>425</v>
      </c>
    </row>
    <row r="6635" customFormat="false" ht="15" hidden="false" customHeight="false" outlineLevel="0" collapsed="false">
      <c r="A6635" s="4" t="str">
        <f aca="false">B6635&amp;"|"&amp;C6635</f>
        <v>tdbR00000567 Tyr-GUA|13</v>
      </c>
      <c r="B6635" s="4" t="s">
        <v>129</v>
      </c>
      <c r="C6635" s="4" t="s">
        <v>428</v>
      </c>
      <c r="D6635" s="4" t="n">
        <v>13</v>
      </c>
      <c r="E6635" s="8" t="s">
        <v>414</v>
      </c>
      <c r="F6635" s="7" t="s">
        <v>425</v>
      </c>
    </row>
    <row r="6636" customFormat="false" ht="15" hidden="false" customHeight="false" outlineLevel="0" collapsed="false">
      <c r="A6636" s="4" t="str">
        <f aca="false">B6636&amp;"|"&amp;C6636</f>
        <v>tdbR00000567 Tyr-GUA|14</v>
      </c>
      <c r="B6636" s="4" t="s">
        <v>129</v>
      </c>
      <c r="C6636" s="4" t="s">
        <v>429</v>
      </c>
      <c r="D6636" s="4" t="n">
        <v>14</v>
      </c>
      <c r="E6636" s="19" t="s">
        <v>246</v>
      </c>
      <c r="F6636" s="20" t="s">
        <v>430</v>
      </c>
    </row>
    <row r="6637" customFormat="false" ht="15" hidden="false" customHeight="false" outlineLevel="0" collapsed="false">
      <c r="A6637" s="4" t="str">
        <f aca="false">B6637&amp;"|"&amp;C6637</f>
        <v>tdbR00000567 Tyr-GUA|15</v>
      </c>
      <c r="B6637" s="4" t="s">
        <v>129</v>
      </c>
      <c r="C6637" s="4" t="s">
        <v>431</v>
      </c>
      <c r="D6637" s="4" t="n">
        <v>15</v>
      </c>
      <c r="E6637" s="19" t="s">
        <v>197</v>
      </c>
      <c r="F6637" s="20" t="s">
        <v>430</v>
      </c>
    </row>
    <row r="6638" customFormat="false" ht="15" hidden="false" customHeight="false" outlineLevel="0" collapsed="false">
      <c r="A6638" s="4" t="str">
        <f aca="false">B6638&amp;"|"&amp;C6638</f>
        <v>tdbR00000567 Tyr-GUA|16</v>
      </c>
      <c r="B6638" s="4" t="s">
        <v>129</v>
      </c>
      <c r="C6638" s="4" t="s">
        <v>432</v>
      </c>
      <c r="D6638" s="4" t="n">
        <v>16</v>
      </c>
      <c r="E6638" s="19" t="s">
        <v>259</v>
      </c>
      <c r="F6638" s="20" t="s">
        <v>430</v>
      </c>
    </row>
    <row r="6639" customFormat="false" ht="15" hidden="false" customHeight="false" outlineLevel="0" collapsed="false">
      <c r="A6639" s="4" t="str">
        <f aca="false">B6639&amp;"|"&amp;C6639</f>
        <v>tdbR00000567 Tyr-GUA|17</v>
      </c>
      <c r="B6639" s="4" t="s">
        <v>129</v>
      </c>
      <c r="C6639" s="4" t="s">
        <v>433</v>
      </c>
      <c r="D6639" s="4" t="n">
        <v>17</v>
      </c>
      <c r="E6639" s="19" t="s">
        <v>259</v>
      </c>
      <c r="F6639" s="20" t="s">
        <v>430</v>
      </c>
    </row>
    <row r="6640" customFormat="false" ht="15" hidden="false" customHeight="false" outlineLevel="0" collapsed="false">
      <c r="A6640" s="4" t="str">
        <f aca="false">B6640&amp;"|"&amp;C6640</f>
        <v>tdbR00000567 Tyr-GUA|18</v>
      </c>
      <c r="B6640" s="4" t="s">
        <v>129</v>
      </c>
      <c r="C6640" s="4" t="s">
        <v>434</v>
      </c>
      <c r="D6640" s="4" t="n">
        <v>18</v>
      </c>
      <c r="E6640" s="19" t="s">
        <v>197</v>
      </c>
      <c r="F6640" s="20" t="s">
        <v>430</v>
      </c>
    </row>
    <row r="6641" customFormat="false" ht="15" hidden="false" customHeight="false" outlineLevel="0" collapsed="false">
      <c r="A6641" s="4" t="str">
        <f aca="false">B6641&amp;"|"&amp;C6641</f>
        <v>tdbR00000567 Tyr-GUA|19</v>
      </c>
      <c r="B6641" s="4" t="s">
        <v>129</v>
      </c>
      <c r="C6641" s="4" t="s">
        <v>435</v>
      </c>
      <c r="D6641" s="4" t="n">
        <v>19</v>
      </c>
      <c r="E6641" s="19" t="s">
        <v>197</v>
      </c>
      <c r="F6641" s="20" t="s">
        <v>430</v>
      </c>
    </row>
    <row r="6642" customFormat="false" ht="15" hidden="false" customHeight="false" outlineLevel="0" collapsed="false">
      <c r="A6642" s="4" t="str">
        <f aca="false">B6642&amp;"|"&amp;C6642</f>
        <v>tdbR00000567 Tyr-GUA|20</v>
      </c>
      <c r="B6642" s="4" t="s">
        <v>129</v>
      </c>
      <c r="C6642" s="4" t="s">
        <v>436</v>
      </c>
      <c r="D6642" s="4" t="n">
        <v>20</v>
      </c>
      <c r="E6642" s="19" t="s">
        <v>259</v>
      </c>
      <c r="F6642" s="20" t="s">
        <v>430</v>
      </c>
    </row>
    <row r="6643" customFormat="false" ht="15" hidden="false" customHeight="false" outlineLevel="0" collapsed="false">
      <c r="A6643" s="4" t="str">
        <f aca="false">B6643&amp;"|"&amp;C6643</f>
        <v>tdbR00000567 Tyr-GUA|21</v>
      </c>
      <c r="B6643" s="4" t="s">
        <v>129</v>
      </c>
      <c r="C6643" s="4" t="s">
        <v>438</v>
      </c>
      <c r="D6643" s="4" t="n">
        <v>21</v>
      </c>
      <c r="E6643" s="19" t="s">
        <v>246</v>
      </c>
      <c r="F6643" s="20" t="s">
        <v>430</v>
      </c>
    </row>
    <row r="6644" customFormat="false" ht="15" hidden="false" customHeight="false" outlineLevel="0" collapsed="false">
      <c r="A6644" s="4" t="str">
        <f aca="false">B6644&amp;"|"&amp;C6644</f>
        <v>tdbR00000567 Tyr-GUA|22</v>
      </c>
      <c r="B6644" s="4" t="s">
        <v>129</v>
      </c>
      <c r="C6644" s="4" t="s">
        <v>439</v>
      </c>
      <c r="D6644" s="4" t="n">
        <v>22</v>
      </c>
      <c r="E6644" s="8" t="s">
        <v>197</v>
      </c>
      <c r="F6644" s="7" t="s">
        <v>425</v>
      </c>
    </row>
    <row r="6645" customFormat="false" ht="15" hidden="false" customHeight="false" outlineLevel="0" collapsed="false">
      <c r="A6645" s="4" t="str">
        <f aca="false">B6645&amp;"|"&amp;C6645</f>
        <v>tdbR00000567 Tyr-GUA|23</v>
      </c>
      <c r="B6645" s="4" t="s">
        <v>129</v>
      </c>
      <c r="C6645" s="4" t="s">
        <v>440</v>
      </c>
      <c r="D6645" s="4" t="n">
        <v>23</v>
      </c>
      <c r="E6645" s="8" t="s">
        <v>246</v>
      </c>
      <c r="F6645" s="7" t="s">
        <v>425</v>
      </c>
    </row>
    <row r="6646" customFormat="false" ht="15" hidden="false" customHeight="false" outlineLevel="0" collapsed="false">
      <c r="A6646" s="4" t="str">
        <f aca="false">B6646&amp;"|"&amp;C6646</f>
        <v>tdbR00000567 Tyr-GUA|24</v>
      </c>
      <c r="B6646" s="4" t="s">
        <v>129</v>
      </c>
      <c r="C6646" s="4" t="s">
        <v>441</v>
      </c>
      <c r="D6646" s="4" t="n">
        <v>24</v>
      </c>
      <c r="E6646" s="8" t="s">
        <v>197</v>
      </c>
      <c r="F6646" s="7" t="s">
        <v>425</v>
      </c>
    </row>
    <row r="6647" customFormat="false" ht="15" hidden="false" customHeight="false" outlineLevel="0" collapsed="false">
      <c r="A6647" s="4" t="str">
        <f aca="false">B6647&amp;"|"&amp;C6647</f>
        <v>tdbR00000567 Tyr-GUA|25</v>
      </c>
      <c r="B6647" s="4" t="s">
        <v>129</v>
      </c>
      <c r="C6647" s="4" t="s">
        <v>442</v>
      </c>
      <c r="D6647" s="4" t="n">
        <v>25</v>
      </c>
      <c r="E6647" s="8" t="s">
        <v>414</v>
      </c>
      <c r="F6647" s="7" t="s">
        <v>425</v>
      </c>
    </row>
    <row r="6648" customFormat="false" ht="15" hidden="false" customHeight="false" outlineLevel="0" collapsed="false">
      <c r="A6648" s="4" t="str">
        <f aca="false">B6648&amp;"|"&amp;C6648</f>
        <v>tdbR00000567 Tyr-GUA|26</v>
      </c>
      <c r="B6648" s="4" t="s">
        <v>129</v>
      </c>
      <c r="C6648" s="4" t="s">
        <v>443</v>
      </c>
      <c r="D6648" s="4" t="n">
        <v>26</v>
      </c>
      <c r="E6648" s="3" t="s">
        <v>197</v>
      </c>
      <c r="F6648" s="4" t="s">
        <v>444</v>
      </c>
    </row>
    <row r="6649" customFormat="false" ht="15" hidden="false" customHeight="false" outlineLevel="0" collapsed="false">
      <c r="A6649" s="4" t="str">
        <f aca="false">B6649&amp;"|"&amp;C6649</f>
        <v>tdbR00000567 Tyr-GUA|27</v>
      </c>
      <c r="B6649" s="4" t="s">
        <v>129</v>
      </c>
      <c r="C6649" s="4" t="s">
        <v>445</v>
      </c>
      <c r="D6649" s="4" t="n">
        <v>27</v>
      </c>
      <c r="E6649" s="21" t="s">
        <v>197</v>
      </c>
      <c r="F6649" s="22" t="s">
        <v>446</v>
      </c>
    </row>
    <row r="6650" customFormat="false" ht="15" hidden="false" customHeight="false" outlineLevel="0" collapsed="false">
      <c r="A6650" s="4" t="str">
        <f aca="false">B6650&amp;"|"&amp;C6650</f>
        <v>tdbR00000567 Tyr-GUA|28</v>
      </c>
      <c r="B6650" s="4" t="s">
        <v>129</v>
      </c>
      <c r="C6650" s="4" t="s">
        <v>447</v>
      </c>
      <c r="D6650" s="4" t="n">
        <v>28</v>
      </c>
      <c r="E6650" s="21" t="s">
        <v>246</v>
      </c>
      <c r="F6650" s="22" t="s">
        <v>446</v>
      </c>
    </row>
    <row r="6651" customFormat="false" ht="15" hidden="false" customHeight="false" outlineLevel="0" collapsed="false">
      <c r="A6651" s="4" t="str">
        <f aca="false">B6651&amp;"|"&amp;C6651</f>
        <v>tdbR00000567 Tyr-GUA|29</v>
      </c>
      <c r="B6651" s="4" t="s">
        <v>129</v>
      </c>
      <c r="C6651" s="4" t="s">
        <v>448</v>
      </c>
      <c r="D6651" s="4" t="n">
        <v>29</v>
      </c>
      <c r="E6651" s="21" t="s">
        <v>197</v>
      </c>
      <c r="F6651" s="22" t="s">
        <v>446</v>
      </c>
    </row>
    <row r="6652" customFormat="false" ht="15" hidden="false" customHeight="false" outlineLevel="0" collapsed="false">
      <c r="A6652" s="4" t="str">
        <f aca="false">B6652&amp;"|"&amp;C6652</f>
        <v>tdbR00000567 Tyr-GUA|30</v>
      </c>
      <c r="B6652" s="4" t="s">
        <v>129</v>
      </c>
      <c r="C6652" s="4" t="s">
        <v>449</v>
      </c>
      <c r="D6652" s="4" t="n">
        <v>30</v>
      </c>
      <c r="E6652" s="21" t="s">
        <v>197</v>
      </c>
      <c r="F6652" s="22" t="s">
        <v>446</v>
      </c>
    </row>
    <row r="6653" customFormat="false" ht="15" hidden="false" customHeight="false" outlineLevel="0" collapsed="false">
      <c r="A6653" s="4" t="str">
        <f aca="false">B6653&amp;"|"&amp;C6653</f>
        <v>tdbR00000567 Tyr-GUA|31</v>
      </c>
      <c r="B6653" s="4" t="s">
        <v>129</v>
      </c>
      <c r="C6653" s="4" t="s">
        <v>450</v>
      </c>
      <c r="D6653" s="4" t="n">
        <v>31</v>
      </c>
      <c r="E6653" s="21" t="s">
        <v>246</v>
      </c>
      <c r="F6653" s="22" t="s">
        <v>446</v>
      </c>
    </row>
    <row r="6654" customFormat="false" ht="15" hidden="false" customHeight="false" outlineLevel="0" collapsed="false">
      <c r="A6654" s="4" t="str">
        <f aca="false">B6654&amp;"|"&amp;C6654</f>
        <v>tdbR00000567 Tyr-GUA|32</v>
      </c>
      <c r="B6654" s="4" t="s">
        <v>129</v>
      </c>
      <c r="C6654" s="4" t="s">
        <v>451</v>
      </c>
      <c r="D6654" s="4" t="n">
        <v>32</v>
      </c>
      <c r="E6654" s="19" t="s">
        <v>414</v>
      </c>
      <c r="F6654" s="20" t="s">
        <v>452</v>
      </c>
    </row>
    <row r="6655" customFormat="false" ht="15" hidden="false" customHeight="false" outlineLevel="0" collapsed="false">
      <c r="A6655" s="4" t="str">
        <f aca="false">B6655&amp;"|"&amp;C6655</f>
        <v>tdbR00000567 Tyr-GUA|33</v>
      </c>
      <c r="B6655" s="4" t="s">
        <v>129</v>
      </c>
      <c r="C6655" s="4" t="s">
        <v>453</v>
      </c>
      <c r="D6655" s="4" t="n">
        <v>33</v>
      </c>
      <c r="E6655" s="19" t="s">
        <v>259</v>
      </c>
      <c r="F6655" s="20" t="s">
        <v>452</v>
      </c>
    </row>
    <row r="6656" customFormat="false" ht="15" hidden="false" customHeight="false" outlineLevel="0" collapsed="false">
      <c r="A6656" s="4" t="str">
        <f aca="false">B6656&amp;"|"&amp;C6656</f>
        <v>tdbR00000567 Tyr-GUA|34</v>
      </c>
      <c r="B6656" s="4" t="s">
        <v>129</v>
      </c>
      <c r="C6656" s="4" t="s">
        <v>454</v>
      </c>
      <c r="D6656" s="4" t="n">
        <v>34</v>
      </c>
      <c r="E6656" s="19" t="s">
        <v>197</v>
      </c>
      <c r="F6656" s="20" t="s">
        <v>452</v>
      </c>
    </row>
    <row r="6657" customFormat="false" ht="15" hidden="false" customHeight="false" outlineLevel="0" collapsed="false">
      <c r="A6657" s="4" t="str">
        <f aca="false">B6657&amp;"|"&amp;C6657</f>
        <v>tdbR00000567 Tyr-GUA|35</v>
      </c>
      <c r="B6657" s="4" t="s">
        <v>129</v>
      </c>
      <c r="C6657" s="4" t="s">
        <v>455</v>
      </c>
      <c r="D6657" s="4" t="n">
        <v>35</v>
      </c>
      <c r="E6657" s="19" t="s">
        <v>259</v>
      </c>
      <c r="F6657" s="20" t="s">
        <v>452</v>
      </c>
    </row>
    <row r="6658" customFormat="false" ht="15" hidden="false" customHeight="false" outlineLevel="0" collapsed="false">
      <c r="A6658" s="4" t="str">
        <f aca="false">B6658&amp;"|"&amp;C6658</f>
        <v>tdbR00000567 Tyr-GUA|36</v>
      </c>
      <c r="B6658" s="4" t="s">
        <v>129</v>
      </c>
      <c r="C6658" s="4" t="s">
        <v>456</v>
      </c>
      <c r="D6658" s="4" t="n">
        <v>36</v>
      </c>
      <c r="E6658" s="19" t="s">
        <v>246</v>
      </c>
      <c r="F6658" s="20" t="s">
        <v>452</v>
      </c>
    </row>
    <row r="6659" customFormat="false" ht="15" hidden="false" customHeight="false" outlineLevel="0" collapsed="false">
      <c r="A6659" s="4" t="str">
        <f aca="false">B6659&amp;"|"&amp;C6659</f>
        <v>tdbR00000567 Tyr-GUA|37</v>
      </c>
      <c r="B6659" s="4" t="s">
        <v>129</v>
      </c>
      <c r="C6659" s="4" t="s">
        <v>457</v>
      </c>
      <c r="D6659" s="4" t="n">
        <v>37</v>
      </c>
      <c r="E6659" s="19" t="s">
        <v>197</v>
      </c>
      <c r="F6659" s="20" t="s">
        <v>452</v>
      </c>
    </row>
    <row r="6660" customFormat="false" ht="15" hidden="false" customHeight="false" outlineLevel="0" collapsed="false">
      <c r="A6660" s="4" t="str">
        <f aca="false">B6660&amp;"|"&amp;C6660</f>
        <v>tdbR00000567 Tyr-GUA|38</v>
      </c>
      <c r="B6660" s="4" t="s">
        <v>129</v>
      </c>
      <c r="C6660" s="4" t="s">
        <v>458</v>
      </c>
      <c r="D6660" s="4" t="n">
        <v>38</v>
      </c>
      <c r="E6660" s="19" t="s">
        <v>246</v>
      </c>
      <c r="F6660" s="20" t="s">
        <v>452</v>
      </c>
    </row>
    <row r="6661" customFormat="false" ht="15" hidden="false" customHeight="false" outlineLevel="0" collapsed="false">
      <c r="A6661" s="4" t="str">
        <f aca="false">B6661&amp;"|"&amp;C6661</f>
        <v>tdbR00000567 Tyr-GUA|39</v>
      </c>
      <c r="B6661" s="4" t="s">
        <v>129</v>
      </c>
      <c r="C6661" s="4" t="s">
        <v>459</v>
      </c>
      <c r="D6661" s="4" t="n">
        <v>39</v>
      </c>
      <c r="E6661" s="21" t="s">
        <v>259</v>
      </c>
      <c r="F6661" s="22" t="s">
        <v>446</v>
      </c>
    </row>
    <row r="6662" customFormat="false" ht="15" hidden="false" customHeight="false" outlineLevel="0" collapsed="false">
      <c r="A6662" s="4" t="str">
        <f aca="false">B6662&amp;"|"&amp;C6662</f>
        <v>tdbR00000567 Tyr-GUA|40</v>
      </c>
      <c r="B6662" s="4" t="s">
        <v>129</v>
      </c>
      <c r="C6662" s="4" t="s">
        <v>460</v>
      </c>
      <c r="D6662" s="4" t="n">
        <v>40</v>
      </c>
      <c r="E6662" s="21" t="s">
        <v>414</v>
      </c>
      <c r="F6662" s="22" t="s">
        <v>446</v>
      </c>
    </row>
    <row r="6663" customFormat="false" ht="15" hidden="false" customHeight="false" outlineLevel="0" collapsed="false">
      <c r="A6663" s="4" t="str">
        <f aca="false">B6663&amp;"|"&amp;C6663</f>
        <v>tdbR00000567 Tyr-GUA|41</v>
      </c>
      <c r="B6663" s="4" t="s">
        <v>129</v>
      </c>
      <c r="C6663" s="4" t="s">
        <v>461</v>
      </c>
      <c r="D6663" s="4" t="n">
        <v>41</v>
      </c>
      <c r="E6663" s="21" t="s">
        <v>414</v>
      </c>
      <c r="F6663" s="22" t="s">
        <v>446</v>
      </c>
    </row>
    <row r="6664" customFormat="false" ht="15" hidden="false" customHeight="false" outlineLevel="0" collapsed="false">
      <c r="A6664" s="4" t="str">
        <f aca="false">B6664&amp;"|"&amp;C6664</f>
        <v>tdbR00000567 Tyr-GUA|42</v>
      </c>
      <c r="B6664" s="4" t="s">
        <v>129</v>
      </c>
      <c r="C6664" s="4" t="s">
        <v>462</v>
      </c>
      <c r="D6664" s="4" t="n">
        <v>42</v>
      </c>
      <c r="E6664" s="21" t="s">
        <v>259</v>
      </c>
      <c r="F6664" s="22" t="s">
        <v>446</v>
      </c>
    </row>
    <row r="6665" customFormat="false" ht="15" hidden="false" customHeight="false" outlineLevel="0" collapsed="false">
      <c r="A6665" s="4" t="str">
        <f aca="false">B6665&amp;"|"&amp;C6665</f>
        <v>tdbR00000567 Tyr-GUA|43</v>
      </c>
      <c r="B6665" s="4" t="s">
        <v>129</v>
      </c>
      <c r="C6665" s="4" t="s">
        <v>463</v>
      </c>
      <c r="D6665" s="4" t="n">
        <v>43</v>
      </c>
      <c r="E6665" s="21" t="s">
        <v>259</v>
      </c>
      <c r="F6665" s="22" t="s">
        <v>446</v>
      </c>
    </row>
    <row r="6666" customFormat="false" ht="15" hidden="false" customHeight="false" outlineLevel="0" collapsed="false">
      <c r="A6666" s="4" t="str">
        <f aca="false">B6666&amp;"|"&amp;C6666</f>
        <v>tdbR00000567 Tyr-GUA|44</v>
      </c>
      <c r="B6666" s="4" t="s">
        <v>129</v>
      </c>
      <c r="C6666" s="4" t="s">
        <v>464</v>
      </c>
      <c r="D6666" s="4" t="n">
        <v>44</v>
      </c>
      <c r="E6666" s="19" t="s">
        <v>246</v>
      </c>
      <c r="F6666" s="20" t="s">
        <v>465</v>
      </c>
    </row>
    <row r="6667" customFormat="false" ht="15" hidden="false" customHeight="false" outlineLevel="0" collapsed="false">
      <c r="A6667" s="4" t="str">
        <f aca="false">B6667&amp;"|"&amp;C6667</f>
        <v>tdbR00000567 Tyr-GUA|45</v>
      </c>
      <c r="B6667" s="4" t="s">
        <v>129</v>
      </c>
      <c r="C6667" s="4" t="s">
        <v>466</v>
      </c>
      <c r="D6667" s="4" t="n">
        <v>45</v>
      </c>
      <c r="E6667" s="19" t="s">
        <v>197</v>
      </c>
      <c r="F6667" s="20" t="s">
        <v>465</v>
      </c>
    </row>
    <row r="6668" customFormat="false" ht="15" hidden="false" customHeight="false" outlineLevel="0" collapsed="false">
      <c r="A6668" s="4" t="str">
        <f aca="false">B6668&amp;"|"&amp;C6668</f>
        <v>tdbR00000567 Tyr-GUA|46</v>
      </c>
      <c r="B6668" s="4" t="s">
        <v>129</v>
      </c>
      <c r="C6668" s="4" t="s">
        <v>467</v>
      </c>
      <c r="D6668" s="4" t="n">
        <v>46</v>
      </c>
      <c r="E6668" s="19" t="s">
        <v>197</v>
      </c>
      <c r="F6668" s="20" t="s">
        <v>465</v>
      </c>
    </row>
    <row r="6669" customFormat="false" ht="15" hidden="false" customHeight="false" outlineLevel="0" collapsed="false">
      <c r="A6669" s="4" t="str">
        <f aca="false">B6669&amp;"|"&amp;C6669</f>
        <v>tdbR00000567 Tyr-GUA|47</v>
      </c>
      <c r="B6669" s="4" t="s">
        <v>129</v>
      </c>
      <c r="C6669" s="4" t="s">
        <v>468</v>
      </c>
      <c r="D6669" s="4" t="n">
        <v>47</v>
      </c>
      <c r="E6669" s="19" t="s">
        <v>259</v>
      </c>
      <c r="F6669" s="20" t="s">
        <v>465</v>
      </c>
    </row>
    <row r="6670" customFormat="false" ht="15" hidden="false" customHeight="false" outlineLevel="0" collapsed="false">
      <c r="A6670" s="4" t="str">
        <f aca="false">B6670&amp;"|"&amp;C6670</f>
        <v>tdbR00000567 Tyr-GUA|48</v>
      </c>
      <c r="B6670" s="4" t="s">
        <v>129</v>
      </c>
      <c r="C6670" s="4" t="s">
        <v>469</v>
      </c>
      <c r="D6670" s="4" t="n">
        <v>48</v>
      </c>
      <c r="E6670" s="19" t="s">
        <v>414</v>
      </c>
      <c r="F6670" s="20" t="s">
        <v>465</v>
      </c>
    </row>
    <row r="6671" customFormat="false" ht="15" hidden="false" customHeight="false" outlineLevel="0" collapsed="false">
      <c r="A6671" s="4" t="str">
        <f aca="false">B6671&amp;"|"&amp;C6671</f>
        <v>tdbR00000567 Tyr-GUA|49</v>
      </c>
      <c r="B6671" s="4" t="s">
        <v>129</v>
      </c>
      <c r="C6671" s="4" t="s">
        <v>470</v>
      </c>
      <c r="D6671" s="4" t="n">
        <v>49</v>
      </c>
      <c r="E6671" s="23" t="s">
        <v>197</v>
      </c>
      <c r="F6671" s="10" t="s">
        <v>471</v>
      </c>
    </row>
    <row r="6672" customFormat="false" ht="15" hidden="false" customHeight="false" outlineLevel="0" collapsed="false">
      <c r="A6672" s="4" t="str">
        <f aca="false">B6672&amp;"|"&amp;C6672</f>
        <v>tdbR00000567 Tyr-GUA|50</v>
      </c>
      <c r="B6672" s="4" t="s">
        <v>129</v>
      </c>
      <c r="C6672" s="4" t="s">
        <v>472</v>
      </c>
      <c r="D6672" s="4" t="n">
        <v>50</v>
      </c>
      <c r="E6672" s="23" t="s">
        <v>414</v>
      </c>
      <c r="F6672" s="10" t="s">
        <v>471</v>
      </c>
    </row>
    <row r="6673" customFormat="false" ht="15" hidden="false" customHeight="false" outlineLevel="0" collapsed="false">
      <c r="A6673" s="4" t="str">
        <f aca="false">B6673&amp;"|"&amp;C6673</f>
        <v>tdbR00000567 Tyr-GUA|51</v>
      </c>
      <c r="B6673" s="4" t="s">
        <v>129</v>
      </c>
      <c r="C6673" s="4" t="s">
        <v>473</v>
      </c>
      <c r="D6673" s="4" t="n">
        <v>51</v>
      </c>
      <c r="E6673" s="23" t="s">
        <v>259</v>
      </c>
      <c r="F6673" s="10" t="s">
        <v>471</v>
      </c>
    </row>
    <row r="6674" customFormat="false" ht="15" hidden="false" customHeight="false" outlineLevel="0" collapsed="false">
      <c r="A6674" s="4" t="str">
        <f aca="false">B6674&amp;"|"&amp;C6674</f>
        <v>tdbR00000567 Tyr-GUA|52</v>
      </c>
      <c r="B6674" s="4" t="s">
        <v>129</v>
      </c>
      <c r="C6674" s="4" t="s">
        <v>474</v>
      </c>
      <c r="D6674" s="4" t="n">
        <v>52</v>
      </c>
      <c r="E6674" s="23" t="s">
        <v>197</v>
      </c>
      <c r="F6674" s="10" t="s">
        <v>471</v>
      </c>
    </row>
    <row r="6675" customFormat="false" ht="15" hidden="false" customHeight="false" outlineLevel="0" collapsed="false">
      <c r="A6675" s="4" t="str">
        <f aca="false">B6675&amp;"|"&amp;C6675</f>
        <v>tdbR00000567 Tyr-GUA|53</v>
      </c>
      <c r="B6675" s="4" t="s">
        <v>129</v>
      </c>
      <c r="C6675" s="4" t="s">
        <v>475</v>
      </c>
      <c r="D6675" s="4" t="n">
        <v>53</v>
      </c>
      <c r="E6675" s="23" t="s">
        <v>197</v>
      </c>
      <c r="F6675" s="10" t="s">
        <v>471</v>
      </c>
    </row>
    <row r="6676" customFormat="false" ht="15" hidden="false" customHeight="false" outlineLevel="0" collapsed="false">
      <c r="A6676" s="4" t="str">
        <f aca="false">B6676&amp;"|"&amp;C6676</f>
        <v>tdbR00000567 Tyr-GUA|54</v>
      </c>
      <c r="B6676" s="4" t="s">
        <v>129</v>
      </c>
      <c r="C6676" s="4" t="s">
        <v>476</v>
      </c>
      <c r="D6676" s="4" t="n">
        <v>54</v>
      </c>
      <c r="E6676" s="19" t="s">
        <v>259</v>
      </c>
      <c r="F6676" s="20" t="s">
        <v>477</v>
      </c>
    </row>
    <row r="6677" customFormat="false" ht="15" hidden="false" customHeight="false" outlineLevel="0" collapsed="false">
      <c r="A6677" s="4" t="str">
        <f aca="false">B6677&amp;"|"&amp;C6677</f>
        <v>tdbR00000567 Tyr-GUA|55</v>
      </c>
      <c r="B6677" s="4" t="s">
        <v>129</v>
      </c>
      <c r="C6677" s="4" t="s">
        <v>478</v>
      </c>
      <c r="D6677" s="4" t="n">
        <v>55</v>
      </c>
      <c r="E6677" s="19" t="s">
        <v>259</v>
      </c>
      <c r="F6677" s="20" t="s">
        <v>477</v>
      </c>
    </row>
    <row r="6678" customFormat="false" ht="15" hidden="false" customHeight="false" outlineLevel="0" collapsed="false">
      <c r="A6678" s="4" t="str">
        <f aca="false">B6678&amp;"|"&amp;C6678</f>
        <v>tdbR00000567 Tyr-GUA|56</v>
      </c>
      <c r="B6678" s="4" t="s">
        <v>129</v>
      </c>
      <c r="C6678" s="4" t="s">
        <v>479</v>
      </c>
      <c r="D6678" s="4" t="n">
        <v>56</v>
      </c>
      <c r="E6678" s="19" t="s">
        <v>414</v>
      </c>
      <c r="F6678" s="20" t="s">
        <v>477</v>
      </c>
    </row>
    <row r="6679" customFormat="false" ht="15" hidden="false" customHeight="false" outlineLevel="0" collapsed="false">
      <c r="A6679" s="4" t="str">
        <f aca="false">B6679&amp;"|"&amp;C6679</f>
        <v>tdbR00000567 Tyr-GUA|57</v>
      </c>
      <c r="B6679" s="4" t="s">
        <v>129</v>
      </c>
      <c r="C6679" s="4" t="s">
        <v>480</v>
      </c>
      <c r="D6679" s="4" t="n">
        <v>57</v>
      </c>
      <c r="E6679" s="19" t="s">
        <v>197</v>
      </c>
      <c r="F6679" s="20" t="s">
        <v>477</v>
      </c>
    </row>
    <row r="6680" customFormat="false" ht="15" hidden="false" customHeight="false" outlineLevel="0" collapsed="false">
      <c r="A6680" s="4" t="str">
        <f aca="false">B6680&amp;"|"&amp;C6680</f>
        <v>tdbR00000567 Tyr-GUA|58</v>
      </c>
      <c r="B6680" s="4" t="s">
        <v>129</v>
      </c>
      <c r="C6680" s="4" t="s">
        <v>481</v>
      </c>
      <c r="D6680" s="4" t="n">
        <v>58</v>
      </c>
      <c r="E6680" s="19" t="s">
        <v>246</v>
      </c>
      <c r="F6680" s="20" t="s">
        <v>477</v>
      </c>
    </row>
    <row r="6681" customFormat="false" ht="15" hidden="false" customHeight="false" outlineLevel="0" collapsed="false">
      <c r="A6681" s="4" t="str">
        <f aca="false">B6681&amp;"|"&amp;C6681</f>
        <v>tdbR00000567 Tyr-GUA|59</v>
      </c>
      <c r="B6681" s="4" t="s">
        <v>129</v>
      </c>
      <c r="C6681" s="4" t="s">
        <v>482</v>
      </c>
      <c r="D6681" s="4" t="n">
        <v>59</v>
      </c>
      <c r="E6681" s="19" t="s">
        <v>259</v>
      </c>
      <c r="F6681" s="20" t="s">
        <v>477</v>
      </c>
    </row>
    <row r="6682" customFormat="false" ht="15" hidden="false" customHeight="false" outlineLevel="0" collapsed="false">
      <c r="A6682" s="4" t="str">
        <f aca="false">B6682&amp;"|"&amp;C6682</f>
        <v>tdbR00000567 Tyr-GUA|60</v>
      </c>
      <c r="B6682" s="4" t="s">
        <v>129</v>
      </c>
      <c r="C6682" s="4" t="s">
        <v>483</v>
      </c>
      <c r="D6682" s="4" t="n">
        <v>60</v>
      </c>
      <c r="E6682" s="19" t="s">
        <v>259</v>
      </c>
      <c r="F6682" s="20" t="s">
        <v>477</v>
      </c>
    </row>
    <row r="6683" customFormat="false" ht="15" hidden="false" customHeight="false" outlineLevel="0" collapsed="false">
      <c r="A6683" s="4" t="str">
        <f aca="false">B6683&amp;"|"&amp;C6683</f>
        <v>tdbR00000567 Tyr-GUA|61</v>
      </c>
      <c r="B6683" s="4" t="s">
        <v>129</v>
      </c>
      <c r="C6683" s="4" t="s">
        <v>484</v>
      </c>
      <c r="D6683" s="4" t="n">
        <v>61</v>
      </c>
      <c r="E6683" s="23" t="s">
        <v>414</v>
      </c>
      <c r="F6683" s="10" t="s">
        <v>471</v>
      </c>
    </row>
    <row r="6684" customFormat="false" ht="15" hidden="false" customHeight="false" outlineLevel="0" collapsed="false">
      <c r="A6684" s="4" t="str">
        <f aca="false">B6684&amp;"|"&amp;C6684</f>
        <v>tdbR00000567 Tyr-GUA|62</v>
      </c>
      <c r="B6684" s="4" t="s">
        <v>129</v>
      </c>
      <c r="C6684" s="4" t="s">
        <v>485</v>
      </c>
      <c r="D6684" s="4" t="n">
        <v>62</v>
      </c>
      <c r="E6684" s="23" t="s">
        <v>414</v>
      </c>
      <c r="F6684" s="10" t="s">
        <v>471</v>
      </c>
    </row>
    <row r="6685" customFormat="false" ht="15" hidden="false" customHeight="false" outlineLevel="0" collapsed="false">
      <c r="A6685" s="4" t="str">
        <f aca="false">B6685&amp;"|"&amp;C6685</f>
        <v>tdbR00000567 Tyr-GUA|63</v>
      </c>
      <c r="B6685" s="4" t="s">
        <v>129</v>
      </c>
      <c r="C6685" s="4" t="s">
        <v>486</v>
      </c>
      <c r="D6685" s="4" t="n">
        <v>63</v>
      </c>
      <c r="E6685" s="23" t="s">
        <v>197</v>
      </c>
      <c r="F6685" s="10" t="s">
        <v>471</v>
      </c>
    </row>
    <row r="6686" customFormat="false" ht="15" hidden="false" customHeight="false" outlineLevel="0" collapsed="false">
      <c r="A6686" s="4" t="str">
        <f aca="false">B6686&amp;"|"&amp;C6686</f>
        <v>tdbR00000567 Tyr-GUA|64</v>
      </c>
      <c r="B6686" s="4" t="s">
        <v>129</v>
      </c>
      <c r="C6686" s="4" t="s">
        <v>487</v>
      </c>
      <c r="D6686" s="4" t="n">
        <v>64</v>
      </c>
      <c r="E6686" s="23" t="s">
        <v>197</v>
      </c>
      <c r="F6686" s="10" t="s">
        <v>471</v>
      </c>
    </row>
    <row r="6687" customFormat="false" ht="15" hidden="false" customHeight="false" outlineLevel="0" collapsed="false">
      <c r="A6687" s="4" t="str">
        <f aca="false">B6687&amp;"|"&amp;C6687</f>
        <v>tdbR00000567 Tyr-GUA|65</v>
      </c>
      <c r="B6687" s="4" t="s">
        <v>129</v>
      </c>
      <c r="C6687" s="4" t="s">
        <v>488</v>
      </c>
      <c r="D6687" s="4" t="n">
        <v>65</v>
      </c>
      <c r="E6687" s="23" t="s">
        <v>414</v>
      </c>
      <c r="F6687" s="10" t="s">
        <v>471</v>
      </c>
    </row>
    <row r="6688" customFormat="false" ht="15" hidden="false" customHeight="false" outlineLevel="0" collapsed="false">
      <c r="A6688" s="4" t="str">
        <f aca="false">B6688&amp;"|"&amp;C6688</f>
        <v>tdbR00000567 Tyr-GUA|66</v>
      </c>
      <c r="B6688" s="4" t="s">
        <v>129</v>
      </c>
      <c r="C6688" s="4" t="s">
        <v>489</v>
      </c>
      <c r="D6688" s="4" t="n">
        <v>66</v>
      </c>
      <c r="E6688" s="17" t="s">
        <v>259</v>
      </c>
      <c r="F6688" s="18" t="s">
        <v>412</v>
      </c>
    </row>
    <row r="6689" customFormat="false" ht="15" hidden="false" customHeight="false" outlineLevel="0" collapsed="false">
      <c r="A6689" s="4" t="str">
        <f aca="false">B6689&amp;"|"&amp;C6689</f>
        <v>tdbR00000567 Tyr-GUA|67</v>
      </c>
      <c r="B6689" s="4" t="s">
        <v>129</v>
      </c>
      <c r="C6689" s="4" t="s">
        <v>490</v>
      </c>
      <c r="D6689" s="4" t="n">
        <v>67</v>
      </c>
      <c r="E6689" s="17" t="s">
        <v>414</v>
      </c>
      <c r="F6689" s="18" t="s">
        <v>412</v>
      </c>
    </row>
    <row r="6690" customFormat="false" ht="15" hidden="false" customHeight="false" outlineLevel="0" collapsed="false">
      <c r="A6690" s="4" t="str">
        <f aca="false">B6690&amp;"|"&amp;C6690</f>
        <v>tdbR00000567 Tyr-GUA|68</v>
      </c>
      <c r="B6690" s="4" t="s">
        <v>129</v>
      </c>
      <c r="C6690" s="4" t="s">
        <v>491</v>
      </c>
      <c r="D6690" s="4" t="n">
        <v>68</v>
      </c>
      <c r="E6690" s="17" t="s">
        <v>197</v>
      </c>
      <c r="F6690" s="18" t="s">
        <v>412</v>
      </c>
    </row>
    <row r="6691" customFormat="false" ht="15" hidden="false" customHeight="false" outlineLevel="0" collapsed="false">
      <c r="A6691" s="4" t="str">
        <f aca="false">B6691&amp;"|"&amp;C6691</f>
        <v>tdbR00000567 Tyr-GUA|69</v>
      </c>
      <c r="B6691" s="4" t="s">
        <v>129</v>
      </c>
      <c r="C6691" s="4" t="s">
        <v>492</v>
      </c>
      <c r="D6691" s="4" t="n">
        <v>69</v>
      </c>
      <c r="E6691" s="17" t="s">
        <v>246</v>
      </c>
      <c r="F6691" s="18" t="s">
        <v>412</v>
      </c>
    </row>
    <row r="6692" customFormat="false" ht="15" hidden="false" customHeight="false" outlineLevel="0" collapsed="false">
      <c r="A6692" s="4" t="str">
        <f aca="false">B6692&amp;"|"&amp;C6692</f>
        <v>tdbR00000567 Tyr-GUA|70</v>
      </c>
      <c r="B6692" s="4" t="s">
        <v>129</v>
      </c>
      <c r="C6692" s="4" t="s">
        <v>493</v>
      </c>
      <c r="D6692" s="4" t="n">
        <v>70</v>
      </c>
      <c r="E6692" s="17" t="s">
        <v>246</v>
      </c>
      <c r="F6692" s="18" t="s">
        <v>412</v>
      </c>
    </row>
    <row r="6693" customFormat="false" ht="15" hidden="false" customHeight="false" outlineLevel="0" collapsed="false">
      <c r="A6693" s="4" t="str">
        <f aca="false">B6693&amp;"|"&amp;C6693</f>
        <v>tdbR00000567 Tyr-GUA|71</v>
      </c>
      <c r="B6693" s="4" t="s">
        <v>129</v>
      </c>
      <c r="C6693" s="4" t="s">
        <v>494</v>
      </c>
      <c r="D6693" s="4" t="n">
        <v>71</v>
      </c>
      <c r="E6693" s="17" t="s">
        <v>197</v>
      </c>
      <c r="F6693" s="18" t="s">
        <v>412</v>
      </c>
    </row>
    <row r="6694" customFormat="false" ht="15" hidden="false" customHeight="false" outlineLevel="0" collapsed="false">
      <c r="A6694" s="4" t="str">
        <f aca="false">B6694&amp;"|"&amp;C6694</f>
        <v>tdbR00000567 Tyr-GUA|72</v>
      </c>
      <c r="B6694" s="4" t="s">
        <v>129</v>
      </c>
      <c r="C6694" s="4" t="s">
        <v>495</v>
      </c>
      <c r="D6694" s="4" t="n">
        <v>72</v>
      </c>
      <c r="E6694" s="17" t="s">
        <v>197</v>
      </c>
      <c r="F6694" s="18" t="s">
        <v>412</v>
      </c>
    </row>
    <row r="6695" customFormat="false" ht="15" hidden="false" customHeight="false" outlineLevel="0" collapsed="false">
      <c r="A6695" s="4" t="str">
        <f aca="false">B6695&amp;"|"&amp;C6695</f>
        <v>tdbR00001067 Ala-UGC|1</v>
      </c>
      <c r="B6695" s="4" t="s">
        <v>130</v>
      </c>
      <c r="C6695" s="4" t="s">
        <v>411</v>
      </c>
      <c r="D6695" s="4" t="n">
        <v>1</v>
      </c>
      <c r="E6695" s="17" t="s">
        <v>197</v>
      </c>
      <c r="F6695" s="18" t="s">
        <v>412</v>
      </c>
    </row>
    <row r="6696" customFormat="false" ht="15" hidden="false" customHeight="false" outlineLevel="0" collapsed="false">
      <c r="A6696" s="4" t="str">
        <f aca="false">B6696&amp;"|"&amp;C6696</f>
        <v>tdbR00001067 Ala-UGC|2</v>
      </c>
      <c r="B6696" s="4" t="s">
        <v>130</v>
      </c>
      <c r="C6696" s="4" t="s">
        <v>413</v>
      </c>
      <c r="D6696" s="4" t="n">
        <v>2</v>
      </c>
      <c r="E6696" s="17" t="s">
        <v>197</v>
      </c>
      <c r="F6696" s="18" t="s">
        <v>412</v>
      </c>
    </row>
    <row r="6697" customFormat="false" ht="15" hidden="false" customHeight="false" outlineLevel="0" collapsed="false">
      <c r="A6697" s="4" t="str">
        <f aca="false">B6697&amp;"|"&amp;C6697</f>
        <v>tdbR00001067 Ala-UGC|3</v>
      </c>
      <c r="B6697" s="4" t="s">
        <v>130</v>
      </c>
      <c r="C6697" s="4" t="s">
        <v>415</v>
      </c>
      <c r="D6697" s="4" t="n">
        <v>3</v>
      </c>
      <c r="E6697" s="17" t="s">
        <v>197</v>
      </c>
      <c r="F6697" s="18" t="s">
        <v>412</v>
      </c>
    </row>
    <row r="6698" customFormat="false" ht="15" hidden="false" customHeight="false" outlineLevel="0" collapsed="false">
      <c r="A6698" s="4" t="str">
        <f aca="false">B6698&amp;"|"&amp;C6698</f>
        <v>tdbR00001067 Ala-UGC|4</v>
      </c>
      <c r="B6698" s="4" t="s">
        <v>130</v>
      </c>
      <c r="C6698" s="4" t="s">
        <v>416</v>
      </c>
      <c r="D6698" s="4" t="n">
        <v>4</v>
      </c>
      <c r="E6698" s="17" t="s">
        <v>197</v>
      </c>
      <c r="F6698" s="18" t="s">
        <v>412</v>
      </c>
    </row>
    <row r="6699" customFormat="false" ht="15" hidden="false" customHeight="false" outlineLevel="0" collapsed="false">
      <c r="A6699" s="4" t="str">
        <f aca="false">B6699&amp;"|"&amp;C6699</f>
        <v>tdbR00001067 Ala-UGC|5</v>
      </c>
      <c r="B6699" s="4" t="s">
        <v>130</v>
      </c>
      <c r="C6699" s="4" t="s">
        <v>417</v>
      </c>
      <c r="D6699" s="4" t="n">
        <v>5</v>
      </c>
      <c r="E6699" s="17" t="s">
        <v>414</v>
      </c>
      <c r="F6699" s="18" t="s">
        <v>412</v>
      </c>
    </row>
    <row r="6700" customFormat="false" ht="15" hidden="false" customHeight="false" outlineLevel="0" collapsed="false">
      <c r="A6700" s="4" t="str">
        <f aca="false">B6700&amp;"|"&amp;C6700</f>
        <v>tdbR00001067 Ala-UGC|6</v>
      </c>
      <c r="B6700" s="4" t="s">
        <v>130</v>
      </c>
      <c r="C6700" s="4" t="s">
        <v>418</v>
      </c>
      <c r="D6700" s="4" t="n">
        <v>6</v>
      </c>
      <c r="E6700" s="17" t="s">
        <v>259</v>
      </c>
      <c r="F6700" s="18" t="s">
        <v>412</v>
      </c>
    </row>
    <row r="6701" customFormat="false" ht="15" hidden="false" customHeight="false" outlineLevel="0" collapsed="false">
      <c r="A6701" s="4" t="str">
        <f aca="false">B6701&amp;"|"&amp;C6701</f>
        <v>tdbR00001067 Ala-UGC|7</v>
      </c>
      <c r="B6701" s="4" t="s">
        <v>130</v>
      </c>
      <c r="C6701" s="4" t="s">
        <v>419</v>
      </c>
      <c r="D6701" s="4" t="n">
        <v>7</v>
      </c>
      <c r="E6701" s="17" t="s">
        <v>246</v>
      </c>
      <c r="F6701" s="18" t="s">
        <v>412</v>
      </c>
    </row>
    <row r="6702" customFormat="false" ht="15" hidden="false" customHeight="false" outlineLevel="0" collapsed="false">
      <c r="A6702" s="4" t="str">
        <f aca="false">B6702&amp;"|"&amp;C6702</f>
        <v>tdbR00001067 Ala-UGC|8</v>
      </c>
      <c r="B6702" s="4" t="s">
        <v>130</v>
      </c>
      <c r="C6702" s="4" t="s">
        <v>420</v>
      </c>
      <c r="D6702" s="4" t="n">
        <v>8</v>
      </c>
      <c r="E6702" s="3" t="s">
        <v>259</v>
      </c>
      <c r="F6702" s="4" t="s">
        <v>421</v>
      </c>
    </row>
    <row r="6703" customFormat="false" ht="15" hidden="false" customHeight="false" outlineLevel="0" collapsed="false">
      <c r="A6703" s="4" t="str">
        <f aca="false">B6703&amp;"|"&amp;C6703</f>
        <v>tdbR00001067 Ala-UGC|9</v>
      </c>
      <c r="B6703" s="4" t="s">
        <v>130</v>
      </c>
      <c r="C6703" s="4" t="s">
        <v>422</v>
      </c>
      <c r="D6703" s="4" t="n">
        <v>9</v>
      </c>
      <c r="E6703" s="3" t="s">
        <v>246</v>
      </c>
      <c r="F6703" s="4" t="s">
        <v>423</v>
      </c>
    </row>
    <row r="6704" customFormat="false" ht="15" hidden="false" customHeight="false" outlineLevel="0" collapsed="false">
      <c r="A6704" s="4" t="str">
        <f aca="false">B6704&amp;"|"&amp;C6704</f>
        <v>tdbR00001067 Ala-UGC|10</v>
      </c>
      <c r="B6704" s="4" t="s">
        <v>130</v>
      </c>
      <c r="C6704" s="4" t="s">
        <v>424</v>
      </c>
      <c r="D6704" s="4" t="n">
        <v>10</v>
      </c>
      <c r="E6704" s="8" t="s">
        <v>197</v>
      </c>
      <c r="F6704" s="7" t="s">
        <v>425</v>
      </c>
    </row>
    <row r="6705" customFormat="false" ht="15" hidden="false" customHeight="false" outlineLevel="0" collapsed="false">
      <c r="A6705" s="4" t="str">
        <f aca="false">B6705&amp;"|"&amp;C6705</f>
        <v>tdbR00001067 Ala-UGC|11</v>
      </c>
      <c r="B6705" s="4" t="s">
        <v>130</v>
      </c>
      <c r="C6705" s="4" t="s">
        <v>426</v>
      </c>
      <c r="D6705" s="4" t="n">
        <v>11</v>
      </c>
      <c r="E6705" s="8" t="s">
        <v>414</v>
      </c>
      <c r="F6705" s="7" t="s">
        <v>425</v>
      </c>
    </row>
    <row r="6706" customFormat="false" ht="15" hidden="false" customHeight="false" outlineLevel="0" collapsed="false">
      <c r="A6706" s="4" t="str">
        <f aca="false">B6706&amp;"|"&amp;C6706</f>
        <v>tdbR00001067 Ala-UGC|12</v>
      </c>
      <c r="B6706" s="4" t="s">
        <v>130</v>
      </c>
      <c r="C6706" s="4" t="s">
        <v>427</v>
      </c>
      <c r="D6706" s="4" t="n">
        <v>12</v>
      </c>
      <c r="E6706" s="8" t="s">
        <v>259</v>
      </c>
      <c r="F6706" s="7" t="s">
        <v>425</v>
      </c>
    </row>
    <row r="6707" customFormat="false" ht="15" hidden="false" customHeight="false" outlineLevel="0" collapsed="false">
      <c r="A6707" s="4" t="str">
        <f aca="false">B6707&amp;"|"&amp;C6707</f>
        <v>tdbR00001067 Ala-UGC|13</v>
      </c>
      <c r="B6707" s="4" t="s">
        <v>130</v>
      </c>
      <c r="C6707" s="4" t="s">
        <v>428</v>
      </c>
      <c r="D6707" s="4" t="n">
        <v>13</v>
      </c>
      <c r="E6707" s="8" t="s">
        <v>414</v>
      </c>
      <c r="F6707" s="7" t="s">
        <v>425</v>
      </c>
    </row>
    <row r="6708" customFormat="false" ht="15" hidden="false" customHeight="false" outlineLevel="0" collapsed="false">
      <c r="A6708" s="4" t="str">
        <f aca="false">B6708&amp;"|"&amp;C6708</f>
        <v>tdbR00001067 Ala-UGC|14</v>
      </c>
      <c r="B6708" s="4" t="s">
        <v>130</v>
      </c>
      <c r="C6708" s="4" t="s">
        <v>429</v>
      </c>
      <c r="D6708" s="4" t="n">
        <v>14</v>
      </c>
      <c r="E6708" s="19" t="s">
        <v>246</v>
      </c>
      <c r="F6708" s="20" t="s">
        <v>430</v>
      </c>
    </row>
    <row r="6709" customFormat="false" ht="15" hidden="false" customHeight="false" outlineLevel="0" collapsed="false">
      <c r="A6709" s="4" t="str">
        <f aca="false">B6709&amp;"|"&amp;C6709</f>
        <v>tdbR00001067 Ala-UGC|15</v>
      </c>
      <c r="B6709" s="4" t="s">
        <v>130</v>
      </c>
      <c r="C6709" s="4" t="s">
        <v>431</v>
      </c>
      <c r="D6709" s="4" t="n">
        <v>15</v>
      </c>
      <c r="E6709" s="19" t="s">
        <v>197</v>
      </c>
      <c r="F6709" s="20" t="s">
        <v>430</v>
      </c>
    </row>
    <row r="6710" customFormat="false" ht="15" hidden="false" customHeight="false" outlineLevel="0" collapsed="false">
      <c r="A6710" s="4" t="str">
        <f aca="false">B6710&amp;"|"&amp;C6710</f>
        <v>tdbR00001067 Ala-UGC|16</v>
      </c>
      <c r="B6710" s="4" t="s">
        <v>130</v>
      </c>
      <c r="C6710" s="4" t="s">
        <v>432</v>
      </c>
      <c r="D6710" s="4" t="n">
        <v>16</v>
      </c>
      <c r="E6710" s="19" t="s">
        <v>414</v>
      </c>
      <c r="F6710" s="20" t="s">
        <v>430</v>
      </c>
    </row>
    <row r="6711" customFormat="false" ht="15" hidden="false" customHeight="false" outlineLevel="0" collapsed="false">
      <c r="A6711" s="4" t="str">
        <f aca="false">B6711&amp;"|"&amp;C6711</f>
        <v>tdbR00001067 Ala-UGC|17</v>
      </c>
      <c r="B6711" s="4" t="s">
        <v>130</v>
      </c>
      <c r="C6711" s="4" t="s">
        <v>433</v>
      </c>
      <c r="D6711" s="4" t="n">
        <v>17</v>
      </c>
      <c r="E6711" s="19" t="s">
        <v>259</v>
      </c>
      <c r="F6711" s="20" t="s">
        <v>430</v>
      </c>
    </row>
    <row r="6712" customFormat="false" ht="15" hidden="false" customHeight="false" outlineLevel="0" collapsed="false">
      <c r="A6712" s="4" t="str">
        <f aca="false">B6712&amp;"|"&amp;C6712</f>
        <v>tdbR00001067 Ala-UGC|18</v>
      </c>
      <c r="B6712" s="4" t="s">
        <v>130</v>
      </c>
      <c r="C6712" s="4" t="s">
        <v>434</v>
      </c>
      <c r="D6712" s="4" t="n">
        <v>18</v>
      </c>
      <c r="E6712" s="19" t="s">
        <v>197</v>
      </c>
      <c r="F6712" s="20" t="s">
        <v>430</v>
      </c>
    </row>
    <row r="6713" customFormat="false" ht="15" hidden="false" customHeight="false" outlineLevel="0" collapsed="false">
      <c r="A6713" s="4" t="str">
        <f aca="false">B6713&amp;"|"&amp;C6713</f>
        <v>tdbR00001067 Ala-UGC|19</v>
      </c>
      <c r="B6713" s="4" t="s">
        <v>130</v>
      </c>
      <c r="C6713" s="4" t="s">
        <v>435</v>
      </c>
      <c r="D6713" s="4" t="n">
        <v>19</v>
      </c>
      <c r="E6713" s="19" t="s">
        <v>197</v>
      </c>
      <c r="F6713" s="20" t="s">
        <v>430</v>
      </c>
    </row>
    <row r="6714" customFormat="false" ht="15" hidden="false" customHeight="false" outlineLevel="0" collapsed="false">
      <c r="A6714" s="4" t="str">
        <f aca="false">B6714&amp;"|"&amp;C6714</f>
        <v>tdbR00001067 Ala-UGC|20</v>
      </c>
      <c r="B6714" s="4" t="s">
        <v>130</v>
      </c>
      <c r="C6714" s="4" t="s">
        <v>436</v>
      </c>
      <c r="D6714" s="4" t="n">
        <v>20</v>
      </c>
      <c r="E6714" s="19" t="s">
        <v>197</v>
      </c>
      <c r="F6714" s="20" t="s">
        <v>430</v>
      </c>
    </row>
    <row r="6715" customFormat="false" ht="15" hidden="false" customHeight="false" outlineLevel="0" collapsed="false">
      <c r="A6715" s="4" t="str">
        <f aca="false">B6715&amp;"|"&amp;C6715</f>
        <v>tdbR00001067 Ala-UGC|21</v>
      </c>
      <c r="B6715" s="4" t="s">
        <v>130</v>
      </c>
      <c r="C6715" s="4" t="s">
        <v>438</v>
      </c>
      <c r="D6715" s="4" t="n">
        <v>21</v>
      </c>
      <c r="E6715" s="19" t="s">
        <v>246</v>
      </c>
      <c r="F6715" s="20" t="s">
        <v>430</v>
      </c>
    </row>
    <row r="6716" customFormat="false" ht="15" hidden="false" customHeight="false" outlineLevel="0" collapsed="false">
      <c r="A6716" s="4" t="str">
        <f aca="false">B6716&amp;"|"&amp;C6716</f>
        <v>tdbR00001067 Ala-UGC|22</v>
      </c>
      <c r="B6716" s="4" t="s">
        <v>130</v>
      </c>
      <c r="C6716" s="4" t="s">
        <v>439</v>
      </c>
      <c r="D6716" s="4" t="n">
        <v>22</v>
      </c>
      <c r="E6716" s="8" t="s">
        <v>197</v>
      </c>
      <c r="F6716" s="7" t="s">
        <v>425</v>
      </c>
    </row>
    <row r="6717" customFormat="false" ht="15" hidden="false" customHeight="false" outlineLevel="0" collapsed="false">
      <c r="A6717" s="4" t="str">
        <f aca="false">B6717&amp;"|"&amp;C6717</f>
        <v>tdbR00001067 Ala-UGC|23</v>
      </c>
      <c r="B6717" s="4" t="s">
        <v>130</v>
      </c>
      <c r="C6717" s="4" t="s">
        <v>440</v>
      </c>
      <c r="D6717" s="4" t="n">
        <v>23</v>
      </c>
      <c r="E6717" s="8" t="s">
        <v>246</v>
      </c>
      <c r="F6717" s="7" t="s">
        <v>425</v>
      </c>
    </row>
    <row r="6718" customFormat="false" ht="15" hidden="false" customHeight="false" outlineLevel="0" collapsed="false">
      <c r="A6718" s="4" t="str">
        <f aca="false">B6718&amp;"|"&amp;C6718</f>
        <v>tdbR00001067 Ala-UGC|24</v>
      </c>
      <c r="B6718" s="4" t="s">
        <v>130</v>
      </c>
      <c r="C6718" s="4" t="s">
        <v>441</v>
      </c>
      <c r="D6718" s="4" t="n">
        <v>24</v>
      </c>
      <c r="E6718" s="8" t="s">
        <v>197</v>
      </c>
      <c r="F6718" s="7" t="s">
        <v>425</v>
      </c>
    </row>
    <row r="6719" customFormat="false" ht="15" hidden="false" customHeight="false" outlineLevel="0" collapsed="false">
      <c r="A6719" s="4" t="str">
        <f aca="false">B6719&amp;"|"&amp;C6719</f>
        <v>tdbR00001067 Ala-UGC|25</v>
      </c>
      <c r="B6719" s="4" t="s">
        <v>130</v>
      </c>
      <c r="C6719" s="4" t="s">
        <v>442</v>
      </c>
      <c r="D6719" s="4" t="n">
        <v>25</v>
      </c>
      <c r="E6719" s="8" t="s">
        <v>414</v>
      </c>
      <c r="F6719" s="7" t="s">
        <v>425</v>
      </c>
    </row>
    <row r="6720" customFormat="false" ht="15" hidden="false" customHeight="false" outlineLevel="0" collapsed="false">
      <c r="A6720" s="4" t="str">
        <f aca="false">B6720&amp;"|"&amp;C6720</f>
        <v>tdbR00001067 Ala-UGC|26</v>
      </c>
      <c r="B6720" s="4" t="s">
        <v>130</v>
      </c>
      <c r="C6720" s="4" t="s">
        <v>443</v>
      </c>
      <c r="D6720" s="4" t="n">
        <v>26</v>
      </c>
      <c r="E6720" s="3" t="s">
        <v>197</v>
      </c>
      <c r="F6720" s="4" t="s">
        <v>444</v>
      </c>
    </row>
    <row r="6721" customFormat="false" ht="15" hidden="false" customHeight="false" outlineLevel="0" collapsed="false">
      <c r="A6721" s="4" t="str">
        <f aca="false">B6721&amp;"|"&amp;C6721</f>
        <v>tdbR00001067 Ala-UGC|27</v>
      </c>
      <c r="B6721" s="4" t="s">
        <v>130</v>
      </c>
      <c r="C6721" s="4" t="s">
        <v>445</v>
      </c>
      <c r="D6721" s="4" t="n">
        <v>27</v>
      </c>
      <c r="E6721" s="21" t="s">
        <v>414</v>
      </c>
      <c r="F6721" s="22" t="s">
        <v>446</v>
      </c>
    </row>
    <row r="6722" customFormat="false" ht="15" hidden="false" customHeight="false" outlineLevel="0" collapsed="false">
      <c r="A6722" s="4" t="str">
        <f aca="false">B6722&amp;"|"&amp;C6722</f>
        <v>tdbR00001067 Ala-UGC|28</v>
      </c>
      <c r="B6722" s="4" t="s">
        <v>130</v>
      </c>
      <c r="C6722" s="4" t="s">
        <v>447</v>
      </c>
      <c r="D6722" s="4" t="n">
        <v>28</v>
      </c>
      <c r="E6722" s="21" t="s">
        <v>414</v>
      </c>
      <c r="F6722" s="22" t="s">
        <v>446</v>
      </c>
    </row>
    <row r="6723" customFormat="false" ht="15" hidden="false" customHeight="false" outlineLevel="0" collapsed="false">
      <c r="A6723" s="4" t="str">
        <f aca="false">B6723&amp;"|"&amp;C6723</f>
        <v>tdbR00001067 Ala-UGC|29</v>
      </c>
      <c r="B6723" s="4" t="s">
        <v>130</v>
      </c>
      <c r="C6723" s="4" t="s">
        <v>448</v>
      </c>
      <c r="D6723" s="4" t="n">
        <v>29</v>
      </c>
      <c r="E6723" s="21" t="s">
        <v>259</v>
      </c>
      <c r="F6723" s="22" t="s">
        <v>446</v>
      </c>
    </row>
    <row r="6724" customFormat="false" ht="15" hidden="false" customHeight="false" outlineLevel="0" collapsed="false">
      <c r="A6724" s="4" t="str">
        <f aca="false">B6724&amp;"|"&amp;C6724</f>
        <v>tdbR00001067 Ala-UGC|30</v>
      </c>
      <c r="B6724" s="4" t="s">
        <v>130</v>
      </c>
      <c r="C6724" s="4" t="s">
        <v>449</v>
      </c>
      <c r="D6724" s="4" t="n">
        <v>30</v>
      </c>
      <c r="E6724" s="21" t="s">
        <v>197</v>
      </c>
      <c r="F6724" s="22" t="s">
        <v>446</v>
      </c>
    </row>
    <row r="6725" customFormat="false" ht="15" hidden="false" customHeight="false" outlineLevel="0" collapsed="false">
      <c r="A6725" s="4" t="str">
        <f aca="false">B6725&amp;"|"&amp;C6725</f>
        <v>tdbR00001067 Ala-UGC|31</v>
      </c>
      <c r="B6725" s="4" t="s">
        <v>130</v>
      </c>
      <c r="C6725" s="4" t="s">
        <v>450</v>
      </c>
      <c r="D6725" s="4" t="n">
        <v>31</v>
      </c>
      <c r="E6725" s="21" t="s">
        <v>414</v>
      </c>
      <c r="F6725" s="22" t="s">
        <v>446</v>
      </c>
    </row>
    <row r="6726" customFormat="false" ht="15" hidden="false" customHeight="false" outlineLevel="0" collapsed="false">
      <c r="A6726" s="4" t="str">
        <f aca="false">B6726&amp;"|"&amp;C6726</f>
        <v>tdbR00001067 Ala-UGC|32</v>
      </c>
      <c r="B6726" s="4" t="s">
        <v>130</v>
      </c>
      <c r="C6726" s="4" t="s">
        <v>451</v>
      </c>
      <c r="D6726" s="4" t="n">
        <v>32</v>
      </c>
      <c r="E6726" s="19" t="s">
        <v>259</v>
      </c>
      <c r="F6726" s="20" t="s">
        <v>452</v>
      </c>
    </row>
    <row r="6727" customFormat="false" ht="15" hidden="false" customHeight="false" outlineLevel="0" collapsed="false">
      <c r="A6727" s="4" t="str">
        <f aca="false">B6727&amp;"|"&amp;C6727</f>
        <v>tdbR00001067 Ala-UGC|33</v>
      </c>
      <c r="B6727" s="4" t="s">
        <v>130</v>
      </c>
      <c r="C6727" s="4" t="s">
        <v>453</v>
      </c>
      <c r="D6727" s="4" t="n">
        <v>33</v>
      </c>
      <c r="E6727" s="19" t="s">
        <v>259</v>
      </c>
      <c r="F6727" s="20" t="s">
        <v>452</v>
      </c>
    </row>
    <row r="6728" customFormat="false" ht="15" hidden="false" customHeight="false" outlineLevel="0" collapsed="false">
      <c r="A6728" s="4" t="str">
        <f aca="false">B6728&amp;"|"&amp;C6728</f>
        <v>tdbR00001067 Ala-UGC|34</v>
      </c>
      <c r="B6728" s="4" t="s">
        <v>130</v>
      </c>
      <c r="C6728" s="4" t="s">
        <v>454</v>
      </c>
      <c r="D6728" s="4" t="n">
        <v>34</v>
      </c>
      <c r="E6728" s="19" t="s">
        <v>259</v>
      </c>
      <c r="F6728" s="20" t="s">
        <v>452</v>
      </c>
    </row>
    <row r="6729" customFormat="false" ht="15" hidden="false" customHeight="false" outlineLevel="0" collapsed="false">
      <c r="A6729" s="4" t="str">
        <f aca="false">B6729&amp;"|"&amp;C6729</f>
        <v>tdbR00001067 Ala-UGC|35</v>
      </c>
      <c r="B6729" s="4" t="s">
        <v>130</v>
      </c>
      <c r="C6729" s="4" t="s">
        <v>455</v>
      </c>
      <c r="D6729" s="4" t="n">
        <v>35</v>
      </c>
      <c r="E6729" s="19" t="s">
        <v>197</v>
      </c>
      <c r="F6729" s="20" t="s">
        <v>452</v>
      </c>
    </row>
    <row r="6730" customFormat="false" ht="15" hidden="false" customHeight="false" outlineLevel="0" collapsed="false">
      <c r="A6730" s="4" t="str">
        <f aca="false">B6730&amp;"|"&amp;C6730</f>
        <v>tdbR00001067 Ala-UGC|36</v>
      </c>
      <c r="B6730" s="4" t="s">
        <v>130</v>
      </c>
      <c r="C6730" s="4" t="s">
        <v>456</v>
      </c>
      <c r="D6730" s="4" t="n">
        <v>36</v>
      </c>
      <c r="E6730" s="19" t="s">
        <v>414</v>
      </c>
      <c r="F6730" s="20" t="s">
        <v>452</v>
      </c>
    </row>
    <row r="6731" customFormat="false" ht="15" hidden="false" customHeight="false" outlineLevel="0" collapsed="false">
      <c r="A6731" s="4" t="str">
        <f aca="false">B6731&amp;"|"&amp;C6731</f>
        <v>tdbR00001067 Ala-UGC|37</v>
      </c>
      <c r="B6731" s="4" t="s">
        <v>130</v>
      </c>
      <c r="C6731" s="4" t="s">
        <v>457</v>
      </c>
      <c r="D6731" s="4" t="n">
        <v>37</v>
      </c>
      <c r="E6731" s="19" t="s">
        <v>246</v>
      </c>
      <c r="F6731" s="20" t="s">
        <v>452</v>
      </c>
    </row>
    <row r="6732" customFormat="false" ht="15" hidden="false" customHeight="false" outlineLevel="0" collapsed="false">
      <c r="A6732" s="4" t="str">
        <f aca="false">B6732&amp;"|"&amp;C6732</f>
        <v>tdbR00001067 Ala-UGC|38</v>
      </c>
      <c r="B6732" s="4" t="s">
        <v>130</v>
      </c>
      <c r="C6732" s="4" t="s">
        <v>458</v>
      </c>
      <c r="D6732" s="4" t="n">
        <v>38</v>
      </c>
      <c r="E6732" s="19" t="s">
        <v>414</v>
      </c>
      <c r="F6732" s="20" t="s">
        <v>452</v>
      </c>
    </row>
    <row r="6733" customFormat="false" ht="15" hidden="false" customHeight="false" outlineLevel="0" collapsed="false">
      <c r="A6733" s="4" t="str">
        <f aca="false">B6733&amp;"|"&amp;C6733</f>
        <v>tdbR00001067 Ala-UGC|39</v>
      </c>
      <c r="B6733" s="4" t="s">
        <v>130</v>
      </c>
      <c r="C6733" s="4" t="s">
        <v>459</v>
      </c>
      <c r="D6733" s="4" t="n">
        <v>39</v>
      </c>
      <c r="E6733" s="21" t="s">
        <v>197</v>
      </c>
      <c r="F6733" s="22" t="s">
        <v>446</v>
      </c>
    </row>
    <row r="6734" customFormat="false" ht="15" hidden="false" customHeight="false" outlineLevel="0" collapsed="false">
      <c r="A6734" s="4" t="str">
        <f aca="false">B6734&amp;"|"&amp;C6734</f>
        <v>tdbR00001067 Ala-UGC|40</v>
      </c>
      <c r="B6734" s="4" t="s">
        <v>130</v>
      </c>
      <c r="C6734" s="4" t="s">
        <v>460</v>
      </c>
      <c r="D6734" s="4" t="n">
        <v>40</v>
      </c>
      <c r="E6734" s="21" t="s">
        <v>414</v>
      </c>
      <c r="F6734" s="22" t="s">
        <v>446</v>
      </c>
    </row>
    <row r="6735" customFormat="false" ht="15" hidden="false" customHeight="false" outlineLevel="0" collapsed="false">
      <c r="A6735" s="4" t="str">
        <f aca="false">B6735&amp;"|"&amp;C6735</f>
        <v>tdbR00001067 Ala-UGC|41</v>
      </c>
      <c r="B6735" s="4" t="s">
        <v>130</v>
      </c>
      <c r="C6735" s="4" t="s">
        <v>461</v>
      </c>
      <c r="D6735" s="4" t="n">
        <v>41</v>
      </c>
      <c r="E6735" s="21" t="s">
        <v>246</v>
      </c>
      <c r="F6735" s="22" t="s">
        <v>446</v>
      </c>
    </row>
    <row r="6736" customFormat="false" ht="15" hidden="false" customHeight="false" outlineLevel="0" collapsed="false">
      <c r="A6736" s="4" t="str">
        <f aca="false">B6736&amp;"|"&amp;C6736</f>
        <v>tdbR00001067 Ala-UGC|42</v>
      </c>
      <c r="B6736" s="4" t="s">
        <v>130</v>
      </c>
      <c r="C6736" s="4" t="s">
        <v>462</v>
      </c>
      <c r="D6736" s="4" t="n">
        <v>42</v>
      </c>
      <c r="E6736" s="21" t="s">
        <v>197</v>
      </c>
      <c r="F6736" s="22" t="s">
        <v>446</v>
      </c>
    </row>
    <row r="6737" customFormat="false" ht="15" hidden="false" customHeight="false" outlineLevel="0" collapsed="false">
      <c r="A6737" s="4" t="str">
        <f aca="false">B6737&amp;"|"&amp;C6737</f>
        <v>tdbR00001067 Ala-UGC|43</v>
      </c>
      <c r="B6737" s="4" t="s">
        <v>130</v>
      </c>
      <c r="C6737" s="4" t="s">
        <v>463</v>
      </c>
      <c r="D6737" s="4" t="n">
        <v>43</v>
      </c>
      <c r="E6737" s="21" t="s">
        <v>197</v>
      </c>
      <c r="F6737" s="22" t="s">
        <v>446</v>
      </c>
    </row>
    <row r="6738" customFormat="false" ht="15" hidden="false" customHeight="false" outlineLevel="0" collapsed="false">
      <c r="A6738" s="4" t="str">
        <f aca="false">B6738&amp;"|"&amp;C6738</f>
        <v>tdbR00001067 Ala-UGC|44</v>
      </c>
      <c r="B6738" s="4" t="s">
        <v>130</v>
      </c>
      <c r="C6738" s="4" t="s">
        <v>464</v>
      </c>
      <c r="D6738" s="4" t="n">
        <v>44</v>
      </c>
      <c r="E6738" s="19" t="s">
        <v>246</v>
      </c>
      <c r="F6738" s="20" t="s">
        <v>465</v>
      </c>
    </row>
    <row r="6739" customFormat="false" ht="15" hidden="false" customHeight="false" outlineLevel="0" collapsed="false">
      <c r="A6739" s="4" t="str">
        <f aca="false">B6739&amp;"|"&amp;C6739</f>
        <v>tdbR00001067 Ala-UGC|45</v>
      </c>
      <c r="B6739" s="4" t="s">
        <v>130</v>
      </c>
      <c r="C6739" s="4" t="s">
        <v>466</v>
      </c>
      <c r="D6739" s="4" t="n">
        <v>45</v>
      </c>
      <c r="E6739" s="19" t="s">
        <v>197</v>
      </c>
      <c r="F6739" s="20" t="s">
        <v>465</v>
      </c>
    </row>
    <row r="6740" customFormat="false" ht="15" hidden="false" customHeight="false" outlineLevel="0" collapsed="false">
      <c r="A6740" s="4" t="str">
        <f aca="false">B6740&amp;"|"&amp;C6740</f>
        <v>tdbR00001067 Ala-UGC|46</v>
      </c>
      <c r="B6740" s="4" t="s">
        <v>130</v>
      </c>
      <c r="C6740" s="4" t="s">
        <v>467</v>
      </c>
      <c r="D6740" s="4" t="n">
        <v>46</v>
      </c>
      <c r="E6740" s="19" t="s">
        <v>197</v>
      </c>
      <c r="F6740" s="20" t="s">
        <v>465</v>
      </c>
    </row>
    <row r="6741" customFormat="false" ht="15" hidden="false" customHeight="false" outlineLevel="0" collapsed="false">
      <c r="A6741" s="4" t="str">
        <f aca="false">B6741&amp;"|"&amp;C6741</f>
        <v>tdbR00001067 Ala-UGC|47</v>
      </c>
      <c r="B6741" s="4" t="s">
        <v>130</v>
      </c>
      <c r="C6741" s="4" t="s">
        <v>468</v>
      </c>
      <c r="D6741" s="4" t="n">
        <v>47</v>
      </c>
      <c r="E6741" s="19" t="s">
        <v>259</v>
      </c>
      <c r="F6741" s="20" t="s">
        <v>465</v>
      </c>
    </row>
    <row r="6742" customFormat="false" ht="15" hidden="false" customHeight="false" outlineLevel="0" collapsed="false">
      <c r="A6742" s="4" t="str">
        <f aca="false">B6742&amp;"|"&amp;C6742</f>
        <v>tdbR00001067 Ala-UGC|48</v>
      </c>
      <c r="B6742" s="4" t="s">
        <v>130</v>
      </c>
      <c r="C6742" s="4" t="s">
        <v>469</v>
      </c>
      <c r="D6742" s="4" t="n">
        <v>48</v>
      </c>
      <c r="E6742" s="19" t="s">
        <v>414</v>
      </c>
      <c r="F6742" s="20" t="s">
        <v>465</v>
      </c>
    </row>
    <row r="6743" customFormat="false" ht="15" hidden="false" customHeight="false" outlineLevel="0" collapsed="false">
      <c r="A6743" s="4" t="str">
        <f aca="false">B6743&amp;"|"&amp;C6743</f>
        <v>tdbR00001067 Ala-UGC|49</v>
      </c>
      <c r="B6743" s="4" t="s">
        <v>130</v>
      </c>
      <c r="C6743" s="4" t="s">
        <v>470</v>
      </c>
      <c r="D6743" s="4" t="n">
        <v>49</v>
      </c>
      <c r="E6743" s="23" t="s">
        <v>259</v>
      </c>
      <c r="F6743" s="10" t="s">
        <v>471</v>
      </c>
    </row>
    <row r="6744" customFormat="false" ht="15" hidden="false" customHeight="false" outlineLevel="0" collapsed="false">
      <c r="A6744" s="4" t="str">
        <f aca="false">B6744&amp;"|"&amp;C6744</f>
        <v>tdbR00001067 Ala-UGC|50</v>
      </c>
      <c r="B6744" s="4" t="s">
        <v>130</v>
      </c>
      <c r="C6744" s="4" t="s">
        <v>472</v>
      </c>
      <c r="D6744" s="4" t="n">
        <v>50</v>
      </c>
      <c r="E6744" s="23" t="s">
        <v>197</v>
      </c>
      <c r="F6744" s="10" t="s">
        <v>471</v>
      </c>
    </row>
    <row r="6745" customFormat="false" ht="15" hidden="false" customHeight="false" outlineLevel="0" collapsed="false">
      <c r="A6745" s="4" t="str">
        <f aca="false">B6745&amp;"|"&amp;C6745</f>
        <v>tdbR00001067 Ala-UGC|51</v>
      </c>
      <c r="B6745" s="4" t="s">
        <v>130</v>
      </c>
      <c r="C6745" s="4" t="s">
        <v>473</v>
      </c>
      <c r="D6745" s="4" t="n">
        <v>51</v>
      </c>
      <c r="E6745" s="23" t="s">
        <v>414</v>
      </c>
      <c r="F6745" s="10" t="s">
        <v>471</v>
      </c>
    </row>
    <row r="6746" customFormat="false" ht="15" hidden="false" customHeight="false" outlineLevel="0" collapsed="false">
      <c r="A6746" s="4" t="str">
        <f aca="false">B6746&amp;"|"&amp;C6746</f>
        <v>tdbR00001067 Ala-UGC|52</v>
      </c>
      <c r="B6746" s="4" t="s">
        <v>130</v>
      </c>
      <c r="C6746" s="4" t="s">
        <v>474</v>
      </c>
      <c r="D6746" s="4" t="n">
        <v>52</v>
      </c>
      <c r="E6746" s="23" t="s">
        <v>197</v>
      </c>
      <c r="F6746" s="10" t="s">
        <v>471</v>
      </c>
    </row>
    <row r="6747" customFormat="false" ht="15" hidden="false" customHeight="false" outlineLevel="0" collapsed="false">
      <c r="A6747" s="4" t="str">
        <f aca="false">B6747&amp;"|"&amp;C6747</f>
        <v>tdbR00001067 Ala-UGC|53</v>
      </c>
      <c r="B6747" s="4" t="s">
        <v>130</v>
      </c>
      <c r="C6747" s="4" t="s">
        <v>475</v>
      </c>
      <c r="D6747" s="4" t="n">
        <v>53</v>
      </c>
      <c r="E6747" s="23" t="s">
        <v>197</v>
      </c>
      <c r="F6747" s="10" t="s">
        <v>471</v>
      </c>
    </row>
    <row r="6748" customFormat="false" ht="15" hidden="false" customHeight="false" outlineLevel="0" collapsed="false">
      <c r="A6748" s="4" t="str">
        <f aca="false">B6748&amp;"|"&amp;C6748</f>
        <v>tdbR00001067 Ala-UGC|54</v>
      </c>
      <c r="B6748" s="4" t="s">
        <v>130</v>
      </c>
      <c r="C6748" s="4" t="s">
        <v>476</v>
      </c>
      <c r="D6748" s="4" t="n">
        <v>54</v>
      </c>
      <c r="E6748" s="19" t="s">
        <v>259</v>
      </c>
      <c r="F6748" s="20" t="s">
        <v>477</v>
      </c>
    </row>
    <row r="6749" customFormat="false" ht="15" hidden="false" customHeight="false" outlineLevel="0" collapsed="false">
      <c r="A6749" s="4" t="str">
        <f aca="false">B6749&amp;"|"&amp;C6749</f>
        <v>tdbR00001067 Ala-UGC|55</v>
      </c>
      <c r="B6749" s="4" t="s">
        <v>130</v>
      </c>
      <c r="C6749" s="4" t="s">
        <v>478</v>
      </c>
      <c r="D6749" s="4" t="n">
        <v>55</v>
      </c>
      <c r="E6749" s="19" t="s">
        <v>259</v>
      </c>
      <c r="F6749" s="20" t="s">
        <v>477</v>
      </c>
    </row>
    <row r="6750" customFormat="false" ht="15" hidden="false" customHeight="false" outlineLevel="0" collapsed="false">
      <c r="A6750" s="4" t="str">
        <f aca="false">B6750&amp;"|"&amp;C6750</f>
        <v>tdbR00001067 Ala-UGC|56</v>
      </c>
      <c r="B6750" s="4" t="s">
        <v>130</v>
      </c>
      <c r="C6750" s="4" t="s">
        <v>479</v>
      </c>
      <c r="D6750" s="4" t="n">
        <v>56</v>
      </c>
      <c r="E6750" s="19" t="s">
        <v>414</v>
      </c>
      <c r="F6750" s="20" t="s">
        <v>477</v>
      </c>
    </row>
    <row r="6751" customFormat="false" ht="15" hidden="false" customHeight="false" outlineLevel="0" collapsed="false">
      <c r="A6751" s="4" t="str">
        <f aca="false">B6751&amp;"|"&amp;C6751</f>
        <v>tdbR00001067 Ala-UGC|57</v>
      </c>
      <c r="B6751" s="4" t="s">
        <v>130</v>
      </c>
      <c r="C6751" s="4" t="s">
        <v>480</v>
      </c>
      <c r="D6751" s="4" t="n">
        <v>57</v>
      </c>
      <c r="E6751" s="19" t="s">
        <v>197</v>
      </c>
      <c r="F6751" s="20" t="s">
        <v>477</v>
      </c>
    </row>
    <row r="6752" customFormat="false" ht="15" hidden="false" customHeight="false" outlineLevel="0" collapsed="false">
      <c r="A6752" s="4" t="str">
        <f aca="false">B6752&amp;"|"&amp;C6752</f>
        <v>tdbR00001067 Ala-UGC|58</v>
      </c>
      <c r="B6752" s="4" t="s">
        <v>130</v>
      </c>
      <c r="C6752" s="4" t="s">
        <v>481</v>
      </c>
      <c r="D6752" s="4" t="n">
        <v>58</v>
      </c>
      <c r="E6752" s="19" t="s">
        <v>246</v>
      </c>
      <c r="F6752" s="20" t="s">
        <v>477</v>
      </c>
    </row>
    <row r="6753" customFormat="false" ht="15" hidden="false" customHeight="false" outlineLevel="0" collapsed="false">
      <c r="A6753" s="4" t="str">
        <f aca="false">B6753&amp;"|"&amp;C6753</f>
        <v>tdbR00001067 Ala-UGC|59</v>
      </c>
      <c r="B6753" s="4" t="s">
        <v>130</v>
      </c>
      <c r="C6753" s="4" t="s">
        <v>482</v>
      </c>
      <c r="D6753" s="4" t="n">
        <v>59</v>
      </c>
      <c r="E6753" s="19" t="s">
        <v>259</v>
      </c>
      <c r="F6753" s="20" t="s">
        <v>477</v>
      </c>
    </row>
    <row r="6754" customFormat="false" ht="15" hidden="false" customHeight="false" outlineLevel="0" collapsed="false">
      <c r="A6754" s="4" t="str">
        <f aca="false">B6754&amp;"|"&amp;C6754</f>
        <v>tdbR00001067 Ala-UGC|60</v>
      </c>
      <c r="B6754" s="4" t="s">
        <v>130</v>
      </c>
      <c r="C6754" s="4" t="s">
        <v>483</v>
      </c>
      <c r="D6754" s="4" t="n">
        <v>60</v>
      </c>
      <c r="E6754" s="19" t="s">
        <v>414</v>
      </c>
      <c r="F6754" s="20" t="s">
        <v>477</v>
      </c>
    </row>
    <row r="6755" customFormat="false" ht="15" hidden="false" customHeight="false" outlineLevel="0" collapsed="false">
      <c r="A6755" s="4" t="str">
        <f aca="false">B6755&amp;"|"&amp;C6755</f>
        <v>tdbR00001067 Ala-UGC|61</v>
      </c>
      <c r="B6755" s="4" t="s">
        <v>130</v>
      </c>
      <c r="C6755" s="4" t="s">
        <v>484</v>
      </c>
      <c r="D6755" s="4" t="n">
        <v>61</v>
      </c>
      <c r="E6755" s="23" t="s">
        <v>414</v>
      </c>
      <c r="F6755" s="10" t="s">
        <v>471</v>
      </c>
    </row>
    <row r="6756" customFormat="false" ht="15" hidden="false" customHeight="false" outlineLevel="0" collapsed="false">
      <c r="A6756" s="4" t="str">
        <f aca="false">B6756&amp;"|"&amp;C6756</f>
        <v>tdbR00001067 Ala-UGC|62</v>
      </c>
      <c r="B6756" s="4" t="s">
        <v>130</v>
      </c>
      <c r="C6756" s="4" t="s">
        <v>485</v>
      </c>
      <c r="D6756" s="4" t="n">
        <v>62</v>
      </c>
      <c r="E6756" s="23" t="s">
        <v>414</v>
      </c>
      <c r="F6756" s="10" t="s">
        <v>471</v>
      </c>
    </row>
    <row r="6757" customFormat="false" ht="15" hidden="false" customHeight="false" outlineLevel="0" collapsed="false">
      <c r="A6757" s="4" t="str">
        <f aca="false">B6757&amp;"|"&amp;C6757</f>
        <v>tdbR00001067 Ala-UGC|63</v>
      </c>
      <c r="B6757" s="4" t="s">
        <v>130</v>
      </c>
      <c r="C6757" s="4" t="s">
        <v>486</v>
      </c>
      <c r="D6757" s="4" t="n">
        <v>63</v>
      </c>
      <c r="E6757" s="23" t="s">
        <v>197</v>
      </c>
      <c r="F6757" s="10" t="s">
        <v>471</v>
      </c>
    </row>
    <row r="6758" customFormat="false" ht="15" hidden="false" customHeight="false" outlineLevel="0" collapsed="false">
      <c r="A6758" s="4" t="str">
        <f aca="false">B6758&amp;"|"&amp;C6758</f>
        <v>tdbR00001067 Ala-UGC|64</v>
      </c>
      <c r="B6758" s="4" t="s">
        <v>130</v>
      </c>
      <c r="C6758" s="4" t="s">
        <v>487</v>
      </c>
      <c r="D6758" s="4" t="n">
        <v>64</v>
      </c>
      <c r="E6758" s="23" t="s">
        <v>414</v>
      </c>
      <c r="F6758" s="10" t="s">
        <v>471</v>
      </c>
    </row>
    <row r="6759" customFormat="false" ht="15" hidden="false" customHeight="false" outlineLevel="0" collapsed="false">
      <c r="A6759" s="4" t="str">
        <f aca="false">B6759&amp;"|"&amp;C6759</f>
        <v>tdbR00001067 Ala-UGC|65</v>
      </c>
      <c r="B6759" s="4" t="s">
        <v>130</v>
      </c>
      <c r="C6759" s="4" t="s">
        <v>488</v>
      </c>
      <c r="D6759" s="4" t="n">
        <v>65</v>
      </c>
      <c r="E6759" s="23" t="s">
        <v>246</v>
      </c>
      <c r="F6759" s="10" t="s">
        <v>471</v>
      </c>
    </row>
    <row r="6760" customFormat="false" ht="15" hidden="false" customHeight="false" outlineLevel="0" collapsed="false">
      <c r="A6760" s="4" t="str">
        <f aca="false">B6760&amp;"|"&amp;C6760</f>
        <v>tdbR00001067 Ala-UGC|66</v>
      </c>
      <c r="B6760" s="4" t="s">
        <v>130</v>
      </c>
      <c r="C6760" s="4" t="s">
        <v>489</v>
      </c>
      <c r="D6760" s="4" t="n">
        <v>66</v>
      </c>
      <c r="E6760" s="17" t="s">
        <v>259</v>
      </c>
      <c r="F6760" s="18" t="s">
        <v>412</v>
      </c>
    </row>
    <row r="6761" customFormat="false" ht="15" hidden="false" customHeight="false" outlineLevel="0" collapsed="false">
      <c r="A6761" s="4" t="str">
        <f aca="false">B6761&amp;"|"&amp;C6761</f>
        <v>tdbR00001067 Ala-UGC|67</v>
      </c>
      <c r="B6761" s="4" t="s">
        <v>130</v>
      </c>
      <c r="C6761" s="4" t="s">
        <v>490</v>
      </c>
      <c r="D6761" s="4" t="n">
        <v>67</v>
      </c>
      <c r="E6761" s="17" t="s">
        <v>246</v>
      </c>
      <c r="F6761" s="18" t="s">
        <v>412</v>
      </c>
    </row>
    <row r="6762" customFormat="false" ht="15" hidden="false" customHeight="false" outlineLevel="0" collapsed="false">
      <c r="A6762" s="4" t="str">
        <f aca="false">B6762&amp;"|"&amp;C6762</f>
        <v>tdbR00001067 Ala-UGC|68</v>
      </c>
      <c r="B6762" s="4" t="s">
        <v>130</v>
      </c>
      <c r="C6762" s="4" t="s">
        <v>491</v>
      </c>
      <c r="D6762" s="4" t="n">
        <v>68</v>
      </c>
      <c r="E6762" s="17" t="s">
        <v>197</v>
      </c>
      <c r="F6762" s="18" t="s">
        <v>412</v>
      </c>
    </row>
    <row r="6763" customFormat="false" ht="15" hidden="false" customHeight="false" outlineLevel="0" collapsed="false">
      <c r="A6763" s="4" t="str">
        <f aca="false">B6763&amp;"|"&amp;C6763</f>
        <v>tdbR00001067 Ala-UGC|69</v>
      </c>
      <c r="B6763" s="4" t="s">
        <v>130</v>
      </c>
      <c r="C6763" s="4" t="s">
        <v>492</v>
      </c>
      <c r="D6763" s="4" t="n">
        <v>69</v>
      </c>
      <c r="E6763" s="17" t="s">
        <v>414</v>
      </c>
      <c r="F6763" s="18" t="s">
        <v>412</v>
      </c>
    </row>
    <row r="6764" customFormat="false" ht="15" hidden="false" customHeight="false" outlineLevel="0" collapsed="false">
      <c r="A6764" s="4" t="str">
        <f aca="false">B6764&amp;"|"&amp;C6764</f>
        <v>tdbR00001067 Ala-UGC|70</v>
      </c>
      <c r="B6764" s="4" t="s">
        <v>130</v>
      </c>
      <c r="C6764" s="4" t="s">
        <v>493</v>
      </c>
      <c r="D6764" s="4" t="n">
        <v>70</v>
      </c>
      <c r="E6764" s="17" t="s">
        <v>259</v>
      </c>
      <c r="F6764" s="18" t="s">
        <v>412</v>
      </c>
    </row>
    <row r="6765" customFormat="false" ht="15" hidden="false" customHeight="false" outlineLevel="0" collapsed="false">
      <c r="A6765" s="4" t="str">
        <f aca="false">B6765&amp;"|"&amp;C6765</f>
        <v>tdbR00001067 Ala-UGC|71</v>
      </c>
      <c r="B6765" s="4" t="s">
        <v>130</v>
      </c>
      <c r="C6765" s="4" t="s">
        <v>494</v>
      </c>
      <c r="D6765" s="4" t="n">
        <v>71</v>
      </c>
      <c r="E6765" s="17" t="s">
        <v>414</v>
      </c>
      <c r="F6765" s="18" t="s">
        <v>412</v>
      </c>
    </row>
    <row r="6766" customFormat="false" ht="15" hidden="false" customHeight="false" outlineLevel="0" collapsed="false">
      <c r="A6766" s="4" t="str">
        <f aca="false">B6766&amp;"|"&amp;C6766</f>
        <v>tdbR00001067 Ala-UGC|72</v>
      </c>
      <c r="B6766" s="4" t="s">
        <v>130</v>
      </c>
      <c r="C6766" s="4" t="s">
        <v>495</v>
      </c>
      <c r="D6766" s="4" t="n">
        <v>72</v>
      </c>
      <c r="E6766" s="17" t="s">
        <v>414</v>
      </c>
      <c r="F6766" s="18" t="s">
        <v>412</v>
      </c>
    </row>
    <row r="6767" customFormat="false" ht="15" hidden="false" customHeight="false" outlineLevel="0" collapsed="false">
      <c r="A6767" s="4" t="str">
        <f aca="false">B6767&amp;"|"&amp;C6767</f>
        <v>tdbR00001091 Met-CAU|1</v>
      </c>
      <c r="B6767" s="4" t="s">
        <v>131</v>
      </c>
      <c r="C6767" s="4" t="s">
        <v>411</v>
      </c>
      <c r="D6767" s="4" t="n">
        <v>1</v>
      </c>
      <c r="E6767" s="17" t="s">
        <v>414</v>
      </c>
      <c r="F6767" s="18" t="s">
        <v>412</v>
      </c>
    </row>
    <row r="6768" customFormat="false" ht="15" hidden="false" customHeight="false" outlineLevel="0" collapsed="false">
      <c r="A6768" s="4" t="str">
        <f aca="false">B6768&amp;"|"&amp;C6768</f>
        <v>tdbR00001091 Met-CAU|2</v>
      </c>
      <c r="B6768" s="4" t="s">
        <v>131</v>
      </c>
      <c r="C6768" s="4" t="s">
        <v>413</v>
      </c>
      <c r="D6768" s="4" t="n">
        <v>2</v>
      </c>
      <c r="E6768" s="17" t="s">
        <v>197</v>
      </c>
      <c r="F6768" s="18" t="s">
        <v>412</v>
      </c>
    </row>
    <row r="6769" customFormat="false" ht="15" hidden="false" customHeight="false" outlineLevel="0" collapsed="false">
      <c r="A6769" s="4" t="str">
        <f aca="false">B6769&amp;"|"&amp;C6769</f>
        <v>tdbR00001091 Met-CAU|3</v>
      </c>
      <c r="B6769" s="4" t="s">
        <v>131</v>
      </c>
      <c r="C6769" s="4" t="s">
        <v>415</v>
      </c>
      <c r="D6769" s="4" t="n">
        <v>3</v>
      </c>
      <c r="E6769" s="17" t="s">
        <v>414</v>
      </c>
      <c r="F6769" s="18" t="s">
        <v>412</v>
      </c>
    </row>
    <row r="6770" customFormat="false" ht="15" hidden="false" customHeight="false" outlineLevel="0" collapsed="false">
      <c r="A6770" s="4" t="str">
        <f aca="false">B6770&amp;"|"&amp;C6770</f>
        <v>tdbR00001091 Met-CAU|4</v>
      </c>
      <c r="B6770" s="4" t="s">
        <v>131</v>
      </c>
      <c r="C6770" s="4" t="s">
        <v>416</v>
      </c>
      <c r="D6770" s="4" t="n">
        <v>4</v>
      </c>
      <c r="E6770" s="17" t="s">
        <v>197</v>
      </c>
      <c r="F6770" s="18" t="s">
        <v>412</v>
      </c>
    </row>
    <row r="6771" customFormat="false" ht="15" hidden="false" customHeight="false" outlineLevel="0" collapsed="false">
      <c r="A6771" s="4" t="str">
        <f aca="false">B6771&amp;"|"&amp;C6771</f>
        <v>tdbR00001091 Met-CAU|5</v>
      </c>
      <c r="B6771" s="4" t="s">
        <v>131</v>
      </c>
      <c r="C6771" s="4" t="s">
        <v>417</v>
      </c>
      <c r="D6771" s="4" t="n">
        <v>5</v>
      </c>
      <c r="E6771" s="17" t="s">
        <v>197</v>
      </c>
      <c r="F6771" s="18" t="s">
        <v>412</v>
      </c>
    </row>
    <row r="6772" customFormat="false" ht="15" hidden="false" customHeight="false" outlineLevel="0" collapsed="false">
      <c r="A6772" s="4" t="str">
        <f aca="false">B6772&amp;"|"&amp;C6772</f>
        <v>tdbR00001091 Met-CAU|6</v>
      </c>
      <c r="B6772" s="4" t="s">
        <v>131</v>
      </c>
      <c r="C6772" s="4" t="s">
        <v>418</v>
      </c>
      <c r="D6772" s="4" t="n">
        <v>6</v>
      </c>
      <c r="E6772" s="17" t="s">
        <v>197</v>
      </c>
      <c r="F6772" s="18" t="s">
        <v>412</v>
      </c>
    </row>
    <row r="6773" customFormat="false" ht="15" hidden="false" customHeight="false" outlineLevel="0" collapsed="false">
      <c r="A6773" s="4" t="str">
        <f aca="false">B6773&amp;"|"&amp;C6773</f>
        <v>tdbR00001091 Met-CAU|7</v>
      </c>
      <c r="B6773" s="4" t="s">
        <v>131</v>
      </c>
      <c r="C6773" s="4" t="s">
        <v>419</v>
      </c>
      <c r="D6773" s="4" t="n">
        <v>7</v>
      </c>
      <c r="E6773" s="17" t="s">
        <v>197</v>
      </c>
      <c r="F6773" s="18" t="s">
        <v>412</v>
      </c>
    </row>
    <row r="6774" customFormat="false" ht="15" hidden="false" customHeight="false" outlineLevel="0" collapsed="false">
      <c r="A6774" s="4" t="str">
        <f aca="false">B6774&amp;"|"&amp;C6774</f>
        <v>tdbR00001091 Met-CAU|8</v>
      </c>
      <c r="B6774" s="4" t="s">
        <v>131</v>
      </c>
      <c r="C6774" s="4" t="s">
        <v>420</v>
      </c>
      <c r="D6774" s="4" t="n">
        <v>8</v>
      </c>
      <c r="E6774" s="3" t="s">
        <v>259</v>
      </c>
      <c r="F6774" s="4" t="s">
        <v>421</v>
      </c>
    </row>
    <row r="6775" customFormat="false" ht="15" hidden="false" customHeight="false" outlineLevel="0" collapsed="false">
      <c r="A6775" s="4" t="str">
        <f aca="false">B6775&amp;"|"&amp;C6775</f>
        <v>tdbR00001091 Met-CAU|9</v>
      </c>
      <c r="B6775" s="4" t="s">
        <v>131</v>
      </c>
      <c r="C6775" s="4" t="s">
        <v>422</v>
      </c>
      <c r="D6775" s="4" t="n">
        <v>9</v>
      </c>
      <c r="E6775" s="3" t="s">
        <v>197</v>
      </c>
      <c r="F6775" s="4" t="s">
        <v>423</v>
      </c>
    </row>
    <row r="6776" customFormat="false" ht="15" hidden="false" customHeight="false" outlineLevel="0" collapsed="false">
      <c r="A6776" s="4" t="str">
        <f aca="false">B6776&amp;"|"&amp;C6776</f>
        <v>tdbR00001091 Met-CAU|10</v>
      </c>
      <c r="B6776" s="4" t="s">
        <v>131</v>
      </c>
      <c r="C6776" s="4" t="s">
        <v>424</v>
      </c>
      <c r="D6776" s="4" t="n">
        <v>10</v>
      </c>
      <c r="E6776" s="8" t="s">
        <v>197</v>
      </c>
      <c r="F6776" s="7" t="s">
        <v>425</v>
      </c>
    </row>
    <row r="6777" customFormat="false" ht="15" hidden="false" customHeight="false" outlineLevel="0" collapsed="false">
      <c r="A6777" s="4" t="str">
        <f aca="false">B6777&amp;"|"&amp;C6777</f>
        <v>tdbR00001091 Met-CAU|11</v>
      </c>
      <c r="B6777" s="4" t="s">
        <v>131</v>
      </c>
      <c r="C6777" s="4" t="s">
        <v>426</v>
      </c>
      <c r="D6777" s="4" t="n">
        <v>11</v>
      </c>
      <c r="E6777" s="8" t="s">
        <v>246</v>
      </c>
      <c r="F6777" s="7" t="s">
        <v>425</v>
      </c>
    </row>
    <row r="6778" customFormat="false" ht="15" hidden="false" customHeight="false" outlineLevel="0" collapsed="false">
      <c r="A6778" s="4" t="str">
        <f aca="false">B6778&amp;"|"&amp;C6778</f>
        <v>tdbR00001091 Met-CAU|12</v>
      </c>
      <c r="B6778" s="4" t="s">
        <v>131</v>
      </c>
      <c r="C6778" s="4" t="s">
        <v>427</v>
      </c>
      <c r="D6778" s="4" t="n">
        <v>12</v>
      </c>
      <c r="E6778" s="8" t="s">
        <v>197</v>
      </c>
      <c r="F6778" s="7" t="s">
        <v>425</v>
      </c>
    </row>
    <row r="6779" customFormat="false" ht="15" hidden="false" customHeight="false" outlineLevel="0" collapsed="false">
      <c r="A6779" s="4" t="str">
        <f aca="false">B6779&amp;"|"&amp;C6779</f>
        <v>tdbR00001091 Met-CAU|13</v>
      </c>
      <c r="B6779" s="4" t="s">
        <v>131</v>
      </c>
      <c r="C6779" s="4" t="s">
        <v>428</v>
      </c>
      <c r="D6779" s="4" t="n">
        <v>13</v>
      </c>
      <c r="E6779" s="8" t="s">
        <v>414</v>
      </c>
      <c r="F6779" s="7" t="s">
        <v>425</v>
      </c>
    </row>
    <row r="6780" customFormat="false" ht="15" hidden="false" customHeight="false" outlineLevel="0" collapsed="false">
      <c r="A6780" s="4" t="str">
        <f aca="false">B6780&amp;"|"&amp;C6780</f>
        <v>tdbR00001091 Met-CAU|14</v>
      </c>
      <c r="B6780" s="4" t="s">
        <v>131</v>
      </c>
      <c r="C6780" s="4" t="s">
        <v>429</v>
      </c>
      <c r="D6780" s="4" t="n">
        <v>14</v>
      </c>
      <c r="E6780" s="19" t="s">
        <v>246</v>
      </c>
      <c r="F6780" s="20" t="s">
        <v>430</v>
      </c>
    </row>
    <row r="6781" customFormat="false" ht="15" hidden="false" customHeight="false" outlineLevel="0" collapsed="false">
      <c r="A6781" s="4" t="str">
        <f aca="false">B6781&amp;"|"&amp;C6781</f>
        <v>tdbR00001091 Met-CAU|15</v>
      </c>
      <c r="B6781" s="4" t="s">
        <v>131</v>
      </c>
      <c r="C6781" s="4" t="s">
        <v>431</v>
      </c>
      <c r="D6781" s="4" t="n">
        <v>15</v>
      </c>
      <c r="E6781" s="19" t="s">
        <v>197</v>
      </c>
      <c r="F6781" s="20" t="s">
        <v>430</v>
      </c>
    </row>
    <row r="6782" customFormat="false" ht="15" hidden="false" customHeight="false" outlineLevel="0" collapsed="false">
      <c r="A6782" s="4" t="str">
        <f aca="false">B6782&amp;"|"&amp;C6782</f>
        <v>tdbR00001091 Met-CAU|16</v>
      </c>
      <c r="B6782" s="4" t="s">
        <v>131</v>
      </c>
      <c r="C6782" s="4" t="s">
        <v>432</v>
      </c>
      <c r="D6782" s="4" t="n">
        <v>16</v>
      </c>
      <c r="E6782" s="19" t="s">
        <v>414</v>
      </c>
      <c r="F6782" s="20" t="s">
        <v>430</v>
      </c>
    </row>
    <row r="6783" customFormat="false" ht="15" hidden="false" customHeight="false" outlineLevel="0" collapsed="false">
      <c r="A6783" s="4" t="str">
        <f aca="false">B6783&amp;"|"&amp;C6783</f>
        <v>tdbR00001091 Met-CAU|17</v>
      </c>
      <c r="B6783" s="4" t="s">
        <v>131</v>
      </c>
      <c r="C6783" s="4" t="s">
        <v>433</v>
      </c>
      <c r="D6783" s="4" t="n">
        <v>17</v>
      </c>
      <c r="E6783" s="19" t="s">
        <v>414</v>
      </c>
      <c r="F6783" s="20" t="s">
        <v>430</v>
      </c>
    </row>
    <row r="6784" customFormat="false" ht="15" hidden="false" customHeight="false" outlineLevel="0" collapsed="false">
      <c r="A6784" s="4" t="str">
        <f aca="false">B6784&amp;"|"&amp;C6784</f>
        <v>tdbR00001091 Met-CAU|17a</v>
      </c>
      <c r="B6784" s="4" t="s">
        <v>131</v>
      </c>
      <c r="C6784" s="4" t="s">
        <v>496</v>
      </c>
      <c r="D6784" s="4" t="n">
        <v>18</v>
      </c>
      <c r="E6784" s="19" t="s">
        <v>259</v>
      </c>
      <c r="F6784" s="20" t="s">
        <v>430</v>
      </c>
    </row>
    <row r="6785" customFormat="false" ht="15" hidden="false" customHeight="false" outlineLevel="0" collapsed="false">
      <c r="A6785" s="4" t="str">
        <f aca="false">B6785&amp;"|"&amp;C6785</f>
        <v>tdbR00001091 Met-CAU|18</v>
      </c>
      <c r="B6785" s="4" t="s">
        <v>131</v>
      </c>
      <c r="C6785" s="4" t="s">
        <v>434</v>
      </c>
      <c r="D6785" s="4" t="n">
        <v>19</v>
      </c>
      <c r="E6785" s="19" t="s">
        <v>197</v>
      </c>
      <c r="F6785" s="20" t="s">
        <v>430</v>
      </c>
    </row>
    <row r="6786" customFormat="false" ht="15" hidden="false" customHeight="false" outlineLevel="0" collapsed="false">
      <c r="A6786" s="4" t="str">
        <f aca="false">B6786&amp;"|"&amp;C6786</f>
        <v>tdbR00001091 Met-CAU|19</v>
      </c>
      <c r="B6786" s="4" t="s">
        <v>131</v>
      </c>
      <c r="C6786" s="4" t="s">
        <v>435</v>
      </c>
      <c r="D6786" s="4" t="n">
        <v>20</v>
      </c>
      <c r="E6786" s="19" t="s">
        <v>197</v>
      </c>
      <c r="F6786" s="20" t="s">
        <v>430</v>
      </c>
    </row>
    <row r="6787" customFormat="false" ht="15" hidden="false" customHeight="false" outlineLevel="0" collapsed="false">
      <c r="A6787" s="4" t="str">
        <f aca="false">B6787&amp;"|"&amp;C6787</f>
        <v>tdbR00001091 Met-CAU|20</v>
      </c>
      <c r="B6787" s="4" t="s">
        <v>131</v>
      </c>
      <c r="C6787" s="4" t="s">
        <v>436</v>
      </c>
      <c r="D6787" s="4" t="n">
        <v>21</v>
      </c>
      <c r="E6787" s="19" t="s">
        <v>259</v>
      </c>
      <c r="F6787" s="20" t="s">
        <v>430</v>
      </c>
    </row>
    <row r="6788" customFormat="false" ht="15" hidden="false" customHeight="false" outlineLevel="0" collapsed="false">
      <c r="A6788" s="4" t="str">
        <f aca="false">B6788&amp;"|"&amp;C6788</f>
        <v>tdbR00001091 Met-CAU|21</v>
      </c>
      <c r="B6788" s="4" t="s">
        <v>131</v>
      </c>
      <c r="C6788" s="4" t="s">
        <v>438</v>
      </c>
      <c r="D6788" s="4" t="n">
        <v>22</v>
      </c>
      <c r="E6788" s="19" t="s">
        <v>246</v>
      </c>
      <c r="F6788" s="20" t="s">
        <v>430</v>
      </c>
    </row>
    <row r="6789" customFormat="false" ht="15" hidden="false" customHeight="false" outlineLevel="0" collapsed="false">
      <c r="A6789" s="4" t="str">
        <f aca="false">B6789&amp;"|"&amp;C6789</f>
        <v>tdbR00001091 Met-CAU|22</v>
      </c>
      <c r="B6789" s="4" t="s">
        <v>131</v>
      </c>
      <c r="C6789" s="4" t="s">
        <v>439</v>
      </c>
      <c r="D6789" s="4" t="n">
        <v>23</v>
      </c>
      <c r="E6789" s="8" t="s">
        <v>197</v>
      </c>
      <c r="F6789" s="7" t="s">
        <v>425</v>
      </c>
    </row>
    <row r="6790" customFormat="false" ht="15" hidden="false" customHeight="false" outlineLevel="0" collapsed="false">
      <c r="A6790" s="4" t="str">
        <f aca="false">B6790&amp;"|"&amp;C6790</f>
        <v>tdbR00001091 Met-CAU|23</v>
      </c>
      <c r="B6790" s="4" t="s">
        <v>131</v>
      </c>
      <c r="C6790" s="4" t="s">
        <v>440</v>
      </c>
      <c r="D6790" s="4" t="n">
        <v>24</v>
      </c>
      <c r="E6790" s="8" t="s">
        <v>414</v>
      </c>
      <c r="F6790" s="7" t="s">
        <v>425</v>
      </c>
    </row>
    <row r="6791" customFormat="false" ht="15" hidden="false" customHeight="false" outlineLevel="0" collapsed="false">
      <c r="A6791" s="4" t="str">
        <f aca="false">B6791&amp;"|"&amp;C6791</f>
        <v>tdbR00001091 Met-CAU|24</v>
      </c>
      <c r="B6791" s="4" t="s">
        <v>131</v>
      </c>
      <c r="C6791" s="4" t="s">
        <v>441</v>
      </c>
      <c r="D6791" s="4" t="n">
        <v>25</v>
      </c>
      <c r="E6791" s="8" t="s">
        <v>259</v>
      </c>
      <c r="F6791" s="7" t="s">
        <v>425</v>
      </c>
    </row>
    <row r="6792" customFormat="false" ht="15" hidden="false" customHeight="false" outlineLevel="0" collapsed="false">
      <c r="A6792" s="4" t="str">
        <f aca="false">B6792&amp;"|"&amp;C6792</f>
        <v>tdbR00001091 Met-CAU|25</v>
      </c>
      <c r="B6792" s="4" t="s">
        <v>131</v>
      </c>
      <c r="C6792" s="4" t="s">
        <v>442</v>
      </c>
      <c r="D6792" s="4" t="n">
        <v>26</v>
      </c>
      <c r="E6792" s="8" t="s">
        <v>414</v>
      </c>
      <c r="F6792" s="7" t="s">
        <v>425</v>
      </c>
    </row>
    <row r="6793" customFormat="false" ht="15" hidden="false" customHeight="false" outlineLevel="0" collapsed="false">
      <c r="A6793" s="4" t="str">
        <f aca="false">B6793&amp;"|"&amp;C6793</f>
        <v>tdbR00001091 Met-CAU|26</v>
      </c>
      <c r="B6793" s="4" t="s">
        <v>131</v>
      </c>
      <c r="C6793" s="4" t="s">
        <v>443</v>
      </c>
      <c r="D6793" s="4" t="n">
        <v>27</v>
      </c>
      <c r="E6793" s="3" t="s">
        <v>197</v>
      </c>
      <c r="F6793" s="4" t="s">
        <v>444</v>
      </c>
    </row>
    <row r="6794" customFormat="false" ht="15" hidden="false" customHeight="false" outlineLevel="0" collapsed="false">
      <c r="A6794" s="4" t="str">
        <f aca="false">B6794&amp;"|"&amp;C6794</f>
        <v>tdbR00001091 Met-CAU|27</v>
      </c>
      <c r="B6794" s="4" t="s">
        <v>131</v>
      </c>
      <c r="C6794" s="4" t="s">
        <v>445</v>
      </c>
      <c r="D6794" s="4" t="n">
        <v>28</v>
      </c>
      <c r="E6794" s="21" t="s">
        <v>259</v>
      </c>
      <c r="F6794" s="22" t="s">
        <v>446</v>
      </c>
    </row>
    <row r="6795" customFormat="false" ht="15" hidden="false" customHeight="false" outlineLevel="0" collapsed="false">
      <c r="A6795" s="4" t="str">
        <f aca="false">B6795&amp;"|"&amp;C6795</f>
        <v>tdbR00001091 Met-CAU|28</v>
      </c>
      <c r="B6795" s="4" t="s">
        <v>131</v>
      </c>
      <c r="C6795" s="4" t="s">
        <v>447</v>
      </c>
      <c r="D6795" s="4" t="n">
        <v>29</v>
      </c>
      <c r="E6795" s="21" t="s">
        <v>414</v>
      </c>
      <c r="F6795" s="22" t="s">
        <v>446</v>
      </c>
    </row>
    <row r="6796" customFormat="false" ht="15" hidden="false" customHeight="false" outlineLevel="0" collapsed="false">
      <c r="A6796" s="4" t="str">
        <f aca="false">B6796&amp;"|"&amp;C6796</f>
        <v>tdbR00001091 Met-CAU|29</v>
      </c>
      <c r="B6796" s="4" t="s">
        <v>131</v>
      </c>
      <c r="C6796" s="4" t="s">
        <v>448</v>
      </c>
      <c r="D6796" s="4" t="n">
        <v>30</v>
      </c>
      <c r="E6796" s="21" t="s">
        <v>197</v>
      </c>
      <c r="F6796" s="22" t="s">
        <v>446</v>
      </c>
    </row>
    <row r="6797" customFormat="false" ht="15" hidden="false" customHeight="false" outlineLevel="0" collapsed="false">
      <c r="A6797" s="4" t="str">
        <f aca="false">B6797&amp;"|"&amp;C6797</f>
        <v>tdbR00001091 Met-CAU|30</v>
      </c>
      <c r="B6797" s="4" t="s">
        <v>131</v>
      </c>
      <c r="C6797" s="4" t="s">
        <v>449</v>
      </c>
      <c r="D6797" s="4" t="n">
        <v>31</v>
      </c>
      <c r="E6797" s="21" t="s">
        <v>197</v>
      </c>
      <c r="F6797" s="22" t="s">
        <v>446</v>
      </c>
    </row>
    <row r="6798" customFormat="false" ht="15" hidden="false" customHeight="false" outlineLevel="0" collapsed="false">
      <c r="A6798" s="4" t="str">
        <f aca="false">B6798&amp;"|"&amp;C6798</f>
        <v>tdbR00001091 Met-CAU|31</v>
      </c>
      <c r="B6798" s="4" t="s">
        <v>131</v>
      </c>
      <c r="C6798" s="4" t="s">
        <v>450</v>
      </c>
      <c r="D6798" s="4" t="n">
        <v>32</v>
      </c>
      <c r="E6798" s="21" t="s">
        <v>197</v>
      </c>
      <c r="F6798" s="22" t="s">
        <v>446</v>
      </c>
    </row>
    <row r="6799" customFormat="false" ht="15" hidden="false" customHeight="false" outlineLevel="0" collapsed="false">
      <c r="A6799" s="4" t="str">
        <f aca="false">B6799&amp;"|"&amp;C6799</f>
        <v>tdbR00001091 Met-CAU|32</v>
      </c>
      <c r="B6799" s="4" t="s">
        <v>131</v>
      </c>
      <c r="C6799" s="4" t="s">
        <v>451</v>
      </c>
      <c r="D6799" s="4" t="n">
        <v>33</v>
      </c>
      <c r="E6799" s="19" t="s">
        <v>414</v>
      </c>
      <c r="F6799" s="20" t="s">
        <v>452</v>
      </c>
    </row>
    <row r="6800" customFormat="false" ht="15" hidden="false" customHeight="false" outlineLevel="0" collapsed="false">
      <c r="A6800" s="4" t="str">
        <f aca="false">B6800&amp;"|"&amp;C6800</f>
        <v>tdbR00001091 Met-CAU|33</v>
      </c>
      <c r="B6800" s="4" t="s">
        <v>131</v>
      </c>
      <c r="C6800" s="4" t="s">
        <v>453</v>
      </c>
      <c r="D6800" s="4" t="n">
        <v>34</v>
      </c>
      <c r="E6800" s="19" t="s">
        <v>259</v>
      </c>
      <c r="F6800" s="20" t="s">
        <v>452</v>
      </c>
    </row>
    <row r="6801" customFormat="false" ht="15" hidden="false" customHeight="false" outlineLevel="0" collapsed="false">
      <c r="A6801" s="4" t="str">
        <f aca="false">B6801&amp;"|"&amp;C6801</f>
        <v>tdbR00001091 Met-CAU|34</v>
      </c>
      <c r="B6801" s="4" t="s">
        <v>131</v>
      </c>
      <c r="C6801" s="4" t="s">
        <v>454</v>
      </c>
      <c r="D6801" s="4" t="n">
        <v>35</v>
      </c>
      <c r="E6801" s="19" t="s">
        <v>414</v>
      </c>
      <c r="F6801" s="20" t="s">
        <v>452</v>
      </c>
    </row>
    <row r="6802" customFormat="false" ht="15" hidden="false" customHeight="false" outlineLevel="0" collapsed="false">
      <c r="A6802" s="4" t="str">
        <f aca="false">B6802&amp;"|"&amp;C6802</f>
        <v>tdbR00001091 Met-CAU|35</v>
      </c>
      <c r="B6802" s="4" t="s">
        <v>131</v>
      </c>
      <c r="C6802" s="4" t="s">
        <v>455</v>
      </c>
      <c r="D6802" s="4" t="n">
        <v>36</v>
      </c>
      <c r="E6802" s="19" t="s">
        <v>246</v>
      </c>
      <c r="F6802" s="20" t="s">
        <v>452</v>
      </c>
    </row>
    <row r="6803" customFormat="false" ht="15" hidden="false" customHeight="false" outlineLevel="0" collapsed="false">
      <c r="A6803" s="4" t="str">
        <f aca="false">B6803&amp;"|"&amp;C6803</f>
        <v>tdbR00001091 Met-CAU|36</v>
      </c>
      <c r="B6803" s="4" t="s">
        <v>131</v>
      </c>
      <c r="C6803" s="4" t="s">
        <v>456</v>
      </c>
      <c r="D6803" s="4" t="n">
        <v>37</v>
      </c>
      <c r="E6803" s="19" t="s">
        <v>259</v>
      </c>
      <c r="F6803" s="20" t="s">
        <v>452</v>
      </c>
    </row>
    <row r="6804" customFormat="false" ht="15" hidden="false" customHeight="false" outlineLevel="0" collapsed="false">
      <c r="A6804" s="4" t="str">
        <f aca="false">B6804&amp;"|"&amp;C6804</f>
        <v>tdbR00001091 Met-CAU|37</v>
      </c>
      <c r="B6804" s="4" t="s">
        <v>131</v>
      </c>
      <c r="C6804" s="4" t="s">
        <v>457</v>
      </c>
      <c r="D6804" s="4" t="n">
        <v>38</v>
      </c>
      <c r="E6804" s="19" t="s">
        <v>246</v>
      </c>
      <c r="F6804" s="20" t="s">
        <v>452</v>
      </c>
    </row>
    <row r="6805" customFormat="false" ht="15" hidden="false" customHeight="false" outlineLevel="0" collapsed="false">
      <c r="A6805" s="4" t="str">
        <f aca="false">B6805&amp;"|"&amp;C6805</f>
        <v>tdbR00001091 Met-CAU|38</v>
      </c>
      <c r="B6805" s="4" t="s">
        <v>131</v>
      </c>
      <c r="C6805" s="4" t="s">
        <v>458</v>
      </c>
      <c r="D6805" s="4" t="n">
        <v>39</v>
      </c>
      <c r="E6805" s="19" t="s">
        <v>246</v>
      </c>
      <c r="F6805" s="20" t="s">
        <v>452</v>
      </c>
    </row>
    <row r="6806" customFormat="false" ht="15" hidden="false" customHeight="false" outlineLevel="0" collapsed="false">
      <c r="A6806" s="4" t="str">
        <f aca="false">B6806&amp;"|"&amp;C6806</f>
        <v>tdbR00001091 Met-CAU|39</v>
      </c>
      <c r="B6806" s="4" t="s">
        <v>131</v>
      </c>
      <c r="C6806" s="4" t="s">
        <v>459</v>
      </c>
      <c r="D6806" s="4" t="n">
        <v>40</v>
      </c>
      <c r="E6806" s="21" t="s">
        <v>414</v>
      </c>
      <c r="F6806" s="22" t="s">
        <v>446</v>
      </c>
    </row>
    <row r="6807" customFormat="false" ht="15" hidden="false" customHeight="false" outlineLevel="0" collapsed="false">
      <c r="A6807" s="4" t="str">
        <f aca="false">B6807&amp;"|"&amp;C6807</f>
        <v>tdbR00001091 Met-CAU|40</v>
      </c>
      <c r="B6807" s="4" t="s">
        <v>131</v>
      </c>
      <c r="C6807" s="4" t="s">
        <v>460</v>
      </c>
      <c r="D6807" s="4" t="n">
        <v>41</v>
      </c>
      <c r="E6807" s="21" t="s">
        <v>414</v>
      </c>
      <c r="F6807" s="22" t="s">
        <v>446</v>
      </c>
    </row>
    <row r="6808" customFormat="false" ht="15" hidden="false" customHeight="false" outlineLevel="0" collapsed="false">
      <c r="A6808" s="4" t="str">
        <f aca="false">B6808&amp;"|"&amp;C6808</f>
        <v>tdbR00001091 Met-CAU|41</v>
      </c>
      <c r="B6808" s="4" t="s">
        <v>131</v>
      </c>
      <c r="C6808" s="4" t="s">
        <v>461</v>
      </c>
      <c r="D6808" s="4" t="n">
        <v>42</v>
      </c>
      <c r="E6808" s="21" t="s">
        <v>414</v>
      </c>
      <c r="F6808" s="22" t="s">
        <v>446</v>
      </c>
    </row>
    <row r="6809" customFormat="false" ht="15" hidden="false" customHeight="false" outlineLevel="0" collapsed="false">
      <c r="A6809" s="4" t="str">
        <f aca="false">B6809&amp;"|"&amp;C6809</f>
        <v>tdbR00001091 Met-CAU|42</v>
      </c>
      <c r="B6809" s="4" t="s">
        <v>131</v>
      </c>
      <c r="C6809" s="4" t="s">
        <v>462</v>
      </c>
      <c r="D6809" s="4" t="n">
        <v>43</v>
      </c>
      <c r="E6809" s="21" t="s">
        <v>197</v>
      </c>
      <c r="F6809" s="22" t="s">
        <v>446</v>
      </c>
    </row>
    <row r="6810" customFormat="false" ht="15" hidden="false" customHeight="false" outlineLevel="0" collapsed="false">
      <c r="A6810" s="4" t="str">
        <f aca="false">B6810&amp;"|"&amp;C6810</f>
        <v>tdbR00001091 Met-CAU|43</v>
      </c>
      <c r="B6810" s="4" t="s">
        <v>131</v>
      </c>
      <c r="C6810" s="4" t="s">
        <v>463</v>
      </c>
      <c r="D6810" s="4" t="n">
        <v>44</v>
      </c>
      <c r="E6810" s="21" t="s">
        <v>246</v>
      </c>
      <c r="F6810" s="22" t="s">
        <v>446</v>
      </c>
    </row>
    <row r="6811" customFormat="false" ht="15" hidden="false" customHeight="false" outlineLevel="0" collapsed="false">
      <c r="A6811" s="4" t="str">
        <f aca="false">B6811&amp;"|"&amp;C6811</f>
        <v>tdbR00001091 Met-CAU|44</v>
      </c>
      <c r="B6811" s="4" t="s">
        <v>131</v>
      </c>
      <c r="C6811" s="4" t="s">
        <v>464</v>
      </c>
      <c r="D6811" s="4" t="n">
        <v>45</v>
      </c>
      <c r="E6811" s="19" t="s">
        <v>246</v>
      </c>
      <c r="F6811" s="20" t="s">
        <v>465</v>
      </c>
    </row>
    <row r="6812" customFormat="false" ht="15" hidden="false" customHeight="false" outlineLevel="0" collapsed="false">
      <c r="A6812" s="4" t="str">
        <f aca="false">B6812&amp;"|"&amp;C6812</f>
        <v>tdbR00001091 Met-CAU|45</v>
      </c>
      <c r="B6812" s="4" t="s">
        <v>131</v>
      </c>
      <c r="C6812" s="4" t="s">
        <v>466</v>
      </c>
      <c r="D6812" s="4" t="n">
        <v>46</v>
      </c>
      <c r="E6812" s="19" t="s">
        <v>197</v>
      </c>
      <c r="F6812" s="20" t="s">
        <v>465</v>
      </c>
    </row>
    <row r="6813" customFormat="false" ht="15" hidden="false" customHeight="false" outlineLevel="0" collapsed="false">
      <c r="A6813" s="4" t="str">
        <f aca="false">B6813&amp;"|"&amp;C6813</f>
        <v>tdbR00001091 Met-CAU|46</v>
      </c>
      <c r="B6813" s="4" t="s">
        <v>131</v>
      </c>
      <c r="C6813" s="4" t="s">
        <v>467</v>
      </c>
      <c r="D6813" s="4" t="n">
        <v>47</v>
      </c>
      <c r="E6813" s="19" t="s">
        <v>246</v>
      </c>
      <c r="F6813" s="20" t="s">
        <v>465</v>
      </c>
    </row>
    <row r="6814" customFormat="false" ht="15" hidden="false" customHeight="false" outlineLevel="0" collapsed="false">
      <c r="A6814" s="4" t="str">
        <f aca="false">B6814&amp;"|"&amp;C6814</f>
        <v>tdbR00001091 Met-CAU|47</v>
      </c>
      <c r="B6814" s="4" t="s">
        <v>131</v>
      </c>
      <c r="C6814" s="4" t="s">
        <v>468</v>
      </c>
      <c r="D6814" s="4" t="n">
        <v>48</v>
      </c>
      <c r="E6814" s="19" t="s">
        <v>259</v>
      </c>
      <c r="F6814" s="20" t="s">
        <v>465</v>
      </c>
    </row>
    <row r="6815" customFormat="false" ht="15" hidden="false" customHeight="false" outlineLevel="0" collapsed="false">
      <c r="A6815" s="4" t="str">
        <f aca="false">B6815&amp;"|"&amp;C6815</f>
        <v>tdbR00001091 Met-CAU|48</v>
      </c>
      <c r="B6815" s="4" t="s">
        <v>131</v>
      </c>
      <c r="C6815" s="4" t="s">
        <v>469</v>
      </c>
      <c r="D6815" s="4" t="n">
        <v>49</v>
      </c>
      <c r="E6815" s="19" t="s">
        <v>414</v>
      </c>
      <c r="F6815" s="20" t="s">
        <v>465</v>
      </c>
    </row>
    <row r="6816" customFormat="false" ht="15" hidden="false" customHeight="false" outlineLevel="0" collapsed="false">
      <c r="A6816" s="4" t="str">
        <f aca="false">B6816&amp;"|"&amp;C6816</f>
        <v>tdbR00001091 Met-CAU|49</v>
      </c>
      <c r="B6816" s="4" t="s">
        <v>131</v>
      </c>
      <c r="C6816" s="4" t="s">
        <v>470</v>
      </c>
      <c r="D6816" s="4" t="n">
        <v>50</v>
      </c>
      <c r="E6816" s="23" t="s">
        <v>197</v>
      </c>
      <c r="F6816" s="10" t="s">
        <v>471</v>
      </c>
    </row>
    <row r="6817" customFormat="false" ht="15" hidden="false" customHeight="false" outlineLevel="0" collapsed="false">
      <c r="A6817" s="4" t="str">
        <f aca="false">B6817&amp;"|"&amp;C6817</f>
        <v>tdbR00001091 Met-CAU|50</v>
      </c>
      <c r="B6817" s="4" t="s">
        <v>131</v>
      </c>
      <c r="C6817" s="4" t="s">
        <v>472</v>
      </c>
      <c r="D6817" s="4" t="n">
        <v>51</v>
      </c>
      <c r="E6817" s="23" t="s">
        <v>259</v>
      </c>
      <c r="F6817" s="10" t="s">
        <v>471</v>
      </c>
    </row>
    <row r="6818" customFormat="false" ht="15" hidden="false" customHeight="false" outlineLevel="0" collapsed="false">
      <c r="A6818" s="4" t="str">
        <f aca="false">B6818&amp;"|"&amp;C6818</f>
        <v>tdbR00001091 Met-CAU|51</v>
      </c>
      <c r="B6818" s="4" t="s">
        <v>131</v>
      </c>
      <c r="C6818" s="4" t="s">
        <v>473</v>
      </c>
      <c r="D6818" s="4" t="n">
        <v>52</v>
      </c>
      <c r="E6818" s="23" t="s">
        <v>414</v>
      </c>
      <c r="F6818" s="10" t="s">
        <v>471</v>
      </c>
    </row>
    <row r="6819" customFormat="false" ht="15" hidden="false" customHeight="false" outlineLevel="0" collapsed="false">
      <c r="A6819" s="4" t="str">
        <f aca="false">B6819&amp;"|"&amp;C6819</f>
        <v>tdbR00001091 Met-CAU|52</v>
      </c>
      <c r="B6819" s="4" t="s">
        <v>131</v>
      </c>
      <c r="C6819" s="4" t="s">
        <v>474</v>
      </c>
      <c r="D6819" s="4" t="n">
        <v>53</v>
      </c>
      <c r="E6819" s="23" t="s">
        <v>197</v>
      </c>
      <c r="F6819" s="10" t="s">
        <v>471</v>
      </c>
    </row>
    <row r="6820" customFormat="false" ht="15" hidden="false" customHeight="false" outlineLevel="0" collapsed="false">
      <c r="A6820" s="4" t="str">
        <f aca="false">B6820&amp;"|"&amp;C6820</f>
        <v>tdbR00001091 Met-CAU|53</v>
      </c>
      <c r="B6820" s="4" t="s">
        <v>131</v>
      </c>
      <c r="C6820" s="4" t="s">
        <v>475</v>
      </c>
      <c r="D6820" s="4" t="n">
        <v>54</v>
      </c>
      <c r="E6820" s="23" t="s">
        <v>197</v>
      </c>
      <c r="F6820" s="10" t="s">
        <v>471</v>
      </c>
    </row>
    <row r="6821" customFormat="false" ht="15" hidden="false" customHeight="false" outlineLevel="0" collapsed="false">
      <c r="A6821" s="4" t="str">
        <f aca="false">B6821&amp;"|"&amp;C6821</f>
        <v>tdbR00001091 Met-CAU|54</v>
      </c>
      <c r="B6821" s="4" t="s">
        <v>131</v>
      </c>
      <c r="C6821" s="4" t="s">
        <v>476</v>
      </c>
      <c r="D6821" s="4" t="n">
        <v>55</v>
      </c>
      <c r="E6821" s="19" t="s">
        <v>259</v>
      </c>
      <c r="F6821" s="20" t="s">
        <v>477</v>
      </c>
    </row>
    <row r="6822" customFormat="false" ht="15" hidden="false" customHeight="false" outlineLevel="0" collapsed="false">
      <c r="A6822" s="4" t="str">
        <f aca="false">B6822&amp;"|"&amp;C6822</f>
        <v>tdbR00001091 Met-CAU|55</v>
      </c>
      <c r="B6822" s="4" t="s">
        <v>131</v>
      </c>
      <c r="C6822" s="4" t="s">
        <v>478</v>
      </c>
      <c r="D6822" s="4" t="n">
        <v>56</v>
      </c>
      <c r="E6822" s="19" t="s">
        <v>259</v>
      </c>
      <c r="F6822" s="20" t="s">
        <v>477</v>
      </c>
    </row>
    <row r="6823" customFormat="false" ht="15" hidden="false" customHeight="false" outlineLevel="0" collapsed="false">
      <c r="A6823" s="4" t="str">
        <f aca="false">B6823&amp;"|"&amp;C6823</f>
        <v>tdbR00001091 Met-CAU|56</v>
      </c>
      <c r="B6823" s="4" t="s">
        <v>131</v>
      </c>
      <c r="C6823" s="4" t="s">
        <v>479</v>
      </c>
      <c r="D6823" s="4" t="n">
        <v>57</v>
      </c>
      <c r="E6823" s="19" t="s">
        <v>414</v>
      </c>
      <c r="F6823" s="20" t="s">
        <v>477</v>
      </c>
    </row>
    <row r="6824" customFormat="false" ht="15" hidden="false" customHeight="false" outlineLevel="0" collapsed="false">
      <c r="A6824" s="4" t="str">
        <f aca="false">B6824&amp;"|"&amp;C6824</f>
        <v>tdbR00001091 Met-CAU|57</v>
      </c>
      <c r="B6824" s="4" t="s">
        <v>131</v>
      </c>
      <c r="C6824" s="4" t="s">
        <v>480</v>
      </c>
      <c r="D6824" s="4" t="n">
        <v>58</v>
      </c>
      <c r="E6824" s="19" t="s">
        <v>246</v>
      </c>
      <c r="F6824" s="20" t="s">
        <v>477</v>
      </c>
    </row>
    <row r="6825" customFormat="false" ht="15" hidden="false" customHeight="false" outlineLevel="0" collapsed="false">
      <c r="A6825" s="4" t="str">
        <f aca="false">B6825&amp;"|"&amp;C6825</f>
        <v>tdbR00001091 Met-CAU|58</v>
      </c>
      <c r="B6825" s="4" t="s">
        <v>131</v>
      </c>
      <c r="C6825" s="4" t="s">
        <v>481</v>
      </c>
      <c r="D6825" s="4" t="n">
        <v>59</v>
      </c>
      <c r="E6825" s="19" t="s">
        <v>246</v>
      </c>
      <c r="F6825" s="20" t="s">
        <v>477</v>
      </c>
    </row>
    <row r="6826" customFormat="false" ht="15" hidden="false" customHeight="false" outlineLevel="0" collapsed="false">
      <c r="A6826" s="4" t="str">
        <f aca="false">B6826&amp;"|"&amp;C6826</f>
        <v>tdbR00001091 Met-CAU|59</v>
      </c>
      <c r="B6826" s="4" t="s">
        <v>131</v>
      </c>
      <c r="C6826" s="4" t="s">
        <v>482</v>
      </c>
      <c r="D6826" s="4" t="n">
        <v>60</v>
      </c>
      <c r="E6826" s="19" t="s">
        <v>246</v>
      </c>
      <c r="F6826" s="20" t="s">
        <v>477</v>
      </c>
    </row>
    <row r="6827" customFormat="false" ht="15" hidden="false" customHeight="false" outlineLevel="0" collapsed="false">
      <c r="A6827" s="4" t="str">
        <f aca="false">B6827&amp;"|"&amp;C6827</f>
        <v>tdbR00001091 Met-CAU|60</v>
      </c>
      <c r="B6827" s="4" t="s">
        <v>131</v>
      </c>
      <c r="C6827" s="4" t="s">
        <v>483</v>
      </c>
      <c r="D6827" s="4" t="n">
        <v>61</v>
      </c>
      <c r="E6827" s="19" t="s">
        <v>259</v>
      </c>
      <c r="F6827" s="20" t="s">
        <v>477</v>
      </c>
    </row>
    <row r="6828" customFormat="false" ht="15" hidden="false" customHeight="false" outlineLevel="0" collapsed="false">
      <c r="A6828" s="4" t="str">
        <f aca="false">B6828&amp;"|"&amp;C6828</f>
        <v>tdbR00001091 Met-CAU|61</v>
      </c>
      <c r="B6828" s="4" t="s">
        <v>131</v>
      </c>
      <c r="C6828" s="4" t="s">
        <v>484</v>
      </c>
      <c r="D6828" s="4" t="n">
        <v>62</v>
      </c>
      <c r="E6828" s="23" t="s">
        <v>414</v>
      </c>
      <c r="F6828" s="10" t="s">
        <v>471</v>
      </c>
    </row>
    <row r="6829" customFormat="false" ht="15" hidden="false" customHeight="false" outlineLevel="0" collapsed="false">
      <c r="A6829" s="4" t="str">
        <f aca="false">B6829&amp;"|"&amp;C6829</f>
        <v>tdbR00001091 Met-CAU|62</v>
      </c>
      <c r="B6829" s="4" t="s">
        <v>131</v>
      </c>
      <c r="C6829" s="4" t="s">
        <v>485</v>
      </c>
      <c r="D6829" s="4" t="n">
        <v>63</v>
      </c>
      <c r="E6829" s="23" t="s">
        <v>414</v>
      </c>
      <c r="F6829" s="10" t="s">
        <v>471</v>
      </c>
    </row>
    <row r="6830" customFormat="false" ht="15" hidden="false" customHeight="false" outlineLevel="0" collapsed="false">
      <c r="A6830" s="4" t="str">
        <f aca="false">B6830&amp;"|"&amp;C6830</f>
        <v>tdbR00001091 Met-CAU|63</v>
      </c>
      <c r="B6830" s="4" t="s">
        <v>131</v>
      </c>
      <c r="C6830" s="4" t="s">
        <v>486</v>
      </c>
      <c r="D6830" s="4" t="n">
        <v>64</v>
      </c>
      <c r="E6830" s="23" t="s">
        <v>197</v>
      </c>
      <c r="F6830" s="10" t="s">
        <v>471</v>
      </c>
    </row>
    <row r="6831" customFormat="false" ht="15" hidden="false" customHeight="false" outlineLevel="0" collapsed="false">
      <c r="A6831" s="4" t="str">
        <f aca="false">B6831&amp;"|"&amp;C6831</f>
        <v>tdbR00001091 Met-CAU|64</v>
      </c>
      <c r="B6831" s="4" t="s">
        <v>131</v>
      </c>
      <c r="C6831" s="4" t="s">
        <v>487</v>
      </c>
      <c r="D6831" s="4" t="n">
        <v>65</v>
      </c>
      <c r="E6831" s="23" t="s">
        <v>197</v>
      </c>
      <c r="F6831" s="10" t="s">
        <v>471</v>
      </c>
    </row>
    <row r="6832" customFormat="false" ht="15" hidden="false" customHeight="false" outlineLevel="0" collapsed="false">
      <c r="A6832" s="4" t="str">
        <f aca="false">B6832&amp;"|"&amp;C6832</f>
        <v>tdbR00001091 Met-CAU|65</v>
      </c>
      <c r="B6832" s="4" t="s">
        <v>131</v>
      </c>
      <c r="C6832" s="4" t="s">
        <v>488</v>
      </c>
      <c r="D6832" s="4" t="n">
        <v>66</v>
      </c>
      <c r="E6832" s="23" t="s">
        <v>414</v>
      </c>
      <c r="F6832" s="10" t="s">
        <v>471</v>
      </c>
    </row>
    <row r="6833" customFormat="false" ht="15" hidden="false" customHeight="false" outlineLevel="0" collapsed="false">
      <c r="A6833" s="4" t="str">
        <f aca="false">B6833&amp;"|"&amp;C6833</f>
        <v>tdbR00001091 Met-CAU|66</v>
      </c>
      <c r="B6833" s="4" t="s">
        <v>131</v>
      </c>
      <c r="C6833" s="4" t="s">
        <v>489</v>
      </c>
      <c r="D6833" s="4" t="n">
        <v>67</v>
      </c>
      <c r="E6833" s="17" t="s">
        <v>414</v>
      </c>
      <c r="F6833" s="18" t="s">
        <v>412</v>
      </c>
    </row>
    <row r="6834" customFormat="false" ht="15" hidden="false" customHeight="false" outlineLevel="0" collapsed="false">
      <c r="A6834" s="4" t="str">
        <f aca="false">B6834&amp;"|"&amp;C6834</f>
        <v>tdbR00001091 Met-CAU|67</v>
      </c>
      <c r="B6834" s="4" t="s">
        <v>131</v>
      </c>
      <c r="C6834" s="4" t="s">
        <v>490</v>
      </c>
      <c r="D6834" s="4" t="n">
        <v>68</v>
      </c>
      <c r="E6834" s="17" t="s">
        <v>414</v>
      </c>
      <c r="F6834" s="18" t="s">
        <v>412</v>
      </c>
    </row>
    <row r="6835" customFormat="false" ht="15" hidden="false" customHeight="false" outlineLevel="0" collapsed="false">
      <c r="A6835" s="4" t="str">
        <f aca="false">B6835&amp;"|"&amp;C6835</f>
        <v>tdbR00001091 Met-CAU|68</v>
      </c>
      <c r="B6835" s="4" t="s">
        <v>131</v>
      </c>
      <c r="C6835" s="4" t="s">
        <v>491</v>
      </c>
      <c r="D6835" s="4" t="n">
        <v>69</v>
      </c>
      <c r="E6835" s="17" t="s">
        <v>414</v>
      </c>
      <c r="F6835" s="18" t="s">
        <v>412</v>
      </c>
    </row>
    <row r="6836" customFormat="false" ht="15" hidden="false" customHeight="false" outlineLevel="0" collapsed="false">
      <c r="A6836" s="4" t="str">
        <f aca="false">B6836&amp;"|"&amp;C6836</f>
        <v>tdbR00001091 Met-CAU|69</v>
      </c>
      <c r="B6836" s="4" t="s">
        <v>131</v>
      </c>
      <c r="C6836" s="4" t="s">
        <v>492</v>
      </c>
      <c r="D6836" s="4" t="n">
        <v>70</v>
      </c>
      <c r="E6836" s="17" t="s">
        <v>414</v>
      </c>
      <c r="F6836" s="18" t="s">
        <v>412</v>
      </c>
    </row>
    <row r="6837" customFormat="false" ht="15" hidden="false" customHeight="false" outlineLevel="0" collapsed="false">
      <c r="A6837" s="4" t="str">
        <f aca="false">B6837&amp;"|"&amp;C6837</f>
        <v>tdbR00001091 Met-CAU|70</v>
      </c>
      <c r="B6837" s="4" t="s">
        <v>131</v>
      </c>
      <c r="C6837" s="4" t="s">
        <v>493</v>
      </c>
      <c r="D6837" s="4" t="n">
        <v>71</v>
      </c>
      <c r="E6837" s="17" t="s">
        <v>197</v>
      </c>
      <c r="F6837" s="18" t="s">
        <v>412</v>
      </c>
    </row>
    <row r="6838" customFormat="false" ht="15" hidden="false" customHeight="false" outlineLevel="0" collapsed="false">
      <c r="A6838" s="4" t="str">
        <f aca="false">B6838&amp;"|"&amp;C6838</f>
        <v>tdbR00001091 Met-CAU|71</v>
      </c>
      <c r="B6838" s="4" t="s">
        <v>131</v>
      </c>
      <c r="C6838" s="4" t="s">
        <v>494</v>
      </c>
      <c r="D6838" s="4" t="n">
        <v>72</v>
      </c>
      <c r="E6838" s="17" t="s">
        <v>414</v>
      </c>
      <c r="F6838" s="18" t="s">
        <v>412</v>
      </c>
    </row>
    <row r="6839" customFormat="false" ht="15" hidden="false" customHeight="false" outlineLevel="0" collapsed="false">
      <c r="A6839" s="4" t="str">
        <f aca="false">B6839&amp;"|"&amp;C6839</f>
        <v>tdbR00001091 Met-CAU|72</v>
      </c>
      <c r="B6839" s="4" t="s">
        <v>131</v>
      </c>
      <c r="C6839" s="4" t="s">
        <v>495</v>
      </c>
      <c r="D6839" s="4" t="n">
        <v>73</v>
      </c>
      <c r="E6839" s="17" t="s">
        <v>246</v>
      </c>
      <c r="F6839" s="18" t="s">
        <v>412</v>
      </c>
    </row>
    <row r="6840" customFormat="false" ht="15" hidden="false" customHeight="false" outlineLevel="0" collapsed="false">
      <c r="A6840" s="4" t="str">
        <f aca="false">B6840&amp;"|"&amp;C6840</f>
        <v>tdbR00001092 Met-CAU|1</v>
      </c>
      <c r="B6840" s="4" t="s">
        <v>132</v>
      </c>
      <c r="C6840" s="4" t="s">
        <v>411</v>
      </c>
      <c r="D6840" s="4" t="n">
        <v>1</v>
      </c>
      <c r="E6840" s="17" t="s">
        <v>197</v>
      </c>
      <c r="F6840" s="18" t="s">
        <v>412</v>
      </c>
    </row>
    <row r="6841" customFormat="false" ht="15" hidden="false" customHeight="false" outlineLevel="0" collapsed="false">
      <c r="A6841" s="4" t="str">
        <f aca="false">B6841&amp;"|"&amp;C6841</f>
        <v>tdbR00001092 Met-CAU|2</v>
      </c>
      <c r="B6841" s="4" t="s">
        <v>132</v>
      </c>
      <c r="C6841" s="4" t="s">
        <v>413</v>
      </c>
      <c r="D6841" s="4" t="n">
        <v>2</v>
      </c>
      <c r="E6841" s="17" t="s">
        <v>197</v>
      </c>
      <c r="F6841" s="18" t="s">
        <v>412</v>
      </c>
    </row>
    <row r="6842" customFormat="false" ht="15" hidden="false" customHeight="false" outlineLevel="0" collapsed="false">
      <c r="A6842" s="4" t="str">
        <f aca="false">B6842&amp;"|"&amp;C6842</f>
        <v>tdbR00001092 Met-CAU|3</v>
      </c>
      <c r="B6842" s="4" t="s">
        <v>132</v>
      </c>
      <c r="C6842" s="4" t="s">
        <v>415</v>
      </c>
      <c r="D6842" s="4" t="n">
        <v>3</v>
      </c>
      <c r="E6842" s="17" t="s">
        <v>414</v>
      </c>
      <c r="F6842" s="18" t="s">
        <v>412</v>
      </c>
    </row>
    <row r="6843" customFormat="false" ht="15" hidden="false" customHeight="false" outlineLevel="0" collapsed="false">
      <c r="A6843" s="4" t="str">
        <f aca="false">B6843&amp;"|"&amp;C6843</f>
        <v>tdbR00001092 Met-CAU|4</v>
      </c>
      <c r="B6843" s="4" t="s">
        <v>132</v>
      </c>
      <c r="C6843" s="4" t="s">
        <v>416</v>
      </c>
      <c r="D6843" s="4" t="n">
        <v>4</v>
      </c>
      <c r="E6843" s="17" t="s">
        <v>259</v>
      </c>
      <c r="F6843" s="18" t="s">
        <v>412</v>
      </c>
    </row>
    <row r="6844" customFormat="false" ht="15" hidden="false" customHeight="false" outlineLevel="0" collapsed="false">
      <c r="A6844" s="4" t="str">
        <f aca="false">B6844&amp;"|"&amp;C6844</f>
        <v>tdbR00001092 Met-CAU|5</v>
      </c>
      <c r="B6844" s="4" t="s">
        <v>132</v>
      </c>
      <c r="C6844" s="4" t="s">
        <v>417</v>
      </c>
      <c r="D6844" s="4" t="n">
        <v>5</v>
      </c>
      <c r="E6844" s="17" t="s">
        <v>246</v>
      </c>
      <c r="F6844" s="18" t="s">
        <v>412</v>
      </c>
    </row>
    <row r="6845" customFormat="false" ht="15" hidden="false" customHeight="false" outlineLevel="0" collapsed="false">
      <c r="A6845" s="4" t="str">
        <f aca="false">B6845&amp;"|"&amp;C6845</f>
        <v>tdbR00001092 Met-CAU|6</v>
      </c>
      <c r="B6845" s="4" t="s">
        <v>132</v>
      </c>
      <c r="C6845" s="4" t="s">
        <v>418</v>
      </c>
      <c r="D6845" s="4" t="n">
        <v>6</v>
      </c>
      <c r="E6845" s="17" t="s">
        <v>414</v>
      </c>
      <c r="F6845" s="18" t="s">
        <v>412</v>
      </c>
    </row>
    <row r="6846" customFormat="false" ht="15" hidden="false" customHeight="false" outlineLevel="0" collapsed="false">
      <c r="A6846" s="4" t="str">
        <f aca="false">B6846&amp;"|"&amp;C6846</f>
        <v>tdbR00001092 Met-CAU|7</v>
      </c>
      <c r="B6846" s="4" t="s">
        <v>132</v>
      </c>
      <c r="C6846" s="4" t="s">
        <v>419</v>
      </c>
      <c r="D6846" s="4" t="n">
        <v>7</v>
      </c>
      <c r="E6846" s="17" t="s">
        <v>197</v>
      </c>
      <c r="F6846" s="18" t="s">
        <v>412</v>
      </c>
    </row>
    <row r="6847" customFormat="false" ht="15" hidden="false" customHeight="false" outlineLevel="0" collapsed="false">
      <c r="A6847" s="4" t="str">
        <f aca="false">B6847&amp;"|"&amp;C6847</f>
        <v>tdbR00001092 Met-CAU|8</v>
      </c>
      <c r="B6847" s="4" t="s">
        <v>132</v>
      </c>
      <c r="C6847" s="4" t="s">
        <v>420</v>
      </c>
      <c r="D6847" s="4" t="n">
        <v>8</v>
      </c>
      <c r="E6847" s="3" t="s">
        <v>259</v>
      </c>
      <c r="F6847" s="4" t="s">
        <v>421</v>
      </c>
    </row>
    <row r="6848" customFormat="false" ht="15" hidden="false" customHeight="false" outlineLevel="0" collapsed="false">
      <c r="A6848" s="4" t="str">
        <f aca="false">B6848&amp;"|"&amp;C6848</f>
        <v>tdbR00001092 Met-CAU|9</v>
      </c>
      <c r="B6848" s="4" t="s">
        <v>132</v>
      </c>
      <c r="C6848" s="4" t="s">
        <v>422</v>
      </c>
      <c r="D6848" s="4" t="n">
        <v>9</v>
      </c>
      <c r="E6848" s="3" t="s">
        <v>246</v>
      </c>
      <c r="F6848" s="4" t="s">
        <v>423</v>
      </c>
    </row>
    <row r="6849" customFormat="false" ht="15" hidden="false" customHeight="false" outlineLevel="0" collapsed="false">
      <c r="A6849" s="4" t="str">
        <f aca="false">B6849&amp;"|"&amp;C6849</f>
        <v>tdbR00001092 Met-CAU|10</v>
      </c>
      <c r="B6849" s="4" t="s">
        <v>132</v>
      </c>
      <c r="C6849" s="4" t="s">
        <v>424</v>
      </c>
      <c r="D6849" s="4" t="n">
        <v>10</v>
      </c>
      <c r="E6849" s="8" t="s">
        <v>197</v>
      </c>
      <c r="F6849" s="7" t="s">
        <v>425</v>
      </c>
    </row>
    <row r="6850" customFormat="false" ht="15" hidden="false" customHeight="false" outlineLevel="0" collapsed="false">
      <c r="A6850" s="4" t="str">
        <f aca="false">B6850&amp;"|"&amp;C6850</f>
        <v>tdbR00001092 Met-CAU|11</v>
      </c>
      <c r="B6850" s="4" t="s">
        <v>132</v>
      </c>
      <c r="C6850" s="4" t="s">
        <v>426</v>
      </c>
      <c r="D6850" s="4" t="n">
        <v>11</v>
      </c>
      <c r="E6850" s="8" t="s">
        <v>414</v>
      </c>
      <c r="F6850" s="7" t="s">
        <v>425</v>
      </c>
    </row>
    <row r="6851" customFormat="false" ht="15" hidden="false" customHeight="false" outlineLevel="0" collapsed="false">
      <c r="A6851" s="4" t="str">
        <f aca="false">B6851&amp;"|"&amp;C6851</f>
        <v>tdbR00001092 Met-CAU|12</v>
      </c>
      <c r="B6851" s="4" t="s">
        <v>132</v>
      </c>
      <c r="C6851" s="4" t="s">
        <v>427</v>
      </c>
      <c r="D6851" s="4" t="n">
        <v>12</v>
      </c>
      <c r="E6851" s="8" t="s">
        <v>259</v>
      </c>
      <c r="F6851" s="7" t="s">
        <v>425</v>
      </c>
    </row>
    <row r="6852" customFormat="false" ht="15" hidden="false" customHeight="false" outlineLevel="0" collapsed="false">
      <c r="A6852" s="4" t="str">
        <f aca="false">B6852&amp;"|"&amp;C6852</f>
        <v>tdbR00001092 Met-CAU|13</v>
      </c>
      <c r="B6852" s="4" t="s">
        <v>132</v>
      </c>
      <c r="C6852" s="4" t="s">
        <v>428</v>
      </c>
      <c r="D6852" s="4" t="n">
        <v>13</v>
      </c>
      <c r="E6852" s="8" t="s">
        <v>414</v>
      </c>
      <c r="F6852" s="7" t="s">
        <v>425</v>
      </c>
    </row>
    <row r="6853" customFormat="false" ht="15" hidden="false" customHeight="false" outlineLevel="0" collapsed="false">
      <c r="A6853" s="4" t="str">
        <f aca="false">B6853&amp;"|"&amp;C6853</f>
        <v>tdbR00001092 Met-CAU|14</v>
      </c>
      <c r="B6853" s="4" t="s">
        <v>132</v>
      </c>
      <c r="C6853" s="4" t="s">
        <v>429</v>
      </c>
      <c r="D6853" s="4" t="n">
        <v>14</v>
      </c>
      <c r="E6853" s="19" t="s">
        <v>246</v>
      </c>
      <c r="F6853" s="20" t="s">
        <v>430</v>
      </c>
    </row>
    <row r="6854" customFormat="false" ht="15" hidden="false" customHeight="false" outlineLevel="0" collapsed="false">
      <c r="A6854" s="4" t="str">
        <f aca="false">B6854&amp;"|"&amp;C6854</f>
        <v>tdbR00001092 Met-CAU|15</v>
      </c>
      <c r="B6854" s="4" t="s">
        <v>132</v>
      </c>
      <c r="C6854" s="4" t="s">
        <v>431</v>
      </c>
      <c r="D6854" s="4" t="n">
        <v>15</v>
      </c>
      <c r="E6854" s="19" t="s">
        <v>197</v>
      </c>
      <c r="F6854" s="20" t="s">
        <v>430</v>
      </c>
    </row>
    <row r="6855" customFormat="false" ht="15" hidden="false" customHeight="false" outlineLevel="0" collapsed="false">
      <c r="A6855" s="4" t="str">
        <f aca="false">B6855&amp;"|"&amp;C6855</f>
        <v>tdbR00001092 Met-CAU|16</v>
      </c>
      <c r="B6855" s="4" t="s">
        <v>132</v>
      </c>
      <c r="C6855" s="4" t="s">
        <v>432</v>
      </c>
      <c r="D6855" s="4" t="n">
        <v>16</v>
      </c>
      <c r="E6855" s="19" t="s">
        <v>259</v>
      </c>
      <c r="F6855" s="20" t="s">
        <v>430</v>
      </c>
    </row>
    <row r="6856" customFormat="false" ht="15" hidden="false" customHeight="false" outlineLevel="0" collapsed="false">
      <c r="A6856" s="4" t="str">
        <f aca="false">B6856&amp;"|"&amp;C6856</f>
        <v>tdbR00001092 Met-CAU|17</v>
      </c>
      <c r="B6856" s="4" t="s">
        <v>132</v>
      </c>
      <c r="C6856" s="4" t="s">
        <v>433</v>
      </c>
      <c r="D6856" s="4" t="n">
        <v>17</v>
      </c>
      <c r="E6856" s="19" t="s">
        <v>259</v>
      </c>
      <c r="F6856" s="20" t="s">
        <v>430</v>
      </c>
    </row>
    <row r="6857" customFormat="false" ht="15" hidden="false" customHeight="false" outlineLevel="0" collapsed="false">
      <c r="A6857" s="4" t="str">
        <f aca="false">B6857&amp;"|"&amp;C6857</f>
        <v>tdbR00001092 Met-CAU|18</v>
      </c>
      <c r="B6857" s="4" t="s">
        <v>132</v>
      </c>
      <c r="C6857" s="4" t="s">
        <v>434</v>
      </c>
      <c r="D6857" s="4" t="n">
        <v>18</v>
      </c>
      <c r="E6857" s="19" t="s">
        <v>197</v>
      </c>
      <c r="F6857" s="20" t="s">
        <v>430</v>
      </c>
    </row>
    <row r="6858" customFormat="false" ht="15" hidden="false" customHeight="false" outlineLevel="0" collapsed="false">
      <c r="A6858" s="4" t="str">
        <f aca="false">B6858&amp;"|"&amp;C6858</f>
        <v>tdbR00001092 Met-CAU|19</v>
      </c>
      <c r="B6858" s="4" t="s">
        <v>132</v>
      </c>
      <c r="C6858" s="4" t="s">
        <v>435</v>
      </c>
      <c r="D6858" s="4" t="n">
        <v>19</v>
      </c>
      <c r="E6858" s="19" t="s">
        <v>197</v>
      </c>
      <c r="F6858" s="20" t="s">
        <v>430</v>
      </c>
    </row>
    <row r="6859" customFormat="false" ht="15" hidden="false" customHeight="false" outlineLevel="0" collapsed="false">
      <c r="A6859" s="4" t="str">
        <f aca="false">B6859&amp;"|"&amp;C6859</f>
        <v>tdbR00001092 Met-CAU|20</v>
      </c>
      <c r="B6859" s="4" t="s">
        <v>132</v>
      </c>
      <c r="C6859" s="4" t="s">
        <v>436</v>
      </c>
      <c r="D6859" s="4" t="n">
        <v>20</v>
      </c>
      <c r="E6859" s="19" t="s">
        <v>259</v>
      </c>
      <c r="F6859" s="20" t="s">
        <v>430</v>
      </c>
    </row>
    <row r="6860" customFormat="false" ht="15" hidden="false" customHeight="false" outlineLevel="0" collapsed="false">
      <c r="A6860" s="4" t="str">
        <f aca="false">B6860&amp;"|"&amp;C6860</f>
        <v>tdbR00001092 Met-CAU|20a</v>
      </c>
      <c r="B6860" s="4" t="s">
        <v>132</v>
      </c>
      <c r="C6860" s="4" t="s">
        <v>437</v>
      </c>
      <c r="D6860" s="4" t="n">
        <v>21</v>
      </c>
      <c r="E6860" s="19" t="s">
        <v>259</v>
      </c>
      <c r="F6860" s="20" t="s">
        <v>430</v>
      </c>
    </row>
    <row r="6861" customFormat="false" ht="15" hidden="false" customHeight="false" outlineLevel="0" collapsed="false">
      <c r="A6861" s="4" t="str">
        <f aca="false">B6861&amp;"|"&amp;C6861</f>
        <v>tdbR00001092 Met-CAU|21</v>
      </c>
      <c r="B6861" s="4" t="s">
        <v>132</v>
      </c>
      <c r="C6861" s="4" t="s">
        <v>438</v>
      </c>
      <c r="D6861" s="4" t="n">
        <v>22</v>
      </c>
      <c r="E6861" s="19" t="s">
        <v>246</v>
      </c>
      <c r="F6861" s="20" t="s">
        <v>430</v>
      </c>
    </row>
    <row r="6862" customFormat="false" ht="15" hidden="false" customHeight="false" outlineLevel="0" collapsed="false">
      <c r="A6862" s="4" t="str">
        <f aca="false">B6862&amp;"|"&amp;C6862</f>
        <v>tdbR00001092 Met-CAU|22</v>
      </c>
      <c r="B6862" s="4" t="s">
        <v>132</v>
      </c>
      <c r="C6862" s="4" t="s">
        <v>439</v>
      </c>
      <c r="D6862" s="4" t="n">
        <v>23</v>
      </c>
      <c r="E6862" s="8" t="s">
        <v>197</v>
      </c>
      <c r="F6862" s="7" t="s">
        <v>425</v>
      </c>
    </row>
    <row r="6863" customFormat="false" ht="15" hidden="false" customHeight="false" outlineLevel="0" collapsed="false">
      <c r="A6863" s="4" t="str">
        <f aca="false">B6863&amp;"|"&amp;C6863</f>
        <v>tdbR00001092 Met-CAU|23</v>
      </c>
      <c r="B6863" s="4" t="s">
        <v>132</v>
      </c>
      <c r="C6863" s="4" t="s">
        <v>440</v>
      </c>
      <c r="D6863" s="4" t="n">
        <v>24</v>
      </c>
      <c r="E6863" s="8" t="s">
        <v>246</v>
      </c>
      <c r="F6863" s="7" t="s">
        <v>425</v>
      </c>
    </row>
    <row r="6864" customFormat="false" ht="15" hidden="false" customHeight="false" outlineLevel="0" collapsed="false">
      <c r="A6864" s="4" t="str">
        <f aca="false">B6864&amp;"|"&amp;C6864</f>
        <v>tdbR00001092 Met-CAU|24</v>
      </c>
      <c r="B6864" s="4" t="s">
        <v>132</v>
      </c>
      <c r="C6864" s="4" t="s">
        <v>441</v>
      </c>
      <c r="D6864" s="4" t="n">
        <v>25</v>
      </c>
      <c r="E6864" s="8" t="s">
        <v>197</v>
      </c>
      <c r="F6864" s="7" t="s">
        <v>425</v>
      </c>
    </row>
    <row r="6865" customFormat="false" ht="15" hidden="false" customHeight="false" outlineLevel="0" collapsed="false">
      <c r="A6865" s="4" t="str">
        <f aca="false">B6865&amp;"|"&amp;C6865</f>
        <v>tdbR00001092 Met-CAU|25</v>
      </c>
      <c r="B6865" s="4" t="s">
        <v>132</v>
      </c>
      <c r="C6865" s="4" t="s">
        <v>442</v>
      </c>
      <c r="D6865" s="4" t="n">
        <v>26</v>
      </c>
      <c r="E6865" s="8" t="s">
        <v>414</v>
      </c>
      <c r="F6865" s="7" t="s">
        <v>425</v>
      </c>
    </row>
    <row r="6866" customFormat="false" ht="15" hidden="false" customHeight="false" outlineLevel="0" collapsed="false">
      <c r="A6866" s="4" t="str">
        <f aca="false">B6866&amp;"|"&amp;C6866</f>
        <v>tdbR00001092 Met-CAU|26</v>
      </c>
      <c r="B6866" s="4" t="s">
        <v>132</v>
      </c>
      <c r="C6866" s="4" t="s">
        <v>443</v>
      </c>
      <c r="D6866" s="4" t="n">
        <v>27</v>
      </c>
      <c r="E6866" s="3" t="s">
        <v>246</v>
      </c>
      <c r="F6866" s="4" t="s">
        <v>444</v>
      </c>
    </row>
    <row r="6867" customFormat="false" ht="15" hidden="false" customHeight="false" outlineLevel="0" collapsed="false">
      <c r="A6867" s="4" t="str">
        <f aca="false">B6867&amp;"|"&amp;C6867</f>
        <v>tdbR00001092 Met-CAU|27</v>
      </c>
      <c r="B6867" s="4" t="s">
        <v>132</v>
      </c>
      <c r="C6867" s="4" t="s">
        <v>445</v>
      </c>
      <c r="D6867" s="4" t="n">
        <v>28</v>
      </c>
      <c r="E6867" s="21" t="s">
        <v>414</v>
      </c>
      <c r="F6867" s="22" t="s">
        <v>446</v>
      </c>
    </row>
    <row r="6868" customFormat="false" ht="15" hidden="false" customHeight="false" outlineLevel="0" collapsed="false">
      <c r="A6868" s="4" t="str">
        <f aca="false">B6868&amp;"|"&amp;C6868</f>
        <v>tdbR00001092 Met-CAU|28</v>
      </c>
      <c r="B6868" s="4" t="s">
        <v>132</v>
      </c>
      <c r="C6868" s="4" t="s">
        <v>447</v>
      </c>
      <c r="D6868" s="4" t="n">
        <v>29</v>
      </c>
      <c r="E6868" s="21" t="s">
        <v>246</v>
      </c>
      <c r="F6868" s="22" t="s">
        <v>446</v>
      </c>
    </row>
    <row r="6869" customFormat="false" ht="15" hidden="false" customHeight="false" outlineLevel="0" collapsed="false">
      <c r="A6869" s="4" t="str">
        <f aca="false">B6869&amp;"|"&amp;C6869</f>
        <v>tdbR00001092 Met-CAU|29</v>
      </c>
      <c r="B6869" s="4" t="s">
        <v>132</v>
      </c>
      <c r="C6869" s="4" t="s">
        <v>448</v>
      </c>
      <c r="D6869" s="4" t="n">
        <v>30</v>
      </c>
      <c r="E6869" s="21" t="s">
        <v>259</v>
      </c>
      <c r="F6869" s="22" t="s">
        <v>446</v>
      </c>
    </row>
    <row r="6870" customFormat="false" ht="15" hidden="false" customHeight="false" outlineLevel="0" collapsed="false">
      <c r="A6870" s="4" t="str">
        <f aca="false">B6870&amp;"|"&amp;C6870</f>
        <v>tdbR00001092 Met-CAU|30</v>
      </c>
      <c r="B6870" s="4" t="s">
        <v>132</v>
      </c>
      <c r="C6870" s="4" t="s">
        <v>449</v>
      </c>
      <c r="D6870" s="4" t="n">
        <v>31</v>
      </c>
      <c r="E6870" s="21" t="s">
        <v>414</v>
      </c>
      <c r="F6870" s="22" t="s">
        <v>446</v>
      </c>
    </row>
    <row r="6871" customFormat="false" ht="15" hidden="false" customHeight="false" outlineLevel="0" collapsed="false">
      <c r="A6871" s="4" t="str">
        <f aca="false">B6871&amp;"|"&amp;C6871</f>
        <v>tdbR00001092 Met-CAU|31</v>
      </c>
      <c r="B6871" s="4" t="s">
        <v>132</v>
      </c>
      <c r="C6871" s="4" t="s">
        <v>450</v>
      </c>
      <c r="D6871" s="4" t="n">
        <v>32</v>
      </c>
      <c r="E6871" s="21" t="s">
        <v>246</v>
      </c>
      <c r="F6871" s="22" t="s">
        <v>446</v>
      </c>
    </row>
    <row r="6872" customFormat="false" ht="15" hidden="false" customHeight="false" outlineLevel="0" collapsed="false">
      <c r="A6872" s="4" t="str">
        <f aca="false">B6872&amp;"|"&amp;C6872</f>
        <v>tdbR00001092 Met-CAU|32</v>
      </c>
      <c r="B6872" s="4" t="s">
        <v>132</v>
      </c>
      <c r="C6872" s="4" t="s">
        <v>451</v>
      </c>
      <c r="D6872" s="4" t="n">
        <v>33</v>
      </c>
      <c r="E6872" s="19" t="s">
        <v>414</v>
      </c>
      <c r="F6872" s="20" t="s">
        <v>452</v>
      </c>
    </row>
    <row r="6873" customFormat="false" ht="15" hidden="false" customHeight="false" outlineLevel="0" collapsed="false">
      <c r="A6873" s="4" t="str">
        <f aca="false">B6873&amp;"|"&amp;C6873</f>
        <v>tdbR00001092 Met-CAU|33</v>
      </c>
      <c r="B6873" s="4" t="s">
        <v>132</v>
      </c>
      <c r="C6873" s="4" t="s">
        <v>453</v>
      </c>
      <c r="D6873" s="4" t="n">
        <v>34</v>
      </c>
      <c r="E6873" s="19" t="s">
        <v>259</v>
      </c>
      <c r="F6873" s="20" t="s">
        <v>452</v>
      </c>
    </row>
    <row r="6874" customFormat="false" ht="15" hidden="false" customHeight="false" outlineLevel="0" collapsed="false">
      <c r="A6874" s="4" t="str">
        <f aca="false">B6874&amp;"|"&amp;C6874</f>
        <v>tdbR00001092 Met-CAU|34</v>
      </c>
      <c r="B6874" s="4" t="s">
        <v>132</v>
      </c>
      <c r="C6874" s="4" t="s">
        <v>454</v>
      </c>
      <c r="D6874" s="4" t="n">
        <v>35</v>
      </c>
      <c r="E6874" s="19" t="s">
        <v>414</v>
      </c>
      <c r="F6874" s="20" t="s">
        <v>452</v>
      </c>
    </row>
    <row r="6875" customFormat="false" ht="15" hidden="false" customHeight="false" outlineLevel="0" collapsed="false">
      <c r="A6875" s="4" t="str">
        <f aca="false">B6875&amp;"|"&amp;C6875</f>
        <v>tdbR00001092 Met-CAU|35</v>
      </c>
      <c r="B6875" s="4" t="s">
        <v>132</v>
      </c>
      <c r="C6875" s="4" t="s">
        <v>455</v>
      </c>
      <c r="D6875" s="4" t="n">
        <v>36</v>
      </c>
      <c r="E6875" s="19" t="s">
        <v>246</v>
      </c>
      <c r="F6875" s="20" t="s">
        <v>452</v>
      </c>
    </row>
    <row r="6876" customFormat="false" ht="15" hidden="false" customHeight="false" outlineLevel="0" collapsed="false">
      <c r="A6876" s="4" t="str">
        <f aca="false">B6876&amp;"|"&amp;C6876</f>
        <v>tdbR00001092 Met-CAU|36</v>
      </c>
      <c r="B6876" s="4" t="s">
        <v>132</v>
      </c>
      <c r="C6876" s="4" t="s">
        <v>456</v>
      </c>
      <c r="D6876" s="4" t="n">
        <v>37</v>
      </c>
      <c r="E6876" s="19" t="s">
        <v>259</v>
      </c>
      <c r="F6876" s="20" t="s">
        <v>452</v>
      </c>
    </row>
    <row r="6877" customFormat="false" ht="15" hidden="false" customHeight="false" outlineLevel="0" collapsed="false">
      <c r="A6877" s="4" t="str">
        <f aca="false">B6877&amp;"|"&amp;C6877</f>
        <v>tdbR00001092 Met-CAU|37</v>
      </c>
      <c r="B6877" s="4" t="s">
        <v>132</v>
      </c>
      <c r="C6877" s="4" t="s">
        <v>457</v>
      </c>
      <c r="D6877" s="4" t="n">
        <v>38</v>
      </c>
      <c r="E6877" s="19" t="s">
        <v>246</v>
      </c>
      <c r="F6877" s="20" t="s">
        <v>452</v>
      </c>
    </row>
    <row r="6878" customFormat="false" ht="15" hidden="false" customHeight="false" outlineLevel="0" collapsed="false">
      <c r="A6878" s="4" t="str">
        <f aca="false">B6878&amp;"|"&amp;C6878</f>
        <v>tdbR00001092 Met-CAU|38</v>
      </c>
      <c r="B6878" s="4" t="s">
        <v>132</v>
      </c>
      <c r="C6878" s="4" t="s">
        <v>458</v>
      </c>
      <c r="D6878" s="4" t="n">
        <v>39</v>
      </c>
      <c r="E6878" s="19" t="s">
        <v>246</v>
      </c>
      <c r="F6878" s="20" t="s">
        <v>452</v>
      </c>
    </row>
    <row r="6879" customFormat="false" ht="15" hidden="false" customHeight="false" outlineLevel="0" collapsed="false">
      <c r="A6879" s="4" t="str">
        <f aca="false">B6879&amp;"|"&amp;C6879</f>
        <v>tdbR00001092 Met-CAU|39</v>
      </c>
      <c r="B6879" s="4" t="s">
        <v>132</v>
      </c>
      <c r="C6879" s="4" t="s">
        <v>459</v>
      </c>
      <c r="D6879" s="4" t="n">
        <v>40</v>
      </c>
      <c r="E6879" s="21" t="s">
        <v>259</v>
      </c>
      <c r="F6879" s="22" t="s">
        <v>446</v>
      </c>
    </row>
    <row r="6880" customFormat="false" ht="15" hidden="false" customHeight="false" outlineLevel="0" collapsed="false">
      <c r="A6880" s="4" t="str">
        <f aca="false">B6880&amp;"|"&amp;C6880</f>
        <v>tdbR00001092 Met-CAU|40</v>
      </c>
      <c r="B6880" s="4" t="s">
        <v>132</v>
      </c>
      <c r="C6880" s="4" t="s">
        <v>460</v>
      </c>
      <c r="D6880" s="4" t="n">
        <v>41</v>
      </c>
      <c r="E6880" s="21" t="s">
        <v>197</v>
      </c>
      <c r="F6880" s="22" t="s">
        <v>446</v>
      </c>
    </row>
    <row r="6881" customFormat="false" ht="15" hidden="false" customHeight="false" outlineLevel="0" collapsed="false">
      <c r="A6881" s="4" t="str">
        <f aca="false">B6881&amp;"|"&amp;C6881</f>
        <v>tdbR00001092 Met-CAU|41</v>
      </c>
      <c r="B6881" s="4" t="s">
        <v>132</v>
      </c>
      <c r="C6881" s="4" t="s">
        <v>461</v>
      </c>
      <c r="D6881" s="4" t="n">
        <v>42</v>
      </c>
      <c r="E6881" s="21" t="s">
        <v>246</v>
      </c>
      <c r="F6881" s="22" t="s">
        <v>446</v>
      </c>
    </row>
    <row r="6882" customFormat="false" ht="15" hidden="false" customHeight="false" outlineLevel="0" collapsed="false">
      <c r="A6882" s="4" t="str">
        <f aca="false">B6882&amp;"|"&amp;C6882</f>
        <v>tdbR00001092 Met-CAU|42</v>
      </c>
      <c r="B6882" s="4" t="s">
        <v>132</v>
      </c>
      <c r="C6882" s="4" t="s">
        <v>462</v>
      </c>
      <c r="D6882" s="4" t="n">
        <v>43</v>
      </c>
      <c r="E6882" s="21" t="s">
        <v>259</v>
      </c>
      <c r="F6882" s="22" t="s">
        <v>446</v>
      </c>
    </row>
    <row r="6883" customFormat="false" ht="15" hidden="false" customHeight="false" outlineLevel="0" collapsed="false">
      <c r="A6883" s="4" t="str">
        <f aca="false">B6883&amp;"|"&amp;C6883</f>
        <v>tdbR00001092 Met-CAU|43</v>
      </c>
      <c r="B6883" s="4" t="s">
        <v>132</v>
      </c>
      <c r="C6883" s="4" t="s">
        <v>463</v>
      </c>
      <c r="D6883" s="4" t="n">
        <v>44</v>
      </c>
      <c r="E6883" s="21" t="s">
        <v>197</v>
      </c>
      <c r="F6883" s="22" t="s">
        <v>446</v>
      </c>
    </row>
    <row r="6884" customFormat="false" ht="15" hidden="false" customHeight="false" outlineLevel="0" collapsed="false">
      <c r="A6884" s="4" t="str">
        <f aca="false">B6884&amp;"|"&amp;C6884</f>
        <v>tdbR00001092 Met-CAU|44</v>
      </c>
      <c r="B6884" s="4" t="s">
        <v>132</v>
      </c>
      <c r="C6884" s="4" t="s">
        <v>464</v>
      </c>
      <c r="D6884" s="4" t="n">
        <v>45</v>
      </c>
      <c r="E6884" s="19" t="s">
        <v>197</v>
      </c>
      <c r="F6884" s="20" t="s">
        <v>465</v>
      </c>
    </row>
    <row r="6885" customFormat="false" ht="15" hidden="false" customHeight="false" outlineLevel="0" collapsed="false">
      <c r="A6885" s="4" t="str">
        <f aca="false">B6885&amp;"|"&amp;C6885</f>
        <v>tdbR00001092 Met-CAU|45</v>
      </c>
      <c r="B6885" s="4" t="s">
        <v>132</v>
      </c>
      <c r="C6885" s="4" t="s">
        <v>466</v>
      </c>
      <c r="D6885" s="4" t="n">
        <v>46</v>
      </c>
      <c r="E6885" s="19" t="s">
        <v>197</v>
      </c>
      <c r="F6885" s="20" t="s">
        <v>465</v>
      </c>
    </row>
    <row r="6886" customFormat="false" ht="15" hidden="false" customHeight="false" outlineLevel="0" collapsed="false">
      <c r="A6886" s="4" t="str">
        <f aca="false">B6886&amp;"|"&amp;C6886</f>
        <v>tdbR00001092 Met-CAU|46</v>
      </c>
      <c r="B6886" s="4" t="s">
        <v>132</v>
      </c>
      <c r="C6886" s="4" t="s">
        <v>467</v>
      </c>
      <c r="D6886" s="4" t="n">
        <v>47</v>
      </c>
      <c r="E6886" s="19" t="s">
        <v>197</v>
      </c>
      <c r="F6886" s="20" t="s">
        <v>465</v>
      </c>
    </row>
    <row r="6887" customFormat="false" ht="15" hidden="false" customHeight="false" outlineLevel="0" collapsed="false">
      <c r="A6887" s="4" t="str">
        <f aca="false">B6887&amp;"|"&amp;C6887</f>
        <v>tdbR00001092 Met-CAU|47</v>
      </c>
      <c r="B6887" s="4" t="s">
        <v>132</v>
      </c>
      <c r="C6887" s="4" t="s">
        <v>468</v>
      </c>
      <c r="D6887" s="4" t="n">
        <v>48</v>
      </c>
      <c r="E6887" s="19" t="s">
        <v>259</v>
      </c>
      <c r="F6887" s="20" t="s">
        <v>465</v>
      </c>
    </row>
    <row r="6888" customFormat="false" ht="15" hidden="false" customHeight="false" outlineLevel="0" collapsed="false">
      <c r="A6888" s="4" t="str">
        <f aca="false">B6888&amp;"|"&amp;C6888</f>
        <v>tdbR00001092 Met-CAU|48</v>
      </c>
      <c r="B6888" s="4" t="s">
        <v>132</v>
      </c>
      <c r="C6888" s="4" t="s">
        <v>469</v>
      </c>
      <c r="D6888" s="4" t="n">
        <v>49</v>
      </c>
      <c r="E6888" s="19" t="s">
        <v>414</v>
      </c>
      <c r="F6888" s="20" t="s">
        <v>465</v>
      </c>
    </row>
    <row r="6889" customFormat="false" ht="15" hidden="false" customHeight="false" outlineLevel="0" collapsed="false">
      <c r="A6889" s="4" t="str">
        <f aca="false">B6889&amp;"|"&amp;C6889</f>
        <v>tdbR00001092 Met-CAU|49</v>
      </c>
      <c r="B6889" s="4" t="s">
        <v>132</v>
      </c>
      <c r="C6889" s="4" t="s">
        <v>470</v>
      </c>
      <c r="D6889" s="4" t="n">
        <v>50</v>
      </c>
      <c r="E6889" s="23" t="s">
        <v>246</v>
      </c>
      <c r="F6889" s="10" t="s">
        <v>471</v>
      </c>
    </row>
    <row r="6890" customFormat="false" ht="15" hidden="false" customHeight="false" outlineLevel="0" collapsed="false">
      <c r="A6890" s="4" t="str">
        <f aca="false">B6890&amp;"|"&amp;C6890</f>
        <v>tdbR00001092 Met-CAU|50</v>
      </c>
      <c r="B6890" s="4" t="s">
        <v>132</v>
      </c>
      <c r="C6890" s="4" t="s">
        <v>472</v>
      </c>
      <c r="D6890" s="4" t="n">
        <v>51</v>
      </c>
      <c r="E6890" s="23" t="s">
        <v>414</v>
      </c>
      <c r="F6890" s="10" t="s">
        <v>471</v>
      </c>
    </row>
    <row r="6891" customFormat="false" ht="15" hidden="false" customHeight="false" outlineLevel="0" collapsed="false">
      <c r="A6891" s="4" t="str">
        <f aca="false">B6891&amp;"|"&amp;C6891</f>
        <v>tdbR00001092 Met-CAU|51</v>
      </c>
      <c r="B6891" s="4" t="s">
        <v>132</v>
      </c>
      <c r="C6891" s="4" t="s">
        <v>473</v>
      </c>
      <c r="D6891" s="4" t="n">
        <v>52</v>
      </c>
      <c r="E6891" s="23" t="s">
        <v>246</v>
      </c>
      <c r="F6891" s="10" t="s">
        <v>471</v>
      </c>
    </row>
    <row r="6892" customFormat="false" ht="15" hidden="false" customHeight="false" outlineLevel="0" collapsed="false">
      <c r="A6892" s="4" t="str">
        <f aca="false">B6892&amp;"|"&amp;C6892</f>
        <v>tdbR00001092 Met-CAU|52</v>
      </c>
      <c r="B6892" s="4" t="s">
        <v>132</v>
      </c>
      <c r="C6892" s="4" t="s">
        <v>474</v>
      </c>
      <c r="D6892" s="4" t="n">
        <v>53</v>
      </c>
      <c r="E6892" s="23" t="s">
        <v>197</v>
      </c>
      <c r="F6892" s="10" t="s">
        <v>471</v>
      </c>
    </row>
    <row r="6893" customFormat="false" ht="15" hidden="false" customHeight="false" outlineLevel="0" collapsed="false">
      <c r="A6893" s="4" t="str">
        <f aca="false">B6893&amp;"|"&amp;C6893</f>
        <v>tdbR00001092 Met-CAU|53</v>
      </c>
      <c r="B6893" s="4" t="s">
        <v>132</v>
      </c>
      <c r="C6893" s="4" t="s">
        <v>475</v>
      </c>
      <c r="D6893" s="4" t="n">
        <v>54</v>
      </c>
      <c r="E6893" s="23" t="s">
        <v>197</v>
      </c>
      <c r="F6893" s="10" t="s">
        <v>471</v>
      </c>
    </row>
    <row r="6894" customFormat="false" ht="15" hidden="false" customHeight="false" outlineLevel="0" collapsed="false">
      <c r="A6894" s="4" t="str">
        <f aca="false">B6894&amp;"|"&amp;C6894</f>
        <v>tdbR00001092 Met-CAU|54</v>
      </c>
      <c r="B6894" s="4" t="s">
        <v>132</v>
      </c>
      <c r="C6894" s="4" t="s">
        <v>476</v>
      </c>
      <c r="D6894" s="4" t="n">
        <v>55</v>
      </c>
      <c r="E6894" s="19" t="s">
        <v>259</v>
      </c>
      <c r="F6894" s="20" t="s">
        <v>477</v>
      </c>
    </row>
    <row r="6895" customFormat="false" ht="15" hidden="false" customHeight="false" outlineLevel="0" collapsed="false">
      <c r="A6895" s="4" t="str">
        <f aca="false">B6895&amp;"|"&amp;C6895</f>
        <v>tdbR00001092 Met-CAU|55</v>
      </c>
      <c r="B6895" s="4" t="s">
        <v>132</v>
      </c>
      <c r="C6895" s="4" t="s">
        <v>478</v>
      </c>
      <c r="D6895" s="4" t="n">
        <v>56</v>
      </c>
      <c r="E6895" s="19" t="s">
        <v>259</v>
      </c>
      <c r="F6895" s="20" t="s">
        <v>477</v>
      </c>
    </row>
    <row r="6896" customFormat="false" ht="15" hidden="false" customHeight="false" outlineLevel="0" collapsed="false">
      <c r="A6896" s="4" t="str">
        <f aca="false">B6896&amp;"|"&amp;C6896</f>
        <v>tdbR00001092 Met-CAU|56</v>
      </c>
      <c r="B6896" s="4" t="s">
        <v>132</v>
      </c>
      <c r="C6896" s="4" t="s">
        <v>479</v>
      </c>
      <c r="D6896" s="4" t="n">
        <v>57</v>
      </c>
      <c r="E6896" s="19" t="s">
        <v>414</v>
      </c>
      <c r="F6896" s="20" t="s">
        <v>477</v>
      </c>
    </row>
    <row r="6897" customFormat="false" ht="15" hidden="false" customHeight="false" outlineLevel="0" collapsed="false">
      <c r="A6897" s="4" t="str">
        <f aca="false">B6897&amp;"|"&amp;C6897</f>
        <v>tdbR00001092 Met-CAU|57</v>
      </c>
      <c r="B6897" s="4" t="s">
        <v>132</v>
      </c>
      <c r="C6897" s="4" t="s">
        <v>480</v>
      </c>
      <c r="D6897" s="4" t="n">
        <v>58</v>
      </c>
      <c r="E6897" s="19" t="s">
        <v>197</v>
      </c>
      <c r="F6897" s="20" t="s">
        <v>477</v>
      </c>
    </row>
    <row r="6898" customFormat="false" ht="15" hidden="false" customHeight="false" outlineLevel="0" collapsed="false">
      <c r="A6898" s="4" t="str">
        <f aca="false">B6898&amp;"|"&amp;C6898</f>
        <v>tdbR00001092 Met-CAU|58</v>
      </c>
      <c r="B6898" s="4" t="s">
        <v>132</v>
      </c>
      <c r="C6898" s="4" t="s">
        <v>481</v>
      </c>
      <c r="D6898" s="4" t="n">
        <v>59</v>
      </c>
      <c r="E6898" s="19" t="s">
        <v>246</v>
      </c>
      <c r="F6898" s="20" t="s">
        <v>477</v>
      </c>
    </row>
    <row r="6899" customFormat="false" ht="15" hidden="false" customHeight="false" outlineLevel="0" collapsed="false">
      <c r="A6899" s="4" t="str">
        <f aca="false">B6899&amp;"|"&amp;C6899</f>
        <v>tdbR00001092 Met-CAU|59</v>
      </c>
      <c r="B6899" s="4" t="s">
        <v>132</v>
      </c>
      <c r="C6899" s="4" t="s">
        <v>482</v>
      </c>
      <c r="D6899" s="4" t="n">
        <v>60</v>
      </c>
      <c r="E6899" s="19" t="s">
        <v>246</v>
      </c>
      <c r="F6899" s="20" t="s">
        <v>477</v>
      </c>
    </row>
    <row r="6900" customFormat="false" ht="15" hidden="false" customHeight="false" outlineLevel="0" collapsed="false">
      <c r="A6900" s="4" t="str">
        <f aca="false">B6900&amp;"|"&amp;C6900</f>
        <v>tdbR00001092 Met-CAU|60</v>
      </c>
      <c r="B6900" s="4" t="s">
        <v>132</v>
      </c>
      <c r="C6900" s="4" t="s">
        <v>483</v>
      </c>
      <c r="D6900" s="4" t="n">
        <v>61</v>
      </c>
      <c r="E6900" s="19" t="s">
        <v>259</v>
      </c>
      <c r="F6900" s="20" t="s">
        <v>477</v>
      </c>
    </row>
    <row r="6901" customFormat="false" ht="15" hidden="false" customHeight="false" outlineLevel="0" collapsed="false">
      <c r="A6901" s="4" t="str">
        <f aca="false">B6901&amp;"|"&amp;C6901</f>
        <v>tdbR00001092 Met-CAU|61</v>
      </c>
      <c r="B6901" s="4" t="s">
        <v>132</v>
      </c>
      <c r="C6901" s="4" t="s">
        <v>484</v>
      </c>
      <c r="D6901" s="4" t="n">
        <v>62</v>
      </c>
      <c r="E6901" s="23" t="s">
        <v>414</v>
      </c>
      <c r="F6901" s="10" t="s">
        <v>471</v>
      </c>
    </row>
    <row r="6902" customFormat="false" ht="15" hidden="false" customHeight="false" outlineLevel="0" collapsed="false">
      <c r="A6902" s="4" t="str">
        <f aca="false">B6902&amp;"|"&amp;C6902</f>
        <v>tdbR00001092 Met-CAU|62</v>
      </c>
      <c r="B6902" s="4" t="s">
        <v>132</v>
      </c>
      <c r="C6902" s="4" t="s">
        <v>485</v>
      </c>
      <c r="D6902" s="4" t="n">
        <v>63</v>
      </c>
      <c r="E6902" s="23" t="s">
        <v>414</v>
      </c>
      <c r="F6902" s="10" t="s">
        <v>471</v>
      </c>
    </row>
    <row r="6903" customFormat="false" ht="15" hidden="false" customHeight="false" outlineLevel="0" collapsed="false">
      <c r="A6903" s="4" t="str">
        <f aca="false">B6903&amp;"|"&amp;C6903</f>
        <v>tdbR00001092 Met-CAU|63</v>
      </c>
      <c r="B6903" s="4" t="s">
        <v>132</v>
      </c>
      <c r="C6903" s="4" t="s">
        <v>486</v>
      </c>
      <c r="D6903" s="4" t="n">
        <v>64</v>
      </c>
      <c r="E6903" s="23" t="s">
        <v>414</v>
      </c>
      <c r="F6903" s="10" t="s">
        <v>471</v>
      </c>
    </row>
    <row r="6904" customFormat="false" ht="15" hidden="false" customHeight="false" outlineLevel="0" collapsed="false">
      <c r="A6904" s="4" t="str">
        <f aca="false">B6904&amp;"|"&amp;C6904</f>
        <v>tdbR00001092 Met-CAU|64</v>
      </c>
      <c r="B6904" s="4" t="s">
        <v>132</v>
      </c>
      <c r="C6904" s="4" t="s">
        <v>487</v>
      </c>
      <c r="D6904" s="4" t="n">
        <v>65</v>
      </c>
      <c r="E6904" s="23" t="s">
        <v>197</v>
      </c>
      <c r="F6904" s="10" t="s">
        <v>471</v>
      </c>
    </row>
    <row r="6905" customFormat="false" ht="15" hidden="false" customHeight="false" outlineLevel="0" collapsed="false">
      <c r="A6905" s="4" t="str">
        <f aca="false">B6905&amp;"|"&amp;C6905</f>
        <v>tdbR00001092 Met-CAU|65</v>
      </c>
      <c r="B6905" s="4" t="s">
        <v>132</v>
      </c>
      <c r="C6905" s="4" t="s">
        <v>488</v>
      </c>
      <c r="D6905" s="4" t="n">
        <v>66</v>
      </c>
      <c r="E6905" s="23" t="s">
        <v>259</v>
      </c>
      <c r="F6905" s="10" t="s">
        <v>471</v>
      </c>
    </row>
    <row r="6906" customFormat="false" ht="15" hidden="false" customHeight="false" outlineLevel="0" collapsed="false">
      <c r="A6906" s="4" t="str">
        <f aca="false">B6906&amp;"|"&amp;C6906</f>
        <v>tdbR00001092 Met-CAU|66</v>
      </c>
      <c r="B6906" s="4" t="s">
        <v>132</v>
      </c>
      <c r="C6906" s="4" t="s">
        <v>489</v>
      </c>
      <c r="D6906" s="4" t="n">
        <v>67</v>
      </c>
      <c r="E6906" s="17" t="s">
        <v>414</v>
      </c>
      <c r="F6906" s="18" t="s">
        <v>412</v>
      </c>
    </row>
    <row r="6907" customFormat="false" ht="15" hidden="false" customHeight="false" outlineLevel="0" collapsed="false">
      <c r="A6907" s="4" t="str">
        <f aca="false">B6907&amp;"|"&amp;C6907</f>
        <v>tdbR00001092 Met-CAU|67</v>
      </c>
      <c r="B6907" s="4" t="s">
        <v>132</v>
      </c>
      <c r="C6907" s="4" t="s">
        <v>490</v>
      </c>
      <c r="D6907" s="4" t="n">
        <v>68</v>
      </c>
      <c r="E6907" s="17" t="s">
        <v>197</v>
      </c>
      <c r="F6907" s="18" t="s">
        <v>412</v>
      </c>
    </row>
    <row r="6908" customFormat="false" ht="15" hidden="false" customHeight="false" outlineLevel="0" collapsed="false">
      <c r="A6908" s="4" t="str">
        <f aca="false">B6908&amp;"|"&amp;C6908</f>
        <v>tdbR00001092 Met-CAU|68</v>
      </c>
      <c r="B6908" s="4" t="s">
        <v>132</v>
      </c>
      <c r="C6908" s="4" t="s">
        <v>491</v>
      </c>
      <c r="D6908" s="4" t="n">
        <v>69</v>
      </c>
      <c r="E6908" s="17" t="s">
        <v>259</v>
      </c>
      <c r="F6908" s="18" t="s">
        <v>412</v>
      </c>
    </row>
    <row r="6909" customFormat="false" ht="15" hidden="false" customHeight="false" outlineLevel="0" collapsed="false">
      <c r="A6909" s="4" t="str">
        <f aca="false">B6909&amp;"|"&amp;C6909</f>
        <v>tdbR00001092 Met-CAU|69</v>
      </c>
      <c r="B6909" s="4" t="s">
        <v>132</v>
      </c>
      <c r="C6909" s="4" t="s">
        <v>492</v>
      </c>
      <c r="D6909" s="4" t="n">
        <v>70</v>
      </c>
      <c r="E6909" s="17" t="s">
        <v>246</v>
      </c>
      <c r="F6909" s="18" t="s">
        <v>412</v>
      </c>
    </row>
    <row r="6910" customFormat="false" ht="15" hidden="false" customHeight="false" outlineLevel="0" collapsed="false">
      <c r="A6910" s="4" t="str">
        <f aca="false">B6910&amp;"|"&amp;C6910</f>
        <v>tdbR00001092 Met-CAU|70</v>
      </c>
      <c r="B6910" s="4" t="s">
        <v>132</v>
      </c>
      <c r="C6910" s="4" t="s">
        <v>493</v>
      </c>
      <c r="D6910" s="4" t="n">
        <v>71</v>
      </c>
      <c r="E6910" s="17" t="s">
        <v>197</v>
      </c>
      <c r="F6910" s="18" t="s">
        <v>412</v>
      </c>
    </row>
    <row r="6911" customFormat="false" ht="15" hidden="false" customHeight="false" outlineLevel="0" collapsed="false">
      <c r="A6911" s="4" t="str">
        <f aca="false">B6911&amp;"|"&amp;C6911</f>
        <v>tdbR00001092 Met-CAU|71</v>
      </c>
      <c r="B6911" s="4" t="s">
        <v>132</v>
      </c>
      <c r="C6911" s="4" t="s">
        <v>494</v>
      </c>
      <c r="D6911" s="4" t="n">
        <v>72</v>
      </c>
      <c r="E6911" s="17" t="s">
        <v>414</v>
      </c>
      <c r="F6911" s="18" t="s">
        <v>412</v>
      </c>
    </row>
    <row r="6912" customFormat="false" ht="15" hidden="false" customHeight="false" outlineLevel="0" collapsed="false">
      <c r="A6912" s="4" t="str">
        <f aca="false">B6912&amp;"|"&amp;C6912</f>
        <v>tdbR00001092 Met-CAU|72</v>
      </c>
      <c r="B6912" s="4" t="s">
        <v>132</v>
      </c>
      <c r="C6912" s="4" t="s">
        <v>495</v>
      </c>
      <c r="D6912" s="4" t="n">
        <v>73</v>
      </c>
      <c r="E6912" s="17" t="s">
        <v>414</v>
      </c>
      <c r="F6912" s="18" t="s">
        <v>412</v>
      </c>
    </row>
  </sheetData>
  <autoFilter ref="A1:F69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7"/>
    <col collapsed="false" customWidth="true" hidden="false" outlineLevel="0" max="3" min="3" style="0" width="13"/>
    <col collapsed="false" customWidth="true" hidden="false" outlineLevel="0" max="5" min="4" style="0" width="12"/>
    <col collapsed="false" customWidth="true" hidden="false" outlineLevel="0" max="7" min="6" style="0" width="9"/>
    <col collapsed="false" customWidth="true" hidden="false" outlineLevel="0" max="8" min="8" style="0" width="8"/>
    <col collapsed="false" customWidth="true" hidden="false" outlineLevel="0" max="10" min="9" style="0" width="9"/>
    <col collapsed="false" customWidth="true" hidden="false" outlineLevel="0" max="11" min="11" style="0" width="10"/>
  </cols>
  <sheetData>
    <row r="1" customFormat="false" ht="26.85" hidden="false" customHeight="false" outlineLevel="0" collapsed="false">
      <c r="A1" s="2" t="s">
        <v>1</v>
      </c>
      <c r="B1" s="2" t="s">
        <v>507</v>
      </c>
      <c r="C1" s="2" t="s">
        <v>508</v>
      </c>
      <c r="D1" s="2" t="s">
        <v>509</v>
      </c>
      <c r="E1" s="2" t="s">
        <v>510</v>
      </c>
      <c r="F1" s="2" t="s">
        <v>511</v>
      </c>
      <c r="G1" s="2" t="s">
        <v>512</v>
      </c>
      <c r="H1" s="2" t="s">
        <v>513</v>
      </c>
      <c r="I1" s="2" t="s">
        <v>514</v>
      </c>
      <c r="J1" s="2" t="s">
        <v>515</v>
      </c>
      <c r="K1" s="2" t="s">
        <v>516</v>
      </c>
    </row>
    <row r="2" customFormat="false" ht="15" hidden="false" customHeight="false" outlineLevel="0" collapsed="false">
      <c r="A2" s="4" t="s">
        <v>37</v>
      </c>
      <c r="B2" s="4" t="s">
        <v>412</v>
      </c>
      <c r="C2" s="4" t="s">
        <v>517</v>
      </c>
      <c r="D2" s="4" t="n">
        <f aca="false">IFERROR(INDEX(Positions!$D$2:$D$6912,MATCH($A2&amp;"|1",Positions!$A$2:$A$6912,0)),"-")</f>
        <v>1</v>
      </c>
      <c r="E2" s="4" t="n">
        <f aca="false">IFERROR(INDEX(Positions!$D$2:$D$6912,MATCH($A2&amp;"|72",Positions!$A$2:$A$6912,0)),"-")</f>
        <v>73</v>
      </c>
      <c r="F2" s="4" t="str">
        <f aca="false">IFERROR(INDEX(Positions!$E$2:$E$6912,MATCH($A2&amp;"|1",Positions!$A$2:$A$6912,0)),"-")</f>
        <v>G</v>
      </c>
      <c r="G2" s="4" t="str">
        <f aca="false">IFERROR(INDEX(Positions!$E$2:$E$6912,MATCH($A2&amp;"|72",Positions!$A$2:$A$6912,0)),"-")</f>
        <v>C</v>
      </c>
      <c r="H2" s="3" t="str">
        <f aca="false">F2&amp;"-"&amp;G2</f>
        <v>G-C</v>
      </c>
      <c r="I2" s="4" t="n">
        <f aca="false">(F2="G")+(G2="G")</f>
        <v>1</v>
      </c>
      <c r="J2" s="4" t="n">
        <f aca="false">(F2="C")+(G2="C")</f>
        <v>1</v>
      </c>
      <c r="K2" s="3" t="n">
        <f aca="false">I2+J2</f>
        <v>2</v>
      </c>
    </row>
    <row r="3" customFormat="false" ht="15" hidden="false" customHeight="false" outlineLevel="0" collapsed="false">
      <c r="A3" s="4" t="s">
        <v>37</v>
      </c>
      <c r="B3" s="4" t="s">
        <v>412</v>
      </c>
      <c r="C3" s="4" t="s">
        <v>518</v>
      </c>
      <c r="D3" s="4" t="n">
        <f aca="false">IFERROR(INDEX(Positions!$D$2:$D$6912,MATCH($A3&amp;"|2",Positions!$A$2:$A$6912,0)),"-")</f>
        <v>2</v>
      </c>
      <c r="E3" s="4" t="n">
        <f aca="false">IFERROR(INDEX(Positions!$D$2:$D$6912,MATCH($A3&amp;"|71",Positions!$A$2:$A$6912,0)),"-")</f>
        <v>72</v>
      </c>
      <c r="F3" s="4" t="str">
        <f aca="false">IFERROR(INDEX(Positions!$E$2:$E$6912,MATCH($A3&amp;"|2",Positions!$A$2:$A$6912,0)),"-")</f>
        <v>C</v>
      </c>
      <c r="G3" s="4" t="str">
        <f aca="false">IFERROR(INDEX(Positions!$E$2:$E$6912,MATCH($A3&amp;"|71",Positions!$A$2:$A$6912,0)),"-")</f>
        <v>G</v>
      </c>
      <c r="H3" s="3" t="str">
        <f aca="false">F3&amp;"-"&amp;G3</f>
        <v>C-G</v>
      </c>
      <c r="I3" s="4" t="n">
        <f aca="false">(F3="G")+(G3="G")</f>
        <v>1</v>
      </c>
      <c r="J3" s="4" t="n">
        <f aca="false">(F3="C")+(G3="C")</f>
        <v>1</v>
      </c>
      <c r="K3" s="3" t="n">
        <f aca="false">I3+J3</f>
        <v>2</v>
      </c>
    </row>
    <row r="4" customFormat="false" ht="15" hidden="false" customHeight="false" outlineLevel="0" collapsed="false">
      <c r="A4" s="4" t="s">
        <v>37</v>
      </c>
      <c r="B4" s="4" t="s">
        <v>412</v>
      </c>
      <c r="C4" s="4" t="s">
        <v>386</v>
      </c>
      <c r="D4" s="4" t="n">
        <f aca="false">IFERROR(INDEX(Positions!$D$2:$D$6912,MATCH($A4&amp;"|3",Positions!$A$2:$A$6912,0)),"-")</f>
        <v>3</v>
      </c>
      <c r="E4" s="4" t="n">
        <f aca="false">IFERROR(INDEX(Positions!$D$2:$D$6912,MATCH($A4&amp;"|70",Positions!$A$2:$A$6912,0)),"-")</f>
        <v>71</v>
      </c>
      <c r="F4" s="4" t="str">
        <f aca="false">IFERROR(INDEX(Positions!$E$2:$E$6912,MATCH($A4&amp;"|3",Positions!$A$2:$A$6912,0)),"-")</f>
        <v>C</v>
      </c>
      <c r="G4" s="4" t="str">
        <f aca="false">IFERROR(INDEX(Positions!$E$2:$E$6912,MATCH($A4&amp;"|70",Positions!$A$2:$A$6912,0)),"-")</f>
        <v>G</v>
      </c>
      <c r="H4" s="3" t="str">
        <f aca="false">F4&amp;"-"&amp;G4</f>
        <v>C-G</v>
      </c>
      <c r="I4" s="4" t="n">
        <f aca="false">(F4="G")+(G4="G")</f>
        <v>1</v>
      </c>
      <c r="J4" s="4" t="n">
        <f aca="false">(F4="C")+(G4="C")</f>
        <v>1</v>
      </c>
      <c r="K4" s="3" t="n">
        <f aca="false">I4+J4</f>
        <v>2</v>
      </c>
    </row>
    <row r="5" customFormat="false" ht="15" hidden="false" customHeight="false" outlineLevel="0" collapsed="false">
      <c r="A5" s="4" t="s">
        <v>37</v>
      </c>
      <c r="B5" s="4" t="s">
        <v>412</v>
      </c>
      <c r="C5" s="4" t="s">
        <v>519</v>
      </c>
      <c r="D5" s="4" t="n">
        <f aca="false">IFERROR(INDEX(Positions!$D$2:$D$6912,MATCH($A5&amp;"|4",Positions!$A$2:$A$6912,0)),"-")</f>
        <v>4</v>
      </c>
      <c r="E5" s="4" t="n">
        <f aca="false">IFERROR(INDEX(Positions!$D$2:$D$6912,MATCH($A5&amp;"|69",Positions!$A$2:$A$6912,0)),"-")</f>
        <v>70</v>
      </c>
      <c r="F5" s="4" t="str">
        <f aca="false">IFERROR(INDEX(Positions!$E$2:$E$6912,MATCH($A5&amp;"|4",Positions!$A$2:$A$6912,0)),"-")</f>
        <v>C</v>
      </c>
      <c r="G5" s="4" t="str">
        <f aca="false">IFERROR(INDEX(Positions!$E$2:$E$6912,MATCH($A5&amp;"|69",Positions!$A$2:$A$6912,0)),"-")</f>
        <v>G</v>
      </c>
      <c r="H5" s="3" t="str">
        <f aca="false">F5&amp;"-"&amp;G5</f>
        <v>C-G</v>
      </c>
      <c r="I5" s="4" t="n">
        <f aca="false">(F5="G")+(G5="G")</f>
        <v>1</v>
      </c>
      <c r="J5" s="4" t="n">
        <f aca="false">(F5="C")+(G5="C")</f>
        <v>1</v>
      </c>
      <c r="K5" s="3" t="n">
        <f aca="false">I5+J5</f>
        <v>2</v>
      </c>
    </row>
    <row r="6" customFormat="false" ht="15" hidden="false" customHeight="false" outlineLevel="0" collapsed="false">
      <c r="A6" s="4" t="s">
        <v>37</v>
      </c>
      <c r="B6" s="4" t="s">
        <v>412</v>
      </c>
      <c r="C6" s="4" t="s">
        <v>283</v>
      </c>
      <c r="D6" s="4" t="n">
        <f aca="false">IFERROR(INDEX(Positions!$D$2:$D$6912,MATCH($A6&amp;"|5",Positions!$A$2:$A$6912,0)),"-")</f>
        <v>5</v>
      </c>
      <c r="E6" s="4" t="n">
        <f aca="false">IFERROR(INDEX(Positions!$D$2:$D$6912,MATCH($A6&amp;"|68",Positions!$A$2:$A$6912,0)),"-")</f>
        <v>69</v>
      </c>
      <c r="F6" s="4" t="str">
        <f aca="false">IFERROR(INDEX(Positions!$E$2:$E$6912,MATCH($A6&amp;"|5",Positions!$A$2:$A$6912,0)),"-")</f>
        <v>G</v>
      </c>
      <c r="G6" s="4" t="str">
        <f aca="false">IFERROR(INDEX(Positions!$E$2:$E$6912,MATCH($A6&amp;"|68",Positions!$A$2:$A$6912,0)),"-")</f>
        <v>C</v>
      </c>
      <c r="H6" s="3" t="str">
        <f aca="false">F6&amp;"-"&amp;G6</f>
        <v>G-C</v>
      </c>
      <c r="I6" s="4" t="n">
        <f aca="false">(F6="G")+(G6="G")</f>
        <v>1</v>
      </c>
      <c r="J6" s="4" t="n">
        <f aca="false">(F6="C")+(G6="C")</f>
        <v>1</v>
      </c>
      <c r="K6" s="3" t="n">
        <f aca="false">I6+J6</f>
        <v>2</v>
      </c>
    </row>
    <row r="7" customFormat="false" ht="15" hidden="false" customHeight="false" outlineLevel="0" collapsed="false">
      <c r="A7" s="4" t="s">
        <v>37</v>
      </c>
      <c r="B7" s="4" t="s">
        <v>412</v>
      </c>
      <c r="C7" s="4" t="s">
        <v>520</v>
      </c>
      <c r="D7" s="4" t="n">
        <f aca="false">IFERROR(INDEX(Positions!$D$2:$D$6912,MATCH($A7&amp;"|6",Positions!$A$2:$A$6912,0)),"-")</f>
        <v>6</v>
      </c>
      <c r="E7" s="4" t="n">
        <f aca="false">IFERROR(INDEX(Positions!$D$2:$D$6912,MATCH($A7&amp;"|67",Positions!$A$2:$A$6912,0)),"-")</f>
        <v>68</v>
      </c>
      <c r="F7" s="4" t="str">
        <f aca="false">IFERROR(INDEX(Positions!$E$2:$E$6912,MATCH($A7&amp;"|6",Positions!$A$2:$A$6912,0)),"-")</f>
        <v>G</v>
      </c>
      <c r="G7" s="4" t="str">
        <f aca="false">IFERROR(INDEX(Positions!$E$2:$E$6912,MATCH($A7&amp;"|67",Positions!$A$2:$A$6912,0)),"-")</f>
        <v>C</v>
      </c>
      <c r="H7" s="3" t="str">
        <f aca="false">F7&amp;"-"&amp;G7</f>
        <v>G-C</v>
      </c>
      <c r="I7" s="4" t="n">
        <f aca="false">(F7="G")+(G7="G")</f>
        <v>1</v>
      </c>
      <c r="J7" s="4" t="n">
        <f aca="false">(F7="C")+(G7="C")</f>
        <v>1</v>
      </c>
      <c r="K7" s="3" t="n">
        <f aca="false">I7+J7</f>
        <v>2</v>
      </c>
    </row>
    <row r="8" customFormat="false" ht="15" hidden="false" customHeight="false" outlineLevel="0" collapsed="false">
      <c r="A8" s="4" t="s">
        <v>37</v>
      </c>
      <c r="B8" s="4" t="s">
        <v>412</v>
      </c>
      <c r="C8" s="4" t="s">
        <v>521</v>
      </c>
      <c r="D8" s="4" t="n">
        <f aca="false">IFERROR(INDEX(Positions!$D$2:$D$6912,MATCH($A8&amp;"|7",Positions!$A$2:$A$6912,0)),"-")</f>
        <v>7</v>
      </c>
      <c r="E8" s="4" t="n">
        <f aca="false">IFERROR(INDEX(Positions!$D$2:$D$6912,MATCH($A8&amp;"|66",Positions!$A$2:$A$6912,0)),"-")</f>
        <v>67</v>
      </c>
      <c r="F8" s="4" t="str">
        <f aca="false">IFERROR(INDEX(Positions!$E$2:$E$6912,MATCH($A8&amp;"|7",Positions!$A$2:$A$6912,0)),"-")</f>
        <v>G</v>
      </c>
      <c r="G8" s="4" t="str">
        <f aca="false">IFERROR(INDEX(Positions!$E$2:$E$6912,MATCH($A8&amp;"|66",Positions!$A$2:$A$6912,0)),"-")</f>
        <v>C</v>
      </c>
      <c r="H8" s="3" t="str">
        <f aca="false">F8&amp;"-"&amp;G8</f>
        <v>G-C</v>
      </c>
      <c r="I8" s="4" t="n">
        <f aca="false">(F8="G")+(G8="G")</f>
        <v>1</v>
      </c>
      <c r="J8" s="4" t="n">
        <f aca="false">(F8="C")+(G8="C")</f>
        <v>1</v>
      </c>
      <c r="K8" s="3" t="n">
        <f aca="false">I8+J8</f>
        <v>2</v>
      </c>
    </row>
    <row r="9" customFormat="false" ht="15" hidden="false" customHeight="false" outlineLevel="0" collapsed="false">
      <c r="A9" s="4" t="s">
        <v>37</v>
      </c>
      <c r="B9" s="4" t="s">
        <v>425</v>
      </c>
      <c r="C9" s="4" t="s">
        <v>522</v>
      </c>
      <c r="D9" s="4" t="n">
        <f aca="false">IFERROR(INDEX(Positions!$D$2:$D$6912,MATCH($A9&amp;"|10",Positions!$A$2:$A$6912,0)),"-")</f>
        <v>10</v>
      </c>
      <c r="E9" s="4" t="n">
        <f aca="false">IFERROR(INDEX(Positions!$D$2:$D$6912,MATCH($A9&amp;"|25",Positions!$A$2:$A$6912,0)),"-")</f>
        <v>26</v>
      </c>
      <c r="F9" s="4" t="str">
        <f aca="false">IFERROR(INDEX(Positions!$E$2:$E$6912,MATCH($A9&amp;"|10",Positions!$A$2:$A$6912,0)),"-")</f>
        <v>G</v>
      </c>
      <c r="G9" s="4" t="str">
        <f aca="false">IFERROR(INDEX(Positions!$E$2:$E$6912,MATCH($A9&amp;"|25",Positions!$A$2:$A$6912,0)),"-")</f>
        <v>C</v>
      </c>
      <c r="H9" s="3" t="str">
        <f aca="false">F9&amp;"-"&amp;G9</f>
        <v>G-C</v>
      </c>
      <c r="I9" s="4" t="n">
        <f aca="false">(F9="G")+(G9="G")</f>
        <v>1</v>
      </c>
      <c r="J9" s="4" t="n">
        <f aca="false">(F9="C")+(G9="C")</f>
        <v>1</v>
      </c>
      <c r="K9" s="3" t="n">
        <f aca="false">I9+J9</f>
        <v>2</v>
      </c>
    </row>
    <row r="10" customFormat="false" ht="15" hidden="false" customHeight="false" outlineLevel="0" collapsed="false">
      <c r="A10" s="4" t="s">
        <v>37</v>
      </c>
      <c r="B10" s="4" t="s">
        <v>425</v>
      </c>
      <c r="C10" s="4" t="s">
        <v>523</v>
      </c>
      <c r="D10" s="4" t="n">
        <f aca="false">IFERROR(INDEX(Positions!$D$2:$D$6912,MATCH($A10&amp;"|11",Positions!$A$2:$A$6912,0)),"-")</f>
        <v>11</v>
      </c>
      <c r="E10" s="4" t="n">
        <f aca="false">IFERROR(INDEX(Positions!$D$2:$D$6912,MATCH($A10&amp;"|24",Positions!$A$2:$A$6912,0)),"-")</f>
        <v>25</v>
      </c>
      <c r="F10" s="4" t="str">
        <f aca="false">IFERROR(INDEX(Positions!$E$2:$E$6912,MATCH($A10&amp;"|11",Positions!$A$2:$A$6912,0)),"-")</f>
        <v>C</v>
      </c>
      <c r="G10" s="4" t="str">
        <f aca="false">IFERROR(INDEX(Positions!$E$2:$E$6912,MATCH($A10&amp;"|24",Positions!$A$2:$A$6912,0)),"-")</f>
        <v>G</v>
      </c>
      <c r="H10" s="3" t="str">
        <f aca="false">F10&amp;"-"&amp;G10</f>
        <v>C-G</v>
      </c>
      <c r="I10" s="4" t="n">
        <f aca="false">(F10="G")+(G10="G")</f>
        <v>1</v>
      </c>
      <c r="J10" s="4" t="n">
        <f aca="false">(F10="C")+(G10="C")</f>
        <v>1</v>
      </c>
      <c r="K10" s="3" t="n">
        <f aca="false">I10+J10</f>
        <v>2</v>
      </c>
    </row>
    <row r="11" customFormat="false" ht="15" hidden="false" customHeight="false" outlineLevel="0" collapsed="false">
      <c r="A11" s="4" t="s">
        <v>37</v>
      </c>
      <c r="B11" s="4" t="s">
        <v>425</v>
      </c>
      <c r="C11" s="4" t="s">
        <v>250</v>
      </c>
      <c r="D11" s="4" t="n">
        <f aca="false">IFERROR(INDEX(Positions!$D$2:$D$6912,MATCH($A11&amp;"|12",Positions!$A$2:$A$6912,0)),"-")</f>
        <v>12</v>
      </c>
      <c r="E11" s="4" t="n">
        <f aca="false">IFERROR(INDEX(Positions!$D$2:$D$6912,MATCH($A11&amp;"|23",Positions!$A$2:$A$6912,0)),"-")</f>
        <v>24</v>
      </c>
      <c r="F11" s="4" t="str">
        <f aca="false">IFERROR(INDEX(Positions!$E$2:$E$6912,MATCH($A11&amp;"|12",Positions!$A$2:$A$6912,0)),"-")</f>
        <v>U</v>
      </c>
      <c r="G11" s="4" t="str">
        <f aca="false">IFERROR(INDEX(Positions!$E$2:$E$6912,MATCH($A11&amp;"|23",Positions!$A$2:$A$6912,0)),"-")</f>
        <v>A</v>
      </c>
      <c r="H11" s="3" t="str">
        <f aca="false">F11&amp;"-"&amp;G11</f>
        <v>U-A</v>
      </c>
      <c r="I11" s="4" t="n">
        <f aca="false">(F11="G")+(G11="G")</f>
        <v>0</v>
      </c>
      <c r="J11" s="4" t="n">
        <f aca="false">(F11="C")+(G11="C")</f>
        <v>0</v>
      </c>
      <c r="K11" s="3" t="n">
        <f aca="false">I11+J11</f>
        <v>0</v>
      </c>
    </row>
    <row r="12" customFormat="false" ht="15" hidden="false" customHeight="false" outlineLevel="0" collapsed="false">
      <c r="A12" s="4" t="s">
        <v>37</v>
      </c>
      <c r="B12" s="4" t="s">
        <v>425</v>
      </c>
      <c r="C12" s="4" t="s">
        <v>154</v>
      </c>
      <c r="D12" s="4" t="n">
        <f aca="false">IFERROR(INDEX(Positions!$D$2:$D$6912,MATCH($A12&amp;"|13",Positions!$A$2:$A$6912,0)),"-")</f>
        <v>13</v>
      </c>
      <c r="E12" s="4" t="n">
        <f aca="false">IFERROR(INDEX(Positions!$D$2:$D$6912,MATCH($A12&amp;"|22",Positions!$A$2:$A$6912,0)),"-")</f>
        <v>23</v>
      </c>
      <c r="F12" s="4" t="str">
        <f aca="false">IFERROR(INDEX(Positions!$E$2:$E$6912,MATCH($A12&amp;"|13",Positions!$A$2:$A$6912,0)),"-")</f>
        <v>U</v>
      </c>
      <c r="G12" s="4" t="str">
        <f aca="false">IFERROR(INDEX(Positions!$E$2:$E$6912,MATCH($A12&amp;"|22",Positions!$A$2:$A$6912,0)),"-")</f>
        <v>U</v>
      </c>
      <c r="H12" s="3" t="str">
        <f aca="false">F12&amp;"-"&amp;G12</f>
        <v>U-U</v>
      </c>
      <c r="I12" s="4" t="n">
        <f aca="false">(F12="G")+(G12="G")</f>
        <v>0</v>
      </c>
      <c r="J12" s="4" t="n">
        <f aca="false">(F12="C")+(G12="C")</f>
        <v>0</v>
      </c>
      <c r="K12" s="3" t="n">
        <f aca="false">I12+J12</f>
        <v>0</v>
      </c>
    </row>
    <row r="13" customFormat="false" ht="15" hidden="false" customHeight="false" outlineLevel="0" collapsed="false">
      <c r="A13" s="4" t="s">
        <v>37</v>
      </c>
      <c r="B13" s="4" t="s">
        <v>446</v>
      </c>
      <c r="C13" s="4" t="s">
        <v>524</v>
      </c>
      <c r="D13" s="4" t="n">
        <f aca="false">IFERROR(INDEX(Positions!$D$2:$D$6912,MATCH($A13&amp;"|27",Positions!$A$2:$A$6912,0)),"-")</f>
        <v>28</v>
      </c>
      <c r="E13" s="4" t="n">
        <f aca="false">IFERROR(INDEX(Positions!$D$2:$D$6912,MATCH($A13&amp;"|43",Positions!$A$2:$A$6912,0)),"-")</f>
        <v>44</v>
      </c>
      <c r="F13" s="4" t="str">
        <f aca="false">IFERROR(INDEX(Positions!$E$2:$E$6912,MATCH($A13&amp;"|27",Positions!$A$2:$A$6912,0)),"-")</f>
        <v>C</v>
      </c>
      <c r="G13" s="4" t="str">
        <f aca="false">IFERROR(INDEX(Positions!$E$2:$E$6912,MATCH($A13&amp;"|43",Positions!$A$2:$A$6912,0)),"-")</f>
        <v>G</v>
      </c>
      <c r="H13" s="3" t="str">
        <f aca="false">F13&amp;"-"&amp;G13</f>
        <v>C-G</v>
      </c>
      <c r="I13" s="4" t="n">
        <f aca="false">(F13="G")+(G13="G")</f>
        <v>1</v>
      </c>
      <c r="J13" s="4" t="n">
        <f aca="false">(F13="C")+(G13="C")</f>
        <v>1</v>
      </c>
      <c r="K13" s="3" t="n">
        <f aca="false">I13+J13</f>
        <v>2</v>
      </c>
    </row>
    <row r="14" customFormat="false" ht="15" hidden="false" customHeight="false" outlineLevel="0" collapsed="false">
      <c r="A14" s="4" t="s">
        <v>37</v>
      </c>
      <c r="B14" s="4" t="s">
        <v>446</v>
      </c>
      <c r="C14" s="4" t="s">
        <v>525</v>
      </c>
      <c r="D14" s="4" t="n">
        <f aca="false">IFERROR(INDEX(Positions!$D$2:$D$6912,MATCH($A14&amp;"|28",Positions!$A$2:$A$6912,0)),"-")</f>
        <v>29</v>
      </c>
      <c r="E14" s="4" t="n">
        <f aca="false">IFERROR(INDEX(Positions!$D$2:$D$6912,MATCH($A14&amp;"|42",Positions!$A$2:$A$6912,0)),"-")</f>
        <v>43</v>
      </c>
      <c r="F14" s="4" t="str">
        <f aca="false">IFERROR(INDEX(Positions!$E$2:$E$6912,MATCH($A14&amp;"|28",Positions!$A$2:$A$6912,0)),"-")</f>
        <v>C</v>
      </c>
      <c r="G14" s="4" t="str">
        <f aca="false">IFERROR(INDEX(Positions!$E$2:$E$6912,MATCH($A14&amp;"|42",Positions!$A$2:$A$6912,0)),"-")</f>
        <v>G</v>
      </c>
      <c r="H14" s="3" t="str">
        <f aca="false">F14&amp;"-"&amp;G14</f>
        <v>C-G</v>
      </c>
      <c r="I14" s="4" t="n">
        <f aca="false">(F14="G")+(G14="G")</f>
        <v>1</v>
      </c>
      <c r="J14" s="4" t="n">
        <f aca="false">(F14="C")+(G14="C")</f>
        <v>1</v>
      </c>
      <c r="K14" s="3" t="n">
        <f aca="false">I14+J14</f>
        <v>2</v>
      </c>
    </row>
    <row r="15" customFormat="false" ht="15" hidden="false" customHeight="false" outlineLevel="0" collapsed="false">
      <c r="A15" s="4" t="s">
        <v>37</v>
      </c>
      <c r="B15" s="4" t="s">
        <v>446</v>
      </c>
      <c r="C15" s="4" t="s">
        <v>256</v>
      </c>
      <c r="D15" s="4" t="n">
        <f aca="false">IFERROR(INDEX(Positions!$D$2:$D$6912,MATCH($A15&amp;"|29",Positions!$A$2:$A$6912,0)),"-")</f>
        <v>30</v>
      </c>
      <c r="E15" s="4" t="n">
        <f aca="false">IFERROR(INDEX(Positions!$D$2:$D$6912,MATCH($A15&amp;"|41",Positions!$A$2:$A$6912,0)),"-")</f>
        <v>42</v>
      </c>
      <c r="F15" s="4" t="str">
        <f aca="false">IFERROR(INDEX(Positions!$E$2:$E$6912,MATCH($A15&amp;"|29",Positions!$A$2:$A$6912,0)),"-")</f>
        <v>G</v>
      </c>
      <c r="G15" s="4" t="str">
        <f aca="false">IFERROR(INDEX(Positions!$E$2:$E$6912,MATCH($A15&amp;"|41",Positions!$A$2:$A$6912,0)),"-")</f>
        <v>C</v>
      </c>
      <c r="H15" s="3" t="str">
        <f aca="false">F15&amp;"-"&amp;G15</f>
        <v>G-C</v>
      </c>
      <c r="I15" s="4" t="n">
        <f aca="false">(F15="G")+(G15="G")</f>
        <v>1</v>
      </c>
      <c r="J15" s="4" t="n">
        <f aca="false">(F15="C")+(G15="C")</f>
        <v>1</v>
      </c>
      <c r="K15" s="3" t="n">
        <f aca="false">I15+J15</f>
        <v>2</v>
      </c>
    </row>
    <row r="16" customFormat="false" ht="15" hidden="false" customHeight="false" outlineLevel="0" collapsed="false">
      <c r="A16" s="4" t="s">
        <v>37</v>
      </c>
      <c r="B16" s="4" t="s">
        <v>446</v>
      </c>
      <c r="C16" s="4" t="s">
        <v>526</v>
      </c>
      <c r="D16" s="4" t="n">
        <f aca="false">IFERROR(INDEX(Positions!$D$2:$D$6912,MATCH($A16&amp;"|30",Positions!$A$2:$A$6912,0)),"-")</f>
        <v>31</v>
      </c>
      <c r="E16" s="4" t="n">
        <f aca="false">IFERROR(INDEX(Positions!$D$2:$D$6912,MATCH($A16&amp;"|40",Positions!$A$2:$A$6912,0)),"-")</f>
        <v>41</v>
      </c>
      <c r="F16" s="4" t="str">
        <f aca="false">IFERROR(INDEX(Positions!$E$2:$E$6912,MATCH($A16&amp;"|30",Positions!$A$2:$A$6912,0)),"-")</f>
        <v>C</v>
      </c>
      <c r="G16" s="4" t="str">
        <f aca="false">IFERROR(INDEX(Positions!$E$2:$E$6912,MATCH($A16&amp;"|40",Positions!$A$2:$A$6912,0)),"-")</f>
        <v>G</v>
      </c>
      <c r="H16" s="3" t="str">
        <f aca="false">F16&amp;"-"&amp;G16</f>
        <v>C-G</v>
      </c>
      <c r="I16" s="4" t="n">
        <f aca="false">(F16="G")+(G16="G")</f>
        <v>1</v>
      </c>
      <c r="J16" s="4" t="n">
        <f aca="false">(F16="C")+(G16="C")</f>
        <v>1</v>
      </c>
      <c r="K16" s="3" t="n">
        <f aca="false">I16+J16</f>
        <v>2</v>
      </c>
    </row>
    <row r="17" customFormat="false" ht="15" hidden="false" customHeight="false" outlineLevel="0" collapsed="false">
      <c r="A17" s="4" t="s">
        <v>37</v>
      </c>
      <c r="B17" s="4" t="s">
        <v>446</v>
      </c>
      <c r="C17" s="4" t="s">
        <v>273</v>
      </c>
      <c r="D17" s="4" t="n">
        <f aca="false">IFERROR(INDEX(Positions!$D$2:$D$6912,MATCH($A17&amp;"|31",Positions!$A$2:$A$6912,0)),"-")</f>
        <v>32</v>
      </c>
      <c r="E17" s="4" t="n">
        <f aca="false">IFERROR(INDEX(Positions!$D$2:$D$6912,MATCH($A17&amp;"|39",Positions!$A$2:$A$6912,0)),"-")</f>
        <v>40</v>
      </c>
      <c r="F17" s="4" t="str">
        <f aca="false">IFERROR(INDEX(Positions!$E$2:$E$6912,MATCH($A17&amp;"|31",Positions!$A$2:$A$6912,0)),"-")</f>
        <v>A</v>
      </c>
      <c r="G17" s="4" t="str">
        <f aca="false">IFERROR(INDEX(Positions!$E$2:$E$6912,MATCH($A17&amp;"|39",Positions!$A$2:$A$6912,0)),"-")</f>
        <v>U</v>
      </c>
      <c r="H17" s="3" t="str">
        <f aca="false">F17&amp;"-"&amp;G17</f>
        <v>A-U</v>
      </c>
      <c r="I17" s="4" t="n">
        <f aca="false">(F17="G")+(G17="G")</f>
        <v>0</v>
      </c>
      <c r="J17" s="4" t="n">
        <f aca="false">(F17="C")+(G17="C")</f>
        <v>0</v>
      </c>
      <c r="K17" s="3" t="n">
        <f aca="false">I17+J17</f>
        <v>0</v>
      </c>
    </row>
    <row r="18" customFormat="false" ht="15" hidden="false" customHeight="false" outlineLevel="0" collapsed="false">
      <c r="A18" s="4" t="s">
        <v>37</v>
      </c>
      <c r="B18" s="4" t="s">
        <v>471</v>
      </c>
      <c r="C18" s="4" t="s">
        <v>367</v>
      </c>
      <c r="D18" s="4" t="n">
        <f aca="false">IFERROR(INDEX(Positions!$D$2:$D$6912,MATCH($A18&amp;"|49",Positions!$A$2:$A$6912,0)),"-")</f>
        <v>50</v>
      </c>
      <c r="E18" s="4" t="n">
        <f aca="false">IFERROR(INDEX(Positions!$D$2:$D$6912,MATCH($A18&amp;"|65",Positions!$A$2:$A$6912,0)),"-")</f>
        <v>66</v>
      </c>
      <c r="F18" s="4" t="str">
        <f aca="false">IFERROR(INDEX(Positions!$E$2:$E$6912,MATCH($A18&amp;"|49",Positions!$A$2:$A$6912,0)),"-")</f>
        <v>G</v>
      </c>
      <c r="G18" s="4" t="str">
        <f aca="false">IFERROR(INDEX(Positions!$E$2:$E$6912,MATCH($A18&amp;"|65",Positions!$A$2:$A$6912,0)),"-")</f>
        <v>C</v>
      </c>
      <c r="H18" s="3" t="str">
        <f aca="false">F18&amp;"-"&amp;G18</f>
        <v>G-C</v>
      </c>
      <c r="I18" s="4" t="n">
        <f aca="false">(F18="G")+(G18="G")</f>
        <v>1</v>
      </c>
      <c r="J18" s="4" t="n">
        <f aca="false">(F18="C")+(G18="C")</f>
        <v>1</v>
      </c>
      <c r="K18" s="3" t="n">
        <f aca="false">I18+J18</f>
        <v>2</v>
      </c>
    </row>
    <row r="19" customFormat="false" ht="15" hidden="false" customHeight="false" outlineLevel="0" collapsed="false">
      <c r="A19" s="4" t="s">
        <v>37</v>
      </c>
      <c r="B19" s="4" t="s">
        <v>471</v>
      </c>
      <c r="C19" s="4" t="s">
        <v>233</v>
      </c>
      <c r="D19" s="4" t="n">
        <f aca="false">IFERROR(INDEX(Positions!$D$2:$D$6912,MATCH($A19&amp;"|50",Positions!$A$2:$A$6912,0)),"-")</f>
        <v>51</v>
      </c>
      <c r="E19" s="4" t="n">
        <f aca="false">IFERROR(INDEX(Positions!$D$2:$D$6912,MATCH($A19&amp;"|64",Positions!$A$2:$A$6912,0)),"-")</f>
        <v>65</v>
      </c>
      <c r="F19" s="4" t="str">
        <f aca="false">IFERROR(INDEX(Positions!$E$2:$E$6912,MATCH($A19&amp;"|50",Positions!$A$2:$A$6912,0)),"-")</f>
        <v>U</v>
      </c>
      <c r="G19" s="4" t="str">
        <f aca="false">IFERROR(INDEX(Positions!$E$2:$E$6912,MATCH($A19&amp;"|64",Positions!$A$2:$A$6912,0)),"-")</f>
        <v>A</v>
      </c>
      <c r="H19" s="3" t="str">
        <f aca="false">F19&amp;"-"&amp;G19</f>
        <v>U-A</v>
      </c>
      <c r="I19" s="4" t="n">
        <f aca="false">(F19="G")+(G19="G")</f>
        <v>0</v>
      </c>
      <c r="J19" s="4" t="n">
        <f aca="false">(F19="C")+(G19="C")</f>
        <v>0</v>
      </c>
      <c r="K19" s="3" t="n">
        <f aca="false">I19+J19</f>
        <v>0</v>
      </c>
    </row>
    <row r="20" customFormat="false" ht="15" hidden="false" customHeight="false" outlineLevel="0" collapsed="false">
      <c r="A20" s="4" t="s">
        <v>37</v>
      </c>
      <c r="B20" s="4" t="s">
        <v>471</v>
      </c>
      <c r="C20" s="4" t="s">
        <v>527</v>
      </c>
      <c r="D20" s="4" t="n">
        <f aca="false">IFERROR(INDEX(Positions!$D$2:$D$6912,MATCH($A20&amp;"|51",Positions!$A$2:$A$6912,0)),"-")</f>
        <v>52</v>
      </c>
      <c r="E20" s="4" t="n">
        <f aca="false">IFERROR(INDEX(Positions!$D$2:$D$6912,MATCH($A20&amp;"|63",Positions!$A$2:$A$6912,0)),"-")</f>
        <v>64</v>
      </c>
      <c r="F20" s="4" t="str">
        <f aca="false">IFERROR(INDEX(Positions!$E$2:$E$6912,MATCH($A20&amp;"|51",Positions!$A$2:$A$6912,0)),"-")</f>
        <v>G</v>
      </c>
      <c r="G20" s="4" t="str">
        <f aca="false">IFERROR(INDEX(Positions!$E$2:$E$6912,MATCH($A20&amp;"|63",Positions!$A$2:$A$6912,0)),"-")</f>
        <v>C</v>
      </c>
      <c r="H20" s="3" t="str">
        <f aca="false">F20&amp;"-"&amp;G20</f>
        <v>G-C</v>
      </c>
      <c r="I20" s="4" t="n">
        <f aca="false">(F20="G")+(G20="G")</f>
        <v>1</v>
      </c>
      <c r="J20" s="4" t="n">
        <f aca="false">(F20="C")+(G20="C")</f>
        <v>1</v>
      </c>
      <c r="K20" s="3" t="n">
        <f aca="false">I20+J20</f>
        <v>2</v>
      </c>
    </row>
    <row r="21" customFormat="false" ht="15" hidden="false" customHeight="false" outlineLevel="0" collapsed="false">
      <c r="A21" s="4" t="s">
        <v>37</v>
      </c>
      <c r="B21" s="4" t="s">
        <v>471</v>
      </c>
      <c r="C21" s="4" t="s">
        <v>528</v>
      </c>
      <c r="D21" s="4" t="n">
        <f aca="false">IFERROR(INDEX(Positions!$D$2:$D$6912,MATCH($A21&amp;"|52",Positions!$A$2:$A$6912,0)),"-")</f>
        <v>53</v>
      </c>
      <c r="E21" s="4" t="n">
        <f aca="false">IFERROR(INDEX(Positions!$D$2:$D$6912,MATCH($A21&amp;"|62",Positions!$A$2:$A$6912,0)),"-")</f>
        <v>63</v>
      </c>
      <c r="F21" s="4" t="str">
        <f aca="false">IFERROR(INDEX(Positions!$E$2:$E$6912,MATCH($A21&amp;"|52",Positions!$A$2:$A$6912,0)),"-")</f>
        <v>G</v>
      </c>
      <c r="G21" s="4" t="str">
        <f aca="false">IFERROR(INDEX(Positions!$E$2:$E$6912,MATCH($A21&amp;"|62",Positions!$A$2:$A$6912,0)),"-")</f>
        <v>C</v>
      </c>
      <c r="H21" s="3" t="str">
        <f aca="false">F21&amp;"-"&amp;G21</f>
        <v>G-C</v>
      </c>
      <c r="I21" s="4" t="n">
        <f aca="false">(F21="G")+(G21="G")</f>
        <v>1</v>
      </c>
      <c r="J21" s="4" t="n">
        <f aca="false">(F21="C")+(G21="C")</f>
        <v>1</v>
      </c>
      <c r="K21" s="3" t="n">
        <f aca="false">I21+J21</f>
        <v>2</v>
      </c>
    </row>
    <row r="22" customFormat="false" ht="15" hidden="false" customHeight="false" outlineLevel="0" collapsed="false">
      <c r="A22" s="4" t="s">
        <v>37</v>
      </c>
      <c r="B22" s="4" t="s">
        <v>471</v>
      </c>
      <c r="C22" s="4" t="s">
        <v>529</v>
      </c>
      <c r="D22" s="4" t="n">
        <f aca="false">IFERROR(INDEX(Positions!$D$2:$D$6912,MATCH($A22&amp;"|53",Positions!$A$2:$A$6912,0)),"-")</f>
        <v>54</v>
      </c>
      <c r="E22" s="4" t="n">
        <f aca="false">IFERROR(INDEX(Positions!$D$2:$D$6912,MATCH($A22&amp;"|61",Positions!$A$2:$A$6912,0)),"-")</f>
        <v>62</v>
      </c>
      <c r="F22" s="4" t="str">
        <f aca="false">IFERROR(INDEX(Positions!$E$2:$E$6912,MATCH($A22&amp;"|53",Positions!$A$2:$A$6912,0)),"-")</f>
        <v>G</v>
      </c>
      <c r="G22" s="4" t="str">
        <f aca="false">IFERROR(INDEX(Positions!$E$2:$E$6912,MATCH($A22&amp;"|61",Positions!$A$2:$A$6912,0)),"-")</f>
        <v>C</v>
      </c>
      <c r="H22" s="3" t="str">
        <f aca="false">F22&amp;"-"&amp;G22</f>
        <v>G-C</v>
      </c>
      <c r="I22" s="4" t="n">
        <f aca="false">(F22="G")+(G22="G")</f>
        <v>1</v>
      </c>
      <c r="J22" s="4" t="n">
        <f aca="false">(F22="C")+(G22="C")</f>
        <v>1</v>
      </c>
      <c r="K22" s="3" t="n">
        <f aca="false">I22+J22</f>
        <v>2</v>
      </c>
    </row>
    <row r="23" customFormat="false" ht="15" hidden="false" customHeight="false" outlineLevel="0" collapsed="false">
      <c r="A23" s="24" t="s">
        <v>37</v>
      </c>
      <c r="B23" s="24" t="s">
        <v>530</v>
      </c>
      <c r="C23" s="24" t="s">
        <v>531</v>
      </c>
      <c r="D23" s="24" t="n">
        <f aca="false">IFERROR(INDEX(Positions!$D$2:$D$6912,MATCH($A23&amp;"|8",Positions!$A$2:$A$6912,0)),"-")</f>
        <v>8</v>
      </c>
      <c r="E23" s="24" t="n">
        <f aca="false">IFERROR(INDEX(Positions!$D$2:$D$6912,MATCH($A23&amp;"|14",Positions!$A$2:$A$6912,0)),"-")</f>
        <v>14</v>
      </c>
      <c r="F23" s="24" t="str">
        <f aca="false">IFERROR(INDEX(Positions!$E$2:$E$6912,MATCH($A23&amp;"|8",Positions!$A$2:$A$6912,0)),"-")</f>
        <v>U</v>
      </c>
      <c r="G23" s="24" t="str">
        <f aca="false">IFERROR(INDEX(Positions!$E$2:$E$6912,MATCH($A23&amp;"|14",Positions!$A$2:$A$6912,0)),"-")</f>
        <v>A</v>
      </c>
      <c r="H23" s="25" t="str">
        <f aca="false">F23&amp;"-"&amp;G23</f>
        <v>U-A</v>
      </c>
      <c r="I23" s="24" t="n">
        <f aca="false">(F23="G")+(G23="G")</f>
        <v>0</v>
      </c>
      <c r="J23" s="24" t="n">
        <f aca="false">(F23="C")+(G23="C")</f>
        <v>0</v>
      </c>
      <c r="K23" s="25" t="n">
        <f aca="false">I23+J23</f>
        <v>0</v>
      </c>
    </row>
    <row r="24" customFormat="false" ht="15" hidden="false" customHeight="false" outlineLevel="0" collapsed="false">
      <c r="A24" s="24" t="s">
        <v>37</v>
      </c>
      <c r="B24" s="24" t="s">
        <v>530</v>
      </c>
      <c r="C24" s="24" t="s">
        <v>532</v>
      </c>
      <c r="D24" s="24" t="n">
        <f aca="false">IFERROR(INDEX(Positions!$D$2:$D$6912,MATCH($A24&amp;"|15",Positions!$A$2:$A$6912,0)),"-")</f>
        <v>15</v>
      </c>
      <c r="E24" s="24" t="n">
        <f aca="false">IFERROR(INDEX(Positions!$D$2:$D$6912,MATCH($A24&amp;"|48",Positions!$A$2:$A$6912,0)),"-")</f>
        <v>49</v>
      </c>
      <c r="F24" s="24" t="str">
        <f aca="false">IFERROR(INDEX(Positions!$E$2:$E$6912,MATCH($A24&amp;"|15",Positions!$A$2:$A$6912,0)),"-")</f>
        <v>G</v>
      </c>
      <c r="G24" s="24" t="str">
        <f aca="false">IFERROR(INDEX(Positions!$E$2:$E$6912,MATCH($A24&amp;"|48",Positions!$A$2:$A$6912,0)),"-")</f>
        <v>C</v>
      </c>
      <c r="H24" s="25" t="str">
        <f aca="false">F24&amp;"-"&amp;G24</f>
        <v>G-C</v>
      </c>
      <c r="I24" s="24" t="n">
        <f aca="false">(F24="G")+(G24="G")</f>
        <v>1</v>
      </c>
      <c r="J24" s="24" t="n">
        <f aca="false">(F24="C")+(G24="C")</f>
        <v>1</v>
      </c>
      <c r="K24" s="25" t="n">
        <f aca="false">I24+J24</f>
        <v>2</v>
      </c>
    </row>
    <row r="25" customFormat="false" ht="15" hidden="false" customHeight="false" outlineLevel="0" collapsed="false">
      <c r="A25" s="24" t="s">
        <v>37</v>
      </c>
      <c r="B25" s="24" t="s">
        <v>530</v>
      </c>
      <c r="C25" s="24" t="s">
        <v>533</v>
      </c>
      <c r="D25" s="24" t="n">
        <f aca="false">IFERROR(INDEX(Positions!$D$2:$D$6912,MATCH($A25&amp;"|18",Positions!$A$2:$A$6912,0)),"-")</f>
        <v>18</v>
      </c>
      <c r="E25" s="24" t="n">
        <f aca="false">IFERROR(INDEX(Positions!$D$2:$D$6912,MATCH($A25&amp;"|55",Positions!$A$2:$A$6912,0)),"-")</f>
        <v>56</v>
      </c>
      <c r="F25" s="24" t="str">
        <f aca="false">IFERROR(INDEX(Positions!$E$2:$E$6912,MATCH($A25&amp;"|18",Positions!$A$2:$A$6912,0)),"-")</f>
        <v>G</v>
      </c>
      <c r="G25" s="24" t="str">
        <f aca="false">IFERROR(INDEX(Positions!$E$2:$E$6912,MATCH($A25&amp;"|55",Positions!$A$2:$A$6912,0)),"-")</f>
        <v>U</v>
      </c>
      <c r="H25" s="25" t="str">
        <f aca="false">F25&amp;"-"&amp;G25</f>
        <v>G-U</v>
      </c>
      <c r="I25" s="24" t="n">
        <f aca="false">(F25="G")+(G25="G")</f>
        <v>1</v>
      </c>
      <c r="J25" s="24" t="n">
        <f aca="false">(F25="C")+(G25="C")</f>
        <v>0</v>
      </c>
      <c r="K25" s="25" t="n">
        <f aca="false">I25+J25</f>
        <v>1</v>
      </c>
    </row>
    <row r="26" customFormat="false" ht="15" hidden="false" customHeight="false" outlineLevel="0" collapsed="false">
      <c r="A26" s="24" t="s">
        <v>37</v>
      </c>
      <c r="B26" s="24" t="s">
        <v>530</v>
      </c>
      <c r="C26" s="24" t="s">
        <v>534</v>
      </c>
      <c r="D26" s="24" t="n">
        <f aca="false">IFERROR(INDEX(Positions!$D$2:$D$6912,MATCH($A26&amp;"|19",Positions!$A$2:$A$6912,0)),"-")</f>
        <v>19</v>
      </c>
      <c r="E26" s="24" t="n">
        <f aca="false">IFERROR(INDEX(Positions!$D$2:$D$6912,MATCH($A26&amp;"|56",Positions!$A$2:$A$6912,0)),"-")</f>
        <v>57</v>
      </c>
      <c r="F26" s="24" t="str">
        <f aca="false">IFERROR(INDEX(Positions!$E$2:$E$6912,MATCH($A26&amp;"|19",Positions!$A$2:$A$6912,0)),"-")</f>
        <v>G</v>
      </c>
      <c r="G26" s="24" t="str">
        <f aca="false">IFERROR(INDEX(Positions!$E$2:$E$6912,MATCH($A26&amp;"|56",Positions!$A$2:$A$6912,0)),"-")</f>
        <v>C</v>
      </c>
      <c r="H26" s="25" t="str">
        <f aca="false">F26&amp;"-"&amp;G26</f>
        <v>G-C</v>
      </c>
      <c r="I26" s="24" t="n">
        <f aca="false">(F26="G")+(G26="G")</f>
        <v>1</v>
      </c>
      <c r="J26" s="24" t="n">
        <f aca="false">(F26="C")+(G26="C")</f>
        <v>1</v>
      </c>
      <c r="K26" s="25" t="n">
        <f aca="false">I26+J26</f>
        <v>2</v>
      </c>
    </row>
    <row r="27" customFormat="false" ht="15" hidden="false" customHeight="false" outlineLevel="0" collapsed="false">
      <c r="A27" s="24" t="s">
        <v>37</v>
      </c>
      <c r="B27" s="24" t="s">
        <v>530</v>
      </c>
      <c r="C27" s="24" t="s">
        <v>535</v>
      </c>
      <c r="D27" s="24" t="n">
        <f aca="false">IFERROR(INDEX(Positions!$D$2:$D$6912,MATCH($A27&amp;"|26",Positions!$A$2:$A$6912,0)),"-")</f>
        <v>27</v>
      </c>
      <c r="E27" s="24" t="n">
        <f aca="false">IFERROR(INDEX(Positions!$D$2:$D$6912,MATCH($A27&amp;"|44",Positions!$A$2:$A$6912,0)),"-")</f>
        <v>45</v>
      </c>
      <c r="F27" s="24" t="str">
        <f aca="false">IFERROR(INDEX(Positions!$E$2:$E$6912,MATCH($A27&amp;"|26",Positions!$A$2:$A$6912,0)),"-")</f>
        <v>G</v>
      </c>
      <c r="G27" s="24" t="str">
        <f aca="false">IFERROR(INDEX(Positions!$E$2:$E$6912,MATCH($A27&amp;"|44",Positions!$A$2:$A$6912,0)),"-")</f>
        <v>A</v>
      </c>
      <c r="H27" s="25" t="str">
        <f aca="false">F27&amp;"-"&amp;G27</f>
        <v>G-A</v>
      </c>
      <c r="I27" s="24" t="n">
        <f aca="false">(F27="G")+(G27="G")</f>
        <v>1</v>
      </c>
      <c r="J27" s="24" t="n">
        <f aca="false">(F27="C")+(G27="C")</f>
        <v>0</v>
      </c>
      <c r="K27" s="25" t="n">
        <f aca="false">I27+J27</f>
        <v>1</v>
      </c>
    </row>
    <row r="28" customFormat="false" ht="15" hidden="false" customHeight="false" outlineLevel="0" collapsed="false">
      <c r="A28" s="24" t="s">
        <v>37</v>
      </c>
      <c r="B28" s="24" t="s">
        <v>530</v>
      </c>
      <c r="C28" s="24" t="s">
        <v>536</v>
      </c>
      <c r="D28" s="24" t="n">
        <f aca="false">IFERROR(INDEX(Positions!$D$2:$D$6912,MATCH($A28&amp;"|32",Positions!$A$2:$A$6912,0)),"-")</f>
        <v>33</v>
      </c>
      <c r="E28" s="24" t="n">
        <f aca="false">IFERROR(INDEX(Positions!$D$2:$D$6912,MATCH($A28&amp;"|38",Positions!$A$2:$A$6912,0)),"-")</f>
        <v>39</v>
      </c>
      <c r="F28" s="24" t="str">
        <f aca="false">IFERROR(INDEX(Positions!$E$2:$E$6912,MATCH($A28&amp;"|32",Positions!$A$2:$A$6912,0)),"-")</f>
        <v>C</v>
      </c>
      <c r="G28" s="24" t="str">
        <f aca="false">IFERROR(INDEX(Positions!$E$2:$E$6912,MATCH($A28&amp;"|38",Positions!$A$2:$A$6912,0)),"-")</f>
        <v>A</v>
      </c>
      <c r="H28" s="25" t="str">
        <f aca="false">F28&amp;"-"&amp;G28</f>
        <v>C-A</v>
      </c>
      <c r="I28" s="24" t="n">
        <f aca="false">(F28="G")+(G28="G")</f>
        <v>0</v>
      </c>
      <c r="J28" s="24" t="n">
        <f aca="false">(F28="C")+(G28="C")</f>
        <v>1</v>
      </c>
      <c r="K28" s="25" t="n">
        <f aca="false">I28+J28</f>
        <v>1</v>
      </c>
    </row>
    <row r="29" customFormat="false" ht="15" hidden="false" customHeight="false" outlineLevel="0" collapsed="false">
      <c r="A29" s="24" t="s">
        <v>37</v>
      </c>
      <c r="B29" s="24" t="s">
        <v>530</v>
      </c>
      <c r="C29" s="24" t="s">
        <v>537</v>
      </c>
      <c r="D29" s="24" t="n">
        <f aca="false">IFERROR(INDEX(Positions!$D$2:$D$6912,MATCH($A29&amp;"|54",Positions!$A$2:$A$6912,0)),"-")</f>
        <v>55</v>
      </c>
      <c r="E29" s="24" t="n">
        <f aca="false">IFERROR(INDEX(Positions!$D$2:$D$6912,MATCH($A29&amp;"|58",Positions!$A$2:$A$6912,0)),"-")</f>
        <v>59</v>
      </c>
      <c r="F29" s="24" t="str">
        <f aca="false">IFERROR(INDEX(Positions!$E$2:$E$6912,MATCH($A29&amp;"|54",Positions!$A$2:$A$6912,0)),"-")</f>
        <v>U</v>
      </c>
      <c r="G29" s="24" t="str">
        <f aca="false">IFERROR(INDEX(Positions!$E$2:$E$6912,MATCH($A29&amp;"|58",Positions!$A$2:$A$6912,0)),"-")</f>
        <v>G</v>
      </c>
      <c r="H29" s="25" t="str">
        <f aca="false">F29&amp;"-"&amp;G29</f>
        <v>U-G</v>
      </c>
      <c r="I29" s="24" t="n">
        <f aca="false">(F29="G")+(G29="G")</f>
        <v>1</v>
      </c>
      <c r="J29" s="24" t="n">
        <f aca="false">(F29="C")+(G29="C")</f>
        <v>0</v>
      </c>
      <c r="K29" s="25" t="n">
        <f aca="false">I29+J29</f>
        <v>1</v>
      </c>
    </row>
    <row r="30" customFormat="false" ht="15" hidden="false" customHeight="false" outlineLevel="0" collapsed="false">
      <c r="A30" s="4" t="s">
        <v>38</v>
      </c>
      <c r="B30" s="4" t="s">
        <v>412</v>
      </c>
      <c r="C30" s="4" t="s">
        <v>517</v>
      </c>
      <c r="D30" s="4" t="n">
        <f aca="false">IFERROR(INDEX(Positions!$D$2:$D$6912,MATCH($A30&amp;"|1",Positions!$A$2:$A$6912,0)),"-")</f>
        <v>1</v>
      </c>
      <c r="E30" s="4" t="n">
        <f aca="false">IFERROR(INDEX(Positions!$D$2:$D$6912,MATCH($A30&amp;"|72",Positions!$A$2:$A$6912,0)),"-")</f>
        <v>72</v>
      </c>
      <c r="F30" s="4" t="str">
        <f aca="false">IFERROR(INDEX(Positions!$E$2:$E$6912,MATCH($A30&amp;"|1",Positions!$A$2:$A$6912,0)),"-")</f>
        <v>G</v>
      </c>
      <c r="G30" s="4" t="str">
        <f aca="false">IFERROR(INDEX(Positions!$E$2:$E$6912,MATCH($A30&amp;"|72",Positions!$A$2:$A$6912,0)),"-")</f>
        <v>C</v>
      </c>
      <c r="H30" s="3" t="str">
        <f aca="false">F30&amp;"-"&amp;G30</f>
        <v>G-C</v>
      </c>
      <c r="I30" s="4" t="n">
        <f aca="false">(F30="G")+(G30="G")</f>
        <v>1</v>
      </c>
      <c r="J30" s="4" t="n">
        <f aca="false">(F30="C")+(G30="C")</f>
        <v>1</v>
      </c>
      <c r="K30" s="3" t="n">
        <f aca="false">I30+J30</f>
        <v>2</v>
      </c>
    </row>
    <row r="31" customFormat="false" ht="15" hidden="false" customHeight="false" outlineLevel="0" collapsed="false">
      <c r="A31" s="4" t="s">
        <v>38</v>
      </c>
      <c r="B31" s="4" t="s">
        <v>412</v>
      </c>
      <c r="C31" s="4" t="s">
        <v>518</v>
      </c>
      <c r="D31" s="4" t="n">
        <f aca="false">IFERROR(INDEX(Positions!$D$2:$D$6912,MATCH($A31&amp;"|2",Positions!$A$2:$A$6912,0)),"-")</f>
        <v>2</v>
      </c>
      <c r="E31" s="4" t="n">
        <f aca="false">IFERROR(INDEX(Positions!$D$2:$D$6912,MATCH($A31&amp;"|71",Positions!$A$2:$A$6912,0)),"-")</f>
        <v>71</v>
      </c>
      <c r="F31" s="4" t="str">
        <f aca="false">IFERROR(INDEX(Positions!$E$2:$E$6912,MATCH($A31&amp;"|2",Positions!$A$2:$A$6912,0)),"-")</f>
        <v>G</v>
      </c>
      <c r="G31" s="4" t="str">
        <f aca="false">IFERROR(INDEX(Positions!$E$2:$E$6912,MATCH($A31&amp;"|71",Positions!$A$2:$A$6912,0)),"-")</f>
        <v>C</v>
      </c>
      <c r="H31" s="3" t="str">
        <f aca="false">F31&amp;"-"&amp;G31</f>
        <v>G-C</v>
      </c>
      <c r="I31" s="4" t="n">
        <f aca="false">(F31="G")+(G31="G")</f>
        <v>1</v>
      </c>
      <c r="J31" s="4" t="n">
        <f aca="false">(F31="C")+(G31="C")</f>
        <v>1</v>
      </c>
      <c r="K31" s="3" t="n">
        <f aca="false">I31+J31</f>
        <v>2</v>
      </c>
    </row>
    <row r="32" customFormat="false" ht="15" hidden="false" customHeight="false" outlineLevel="0" collapsed="false">
      <c r="A32" s="4" t="s">
        <v>38</v>
      </c>
      <c r="B32" s="4" t="s">
        <v>412</v>
      </c>
      <c r="C32" s="4" t="s">
        <v>386</v>
      </c>
      <c r="D32" s="4" t="n">
        <f aca="false">IFERROR(INDEX(Positions!$D$2:$D$6912,MATCH($A32&amp;"|3",Positions!$A$2:$A$6912,0)),"-")</f>
        <v>3</v>
      </c>
      <c r="E32" s="4" t="n">
        <f aca="false">IFERROR(INDEX(Positions!$D$2:$D$6912,MATCH($A32&amp;"|70",Positions!$A$2:$A$6912,0)),"-")</f>
        <v>70</v>
      </c>
      <c r="F32" s="4" t="str">
        <f aca="false">IFERROR(INDEX(Positions!$E$2:$E$6912,MATCH($A32&amp;"|3",Positions!$A$2:$A$6912,0)),"-")</f>
        <v>G</v>
      </c>
      <c r="G32" s="4" t="str">
        <f aca="false">IFERROR(INDEX(Positions!$E$2:$E$6912,MATCH($A32&amp;"|70",Positions!$A$2:$A$6912,0)),"-")</f>
        <v>C</v>
      </c>
      <c r="H32" s="3" t="str">
        <f aca="false">F32&amp;"-"&amp;G32</f>
        <v>G-C</v>
      </c>
      <c r="I32" s="4" t="n">
        <f aca="false">(F32="G")+(G32="G")</f>
        <v>1</v>
      </c>
      <c r="J32" s="4" t="n">
        <f aca="false">(F32="C")+(G32="C")</f>
        <v>1</v>
      </c>
      <c r="K32" s="3" t="n">
        <f aca="false">I32+J32</f>
        <v>2</v>
      </c>
    </row>
    <row r="33" customFormat="false" ht="15" hidden="false" customHeight="false" outlineLevel="0" collapsed="false">
      <c r="A33" s="4" t="s">
        <v>38</v>
      </c>
      <c r="B33" s="4" t="s">
        <v>412</v>
      </c>
      <c r="C33" s="4" t="s">
        <v>519</v>
      </c>
      <c r="D33" s="4" t="n">
        <f aca="false">IFERROR(INDEX(Positions!$D$2:$D$6912,MATCH($A33&amp;"|4",Positions!$A$2:$A$6912,0)),"-")</f>
        <v>4</v>
      </c>
      <c r="E33" s="4" t="n">
        <f aca="false">IFERROR(INDEX(Positions!$D$2:$D$6912,MATCH($A33&amp;"|69",Positions!$A$2:$A$6912,0)),"-")</f>
        <v>69</v>
      </c>
      <c r="F33" s="4" t="str">
        <f aca="false">IFERROR(INDEX(Positions!$E$2:$E$6912,MATCH($A33&amp;"|4",Positions!$A$2:$A$6912,0)),"-")</f>
        <v>C</v>
      </c>
      <c r="G33" s="4" t="str">
        <f aca="false">IFERROR(INDEX(Positions!$E$2:$E$6912,MATCH($A33&amp;"|69",Positions!$A$2:$A$6912,0)),"-")</f>
        <v>G</v>
      </c>
      <c r="H33" s="3" t="str">
        <f aca="false">F33&amp;"-"&amp;G33</f>
        <v>C-G</v>
      </c>
      <c r="I33" s="4" t="n">
        <f aca="false">(F33="G")+(G33="G")</f>
        <v>1</v>
      </c>
      <c r="J33" s="4" t="n">
        <f aca="false">(F33="C")+(G33="C")</f>
        <v>1</v>
      </c>
      <c r="K33" s="3" t="n">
        <f aca="false">I33+J33</f>
        <v>2</v>
      </c>
    </row>
    <row r="34" customFormat="false" ht="15" hidden="false" customHeight="false" outlineLevel="0" collapsed="false">
      <c r="A34" s="4" t="s">
        <v>38</v>
      </c>
      <c r="B34" s="4" t="s">
        <v>412</v>
      </c>
      <c r="C34" s="4" t="s">
        <v>283</v>
      </c>
      <c r="D34" s="4" t="n">
        <f aca="false">IFERROR(INDEX(Positions!$D$2:$D$6912,MATCH($A34&amp;"|5",Positions!$A$2:$A$6912,0)),"-")</f>
        <v>5</v>
      </c>
      <c r="E34" s="4" t="n">
        <f aca="false">IFERROR(INDEX(Positions!$D$2:$D$6912,MATCH($A34&amp;"|68",Positions!$A$2:$A$6912,0)),"-")</f>
        <v>68</v>
      </c>
      <c r="F34" s="4" t="str">
        <f aca="false">IFERROR(INDEX(Positions!$E$2:$E$6912,MATCH($A34&amp;"|5",Positions!$A$2:$A$6912,0)),"-")</f>
        <v>C</v>
      </c>
      <c r="G34" s="4" t="str">
        <f aca="false">IFERROR(INDEX(Positions!$E$2:$E$6912,MATCH($A34&amp;"|68",Positions!$A$2:$A$6912,0)),"-")</f>
        <v>G</v>
      </c>
      <c r="H34" s="3" t="str">
        <f aca="false">F34&amp;"-"&amp;G34</f>
        <v>C-G</v>
      </c>
      <c r="I34" s="4" t="n">
        <f aca="false">(F34="G")+(G34="G")</f>
        <v>1</v>
      </c>
      <c r="J34" s="4" t="n">
        <f aca="false">(F34="C")+(G34="C")</f>
        <v>1</v>
      </c>
      <c r="K34" s="3" t="n">
        <f aca="false">I34+J34</f>
        <v>2</v>
      </c>
    </row>
    <row r="35" customFormat="false" ht="15" hidden="false" customHeight="false" outlineLevel="0" collapsed="false">
      <c r="A35" s="4" t="s">
        <v>38</v>
      </c>
      <c r="B35" s="4" t="s">
        <v>412</v>
      </c>
      <c r="C35" s="4" t="s">
        <v>520</v>
      </c>
      <c r="D35" s="4" t="n">
        <f aca="false">IFERROR(INDEX(Positions!$D$2:$D$6912,MATCH($A35&amp;"|6",Positions!$A$2:$A$6912,0)),"-")</f>
        <v>6</v>
      </c>
      <c r="E35" s="4" t="n">
        <f aca="false">IFERROR(INDEX(Positions!$D$2:$D$6912,MATCH($A35&amp;"|67",Positions!$A$2:$A$6912,0)),"-")</f>
        <v>67</v>
      </c>
      <c r="F35" s="4" t="str">
        <f aca="false">IFERROR(INDEX(Positions!$E$2:$E$6912,MATCH($A35&amp;"|6",Positions!$A$2:$A$6912,0)),"-")</f>
        <v>G</v>
      </c>
      <c r="G35" s="4" t="str">
        <f aca="false">IFERROR(INDEX(Positions!$E$2:$E$6912,MATCH($A35&amp;"|67",Positions!$A$2:$A$6912,0)),"-")</f>
        <v>C</v>
      </c>
      <c r="H35" s="3" t="str">
        <f aca="false">F35&amp;"-"&amp;G35</f>
        <v>G-C</v>
      </c>
      <c r="I35" s="4" t="n">
        <f aca="false">(F35="G")+(G35="G")</f>
        <v>1</v>
      </c>
      <c r="J35" s="4" t="n">
        <f aca="false">(F35="C")+(G35="C")</f>
        <v>1</v>
      </c>
      <c r="K35" s="3" t="n">
        <f aca="false">I35+J35</f>
        <v>2</v>
      </c>
    </row>
    <row r="36" customFormat="false" ht="15" hidden="false" customHeight="false" outlineLevel="0" collapsed="false">
      <c r="A36" s="4" t="s">
        <v>38</v>
      </c>
      <c r="B36" s="4" t="s">
        <v>412</v>
      </c>
      <c r="C36" s="4" t="s">
        <v>521</v>
      </c>
      <c r="D36" s="4" t="n">
        <f aca="false">IFERROR(INDEX(Positions!$D$2:$D$6912,MATCH($A36&amp;"|7",Positions!$A$2:$A$6912,0)),"-")</f>
        <v>7</v>
      </c>
      <c r="E36" s="4" t="n">
        <f aca="false">IFERROR(INDEX(Positions!$D$2:$D$6912,MATCH($A36&amp;"|66",Positions!$A$2:$A$6912,0)),"-")</f>
        <v>66</v>
      </c>
      <c r="F36" s="4" t="str">
        <f aca="false">IFERROR(INDEX(Positions!$E$2:$E$6912,MATCH($A36&amp;"|7",Positions!$A$2:$A$6912,0)),"-")</f>
        <v>G</v>
      </c>
      <c r="G36" s="4" t="str">
        <f aca="false">IFERROR(INDEX(Positions!$E$2:$E$6912,MATCH($A36&amp;"|66",Positions!$A$2:$A$6912,0)),"-")</f>
        <v>C</v>
      </c>
      <c r="H36" s="3" t="str">
        <f aca="false">F36&amp;"-"&amp;G36</f>
        <v>G-C</v>
      </c>
      <c r="I36" s="4" t="n">
        <f aca="false">(F36="G")+(G36="G")</f>
        <v>1</v>
      </c>
      <c r="J36" s="4" t="n">
        <f aca="false">(F36="C")+(G36="C")</f>
        <v>1</v>
      </c>
      <c r="K36" s="3" t="n">
        <f aca="false">I36+J36</f>
        <v>2</v>
      </c>
    </row>
    <row r="37" customFormat="false" ht="15" hidden="false" customHeight="false" outlineLevel="0" collapsed="false">
      <c r="A37" s="4" t="s">
        <v>38</v>
      </c>
      <c r="B37" s="4" t="s">
        <v>425</v>
      </c>
      <c r="C37" s="4" t="s">
        <v>522</v>
      </c>
      <c r="D37" s="4" t="n">
        <f aca="false">IFERROR(INDEX(Positions!$D$2:$D$6912,MATCH($A37&amp;"|10",Positions!$A$2:$A$6912,0)),"-")</f>
        <v>10</v>
      </c>
      <c r="E37" s="4" t="n">
        <f aca="false">IFERROR(INDEX(Positions!$D$2:$D$6912,MATCH($A37&amp;"|25",Positions!$A$2:$A$6912,0)),"-")</f>
        <v>26</v>
      </c>
      <c r="F37" s="4" t="str">
        <f aca="false">IFERROR(INDEX(Positions!$E$2:$E$6912,MATCH($A37&amp;"|10",Positions!$A$2:$A$6912,0)),"-")</f>
        <v>G</v>
      </c>
      <c r="G37" s="4" t="str">
        <f aca="false">IFERROR(INDEX(Positions!$E$2:$E$6912,MATCH($A37&amp;"|25",Positions!$A$2:$A$6912,0)),"-")</f>
        <v>U</v>
      </c>
      <c r="H37" s="3" t="str">
        <f aca="false">F37&amp;"-"&amp;G37</f>
        <v>G-U</v>
      </c>
      <c r="I37" s="4" t="n">
        <f aca="false">(F37="G")+(G37="G")</f>
        <v>1</v>
      </c>
      <c r="J37" s="4" t="n">
        <f aca="false">(F37="C")+(G37="C")</f>
        <v>0</v>
      </c>
      <c r="K37" s="3" t="n">
        <f aca="false">I37+J37</f>
        <v>1</v>
      </c>
    </row>
    <row r="38" customFormat="false" ht="15" hidden="false" customHeight="false" outlineLevel="0" collapsed="false">
      <c r="A38" s="4" t="s">
        <v>38</v>
      </c>
      <c r="B38" s="4" t="s">
        <v>425</v>
      </c>
      <c r="C38" s="4" t="s">
        <v>523</v>
      </c>
      <c r="D38" s="4" t="n">
        <f aca="false">IFERROR(INDEX(Positions!$D$2:$D$6912,MATCH($A38&amp;"|11",Positions!$A$2:$A$6912,0)),"-")</f>
        <v>11</v>
      </c>
      <c r="E38" s="4" t="n">
        <f aca="false">IFERROR(INDEX(Positions!$D$2:$D$6912,MATCH($A38&amp;"|24",Positions!$A$2:$A$6912,0)),"-")</f>
        <v>25</v>
      </c>
      <c r="F38" s="4" t="str">
        <f aca="false">IFERROR(INDEX(Positions!$E$2:$E$6912,MATCH($A38&amp;"|11",Positions!$A$2:$A$6912,0)),"-")</f>
        <v>G</v>
      </c>
      <c r="G38" s="4" t="str">
        <f aca="false">IFERROR(INDEX(Positions!$E$2:$E$6912,MATCH($A38&amp;"|24",Positions!$A$2:$A$6912,0)),"-")</f>
        <v>C</v>
      </c>
      <c r="H38" s="3" t="str">
        <f aca="false">F38&amp;"-"&amp;G38</f>
        <v>G-C</v>
      </c>
      <c r="I38" s="4" t="n">
        <f aca="false">(F38="G")+(G38="G")</f>
        <v>1</v>
      </c>
      <c r="J38" s="4" t="n">
        <f aca="false">(F38="C")+(G38="C")</f>
        <v>1</v>
      </c>
      <c r="K38" s="3" t="n">
        <f aca="false">I38+J38</f>
        <v>2</v>
      </c>
    </row>
    <row r="39" customFormat="false" ht="15" hidden="false" customHeight="false" outlineLevel="0" collapsed="false">
      <c r="A39" s="4" t="s">
        <v>38</v>
      </c>
      <c r="B39" s="4" t="s">
        <v>425</v>
      </c>
      <c r="C39" s="4" t="s">
        <v>250</v>
      </c>
      <c r="D39" s="4" t="n">
        <f aca="false">IFERROR(INDEX(Positions!$D$2:$D$6912,MATCH($A39&amp;"|12",Positions!$A$2:$A$6912,0)),"-")</f>
        <v>12</v>
      </c>
      <c r="E39" s="4" t="n">
        <f aca="false">IFERROR(INDEX(Positions!$D$2:$D$6912,MATCH($A39&amp;"|23",Positions!$A$2:$A$6912,0)),"-")</f>
        <v>24</v>
      </c>
      <c r="F39" s="4" t="str">
        <f aca="false">IFERROR(INDEX(Positions!$E$2:$E$6912,MATCH($A39&amp;"|12",Positions!$A$2:$A$6912,0)),"-")</f>
        <v>G</v>
      </c>
      <c r="G39" s="4" t="str">
        <f aca="false">IFERROR(INDEX(Positions!$E$2:$E$6912,MATCH($A39&amp;"|23",Positions!$A$2:$A$6912,0)),"-")</f>
        <v>C</v>
      </c>
      <c r="H39" s="3" t="str">
        <f aca="false">F39&amp;"-"&amp;G39</f>
        <v>G-C</v>
      </c>
      <c r="I39" s="4" t="n">
        <f aca="false">(F39="G")+(G39="G")</f>
        <v>1</v>
      </c>
      <c r="J39" s="4" t="n">
        <f aca="false">(F39="C")+(G39="C")</f>
        <v>1</v>
      </c>
      <c r="K39" s="3" t="n">
        <f aca="false">I39+J39</f>
        <v>2</v>
      </c>
    </row>
    <row r="40" customFormat="false" ht="15" hidden="false" customHeight="false" outlineLevel="0" collapsed="false">
      <c r="A40" s="4" t="s">
        <v>38</v>
      </c>
      <c r="B40" s="4" t="s">
        <v>425</v>
      </c>
      <c r="C40" s="4" t="s">
        <v>154</v>
      </c>
      <c r="D40" s="4" t="n">
        <f aca="false">IFERROR(INDEX(Positions!$D$2:$D$6912,MATCH($A40&amp;"|13",Positions!$A$2:$A$6912,0)),"-")</f>
        <v>13</v>
      </c>
      <c r="E40" s="4" t="n">
        <f aca="false">IFERROR(INDEX(Positions!$D$2:$D$6912,MATCH($A40&amp;"|22",Positions!$A$2:$A$6912,0)),"-")</f>
        <v>23</v>
      </c>
      <c r="F40" s="4" t="str">
        <f aca="false">IFERROR(INDEX(Positions!$E$2:$E$6912,MATCH($A40&amp;"|13",Positions!$A$2:$A$6912,0)),"-")</f>
        <v>U</v>
      </c>
      <c r="G40" s="4" t="str">
        <f aca="false">IFERROR(INDEX(Positions!$E$2:$E$6912,MATCH($A40&amp;"|22",Positions!$A$2:$A$6912,0)),"-")</f>
        <v>U</v>
      </c>
      <c r="H40" s="3" t="str">
        <f aca="false">F40&amp;"-"&amp;G40</f>
        <v>U-U</v>
      </c>
      <c r="I40" s="4" t="n">
        <f aca="false">(F40="G")+(G40="G")</f>
        <v>0</v>
      </c>
      <c r="J40" s="4" t="n">
        <f aca="false">(F40="C")+(G40="C")</f>
        <v>0</v>
      </c>
      <c r="K40" s="3" t="n">
        <f aca="false">I40+J40</f>
        <v>0</v>
      </c>
    </row>
    <row r="41" customFormat="false" ht="15" hidden="false" customHeight="false" outlineLevel="0" collapsed="false">
      <c r="A41" s="4" t="s">
        <v>38</v>
      </c>
      <c r="B41" s="4" t="s">
        <v>446</v>
      </c>
      <c r="C41" s="4" t="s">
        <v>524</v>
      </c>
      <c r="D41" s="4" t="n">
        <f aca="false">IFERROR(INDEX(Positions!$D$2:$D$6912,MATCH($A41&amp;"|27",Positions!$A$2:$A$6912,0)),"-")</f>
        <v>28</v>
      </c>
      <c r="E41" s="4" t="n">
        <f aca="false">IFERROR(INDEX(Positions!$D$2:$D$6912,MATCH($A41&amp;"|43",Positions!$A$2:$A$6912,0)),"-")</f>
        <v>44</v>
      </c>
      <c r="F41" s="4" t="str">
        <f aca="false">IFERROR(INDEX(Positions!$E$2:$E$6912,MATCH($A41&amp;"|27",Positions!$A$2:$A$6912,0)),"-")</f>
        <v>C</v>
      </c>
      <c r="G41" s="4" t="str">
        <f aca="false">IFERROR(INDEX(Positions!$E$2:$E$6912,MATCH($A41&amp;"|43",Positions!$A$2:$A$6912,0)),"-")</f>
        <v>G</v>
      </c>
      <c r="H41" s="3" t="str">
        <f aca="false">F41&amp;"-"&amp;G41</f>
        <v>C-G</v>
      </c>
      <c r="I41" s="4" t="n">
        <f aca="false">(F41="G")+(G41="G")</f>
        <v>1</v>
      </c>
      <c r="J41" s="4" t="n">
        <f aca="false">(F41="C")+(G41="C")</f>
        <v>1</v>
      </c>
      <c r="K41" s="3" t="n">
        <f aca="false">I41+J41</f>
        <v>2</v>
      </c>
    </row>
    <row r="42" customFormat="false" ht="15" hidden="false" customHeight="false" outlineLevel="0" collapsed="false">
      <c r="A42" s="4" t="s">
        <v>38</v>
      </c>
      <c r="B42" s="4" t="s">
        <v>446</v>
      </c>
      <c r="C42" s="4" t="s">
        <v>525</v>
      </c>
      <c r="D42" s="4" t="n">
        <f aca="false">IFERROR(INDEX(Positions!$D$2:$D$6912,MATCH($A42&amp;"|28",Positions!$A$2:$A$6912,0)),"-")</f>
        <v>29</v>
      </c>
      <c r="E42" s="4" t="n">
        <f aca="false">IFERROR(INDEX(Positions!$D$2:$D$6912,MATCH($A42&amp;"|42",Positions!$A$2:$A$6912,0)),"-")</f>
        <v>43</v>
      </c>
      <c r="F42" s="4" t="str">
        <f aca="false">IFERROR(INDEX(Positions!$E$2:$E$6912,MATCH($A42&amp;"|28",Positions!$A$2:$A$6912,0)),"-")</f>
        <v>G</v>
      </c>
      <c r="G42" s="4" t="str">
        <f aca="false">IFERROR(INDEX(Positions!$E$2:$E$6912,MATCH($A42&amp;"|42",Positions!$A$2:$A$6912,0)),"-")</f>
        <v>C</v>
      </c>
      <c r="H42" s="3" t="str">
        <f aca="false">F42&amp;"-"&amp;G42</f>
        <v>G-C</v>
      </c>
      <c r="I42" s="4" t="n">
        <f aca="false">(F42="G")+(G42="G")</f>
        <v>1</v>
      </c>
      <c r="J42" s="4" t="n">
        <f aca="false">(F42="C")+(G42="C")</f>
        <v>1</v>
      </c>
      <c r="K42" s="3" t="n">
        <f aca="false">I42+J42</f>
        <v>2</v>
      </c>
    </row>
    <row r="43" customFormat="false" ht="15" hidden="false" customHeight="false" outlineLevel="0" collapsed="false">
      <c r="A43" s="4" t="s">
        <v>38</v>
      </c>
      <c r="B43" s="4" t="s">
        <v>446</v>
      </c>
      <c r="C43" s="4" t="s">
        <v>256</v>
      </c>
      <c r="D43" s="4" t="n">
        <f aca="false">IFERROR(INDEX(Positions!$D$2:$D$6912,MATCH($A43&amp;"|29",Positions!$A$2:$A$6912,0)),"-")</f>
        <v>30</v>
      </c>
      <c r="E43" s="4" t="n">
        <f aca="false">IFERROR(INDEX(Positions!$D$2:$D$6912,MATCH($A43&amp;"|41",Positions!$A$2:$A$6912,0)),"-")</f>
        <v>42</v>
      </c>
      <c r="F43" s="4" t="str">
        <f aca="false">IFERROR(INDEX(Positions!$E$2:$E$6912,MATCH($A43&amp;"|29",Positions!$A$2:$A$6912,0)),"-")</f>
        <v>G</v>
      </c>
      <c r="G43" s="4" t="str">
        <f aca="false">IFERROR(INDEX(Positions!$E$2:$E$6912,MATCH($A43&amp;"|41",Positions!$A$2:$A$6912,0)),"-")</f>
        <v>C</v>
      </c>
      <c r="H43" s="3" t="str">
        <f aca="false">F43&amp;"-"&amp;G43</f>
        <v>G-C</v>
      </c>
      <c r="I43" s="4" t="n">
        <f aca="false">(F43="G")+(G43="G")</f>
        <v>1</v>
      </c>
      <c r="J43" s="4" t="n">
        <f aca="false">(F43="C")+(G43="C")</f>
        <v>1</v>
      </c>
      <c r="K43" s="3" t="n">
        <f aca="false">I43+J43</f>
        <v>2</v>
      </c>
    </row>
    <row r="44" customFormat="false" ht="15" hidden="false" customHeight="false" outlineLevel="0" collapsed="false">
      <c r="A44" s="4" t="s">
        <v>38</v>
      </c>
      <c r="B44" s="4" t="s">
        <v>446</v>
      </c>
      <c r="C44" s="4" t="s">
        <v>526</v>
      </c>
      <c r="D44" s="4" t="n">
        <f aca="false">IFERROR(INDEX(Positions!$D$2:$D$6912,MATCH($A44&amp;"|30",Positions!$A$2:$A$6912,0)),"-")</f>
        <v>31</v>
      </c>
      <c r="E44" s="4" t="n">
        <f aca="false">IFERROR(INDEX(Positions!$D$2:$D$6912,MATCH($A44&amp;"|40",Positions!$A$2:$A$6912,0)),"-")</f>
        <v>41</v>
      </c>
      <c r="F44" s="4" t="str">
        <f aca="false">IFERROR(INDEX(Positions!$E$2:$E$6912,MATCH($A44&amp;"|30",Positions!$A$2:$A$6912,0)),"-")</f>
        <v>C</v>
      </c>
      <c r="G44" s="4" t="str">
        <f aca="false">IFERROR(INDEX(Positions!$E$2:$E$6912,MATCH($A44&amp;"|40",Positions!$A$2:$A$6912,0)),"-")</f>
        <v>G</v>
      </c>
      <c r="H44" s="3" t="str">
        <f aca="false">F44&amp;"-"&amp;G44</f>
        <v>C-G</v>
      </c>
      <c r="I44" s="4" t="n">
        <f aca="false">(F44="G")+(G44="G")</f>
        <v>1</v>
      </c>
      <c r="J44" s="4" t="n">
        <f aca="false">(F44="C")+(G44="C")</f>
        <v>1</v>
      </c>
      <c r="K44" s="3" t="n">
        <f aca="false">I44+J44</f>
        <v>2</v>
      </c>
    </row>
    <row r="45" customFormat="false" ht="15" hidden="false" customHeight="false" outlineLevel="0" collapsed="false">
      <c r="A45" s="4" t="s">
        <v>38</v>
      </c>
      <c r="B45" s="4" t="s">
        <v>446</v>
      </c>
      <c r="C45" s="4" t="s">
        <v>273</v>
      </c>
      <c r="D45" s="4" t="n">
        <f aca="false">IFERROR(INDEX(Positions!$D$2:$D$6912,MATCH($A45&amp;"|31",Positions!$A$2:$A$6912,0)),"-")</f>
        <v>32</v>
      </c>
      <c r="E45" s="4" t="n">
        <f aca="false">IFERROR(INDEX(Positions!$D$2:$D$6912,MATCH($A45&amp;"|39",Positions!$A$2:$A$6912,0)),"-")</f>
        <v>40</v>
      </c>
      <c r="F45" s="4" t="str">
        <f aca="false">IFERROR(INDEX(Positions!$E$2:$E$6912,MATCH($A45&amp;"|31",Positions!$A$2:$A$6912,0)),"-")</f>
        <v>C</v>
      </c>
      <c r="G45" s="4" t="str">
        <f aca="false">IFERROR(INDEX(Positions!$E$2:$E$6912,MATCH($A45&amp;"|39",Positions!$A$2:$A$6912,0)),"-")</f>
        <v>G</v>
      </c>
      <c r="H45" s="3" t="str">
        <f aca="false">F45&amp;"-"&amp;G45</f>
        <v>C-G</v>
      </c>
      <c r="I45" s="4" t="n">
        <f aca="false">(F45="G")+(G45="G")</f>
        <v>1</v>
      </c>
      <c r="J45" s="4" t="n">
        <f aca="false">(F45="C")+(G45="C")</f>
        <v>1</v>
      </c>
      <c r="K45" s="3" t="n">
        <f aca="false">I45+J45</f>
        <v>2</v>
      </c>
    </row>
    <row r="46" customFormat="false" ht="15" hidden="false" customHeight="false" outlineLevel="0" collapsed="false">
      <c r="A46" s="4" t="s">
        <v>38</v>
      </c>
      <c r="B46" s="4" t="s">
        <v>471</v>
      </c>
      <c r="C46" s="4" t="s">
        <v>367</v>
      </c>
      <c r="D46" s="4" t="n">
        <f aca="false">IFERROR(INDEX(Positions!$D$2:$D$6912,MATCH($A46&amp;"|49",Positions!$A$2:$A$6912,0)),"-")</f>
        <v>49</v>
      </c>
      <c r="E46" s="4" t="n">
        <f aca="false">IFERROR(INDEX(Positions!$D$2:$D$6912,MATCH($A46&amp;"|65",Positions!$A$2:$A$6912,0)),"-")</f>
        <v>65</v>
      </c>
      <c r="F46" s="4" t="str">
        <f aca="false">IFERROR(INDEX(Positions!$E$2:$E$6912,MATCH($A46&amp;"|49",Positions!$A$2:$A$6912,0)),"-")</f>
        <v>C</v>
      </c>
      <c r="G46" s="4" t="str">
        <f aca="false">IFERROR(INDEX(Positions!$E$2:$E$6912,MATCH($A46&amp;"|65",Positions!$A$2:$A$6912,0)),"-")</f>
        <v>G</v>
      </c>
      <c r="H46" s="3" t="str">
        <f aca="false">F46&amp;"-"&amp;G46</f>
        <v>C-G</v>
      </c>
      <c r="I46" s="4" t="n">
        <f aca="false">(F46="G")+(G46="G")</f>
        <v>1</v>
      </c>
      <c r="J46" s="4" t="n">
        <f aca="false">(F46="C")+(G46="C")</f>
        <v>1</v>
      </c>
      <c r="K46" s="3" t="n">
        <f aca="false">I46+J46</f>
        <v>2</v>
      </c>
    </row>
    <row r="47" customFormat="false" ht="15" hidden="false" customHeight="false" outlineLevel="0" collapsed="false">
      <c r="A47" s="4" t="s">
        <v>38</v>
      </c>
      <c r="B47" s="4" t="s">
        <v>471</v>
      </c>
      <c r="C47" s="4" t="s">
        <v>233</v>
      </c>
      <c r="D47" s="4" t="n">
        <f aca="false">IFERROR(INDEX(Positions!$D$2:$D$6912,MATCH($A47&amp;"|50",Positions!$A$2:$A$6912,0)),"-")</f>
        <v>50</v>
      </c>
      <c r="E47" s="4" t="n">
        <f aca="false">IFERROR(INDEX(Positions!$D$2:$D$6912,MATCH($A47&amp;"|64",Positions!$A$2:$A$6912,0)),"-")</f>
        <v>64</v>
      </c>
      <c r="F47" s="4" t="str">
        <f aca="false">IFERROR(INDEX(Positions!$E$2:$E$6912,MATCH($A47&amp;"|50",Positions!$A$2:$A$6912,0)),"-")</f>
        <v>U</v>
      </c>
      <c r="G47" s="4" t="str">
        <f aca="false">IFERROR(INDEX(Positions!$E$2:$E$6912,MATCH($A47&amp;"|64",Positions!$A$2:$A$6912,0)),"-")</f>
        <v>A</v>
      </c>
      <c r="H47" s="3" t="str">
        <f aca="false">F47&amp;"-"&amp;G47</f>
        <v>U-A</v>
      </c>
      <c r="I47" s="4" t="n">
        <f aca="false">(F47="G")+(G47="G")</f>
        <v>0</v>
      </c>
      <c r="J47" s="4" t="n">
        <f aca="false">(F47="C")+(G47="C")</f>
        <v>0</v>
      </c>
      <c r="K47" s="3" t="n">
        <f aca="false">I47+J47</f>
        <v>0</v>
      </c>
    </row>
    <row r="48" customFormat="false" ht="15" hidden="false" customHeight="false" outlineLevel="0" collapsed="false">
      <c r="A48" s="4" t="s">
        <v>38</v>
      </c>
      <c r="B48" s="4" t="s">
        <v>471</v>
      </c>
      <c r="C48" s="4" t="s">
        <v>527</v>
      </c>
      <c r="D48" s="4" t="n">
        <f aca="false">IFERROR(INDEX(Positions!$D$2:$D$6912,MATCH($A48&amp;"|51",Positions!$A$2:$A$6912,0)),"-")</f>
        <v>51</v>
      </c>
      <c r="E48" s="4" t="n">
        <f aca="false">IFERROR(INDEX(Positions!$D$2:$D$6912,MATCH($A48&amp;"|63",Positions!$A$2:$A$6912,0)),"-")</f>
        <v>63</v>
      </c>
      <c r="F48" s="4" t="str">
        <f aca="false">IFERROR(INDEX(Positions!$E$2:$E$6912,MATCH($A48&amp;"|51",Positions!$A$2:$A$6912,0)),"-")</f>
        <v>C</v>
      </c>
      <c r="G48" s="4" t="str">
        <f aca="false">IFERROR(INDEX(Positions!$E$2:$E$6912,MATCH($A48&amp;"|63",Positions!$A$2:$A$6912,0)),"-")</f>
        <v>G</v>
      </c>
      <c r="H48" s="3" t="str">
        <f aca="false">F48&amp;"-"&amp;G48</f>
        <v>C-G</v>
      </c>
      <c r="I48" s="4" t="n">
        <f aca="false">(F48="G")+(G48="G")</f>
        <v>1</v>
      </c>
      <c r="J48" s="4" t="n">
        <f aca="false">(F48="C")+(G48="C")</f>
        <v>1</v>
      </c>
      <c r="K48" s="3" t="n">
        <f aca="false">I48+J48</f>
        <v>2</v>
      </c>
    </row>
    <row r="49" customFormat="false" ht="15" hidden="false" customHeight="false" outlineLevel="0" collapsed="false">
      <c r="A49" s="4" t="s">
        <v>38</v>
      </c>
      <c r="B49" s="4" t="s">
        <v>471</v>
      </c>
      <c r="C49" s="4" t="s">
        <v>528</v>
      </c>
      <c r="D49" s="4" t="n">
        <f aca="false">IFERROR(INDEX(Positions!$D$2:$D$6912,MATCH($A49&amp;"|52",Positions!$A$2:$A$6912,0)),"-")</f>
        <v>52</v>
      </c>
      <c r="E49" s="4" t="n">
        <f aca="false">IFERROR(INDEX(Positions!$D$2:$D$6912,MATCH($A49&amp;"|62",Positions!$A$2:$A$6912,0)),"-")</f>
        <v>62</v>
      </c>
      <c r="F49" s="4" t="str">
        <f aca="false">IFERROR(INDEX(Positions!$E$2:$E$6912,MATCH($A49&amp;"|52",Positions!$A$2:$A$6912,0)),"-")</f>
        <v>A</v>
      </c>
      <c r="G49" s="4" t="str">
        <f aca="false">IFERROR(INDEX(Positions!$E$2:$E$6912,MATCH($A49&amp;"|62",Positions!$A$2:$A$6912,0)),"-")</f>
        <v>U</v>
      </c>
      <c r="H49" s="3" t="str">
        <f aca="false">F49&amp;"-"&amp;G49</f>
        <v>A-U</v>
      </c>
      <c r="I49" s="4" t="n">
        <f aca="false">(F49="G")+(G49="G")</f>
        <v>0</v>
      </c>
      <c r="J49" s="4" t="n">
        <f aca="false">(F49="C")+(G49="C")</f>
        <v>0</v>
      </c>
      <c r="K49" s="3" t="n">
        <f aca="false">I49+J49</f>
        <v>0</v>
      </c>
    </row>
    <row r="50" customFormat="false" ht="15" hidden="false" customHeight="false" outlineLevel="0" collapsed="false">
      <c r="A50" s="4" t="s">
        <v>38</v>
      </c>
      <c r="B50" s="4" t="s">
        <v>471</v>
      </c>
      <c r="C50" s="4" t="s">
        <v>529</v>
      </c>
      <c r="D50" s="4" t="n">
        <f aca="false">IFERROR(INDEX(Positions!$D$2:$D$6912,MATCH($A50&amp;"|53",Positions!$A$2:$A$6912,0)),"-")</f>
        <v>53</v>
      </c>
      <c r="E50" s="4" t="n">
        <f aca="false">IFERROR(INDEX(Positions!$D$2:$D$6912,MATCH($A50&amp;"|61",Positions!$A$2:$A$6912,0)),"-")</f>
        <v>61</v>
      </c>
      <c r="F50" s="4" t="str">
        <f aca="false">IFERROR(INDEX(Positions!$E$2:$E$6912,MATCH($A50&amp;"|53",Positions!$A$2:$A$6912,0)),"-")</f>
        <v>G</v>
      </c>
      <c r="G50" s="4" t="str">
        <f aca="false">IFERROR(INDEX(Positions!$E$2:$E$6912,MATCH($A50&amp;"|61",Positions!$A$2:$A$6912,0)),"-")</f>
        <v>C</v>
      </c>
      <c r="H50" s="3" t="str">
        <f aca="false">F50&amp;"-"&amp;G50</f>
        <v>G-C</v>
      </c>
      <c r="I50" s="4" t="n">
        <f aca="false">(F50="G")+(G50="G")</f>
        <v>1</v>
      </c>
      <c r="J50" s="4" t="n">
        <f aca="false">(F50="C")+(G50="C")</f>
        <v>1</v>
      </c>
      <c r="K50" s="3" t="n">
        <f aca="false">I50+J50</f>
        <v>2</v>
      </c>
    </row>
    <row r="51" customFormat="false" ht="15" hidden="false" customHeight="false" outlineLevel="0" collapsed="false">
      <c r="A51" s="24" t="s">
        <v>38</v>
      </c>
      <c r="B51" s="24" t="s">
        <v>530</v>
      </c>
      <c r="C51" s="24" t="s">
        <v>531</v>
      </c>
      <c r="D51" s="24" t="n">
        <f aca="false">IFERROR(INDEX(Positions!$D$2:$D$6912,MATCH($A51&amp;"|8",Positions!$A$2:$A$6912,0)),"-")</f>
        <v>8</v>
      </c>
      <c r="E51" s="24" t="n">
        <f aca="false">IFERROR(INDEX(Positions!$D$2:$D$6912,MATCH($A51&amp;"|14",Positions!$A$2:$A$6912,0)),"-")</f>
        <v>14</v>
      </c>
      <c r="F51" s="24" t="str">
        <f aca="false">IFERROR(INDEX(Positions!$E$2:$E$6912,MATCH($A51&amp;"|8",Positions!$A$2:$A$6912,0)),"-")</f>
        <v>U</v>
      </c>
      <c r="G51" s="24" t="str">
        <f aca="false">IFERROR(INDEX(Positions!$E$2:$E$6912,MATCH($A51&amp;"|14",Positions!$A$2:$A$6912,0)),"-")</f>
        <v>A</v>
      </c>
      <c r="H51" s="25" t="str">
        <f aca="false">F51&amp;"-"&amp;G51</f>
        <v>U-A</v>
      </c>
      <c r="I51" s="24" t="n">
        <f aca="false">(F51="G")+(G51="G")</f>
        <v>0</v>
      </c>
      <c r="J51" s="24" t="n">
        <f aca="false">(F51="C")+(G51="C")</f>
        <v>0</v>
      </c>
      <c r="K51" s="25" t="n">
        <f aca="false">I51+J51</f>
        <v>0</v>
      </c>
    </row>
    <row r="52" customFormat="false" ht="15" hidden="false" customHeight="false" outlineLevel="0" collapsed="false">
      <c r="A52" s="24" t="s">
        <v>38</v>
      </c>
      <c r="B52" s="24" t="s">
        <v>530</v>
      </c>
      <c r="C52" s="24" t="s">
        <v>532</v>
      </c>
      <c r="D52" s="24" t="n">
        <f aca="false">IFERROR(INDEX(Positions!$D$2:$D$6912,MATCH($A52&amp;"|15",Positions!$A$2:$A$6912,0)),"-")</f>
        <v>15</v>
      </c>
      <c r="E52" s="24" t="n">
        <f aca="false">IFERROR(INDEX(Positions!$D$2:$D$6912,MATCH($A52&amp;"|48",Positions!$A$2:$A$6912,0)),"-")</f>
        <v>48</v>
      </c>
      <c r="F52" s="24" t="str">
        <f aca="false">IFERROR(INDEX(Positions!$E$2:$E$6912,MATCH($A52&amp;"|15",Positions!$A$2:$A$6912,0)),"-")</f>
        <v>G</v>
      </c>
      <c r="G52" s="24" t="str">
        <f aca="false">IFERROR(INDEX(Positions!$E$2:$E$6912,MATCH($A52&amp;"|48",Positions!$A$2:$A$6912,0)),"-")</f>
        <v>C</v>
      </c>
      <c r="H52" s="25" t="str">
        <f aca="false">F52&amp;"-"&amp;G52</f>
        <v>G-C</v>
      </c>
      <c r="I52" s="24" t="n">
        <f aca="false">(F52="G")+(G52="G")</f>
        <v>1</v>
      </c>
      <c r="J52" s="24" t="n">
        <f aca="false">(F52="C")+(G52="C")</f>
        <v>1</v>
      </c>
      <c r="K52" s="25" t="n">
        <f aca="false">I52+J52</f>
        <v>2</v>
      </c>
    </row>
    <row r="53" customFormat="false" ht="15" hidden="false" customHeight="false" outlineLevel="0" collapsed="false">
      <c r="A53" s="24" t="s">
        <v>38</v>
      </c>
      <c r="B53" s="24" t="s">
        <v>530</v>
      </c>
      <c r="C53" s="24" t="s">
        <v>533</v>
      </c>
      <c r="D53" s="24" t="n">
        <f aca="false">IFERROR(INDEX(Positions!$D$2:$D$6912,MATCH($A53&amp;"|18",Positions!$A$2:$A$6912,0)),"-")</f>
        <v>19</v>
      </c>
      <c r="E53" s="24" t="n">
        <f aca="false">IFERROR(INDEX(Positions!$D$2:$D$6912,MATCH($A53&amp;"|55",Positions!$A$2:$A$6912,0)),"-")</f>
        <v>55</v>
      </c>
      <c r="F53" s="24" t="str">
        <f aca="false">IFERROR(INDEX(Positions!$E$2:$E$6912,MATCH($A53&amp;"|18",Positions!$A$2:$A$6912,0)),"-")</f>
        <v>G</v>
      </c>
      <c r="G53" s="24" t="str">
        <f aca="false">IFERROR(INDEX(Positions!$E$2:$E$6912,MATCH($A53&amp;"|55",Positions!$A$2:$A$6912,0)),"-")</f>
        <v>U</v>
      </c>
      <c r="H53" s="25" t="str">
        <f aca="false">F53&amp;"-"&amp;G53</f>
        <v>G-U</v>
      </c>
      <c r="I53" s="24" t="n">
        <f aca="false">(F53="G")+(G53="G")</f>
        <v>1</v>
      </c>
      <c r="J53" s="24" t="n">
        <f aca="false">(F53="C")+(G53="C")</f>
        <v>0</v>
      </c>
      <c r="K53" s="25" t="n">
        <f aca="false">I53+J53</f>
        <v>1</v>
      </c>
    </row>
    <row r="54" customFormat="false" ht="15" hidden="false" customHeight="false" outlineLevel="0" collapsed="false">
      <c r="A54" s="24" t="s">
        <v>38</v>
      </c>
      <c r="B54" s="24" t="s">
        <v>530</v>
      </c>
      <c r="C54" s="24" t="s">
        <v>534</v>
      </c>
      <c r="D54" s="24" t="n">
        <f aca="false">IFERROR(INDEX(Positions!$D$2:$D$6912,MATCH($A54&amp;"|19",Positions!$A$2:$A$6912,0)),"-")</f>
        <v>20</v>
      </c>
      <c r="E54" s="24" t="n">
        <f aca="false">IFERROR(INDEX(Positions!$D$2:$D$6912,MATCH($A54&amp;"|56",Positions!$A$2:$A$6912,0)),"-")</f>
        <v>56</v>
      </c>
      <c r="F54" s="24" t="str">
        <f aca="false">IFERROR(INDEX(Positions!$E$2:$E$6912,MATCH($A54&amp;"|19",Positions!$A$2:$A$6912,0)),"-")</f>
        <v>G</v>
      </c>
      <c r="G54" s="24" t="str">
        <f aca="false">IFERROR(INDEX(Positions!$E$2:$E$6912,MATCH($A54&amp;"|56",Positions!$A$2:$A$6912,0)),"-")</f>
        <v>C</v>
      </c>
      <c r="H54" s="25" t="str">
        <f aca="false">F54&amp;"-"&amp;G54</f>
        <v>G-C</v>
      </c>
      <c r="I54" s="24" t="n">
        <f aca="false">(F54="G")+(G54="G")</f>
        <v>1</v>
      </c>
      <c r="J54" s="24" t="n">
        <f aca="false">(F54="C")+(G54="C")</f>
        <v>1</v>
      </c>
      <c r="K54" s="25" t="n">
        <f aca="false">I54+J54</f>
        <v>2</v>
      </c>
    </row>
    <row r="55" customFormat="false" ht="15" hidden="false" customHeight="false" outlineLevel="0" collapsed="false">
      <c r="A55" s="24" t="s">
        <v>38</v>
      </c>
      <c r="B55" s="24" t="s">
        <v>530</v>
      </c>
      <c r="C55" s="24" t="s">
        <v>535</v>
      </c>
      <c r="D55" s="24" t="n">
        <f aca="false">IFERROR(INDEX(Positions!$D$2:$D$6912,MATCH($A55&amp;"|26",Positions!$A$2:$A$6912,0)),"-")</f>
        <v>27</v>
      </c>
      <c r="E55" s="24" t="n">
        <f aca="false">IFERROR(INDEX(Positions!$D$2:$D$6912,MATCH($A55&amp;"|44",Positions!$A$2:$A$6912,0)),"-")</f>
        <v>45</v>
      </c>
      <c r="F55" s="24" t="str">
        <f aca="false">IFERROR(INDEX(Positions!$E$2:$E$6912,MATCH($A55&amp;"|26",Positions!$A$2:$A$6912,0)),"-")</f>
        <v>U</v>
      </c>
      <c r="G55" s="24" t="str">
        <f aca="false">IFERROR(INDEX(Positions!$E$2:$E$6912,MATCH($A55&amp;"|44",Positions!$A$2:$A$6912,0)),"-")</f>
        <v>U</v>
      </c>
      <c r="H55" s="25" t="str">
        <f aca="false">F55&amp;"-"&amp;G55</f>
        <v>U-U</v>
      </c>
      <c r="I55" s="24" t="n">
        <f aca="false">(F55="G")+(G55="G")</f>
        <v>0</v>
      </c>
      <c r="J55" s="24" t="n">
        <f aca="false">(F55="C")+(G55="C")</f>
        <v>0</v>
      </c>
      <c r="K55" s="25" t="n">
        <f aca="false">I55+J55</f>
        <v>0</v>
      </c>
    </row>
    <row r="56" customFormat="false" ht="15" hidden="false" customHeight="false" outlineLevel="0" collapsed="false">
      <c r="A56" s="24" t="s">
        <v>38</v>
      </c>
      <c r="B56" s="24" t="s">
        <v>530</v>
      </c>
      <c r="C56" s="24" t="s">
        <v>536</v>
      </c>
      <c r="D56" s="24" t="n">
        <f aca="false">IFERROR(INDEX(Positions!$D$2:$D$6912,MATCH($A56&amp;"|32",Positions!$A$2:$A$6912,0)),"-")</f>
        <v>33</v>
      </c>
      <c r="E56" s="24" t="n">
        <f aca="false">IFERROR(INDEX(Positions!$D$2:$D$6912,MATCH($A56&amp;"|38",Positions!$A$2:$A$6912,0)),"-")</f>
        <v>39</v>
      </c>
      <c r="F56" s="24" t="str">
        <f aca="false">IFERROR(INDEX(Positions!$E$2:$E$6912,MATCH($A56&amp;"|32",Positions!$A$2:$A$6912,0)),"-")</f>
        <v>U</v>
      </c>
      <c r="G56" s="24" t="str">
        <f aca="false">IFERROR(INDEX(Positions!$E$2:$E$6912,MATCH($A56&amp;"|38",Positions!$A$2:$A$6912,0)),"-")</f>
        <v>U</v>
      </c>
      <c r="H56" s="25" t="str">
        <f aca="false">F56&amp;"-"&amp;G56</f>
        <v>U-U</v>
      </c>
      <c r="I56" s="24" t="n">
        <f aca="false">(F56="G")+(G56="G")</f>
        <v>0</v>
      </c>
      <c r="J56" s="24" t="n">
        <f aca="false">(F56="C")+(G56="C")</f>
        <v>0</v>
      </c>
      <c r="K56" s="25" t="n">
        <f aca="false">I56+J56</f>
        <v>0</v>
      </c>
    </row>
    <row r="57" customFormat="false" ht="15" hidden="false" customHeight="false" outlineLevel="0" collapsed="false">
      <c r="A57" s="24" t="s">
        <v>38</v>
      </c>
      <c r="B57" s="24" t="s">
        <v>530</v>
      </c>
      <c r="C57" s="24" t="s">
        <v>537</v>
      </c>
      <c r="D57" s="24" t="n">
        <f aca="false">IFERROR(INDEX(Positions!$D$2:$D$6912,MATCH($A57&amp;"|54",Positions!$A$2:$A$6912,0)),"-")</f>
        <v>54</v>
      </c>
      <c r="E57" s="24" t="n">
        <f aca="false">IFERROR(INDEX(Positions!$D$2:$D$6912,MATCH($A57&amp;"|58",Positions!$A$2:$A$6912,0)),"-")</f>
        <v>58</v>
      </c>
      <c r="F57" s="24" t="str">
        <f aca="false">IFERROR(INDEX(Positions!$E$2:$E$6912,MATCH($A57&amp;"|54",Positions!$A$2:$A$6912,0)),"-")</f>
        <v>U</v>
      </c>
      <c r="G57" s="24" t="str">
        <f aca="false">IFERROR(INDEX(Positions!$E$2:$E$6912,MATCH($A57&amp;"|58",Positions!$A$2:$A$6912,0)),"-")</f>
        <v>A</v>
      </c>
      <c r="H57" s="25" t="str">
        <f aca="false">F57&amp;"-"&amp;G57</f>
        <v>U-A</v>
      </c>
      <c r="I57" s="24" t="n">
        <f aca="false">(F57="G")+(G57="G")</f>
        <v>0</v>
      </c>
      <c r="J57" s="24" t="n">
        <f aca="false">(F57="C")+(G57="C")</f>
        <v>0</v>
      </c>
      <c r="K57" s="25" t="n">
        <f aca="false">I57+J57</f>
        <v>0</v>
      </c>
    </row>
    <row r="58" customFormat="false" ht="15" hidden="false" customHeight="false" outlineLevel="0" collapsed="false">
      <c r="A58" s="4" t="s">
        <v>39</v>
      </c>
      <c r="B58" s="4" t="s">
        <v>412</v>
      </c>
      <c r="C58" s="4" t="s">
        <v>517</v>
      </c>
      <c r="D58" s="4" t="n">
        <f aca="false">IFERROR(INDEX(Positions!$D$2:$D$6912,MATCH($A58&amp;"|1",Positions!$A$2:$A$6912,0)),"-")</f>
        <v>1</v>
      </c>
      <c r="E58" s="4" t="n">
        <f aca="false">IFERROR(INDEX(Positions!$D$2:$D$6912,MATCH($A58&amp;"|72",Positions!$A$2:$A$6912,0)),"-")</f>
        <v>74</v>
      </c>
      <c r="F58" s="4" t="str">
        <f aca="false">IFERROR(INDEX(Positions!$E$2:$E$6912,MATCH($A58&amp;"|1",Positions!$A$2:$A$6912,0)),"-")</f>
        <v>A</v>
      </c>
      <c r="G58" s="4" t="str">
        <f aca="false">IFERROR(INDEX(Positions!$E$2:$E$6912,MATCH($A58&amp;"|72",Positions!$A$2:$A$6912,0)),"-")</f>
        <v>U</v>
      </c>
      <c r="H58" s="3" t="str">
        <f aca="false">F58&amp;"-"&amp;G58</f>
        <v>A-U</v>
      </c>
      <c r="I58" s="4" t="n">
        <f aca="false">(F58="G")+(G58="G")</f>
        <v>0</v>
      </c>
      <c r="J58" s="4" t="n">
        <f aca="false">(F58="C")+(G58="C")</f>
        <v>0</v>
      </c>
      <c r="K58" s="3" t="n">
        <f aca="false">I58+J58</f>
        <v>0</v>
      </c>
    </row>
    <row r="59" customFormat="false" ht="15" hidden="false" customHeight="false" outlineLevel="0" collapsed="false">
      <c r="A59" s="4" t="s">
        <v>39</v>
      </c>
      <c r="B59" s="4" t="s">
        <v>412</v>
      </c>
      <c r="C59" s="4" t="s">
        <v>518</v>
      </c>
      <c r="D59" s="4" t="n">
        <f aca="false">IFERROR(INDEX(Positions!$D$2:$D$6912,MATCH($A59&amp;"|2",Positions!$A$2:$A$6912,0)),"-")</f>
        <v>2</v>
      </c>
      <c r="E59" s="4" t="n">
        <f aca="false">IFERROR(INDEX(Positions!$D$2:$D$6912,MATCH($A59&amp;"|71",Positions!$A$2:$A$6912,0)),"-")</f>
        <v>73</v>
      </c>
      <c r="F59" s="4" t="str">
        <f aca="false">IFERROR(INDEX(Positions!$E$2:$E$6912,MATCH($A59&amp;"|2",Positions!$A$2:$A$6912,0)),"-")</f>
        <v>G</v>
      </c>
      <c r="G59" s="4" t="str">
        <f aca="false">IFERROR(INDEX(Positions!$E$2:$E$6912,MATCH($A59&amp;"|71",Positions!$A$2:$A$6912,0)),"-")</f>
        <v>C</v>
      </c>
      <c r="H59" s="3" t="str">
        <f aca="false">F59&amp;"-"&amp;G59</f>
        <v>G-C</v>
      </c>
      <c r="I59" s="4" t="n">
        <f aca="false">(F59="G")+(G59="G")</f>
        <v>1</v>
      </c>
      <c r="J59" s="4" t="n">
        <f aca="false">(F59="C")+(G59="C")</f>
        <v>1</v>
      </c>
      <c r="K59" s="3" t="n">
        <f aca="false">I59+J59</f>
        <v>2</v>
      </c>
    </row>
    <row r="60" customFormat="false" ht="15" hidden="false" customHeight="false" outlineLevel="0" collapsed="false">
      <c r="A60" s="4" t="s">
        <v>39</v>
      </c>
      <c r="B60" s="4" t="s">
        <v>412</v>
      </c>
      <c r="C60" s="4" t="s">
        <v>386</v>
      </c>
      <c r="D60" s="4" t="n">
        <f aca="false">IFERROR(INDEX(Positions!$D$2:$D$6912,MATCH($A60&amp;"|3",Positions!$A$2:$A$6912,0)),"-")</f>
        <v>3</v>
      </c>
      <c r="E60" s="4" t="n">
        <f aca="false">IFERROR(INDEX(Positions!$D$2:$D$6912,MATCH($A60&amp;"|70",Positions!$A$2:$A$6912,0)),"-")</f>
        <v>72</v>
      </c>
      <c r="F60" s="4" t="str">
        <f aca="false">IFERROR(INDEX(Positions!$E$2:$E$6912,MATCH($A60&amp;"|3",Positions!$A$2:$A$6912,0)),"-")</f>
        <v>C</v>
      </c>
      <c r="G60" s="4" t="str">
        <f aca="false">IFERROR(INDEX(Positions!$E$2:$E$6912,MATCH($A60&amp;"|70",Positions!$A$2:$A$6912,0)),"-")</f>
        <v>G</v>
      </c>
      <c r="H60" s="3" t="str">
        <f aca="false">F60&amp;"-"&amp;G60</f>
        <v>C-G</v>
      </c>
      <c r="I60" s="4" t="n">
        <f aca="false">(F60="G")+(G60="G")</f>
        <v>1</v>
      </c>
      <c r="J60" s="4" t="n">
        <f aca="false">(F60="C")+(G60="C")</f>
        <v>1</v>
      </c>
      <c r="K60" s="3" t="n">
        <f aca="false">I60+J60</f>
        <v>2</v>
      </c>
    </row>
    <row r="61" customFormat="false" ht="15" hidden="false" customHeight="false" outlineLevel="0" collapsed="false">
      <c r="A61" s="4" t="s">
        <v>39</v>
      </c>
      <c r="B61" s="4" t="s">
        <v>412</v>
      </c>
      <c r="C61" s="4" t="s">
        <v>519</v>
      </c>
      <c r="D61" s="4" t="n">
        <f aca="false">IFERROR(INDEX(Positions!$D$2:$D$6912,MATCH($A61&amp;"|4",Positions!$A$2:$A$6912,0)),"-")</f>
        <v>4</v>
      </c>
      <c r="E61" s="4" t="n">
        <f aca="false">IFERROR(INDEX(Positions!$D$2:$D$6912,MATCH($A61&amp;"|69",Positions!$A$2:$A$6912,0)),"-")</f>
        <v>71</v>
      </c>
      <c r="F61" s="4" t="str">
        <f aca="false">IFERROR(INDEX(Positions!$E$2:$E$6912,MATCH($A61&amp;"|4",Positions!$A$2:$A$6912,0)),"-")</f>
        <v>G</v>
      </c>
      <c r="G61" s="4" t="str">
        <f aca="false">IFERROR(INDEX(Positions!$E$2:$E$6912,MATCH($A61&amp;"|69",Positions!$A$2:$A$6912,0)),"-")</f>
        <v>C</v>
      </c>
      <c r="H61" s="3" t="str">
        <f aca="false">F61&amp;"-"&amp;G61</f>
        <v>G-C</v>
      </c>
      <c r="I61" s="4" t="n">
        <f aca="false">(F61="G")+(G61="G")</f>
        <v>1</v>
      </c>
      <c r="J61" s="4" t="n">
        <f aca="false">(F61="C")+(G61="C")</f>
        <v>1</v>
      </c>
      <c r="K61" s="3" t="n">
        <f aca="false">I61+J61</f>
        <v>2</v>
      </c>
    </row>
    <row r="62" customFormat="false" ht="15" hidden="false" customHeight="false" outlineLevel="0" collapsed="false">
      <c r="A62" s="4" t="s">
        <v>39</v>
      </c>
      <c r="B62" s="4" t="s">
        <v>412</v>
      </c>
      <c r="C62" s="4" t="s">
        <v>283</v>
      </c>
      <c r="D62" s="4" t="n">
        <f aca="false">IFERROR(INDEX(Positions!$D$2:$D$6912,MATCH($A62&amp;"|5",Positions!$A$2:$A$6912,0)),"-")</f>
        <v>5</v>
      </c>
      <c r="E62" s="4" t="n">
        <f aca="false">IFERROR(INDEX(Positions!$D$2:$D$6912,MATCH($A62&amp;"|68",Positions!$A$2:$A$6912,0)),"-")</f>
        <v>70</v>
      </c>
      <c r="F62" s="4" t="str">
        <f aca="false">IFERROR(INDEX(Positions!$E$2:$E$6912,MATCH($A62&amp;"|5",Positions!$A$2:$A$6912,0)),"-")</f>
        <v>G</v>
      </c>
      <c r="G62" s="4" t="str">
        <f aca="false">IFERROR(INDEX(Positions!$E$2:$E$6912,MATCH($A62&amp;"|68",Positions!$A$2:$A$6912,0)),"-")</f>
        <v>C</v>
      </c>
      <c r="H62" s="3" t="str">
        <f aca="false">F62&amp;"-"&amp;G62</f>
        <v>G-C</v>
      </c>
      <c r="I62" s="4" t="n">
        <f aca="false">(F62="G")+(G62="G")</f>
        <v>1</v>
      </c>
      <c r="J62" s="4" t="n">
        <f aca="false">(F62="C")+(G62="C")</f>
        <v>1</v>
      </c>
      <c r="K62" s="3" t="n">
        <f aca="false">I62+J62</f>
        <v>2</v>
      </c>
    </row>
    <row r="63" customFormat="false" ht="15" hidden="false" customHeight="false" outlineLevel="0" collapsed="false">
      <c r="A63" s="4" t="s">
        <v>39</v>
      </c>
      <c r="B63" s="4" t="s">
        <v>412</v>
      </c>
      <c r="C63" s="4" t="s">
        <v>520</v>
      </c>
      <c r="D63" s="4" t="n">
        <f aca="false">IFERROR(INDEX(Positions!$D$2:$D$6912,MATCH($A63&amp;"|6",Positions!$A$2:$A$6912,0)),"-")</f>
        <v>6</v>
      </c>
      <c r="E63" s="4" t="n">
        <f aca="false">IFERROR(INDEX(Positions!$D$2:$D$6912,MATCH($A63&amp;"|67",Positions!$A$2:$A$6912,0)),"-")</f>
        <v>69</v>
      </c>
      <c r="F63" s="4" t="str">
        <f aca="false">IFERROR(INDEX(Positions!$E$2:$E$6912,MATCH($A63&amp;"|6",Positions!$A$2:$A$6912,0)),"-")</f>
        <v>G</v>
      </c>
      <c r="G63" s="4" t="str">
        <f aca="false">IFERROR(INDEX(Positions!$E$2:$E$6912,MATCH($A63&amp;"|67",Positions!$A$2:$A$6912,0)),"-")</f>
        <v>C</v>
      </c>
      <c r="H63" s="3" t="str">
        <f aca="false">F63&amp;"-"&amp;G63</f>
        <v>G-C</v>
      </c>
      <c r="I63" s="4" t="n">
        <f aca="false">(F63="G")+(G63="G")</f>
        <v>1</v>
      </c>
      <c r="J63" s="4" t="n">
        <f aca="false">(F63="C")+(G63="C")</f>
        <v>1</v>
      </c>
      <c r="K63" s="3" t="n">
        <f aca="false">I63+J63</f>
        <v>2</v>
      </c>
    </row>
    <row r="64" customFormat="false" ht="15" hidden="false" customHeight="false" outlineLevel="0" collapsed="false">
      <c r="A64" s="4" t="s">
        <v>39</v>
      </c>
      <c r="B64" s="4" t="s">
        <v>412</v>
      </c>
      <c r="C64" s="4" t="s">
        <v>521</v>
      </c>
      <c r="D64" s="4" t="n">
        <f aca="false">IFERROR(INDEX(Positions!$D$2:$D$6912,MATCH($A64&amp;"|7",Positions!$A$2:$A$6912,0)),"-")</f>
        <v>7</v>
      </c>
      <c r="E64" s="4" t="n">
        <f aca="false">IFERROR(INDEX(Positions!$D$2:$D$6912,MATCH($A64&amp;"|66",Positions!$A$2:$A$6912,0)),"-")</f>
        <v>68</v>
      </c>
      <c r="F64" s="4" t="str">
        <f aca="false">IFERROR(INDEX(Positions!$E$2:$E$6912,MATCH($A64&amp;"|7",Positions!$A$2:$A$6912,0)),"-")</f>
        <v>A</v>
      </c>
      <c r="G64" s="4" t="str">
        <f aca="false">IFERROR(INDEX(Positions!$E$2:$E$6912,MATCH($A64&amp;"|66",Positions!$A$2:$A$6912,0)),"-")</f>
        <v>U</v>
      </c>
      <c r="H64" s="3" t="str">
        <f aca="false">F64&amp;"-"&amp;G64</f>
        <v>A-U</v>
      </c>
      <c r="I64" s="4" t="n">
        <f aca="false">(F64="G")+(G64="G")</f>
        <v>0</v>
      </c>
      <c r="J64" s="4" t="n">
        <f aca="false">(F64="C")+(G64="C")</f>
        <v>0</v>
      </c>
      <c r="K64" s="3" t="n">
        <f aca="false">I64+J64</f>
        <v>0</v>
      </c>
    </row>
    <row r="65" customFormat="false" ht="15" hidden="false" customHeight="false" outlineLevel="0" collapsed="false">
      <c r="A65" s="4" t="s">
        <v>39</v>
      </c>
      <c r="B65" s="4" t="s">
        <v>425</v>
      </c>
      <c r="C65" s="4" t="s">
        <v>522</v>
      </c>
      <c r="D65" s="4" t="n">
        <f aca="false">IFERROR(INDEX(Positions!$D$2:$D$6912,MATCH($A65&amp;"|10",Positions!$A$2:$A$6912,0)),"-")</f>
        <v>10</v>
      </c>
      <c r="E65" s="4" t="n">
        <f aca="false">IFERROR(INDEX(Positions!$D$2:$D$6912,MATCH($A65&amp;"|25",Positions!$A$2:$A$6912,0)),"-")</f>
        <v>27</v>
      </c>
      <c r="F65" s="4" t="str">
        <f aca="false">IFERROR(INDEX(Positions!$E$2:$E$6912,MATCH($A65&amp;"|10",Positions!$A$2:$A$6912,0)),"-")</f>
        <v>G</v>
      </c>
      <c r="G65" s="4" t="str">
        <f aca="false">IFERROR(INDEX(Positions!$E$2:$E$6912,MATCH($A65&amp;"|25",Positions!$A$2:$A$6912,0)),"-")</f>
        <v>C</v>
      </c>
      <c r="H65" s="3" t="str">
        <f aca="false">F65&amp;"-"&amp;G65</f>
        <v>G-C</v>
      </c>
      <c r="I65" s="4" t="n">
        <f aca="false">(F65="G")+(G65="G")</f>
        <v>1</v>
      </c>
      <c r="J65" s="4" t="n">
        <f aca="false">(F65="C")+(G65="C")</f>
        <v>1</v>
      </c>
      <c r="K65" s="3" t="n">
        <f aca="false">I65+J65</f>
        <v>2</v>
      </c>
    </row>
    <row r="66" customFormat="false" ht="15" hidden="false" customHeight="false" outlineLevel="0" collapsed="false">
      <c r="A66" s="4" t="s">
        <v>39</v>
      </c>
      <c r="B66" s="4" t="s">
        <v>425</v>
      </c>
      <c r="C66" s="4" t="s">
        <v>523</v>
      </c>
      <c r="D66" s="4" t="n">
        <f aca="false">IFERROR(INDEX(Positions!$D$2:$D$6912,MATCH($A66&amp;"|11",Positions!$A$2:$A$6912,0)),"-")</f>
        <v>11</v>
      </c>
      <c r="E66" s="4" t="n">
        <f aca="false">IFERROR(INDEX(Positions!$D$2:$D$6912,MATCH($A66&amp;"|24",Positions!$A$2:$A$6912,0)),"-")</f>
        <v>26</v>
      </c>
      <c r="F66" s="4" t="str">
        <f aca="false">IFERROR(INDEX(Positions!$E$2:$E$6912,MATCH($A66&amp;"|11",Positions!$A$2:$A$6912,0)),"-")</f>
        <v>G</v>
      </c>
      <c r="G66" s="4" t="str">
        <f aca="false">IFERROR(INDEX(Positions!$E$2:$E$6912,MATCH($A66&amp;"|24",Positions!$A$2:$A$6912,0)),"-")</f>
        <v>C</v>
      </c>
      <c r="H66" s="3" t="str">
        <f aca="false">F66&amp;"-"&amp;G66</f>
        <v>G-C</v>
      </c>
      <c r="I66" s="4" t="n">
        <f aca="false">(F66="G")+(G66="G")</f>
        <v>1</v>
      </c>
      <c r="J66" s="4" t="n">
        <f aca="false">(F66="C")+(G66="C")</f>
        <v>1</v>
      </c>
      <c r="K66" s="3" t="n">
        <f aca="false">I66+J66</f>
        <v>2</v>
      </c>
    </row>
    <row r="67" customFormat="false" ht="15" hidden="false" customHeight="false" outlineLevel="0" collapsed="false">
      <c r="A67" s="4" t="s">
        <v>39</v>
      </c>
      <c r="B67" s="4" t="s">
        <v>425</v>
      </c>
      <c r="C67" s="4" t="s">
        <v>250</v>
      </c>
      <c r="D67" s="4" t="n">
        <f aca="false">IFERROR(INDEX(Positions!$D$2:$D$6912,MATCH($A67&amp;"|12",Positions!$A$2:$A$6912,0)),"-")</f>
        <v>12</v>
      </c>
      <c r="E67" s="4" t="n">
        <f aca="false">IFERROR(INDEX(Positions!$D$2:$D$6912,MATCH($A67&amp;"|23",Positions!$A$2:$A$6912,0)),"-")</f>
        <v>25</v>
      </c>
      <c r="F67" s="4" t="str">
        <f aca="false">IFERROR(INDEX(Positions!$E$2:$E$6912,MATCH($A67&amp;"|12",Positions!$A$2:$A$6912,0)),"-")</f>
        <v>A</v>
      </c>
      <c r="G67" s="4" t="str">
        <f aca="false">IFERROR(INDEX(Positions!$E$2:$E$6912,MATCH($A67&amp;"|23",Positions!$A$2:$A$6912,0)),"-")</f>
        <v>U</v>
      </c>
      <c r="H67" s="3" t="str">
        <f aca="false">F67&amp;"-"&amp;G67</f>
        <v>A-U</v>
      </c>
      <c r="I67" s="4" t="n">
        <f aca="false">(F67="G")+(G67="G")</f>
        <v>0</v>
      </c>
      <c r="J67" s="4" t="n">
        <f aca="false">(F67="C")+(G67="C")</f>
        <v>0</v>
      </c>
      <c r="K67" s="3" t="n">
        <f aca="false">I67+J67</f>
        <v>0</v>
      </c>
    </row>
    <row r="68" customFormat="false" ht="15" hidden="false" customHeight="false" outlineLevel="0" collapsed="false">
      <c r="A68" s="4" t="s">
        <v>39</v>
      </c>
      <c r="B68" s="4" t="s">
        <v>425</v>
      </c>
      <c r="C68" s="4" t="s">
        <v>154</v>
      </c>
      <c r="D68" s="4" t="n">
        <f aca="false">IFERROR(INDEX(Positions!$D$2:$D$6912,MATCH($A68&amp;"|13",Positions!$A$2:$A$6912,0)),"-")</f>
        <v>13</v>
      </c>
      <c r="E68" s="4" t="n">
        <f aca="false">IFERROR(INDEX(Positions!$D$2:$D$6912,MATCH($A68&amp;"|22",Positions!$A$2:$A$6912,0)),"-")</f>
        <v>24</v>
      </c>
      <c r="F68" s="4" t="str">
        <f aca="false">IFERROR(INDEX(Positions!$E$2:$E$6912,MATCH($A68&amp;"|13",Positions!$A$2:$A$6912,0)),"-")</f>
        <v>U</v>
      </c>
      <c r="G68" s="4" t="str">
        <f aca="false">IFERROR(INDEX(Positions!$E$2:$E$6912,MATCH($A68&amp;"|22",Positions!$A$2:$A$6912,0)),"-")</f>
        <v>U</v>
      </c>
      <c r="H68" s="3" t="str">
        <f aca="false">F68&amp;"-"&amp;G68</f>
        <v>U-U</v>
      </c>
      <c r="I68" s="4" t="n">
        <f aca="false">(F68="G")+(G68="G")</f>
        <v>0</v>
      </c>
      <c r="J68" s="4" t="n">
        <f aca="false">(F68="C")+(G68="C")</f>
        <v>0</v>
      </c>
      <c r="K68" s="3" t="n">
        <f aca="false">I68+J68</f>
        <v>0</v>
      </c>
    </row>
    <row r="69" customFormat="false" ht="15" hidden="false" customHeight="false" outlineLevel="0" collapsed="false">
      <c r="A69" s="4" t="s">
        <v>39</v>
      </c>
      <c r="B69" s="4" t="s">
        <v>446</v>
      </c>
      <c r="C69" s="4" t="s">
        <v>524</v>
      </c>
      <c r="D69" s="4" t="n">
        <f aca="false">IFERROR(INDEX(Positions!$D$2:$D$6912,MATCH($A69&amp;"|27",Positions!$A$2:$A$6912,0)),"-")</f>
        <v>29</v>
      </c>
      <c r="E69" s="4" t="n">
        <f aca="false">IFERROR(INDEX(Positions!$D$2:$D$6912,MATCH($A69&amp;"|43",Positions!$A$2:$A$6912,0)),"-")</f>
        <v>45</v>
      </c>
      <c r="F69" s="4" t="str">
        <f aca="false">IFERROR(INDEX(Positions!$E$2:$E$6912,MATCH($A69&amp;"|27",Positions!$A$2:$A$6912,0)),"-")</f>
        <v>C</v>
      </c>
      <c r="G69" s="4" t="str">
        <f aca="false">IFERROR(INDEX(Positions!$E$2:$E$6912,MATCH($A69&amp;"|43",Positions!$A$2:$A$6912,0)),"-")</f>
        <v>G</v>
      </c>
      <c r="H69" s="3" t="str">
        <f aca="false">F69&amp;"-"&amp;G69</f>
        <v>C-G</v>
      </c>
      <c r="I69" s="4" t="n">
        <f aca="false">(F69="G")+(G69="G")</f>
        <v>1</v>
      </c>
      <c r="J69" s="4" t="n">
        <f aca="false">(F69="C")+(G69="C")</f>
        <v>1</v>
      </c>
      <c r="K69" s="3" t="n">
        <f aca="false">I69+J69</f>
        <v>2</v>
      </c>
    </row>
    <row r="70" customFormat="false" ht="15" hidden="false" customHeight="false" outlineLevel="0" collapsed="false">
      <c r="A70" s="4" t="s">
        <v>39</v>
      </c>
      <c r="B70" s="4" t="s">
        <v>446</v>
      </c>
      <c r="C70" s="4" t="s">
        <v>525</v>
      </c>
      <c r="D70" s="4" t="n">
        <f aca="false">IFERROR(INDEX(Positions!$D$2:$D$6912,MATCH($A70&amp;"|28",Positions!$A$2:$A$6912,0)),"-")</f>
        <v>30</v>
      </c>
      <c r="E70" s="4" t="n">
        <f aca="false">IFERROR(INDEX(Positions!$D$2:$D$6912,MATCH($A70&amp;"|42",Positions!$A$2:$A$6912,0)),"-")</f>
        <v>44</v>
      </c>
      <c r="F70" s="4" t="str">
        <f aca="false">IFERROR(INDEX(Positions!$E$2:$E$6912,MATCH($A70&amp;"|28",Positions!$A$2:$A$6912,0)),"-")</f>
        <v>C</v>
      </c>
      <c r="G70" s="4" t="str">
        <f aca="false">IFERROR(INDEX(Positions!$E$2:$E$6912,MATCH($A70&amp;"|42",Positions!$A$2:$A$6912,0)),"-")</f>
        <v>G</v>
      </c>
      <c r="H70" s="3" t="str">
        <f aca="false">F70&amp;"-"&amp;G70</f>
        <v>C-G</v>
      </c>
      <c r="I70" s="4" t="n">
        <f aca="false">(F70="G")+(G70="G")</f>
        <v>1</v>
      </c>
      <c r="J70" s="4" t="n">
        <f aca="false">(F70="C")+(G70="C")</f>
        <v>1</v>
      </c>
      <c r="K70" s="3" t="n">
        <f aca="false">I70+J70</f>
        <v>2</v>
      </c>
    </row>
    <row r="71" customFormat="false" ht="15" hidden="false" customHeight="false" outlineLevel="0" collapsed="false">
      <c r="A71" s="4" t="s">
        <v>39</v>
      </c>
      <c r="B71" s="4" t="s">
        <v>446</v>
      </c>
      <c r="C71" s="4" t="s">
        <v>256</v>
      </c>
      <c r="D71" s="4" t="n">
        <f aca="false">IFERROR(INDEX(Positions!$D$2:$D$6912,MATCH($A71&amp;"|29",Positions!$A$2:$A$6912,0)),"-")</f>
        <v>31</v>
      </c>
      <c r="E71" s="4" t="n">
        <f aca="false">IFERROR(INDEX(Positions!$D$2:$D$6912,MATCH($A71&amp;"|41",Positions!$A$2:$A$6912,0)),"-")</f>
        <v>43</v>
      </c>
      <c r="F71" s="4" t="str">
        <f aca="false">IFERROR(INDEX(Positions!$E$2:$E$6912,MATCH($A71&amp;"|29",Positions!$A$2:$A$6912,0)),"-")</f>
        <v>G</v>
      </c>
      <c r="G71" s="4" t="str">
        <f aca="false">IFERROR(INDEX(Positions!$E$2:$E$6912,MATCH($A71&amp;"|41",Positions!$A$2:$A$6912,0)),"-")</f>
        <v>C</v>
      </c>
      <c r="H71" s="3" t="str">
        <f aca="false">F71&amp;"-"&amp;G71</f>
        <v>G-C</v>
      </c>
      <c r="I71" s="4" t="n">
        <f aca="false">(F71="G")+(G71="G")</f>
        <v>1</v>
      </c>
      <c r="J71" s="4" t="n">
        <f aca="false">(F71="C")+(G71="C")</f>
        <v>1</v>
      </c>
      <c r="K71" s="3" t="n">
        <f aca="false">I71+J71</f>
        <v>2</v>
      </c>
    </row>
    <row r="72" customFormat="false" ht="15" hidden="false" customHeight="false" outlineLevel="0" collapsed="false">
      <c r="A72" s="4" t="s">
        <v>39</v>
      </c>
      <c r="B72" s="4" t="s">
        <v>446</v>
      </c>
      <c r="C72" s="4" t="s">
        <v>526</v>
      </c>
      <c r="D72" s="4" t="n">
        <f aca="false">IFERROR(INDEX(Positions!$D$2:$D$6912,MATCH($A72&amp;"|30",Positions!$A$2:$A$6912,0)),"-")</f>
        <v>32</v>
      </c>
      <c r="E72" s="4" t="n">
        <f aca="false">IFERROR(INDEX(Positions!$D$2:$D$6912,MATCH($A72&amp;"|40",Positions!$A$2:$A$6912,0)),"-")</f>
        <v>42</v>
      </c>
      <c r="F72" s="4" t="str">
        <f aca="false">IFERROR(INDEX(Positions!$E$2:$E$6912,MATCH($A72&amp;"|30",Positions!$A$2:$A$6912,0)),"-")</f>
        <v>G</v>
      </c>
      <c r="G72" s="4" t="str">
        <f aca="false">IFERROR(INDEX(Positions!$E$2:$E$6912,MATCH($A72&amp;"|40",Positions!$A$2:$A$6912,0)),"-")</f>
        <v>C</v>
      </c>
      <c r="H72" s="3" t="str">
        <f aca="false">F72&amp;"-"&amp;G72</f>
        <v>G-C</v>
      </c>
      <c r="I72" s="4" t="n">
        <f aca="false">(F72="G")+(G72="G")</f>
        <v>1</v>
      </c>
      <c r="J72" s="4" t="n">
        <f aca="false">(F72="C")+(G72="C")</f>
        <v>1</v>
      </c>
      <c r="K72" s="3" t="n">
        <f aca="false">I72+J72</f>
        <v>2</v>
      </c>
    </row>
    <row r="73" customFormat="false" ht="15" hidden="false" customHeight="false" outlineLevel="0" collapsed="false">
      <c r="A73" s="4" t="s">
        <v>39</v>
      </c>
      <c r="B73" s="4" t="s">
        <v>446</v>
      </c>
      <c r="C73" s="4" t="s">
        <v>273</v>
      </c>
      <c r="D73" s="4" t="n">
        <f aca="false">IFERROR(INDEX(Positions!$D$2:$D$6912,MATCH($A73&amp;"|31",Positions!$A$2:$A$6912,0)),"-")</f>
        <v>33</v>
      </c>
      <c r="E73" s="4" t="n">
        <f aca="false">IFERROR(INDEX(Positions!$D$2:$D$6912,MATCH($A73&amp;"|39",Positions!$A$2:$A$6912,0)),"-")</f>
        <v>41</v>
      </c>
      <c r="F73" s="4" t="str">
        <f aca="false">IFERROR(INDEX(Positions!$E$2:$E$6912,MATCH($A73&amp;"|31",Positions!$A$2:$A$6912,0)),"-")</f>
        <v>G</v>
      </c>
      <c r="G73" s="4" t="str">
        <f aca="false">IFERROR(INDEX(Positions!$E$2:$E$6912,MATCH($A73&amp;"|39",Positions!$A$2:$A$6912,0)),"-")</f>
        <v>C</v>
      </c>
      <c r="H73" s="3" t="str">
        <f aca="false">F73&amp;"-"&amp;G73</f>
        <v>G-C</v>
      </c>
      <c r="I73" s="4" t="n">
        <f aca="false">(F73="G")+(G73="G")</f>
        <v>1</v>
      </c>
      <c r="J73" s="4" t="n">
        <f aca="false">(F73="C")+(G73="C")</f>
        <v>1</v>
      </c>
      <c r="K73" s="3" t="n">
        <f aca="false">I73+J73</f>
        <v>2</v>
      </c>
    </row>
    <row r="74" customFormat="false" ht="15" hidden="false" customHeight="false" outlineLevel="0" collapsed="false">
      <c r="A74" s="4" t="s">
        <v>39</v>
      </c>
      <c r="B74" s="4" t="s">
        <v>471</v>
      </c>
      <c r="C74" s="4" t="s">
        <v>367</v>
      </c>
      <c r="D74" s="4" t="n">
        <f aca="false">IFERROR(INDEX(Positions!$D$2:$D$6912,MATCH($A74&amp;"|49",Positions!$A$2:$A$6912,0)),"-")</f>
        <v>51</v>
      </c>
      <c r="E74" s="4" t="n">
        <f aca="false">IFERROR(INDEX(Positions!$D$2:$D$6912,MATCH($A74&amp;"|65",Positions!$A$2:$A$6912,0)),"-")</f>
        <v>67</v>
      </c>
      <c r="F74" s="4" t="str">
        <f aca="false">IFERROR(INDEX(Positions!$E$2:$E$6912,MATCH($A74&amp;"|49",Positions!$A$2:$A$6912,0)),"-")</f>
        <v>G</v>
      </c>
      <c r="G74" s="4" t="str">
        <f aca="false">IFERROR(INDEX(Positions!$E$2:$E$6912,MATCH($A74&amp;"|65",Positions!$A$2:$A$6912,0)),"-")</f>
        <v>C</v>
      </c>
      <c r="H74" s="3" t="str">
        <f aca="false">F74&amp;"-"&amp;G74</f>
        <v>G-C</v>
      </c>
      <c r="I74" s="4" t="n">
        <f aca="false">(F74="G")+(G74="G")</f>
        <v>1</v>
      </c>
      <c r="J74" s="4" t="n">
        <f aca="false">(F74="C")+(G74="C")</f>
        <v>1</v>
      </c>
      <c r="K74" s="3" t="n">
        <f aca="false">I74+J74</f>
        <v>2</v>
      </c>
    </row>
    <row r="75" customFormat="false" ht="15" hidden="false" customHeight="false" outlineLevel="0" collapsed="false">
      <c r="A75" s="4" t="s">
        <v>39</v>
      </c>
      <c r="B75" s="4" t="s">
        <v>471</v>
      </c>
      <c r="C75" s="4" t="s">
        <v>233</v>
      </c>
      <c r="D75" s="4" t="n">
        <f aca="false">IFERROR(INDEX(Positions!$D$2:$D$6912,MATCH($A75&amp;"|50",Positions!$A$2:$A$6912,0)),"-")</f>
        <v>52</v>
      </c>
      <c r="E75" s="4" t="n">
        <f aca="false">IFERROR(INDEX(Positions!$D$2:$D$6912,MATCH($A75&amp;"|64",Positions!$A$2:$A$6912,0)),"-")</f>
        <v>66</v>
      </c>
      <c r="F75" s="4" t="str">
        <f aca="false">IFERROR(INDEX(Positions!$E$2:$E$6912,MATCH($A75&amp;"|50",Positions!$A$2:$A$6912,0)),"-")</f>
        <v>G</v>
      </c>
      <c r="G75" s="4" t="str">
        <f aca="false">IFERROR(INDEX(Positions!$E$2:$E$6912,MATCH($A75&amp;"|64",Positions!$A$2:$A$6912,0)),"-")</f>
        <v>C</v>
      </c>
      <c r="H75" s="3" t="str">
        <f aca="false">F75&amp;"-"&amp;G75</f>
        <v>G-C</v>
      </c>
      <c r="I75" s="4" t="n">
        <f aca="false">(F75="G")+(G75="G")</f>
        <v>1</v>
      </c>
      <c r="J75" s="4" t="n">
        <f aca="false">(F75="C")+(G75="C")</f>
        <v>1</v>
      </c>
      <c r="K75" s="3" t="n">
        <f aca="false">I75+J75</f>
        <v>2</v>
      </c>
    </row>
    <row r="76" customFormat="false" ht="15" hidden="false" customHeight="false" outlineLevel="0" collapsed="false">
      <c r="A76" s="4" t="s">
        <v>39</v>
      </c>
      <c r="B76" s="4" t="s">
        <v>471</v>
      </c>
      <c r="C76" s="4" t="s">
        <v>527</v>
      </c>
      <c r="D76" s="4" t="n">
        <f aca="false">IFERROR(INDEX(Positions!$D$2:$D$6912,MATCH($A76&amp;"|51",Positions!$A$2:$A$6912,0)),"-")</f>
        <v>53</v>
      </c>
      <c r="E76" s="4" t="n">
        <f aca="false">IFERROR(INDEX(Positions!$D$2:$D$6912,MATCH($A76&amp;"|63",Positions!$A$2:$A$6912,0)),"-")</f>
        <v>65</v>
      </c>
      <c r="F76" s="4" t="str">
        <f aca="false">IFERROR(INDEX(Positions!$E$2:$E$6912,MATCH($A76&amp;"|51",Positions!$A$2:$A$6912,0)),"-")</f>
        <v>U</v>
      </c>
      <c r="G76" s="4" t="str">
        <f aca="false">IFERROR(INDEX(Positions!$E$2:$E$6912,MATCH($A76&amp;"|63",Positions!$A$2:$A$6912,0)),"-")</f>
        <v>A</v>
      </c>
      <c r="H76" s="3" t="str">
        <f aca="false">F76&amp;"-"&amp;G76</f>
        <v>U-A</v>
      </c>
      <c r="I76" s="4" t="n">
        <f aca="false">(F76="G")+(G76="G")</f>
        <v>0</v>
      </c>
      <c r="J76" s="4" t="n">
        <f aca="false">(F76="C")+(G76="C")</f>
        <v>0</v>
      </c>
      <c r="K76" s="3" t="n">
        <f aca="false">I76+J76</f>
        <v>0</v>
      </c>
    </row>
    <row r="77" customFormat="false" ht="15" hidden="false" customHeight="false" outlineLevel="0" collapsed="false">
      <c r="A77" s="4" t="s">
        <v>39</v>
      </c>
      <c r="B77" s="4" t="s">
        <v>471</v>
      </c>
      <c r="C77" s="4" t="s">
        <v>528</v>
      </c>
      <c r="D77" s="4" t="n">
        <f aca="false">IFERROR(INDEX(Positions!$D$2:$D$6912,MATCH($A77&amp;"|52",Positions!$A$2:$A$6912,0)),"-")</f>
        <v>54</v>
      </c>
      <c r="E77" s="4" t="n">
        <f aca="false">IFERROR(INDEX(Positions!$D$2:$D$6912,MATCH($A77&amp;"|62",Positions!$A$2:$A$6912,0)),"-")</f>
        <v>64</v>
      </c>
      <c r="F77" s="4" t="str">
        <f aca="false">IFERROR(INDEX(Positions!$E$2:$E$6912,MATCH($A77&amp;"|52",Positions!$A$2:$A$6912,0)),"-")</f>
        <v>A</v>
      </c>
      <c r="G77" s="4" t="str">
        <f aca="false">IFERROR(INDEX(Positions!$E$2:$E$6912,MATCH($A77&amp;"|62",Positions!$A$2:$A$6912,0)),"-")</f>
        <v>U</v>
      </c>
      <c r="H77" s="3" t="str">
        <f aca="false">F77&amp;"-"&amp;G77</f>
        <v>A-U</v>
      </c>
      <c r="I77" s="4" t="n">
        <f aca="false">(F77="G")+(G77="G")</f>
        <v>0</v>
      </c>
      <c r="J77" s="4" t="n">
        <f aca="false">(F77="C")+(G77="C")</f>
        <v>0</v>
      </c>
      <c r="K77" s="3" t="n">
        <f aca="false">I77+J77</f>
        <v>0</v>
      </c>
    </row>
    <row r="78" customFormat="false" ht="15" hidden="false" customHeight="false" outlineLevel="0" collapsed="false">
      <c r="A78" s="4" t="s">
        <v>39</v>
      </c>
      <c r="B78" s="4" t="s">
        <v>471</v>
      </c>
      <c r="C78" s="4" t="s">
        <v>529</v>
      </c>
      <c r="D78" s="4" t="n">
        <f aca="false">IFERROR(INDEX(Positions!$D$2:$D$6912,MATCH($A78&amp;"|53",Positions!$A$2:$A$6912,0)),"-")</f>
        <v>55</v>
      </c>
      <c r="E78" s="4" t="n">
        <f aca="false">IFERROR(INDEX(Positions!$D$2:$D$6912,MATCH($A78&amp;"|61",Positions!$A$2:$A$6912,0)),"-")</f>
        <v>63</v>
      </c>
      <c r="F78" s="4" t="str">
        <f aca="false">IFERROR(INDEX(Positions!$E$2:$E$6912,MATCH($A78&amp;"|53",Positions!$A$2:$A$6912,0)),"-")</f>
        <v>G</v>
      </c>
      <c r="G78" s="4" t="str">
        <f aca="false">IFERROR(INDEX(Positions!$E$2:$E$6912,MATCH($A78&amp;"|61",Positions!$A$2:$A$6912,0)),"-")</f>
        <v>C</v>
      </c>
      <c r="H78" s="3" t="str">
        <f aca="false">F78&amp;"-"&amp;G78</f>
        <v>G-C</v>
      </c>
      <c r="I78" s="4" t="n">
        <f aca="false">(F78="G")+(G78="G")</f>
        <v>1</v>
      </c>
      <c r="J78" s="4" t="n">
        <f aca="false">(F78="C")+(G78="C")</f>
        <v>1</v>
      </c>
      <c r="K78" s="3" t="n">
        <f aca="false">I78+J78</f>
        <v>2</v>
      </c>
    </row>
    <row r="79" customFormat="false" ht="15" hidden="false" customHeight="false" outlineLevel="0" collapsed="false">
      <c r="A79" s="24" t="s">
        <v>39</v>
      </c>
      <c r="B79" s="24" t="s">
        <v>530</v>
      </c>
      <c r="C79" s="24" t="s">
        <v>531</v>
      </c>
      <c r="D79" s="24" t="n">
        <f aca="false">IFERROR(INDEX(Positions!$D$2:$D$6912,MATCH($A79&amp;"|8",Positions!$A$2:$A$6912,0)),"-")</f>
        <v>8</v>
      </c>
      <c r="E79" s="24" t="n">
        <f aca="false">IFERROR(INDEX(Positions!$D$2:$D$6912,MATCH($A79&amp;"|14",Positions!$A$2:$A$6912,0)),"-")</f>
        <v>14</v>
      </c>
      <c r="F79" s="24" t="str">
        <f aca="false">IFERROR(INDEX(Positions!$E$2:$E$6912,MATCH($A79&amp;"|8",Positions!$A$2:$A$6912,0)),"-")</f>
        <v>U</v>
      </c>
      <c r="G79" s="24" t="str">
        <f aca="false">IFERROR(INDEX(Positions!$E$2:$E$6912,MATCH($A79&amp;"|14",Positions!$A$2:$A$6912,0)),"-")</f>
        <v>A</v>
      </c>
      <c r="H79" s="25" t="str">
        <f aca="false">F79&amp;"-"&amp;G79</f>
        <v>U-A</v>
      </c>
      <c r="I79" s="24" t="n">
        <f aca="false">(F79="G")+(G79="G")</f>
        <v>0</v>
      </c>
      <c r="J79" s="24" t="n">
        <f aca="false">(F79="C")+(G79="C")</f>
        <v>0</v>
      </c>
      <c r="K79" s="25" t="n">
        <f aca="false">I79+J79</f>
        <v>0</v>
      </c>
    </row>
    <row r="80" customFormat="false" ht="15" hidden="false" customHeight="false" outlineLevel="0" collapsed="false">
      <c r="A80" s="24" t="s">
        <v>39</v>
      </c>
      <c r="B80" s="24" t="s">
        <v>530</v>
      </c>
      <c r="C80" s="24" t="s">
        <v>532</v>
      </c>
      <c r="D80" s="24" t="n">
        <f aca="false">IFERROR(INDEX(Positions!$D$2:$D$6912,MATCH($A80&amp;"|15",Positions!$A$2:$A$6912,0)),"-")</f>
        <v>15</v>
      </c>
      <c r="E80" s="24" t="n">
        <f aca="false">IFERROR(INDEX(Positions!$D$2:$D$6912,MATCH($A80&amp;"|48",Positions!$A$2:$A$6912,0)),"-")</f>
        <v>50</v>
      </c>
      <c r="F80" s="24" t="str">
        <f aca="false">IFERROR(INDEX(Positions!$E$2:$E$6912,MATCH($A80&amp;"|15",Positions!$A$2:$A$6912,0)),"-")</f>
        <v>G</v>
      </c>
      <c r="G80" s="24" t="str">
        <f aca="false">IFERROR(INDEX(Positions!$E$2:$E$6912,MATCH($A80&amp;"|48",Positions!$A$2:$A$6912,0)),"-")</f>
        <v>C</v>
      </c>
      <c r="H80" s="25" t="str">
        <f aca="false">F80&amp;"-"&amp;G80</f>
        <v>G-C</v>
      </c>
      <c r="I80" s="24" t="n">
        <f aca="false">(F80="G")+(G80="G")</f>
        <v>1</v>
      </c>
      <c r="J80" s="24" t="n">
        <f aca="false">(F80="C")+(G80="C")</f>
        <v>1</v>
      </c>
      <c r="K80" s="25" t="n">
        <f aca="false">I80+J80</f>
        <v>2</v>
      </c>
    </row>
    <row r="81" customFormat="false" ht="15" hidden="false" customHeight="false" outlineLevel="0" collapsed="false">
      <c r="A81" s="24" t="s">
        <v>39</v>
      </c>
      <c r="B81" s="24" t="s">
        <v>530</v>
      </c>
      <c r="C81" s="24" t="s">
        <v>533</v>
      </c>
      <c r="D81" s="24" t="n">
        <f aca="false">IFERROR(INDEX(Positions!$D$2:$D$6912,MATCH($A81&amp;"|18",Positions!$A$2:$A$6912,0)),"-")</f>
        <v>19</v>
      </c>
      <c r="E81" s="24" t="n">
        <f aca="false">IFERROR(INDEX(Positions!$D$2:$D$6912,MATCH($A81&amp;"|55",Positions!$A$2:$A$6912,0)),"-")</f>
        <v>57</v>
      </c>
      <c r="F81" s="24" t="str">
        <f aca="false">IFERROR(INDEX(Positions!$E$2:$E$6912,MATCH($A81&amp;"|18",Positions!$A$2:$A$6912,0)),"-")</f>
        <v>G</v>
      </c>
      <c r="G81" s="24" t="str">
        <f aca="false">IFERROR(INDEX(Positions!$E$2:$E$6912,MATCH($A81&amp;"|55",Positions!$A$2:$A$6912,0)),"-")</f>
        <v>U</v>
      </c>
      <c r="H81" s="25" t="str">
        <f aca="false">F81&amp;"-"&amp;G81</f>
        <v>G-U</v>
      </c>
      <c r="I81" s="24" t="n">
        <f aca="false">(F81="G")+(G81="G")</f>
        <v>1</v>
      </c>
      <c r="J81" s="24" t="n">
        <f aca="false">(F81="C")+(G81="C")</f>
        <v>0</v>
      </c>
      <c r="K81" s="25" t="n">
        <f aca="false">I81+J81</f>
        <v>1</v>
      </c>
    </row>
    <row r="82" customFormat="false" ht="15" hidden="false" customHeight="false" outlineLevel="0" collapsed="false">
      <c r="A82" s="24" t="s">
        <v>39</v>
      </c>
      <c r="B82" s="24" t="s">
        <v>530</v>
      </c>
      <c r="C82" s="24" t="s">
        <v>534</v>
      </c>
      <c r="D82" s="24" t="n">
        <f aca="false">IFERROR(INDEX(Positions!$D$2:$D$6912,MATCH($A82&amp;"|19",Positions!$A$2:$A$6912,0)),"-")</f>
        <v>20</v>
      </c>
      <c r="E82" s="24" t="n">
        <f aca="false">IFERROR(INDEX(Positions!$D$2:$D$6912,MATCH($A82&amp;"|56",Positions!$A$2:$A$6912,0)),"-")</f>
        <v>58</v>
      </c>
      <c r="F82" s="24" t="str">
        <f aca="false">IFERROR(INDEX(Positions!$E$2:$E$6912,MATCH($A82&amp;"|19",Positions!$A$2:$A$6912,0)),"-")</f>
        <v>G</v>
      </c>
      <c r="G82" s="24" t="str">
        <f aca="false">IFERROR(INDEX(Positions!$E$2:$E$6912,MATCH($A82&amp;"|56",Positions!$A$2:$A$6912,0)),"-")</f>
        <v>C</v>
      </c>
      <c r="H82" s="25" t="str">
        <f aca="false">F82&amp;"-"&amp;G82</f>
        <v>G-C</v>
      </c>
      <c r="I82" s="24" t="n">
        <f aca="false">(F82="G")+(G82="G")</f>
        <v>1</v>
      </c>
      <c r="J82" s="24" t="n">
        <f aca="false">(F82="C")+(G82="C")</f>
        <v>1</v>
      </c>
      <c r="K82" s="25" t="n">
        <f aca="false">I82+J82</f>
        <v>2</v>
      </c>
    </row>
    <row r="83" customFormat="false" ht="15" hidden="false" customHeight="false" outlineLevel="0" collapsed="false">
      <c r="A83" s="24" t="s">
        <v>39</v>
      </c>
      <c r="B83" s="24" t="s">
        <v>530</v>
      </c>
      <c r="C83" s="24" t="s">
        <v>535</v>
      </c>
      <c r="D83" s="24" t="n">
        <f aca="false">IFERROR(INDEX(Positions!$D$2:$D$6912,MATCH($A83&amp;"|26",Positions!$A$2:$A$6912,0)),"-")</f>
        <v>28</v>
      </c>
      <c r="E83" s="24" t="n">
        <f aca="false">IFERROR(INDEX(Positions!$D$2:$D$6912,MATCH($A83&amp;"|44",Positions!$A$2:$A$6912,0)),"-")</f>
        <v>46</v>
      </c>
      <c r="F83" s="24" t="str">
        <f aca="false">IFERROR(INDEX(Positions!$E$2:$E$6912,MATCH($A83&amp;"|26",Positions!$A$2:$A$6912,0)),"-")</f>
        <v>G</v>
      </c>
      <c r="G83" s="24" t="str">
        <f aca="false">IFERROR(INDEX(Positions!$E$2:$E$6912,MATCH($A83&amp;"|44",Positions!$A$2:$A$6912,0)),"-")</f>
        <v>A</v>
      </c>
      <c r="H83" s="25" t="str">
        <f aca="false">F83&amp;"-"&amp;G83</f>
        <v>G-A</v>
      </c>
      <c r="I83" s="24" t="n">
        <f aca="false">(F83="G")+(G83="G")</f>
        <v>1</v>
      </c>
      <c r="J83" s="24" t="n">
        <f aca="false">(F83="C")+(G83="C")</f>
        <v>0</v>
      </c>
      <c r="K83" s="25" t="n">
        <f aca="false">I83+J83</f>
        <v>1</v>
      </c>
    </row>
    <row r="84" customFormat="false" ht="15" hidden="false" customHeight="false" outlineLevel="0" collapsed="false">
      <c r="A84" s="24" t="s">
        <v>39</v>
      </c>
      <c r="B84" s="24" t="s">
        <v>530</v>
      </c>
      <c r="C84" s="24" t="s">
        <v>536</v>
      </c>
      <c r="D84" s="24" t="n">
        <f aca="false">IFERROR(INDEX(Positions!$D$2:$D$6912,MATCH($A84&amp;"|32",Positions!$A$2:$A$6912,0)),"-")</f>
        <v>34</v>
      </c>
      <c r="E84" s="24" t="n">
        <f aca="false">IFERROR(INDEX(Positions!$D$2:$D$6912,MATCH($A84&amp;"|38",Positions!$A$2:$A$6912,0)),"-")</f>
        <v>40</v>
      </c>
      <c r="F84" s="24" t="str">
        <f aca="false">IFERROR(INDEX(Positions!$E$2:$E$6912,MATCH($A84&amp;"|32",Positions!$A$2:$A$6912,0)),"-")</f>
        <v>C</v>
      </c>
      <c r="G84" s="24" t="str">
        <f aca="false">IFERROR(INDEX(Positions!$E$2:$E$6912,MATCH($A84&amp;"|38",Positions!$A$2:$A$6912,0)),"-")</f>
        <v>A</v>
      </c>
      <c r="H84" s="25" t="str">
        <f aca="false">F84&amp;"-"&amp;G84</f>
        <v>C-A</v>
      </c>
      <c r="I84" s="24" t="n">
        <f aca="false">(F84="G")+(G84="G")</f>
        <v>0</v>
      </c>
      <c r="J84" s="24" t="n">
        <f aca="false">(F84="C")+(G84="C")</f>
        <v>1</v>
      </c>
      <c r="K84" s="25" t="n">
        <f aca="false">I84+J84</f>
        <v>1</v>
      </c>
    </row>
    <row r="85" customFormat="false" ht="15" hidden="false" customHeight="false" outlineLevel="0" collapsed="false">
      <c r="A85" s="24" t="s">
        <v>39</v>
      </c>
      <c r="B85" s="24" t="s">
        <v>530</v>
      </c>
      <c r="C85" s="24" t="s">
        <v>537</v>
      </c>
      <c r="D85" s="24" t="n">
        <f aca="false">IFERROR(INDEX(Positions!$D$2:$D$6912,MATCH($A85&amp;"|54",Positions!$A$2:$A$6912,0)),"-")</f>
        <v>56</v>
      </c>
      <c r="E85" s="24" t="n">
        <f aca="false">IFERROR(INDEX(Positions!$D$2:$D$6912,MATCH($A85&amp;"|58",Positions!$A$2:$A$6912,0)),"-")</f>
        <v>60</v>
      </c>
      <c r="F85" s="24" t="str">
        <f aca="false">IFERROR(INDEX(Positions!$E$2:$E$6912,MATCH($A85&amp;"|54",Positions!$A$2:$A$6912,0)),"-")</f>
        <v>U</v>
      </c>
      <c r="G85" s="24" t="str">
        <f aca="false">IFERROR(INDEX(Positions!$E$2:$E$6912,MATCH($A85&amp;"|58",Positions!$A$2:$A$6912,0)),"-")</f>
        <v>A</v>
      </c>
      <c r="H85" s="25" t="str">
        <f aca="false">F85&amp;"-"&amp;G85</f>
        <v>U-A</v>
      </c>
      <c r="I85" s="24" t="n">
        <f aca="false">(F85="G")+(G85="G")</f>
        <v>0</v>
      </c>
      <c r="J85" s="24" t="n">
        <f aca="false">(F85="C")+(G85="C")</f>
        <v>0</v>
      </c>
      <c r="K85" s="25" t="n">
        <f aca="false">I85+J85</f>
        <v>0</v>
      </c>
    </row>
    <row r="86" customFormat="false" ht="15" hidden="false" customHeight="false" outlineLevel="0" collapsed="false">
      <c r="A86" s="4" t="s">
        <v>40</v>
      </c>
      <c r="B86" s="4" t="s">
        <v>412</v>
      </c>
      <c r="C86" s="4" t="s">
        <v>517</v>
      </c>
      <c r="D86" s="4" t="n">
        <f aca="false">IFERROR(INDEX(Positions!$D$2:$D$6912,MATCH($A86&amp;"|1",Positions!$A$2:$A$6912,0)),"-")</f>
        <v>1</v>
      </c>
      <c r="E86" s="4" t="n">
        <f aca="false">IFERROR(INDEX(Positions!$D$2:$D$6912,MATCH($A86&amp;"|72",Positions!$A$2:$A$6912,0)),"-")</f>
        <v>71</v>
      </c>
      <c r="F86" s="4" t="str">
        <f aca="false">IFERROR(INDEX(Positions!$E$2:$E$6912,MATCH($A86&amp;"|1",Positions!$A$2:$A$6912,0)),"-")</f>
        <v>G</v>
      </c>
      <c r="G86" s="4" t="str">
        <f aca="false">IFERROR(INDEX(Positions!$E$2:$E$6912,MATCH($A86&amp;"|72",Positions!$A$2:$A$6912,0)),"-")</f>
        <v>C</v>
      </c>
      <c r="H86" s="3" t="str">
        <f aca="false">F86&amp;"-"&amp;G86</f>
        <v>G-C</v>
      </c>
      <c r="I86" s="4" t="n">
        <f aca="false">(F86="G")+(G86="G")</f>
        <v>1</v>
      </c>
      <c r="J86" s="4" t="n">
        <f aca="false">(F86="C")+(G86="C")</f>
        <v>1</v>
      </c>
      <c r="K86" s="3" t="n">
        <f aca="false">I86+J86</f>
        <v>2</v>
      </c>
    </row>
    <row r="87" customFormat="false" ht="15" hidden="false" customHeight="false" outlineLevel="0" collapsed="false">
      <c r="A87" s="4" t="s">
        <v>40</v>
      </c>
      <c r="B87" s="4" t="s">
        <v>412</v>
      </c>
      <c r="C87" s="4" t="s">
        <v>518</v>
      </c>
      <c r="D87" s="4" t="n">
        <f aca="false">IFERROR(INDEX(Positions!$D$2:$D$6912,MATCH($A87&amp;"|2",Positions!$A$2:$A$6912,0)),"-")</f>
        <v>2</v>
      </c>
      <c r="E87" s="4" t="n">
        <f aca="false">IFERROR(INDEX(Positions!$D$2:$D$6912,MATCH($A87&amp;"|71",Positions!$A$2:$A$6912,0)),"-")</f>
        <v>70</v>
      </c>
      <c r="F87" s="4" t="str">
        <f aca="false">IFERROR(INDEX(Positions!$E$2:$E$6912,MATCH($A87&amp;"|2",Positions!$A$2:$A$6912,0)),"-")</f>
        <v>G</v>
      </c>
      <c r="G87" s="4" t="str">
        <f aca="false">IFERROR(INDEX(Positions!$E$2:$E$6912,MATCH($A87&amp;"|71",Positions!$A$2:$A$6912,0)),"-")</f>
        <v>C</v>
      </c>
      <c r="H87" s="3" t="str">
        <f aca="false">F87&amp;"-"&amp;G87</f>
        <v>G-C</v>
      </c>
      <c r="I87" s="4" t="n">
        <f aca="false">(F87="G")+(G87="G")</f>
        <v>1</v>
      </c>
      <c r="J87" s="4" t="n">
        <f aca="false">(F87="C")+(G87="C")</f>
        <v>1</v>
      </c>
      <c r="K87" s="3" t="n">
        <f aca="false">I87+J87</f>
        <v>2</v>
      </c>
    </row>
    <row r="88" customFormat="false" ht="15" hidden="false" customHeight="false" outlineLevel="0" collapsed="false">
      <c r="A88" s="4" t="s">
        <v>40</v>
      </c>
      <c r="B88" s="4" t="s">
        <v>412</v>
      </c>
      <c r="C88" s="4" t="s">
        <v>386</v>
      </c>
      <c r="D88" s="4" t="n">
        <f aca="false">IFERROR(INDEX(Positions!$D$2:$D$6912,MATCH($A88&amp;"|3",Positions!$A$2:$A$6912,0)),"-")</f>
        <v>3</v>
      </c>
      <c r="E88" s="4" t="n">
        <f aca="false">IFERROR(INDEX(Positions!$D$2:$D$6912,MATCH($A88&amp;"|70",Positions!$A$2:$A$6912,0)),"-")</f>
        <v>69</v>
      </c>
      <c r="F88" s="4" t="str">
        <f aca="false">IFERROR(INDEX(Positions!$E$2:$E$6912,MATCH($A88&amp;"|3",Positions!$A$2:$A$6912,0)),"-")</f>
        <v>G</v>
      </c>
      <c r="G88" s="4" t="str">
        <f aca="false">IFERROR(INDEX(Positions!$E$2:$E$6912,MATCH($A88&amp;"|70",Positions!$A$2:$A$6912,0)),"-")</f>
        <v>U</v>
      </c>
      <c r="H88" s="3" t="str">
        <f aca="false">F88&amp;"-"&amp;G88</f>
        <v>G-U</v>
      </c>
      <c r="I88" s="4" t="n">
        <f aca="false">(F88="G")+(G88="G")</f>
        <v>1</v>
      </c>
      <c r="J88" s="4" t="n">
        <f aca="false">(F88="C")+(G88="C")</f>
        <v>0</v>
      </c>
      <c r="K88" s="3" t="n">
        <f aca="false">I88+J88</f>
        <v>1</v>
      </c>
    </row>
    <row r="89" customFormat="false" ht="15" hidden="false" customHeight="false" outlineLevel="0" collapsed="false">
      <c r="A89" s="4" t="s">
        <v>40</v>
      </c>
      <c r="B89" s="4" t="s">
        <v>412</v>
      </c>
      <c r="C89" s="4" t="s">
        <v>519</v>
      </c>
      <c r="D89" s="4" t="n">
        <f aca="false">IFERROR(INDEX(Positions!$D$2:$D$6912,MATCH($A89&amp;"|4",Positions!$A$2:$A$6912,0)),"-")</f>
        <v>4</v>
      </c>
      <c r="E89" s="4" t="n">
        <f aca="false">IFERROR(INDEX(Positions!$D$2:$D$6912,MATCH($A89&amp;"|69",Positions!$A$2:$A$6912,0)),"-")</f>
        <v>68</v>
      </c>
      <c r="F89" s="4" t="str">
        <f aca="false">IFERROR(INDEX(Positions!$E$2:$E$6912,MATCH($A89&amp;"|4",Positions!$A$2:$A$6912,0)),"-")</f>
        <v>C</v>
      </c>
      <c r="G89" s="4" t="str">
        <f aca="false">IFERROR(INDEX(Positions!$E$2:$E$6912,MATCH($A89&amp;"|69",Positions!$A$2:$A$6912,0)),"-")</f>
        <v>G</v>
      </c>
      <c r="H89" s="3" t="str">
        <f aca="false">F89&amp;"-"&amp;G89</f>
        <v>C-G</v>
      </c>
      <c r="I89" s="4" t="n">
        <f aca="false">(F89="G")+(G89="G")</f>
        <v>1</v>
      </c>
      <c r="J89" s="4" t="n">
        <f aca="false">(F89="C")+(G89="C")</f>
        <v>1</v>
      </c>
      <c r="K89" s="3" t="n">
        <f aca="false">I89+J89</f>
        <v>2</v>
      </c>
    </row>
    <row r="90" customFormat="false" ht="15" hidden="false" customHeight="false" outlineLevel="0" collapsed="false">
      <c r="A90" s="4" t="s">
        <v>40</v>
      </c>
      <c r="B90" s="4" t="s">
        <v>412</v>
      </c>
      <c r="C90" s="4" t="s">
        <v>283</v>
      </c>
      <c r="D90" s="4" t="n">
        <f aca="false">IFERROR(INDEX(Positions!$D$2:$D$6912,MATCH($A90&amp;"|5",Positions!$A$2:$A$6912,0)),"-")</f>
        <v>5</v>
      </c>
      <c r="E90" s="4" t="n">
        <f aca="false">IFERROR(INDEX(Positions!$D$2:$D$6912,MATCH($A90&amp;"|68",Positions!$A$2:$A$6912,0)),"-")</f>
        <v>67</v>
      </c>
      <c r="F90" s="4" t="str">
        <f aca="false">IFERROR(INDEX(Positions!$E$2:$E$6912,MATCH($A90&amp;"|5",Positions!$A$2:$A$6912,0)),"-")</f>
        <v>U</v>
      </c>
      <c r="G90" s="4" t="str">
        <f aca="false">IFERROR(INDEX(Positions!$E$2:$E$6912,MATCH($A90&amp;"|68",Positions!$A$2:$A$6912,0)),"-")</f>
        <v>A</v>
      </c>
      <c r="H90" s="3" t="str">
        <f aca="false">F90&amp;"-"&amp;G90</f>
        <v>U-A</v>
      </c>
      <c r="I90" s="4" t="n">
        <f aca="false">(F90="G")+(G90="G")</f>
        <v>0</v>
      </c>
      <c r="J90" s="4" t="n">
        <f aca="false">(F90="C")+(G90="C")</f>
        <v>0</v>
      </c>
      <c r="K90" s="3" t="n">
        <f aca="false">I90+J90</f>
        <v>0</v>
      </c>
    </row>
    <row r="91" customFormat="false" ht="15" hidden="false" customHeight="false" outlineLevel="0" collapsed="false">
      <c r="A91" s="4" t="s">
        <v>40</v>
      </c>
      <c r="B91" s="4" t="s">
        <v>412</v>
      </c>
      <c r="C91" s="4" t="s">
        <v>520</v>
      </c>
      <c r="D91" s="4" t="n">
        <f aca="false">IFERROR(INDEX(Positions!$D$2:$D$6912,MATCH($A91&amp;"|6",Positions!$A$2:$A$6912,0)),"-")</f>
        <v>6</v>
      </c>
      <c r="E91" s="4" t="n">
        <f aca="false">IFERROR(INDEX(Positions!$D$2:$D$6912,MATCH($A91&amp;"|67",Positions!$A$2:$A$6912,0)),"-")</f>
        <v>66</v>
      </c>
      <c r="F91" s="4" t="str">
        <f aca="false">IFERROR(INDEX(Positions!$E$2:$E$6912,MATCH($A91&amp;"|6",Positions!$A$2:$A$6912,0)),"-")</f>
        <v>C</v>
      </c>
      <c r="G91" s="4" t="str">
        <f aca="false">IFERROR(INDEX(Positions!$E$2:$E$6912,MATCH($A91&amp;"|67",Positions!$A$2:$A$6912,0)),"-")</f>
        <v>G</v>
      </c>
      <c r="H91" s="3" t="str">
        <f aca="false">F91&amp;"-"&amp;G91</f>
        <v>C-G</v>
      </c>
      <c r="I91" s="4" t="n">
        <f aca="false">(F91="G")+(G91="G")</f>
        <v>1</v>
      </c>
      <c r="J91" s="4" t="n">
        <f aca="false">(F91="C")+(G91="C")</f>
        <v>1</v>
      </c>
      <c r="K91" s="3" t="n">
        <f aca="false">I91+J91</f>
        <v>2</v>
      </c>
    </row>
    <row r="92" customFormat="false" ht="15" hidden="false" customHeight="false" outlineLevel="0" collapsed="false">
      <c r="A92" s="4" t="s">
        <v>40</v>
      </c>
      <c r="B92" s="4" t="s">
        <v>412</v>
      </c>
      <c r="C92" s="4" t="s">
        <v>521</v>
      </c>
      <c r="D92" s="4" t="n">
        <f aca="false">IFERROR(INDEX(Positions!$D$2:$D$6912,MATCH($A92&amp;"|7",Positions!$A$2:$A$6912,0)),"-")</f>
        <v>7</v>
      </c>
      <c r="E92" s="4" t="n">
        <f aca="false">IFERROR(INDEX(Positions!$D$2:$D$6912,MATCH($A92&amp;"|66",Positions!$A$2:$A$6912,0)),"-")</f>
        <v>65</v>
      </c>
      <c r="F92" s="4" t="str">
        <f aca="false">IFERROR(INDEX(Positions!$E$2:$E$6912,MATCH($A92&amp;"|7",Positions!$A$2:$A$6912,0)),"-")</f>
        <v>G</v>
      </c>
      <c r="G92" s="4" t="str">
        <f aca="false">IFERROR(INDEX(Positions!$E$2:$E$6912,MATCH($A92&amp;"|66",Positions!$A$2:$A$6912,0)),"-")</f>
        <v>C</v>
      </c>
      <c r="H92" s="3" t="str">
        <f aca="false">F92&amp;"-"&amp;G92</f>
        <v>G-C</v>
      </c>
      <c r="I92" s="4" t="n">
        <f aca="false">(F92="G")+(G92="G")</f>
        <v>1</v>
      </c>
      <c r="J92" s="4" t="n">
        <f aca="false">(F92="C")+(G92="C")</f>
        <v>1</v>
      </c>
      <c r="K92" s="3" t="n">
        <f aca="false">I92+J92</f>
        <v>2</v>
      </c>
    </row>
    <row r="93" customFormat="false" ht="15" hidden="false" customHeight="false" outlineLevel="0" collapsed="false">
      <c r="A93" s="4" t="s">
        <v>40</v>
      </c>
      <c r="B93" s="4" t="s">
        <v>425</v>
      </c>
      <c r="C93" s="4" t="s">
        <v>522</v>
      </c>
      <c r="D93" s="4" t="n">
        <f aca="false">IFERROR(INDEX(Positions!$D$2:$D$6912,MATCH($A93&amp;"|10",Positions!$A$2:$A$6912,0)),"-")</f>
        <v>10</v>
      </c>
      <c r="E93" s="4" t="n">
        <f aca="false">IFERROR(INDEX(Positions!$D$2:$D$6912,MATCH($A93&amp;"|25",Positions!$A$2:$A$6912,0)),"-")</f>
        <v>24</v>
      </c>
      <c r="F93" s="4" t="str">
        <f aca="false">IFERROR(INDEX(Positions!$E$2:$E$6912,MATCH($A93&amp;"|10",Positions!$A$2:$A$6912,0)),"-")</f>
        <v>G</v>
      </c>
      <c r="G93" s="4" t="str">
        <f aca="false">IFERROR(INDEX(Positions!$E$2:$E$6912,MATCH($A93&amp;"|25",Positions!$A$2:$A$6912,0)),"-")</f>
        <v>C</v>
      </c>
      <c r="H93" s="3" t="str">
        <f aca="false">F93&amp;"-"&amp;G93</f>
        <v>G-C</v>
      </c>
      <c r="I93" s="4" t="n">
        <f aca="false">(F93="G")+(G93="G")</f>
        <v>1</v>
      </c>
      <c r="J93" s="4" t="n">
        <f aca="false">(F93="C")+(G93="C")</f>
        <v>1</v>
      </c>
      <c r="K93" s="3" t="n">
        <f aca="false">I93+J93</f>
        <v>2</v>
      </c>
    </row>
    <row r="94" customFormat="false" ht="15" hidden="false" customHeight="false" outlineLevel="0" collapsed="false">
      <c r="A94" s="4" t="s">
        <v>40</v>
      </c>
      <c r="B94" s="4" t="s">
        <v>425</v>
      </c>
      <c r="C94" s="4" t="s">
        <v>523</v>
      </c>
      <c r="D94" s="4" t="n">
        <f aca="false">IFERROR(INDEX(Positions!$D$2:$D$6912,MATCH($A94&amp;"|11",Positions!$A$2:$A$6912,0)),"-")</f>
        <v>11</v>
      </c>
      <c r="E94" s="4" t="n">
        <f aca="false">IFERROR(INDEX(Positions!$D$2:$D$6912,MATCH($A94&amp;"|24",Positions!$A$2:$A$6912,0)),"-")</f>
        <v>23</v>
      </c>
      <c r="F94" s="4" t="str">
        <f aca="false">IFERROR(INDEX(Positions!$E$2:$E$6912,MATCH($A94&amp;"|11",Positions!$A$2:$A$6912,0)),"-")</f>
        <v>A</v>
      </c>
      <c r="G94" s="4" t="str">
        <f aca="false">IFERROR(INDEX(Positions!$E$2:$E$6912,MATCH($A94&amp;"|24",Positions!$A$2:$A$6912,0)),"-")</f>
        <v>U</v>
      </c>
      <c r="H94" s="3" t="str">
        <f aca="false">F94&amp;"-"&amp;G94</f>
        <v>A-U</v>
      </c>
      <c r="I94" s="4" t="n">
        <f aca="false">(F94="G")+(G94="G")</f>
        <v>0</v>
      </c>
      <c r="J94" s="4" t="n">
        <f aca="false">(F94="C")+(G94="C")</f>
        <v>0</v>
      </c>
      <c r="K94" s="3" t="n">
        <f aca="false">I94+J94</f>
        <v>0</v>
      </c>
    </row>
    <row r="95" customFormat="false" ht="15" hidden="false" customHeight="false" outlineLevel="0" collapsed="false">
      <c r="A95" s="4" t="s">
        <v>40</v>
      </c>
      <c r="B95" s="4" t="s">
        <v>425</v>
      </c>
      <c r="C95" s="4" t="s">
        <v>250</v>
      </c>
      <c r="D95" s="4" t="n">
        <f aca="false">IFERROR(INDEX(Positions!$D$2:$D$6912,MATCH($A95&amp;"|12",Positions!$A$2:$A$6912,0)),"-")</f>
        <v>12</v>
      </c>
      <c r="E95" s="4" t="n">
        <f aca="false">IFERROR(INDEX(Positions!$D$2:$D$6912,MATCH($A95&amp;"|23",Positions!$A$2:$A$6912,0)),"-")</f>
        <v>22</v>
      </c>
      <c r="F95" s="4" t="str">
        <f aca="false">IFERROR(INDEX(Positions!$E$2:$E$6912,MATCH($A95&amp;"|12",Positions!$A$2:$A$6912,0)),"-")</f>
        <v>U</v>
      </c>
      <c r="G95" s="4" t="str">
        <f aca="false">IFERROR(INDEX(Positions!$E$2:$E$6912,MATCH($A95&amp;"|23",Positions!$A$2:$A$6912,0)),"-")</f>
        <v>A</v>
      </c>
      <c r="H95" s="3" t="str">
        <f aca="false">F95&amp;"-"&amp;G95</f>
        <v>U-A</v>
      </c>
      <c r="I95" s="4" t="n">
        <f aca="false">(F95="G")+(G95="G")</f>
        <v>0</v>
      </c>
      <c r="J95" s="4" t="n">
        <f aca="false">(F95="C")+(G95="C")</f>
        <v>0</v>
      </c>
      <c r="K95" s="3" t="n">
        <f aca="false">I95+J95</f>
        <v>0</v>
      </c>
    </row>
    <row r="96" customFormat="false" ht="15" hidden="false" customHeight="false" outlineLevel="0" collapsed="false">
      <c r="A96" s="4" t="s">
        <v>40</v>
      </c>
      <c r="B96" s="4" t="s">
        <v>425</v>
      </c>
      <c r="C96" s="4" t="s">
        <v>154</v>
      </c>
      <c r="D96" s="4" t="n">
        <f aca="false">IFERROR(INDEX(Positions!$D$2:$D$6912,MATCH($A96&amp;"|13",Positions!$A$2:$A$6912,0)),"-")</f>
        <v>13</v>
      </c>
      <c r="E96" s="4" t="n">
        <f aca="false">IFERROR(INDEX(Positions!$D$2:$D$6912,MATCH($A96&amp;"|22",Positions!$A$2:$A$6912,0)),"-")</f>
        <v>21</v>
      </c>
      <c r="F96" s="4" t="str">
        <f aca="false">IFERROR(INDEX(Positions!$E$2:$E$6912,MATCH($A96&amp;"|13",Positions!$A$2:$A$6912,0)),"-")</f>
        <v>C</v>
      </c>
      <c r="G96" s="4" t="str">
        <f aca="false">IFERROR(INDEX(Positions!$E$2:$E$6912,MATCH($A96&amp;"|22",Positions!$A$2:$A$6912,0)),"-")</f>
        <v>G</v>
      </c>
      <c r="H96" s="3" t="str">
        <f aca="false">F96&amp;"-"&amp;G96</f>
        <v>C-G</v>
      </c>
      <c r="I96" s="4" t="n">
        <f aca="false">(F96="G")+(G96="G")</f>
        <v>1</v>
      </c>
      <c r="J96" s="4" t="n">
        <f aca="false">(F96="C")+(G96="C")</f>
        <v>1</v>
      </c>
      <c r="K96" s="3" t="n">
        <f aca="false">I96+J96</f>
        <v>2</v>
      </c>
    </row>
    <row r="97" customFormat="false" ht="15" hidden="false" customHeight="false" outlineLevel="0" collapsed="false">
      <c r="A97" s="4" t="s">
        <v>40</v>
      </c>
      <c r="B97" s="4" t="s">
        <v>446</v>
      </c>
      <c r="C97" s="4" t="s">
        <v>524</v>
      </c>
      <c r="D97" s="4" t="n">
        <f aca="false">IFERROR(INDEX(Positions!$D$2:$D$6912,MATCH($A97&amp;"|27",Positions!$A$2:$A$6912,0)),"-")</f>
        <v>26</v>
      </c>
      <c r="E97" s="4" t="n">
        <f aca="false">IFERROR(INDEX(Positions!$D$2:$D$6912,MATCH($A97&amp;"|43",Positions!$A$2:$A$6912,0)),"-")</f>
        <v>42</v>
      </c>
      <c r="F97" s="4" t="str">
        <f aca="false">IFERROR(INDEX(Positions!$E$2:$E$6912,MATCH($A97&amp;"|27",Positions!$A$2:$A$6912,0)),"-")</f>
        <v>C</v>
      </c>
      <c r="G97" s="4" t="str">
        <f aca="false">IFERROR(INDEX(Positions!$E$2:$E$6912,MATCH($A97&amp;"|43",Positions!$A$2:$A$6912,0)),"-")</f>
        <v>G</v>
      </c>
      <c r="H97" s="3" t="str">
        <f aca="false">F97&amp;"-"&amp;G97</f>
        <v>C-G</v>
      </c>
      <c r="I97" s="4" t="n">
        <f aca="false">(F97="G")+(G97="G")</f>
        <v>1</v>
      </c>
      <c r="J97" s="4" t="n">
        <f aca="false">(F97="C")+(G97="C")</f>
        <v>1</v>
      </c>
      <c r="K97" s="3" t="n">
        <f aca="false">I97+J97</f>
        <v>2</v>
      </c>
    </row>
    <row r="98" customFormat="false" ht="15" hidden="false" customHeight="false" outlineLevel="0" collapsed="false">
      <c r="A98" s="4" t="s">
        <v>40</v>
      </c>
      <c r="B98" s="4" t="s">
        <v>446</v>
      </c>
      <c r="C98" s="4" t="s">
        <v>525</v>
      </c>
      <c r="D98" s="4" t="n">
        <f aca="false">IFERROR(INDEX(Positions!$D$2:$D$6912,MATCH($A98&amp;"|28",Positions!$A$2:$A$6912,0)),"-")</f>
        <v>27</v>
      </c>
      <c r="E98" s="4" t="n">
        <f aca="false">IFERROR(INDEX(Positions!$D$2:$D$6912,MATCH($A98&amp;"|42",Positions!$A$2:$A$6912,0)),"-")</f>
        <v>41</v>
      </c>
      <c r="F98" s="4" t="str">
        <f aca="false">IFERROR(INDEX(Positions!$E$2:$E$6912,MATCH($A98&amp;"|28",Positions!$A$2:$A$6912,0)),"-")</f>
        <v>U</v>
      </c>
      <c r="G98" s="4" t="str">
        <f aca="false">IFERROR(INDEX(Positions!$E$2:$E$6912,MATCH($A98&amp;"|42",Positions!$A$2:$A$6912,0)),"-")</f>
        <v>A</v>
      </c>
      <c r="H98" s="3" t="str">
        <f aca="false">F98&amp;"-"&amp;G98</f>
        <v>U-A</v>
      </c>
      <c r="I98" s="4" t="n">
        <f aca="false">(F98="G")+(G98="G")</f>
        <v>0</v>
      </c>
      <c r="J98" s="4" t="n">
        <f aca="false">(F98="C")+(G98="C")</f>
        <v>0</v>
      </c>
      <c r="K98" s="3" t="n">
        <f aca="false">I98+J98</f>
        <v>0</v>
      </c>
    </row>
    <row r="99" customFormat="false" ht="15" hidden="false" customHeight="false" outlineLevel="0" collapsed="false">
      <c r="A99" s="4" t="s">
        <v>40</v>
      </c>
      <c r="B99" s="4" t="s">
        <v>446</v>
      </c>
      <c r="C99" s="4" t="s">
        <v>256</v>
      </c>
      <c r="D99" s="4" t="n">
        <f aca="false">IFERROR(INDEX(Positions!$D$2:$D$6912,MATCH($A99&amp;"|29",Positions!$A$2:$A$6912,0)),"-")</f>
        <v>28</v>
      </c>
      <c r="E99" s="4" t="n">
        <f aca="false">IFERROR(INDEX(Positions!$D$2:$D$6912,MATCH($A99&amp;"|41",Positions!$A$2:$A$6912,0)),"-")</f>
        <v>40</v>
      </c>
      <c r="F99" s="4" t="str">
        <f aca="false">IFERROR(INDEX(Positions!$E$2:$E$6912,MATCH($A99&amp;"|29",Positions!$A$2:$A$6912,0)),"-")</f>
        <v>U</v>
      </c>
      <c r="G99" s="4" t="str">
        <f aca="false">IFERROR(INDEX(Positions!$E$2:$E$6912,MATCH($A99&amp;"|41",Positions!$A$2:$A$6912,0)),"-")</f>
        <v>A</v>
      </c>
      <c r="H99" s="3" t="str">
        <f aca="false">F99&amp;"-"&amp;G99</f>
        <v>U-A</v>
      </c>
      <c r="I99" s="4" t="n">
        <f aca="false">(F99="G")+(G99="G")</f>
        <v>0</v>
      </c>
      <c r="J99" s="4" t="n">
        <f aca="false">(F99="C")+(G99="C")</f>
        <v>0</v>
      </c>
      <c r="K99" s="3" t="n">
        <f aca="false">I99+J99</f>
        <v>0</v>
      </c>
    </row>
    <row r="100" customFormat="false" ht="15" hidden="false" customHeight="false" outlineLevel="0" collapsed="false">
      <c r="A100" s="4" t="s">
        <v>40</v>
      </c>
      <c r="B100" s="4" t="s">
        <v>446</v>
      </c>
      <c r="C100" s="4" t="s">
        <v>526</v>
      </c>
      <c r="D100" s="4" t="n">
        <f aca="false">IFERROR(INDEX(Positions!$D$2:$D$6912,MATCH($A100&amp;"|30",Positions!$A$2:$A$6912,0)),"-")</f>
        <v>29</v>
      </c>
      <c r="E100" s="4" t="n">
        <f aca="false">IFERROR(INDEX(Positions!$D$2:$D$6912,MATCH($A100&amp;"|40",Positions!$A$2:$A$6912,0)),"-")</f>
        <v>39</v>
      </c>
      <c r="F100" s="4" t="str">
        <f aca="false">IFERROR(INDEX(Positions!$E$2:$E$6912,MATCH($A100&amp;"|30",Positions!$A$2:$A$6912,0)),"-")</f>
        <v>C</v>
      </c>
      <c r="G100" s="4" t="str">
        <f aca="false">IFERROR(INDEX(Positions!$E$2:$E$6912,MATCH($A100&amp;"|40",Positions!$A$2:$A$6912,0)),"-")</f>
        <v>G</v>
      </c>
      <c r="H100" s="3" t="str">
        <f aca="false">F100&amp;"-"&amp;G100</f>
        <v>C-G</v>
      </c>
      <c r="I100" s="4" t="n">
        <f aca="false">(F100="G")+(G100="G")</f>
        <v>1</v>
      </c>
      <c r="J100" s="4" t="n">
        <f aca="false">(F100="C")+(G100="C")</f>
        <v>1</v>
      </c>
      <c r="K100" s="3" t="n">
        <f aca="false">I100+J100</f>
        <v>2</v>
      </c>
    </row>
    <row r="101" customFormat="false" ht="15" hidden="false" customHeight="false" outlineLevel="0" collapsed="false">
      <c r="A101" s="4" t="s">
        <v>40</v>
      </c>
      <c r="B101" s="4" t="s">
        <v>446</v>
      </c>
      <c r="C101" s="4" t="s">
        <v>273</v>
      </c>
      <c r="D101" s="4" t="n">
        <f aca="false">IFERROR(INDEX(Positions!$D$2:$D$6912,MATCH($A101&amp;"|31",Positions!$A$2:$A$6912,0)),"-")</f>
        <v>30</v>
      </c>
      <c r="E101" s="4" t="n">
        <f aca="false">IFERROR(INDEX(Positions!$D$2:$D$6912,MATCH($A101&amp;"|39",Positions!$A$2:$A$6912,0)),"-")</f>
        <v>38</v>
      </c>
      <c r="F101" s="4" t="str">
        <f aca="false">IFERROR(INDEX(Positions!$E$2:$E$6912,MATCH($A101&amp;"|31",Positions!$A$2:$A$6912,0)),"-")</f>
        <v>C</v>
      </c>
      <c r="G101" s="4" t="str">
        <f aca="false">IFERROR(INDEX(Positions!$E$2:$E$6912,MATCH($A101&amp;"|39",Positions!$A$2:$A$6912,0)),"-")</f>
        <v>G</v>
      </c>
      <c r="H101" s="3" t="str">
        <f aca="false">F101&amp;"-"&amp;G101</f>
        <v>C-G</v>
      </c>
      <c r="I101" s="4" t="n">
        <f aca="false">(F101="G")+(G101="G")</f>
        <v>1</v>
      </c>
      <c r="J101" s="4" t="n">
        <f aca="false">(F101="C")+(G101="C")</f>
        <v>1</v>
      </c>
      <c r="K101" s="3" t="n">
        <f aca="false">I101+J101</f>
        <v>2</v>
      </c>
    </row>
    <row r="102" customFormat="false" ht="15" hidden="false" customHeight="false" outlineLevel="0" collapsed="false">
      <c r="A102" s="4" t="s">
        <v>40</v>
      </c>
      <c r="B102" s="4" t="s">
        <v>471</v>
      </c>
      <c r="C102" s="4" t="s">
        <v>367</v>
      </c>
      <c r="D102" s="4" t="n">
        <f aca="false">IFERROR(INDEX(Positions!$D$2:$D$6912,MATCH($A102&amp;"|49",Positions!$A$2:$A$6912,0)),"-")</f>
        <v>48</v>
      </c>
      <c r="E102" s="4" t="n">
        <f aca="false">IFERROR(INDEX(Positions!$D$2:$D$6912,MATCH($A102&amp;"|65",Positions!$A$2:$A$6912,0)),"-")</f>
        <v>64</v>
      </c>
      <c r="F102" s="4" t="str">
        <f aca="false">IFERROR(INDEX(Positions!$E$2:$E$6912,MATCH($A102&amp;"|49",Positions!$A$2:$A$6912,0)),"-")</f>
        <v>C</v>
      </c>
      <c r="G102" s="4" t="str">
        <f aca="false">IFERROR(INDEX(Positions!$E$2:$E$6912,MATCH($A102&amp;"|65",Positions!$A$2:$A$6912,0)),"-")</f>
        <v>G</v>
      </c>
      <c r="H102" s="3" t="str">
        <f aca="false">F102&amp;"-"&amp;G102</f>
        <v>C-G</v>
      </c>
      <c r="I102" s="4" t="n">
        <f aca="false">(F102="G")+(G102="G")</f>
        <v>1</v>
      </c>
      <c r="J102" s="4" t="n">
        <f aca="false">(F102="C")+(G102="C")</f>
        <v>1</v>
      </c>
      <c r="K102" s="3" t="n">
        <f aca="false">I102+J102</f>
        <v>2</v>
      </c>
    </row>
    <row r="103" customFormat="false" ht="15" hidden="false" customHeight="false" outlineLevel="0" collapsed="false">
      <c r="A103" s="4" t="s">
        <v>40</v>
      </c>
      <c r="B103" s="4" t="s">
        <v>471</v>
      </c>
      <c r="C103" s="4" t="s">
        <v>233</v>
      </c>
      <c r="D103" s="4" t="n">
        <f aca="false">IFERROR(INDEX(Positions!$D$2:$D$6912,MATCH($A103&amp;"|50",Positions!$A$2:$A$6912,0)),"-")</f>
        <v>49</v>
      </c>
      <c r="E103" s="4" t="n">
        <f aca="false">IFERROR(INDEX(Positions!$D$2:$D$6912,MATCH($A103&amp;"|64",Positions!$A$2:$A$6912,0)),"-")</f>
        <v>63</v>
      </c>
      <c r="F103" s="4" t="str">
        <f aca="false">IFERROR(INDEX(Positions!$E$2:$E$6912,MATCH($A103&amp;"|50",Positions!$A$2:$A$6912,0)),"-")</f>
        <v>U</v>
      </c>
      <c r="G103" s="4" t="str">
        <f aca="false">IFERROR(INDEX(Positions!$E$2:$E$6912,MATCH($A103&amp;"|64",Positions!$A$2:$A$6912,0)),"-")</f>
        <v>A</v>
      </c>
      <c r="H103" s="3" t="str">
        <f aca="false">F103&amp;"-"&amp;G103</f>
        <v>U-A</v>
      </c>
      <c r="I103" s="4" t="n">
        <f aca="false">(F103="G")+(G103="G")</f>
        <v>0</v>
      </c>
      <c r="J103" s="4" t="n">
        <f aca="false">(F103="C")+(G103="C")</f>
        <v>0</v>
      </c>
      <c r="K103" s="3" t="n">
        <f aca="false">I103+J103</f>
        <v>0</v>
      </c>
    </row>
    <row r="104" customFormat="false" ht="15" hidden="false" customHeight="false" outlineLevel="0" collapsed="false">
      <c r="A104" s="4" t="s">
        <v>40</v>
      </c>
      <c r="B104" s="4" t="s">
        <v>471</v>
      </c>
      <c r="C104" s="4" t="s">
        <v>527</v>
      </c>
      <c r="D104" s="4" t="n">
        <f aca="false">IFERROR(INDEX(Positions!$D$2:$D$6912,MATCH($A104&amp;"|51",Positions!$A$2:$A$6912,0)),"-")</f>
        <v>50</v>
      </c>
      <c r="E104" s="4" t="n">
        <f aca="false">IFERROR(INDEX(Positions!$D$2:$D$6912,MATCH($A104&amp;"|63",Positions!$A$2:$A$6912,0)),"-")</f>
        <v>62</v>
      </c>
      <c r="F104" s="4" t="str">
        <f aca="false">IFERROR(INDEX(Positions!$E$2:$E$6912,MATCH($A104&amp;"|51",Positions!$A$2:$A$6912,0)),"-")</f>
        <v>G</v>
      </c>
      <c r="G104" s="4" t="str">
        <f aca="false">IFERROR(INDEX(Positions!$E$2:$E$6912,MATCH($A104&amp;"|63",Positions!$A$2:$A$6912,0)),"-")</f>
        <v>C</v>
      </c>
      <c r="H104" s="3" t="str">
        <f aca="false">F104&amp;"-"&amp;G104</f>
        <v>G-C</v>
      </c>
      <c r="I104" s="4" t="n">
        <f aca="false">(F104="G")+(G104="G")</f>
        <v>1</v>
      </c>
      <c r="J104" s="4" t="n">
        <f aca="false">(F104="C")+(G104="C")</f>
        <v>1</v>
      </c>
      <c r="K104" s="3" t="n">
        <f aca="false">I104+J104</f>
        <v>2</v>
      </c>
    </row>
    <row r="105" customFormat="false" ht="15" hidden="false" customHeight="false" outlineLevel="0" collapsed="false">
      <c r="A105" s="4" t="s">
        <v>40</v>
      </c>
      <c r="B105" s="4" t="s">
        <v>471</v>
      </c>
      <c r="C105" s="4" t="s">
        <v>528</v>
      </c>
      <c r="D105" s="4" t="n">
        <f aca="false">IFERROR(INDEX(Positions!$D$2:$D$6912,MATCH($A105&amp;"|52",Positions!$A$2:$A$6912,0)),"-")</f>
        <v>51</v>
      </c>
      <c r="E105" s="4" t="n">
        <f aca="false">IFERROR(INDEX(Positions!$D$2:$D$6912,MATCH($A105&amp;"|62",Positions!$A$2:$A$6912,0)),"-")</f>
        <v>61</v>
      </c>
      <c r="F105" s="4" t="str">
        <f aca="false">IFERROR(INDEX(Positions!$E$2:$E$6912,MATCH($A105&amp;"|52",Positions!$A$2:$A$6912,0)),"-")</f>
        <v>G</v>
      </c>
      <c r="G105" s="4" t="str">
        <f aca="false">IFERROR(INDEX(Positions!$E$2:$E$6912,MATCH($A105&amp;"|62",Positions!$A$2:$A$6912,0)),"-")</f>
        <v>C</v>
      </c>
      <c r="H105" s="3" t="str">
        <f aca="false">F105&amp;"-"&amp;G105</f>
        <v>G-C</v>
      </c>
      <c r="I105" s="4" t="n">
        <f aca="false">(F105="G")+(G105="G")</f>
        <v>1</v>
      </c>
      <c r="J105" s="4" t="n">
        <f aca="false">(F105="C")+(G105="C")</f>
        <v>1</v>
      </c>
      <c r="K105" s="3" t="n">
        <f aca="false">I105+J105</f>
        <v>2</v>
      </c>
    </row>
    <row r="106" customFormat="false" ht="15" hidden="false" customHeight="false" outlineLevel="0" collapsed="false">
      <c r="A106" s="4" t="s">
        <v>40</v>
      </c>
      <c r="B106" s="4" t="s">
        <v>471</v>
      </c>
      <c r="C106" s="4" t="s">
        <v>529</v>
      </c>
      <c r="D106" s="4" t="n">
        <f aca="false">IFERROR(INDEX(Positions!$D$2:$D$6912,MATCH($A106&amp;"|53",Positions!$A$2:$A$6912,0)),"-")</f>
        <v>52</v>
      </c>
      <c r="E106" s="4" t="n">
        <f aca="false">IFERROR(INDEX(Positions!$D$2:$D$6912,MATCH($A106&amp;"|61",Positions!$A$2:$A$6912,0)),"-")</f>
        <v>60</v>
      </c>
      <c r="F106" s="4" t="str">
        <f aca="false">IFERROR(INDEX(Positions!$E$2:$E$6912,MATCH($A106&amp;"|53",Positions!$A$2:$A$6912,0)),"-")</f>
        <v>G</v>
      </c>
      <c r="G106" s="4" t="str">
        <f aca="false">IFERROR(INDEX(Positions!$E$2:$E$6912,MATCH($A106&amp;"|61",Positions!$A$2:$A$6912,0)),"-")</f>
        <v>C</v>
      </c>
      <c r="H106" s="3" t="str">
        <f aca="false">F106&amp;"-"&amp;G106</f>
        <v>G-C</v>
      </c>
      <c r="I106" s="4" t="n">
        <f aca="false">(F106="G")+(G106="G")</f>
        <v>1</v>
      </c>
      <c r="J106" s="4" t="n">
        <f aca="false">(F106="C")+(G106="C")</f>
        <v>1</v>
      </c>
      <c r="K106" s="3" t="n">
        <f aca="false">I106+J106</f>
        <v>2</v>
      </c>
    </row>
    <row r="107" customFormat="false" ht="15" hidden="false" customHeight="false" outlineLevel="0" collapsed="false">
      <c r="A107" s="24" t="s">
        <v>40</v>
      </c>
      <c r="B107" s="24" t="s">
        <v>530</v>
      </c>
      <c r="C107" s="24" t="s">
        <v>531</v>
      </c>
      <c r="D107" s="24" t="n">
        <f aca="false">IFERROR(INDEX(Positions!$D$2:$D$6912,MATCH($A107&amp;"|8",Positions!$A$2:$A$6912,0)),"-")</f>
        <v>8</v>
      </c>
      <c r="E107" s="24" t="n">
        <f aca="false">IFERROR(INDEX(Positions!$D$2:$D$6912,MATCH($A107&amp;"|14",Positions!$A$2:$A$6912,0)),"-")</f>
        <v>14</v>
      </c>
      <c r="F107" s="24" t="str">
        <f aca="false">IFERROR(INDEX(Positions!$E$2:$E$6912,MATCH($A107&amp;"|8",Positions!$A$2:$A$6912,0)),"-")</f>
        <v>U</v>
      </c>
      <c r="G107" s="24" t="str">
        <f aca="false">IFERROR(INDEX(Positions!$E$2:$E$6912,MATCH($A107&amp;"|14",Positions!$A$2:$A$6912,0)),"-")</f>
        <v>A</v>
      </c>
      <c r="H107" s="25" t="str">
        <f aca="false">F107&amp;"-"&amp;G107</f>
        <v>U-A</v>
      </c>
      <c r="I107" s="24" t="n">
        <f aca="false">(F107="G")+(G107="G")</f>
        <v>0</v>
      </c>
      <c r="J107" s="24" t="n">
        <f aca="false">(F107="C")+(G107="C")</f>
        <v>0</v>
      </c>
      <c r="K107" s="25" t="n">
        <f aca="false">I107+J107</f>
        <v>0</v>
      </c>
    </row>
    <row r="108" customFormat="false" ht="15" hidden="false" customHeight="false" outlineLevel="0" collapsed="false">
      <c r="A108" s="24" t="s">
        <v>40</v>
      </c>
      <c r="B108" s="24" t="s">
        <v>530</v>
      </c>
      <c r="C108" s="24" t="s">
        <v>532</v>
      </c>
      <c r="D108" s="24" t="n">
        <f aca="false">IFERROR(INDEX(Positions!$D$2:$D$6912,MATCH($A108&amp;"|15",Positions!$A$2:$A$6912,0)),"-")</f>
        <v>15</v>
      </c>
      <c r="E108" s="24" t="n">
        <f aca="false">IFERROR(INDEX(Positions!$D$2:$D$6912,MATCH($A108&amp;"|48",Positions!$A$2:$A$6912,0)),"-")</f>
        <v>47</v>
      </c>
      <c r="F108" s="24" t="str">
        <f aca="false">IFERROR(INDEX(Positions!$E$2:$E$6912,MATCH($A108&amp;"|15",Positions!$A$2:$A$6912,0)),"-")</f>
        <v>G</v>
      </c>
      <c r="G108" s="24" t="str">
        <f aca="false">IFERROR(INDEX(Positions!$E$2:$E$6912,MATCH($A108&amp;"|48",Positions!$A$2:$A$6912,0)),"-")</f>
        <v>C</v>
      </c>
      <c r="H108" s="25" t="str">
        <f aca="false">F108&amp;"-"&amp;G108</f>
        <v>G-C</v>
      </c>
      <c r="I108" s="24" t="n">
        <f aca="false">(F108="G")+(G108="G")</f>
        <v>1</v>
      </c>
      <c r="J108" s="24" t="n">
        <f aca="false">(F108="C")+(G108="C")</f>
        <v>1</v>
      </c>
      <c r="K108" s="25" t="n">
        <f aca="false">I108+J108</f>
        <v>2</v>
      </c>
    </row>
    <row r="109" customFormat="false" ht="15" hidden="false" customHeight="false" outlineLevel="0" collapsed="false">
      <c r="A109" s="24" t="s">
        <v>40</v>
      </c>
      <c r="B109" s="24" t="s">
        <v>530</v>
      </c>
      <c r="C109" s="24" t="s">
        <v>533</v>
      </c>
      <c r="D109" s="24" t="n">
        <f aca="false">IFERROR(INDEX(Positions!$D$2:$D$6912,MATCH($A109&amp;"|18",Positions!$A$2:$A$6912,0)),"-")</f>
        <v>17</v>
      </c>
      <c r="E109" s="24" t="n">
        <f aca="false">IFERROR(INDEX(Positions!$D$2:$D$6912,MATCH($A109&amp;"|55",Positions!$A$2:$A$6912,0)),"-")</f>
        <v>54</v>
      </c>
      <c r="F109" s="24" t="str">
        <f aca="false">IFERROR(INDEX(Positions!$E$2:$E$6912,MATCH($A109&amp;"|18",Positions!$A$2:$A$6912,0)),"-")</f>
        <v>G</v>
      </c>
      <c r="G109" s="24" t="str">
        <f aca="false">IFERROR(INDEX(Positions!$E$2:$E$6912,MATCH($A109&amp;"|55",Positions!$A$2:$A$6912,0)),"-")</f>
        <v>U</v>
      </c>
      <c r="H109" s="25" t="str">
        <f aca="false">F109&amp;"-"&amp;G109</f>
        <v>G-U</v>
      </c>
      <c r="I109" s="24" t="n">
        <f aca="false">(F109="G")+(G109="G")</f>
        <v>1</v>
      </c>
      <c r="J109" s="24" t="n">
        <f aca="false">(F109="C")+(G109="C")</f>
        <v>0</v>
      </c>
      <c r="K109" s="25" t="n">
        <f aca="false">I109+J109</f>
        <v>1</v>
      </c>
    </row>
    <row r="110" customFormat="false" ht="15" hidden="false" customHeight="false" outlineLevel="0" collapsed="false">
      <c r="A110" s="24" t="s">
        <v>40</v>
      </c>
      <c r="B110" s="24" t="s">
        <v>530</v>
      </c>
      <c r="C110" s="24" t="s">
        <v>534</v>
      </c>
      <c r="D110" s="24" t="n">
        <f aca="false">IFERROR(INDEX(Positions!$D$2:$D$6912,MATCH($A110&amp;"|19",Positions!$A$2:$A$6912,0)),"-")</f>
        <v>18</v>
      </c>
      <c r="E110" s="24" t="n">
        <f aca="false">IFERROR(INDEX(Positions!$D$2:$D$6912,MATCH($A110&amp;"|56",Positions!$A$2:$A$6912,0)),"-")</f>
        <v>55</v>
      </c>
      <c r="F110" s="24" t="str">
        <f aca="false">IFERROR(INDEX(Positions!$E$2:$E$6912,MATCH($A110&amp;"|19",Positions!$A$2:$A$6912,0)),"-")</f>
        <v>G</v>
      </c>
      <c r="G110" s="24" t="str">
        <f aca="false">IFERROR(INDEX(Positions!$E$2:$E$6912,MATCH($A110&amp;"|56",Positions!$A$2:$A$6912,0)),"-")</f>
        <v>C</v>
      </c>
      <c r="H110" s="25" t="str">
        <f aca="false">F110&amp;"-"&amp;G110</f>
        <v>G-C</v>
      </c>
      <c r="I110" s="24" t="n">
        <f aca="false">(F110="G")+(G110="G")</f>
        <v>1</v>
      </c>
      <c r="J110" s="24" t="n">
        <f aca="false">(F110="C")+(G110="C")</f>
        <v>1</v>
      </c>
      <c r="K110" s="25" t="n">
        <f aca="false">I110+J110</f>
        <v>2</v>
      </c>
    </row>
    <row r="111" customFormat="false" ht="15" hidden="false" customHeight="false" outlineLevel="0" collapsed="false">
      <c r="A111" s="24" t="s">
        <v>40</v>
      </c>
      <c r="B111" s="24" t="s">
        <v>530</v>
      </c>
      <c r="C111" s="24" t="s">
        <v>535</v>
      </c>
      <c r="D111" s="24" t="n">
        <f aca="false">IFERROR(INDEX(Positions!$D$2:$D$6912,MATCH($A111&amp;"|26",Positions!$A$2:$A$6912,0)),"-")</f>
        <v>25</v>
      </c>
      <c r="E111" s="24" t="n">
        <f aca="false">IFERROR(INDEX(Positions!$D$2:$D$6912,MATCH($A111&amp;"|44",Positions!$A$2:$A$6912,0)),"-")</f>
        <v>43</v>
      </c>
      <c r="F111" s="24" t="str">
        <f aca="false">IFERROR(INDEX(Positions!$E$2:$E$6912,MATCH($A111&amp;"|26",Positions!$A$2:$A$6912,0)),"-")</f>
        <v>G</v>
      </c>
      <c r="G111" s="24" t="str">
        <f aca="false">IFERROR(INDEX(Positions!$E$2:$E$6912,MATCH($A111&amp;"|44",Positions!$A$2:$A$6912,0)),"-")</f>
        <v>A</v>
      </c>
      <c r="H111" s="25" t="str">
        <f aca="false">F111&amp;"-"&amp;G111</f>
        <v>G-A</v>
      </c>
      <c r="I111" s="24" t="n">
        <f aca="false">(F111="G")+(G111="G")</f>
        <v>1</v>
      </c>
      <c r="J111" s="24" t="n">
        <f aca="false">(F111="C")+(G111="C")</f>
        <v>0</v>
      </c>
      <c r="K111" s="25" t="n">
        <f aca="false">I111+J111</f>
        <v>1</v>
      </c>
    </row>
    <row r="112" customFormat="false" ht="15" hidden="false" customHeight="false" outlineLevel="0" collapsed="false">
      <c r="A112" s="24" t="s">
        <v>40</v>
      </c>
      <c r="B112" s="24" t="s">
        <v>530</v>
      </c>
      <c r="C112" s="24" t="s">
        <v>536</v>
      </c>
      <c r="D112" s="24" t="n">
        <f aca="false">IFERROR(INDEX(Positions!$D$2:$D$6912,MATCH($A112&amp;"|32",Positions!$A$2:$A$6912,0)),"-")</f>
        <v>31</v>
      </c>
      <c r="E112" s="24" t="n">
        <f aca="false">IFERROR(INDEX(Positions!$D$2:$D$6912,MATCH($A112&amp;"|38",Positions!$A$2:$A$6912,0)),"-")</f>
        <v>37</v>
      </c>
      <c r="F112" s="24" t="str">
        <f aca="false">IFERROR(INDEX(Positions!$E$2:$E$6912,MATCH($A112&amp;"|32",Positions!$A$2:$A$6912,0)),"-")</f>
        <v>U</v>
      </c>
      <c r="G112" s="24" t="str">
        <f aca="false">IFERROR(INDEX(Positions!$E$2:$E$6912,MATCH($A112&amp;"|38",Positions!$A$2:$A$6912,0)),"-")</f>
        <v>A</v>
      </c>
      <c r="H112" s="25" t="str">
        <f aca="false">F112&amp;"-"&amp;G112</f>
        <v>U-A</v>
      </c>
      <c r="I112" s="24" t="n">
        <f aca="false">(F112="G")+(G112="G")</f>
        <v>0</v>
      </c>
      <c r="J112" s="24" t="n">
        <f aca="false">(F112="C")+(G112="C")</f>
        <v>0</v>
      </c>
      <c r="K112" s="25" t="n">
        <f aca="false">I112+J112</f>
        <v>0</v>
      </c>
    </row>
    <row r="113" customFormat="false" ht="15" hidden="false" customHeight="false" outlineLevel="0" collapsed="false">
      <c r="A113" s="24" t="s">
        <v>40</v>
      </c>
      <c r="B113" s="24" t="s">
        <v>530</v>
      </c>
      <c r="C113" s="24" t="s">
        <v>537</v>
      </c>
      <c r="D113" s="24" t="n">
        <f aca="false">IFERROR(INDEX(Positions!$D$2:$D$6912,MATCH($A113&amp;"|54",Positions!$A$2:$A$6912,0)),"-")</f>
        <v>53</v>
      </c>
      <c r="E113" s="24" t="n">
        <f aca="false">IFERROR(INDEX(Positions!$D$2:$D$6912,MATCH($A113&amp;"|58",Positions!$A$2:$A$6912,0)),"-")</f>
        <v>57</v>
      </c>
      <c r="F113" s="24" t="str">
        <f aca="false">IFERROR(INDEX(Positions!$E$2:$E$6912,MATCH($A113&amp;"|54",Positions!$A$2:$A$6912,0)),"-")</f>
        <v>U</v>
      </c>
      <c r="G113" s="24" t="str">
        <f aca="false">IFERROR(INDEX(Positions!$E$2:$E$6912,MATCH($A113&amp;"|58",Positions!$A$2:$A$6912,0)),"-")</f>
        <v>A</v>
      </c>
      <c r="H113" s="25" t="str">
        <f aca="false">F113&amp;"-"&amp;G113</f>
        <v>U-A</v>
      </c>
      <c r="I113" s="24" t="n">
        <f aca="false">(F113="G")+(G113="G")</f>
        <v>0</v>
      </c>
      <c r="J113" s="24" t="n">
        <f aca="false">(F113="C")+(G113="C")</f>
        <v>0</v>
      </c>
      <c r="K113" s="25" t="n">
        <f aca="false">I113+J113</f>
        <v>0</v>
      </c>
    </row>
    <row r="114" customFormat="false" ht="15" hidden="false" customHeight="false" outlineLevel="0" collapsed="false">
      <c r="A114" s="4" t="s">
        <v>41</v>
      </c>
      <c r="B114" s="4" t="s">
        <v>412</v>
      </c>
      <c r="C114" s="4" t="s">
        <v>517</v>
      </c>
      <c r="D114" s="4" t="n">
        <f aca="false">IFERROR(INDEX(Positions!$D$2:$D$6912,MATCH($A114&amp;"|1",Positions!$A$2:$A$6912,0)),"-")</f>
        <v>1</v>
      </c>
      <c r="E114" s="4" t="n">
        <f aca="false">IFERROR(INDEX(Positions!$D$2:$D$6912,MATCH($A114&amp;"|72",Positions!$A$2:$A$6912,0)),"-")</f>
        <v>74</v>
      </c>
      <c r="F114" s="4" t="str">
        <f aca="false">IFERROR(INDEX(Positions!$E$2:$E$6912,MATCH($A114&amp;"|1",Positions!$A$2:$A$6912,0)),"-")</f>
        <v>A</v>
      </c>
      <c r="G114" s="4" t="str">
        <f aca="false">IFERROR(INDEX(Positions!$E$2:$E$6912,MATCH($A114&amp;"|72",Positions!$A$2:$A$6912,0)),"-")</f>
        <v>U</v>
      </c>
      <c r="H114" s="3" t="str">
        <f aca="false">F114&amp;"-"&amp;G114</f>
        <v>A-U</v>
      </c>
      <c r="I114" s="4" t="n">
        <f aca="false">(F114="G")+(G114="G")</f>
        <v>0</v>
      </c>
      <c r="J114" s="4" t="n">
        <f aca="false">(F114="C")+(G114="C")</f>
        <v>0</v>
      </c>
      <c r="K114" s="3" t="n">
        <f aca="false">I114+J114</f>
        <v>0</v>
      </c>
    </row>
    <row r="115" customFormat="false" ht="15" hidden="false" customHeight="false" outlineLevel="0" collapsed="false">
      <c r="A115" s="4" t="s">
        <v>41</v>
      </c>
      <c r="B115" s="4" t="s">
        <v>412</v>
      </c>
      <c r="C115" s="4" t="s">
        <v>518</v>
      </c>
      <c r="D115" s="4" t="n">
        <f aca="false">IFERROR(INDEX(Positions!$D$2:$D$6912,MATCH($A115&amp;"|2",Positions!$A$2:$A$6912,0)),"-")</f>
        <v>2</v>
      </c>
      <c r="E115" s="4" t="n">
        <f aca="false">IFERROR(INDEX(Positions!$D$2:$D$6912,MATCH($A115&amp;"|71",Positions!$A$2:$A$6912,0)),"-")</f>
        <v>73</v>
      </c>
      <c r="F115" s="4" t="str">
        <f aca="false">IFERROR(INDEX(Positions!$E$2:$E$6912,MATCH($A115&amp;"|2",Positions!$A$2:$A$6912,0)),"-")</f>
        <v>G</v>
      </c>
      <c r="G115" s="4" t="str">
        <f aca="false">IFERROR(INDEX(Positions!$E$2:$E$6912,MATCH($A115&amp;"|71",Positions!$A$2:$A$6912,0)),"-")</f>
        <v>C</v>
      </c>
      <c r="H115" s="3" t="str">
        <f aca="false">F115&amp;"-"&amp;G115</f>
        <v>G-C</v>
      </c>
      <c r="I115" s="4" t="n">
        <f aca="false">(F115="G")+(G115="G")</f>
        <v>1</v>
      </c>
      <c r="J115" s="4" t="n">
        <f aca="false">(F115="C")+(G115="C")</f>
        <v>1</v>
      </c>
      <c r="K115" s="3" t="n">
        <f aca="false">I115+J115</f>
        <v>2</v>
      </c>
    </row>
    <row r="116" customFormat="false" ht="15" hidden="false" customHeight="false" outlineLevel="0" collapsed="false">
      <c r="A116" s="4" t="s">
        <v>41</v>
      </c>
      <c r="B116" s="4" t="s">
        <v>412</v>
      </c>
      <c r="C116" s="4" t="s">
        <v>386</v>
      </c>
      <c r="D116" s="4" t="n">
        <f aca="false">IFERROR(INDEX(Positions!$D$2:$D$6912,MATCH($A116&amp;"|3",Positions!$A$2:$A$6912,0)),"-")</f>
        <v>3</v>
      </c>
      <c r="E116" s="4" t="n">
        <f aca="false">IFERROR(INDEX(Positions!$D$2:$D$6912,MATCH($A116&amp;"|70",Positions!$A$2:$A$6912,0)),"-")</f>
        <v>72</v>
      </c>
      <c r="F116" s="4" t="str">
        <f aca="false">IFERROR(INDEX(Positions!$E$2:$E$6912,MATCH($A116&amp;"|3",Positions!$A$2:$A$6912,0)),"-")</f>
        <v>C</v>
      </c>
      <c r="G116" s="4" t="str">
        <f aca="false">IFERROR(INDEX(Positions!$E$2:$E$6912,MATCH($A116&amp;"|70",Positions!$A$2:$A$6912,0)),"-")</f>
        <v>G</v>
      </c>
      <c r="H116" s="3" t="str">
        <f aca="false">F116&amp;"-"&amp;G116</f>
        <v>C-G</v>
      </c>
      <c r="I116" s="4" t="n">
        <f aca="false">(F116="G")+(G116="G")</f>
        <v>1</v>
      </c>
      <c r="J116" s="4" t="n">
        <f aca="false">(F116="C")+(G116="C")</f>
        <v>1</v>
      </c>
      <c r="K116" s="3" t="n">
        <f aca="false">I116+J116</f>
        <v>2</v>
      </c>
    </row>
    <row r="117" customFormat="false" ht="15" hidden="false" customHeight="false" outlineLevel="0" collapsed="false">
      <c r="A117" s="4" t="s">
        <v>41</v>
      </c>
      <c r="B117" s="4" t="s">
        <v>412</v>
      </c>
      <c r="C117" s="4" t="s">
        <v>519</v>
      </c>
      <c r="D117" s="4" t="n">
        <f aca="false">IFERROR(INDEX(Positions!$D$2:$D$6912,MATCH($A117&amp;"|4",Positions!$A$2:$A$6912,0)),"-")</f>
        <v>4</v>
      </c>
      <c r="E117" s="4" t="n">
        <f aca="false">IFERROR(INDEX(Positions!$D$2:$D$6912,MATCH($A117&amp;"|69",Positions!$A$2:$A$6912,0)),"-")</f>
        <v>71</v>
      </c>
      <c r="F117" s="4" t="str">
        <f aca="false">IFERROR(INDEX(Positions!$E$2:$E$6912,MATCH($A117&amp;"|4",Positions!$A$2:$A$6912,0)),"-")</f>
        <v>G</v>
      </c>
      <c r="G117" s="4" t="str">
        <f aca="false">IFERROR(INDEX(Positions!$E$2:$E$6912,MATCH($A117&amp;"|69",Positions!$A$2:$A$6912,0)),"-")</f>
        <v>C</v>
      </c>
      <c r="H117" s="3" t="str">
        <f aca="false">F117&amp;"-"&amp;G117</f>
        <v>G-C</v>
      </c>
      <c r="I117" s="4" t="n">
        <f aca="false">(F117="G")+(G117="G")</f>
        <v>1</v>
      </c>
      <c r="J117" s="4" t="n">
        <f aca="false">(F117="C")+(G117="C")</f>
        <v>1</v>
      </c>
      <c r="K117" s="3" t="n">
        <f aca="false">I117+J117</f>
        <v>2</v>
      </c>
    </row>
    <row r="118" customFormat="false" ht="15" hidden="false" customHeight="false" outlineLevel="0" collapsed="false">
      <c r="A118" s="4" t="s">
        <v>41</v>
      </c>
      <c r="B118" s="4" t="s">
        <v>412</v>
      </c>
      <c r="C118" s="4" t="s">
        <v>283</v>
      </c>
      <c r="D118" s="4" t="n">
        <f aca="false">IFERROR(INDEX(Positions!$D$2:$D$6912,MATCH($A118&amp;"|5",Positions!$A$2:$A$6912,0)),"-")</f>
        <v>5</v>
      </c>
      <c r="E118" s="4" t="n">
        <f aca="false">IFERROR(INDEX(Positions!$D$2:$D$6912,MATCH($A118&amp;"|68",Positions!$A$2:$A$6912,0)),"-")</f>
        <v>70</v>
      </c>
      <c r="F118" s="4" t="str">
        <f aca="false">IFERROR(INDEX(Positions!$E$2:$E$6912,MATCH($A118&amp;"|5",Positions!$A$2:$A$6912,0)),"-")</f>
        <v>G</v>
      </c>
      <c r="G118" s="4" t="str">
        <f aca="false">IFERROR(INDEX(Positions!$E$2:$E$6912,MATCH($A118&amp;"|68",Positions!$A$2:$A$6912,0)),"-")</f>
        <v>C</v>
      </c>
      <c r="H118" s="3" t="str">
        <f aca="false">F118&amp;"-"&amp;G118</f>
        <v>G-C</v>
      </c>
      <c r="I118" s="4" t="n">
        <f aca="false">(F118="G")+(G118="G")</f>
        <v>1</v>
      </c>
      <c r="J118" s="4" t="n">
        <f aca="false">(F118="C")+(G118="C")</f>
        <v>1</v>
      </c>
      <c r="K118" s="3" t="n">
        <f aca="false">I118+J118</f>
        <v>2</v>
      </c>
    </row>
    <row r="119" customFormat="false" ht="15" hidden="false" customHeight="false" outlineLevel="0" collapsed="false">
      <c r="A119" s="4" t="s">
        <v>41</v>
      </c>
      <c r="B119" s="4" t="s">
        <v>412</v>
      </c>
      <c r="C119" s="4" t="s">
        <v>520</v>
      </c>
      <c r="D119" s="4" t="n">
        <f aca="false">IFERROR(INDEX(Positions!$D$2:$D$6912,MATCH($A119&amp;"|6",Positions!$A$2:$A$6912,0)),"-")</f>
        <v>6</v>
      </c>
      <c r="E119" s="4" t="n">
        <f aca="false">IFERROR(INDEX(Positions!$D$2:$D$6912,MATCH($A119&amp;"|67",Positions!$A$2:$A$6912,0)),"-")</f>
        <v>69</v>
      </c>
      <c r="F119" s="4" t="str">
        <f aca="false">IFERROR(INDEX(Positions!$E$2:$E$6912,MATCH($A119&amp;"|6",Positions!$A$2:$A$6912,0)),"-")</f>
        <v>G</v>
      </c>
      <c r="G119" s="4" t="str">
        <f aca="false">IFERROR(INDEX(Positions!$E$2:$E$6912,MATCH($A119&amp;"|67",Positions!$A$2:$A$6912,0)),"-")</f>
        <v>C</v>
      </c>
      <c r="H119" s="3" t="str">
        <f aca="false">F119&amp;"-"&amp;G119</f>
        <v>G-C</v>
      </c>
      <c r="I119" s="4" t="n">
        <f aca="false">(F119="G")+(G119="G")</f>
        <v>1</v>
      </c>
      <c r="J119" s="4" t="n">
        <f aca="false">(F119="C")+(G119="C")</f>
        <v>1</v>
      </c>
      <c r="K119" s="3" t="n">
        <f aca="false">I119+J119</f>
        <v>2</v>
      </c>
    </row>
    <row r="120" customFormat="false" ht="15" hidden="false" customHeight="false" outlineLevel="0" collapsed="false">
      <c r="A120" s="4" t="s">
        <v>41</v>
      </c>
      <c r="B120" s="4" t="s">
        <v>412</v>
      </c>
      <c r="C120" s="4" t="s">
        <v>521</v>
      </c>
      <c r="D120" s="4" t="n">
        <f aca="false">IFERROR(INDEX(Positions!$D$2:$D$6912,MATCH($A120&amp;"|7",Positions!$A$2:$A$6912,0)),"-")</f>
        <v>7</v>
      </c>
      <c r="E120" s="4" t="n">
        <f aca="false">IFERROR(INDEX(Positions!$D$2:$D$6912,MATCH($A120&amp;"|66",Positions!$A$2:$A$6912,0)),"-")</f>
        <v>68</v>
      </c>
      <c r="F120" s="4" t="str">
        <f aca="false">IFERROR(INDEX(Positions!$E$2:$E$6912,MATCH($A120&amp;"|7",Positions!$A$2:$A$6912,0)),"-")</f>
        <v>A</v>
      </c>
      <c r="G120" s="4" t="str">
        <f aca="false">IFERROR(INDEX(Positions!$E$2:$E$6912,MATCH($A120&amp;"|66",Positions!$A$2:$A$6912,0)),"-")</f>
        <v>U</v>
      </c>
      <c r="H120" s="3" t="str">
        <f aca="false">F120&amp;"-"&amp;G120</f>
        <v>A-U</v>
      </c>
      <c r="I120" s="4" t="n">
        <f aca="false">(F120="G")+(G120="G")</f>
        <v>0</v>
      </c>
      <c r="J120" s="4" t="n">
        <f aca="false">(F120="C")+(G120="C")</f>
        <v>0</v>
      </c>
      <c r="K120" s="3" t="n">
        <f aca="false">I120+J120</f>
        <v>0</v>
      </c>
    </row>
    <row r="121" customFormat="false" ht="15" hidden="false" customHeight="false" outlineLevel="0" collapsed="false">
      <c r="A121" s="4" t="s">
        <v>41</v>
      </c>
      <c r="B121" s="4" t="s">
        <v>425</v>
      </c>
      <c r="C121" s="4" t="s">
        <v>522</v>
      </c>
      <c r="D121" s="4" t="n">
        <f aca="false">IFERROR(INDEX(Positions!$D$2:$D$6912,MATCH($A121&amp;"|10",Positions!$A$2:$A$6912,0)),"-")</f>
        <v>10</v>
      </c>
      <c r="E121" s="4" t="n">
        <f aca="false">IFERROR(INDEX(Positions!$D$2:$D$6912,MATCH($A121&amp;"|25",Positions!$A$2:$A$6912,0)),"-")</f>
        <v>27</v>
      </c>
      <c r="F121" s="4" t="str">
        <f aca="false">IFERROR(INDEX(Positions!$E$2:$E$6912,MATCH($A121&amp;"|10",Positions!$A$2:$A$6912,0)),"-")</f>
        <v>G</v>
      </c>
      <c r="G121" s="4" t="str">
        <f aca="false">IFERROR(INDEX(Positions!$E$2:$E$6912,MATCH($A121&amp;"|25",Positions!$A$2:$A$6912,0)),"-")</f>
        <v>C</v>
      </c>
      <c r="H121" s="3" t="str">
        <f aca="false">F121&amp;"-"&amp;G121</f>
        <v>G-C</v>
      </c>
      <c r="I121" s="4" t="n">
        <f aca="false">(F121="G")+(G121="G")</f>
        <v>1</v>
      </c>
      <c r="J121" s="4" t="n">
        <f aca="false">(F121="C")+(G121="C")</f>
        <v>1</v>
      </c>
      <c r="K121" s="3" t="n">
        <f aca="false">I121+J121</f>
        <v>2</v>
      </c>
    </row>
    <row r="122" customFormat="false" ht="15" hidden="false" customHeight="false" outlineLevel="0" collapsed="false">
      <c r="A122" s="4" t="s">
        <v>41</v>
      </c>
      <c r="B122" s="4" t="s">
        <v>425</v>
      </c>
      <c r="C122" s="4" t="s">
        <v>523</v>
      </c>
      <c r="D122" s="4" t="n">
        <f aca="false">IFERROR(INDEX(Positions!$D$2:$D$6912,MATCH($A122&amp;"|11",Positions!$A$2:$A$6912,0)),"-")</f>
        <v>11</v>
      </c>
      <c r="E122" s="4" t="n">
        <f aca="false">IFERROR(INDEX(Positions!$D$2:$D$6912,MATCH($A122&amp;"|24",Positions!$A$2:$A$6912,0)),"-")</f>
        <v>26</v>
      </c>
      <c r="F122" s="4" t="str">
        <f aca="false">IFERROR(INDEX(Positions!$E$2:$E$6912,MATCH($A122&amp;"|11",Positions!$A$2:$A$6912,0)),"-")</f>
        <v>G</v>
      </c>
      <c r="G122" s="4" t="str">
        <f aca="false">IFERROR(INDEX(Positions!$E$2:$E$6912,MATCH($A122&amp;"|24",Positions!$A$2:$A$6912,0)),"-")</f>
        <v>C</v>
      </c>
      <c r="H122" s="3" t="str">
        <f aca="false">F122&amp;"-"&amp;G122</f>
        <v>G-C</v>
      </c>
      <c r="I122" s="4" t="n">
        <f aca="false">(F122="G")+(G122="G")</f>
        <v>1</v>
      </c>
      <c r="J122" s="4" t="n">
        <f aca="false">(F122="C")+(G122="C")</f>
        <v>1</v>
      </c>
      <c r="K122" s="3" t="n">
        <f aca="false">I122+J122</f>
        <v>2</v>
      </c>
    </row>
    <row r="123" customFormat="false" ht="15" hidden="false" customHeight="false" outlineLevel="0" collapsed="false">
      <c r="A123" s="4" t="s">
        <v>41</v>
      </c>
      <c r="B123" s="4" t="s">
        <v>425</v>
      </c>
      <c r="C123" s="4" t="s">
        <v>250</v>
      </c>
      <c r="D123" s="4" t="n">
        <f aca="false">IFERROR(INDEX(Positions!$D$2:$D$6912,MATCH($A123&amp;"|12",Positions!$A$2:$A$6912,0)),"-")</f>
        <v>12</v>
      </c>
      <c r="E123" s="4" t="n">
        <f aca="false">IFERROR(INDEX(Positions!$D$2:$D$6912,MATCH($A123&amp;"|23",Positions!$A$2:$A$6912,0)),"-")</f>
        <v>25</v>
      </c>
      <c r="F123" s="4" t="str">
        <f aca="false">IFERROR(INDEX(Positions!$E$2:$E$6912,MATCH($A123&amp;"|12",Positions!$A$2:$A$6912,0)),"-")</f>
        <v>A</v>
      </c>
      <c r="G123" s="4" t="str">
        <f aca="false">IFERROR(INDEX(Positions!$E$2:$E$6912,MATCH($A123&amp;"|23",Positions!$A$2:$A$6912,0)),"-")</f>
        <v>U</v>
      </c>
      <c r="H123" s="3" t="str">
        <f aca="false">F123&amp;"-"&amp;G123</f>
        <v>A-U</v>
      </c>
      <c r="I123" s="4" t="n">
        <f aca="false">(F123="G")+(G123="G")</f>
        <v>0</v>
      </c>
      <c r="J123" s="4" t="n">
        <f aca="false">(F123="C")+(G123="C")</f>
        <v>0</v>
      </c>
      <c r="K123" s="3" t="n">
        <f aca="false">I123+J123</f>
        <v>0</v>
      </c>
    </row>
    <row r="124" customFormat="false" ht="15" hidden="false" customHeight="false" outlineLevel="0" collapsed="false">
      <c r="A124" s="4" t="s">
        <v>41</v>
      </c>
      <c r="B124" s="4" t="s">
        <v>425</v>
      </c>
      <c r="C124" s="4" t="s">
        <v>154</v>
      </c>
      <c r="D124" s="4" t="n">
        <f aca="false">IFERROR(INDEX(Positions!$D$2:$D$6912,MATCH($A124&amp;"|13",Positions!$A$2:$A$6912,0)),"-")</f>
        <v>13</v>
      </c>
      <c r="E124" s="4" t="n">
        <f aca="false">IFERROR(INDEX(Positions!$D$2:$D$6912,MATCH($A124&amp;"|22",Positions!$A$2:$A$6912,0)),"-")</f>
        <v>24</v>
      </c>
      <c r="F124" s="4" t="str">
        <f aca="false">IFERROR(INDEX(Positions!$E$2:$E$6912,MATCH($A124&amp;"|13",Positions!$A$2:$A$6912,0)),"-")</f>
        <v>U</v>
      </c>
      <c r="G124" s="4" t="str">
        <f aca="false">IFERROR(INDEX(Positions!$E$2:$E$6912,MATCH($A124&amp;"|22",Positions!$A$2:$A$6912,0)),"-")</f>
        <v>U</v>
      </c>
      <c r="H124" s="3" t="str">
        <f aca="false">F124&amp;"-"&amp;G124</f>
        <v>U-U</v>
      </c>
      <c r="I124" s="4" t="n">
        <f aca="false">(F124="G")+(G124="G")</f>
        <v>0</v>
      </c>
      <c r="J124" s="4" t="n">
        <f aca="false">(F124="C")+(G124="C")</f>
        <v>0</v>
      </c>
      <c r="K124" s="3" t="n">
        <f aca="false">I124+J124</f>
        <v>0</v>
      </c>
    </row>
    <row r="125" customFormat="false" ht="15" hidden="false" customHeight="false" outlineLevel="0" collapsed="false">
      <c r="A125" s="4" t="s">
        <v>41</v>
      </c>
      <c r="B125" s="4" t="s">
        <v>446</v>
      </c>
      <c r="C125" s="4" t="s">
        <v>524</v>
      </c>
      <c r="D125" s="4" t="n">
        <f aca="false">IFERROR(INDEX(Positions!$D$2:$D$6912,MATCH($A125&amp;"|27",Positions!$A$2:$A$6912,0)),"-")</f>
        <v>29</v>
      </c>
      <c r="E125" s="4" t="n">
        <f aca="false">IFERROR(INDEX(Positions!$D$2:$D$6912,MATCH($A125&amp;"|43",Positions!$A$2:$A$6912,0)),"-")</f>
        <v>45</v>
      </c>
      <c r="F125" s="4" t="str">
        <f aca="false">IFERROR(INDEX(Positions!$E$2:$E$6912,MATCH($A125&amp;"|27",Positions!$A$2:$A$6912,0)),"-")</f>
        <v>C</v>
      </c>
      <c r="G125" s="4" t="str">
        <f aca="false">IFERROR(INDEX(Positions!$E$2:$E$6912,MATCH($A125&amp;"|43",Positions!$A$2:$A$6912,0)),"-")</f>
        <v>G</v>
      </c>
      <c r="H125" s="3" t="str">
        <f aca="false">F125&amp;"-"&amp;G125</f>
        <v>C-G</v>
      </c>
      <c r="I125" s="4" t="n">
        <f aca="false">(F125="G")+(G125="G")</f>
        <v>1</v>
      </c>
      <c r="J125" s="4" t="n">
        <f aca="false">(F125="C")+(G125="C")</f>
        <v>1</v>
      </c>
      <c r="K125" s="3" t="n">
        <f aca="false">I125+J125</f>
        <v>2</v>
      </c>
    </row>
    <row r="126" customFormat="false" ht="15" hidden="false" customHeight="false" outlineLevel="0" collapsed="false">
      <c r="A126" s="4" t="s">
        <v>41</v>
      </c>
      <c r="B126" s="4" t="s">
        <v>446</v>
      </c>
      <c r="C126" s="4" t="s">
        <v>525</v>
      </c>
      <c r="D126" s="4" t="n">
        <f aca="false">IFERROR(INDEX(Positions!$D$2:$D$6912,MATCH($A126&amp;"|28",Positions!$A$2:$A$6912,0)),"-")</f>
        <v>30</v>
      </c>
      <c r="E126" s="4" t="n">
        <f aca="false">IFERROR(INDEX(Positions!$D$2:$D$6912,MATCH($A126&amp;"|42",Positions!$A$2:$A$6912,0)),"-")</f>
        <v>44</v>
      </c>
      <c r="F126" s="4" t="str">
        <f aca="false">IFERROR(INDEX(Positions!$E$2:$E$6912,MATCH($A126&amp;"|28",Positions!$A$2:$A$6912,0)),"-")</f>
        <v>C</v>
      </c>
      <c r="G126" s="4" t="str">
        <f aca="false">IFERROR(INDEX(Positions!$E$2:$E$6912,MATCH($A126&amp;"|42",Positions!$A$2:$A$6912,0)),"-")</f>
        <v>G</v>
      </c>
      <c r="H126" s="3" t="str">
        <f aca="false">F126&amp;"-"&amp;G126</f>
        <v>C-G</v>
      </c>
      <c r="I126" s="4" t="n">
        <f aca="false">(F126="G")+(G126="G")</f>
        <v>1</v>
      </c>
      <c r="J126" s="4" t="n">
        <f aca="false">(F126="C")+(G126="C")</f>
        <v>1</v>
      </c>
      <c r="K126" s="3" t="n">
        <f aca="false">I126+J126</f>
        <v>2</v>
      </c>
    </row>
    <row r="127" customFormat="false" ht="15" hidden="false" customHeight="false" outlineLevel="0" collapsed="false">
      <c r="A127" s="4" t="s">
        <v>41</v>
      </c>
      <c r="B127" s="4" t="s">
        <v>446</v>
      </c>
      <c r="C127" s="4" t="s">
        <v>256</v>
      </c>
      <c r="D127" s="4" t="n">
        <f aca="false">IFERROR(INDEX(Positions!$D$2:$D$6912,MATCH($A127&amp;"|29",Positions!$A$2:$A$6912,0)),"-")</f>
        <v>31</v>
      </c>
      <c r="E127" s="4" t="n">
        <f aca="false">IFERROR(INDEX(Positions!$D$2:$D$6912,MATCH($A127&amp;"|41",Positions!$A$2:$A$6912,0)),"-")</f>
        <v>43</v>
      </c>
      <c r="F127" s="4" t="str">
        <f aca="false">IFERROR(INDEX(Positions!$E$2:$E$6912,MATCH($A127&amp;"|29",Positions!$A$2:$A$6912,0)),"-")</f>
        <v>G</v>
      </c>
      <c r="G127" s="4" t="str">
        <f aca="false">IFERROR(INDEX(Positions!$E$2:$E$6912,MATCH($A127&amp;"|41",Positions!$A$2:$A$6912,0)),"-")</f>
        <v>C</v>
      </c>
      <c r="H127" s="3" t="str">
        <f aca="false">F127&amp;"-"&amp;G127</f>
        <v>G-C</v>
      </c>
      <c r="I127" s="4" t="n">
        <f aca="false">(F127="G")+(G127="G")</f>
        <v>1</v>
      </c>
      <c r="J127" s="4" t="n">
        <f aca="false">(F127="C")+(G127="C")</f>
        <v>1</v>
      </c>
      <c r="K127" s="3" t="n">
        <f aca="false">I127+J127</f>
        <v>2</v>
      </c>
    </row>
    <row r="128" customFormat="false" ht="15" hidden="false" customHeight="false" outlineLevel="0" collapsed="false">
      <c r="A128" s="4" t="s">
        <v>41</v>
      </c>
      <c r="B128" s="4" t="s">
        <v>446</v>
      </c>
      <c r="C128" s="4" t="s">
        <v>526</v>
      </c>
      <c r="D128" s="4" t="n">
        <f aca="false">IFERROR(INDEX(Positions!$D$2:$D$6912,MATCH($A128&amp;"|30",Positions!$A$2:$A$6912,0)),"-")</f>
        <v>32</v>
      </c>
      <c r="E128" s="4" t="n">
        <f aca="false">IFERROR(INDEX(Positions!$D$2:$D$6912,MATCH($A128&amp;"|40",Positions!$A$2:$A$6912,0)),"-")</f>
        <v>42</v>
      </c>
      <c r="F128" s="4" t="str">
        <f aca="false">IFERROR(INDEX(Positions!$E$2:$E$6912,MATCH($A128&amp;"|30",Positions!$A$2:$A$6912,0)),"-")</f>
        <v>G</v>
      </c>
      <c r="G128" s="4" t="str">
        <f aca="false">IFERROR(INDEX(Positions!$E$2:$E$6912,MATCH($A128&amp;"|40",Positions!$A$2:$A$6912,0)),"-")</f>
        <v>C</v>
      </c>
      <c r="H128" s="3" t="str">
        <f aca="false">F128&amp;"-"&amp;G128</f>
        <v>G-C</v>
      </c>
      <c r="I128" s="4" t="n">
        <f aca="false">(F128="G")+(G128="G")</f>
        <v>1</v>
      </c>
      <c r="J128" s="4" t="n">
        <f aca="false">(F128="C")+(G128="C")</f>
        <v>1</v>
      </c>
      <c r="K128" s="3" t="n">
        <f aca="false">I128+J128</f>
        <v>2</v>
      </c>
    </row>
    <row r="129" customFormat="false" ht="15" hidden="false" customHeight="false" outlineLevel="0" collapsed="false">
      <c r="A129" s="4" t="s">
        <v>41</v>
      </c>
      <c r="B129" s="4" t="s">
        <v>446</v>
      </c>
      <c r="C129" s="4" t="s">
        <v>273</v>
      </c>
      <c r="D129" s="4" t="n">
        <f aca="false">IFERROR(INDEX(Positions!$D$2:$D$6912,MATCH($A129&amp;"|31",Positions!$A$2:$A$6912,0)),"-")</f>
        <v>33</v>
      </c>
      <c r="E129" s="4" t="n">
        <f aca="false">IFERROR(INDEX(Positions!$D$2:$D$6912,MATCH($A129&amp;"|39",Positions!$A$2:$A$6912,0)),"-")</f>
        <v>41</v>
      </c>
      <c r="F129" s="4" t="str">
        <f aca="false">IFERROR(INDEX(Positions!$E$2:$E$6912,MATCH($A129&amp;"|31",Positions!$A$2:$A$6912,0)),"-")</f>
        <v>G</v>
      </c>
      <c r="G129" s="4" t="str">
        <f aca="false">IFERROR(INDEX(Positions!$E$2:$E$6912,MATCH($A129&amp;"|39",Positions!$A$2:$A$6912,0)),"-")</f>
        <v>C</v>
      </c>
      <c r="H129" s="3" t="str">
        <f aca="false">F129&amp;"-"&amp;G129</f>
        <v>G-C</v>
      </c>
      <c r="I129" s="4" t="n">
        <f aca="false">(F129="G")+(G129="G")</f>
        <v>1</v>
      </c>
      <c r="J129" s="4" t="n">
        <f aca="false">(F129="C")+(G129="C")</f>
        <v>1</v>
      </c>
      <c r="K129" s="3" t="n">
        <f aca="false">I129+J129</f>
        <v>2</v>
      </c>
    </row>
    <row r="130" customFormat="false" ht="15" hidden="false" customHeight="false" outlineLevel="0" collapsed="false">
      <c r="A130" s="4" t="s">
        <v>41</v>
      </c>
      <c r="B130" s="4" t="s">
        <v>471</v>
      </c>
      <c r="C130" s="4" t="s">
        <v>367</v>
      </c>
      <c r="D130" s="4" t="n">
        <f aca="false">IFERROR(INDEX(Positions!$D$2:$D$6912,MATCH($A130&amp;"|49",Positions!$A$2:$A$6912,0)),"-")</f>
        <v>51</v>
      </c>
      <c r="E130" s="4" t="n">
        <f aca="false">IFERROR(INDEX(Positions!$D$2:$D$6912,MATCH($A130&amp;"|65",Positions!$A$2:$A$6912,0)),"-")</f>
        <v>67</v>
      </c>
      <c r="F130" s="4" t="str">
        <f aca="false">IFERROR(INDEX(Positions!$E$2:$E$6912,MATCH($A130&amp;"|49",Positions!$A$2:$A$6912,0)),"-")</f>
        <v>G</v>
      </c>
      <c r="G130" s="4" t="str">
        <f aca="false">IFERROR(INDEX(Positions!$E$2:$E$6912,MATCH($A130&amp;"|65",Positions!$A$2:$A$6912,0)),"-")</f>
        <v>C</v>
      </c>
      <c r="H130" s="3" t="str">
        <f aca="false">F130&amp;"-"&amp;G130</f>
        <v>G-C</v>
      </c>
      <c r="I130" s="4" t="n">
        <f aca="false">(F130="G")+(G130="G")</f>
        <v>1</v>
      </c>
      <c r="J130" s="4" t="n">
        <f aca="false">(F130="C")+(G130="C")</f>
        <v>1</v>
      </c>
      <c r="K130" s="3" t="n">
        <f aca="false">I130+J130</f>
        <v>2</v>
      </c>
    </row>
    <row r="131" customFormat="false" ht="15" hidden="false" customHeight="false" outlineLevel="0" collapsed="false">
      <c r="A131" s="4" t="s">
        <v>41</v>
      </c>
      <c r="B131" s="4" t="s">
        <v>471</v>
      </c>
      <c r="C131" s="4" t="s">
        <v>233</v>
      </c>
      <c r="D131" s="4" t="n">
        <f aca="false">IFERROR(INDEX(Positions!$D$2:$D$6912,MATCH($A131&amp;"|50",Positions!$A$2:$A$6912,0)),"-")</f>
        <v>52</v>
      </c>
      <c r="E131" s="4" t="n">
        <f aca="false">IFERROR(INDEX(Positions!$D$2:$D$6912,MATCH($A131&amp;"|64",Positions!$A$2:$A$6912,0)),"-")</f>
        <v>66</v>
      </c>
      <c r="F131" s="4" t="str">
        <f aca="false">IFERROR(INDEX(Positions!$E$2:$E$6912,MATCH($A131&amp;"|50",Positions!$A$2:$A$6912,0)),"-")</f>
        <v>G</v>
      </c>
      <c r="G131" s="4" t="str">
        <f aca="false">IFERROR(INDEX(Positions!$E$2:$E$6912,MATCH($A131&amp;"|64",Positions!$A$2:$A$6912,0)),"-")</f>
        <v>C</v>
      </c>
      <c r="H131" s="3" t="str">
        <f aca="false">F131&amp;"-"&amp;G131</f>
        <v>G-C</v>
      </c>
      <c r="I131" s="4" t="n">
        <f aca="false">(F131="G")+(G131="G")</f>
        <v>1</v>
      </c>
      <c r="J131" s="4" t="n">
        <f aca="false">(F131="C")+(G131="C")</f>
        <v>1</v>
      </c>
      <c r="K131" s="3" t="n">
        <f aca="false">I131+J131</f>
        <v>2</v>
      </c>
    </row>
    <row r="132" customFormat="false" ht="15" hidden="false" customHeight="false" outlineLevel="0" collapsed="false">
      <c r="A132" s="4" t="s">
        <v>41</v>
      </c>
      <c r="B132" s="4" t="s">
        <v>471</v>
      </c>
      <c r="C132" s="4" t="s">
        <v>527</v>
      </c>
      <c r="D132" s="4" t="n">
        <f aca="false">IFERROR(INDEX(Positions!$D$2:$D$6912,MATCH($A132&amp;"|51",Positions!$A$2:$A$6912,0)),"-")</f>
        <v>53</v>
      </c>
      <c r="E132" s="4" t="n">
        <f aca="false">IFERROR(INDEX(Positions!$D$2:$D$6912,MATCH($A132&amp;"|63",Positions!$A$2:$A$6912,0)),"-")</f>
        <v>65</v>
      </c>
      <c r="F132" s="4" t="str">
        <f aca="false">IFERROR(INDEX(Positions!$E$2:$E$6912,MATCH($A132&amp;"|51",Positions!$A$2:$A$6912,0)),"-")</f>
        <v>U</v>
      </c>
      <c r="G132" s="4" t="str">
        <f aca="false">IFERROR(INDEX(Positions!$E$2:$E$6912,MATCH($A132&amp;"|63",Positions!$A$2:$A$6912,0)),"-")</f>
        <v>A</v>
      </c>
      <c r="H132" s="3" t="str">
        <f aca="false">F132&amp;"-"&amp;G132</f>
        <v>U-A</v>
      </c>
      <c r="I132" s="4" t="n">
        <f aca="false">(F132="G")+(G132="G")</f>
        <v>0</v>
      </c>
      <c r="J132" s="4" t="n">
        <f aca="false">(F132="C")+(G132="C")</f>
        <v>0</v>
      </c>
      <c r="K132" s="3" t="n">
        <f aca="false">I132+J132</f>
        <v>0</v>
      </c>
    </row>
    <row r="133" customFormat="false" ht="15" hidden="false" customHeight="false" outlineLevel="0" collapsed="false">
      <c r="A133" s="4" t="s">
        <v>41</v>
      </c>
      <c r="B133" s="4" t="s">
        <v>471</v>
      </c>
      <c r="C133" s="4" t="s">
        <v>528</v>
      </c>
      <c r="D133" s="4" t="n">
        <f aca="false">IFERROR(INDEX(Positions!$D$2:$D$6912,MATCH($A133&amp;"|52",Positions!$A$2:$A$6912,0)),"-")</f>
        <v>54</v>
      </c>
      <c r="E133" s="4" t="n">
        <f aca="false">IFERROR(INDEX(Positions!$D$2:$D$6912,MATCH($A133&amp;"|62",Positions!$A$2:$A$6912,0)),"-")</f>
        <v>64</v>
      </c>
      <c r="F133" s="4" t="str">
        <f aca="false">IFERROR(INDEX(Positions!$E$2:$E$6912,MATCH($A133&amp;"|52",Positions!$A$2:$A$6912,0)),"-")</f>
        <v>A</v>
      </c>
      <c r="G133" s="4" t="str">
        <f aca="false">IFERROR(INDEX(Positions!$E$2:$E$6912,MATCH($A133&amp;"|62",Positions!$A$2:$A$6912,0)),"-")</f>
        <v>U</v>
      </c>
      <c r="H133" s="3" t="str">
        <f aca="false">F133&amp;"-"&amp;G133</f>
        <v>A-U</v>
      </c>
      <c r="I133" s="4" t="n">
        <f aca="false">(F133="G")+(G133="G")</f>
        <v>0</v>
      </c>
      <c r="J133" s="4" t="n">
        <f aca="false">(F133="C")+(G133="C")</f>
        <v>0</v>
      </c>
      <c r="K133" s="3" t="n">
        <f aca="false">I133+J133</f>
        <v>0</v>
      </c>
    </row>
    <row r="134" customFormat="false" ht="15" hidden="false" customHeight="false" outlineLevel="0" collapsed="false">
      <c r="A134" s="4" t="s">
        <v>41</v>
      </c>
      <c r="B134" s="4" t="s">
        <v>471</v>
      </c>
      <c r="C134" s="4" t="s">
        <v>529</v>
      </c>
      <c r="D134" s="4" t="n">
        <f aca="false">IFERROR(INDEX(Positions!$D$2:$D$6912,MATCH($A134&amp;"|53",Positions!$A$2:$A$6912,0)),"-")</f>
        <v>55</v>
      </c>
      <c r="E134" s="4" t="n">
        <f aca="false">IFERROR(INDEX(Positions!$D$2:$D$6912,MATCH($A134&amp;"|61",Positions!$A$2:$A$6912,0)),"-")</f>
        <v>63</v>
      </c>
      <c r="F134" s="4" t="str">
        <f aca="false">IFERROR(INDEX(Positions!$E$2:$E$6912,MATCH($A134&amp;"|53",Positions!$A$2:$A$6912,0)),"-")</f>
        <v>G</v>
      </c>
      <c r="G134" s="4" t="str">
        <f aca="false">IFERROR(INDEX(Positions!$E$2:$E$6912,MATCH($A134&amp;"|61",Positions!$A$2:$A$6912,0)),"-")</f>
        <v>C</v>
      </c>
      <c r="H134" s="3" t="str">
        <f aca="false">F134&amp;"-"&amp;G134</f>
        <v>G-C</v>
      </c>
      <c r="I134" s="4" t="n">
        <f aca="false">(F134="G")+(G134="G")</f>
        <v>1</v>
      </c>
      <c r="J134" s="4" t="n">
        <f aca="false">(F134="C")+(G134="C")</f>
        <v>1</v>
      </c>
      <c r="K134" s="3" t="n">
        <f aca="false">I134+J134</f>
        <v>2</v>
      </c>
    </row>
    <row r="135" customFormat="false" ht="15" hidden="false" customHeight="false" outlineLevel="0" collapsed="false">
      <c r="A135" s="24" t="s">
        <v>41</v>
      </c>
      <c r="B135" s="24" t="s">
        <v>530</v>
      </c>
      <c r="C135" s="24" t="s">
        <v>531</v>
      </c>
      <c r="D135" s="24" t="n">
        <f aca="false">IFERROR(INDEX(Positions!$D$2:$D$6912,MATCH($A135&amp;"|8",Positions!$A$2:$A$6912,0)),"-")</f>
        <v>8</v>
      </c>
      <c r="E135" s="24" t="n">
        <f aca="false">IFERROR(INDEX(Positions!$D$2:$D$6912,MATCH($A135&amp;"|14",Positions!$A$2:$A$6912,0)),"-")</f>
        <v>14</v>
      </c>
      <c r="F135" s="24" t="str">
        <f aca="false">IFERROR(INDEX(Positions!$E$2:$E$6912,MATCH($A135&amp;"|8",Positions!$A$2:$A$6912,0)),"-")</f>
        <v>U</v>
      </c>
      <c r="G135" s="24" t="str">
        <f aca="false">IFERROR(INDEX(Positions!$E$2:$E$6912,MATCH($A135&amp;"|14",Positions!$A$2:$A$6912,0)),"-")</f>
        <v>A</v>
      </c>
      <c r="H135" s="25" t="str">
        <f aca="false">F135&amp;"-"&amp;G135</f>
        <v>U-A</v>
      </c>
      <c r="I135" s="24" t="n">
        <f aca="false">(F135="G")+(G135="G")</f>
        <v>0</v>
      </c>
      <c r="J135" s="24" t="n">
        <f aca="false">(F135="C")+(G135="C")</f>
        <v>0</v>
      </c>
      <c r="K135" s="25" t="n">
        <f aca="false">I135+J135</f>
        <v>0</v>
      </c>
    </row>
    <row r="136" customFormat="false" ht="15" hidden="false" customHeight="false" outlineLevel="0" collapsed="false">
      <c r="A136" s="24" t="s">
        <v>41</v>
      </c>
      <c r="B136" s="24" t="s">
        <v>530</v>
      </c>
      <c r="C136" s="24" t="s">
        <v>532</v>
      </c>
      <c r="D136" s="24" t="n">
        <f aca="false">IFERROR(INDEX(Positions!$D$2:$D$6912,MATCH($A136&amp;"|15",Positions!$A$2:$A$6912,0)),"-")</f>
        <v>15</v>
      </c>
      <c r="E136" s="24" t="n">
        <f aca="false">IFERROR(INDEX(Positions!$D$2:$D$6912,MATCH($A136&amp;"|48",Positions!$A$2:$A$6912,0)),"-")</f>
        <v>50</v>
      </c>
      <c r="F136" s="24" t="str">
        <f aca="false">IFERROR(INDEX(Positions!$E$2:$E$6912,MATCH($A136&amp;"|15",Positions!$A$2:$A$6912,0)),"-")</f>
        <v>G</v>
      </c>
      <c r="G136" s="24" t="str">
        <f aca="false">IFERROR(INDEX(Positions!$E$2:$E$6912,MATCH($A136&amp;"|48",Positions!$A$2:$A$6912,0)),"-")</f>
        <v>C</v>
      </c>
      <c r="H136" s="25" t="str">
        <f aca="false">F136&amp;"-"&amp;G136</f>
        <v>G-C</v>
      </c>
      <c r="I136" s="24" t="n">
        <f aca="false">(F136="G")+(G136="G")</f>
        <v>1</v>
      </c>
      <c r="J136" s="24" t="n">
        <f aca="false">(F136="C")+(G136="C")</f>
        <v>1</v>
      </c>
      <c r="K136" s="25" t="n">
        <f aca="false">I136+J136</f>
        <v>2</v>
      </c>
    </row>
    <row r="137" customFormat="false" ht="15" hidden="false" customHeight="false" outlineLevel="0" collapsed="false">
      <c r="A137" s="24" t="s">
        <v>41</v>
      </c>
      <c r="B137" s="24" t="s">
        <v>530</v>
      </c>
      <c r="C137" s="24" t="s">
        <v>533</v>
      </c>
      <c r="D137" s="24" t="n">
        <f aca="false">IFERROR(INDEX(Positions!$D$2:$D$6912,MATCH($A137&amp;"|18",Positions!$A$2:$A$6912,0)),"-")</f>
        <v>19</v>
      </c>
      <c r="E137" s="24" t="n">
        <f aca="false">IFERROR(INDEX(Positions!$D$2:$D$6912,MATCH($A137&amp;"|55",Positions!$A$2:$A$6912,0)),"-")</f>
        <v>57</v>
      </c>
      <c r="F137" s="24" t="str">
        <f aca="false">IFERROR(INDEX(Positions!$E$2:$E$6912,MATCH($A137&amp;"|18",Positions!$A$2:$A$6912,0)),"-")</f>
        <v>G</v>
      </c>
      <c r="G137" s="24" t="str">
        <f aca="false">IFERROR(INDEX(Positions!$E$2:$E$6912,MATCH($A137&amp;"|55",Positions!$A$2:$A$6912,0)),"-")</f>
        <v>U</v>
      </c>
      <c r="H137" s="25" t="str">
        <f aca="false">F137&amp;"-"&amp;G137</f>
        <v>G-U</v>
      </c>
      <c r="I137" s="24" t="n">
        <f aca="false">(F137="G")+(G137="G")</f>
        <v>1</v>
      </c>
      <c r="J137" s="24" t="n">
        <f aca="false">(F137="C")+(G137="C")</f>
        <v>0</v>
      </c>
      <c r="K137" s="25" t="n">
        <f aca="false">I137+J137</f>
        <v>1</v>
      </c>
    </row>
    <row r="138" customFormat="false" ht="15" hidden="false" customHeight="false" outlineLevel="0" collapsed="false">
      <c r="A138" s="24" t="s">
        <v>41</v>
      </c>
      <c r="B138" s="24" t="s">
        <v>530</v>
      </c>
      <c r="C138" s="24" t="s">
        <v>534</v>
      </c>
      <c r="D138" s="24" t="n">
        <f aca="false">IFERROR(INDEX(Positions!$D$2:$D$6912,MATCH($A138&amp;"|19",Positions!$A$2:$A$6912,0)),"-")</f>
        <v>20</v>
      </c>
      <c r="E138" s="24" t="n">
        <f aca="false">IFERROR(INDEX(Positions!$D$2:$D$6912,MATCH($A138&amp;"|56",Positions!$A$2:$A$6912,0)),"-")</f>
        <v>58</v>
      </c>
      <c r="F138" s="24" t="str">
        <f aca="false">IFERROR(INDEX(Positions!$E$2:$E$6912,MATCH($A138&amp;"|19",Positions!$A$2:$A$6912,0)),"-")</f>
        <v>G</v>
      </c>
      <c r="G138" s="24" t="str">
        <f aca="false">IFERROR(INDEX(Positions!$E$2:$E$6912,MATCH($A138&amp;"|56",Positions!$A$2:$A$6912,0)),"-")</f>
        <v>C</v>
      </c>
      <c r="H138" s="25" t="str">
        <f aca="false">F138&amp;"-"&amp;G138</f>
        <v>G-C</v>
      </c>
      <c r="I138" s="24" t="n">
        <f aca="false">(F138="G")+(G138="G")</f>
        <v>1</v>
      </c>
      <c r="J138" s="24" t="n">
        <f aca="false">(F138="C")+(G138="C")</f>
        <v>1</v>
      </c>
      <c r="K138" s="25" t="n">
        <f aca="false">I138+J138</f>
        <v>2</v>
      </c>
    </row>
    <row r="139" customFormat="false" ht="15" hidden="false" customHeight="false" outlineLevel="0" collapsed="false">
      <c r="A139" s="24" t="s">
        <v>41</v>
      </c>
      <c r="B139" s="24" t="s">
        <v>530</v>
      </c>
      <c r="C139" s="24" t="s">
        <v>535</v>
      </c>
      <c r="D139" s="24" t="n">
        <f aca="false">IFERROR(INDEX(Positions!$D$2:$D$6912,MATCH($A139&amp;"|26",Positions!$A$2:$A$6912,0)),"-")</f>
        <v>28</v>
      </c>
      <c r="E139" s="24" t="n">
        <f aca="false">IFERROR(INDEX(Positions!$D$2:$D$6912,MATCH($A139&amp;"|44",Positions!$A$2:$A$6912,0)),"-")</f>
        <v>46</v>
      </c>
      <c r="F139" s="24" t="str">
        <f aca="false">IFERROR(INDEX(Positions!$E$2:$E$6912,MATCH($A139&amp;"|26",Positions!$A$2:$A$6912,0)),"-")</f>
        <v>G</v>
      </c>
      <c r="G139" s="24" t="str">
        <f aca="false">IFERROR(INDEX(Positions!$E$2:$E$6912,MATCH($A139&amp;"|44",Positions!$A$2:$A$6912,0)),"-")</f>
        <v>A</v>
      </c>
      <c r="H139" s="25" t="str">
        <f aca="false">F139&amp;"-"&amp;G139</f>
        <v>G-A</v>
      </c>
      <c r="I139" s="24" t="n">
        <f aca="false">(F139="G")+(G139="G")</f>
        <v>1</v>
      </c>
      <c r="J139" s="24" t="n">
        <f aca="false">(F139="C")+(G139="C")</f>
        <v>0</v>
      </c>
      <c r="K139" s="25" t="n">
        <f aca="false">I139+J139</f>
        <v>1</v>
      </c>
    </row>
    <row r="140" customFormat="false" ht="15" hidden="false" customHeight="false" outlineLevel="0" collapsed="false">
      <c r="A140" s="24" t="s">
        <v>41</v>
      </c>
      <c r="B140" s="24" t="s">
        <v>530</v>
      </c>
      <c r="C140" s="24" t="s">
        <v>536</v>
      </c>
      <c r="D140" s="24" t="n">
        <f aca="false">IFERROR(INDEX(Positions!$D$2:$D$6912,MATCH($A140&amp;"|32",Positions!$A$2:$A$6912,0)),"-")</f>
        <v>34</v>
      </c>
      <c r="E140" s="24" t="n">
        <f aca="false">IFERROR(INDEX(Positions!$D$2:$D$6912,MATCH($A140&amp;"|38",Positions!$A$2:$A$6912,0)),"-")</f>
        <v>40</v>
      </c>
      <c r="F140" s="24" t="str">
        <f aca="false">IFERROR(INDEX(Positions!$E$2:$E$6912,MATCH($A140&amp;"|32",Positions!$A$2:$A$6912,0)),"-")</f>
        <v>C</v>
      </c>
      <c r="G140" s="24" t="str">
        <f aca="false">IFERROR(INDEX(Positions!$E$2:$E$6912,MATCH($A140&amp;"|38",Positions!$A$2:$A$6912,0)),"-")</f>
        <v>A</v>
      </c>
      <c r="H140" s="25" t="str">
        <f aca="false">F140&amp;"-"&amp;G140</f>
        <v>C-A</v>
      </c>
      <c r="I140" s="24" t="n">
        <f aca="false">(F140="G")+(G140="G")</f>
        <v>0</v>
      </c>
      <c r="J140" s="24" t="n">
        <f aca="false">(F140="C")+(G140="C")</f>
        <v>1</v>
      </c>
      <c r="K140" s="25" t="n">
        <f aca="false">I140+J140</f>
        <v>1</v>
      </c>
    </row>
    <row r="141" customFormat="false" ht="15" hidden="false" customHeight="false" outlineLevel="0" collapsed="false">
      <c r="A141" s="24" t="s">
        <v>41</v>
      </c>
      <c r="B141" s="24" t="s">
        <v>530</v>
      </c>
      <c r="C141" s="24" t="s">
        <v>537</v>
      </c>
      <c r="D141" s="24" t="n">
        <f aca="false">IFERROR(INDEX(Positions!$D$2:$D$6912,MATCH($A141&amp;"|54",Positions!$A$2:$A$6912,0)),"-")</f>
        <v>56</v>
      </c>
      <c r="E141" s="24" t="n">
        <f aca="false">IFERROR(INDEX(Positions!$D$2:$D$6912,MATCH($A141&amp;"|58",Positions!$A$2:$A$6912,0)),"-")</f>
        <v>60</v>
      </c>
      <c r="F141" s="24" t="str">
        <f aca="false">IFERROR(INDEX(Positions!$E$2:$E$6912,MATCH($A141&amp;"|54",Positions!$A$2:$A$6912,0)),"-")</f>
        <v>U</v>
      </c>
      <c r="G141" s="24" t="str">
        <f aca="false">IFERROR(INDEX(Positions!$E$2:$E$6912,MATCH($A141&amp;"|58",Positions!$A$2:$A$6912,0)),"-")</f>
        <v>A</v>
      </c>
      <c r="H141" s="25" t="str">
        <f aca="false">F141&amp;"-"&amp;G141</f>
        <v>U-A</v>
      </c>
      <c r="I141" s="24" t="n">
        <f aca="false">(F141="G")+(G141="G")</f>
        <v>0</v>
      </c>
      <c r="J141" s="24" t="n">
        <f aca="false">(F141="C")+(G141="C")</f>
        <v>0</v>
      </c>
      <c r="K141" s="25" t="n">
        <f aca="false">I141+J141</f>
        <v>0</v>
      </c>
    </row>
    <row r="142" customFormat="false" ht="15" hidden="false" customHeight="false" outlineLevel="0" collapsed="false">
      <c r="A142" s="4" t="s">
        <v>42</v>
      </c>
      <c r="B142" s="4" t="s">
        <v>412</v>
      </c>
      <c r="C142" s="4" t="s">
        <v>517</v>
      </c>
      <c r="D142" s="4" t="n">
        <f aca="false">IFERROR(INDEX(Positions!$D$2:$D$6912,MATCH($A142&amp;"|1",Positions!$A$2:$A$6912,0)),"-")</f>
        <v>1</v>
      </c>
      <c r="E142" s="4" t="n">
        <f aca="false">IFERROR(INDEX(Positions!$D$2:$D$6912,MATCH($A142&amp;"|72",Positions!$A$2:$A$6912,0)),"-")</f>
        <v>84</v>
      </c>
      <c r="F142" s="4" t="str">
        <f aca="false">IFERROR(INDEX(Positions!$E$2:$E$6912,MATCH($A142&amp;"|1",Positions!$A$2:$A$6912,0)),"-")</f>
        <v>G</v>
      </c>
      <c r="G142" s="4" t="str">
        <f aca="false">IFERROR(INDEX(Positions!$E$2:$E$6912,MATCH($A142&amp;"|72",Positions!$A$2:$A$6912,0)),"-")</f>
        <v>C</v>
      </c>
      <c r="H142" s="3" t="str">
        <f aca="false">F142&amp;"-"&amp;G142</f>
        <v>G-C</v>
      </c>
      <c r="I142" s="4" t="n">
        <f aca="false">(F142="G")+(G142="G")</f>
        <v>1</v>
      </c>
      <c r="J142" s="4" t="n">
        <f aca="false">(F142="C")+(G142="C")</f>
        <v>1</v>
      </c>
      <c r="K142" s="3" t="n">
        <f aca="false">I142+J142</f>
        <v>2</v>
      </c>
    </row>
    <row r="143" customFormat="false" ht="15" hidden="false" customHeight="false" outlineLevel="0" collapsed="false">
      <c r="A143" s="4" t="s">
        <v>42</v>
      </c>
      <c r="B143" s="4" t="s">
        <v>412</v>
      </c>
      <c r="C143" s="4" t="s">
        <v>518</v>
      </c>
      <c r="D143" s="4" t="n">
        <f aca="false">IFERROR(INDEX(Positions!$D$2:$D$6912,MATCH($A143&amp;"|2",Positions!$A$2:$A$6912,0)),"-")</f>
        <v>2</v>
      </c>
      <c r="E143" s="4" t="n">
        <f aca="false">IFERROR(INDEX(Positions!$D$2:$D$6912,MATCH($A143&amp;"|71",Positions!$A$2:$A$6912,0)),"-")</f>
        <v>83</v>
      </c>
      <c r="F143" s="4" t="str">
        <f aca="false">IFERROR(INDEX(Positions!$E$2:$E$6912,MATCH($A143&amp;"|2",Positions!$A$2:$A$6912,0)),"-")</f>
        <v>C</v>
      </c>
      <c r="G143" s="4" t="str">
        <f aca="false">IFERROR(INDEX(Positions!$E$2:$E$6912,MATCH($A143&amp;"|71",Positions!$A$2:$A$6912,0)),"-")</f>
        <v>G</v>
      </c>
      <c r="H143" s="3" t="str">
        <f aca="false">F143&amp;"-"&amp;G143</f>
        <v>C-G</v>
      </c>
      <c r="I143" s="4" t="n">
        <f aca="false">(F143="G")+(G143="G")</f>
        <v>1</v>
      </c>
      <c r="J143" s="4" t="n">
        <f aca="false">(F143="C")+(G143="C")</f>
        <v>1</v>
      </c>
      <c r="K143" s="3" t="n">
        <f aca="false">I143+J143</f>
        <v>2</v>
      </c>
    </row>
    <row r="144" customFormat="false" ht="15" hidden="false" customHeight="false" outlineLevel="0" collapsed="false">
      <c r="A144" s="4" t="s">
        <v>42</v>
      </c>
      <c r="B144" s="4" t="s">
        <v>412</v>
      </c>
      <c r="C144" s="4" t="s">
        <v>386</v>
      </c>
      <c r="D144" s="4" t="n">
        <f aca="false">IFERROR(INDEX(Positions!$D$2:$D$6912,MATCH($A144&amp;"|3",Positions!$A$2:$A$6912,0)),"-")</f>
        <v>3</v>
      </c>
      <c r="E144" s="4" t="n">
        <f aca="false">IFERROR(INDEX(Positions!$D$2:$D$6912,MATCH($A144&amp;"|70",Positions!$A$2:$A$6912,0)),"-")</f>
        <v>82</v>
      </c>
      <c r="F144" s="4" t="str">
        <f aca="false">IFERROR(INDEX(Positions!$E$2:$E$6912,MATCH($A144&amp;"|3",Positions!$A$2:$A$6912,0)),"-")</f>
        <v>C</v>
      </c>
      <c r="G144" s="4" t="str">
        <f aca="false">IFERROR(INDEX(Positions!$E$2:$E$6912,MATCH($A144&amp;"|70",Positions!$A$2:$A$6912,0)),"-")</f>
        <v>G</v>
      </c>
      <c r="H144" s="3" t="str">
        <f aca="false">F144&amp;"-"&amp;G144</f>
        <v>C-G</v>
      </c>
      <c r="I144" s="4" t="n">
        <f aca="false">(F144="G")+(G144="G")</f>
        <v>1</v>
      </c>
      <c r="J144" s="4" t="n">
        <f aca="false">(F144="C")+(G144="C")</f>
        <v>1</v>
      </c>
      <c r="K144" s="3" t="n">
        <f aca="false">I144+J144</f>
        <v>2</v>
      </c>
    </row>
    <row r="145" customFormat="false" ht="15" hidden="false" customHeight="false" outlineLevel="0" collapsed="false">
      <c r="A145" s="4" t="s">
        <v>42</v>
      </c>
      <c r="B145" s="4" t="s">
        <v>412</v>
      </c>
      <c r="C145" s="4" t="s">
        <v>519</v>
      </c>
      <c r="D145" s="4" t="n">
        <f aca="false">IFERROR(INDEX(Positions!$D$2:$D$6912,MATCH($A145&amp;"|4",Positions!$A$2:$A$6912,0)),"-")</f>
        <v>4</v>
      </c>
      <c r="E145" s="4" t="n">
        <f aca="false">IFERROR(INDEX(Positions!$D$2:$D$6912,MATCH($A145&amp;"|69",Positions!$A$2:$A$6912,0)),"-")</f>
        <v>81</v>
      </c>
      <c r="F145" s="4" t="str">
        <f aca="false">IFERROR(INDEX(Positions!$E$2:$E$6912,MATCH($A145&amp;"|4",Positions!$A$2:$A$6912,0)),"-")</f>
        <v>G</v>
      </c>
      <c r="G145" s="4" t="str">
        <f aca="false">IFERROR(INDEX(Positions!$E$2:$E$6912,MATCH($A145&amp;"|69",Positions!$A$2:$A$6912,0)),"-")</f>
        <v>C</v>
      </c>
      <c r="H145" s="3" t="str">
        <f aca="false">F145&amp;"-"&amp;G145</f>
        <v>G-C</v>
      </c>
      <c r="I145" s="4" t="n">
        <f aca="false">(F145="G")+(G145="G")</f>
        <v>1</v>
      </c>
      <c r="J145" s="4" t="n">
        <f aca="false">(F145="C")+(G145="C")</f>
        <v>1</v>
      </c>
      <c r="K145" s="3" t="n">
        <f aca="false">I145+J145</f>
        <v>2</v>
      </c>
    </row>
    <row r="146" customFormat="false" ht="15" hidden="false" customHeight="false" outlineLevel="0" collapsed="false">
      <c r="A146" s="4" t="s">
        <v>42</v>
      </c>
      <c r="B146" s="4" t="s">
        <v>412</v>
      </c>
      <c r="C146" s="4" t="s">
        <v>283</v>
      </c>
      <c r="D146" s="4" t="n">
        <f aca="false">IFERROR(INDEX(Positions!$D$2:$D$6912,MATCH($A146&amp;"|5",Positions!$A$2:$A$6912,0)),"-")</f>
        <v>5</v>
      </c>
      <c r="E146" s="4" t="n">
        <f aca="false">IFERROR(INDEX(Positions!$D$2:$D$6912,MATCH($A146&amp;"|68",Positions!$A$2:$A$6912,0)),"-")</f>
        <v>80</v>
      </c>
      <c r="F146" s="4" t="str">
        <f aca="false">IFERROR(INDEX(Positions!$E$2:$E$6912,MATCH($A146&amp;"|5",Positions!$A$2:$A$6912,0)),"-")</f>
        <v>A</v>
      </c>
      <c r="G146" s="4" t="str">
        <f aca="false">IFERROR(INDEX(Positions!$E$2:$E$6912,MATCH($A146&amp;"|68",Positions!$A$2:$A$6912,0)),"-")</f>
        <v>U</v>
      </c>
      <c r="H146" s="3" t="str">
        <f aca="false">F146&amp;"-"&amp;G146</f>
        <v>A-U</v>
      </c>
      <c r="I146" s="4" t="n">
        <f aca="false">(F146="G")+(G146="G")</f>
        <v>0</v>
      </c>
      <c r="J146" s="4" t="n">
        <f aca="false">(F146="C")+(G146="C")</f>
        <v>0</v>
      </c>
      <c r="K146" s="3" t="n">
        <f aca="false">I146+J146</f>
        <v>0</v>
      </c>
    </row>
    <row r="147" customFormat="false" ht="15" hidden="false" customHeight="false" outlineLevel="0" collapsed="false">
      <c r="A147" s="4" t="s">
        <v>42</v>
      </c>
      <c r="B147" s="4" t="s">
        <v>412</v>
      </c>
      <c r="C147" s="4" t="s">
        <v>520</v>
      </c>
      <c r="D147" s="4" t="n">
        <f aca="false">IFERROR(INDEX(Positions!$D$2:$D$6912,MATCH($A147&amp;"|6",Positions!$A$2:$A$6912,0)),"-")</f>
        <v>6</v>
      </c>
      <c r="E147" s="4" t="n">
        <f aca="false">IFERROR(INDEX(Positions!$D$2:$D$6912,MATCH($A147&amp;"|67",Positions!$A$2:$A$6912,0)),"-")</f>
        <v>79</v>
      </c>
      <c r="F147" s="4" t="str">
        <f aca="false">IFERROR(INDEX(Positions!$E$2:$E$6912,MATCH($A147&amp;"|6",Positions!$A$2:$A$6912,0)),"-")</f>
        <v>G</v>
      </c>
      <c r="G147" s="4" t="str">
        <f aca="false">IFERROR(INDEX(Positions!$E$2:$E$6912,MATCH($A147&amp;"|67",Positions!$A$2:$A$6912,0)),"-")</f>
        <v>C</v>
      </c>
      <c r="H147" s="3" t="str">
        <f aca="false">F147&amp;"-"&amp;G147</f>
        <v>G-C</v>
      </c>
      <c r="I147" s="4" t="n">
        <f aca="false">(F147="G")+(G147="G")</f>
        <v>1</v>
      </c>
      <c r="J147" s="4" t="n">
        <f aca="false">(F147="C")+(G147="C")</f>
        <v>1</v>
      </c>
      <c r="K147" s="3" t="n">
        <f aca="false">I147+J147</f>
        <v>2</v>
      </c>
    </row>
    <row r="148" customFormat="false" ht="15" hidden="false" customHeight="false" outlineLevel="0" collapsed="false">
      <c r="A148" s="4" t="s">
        <v>42</v>
      </c>
      <c r="B148" s="4" t="s">
        <v>412</v>
      </c>
      <c r="C148" s="4" t="s">
        <v>521</v>
      </c>
      <c r="D148" s="4" t="n">
        <f aca="false">IFERROR(INDEX(Positions!$D$2:$D$6912,MATCH($A148&amp;"|7",Positions!$A$2:$A$6912,0)),"-")</f>
        <v>7</v>
      </c>
      <c r="E148" s="4" t="n">
        <f aca="false">IFERROR(INDEX(Positions!$D$2:$D$6912,MATCH($A148&amp;"|66",Positions!$A$2:$A$6912,0)),"-")</f>
        <v>78</v>
      </c>
      <c r="F148" s="4" t="str">
        <f aca="false">IFERROR(INDEX(Positions!$E$2:$E$6912,MATCH($A148&amp;"|7",Positions!$A$2:$A$6912,0)),"-")</f>
        <v>G</v>
      </c>
      <c r="G148" s="4" t="str">
        <f aca="false">IFERROR(INDEX(Positions!$E$2:$E$6912,MATCH($A148&amp;"|66",Positions!$A$2:$A$6912,0)),"-")</f>
        <v>C</v>
      </c>
      <c r="H148" s="3" t="str">
        <f aca="false">F148&amp;"-"&amp;G148</f>
        <v>G-C</v>
      </c>
      <c r="I148" s="4" t="n">
        <f aca="false">(F148="G")+(G148="G")</f>
        <v>1</v>
      </c>
      <c r="J148" s="4" t="n">
        <f aca="false">(F148="C")+(G148="C")</f>
        <v>1</v>
      </c>
      <c r="K148" s="3" t="n">
        <f aca="false">I148+J148</f>
        <v>2</v>
      </c>
    </row>
    <row r="149" customFormat="false" ht="15" hidden="false" customHeight="false" outlineLevel="0" collapsed="false">
      <c r="A149" s="4" t="s">
        <v>42</v>
      </c>
      <c r="B149" s="4" t="s">
        <v>425</v>
      </c>
      <c r="C149" s="4" t="s">
        <v>522</v>
      </c>
      <c r="D149" s="4" t="n">
        <f aca="false">IFERROR(INDEX(Positions!$D$2:$D$6912,MATCH($A149&amp;"|10",Positions!$A$2:$A$6912,0)),"-")</f>
        <v>10</v>
      </c>
      <c r="E149" s="4" t="n">
        <f aca="false">IFERROR(INDEX(Positions!$D$2:$D$6912,MATCH($A149&amp;"|25",Positions!$A$2:$A$6912,0)),"-")</f>
        <v>27</v>
      </c>
      <c r="F149" s="4" t="str">
        <f aca="false">IFERROR(INDEX(Positions!$E$2:$E$6912,MATCH($A149&amp;"|10",Positions!$A$2:$A$6912,0)),"-")</f>
        <v>G</v>
      </c>
      <c r="G149" s="4" t="str">
        <f aca="false">IFERROR(INDEX(Positions!$E$2:$E$6912,MATCH($A149&amp;"|25",Positions!$A$2:$A$6912,0)),"-")</f>
        <v>C</v>
      </c>
      <c r="H149" s="3" t="str">
        <f aca="false">F149&amp;"-"&amp;G149</f>
        <v>G-C</v>
      </c>
      <c r="I149" s="4" t="n">
        <f aca="false">(F149="G")+(G149="G")</f>
        <v>1</v>
      </c>
      <c r="J149" s="4" t="n">
        <f aca="false">(F149="C")+(G149="C")</f>
        <v>1</v>
      </c>
      <c r="K149" s="3" t="n">
        <f aca="false">I149+J149</f>
        <v>2</v>
      </c>
    </row>
    <row r="150" customFormat="false" ht="15" hidden="false" customHeight="false" outlineLevel="0" collapsed="false">
      <c r="A150" s="4" t="s">
        <v>42</v>
      </c>
      <c r="B150" s="4" t="s">
        <v>425</v>
      </c>
      <c r="C150" s="4" t="s">
        <v>523</v>
      </c>
      <c r="D150" s="4" t="n">
        <f aca="false">IFERROR(INDEX(Positions!$D$2:$D$6912,MATCH($A150&amp;"|11",Positions!$A$2:$A$6912,0)),"-")</f>
        <v>11</v>
      </c>
      <c r="E150" s="4" t="n">
        <f aca="false">IFERROR(INDEX(Positions!$D$2:$D$6912,MATCH($A150&amp;"|24",Positions!$A$2:$A$6912,0)),"-")</f>
        <v>26</v>
      </c>
      <c r="F150" s="4" t="str">
        <f aca="false">IFERROR(INDEX(Positions!$E$2:$E$6912,MATCH($A150&amp;"|11",Positions!$A$2:$A$6912,0)),"-")</f>
        <v>C</v>
      </c>
      <c r="G150" s="4" t="str">
        <f aca="false">IFERROR(INDEX(Positions!$E$2:$E$6912,MATCH($A150&amp;"|24",Positions!$A$2:$A$6912,0)),"-")</f>
        <v>G</v>
      </c>
      <c r="H150" s="3" t="str">
        <f aca="false">F150&amp;"-"&amp;G150</f>
        <v>C-G</v>
      </c>
      <c r="I150" s="4" t="n">
        <f aca="false">(F150="G")+(G150="G")</f>
        <v>1</v>
      </c>
      <c r="J150" s="4" t="n">
        <f aca="false">(F150="C")+(G150="C")</f>
        <v>1</v>
      </c>
      <c r="K150" s="3" t="n">
        <f aca="false">I150+J150</f>
        <v>2</v>
      </c>
    </row>
    <row r="151" customFormat="false" ht="15" hidden="false" customHeight="false" outlineLevel="0" collapsed="false">
      <c r="A151" s="4" t="s">
        <v>42</v>
      </c>
      <c r="B151" s="4" t="s">
        <v>425</v>
      </c>
      <c r="C151" s="4" t="s">
        <v>250</v>
      </c>
      <c r="D151" s="4" t="n">
        <f aca="false">IFERROR(INDEX(Positions!$D$2:$D$6912,MATCH($A151&amp;"|12",Positions!$A$2:$A$6912,0)),"-")</f>
        <v>12</v>
      </c>
      <c r="E151" s="4" t="n">
        <f aca="false">IFERROR(INDEX(Positions!$D$2:$D$6912,MATCH($A151&amp;"|23",Positions!$A$2:$A$6912,0)),"-")</f>
        <v>25</v>
      </c>
      <c r="F151" s="4" t="str">
        <f aca="false">IFERROR(INDEX(Positions!$E$2:$E$6912,MATCH($A151&amp;"|12",Positions!$A$2:$A$6912,0)),"-")</f>
        <v>A</v>
      </c>
      <c r="G151" s="4" t="str">
        <f aca="false">IFERROR(INDEX(Positions!$E$2:$E$6912,MATCH($A151&amp;"|23",Positions!$A$2:$A$6912,0)),"-")</f>
        <v>U</v>
      </c>
      <c r="H151" s="3" t="str">
        <f aca="false">F151&amp;"-"&amp;G151</f>
        <v>A-U</v>
      </c>
      <c r="I151" s="4" t="n">
        <f aca="false">(F151="G")+(G151="G")</f>
        <v>0</v>
      </c>
      <c r="J151" s="4" t="n">
        <f aca="false">(F151="C")+(G151="C")</f>
        <v>0</v>
      </c>
      <c r="K151" s="3" t="n">
        <f aca="false">I151+J151</f>
        <v>0</v>
      </c>
    </row>
    <row r="152" customFormat="false" ht="15" hidden="false" customHeight="false" outlineLevel="0" collapsed="false">
      <c r="A152" s="4" t="s">
        <v>42</v>
      </c>
      <c r="B152" s="4" t="s">
        <v>425</v>
      </c>
      <c r="C152" s="4" t="s">
        <v>154</v>
      </c>
      <c r="D152" s="4" t="n">
        <f aca="false">IFERROR(INDEX(Positions!$D$2:$D$6912,MATCH($A152&amp;"|13",Positions!$A$2:$A$6912,0)),"-")</f>
        <v>13</v>
      </c>
      <c r="E152" s="4" t="n">
        <f aca="false">IFERROR(INDEX(Positions!$D$2:$D$6912,MATCH($A152&amp;"|22",Positions!$A$2:$A$6912,0)),"-")</f>
        <v>24</v>
      </c>
      <c r="F152" s="4" t="str">
        <f aca="false">IFERROR(INDEX(Positions!$E$2:$E$6912,MATCH($A152&amp;"|13",Positions!$A$2:$A$6912,0)),"-")</f>
        <v>U</v>
      </c>
      <c r="G152" s="4" t="str">
        <f aca="false">IFERROR(INDEX(Positions!$E$2:$E$6912,MATCH($A152&amp;"|22",Positions!$A$2:$A$6912,0)),"-")</f>
        <v>A</v>
      </c>
      <c r="H152" s="3" t="str">
        <f aca="false">F152&amp;"-"&amp;G152</f>
        <v>U-A</v>
      </c>
      <c r="I152" s="4" t="n">
        <f aca="false">(F152="G")+(G152="G")</f>
        <v>0</v>
      </c>
      <c r="J152" s="4" t="n">
        <f aca="false">(F152="C")+(G152="C")</f>
        <v>0</v>
      </c>
      <c r="K152" s="3" t="n">
        <f aca="false">I152+J152</f>
        <v>0</v>
      </c>
    </row>
    <row r="153" customFormat="false" ht="15" hidden="false" customHeight="false" outlineLevel="0" collapsed="false">
      <c r="A153" s="4" t="s">
        <v>42</v>
      </c>
      <c r="B153" s="4" t="s">
        <v>446</v>
      </c>
      <c r="C153" s="4" t="s">
        <v>524</v>
      </c>
      <c r="D153" s="4" t="n">
        <f aca="false">IFERROR(INDEX(Positions!$D$2:$D$6912,MATCH($A153&amp;"|27",Positions!$A$2:$A$6912,0)),"-")</f>
        <v>29</v>
      </c>
      <c r="E153" s="4" t="n">
        <f aca="false">IFERROR(INDEX(Positions!$D$2:$D$6912,MATCH($A153&amp;"|43",Positions!$A$2:$A$6912,0)),"-")</f>
        <v>45</v>
      </c>
      <c r="F153" s="4" t="str">
        <f aca="false">IFERROR(INDEX(Positions!$E$2:$E$6912,MATCH($A153&amp;"|27",Positions!$A$2:$A$6912,0)),"-")</f>
        <v>G</v>
      </c>
      <c r="G153" s="4" t="str">
        <f aca="false">IFERROR(INDEX(Positions!$E$2:$E$6912,MATCH($A153&amp;"|43",Positions!$A$2:$A$6912,0)),"-")</f>
        <v>C</v>
      </c>
      <c r="H153" s="3" t="str">
        <f aca="false">F153&amp;"-"&amp;G153</f>
        <v>G-C</v>
      </c>
      <c r="I153" s="4" t="n">
        <f aca="false">(F153="G")+(G153="G")</f>
        <v>1</v>
      </c>
      <c r="J153" s="4" t="n">
        <f aca="false">(F153="C")+(G153="C")</f>
        <v>1</v>
      </c>
      <c r="K153" s="3" t="n">
        <f aca="false">I153+J153</f>
        <v>2</v>
      </c>
    </row>
    <row r="154" customFormat="false" ht="15" hidden="false" customHeight="false" outlineLevel="0" collapsed="false">
      <c r="A154" s="4" t="s">
        <v>42</v>
      </c>
      <c r="B154" s="4" t="s">
        <v>446</v>
      </c>
      <c r="C154" s="4" t="s">
        <v>525</v>
      </c>
      <c r="D154" s="4" t="n">
        <f aca="false">IFERROR(INDEX(Positions!$D$2:$D$6912,MATCH($A154&amp;"|28",Positions!$A$2:$A$6912,0)),"-")</f>
        <v>30</v>
      </c>
      <c r="E154" s="4" t="n">
        <f aca="false">IFERROR(INDEX(Positions!$D$2:$D$6912,MATCH($A154&amp;"|42",Positions!$A$2:$A$6912,0)),"-")</f>
        <v>44</v>
      </c>
      <c r="F154" s="4" t="str">
        <f aca="false">IFERROR(INDEX(Positions!$E$2:$E$6912,MATCH($A154&amp;"|28",Positions!$A$2:$A$6912,0)),"-")</f>
        <v>U</v>
      </c>
      <c r="G154" s="4" t="str">
        <f aca="false">IFERROR(INDEX(Positions!$E$2:$E$6912,MATCH($A154&amp;"|42",Positions!$A$2:$A$6912,0)),"-")</f>
        <v>A</v>
      </c>
      <c r="H154" s="3" t="str">
        <f aca="false">F154&amp;"-"&amp;G154</f>
        <v>U-A</v>
      </c>
      <c r="I154" s="4" t="n">
        <f aca="false">(F154="G")+(G154="G")</f>
        <v>0</v>
      </c>
      <c r="J154" s="4" t="n">
        <f aca="false">(F154="C")+(G154="C")</f>
        <v>0</v>
      </c>
      <c r="K154" s="3" t="n">
        <f aca="false">I154+J154</f>
        <v>0</v>
      </c>
    </row>
    <row r="155" customFormat="false" ht="15" hidden="false" customHeight="false" outlineLevel="0" collapsed="false">
      <c r="A155" s="4" t="s">
        <v>42</v>
      </c>
      <c r="B155" s="4" t="s">
        <v>446</v>
      </c>
      <c r="C155" s="4" t="s">
        <v>256</v>
      </c>
      <c r="D155" s="4" t="n">
        <f aca="false">IFERROR(INDEX(Positions!$D$2:$D$6912,MATCH($A155&amp;"|29",Positions!$A$2:$A$6912,0)),"-")</f>
        <v>31</v>
      </c>
      <c r="E155" s="4" t="n">
        <f aca="false">IFERROR(INDEX(Positions!$D$2:$D$6912,MATCH($A155&amp;"|41",Positions!$A$2:$A$6912,0)),"-")</f>
        <v>43</v>
      </c>
      <c r="F155" s="4" t="str">
        <f aca="false">IFERROR(INDEX(Positions!$E$2:$E$6912,MATCH($A155&amp;"|29",Positions!$A$2:$A$6912,0)),"-")</f>
        <v>U</v>
      </c>
      <c r="G155" s="4" t="str">
        <f aca="false">IFERROR(INDEX(Positions!$E$2:$E$6912,MATCH($A155&amp;"|41",Positions!$A$2:$A$6912,0)),"-")</f>
        <v>A</v>
      </c>
      <c r="H155" s="3" t="str">
        <f aca="false">F155&amp;"-"&amp;G155</f>
        <v>U-A</v>
      </c>
      <c r="I155" s="4" t="n">
        <f aca="false">(F155="G")+(G155="G")</f>
        <v>0</v>
      </c>
      <c r="J155" s="4" t="n">
        <f aca="false">(F155="C")+(G155="C")</f>
        <v>0</v>
      </c>
      <c r="K155" s="3" t="n">
        <f aca="false">I155+J155</f>
        <v>0</v>
      </c>
    </row>
    <row r="156" customFormat="false" ht="15" hidden="false" customHeight="false" outlineLevel="0" collapsed="false">
      <c r="A156" s="4" t="s">
        <v>42</v>
      </c>
      <c r="B156" s="4" t="s">
        <v>446</v>
      </c>
      <c r="C156" s="4" t="s">
        <v>526</v>
      </c>
      <c r="D156" s="4" t="n">
        <f aca="false">IFERROR(INDEX(Positions!$D$2:$D$6912,MATCH($A156&amp;"|30",Positions!$A$2:$A$6912,0)),"-")</f>
        <v>32</v>
      </c>
      <c r="E156" s="4" t="n">
        <f aca="false">IFERROR(INDEX(Positions!$D$2:$D$6912,MATCH($A156&amp;"|40",Positions!$A$2:$A$6912,0)),"-")</f>
        <v>42</v>
      </c>
      <c r="F156" s="4" t="str">
        <f aca="false">IFERROR(INDEX(Positions!$E$2:$E$6912,MATCH($A156&amp;"|30",Positions!$A$2:$A$6912,0)),"-")</f>
        <v>G</v>
      </c>
      <c r="G156" s="4" t="str">
        <f aca="false">IFERROR(INDEX(Positions!$E$2:$E$6912,MATCH($A156&amp;"|40",Positions!$A$2:$A$6912,0)),"-")</f>
        <v>C</v>
      </c>
      <c r="H156" s="3" t="str">
        <f aca="false">F156&amp;"-"&amp;G156</f>
        <v>G-C</v>
      </c>
      <c r="I156" s="4" t="n">
        <f aca="false">(F156="G")+(G156="G")</f>
        <v>1</v>
      </c>
      <c r="J156" s="4" t="n">
        <f aca="false">(F156="C")+(G156="C")</f>
        <v>1</v>
      </c>
      <c r="K156" s="3" t="n">
        <f aca="false">I156+J156</f>
        <v>2</v>
      </c>
    </row>
    <row r="157" customFormat="false" ht="15" hidden="false" customHeight="false" outlineLevel="0" collapsed="false">
      <c r="A157" s="4" t="s">
        <v>42</v>
      </c>
      <c r="B157" s="4" t="s">
        <v>446</v>
      </c>
      <c r="C157" s="4" t="s">
        <v>273</v>
      </c>
      <c r="D157" s="4" t="n">
        <f aca="false">IFERROR(INDEX(Positions!$D$2:$D$6912,MATCH($A157&amp;"|31",Positions!$A$2:$A$6912,0)),"-")</f>
        <v>33</v>
      </c>
      <c r="E157" s="4" t="n">
        <f aca="false">IFERROR(INDEX(Positions!$D$2:$D$6912,MATCH($A157&amp;"|39",Positions!$A$2:$A$6912,0)),"-")</f>
        <v>41</v>
      </c>
      <c r="F157" s="4" t="str">
        <f aca="false">IFERROR(INDEX(Positions!$E$2:$E$6912,MATCH($A157&amp;"|31",Positions!$A$2:$A$6912,0)),"-")</f>
        <v>C</v>
      </c>
      <c r="G157" s="4" t="str">
        <f aca="false">IFERROR(INDEX(Positions!$E$2:$E$6912,MATCH($A157&amp;"|39",Positions!$A$2:$A$6912,0)),"-")</f>
        <v>G</v>
      </c>
      <c r="H157" s="3" t="str">
        <f aca="false">F157&amp;"-"&amp;G157</f>
        <v>C-G</v>
      </c>
      <c r="I157" s="4" t="n">
        <f aca="false">(F157="G")+(G157="G")</f>
        <v>1</v>
      </c>
      <c r="J157" s="4" t="n">
        <f aca="false">(F157="C")+(G157="C")</f>
        <v>1</v>
      </c>
      <c r="K157" s="3" t="n">
        <f aca="false">I157+J157</f>
        <v>2</v>
      </c>
    </row>
    <row r="158" customFormat="false" ht="15" hidden="false" customHeight="false" outlineLevel="0" collapsed="false">
      <c r="A158" s="4" t="s">
        <v>42</v>
      </c>
      <c r="B158" s="4" t="s">
        <v>471</v>
      </c>
      <c r="C158" s="4" t="s">
        <v>367</v>
      </c>
      <c r="D158" s="4" t="n">
        <f aca="false">IFERROR(INDEX(Positions!$D$2:$D$6912,MATCH($A158&amp;"|49",Positions!$A$2:$A$6912,0)),"-")</f>
        <v>61</v>
      </c>
      <c r="E158" s="4" t="n">
        <f aca="false">IFERROR(INDEX(Positions!$D$2:$D$6912,MATCH($A158&amp;"|65",Positions!$A$2:$A$6912,0)),"-")</f>
        <v>77</v>
      </c>
      <c r="F158" s="4" t="str">
        <f aca="false">IFERROR(INDEX(Positions!$E$2:$E$6912,MATCH($A158&amp;"|49",Positions!$A$2:$A$6912,0)),"-")</f>
        <v>A</v>
      </c>
      <c r="G158" s="4" t="str">
        <f aca="false">IFERROR(INDEX(Positions!$E$2:$E$6912,MATCH($A158&amp;"|65",Positions!$A$2:$A$6912,0)),"-")</f>
        <v>U</v>
      </c>
      <c r="H158" s="3" t="str">
        <f aca="false">F158&amp;"-"&amp;G158</f>
        <v>A-U</v>
      </c>
      <c r="I158" s="4" t="n">
        <f aca="false">(F158="G")+(G158="G")</f>
        <v>0</v>
      </c>
      <c r="J158" s="4" t="n">
        <f aca="false">(F158="C")+(G158="C")</f>
        <v>0</v>
      </c>
      <c r="K158" s="3" t="n">
        <f aca="false">I158+J158</f>
        <v>0</v>
      </c>
    </row>
    <row r="159" customFormat="false" ht="15" hidden="false" customHeight="false" outlineLevel="0" collapsed="false">
      <c r="A159" s="4" t="s">
        <v>42</v>
      </c>
      <c r="B159" s="4" t="s">
        <v>471</v>
      </c>
      <c r="C159" s="4" t="s">
        <v>233</v>
      </c>
      <c r="D159" s="4" t="n">
        <f aca="false">IFERROR(INDEX(Positions!$D$2:$D$6912,MATCH($A159&amp;"|50",Positions!$A$2:$A$6912,0)),"-")</f>
        <v>62</v>
      </c>
      <c r="E159" s="4" t="n">
        <f aca="false">IFERROR(INDEX(Positions!$D$2:$D$6912,MATCH($A159&amp;"|64",Positions!$A$2:$A$6912,0)),"-")</f>
        <v>76</v>
      </c>
      <c r="F159" s="4" t="str">
        <f aca="false">IFERROR(INDEX(Positions!$E$2:$E$6912,MATCH($A159&amp;"|50",Positions!$A$2:$A$6912,0)),"-")</f>
        <v>G</v>
      </c>
      <c r="G159" s="4" t="str">
        <f aca="false">IFERROR(INDEX(Positions!$E$2:$E$6912,MATCH($A159&amp;"|64",Positions!$A$2:$A$6912,0)),"-")</f>
        <v>C</v>
      </c>
      <c r="H159" s="3" t="str">
        <f aca="false">F159&amp;"-"&amp;G159</f>
        <v>G-C</v>
      </c>
      <c r="I159" s="4" t="n">
        <f aca="false">(F159="G")+(G159="G")</f>
        <v>1</v>
      </c>
      <c r="J159" s="4" t="n">
        <f aca="false">(F159="C")+(G159="C")</f>
        <v>1</v>
      </c>
      <c r="K159" s="3" t="n">
        <f aca="false">I159+J159</f>
        <v>2</v>
      </c>
    </row>
    <row r="160" customFormat="false" ht="15" hidden="false" customHeight="false" outlineLevel="0" collapsed="false">
      <c r="A160" s="4" t="s">
        <v>42</v>
      </c>
      <c r="B160" s="4" t="s">
        <v>471</v>
      </c>
      <c r="C160" s="4" t="s">
        <v>527</v>
      </c>
      <c r="D160" s="4" t="n">
        <f aca="false">IFERROR(INDEX(Positions!$D$2:$D$6912,MATCH($A160&amp;"|51",Positions!$A$2:$A$6912,0)),"-")</f>
        <v>63</v>
      </c>
      <c r="E160" s="4" t="n">
        <f aca="false">IFERROR(INDEX(Positions!$D$2:$D$6912,MATCH($A160&amp;"|63",Positions!$A$2:$A$6912,0)),"-")</f>
        <v>75</v>
      </c>
      <c r="F160" s="4" t="str">
        <f aca="false">IFERROR(INDEX(Positions!$E$2:$E$6912,MATCH($A160&amp;"|51",Positions!$A$2:$A$6912,0)),"-")</f>
        <v>G</v>
      </c>
      <c r="G160" s="4" t="str">
        <f aca="false">IFERROR(INDEX(Positions!$E$2:$E$6912,MATCH($A160&amp;"|63",Positions!$A$2:$A$6912,0)),"-")</f>
        <v>C</v>
      </c>
      <c r="H160" s="3" t="str">
        <f aca="false">F160&amp;"-"&amp;G160</f>
        <v>G-C</v>
      </c>
      <c r="I160" s="4" t="n">
        <f aca="false">(F160="G")+(G160="G")</f>
        <v>1</v>
      </c>
      <c r="J160" s="4" t="n">
        <f aca="false">(F160="C")+(G160="C")</f>
        <v>1</v>
      </c>
      <c r="K160" s="3" t="n">
        <f aca="false">I160+J160</f>
        <v>2</v>
      </c>
    </row>
    <row r="161" customFormat="false" ht="15" hidden="false" customHeight="false" outlineLevel="0" collapsed="false">
      <c r="A161" s="4" t="s">
        <v>42</v>
      </c>
      <c r="B161" s="4" t="s">
        <v>471</v>
      </c>
      <c r="C161" s="4" t="s">
        <v>528</v>
      </c>
      <c r="D161" s="4" t="n">
        <f aca="false">IFERROR(INDEX(Positions!$D$2:$D$6912,MATCH($A161&amp;"|52",Positions!$A$2:$A$6912,0)),"-")</f>
        <v>64</v>
      </c>
      <c r="E161" s="4" t="n">
        <f aca="false">IFERROR(INDEX(Positions!$D$2:$D$6912,MATCH($A161&amp;"|62",Positions!$A$2:$A$6912,0)),"-")</f>
        <v>74</v>
      </c>
      <c r="F161" s="4" t="str">
        <f aca="false">IFERROR(INDEX(Positions!$E$2:$E$6912,MATCH($A161&amp;"|52",Positions!$A$2:$A$6912,0)),"-")</f>
        <v>A</v>
      </c>
      <c r="G161" s="4" t="str">
        <f aca="false">IFERROR(INDEX(Positions!$E$2:$E$6912,MATCH($A161&amp;"|62",Positions!$A$2:$A$6912,0)),"-")</f>
        <v>U</v>
      </c>
      <c r="H161" s="3" t="str">
        <f aca="false">F161&amp;"-"&amp;G161</f>
        <v>A-U</v>
      </c>
      <c r="I161" s="4" t="n">
        <f aca="false">(F161="G")+(G161="G")</f>
        <v>0</v>
      </c>
      <c r="J161" s="4" t="n">
        <f aca="false">(F161="C")+(G161="C")</f>
        <v>0</v>
      </c>
      <c r="K161" s="3" t="n">
        <f aca="false">I161+J161</f>
        <v>0</v>
      </c>
    </row>
    <row r="162" customFormat="false" ht="15" hidden="false" customHeight="false" outlineLevel="0" collapsed="false">
      <c r="A162" s="4" t="s">
        <v>42</v>
      </c>
      <c r="B162" s="4" t="s">
        <v>471</v>
      </c>
      <c r="C162" s="4" t="s">
        <v>529</v>
      </c>
      <c r="D162" s="4" t="n">
        <f aca="false">IFERROR(INDEX(Positions!$D$2:$D$6912,MATCH($A162&amp;"|53",Positions!$A$2:$A$6912,0)),"-")</f>
        <v>65</v>
      </c>
      <c r="E162" s="4" t="n">
        <f aca="false">IFERROR(INDEX(Positions!$D$2:$D$6912,MATCH($A162&amp;"|61",Positions!$A$2:$A$6912,0)),"-")</f>
        <v>73</v>
      </c>
      <c r="F162" s="4" t="str">
        <f aca="false">IFERROR(INDEX(Positions!$E$2:$E$6912,MATCH($A162&amp;"|53",Positions!$A$2:$A$6912,0)),"-")</f>
        <v>G</v>
      </c>
      <c r="G162" s="4" t="str">
        <f aca="false">IFERROR(INDEX(Positions!$E$2:$E$6912,MATCH($A162&amp;"|61",Positions!$A$2:$A$6912,0)),"-")</f>
        <v>C</v>
      </c>
      <c r="H162" s="3" t="str">
        <f aca="false">F162&amp;"-"&amp;G162</f>
        <v>G-C</v>
      </c>
      <c r="I162" s="4" t="n">
        <f aca="false">(F162="G")+(G162="G")</f>
        <v>1</v>
      </c>
      <c r="J162" s="4" t="n">
        <f aca="false">(F162="C")+(G162="C")</f>
        <v>1</v>
      </c>
      <c r="K162" s="3" t="n">
        <f aca="false">I162+J162</f>
        <v>2</v>
      </c>
    </row>
    <row r="163" customFormat="false" ht="15" hidden="false" customHeight="false" outlineLevel="0" collapsed="false">
      <c r="A163" s="24" t="s">
        <v>42</v>
      </c>
      <c r="B163" s="24" t="s">
        <v>530</v>
      </c>
      <c r="C163" s="24" t="s">
        <v>531</v>
      </c>
      <c r="D163" s="24" t="n">
        <f aca="false">IFERROR(INDEX(Positions!$D$2:$D$6912,MATCH($A163&amp;"|8",Positions!$A$2:$A$6912,0)),"-")</f>
        <v>8</v>
      </c>
      <c r="E163" s="24" t="n">
        <f aca="false">IFERROR(INDEX(Positions!$D$2:$D$6912,MATCH($A163&amp;"|14",Positions!$A$2:$A$6912,0)),"-")</f>
        <v>14</v>
      </c>
      <c r="F163" s="24" t="str">
        <f aca="false">IFERROR(INDEX(Positions!$E$2:$E$6912,MATCH($A163&amp;"|8",Positions!$A$2:$A$6912,0)),"-")</f>
        <v>U</v>
      </c>
      <c r="G163" s="24" t="str">
        <f aca="false">IFERROR(INDEX(Positions!$E$2:$E$6912,MATCH($A163&amp;"|14",Positions!$A$2:$A$6912,0)),"-")</f>
        <v>A</v>
      </c>
      <c r="H163" s="25" t="str">
        <f aca="false">F163&amp;"-"&amp;G163</f>
        <v>U-A</v>
      </c>
      <c r="I163" s="24" t="n">
        <f aca="false">(F163="G")+(G163="G")</f>
        <v>0</v>
      </c>
      <c r="J163" s="24" t="n">
        <f aca="false">(F163="C")+(G163="C")</f>
        <v>0</v>
      </c>
      <c r="K163" s="25" t="n">
        <f aca="false">I163+J163</f>
        <v>0</v>
      </c>
    </row>
    <row r="164" customFormat="false" ht="15" hidden="false" customHeight="false" outlineLevel="0" collapsed="false">
      <c r="A164" s="24" t="s">
        <v>42</v>
      </c>
      <c r="B164" s="24" t="s">
        <v>530</v>
      </c>
      <c r="C164" s="24" t="s">
        <v>532</v>
      </c>
      <c r="D164" s="24" t="n">
        <f aca="false">IFERROR(INDEX(Positions!$D$2:$D$6912,MATCH($A164&amp;"|15",Positions!$A$2:$A$6912,0)),"-")</f>
        <v>15</v>
      </c>
      <c r="E164" s="24" t="n">
        <f aca="false">IFERROR(INDEX(Positions!$D$2:$D$6912,MATCH($A164&amp;"|48",Positions!$A$2:$A$6912,0)),"-")</f>
        <v>60</v>
      </c>
      <c r="F164" s="24" t="str">
        <f aca="false">IFERROR(INDEX(Positions!$E$2:$E$6912,MATCH($A164&amp;"|15",Positions!$A$2:$A$6912,0)),"-")</f>
        <v>G</v>
      </c>
      <c r="G164" s="24" t="str">
        <f aca="false">IFERROR(INDEX(Positions!$E$2:$E$6912,MATCH($A164&amp;"|48",Positions!$A$2:$A$6912,0)),"-")</f>
        <v>C</v>
      </c>
      <c r="H164" s="25" t="str">
        <f aca="false">F164&amp;"-"&amp;G164</f>
        <v>G-C</v>
      </c>
      <c r="I164" s="24" t="n">
        <f aca="false">(F164="G")+(G164="G")</f>
        <v>1</v>
      </c>
      <c r="J164" s="24" t="n">
        <f aca="false">(F164="C")+(G164="C")</f>
        <v>1</v>
      </c>
      <c r="K164" s="25" t="n">
        <f aca="false">I164+J164</f>
        <v>2</v>
      </c>
    </row>
    <row r="165" customFormat="false" ht="15" hidden="false" customHeight="false" outlineLevel="0" collapsed="false">
      <c r="A165" s="24" t="s">
        <v>42</v>
      </c>
      <c r="B165" s="24" t="s">
        <v>530</v>
      </c>
      <c r="C165" s="24" t="s">
        <v>533</v>
      </c>
      <c r="D165" s="24" t="n">
        <f aca="false">IFERROR(INDEX(Positions!$D$2:$D$6912,MATCH($A165&amp;"|18",Positions!$A$2:$A$6912,0)),"-")</f>
        <v>19</v>
      </c>
      <c r="E165" s="24" t="n">
        <f aca="false">IFERROR(INDEX(Positions!$D$2:$D$6912,MATCH($A165&amp;"|55",Positions!$A$2:$A$6912,0)),"-")</f>
        <v>67</v>
      </c>
      <c r="F165" s="24" t="str">
        <f aca="false">IFERROR(INDEX(Positions!$E$2:$E$6912,MATCH($A165&amp;"|18",Positions!$A$2:$A$6912,0)),"-")</f>
        <v>G</v>
      </c>
      <c r="G165" s="24" t="str">
        <f aca="false">IFERROR(INDEX(Positions!$E$2:$E$6912,MATCH($A165&amp;"|55",Positions!$A$2:$A$6912,0)),"-")</f>
        <v>U</v>
      </c>
      <c r="H165" s="25" t="str">
        <f aca="false">F165&amp;"-"&amp;G165</f>
        <v>G-U</v>
      </c>
      <c r="I165" s="24" t="n">
        <f aca="false">(F165="G")+(G165="G")</f>
        <v>1</v>
      </c>
      <c r="J165" s="24" t="n">
        <f aca="false">(F165="C")+(G165="C")</f>
        <v>0</v>
      </c>
      <c r="K165" s="25" t="n">
        <f aca="false">I165+J165</f>
        <v>1</v>
      </c>
    </row>
    <row r="166" customFormat="false" ht="15" hidden="false" customHeight="false" outlineLevel="0" collapsed="false">
      <c r="A166" s="24" t="s">
        <v>42</v>
      </c>
      <c r="B166" s="24" t="s">
        <v>530</v>
      </c>
      <c r="C166" s="24" t="s">
        <v>534</v>
      </c>
      <c r="D166" s="24" t="n">
        <f aca="false">IFERROR(INDEX(Positions!$D$2:$D$6912,MATCH($A166&amp;"|19",Positions!$A$2:$A$6912,0)),"-")</f>
        <v>20</v>
      </c>
      <c r="E166" s="24" t="n">
        <f aca="false">IFERROR(INDEX(Positions!$D$2:$D$6912,MATCH($A166&amp;"|56",Positions!$A$2:$A$6912,0)),"-")</f>
        <v>68</v>
      </c>
      <c r="F166" s="24" t="str">
        <f aca="false">IFERROR(INDEX(Positions!$E$2:$E$6912,MATCH($A166&amp;"|19",Positions!$A$2:$A$6912,0)),"-")</f>
        <v>G</v>
      </c>
      <c r="G166" s="24" t="str">
        <f aca="false">IFERROR(INDEX(Positions!$E$2:$E$6912,MATCH($A166&amp;"|56",Positions!$A$2:$A$6912,0)),"-")</f>
        <v>C</v>
      </c>
      <c r="H166" s="25" t="str">
        <f aca="false">F166&amp;"-"&amp;G166</f>
        <v>G-C</v>
      </c>
      <c r="I166" s="24" t="n">
        <f aca="false">(F166="G")+(G166="G")</f>
        <v>1</v>
      </c>
      <c r="J166" s="24" t="n">
        <f aca="false">(F166="C")+(G166="C")</f>
        <v>1</v>
      </c>
      <c r="K166" s="25" t="n">
        <f aca="false">I166+J166</f>
        <v>2</v>
      </c>
    </row>
    <row r="167" customFormat="false" ht="15" hidden="false" customHeight="false" outlineLevel="0" collapsed="false">
      <c r="A167" s="24" t="s">
        <v>42</v>
      </c>
      <c r="B167" s="24" t="s">
        <v>530</v>
      </c>
      <c r="C167" s="24" t="s">
        <v>535</v>
      </c>
      <c r="D167" s="24" t="n">
        <f aca="false">IFERROR(INDEX(Positions!$D$2:$D$6912,MATCH($A167&amp;"|26",Positions!$A$2:$A$6912,0)),"-")</f>
        <v>28</v>
      </c>
      <c r="E167" s="24" t="n">
        <f aca="false">IFERROR(INDEX(Positions!$D$2:$D$6912,MATCH($A167&amp;"|44",Positions!$A$2:$A$6912,0)),"-")</f>
        <v>46</v>
      </c>
      <c r="F167" s="24" t="str">
        <f aca="false">IFERROR(INDEX(Positions!$E$2:$E$6912,MATCH($A167&amp;"|26",Positions!$A$2:$A$6912,0)),"-")</f>
        <v>G</v>
      </c>
      <c r="G167" s="24" t="str">
        <f aca="false">IFERROR(INDEX(Positions!$E$2:$E$6912,MATCH($A167&amp;"|44",Positions!$A$2:$A$6912,0)),"-")</f>
        <v>G</v>
      </c>
      <c r="H167" s="25" t="str">
        <f aca="false">F167&amp;"-"&amp;G167</f>
        <v>G-G</v>
      </c>
      <c r="I167" s="24" t="n">
        <f aca="false">(F167="G")+(G167="G")</f>
        <v>2</v>
      </c>
      <c r="J167" s="24" t="n">
        <f aca="false">(F167="C")+(G167="C")</f>
        <v>0</v>
      </c>
      <c r="K167" s="25" t="n">
        <f aca="false">I167+J167</f>
        <v>2</v>
      </c>
    </row>
    <row r="168" customFormat="false" ht="15" hidden="false" customHeight="false" outlineLevel="0" collapsed="false">
      <c r="A168" s="24" t="s">
        <v>42</v>
      </c>
      <c r="B168" s="24" t="s">
        <v>530</v>
      </c>
      <c r="C168" s="24" t="s">
        <v>536</v>
      </c>
      <c r="D168" s="24" t="n">
        <f aca="false">IFERROR(INDEX(Positions!$D$2:$D$6912,MATCH($A168&amp;"|32",Positions!$A$2:$A$6912,0)),"-")</f>
        <v>34</v>
      </c>
      <c r="E168" s="24" t="n">
        <f aca="false">IFERROR(INDEX(Positions!$D$2:$D$6912,MATCH($A168&amp;"|38",Positions!$A$2:$A$6912,0)),"-")</f>
        <v>40</v>
      </c>
      <c r="F168" s="24" t="str">
        <f aca="false">IFERROR(INDEX(Positions!$E$2:$E$6912,MATCH($A168&amp;"|32",Positions!$A$2:$A$6912,0)),"-")</f>
        <v>U</v>
      </c>
      <c r="G168" s="24" t="str">
        <f aca="false">IFERROR(INDEX(Positions!$E$2:$E$6912,MATCH($A168&amp;"|38",Positions!$A$2:$A$6912,0)),"-")</f>
        <v>A</v>
      </c>
      <c r="H168" s="25" t="str">
        <f aca="false">F168&amp;"-"&amp;G168</f>
        <v>U-A</v>
      </c>
      <c r="I168" s="24" t="n">
        <f aca="false">(F168="G")+(G168="G")</f>
        <v>0</v>
      </c>
      <c r="J168" s="24" t="n">
        <f aca="false">(F168="C")+(G168="C")</f>
        <v>0</v>
      </c>
      <c r="K168" s="25" t="n">
        <f aca="false">I168+J168</f>
        <v>0</v>
      </c>
    </row>
    <row r="169" customFormat="false" ht="15" hidden="false" customHeight="false" outlineLevel="0" collapsed="false">
      <c r="A169" s="24" t="s">
        <v>42</v>
      </c>
      <c r="B169" s="24" t="s">
        <v>530</v>
      </c>
      <c r="C169" s="24" t="s">
        <v>537</v>
      </c>
      <c r="D169" s="24" t="n">
        <f aca="false">IFERROR(INDEX(Positions!$D$2:$D$6912,MATCH($A169&amp;"|54",Positions!$A$2:$A$6912,0)),"-")</f>
        <v>66</v>
      </c>
      <c r="E169" s="24" t="n">
        <f aca="false">IFERROR(INDEX(Positions!$D$2:$D$6912,MATCH($A169&amp;"|58",Positions!$A$2:$A$6912,0)),"-")</f>
        <v>70</v>
      </c>
      <c r="F169" s="24" t="str">
        <f aca="false">IFERROR(INDEX(Positions!$E$2:$E$6912,MATCH($A169&amp;"|54",Positions!$A$2:$A$6912,0)),"-")</f>
        <v>U</v>
      </c>
      <c r="G169" s="24" t="str">
        <f aca="false">IFERROR(INDEX(Positions!$E$2:$E$6912,MATCH($A169&amp;"|58",Positions!$A$2:$A$6912,0)),"-")</f>
        <v>A</v>
      </c>
      <c r="H169" s="25" t="str">
        <f aca="false">F169&amp;"-"&amp;G169</f>
        <v>U-A</v>
      </c>
      <c r="I169" s="24" t="n">
        <f aca="false">(F169="G")+(G169="G")</f>
        <v>0</v>
      </c>
      <c r="J169" s="24" t="n">
        <f aca="false">(F169="C")+(G169="C")</f>
        <v>0</v>
      </c>
      <c r="K169" s="25" t="n">
        <f aca="false">I169+J169</f>
        <v>0</v>
      </c>
    </row>
    <row r="170" customFormat="false" ht="15" hidden="false" customHeight="false" outlineLevel="0" collapsed="false">
      <c r="A170" s="4" t="s">
        <v>43</v>
      </c>
      <c r="B170" s="4" t="s">
        <v>412</v>
      </c>
      <c r="C170" s="4" t="s">
        <v>517</v>
      </c>
      <c r="D170" s="4" t="n">
        <f aca="false">IFERROR(INDEX(Positions!$D$2:$D$6912,MATCH($A170&amp;"|1",Positions!$A$2:$A$6912,0)),"-")</f>
        <v>1</v>
      </c>
      <c r="E170" s="4" t="n">
        <f aca="false">IFERROR(INDEX(Positions!$D$2:$D$6912,MATCH($A170&amp;"|72",Positions!$A$2:$A$6912,0)),"-")</f>
        <v>71</v>
      </c>
      <c r="F170" s="4" t="str">
        <f aca="false">IFERROR(INDEX(Positions!$E$2:$E$6912,MATCH($A170&amp;"|1",Positions!$A$2:$A$6912,0)),"-")</f>
        <v>G</v>
      </c>
      <c r="G170" s="4" t="str">
        <f aca="false">IFERROR(INDEX(Positions!$E$2:$E$6912,MATCH($A170&amp;"|72",Positions!$A$2:$A$6912,0)),"-")</f>
        <v>C</v>
      </c>
      <c r="H170" s="3" t="str">
        <f aca="false">F170&amp;"-"&amp;G170</f>
        <v>G-C</v>
      </c>
      <c r="I170" s="4" t="n">
        <f aca="false">(F170="G")+(G170="G")</f>
        <v>1</v>
      </c>
      <c r="J170" s="4" t="n">
        <f aca="false">(F170="C")+(G170="C")</f>
        <v>1</v>
      </c>
      <c r="K170" s="3" t="n">
        <f aca="false">I170+J170</f>
        <v>2</v>
      </c>
    </row>
    <row r="171" customFormat="false" ht="15" hidden="false" customHeight="false" outlineLevel="0" collapsed="false">
      <c r="A171" s="4" t="s">
        <v>43</v>
      </c>
      <c r="B171" s="4" t="s">
        <v>412</v>
      </c>
      <c r="C171" s="4" t="s">
        <v>518</v>
      </c>
      <c r="D171" s="4" t="n">
        <f aca="false">IFERROR(INDEX(Positions!$D$2:$D$6912,MATCH($A171&amp;"|2",Positions!$A$2:$A$6912,0)),"-")</f>
        <v>2</v>
      </c>
      <c r="E171" s="4" t="n">
        <f aca="false">IFERROR(INDEX(Positions!$D$2:$D$6912,MATCH($A171&amp;"|71",Positions!$A$2:$A$6912,0)),"-")</f>
        <v>70</v>
      </c>
      <c r="F171" s="4" t="str">
        <f aca="false">IFERROR(INDEX(Positions!$E$2:$E$6912,MATCH($A171&amp;"|2",Positions!$A$2:$A$6912,0)),"-")</f>
        <v>C</v>
      </c>
      <c r="G171" s="4" t="str">
        <f aca="false">IFERROR(INDEX(Positions!$E$2:$E$6912,MATCH($A171&amp;"|71",Positions!$A$2:$A$6912,0)),"-")</f>
        <v>G</v>
      </c>
      <c r="H171" s="3" t="str">
        <f aca="false">F171&amp;"-"&amp;G171</f>
        <v>C-G</v>
      </c>
      <c r="I171" s="4" t="n">
        <f aca="false">(F171="G")+(G171="G")</f>
        <v>1</v>
      </c>
      <c r="J171" s="4" t="n">
        <f aca="false">(F171="C")+(G171="C")</f>
        <v>1</v>
      </c>
      <c r="K171" s="3" t="n">
        <f aca="false">I171+J171</f>
        <v>2</v>
      </c>
    </row>
    <row r="172" customFormat="false" ht="15" hidden="false" customHeight="false" outlineLevel="0" collapsed="false">
      <c r="A172" s="4" t="s">
        <v>43</v>
      </c>
      <c r="B172" s="4" t="s">
        <v>412</v>
      </c>
      <c r="C172" s="4" t="s">
        <v>386</v>
      </c>
      <c r="D172" s="4" t="n">
        <f aca="false">IFERROR(INDEX(Positions!$D$2:$D$6912,MATCH($A172&amp;"|3",Positions!$A$2:$A$6912,0)),"-")</f>
        <v>3</v>
      </c>
      <c r="E172" s="4" t="n">
        <f aca="false">IFERROR(INDEX(Positions!$D$2:$D$6912,MATCH($A172&amp;"|70",Positions!$A$2:$A$6912,0)),"-")</f>
        <v>69</v>
      </c>
      <c r="F172" s="4" t="str">
        <f aca="false">IFERROR(INDEX(Positions!$E$2:$E$6912,MATCH($A172&amp;"|3",Positions!$A$2:$A$6912,0)),"-")</f>
        <v>C</v>
      </c>
      <c r="G172" s="4" t="str">
        <f aca="false">IFERROR(INDEX(Positions!$E$2:$E$6912,MATCH($A172&amp;"|70",Positions!$A$2:$A$6912,0)),"-")</f>
        <v>G</v>
      </c>
      <c r="H172" s="3" t="str">
        <f aca="false">F172&amp;"-"&amp;G172</f>
        <v>C-G</v>
      </c>
      <c r="I172" s="4" t="n">
        <f aca="false">(F172="G")+(G172="G")</f>
        <v>1</v>
      </c>
      <c r="J172" s="4" t="n">
        <f aca="false">(F172="C")+(G172="C")</f>
        <v>1</v>
      </c>
      <c r="K172" s="3" t="n">
        <f aca="false">I172+J172</f>
        <v>2</v>
      </c>
    </row>
    <row r="173" customFormat="false" ht="15" hidden="false" customHeight="false" outlineLevel="0" collapsed="false">
      <c r="A173" s="4" t="s">
        <v>43</v>
      </c>
      <c r="B173" s="4" t="s">
        <v>412</v>
      </c>
      <c r="C173" s="4" t="s">
        <v>519</v>
      </c>
      <c r="D173" s="4" t="n">
        <f aca="false">IFERROR(INDEX(Positions!$D$2:$D$6912,MATCH($A173&amp;"|4",Positions!$A$2:$A$6912,0)),"-")</f>
        <v>4</v>
      </c>
      <c r="E173" s="4" t="n">
        <f aca="false">IFERROR(INDEX(Positions!$D$2:$D$6912,MATCH($A173&amp;"|69",Positions!$A$2:$A$6912,0)),"-")</f>
        <v>68</v>
      </c>
      <c r="F173" s="4" t="str">
        <f aca="false">IFERROR(INDEX(Positions!$E$2:$E$6912,MATCH($A173&amp;"|4",Positions!$A$2:$A$6912,0)),"-")</f>
        <v>U</v>
      </c>
      <c r="G173" s="4" t="str">
        <f aca="false">IFERROR(INDEX(Positions!$E$2:$E$6912,MATCH($A173&amp;"|69",Positions!$A$2:$A$6912,0)),"-")</f>
        <v>A</v>
      </c>
      <c r="H173" s="3" t="str">
        <f aca="false">F173&amp;"-"&amp;G173</f>
        <v>U-A</v>
      </c>
      <c r="I173" s="4" t="n">
        <f aca="false">(F173="G")+(G173="G")</f>
        <v>0</v>
      </c>
      <c r="J173" s="4" t="n">
        <f aca="false">(F173="C")+(G173="C")</f>
        <v>0</v>
      </c>
      <c r="K173" s="3" t="n">
        <f aca="false">I173+J173</f>
        <v>0</v>
      </c>
    </row>
    <row r="174" customFormat="false" ht="15" hidden="false" customHeight="false" outlineLevel="0" collapsed="false">
      <c r="A174" s="4" t="s">
        <v>43</v>
      </c>
      <c r="B174" s="4" t="s">
        <v>412</v>
      </c>
      <c r="C174" s="4" t="s">
        <v>283</v>
      </c>
      <c r="D174" s="4" t="n">
        <f aca="false">IFERROR(INDEX(Positions!$D$2:$D$6912,MATCH($A174&amp;"|5",Positions!$A$2:$A$6912,0)),"-")</f>
        <v>5</v>
      </c>
      <c r="E174" s="4" t="n">
        <f aca="false">IFERROR(INDEX(Positions!$D$2:$D$6912,MATCH($A174&amp;"|68",Positions!$A$2:$A$6912,0)),"-")</f>
        <v>67</v>
      </c>
      <c r="F174" s="4" t="str">
        <f aca="false">IFERROR(INDEX(Positions!$E$2:$E$6912,MATCH($A174&amp;"|5",Positions!$A$2:$A$6912,0)),"-")</f>
        <v>G</v>
      </c>
      <c r="G174" s="4" t="str">
        <f aca="false">IFERROR(INDEX(Positions!$E$2:$E$6912,MATCH($A174&amp;"|68",Positions!$A$2:$A$6912,0)),"-")</f>
        <v>U</v>
      </c>
      <c r="H174" s="3" t="str">
        <f aca="false">F174&amp;"-"&amp;G174</f>
        <v>G-U</v>
      </c>
      <c r="I174" s="4" t="n">
        <f aca="false">(F174="G")+(G174="G")</f>
        <v>1</v>
      </c>
      <c r="J174" s="4" t="n">
        <f aca="false">(F174="C")+(G174="C")</f>
        <v>0</v>
      </c>
      <c r="K174" s="3" t="n">
        <f aca="false">I174+J174</f>
        <v>1</v>
      </c>
    </row>
    <row r="175" customFormat="false" ht="15" hidden="false" customHeight="false" outlineLevel="0" collapsed="false">
      <c r="A175" s="4" t="s">
        <v>43</v>
      </c>
      <c r="B175" s="4" t="s">
        <v>412</v>
      </c>
      <c r="C175" s="4" t="s">
        <v>520</v>
      </c>
      <c r="D175" s="4" t="n">
        <f aca="false">IFERROR(INDEX(Positions!$D$2:$D$6912,MATCH($A175&amp;"|6",Positions!$A$2:$A$6912,0)),"-")</f>
        <v>6</v>
      </c>
      <c r="E175" s="4" t="n">
        <f aca="false">IFERROR(INDEX(Positions!$D$2:$D$6912,MATCH($A175&amp;"|67",Positions!$A$2:$A$6912,0)),"-")</f>
        <v>66</v>
      </c>
      <c r="F175" s="4" t="str">
        <f aca="false">IFERROR(INDEX(Positions!$E$2:$E$6912,MATCH($A175&amp;"|6",Positions!$A$2:$A$6912,0)),"-")</f>
        <v>G</v>
      </c>
      <c r="G175" s="4" t="str">
        <f aca="false">IFERROR(INDEX(Positions!$E$2:$E$6912,MATCH($A175&amp;"|67",Positions!$A$2:$A$6912,0)),"-")</f>
        <v>C</v>
      </c>
      <c r="H175" s="3" t="str">
        <f aca="false">F175&amp;"-"&amp;G175</f>
        <v>G-C</v>
      </c>
      <c r="I175" s="4" t="n">
        <f aca="false">(F175="G")+(G175="G")</f>
        <v>1</v>
      </c>
      <c r="J175" s="4" t="n">
        <f aca="false">(F175="C")+(G175="C")</f>
        <v>1</v>
      </c>
      <c r="K175" s="3" t="n">
        <f aca="false">I175+J175</f>
        <v>2</v>
      </c>
    </row>
    <row r="176" customFormat="false" ht="15" hidden="false" customHeight="false" outlineLevel="0" collapsed="false">
      <c r="A176" s="4" t="s">
        <v>43</v>
      </c>
      <c r="B176" s="4" t="s">
        <v>412</v>
      </c>
      <c r="C176" s="4" t="s">
        <v>521</v>
      </c>
      <c r="D176" s="4" t="n">
        <f aca="false">IFERROR(INDEX(Positions!$D$2:$D$6912,MATCH($A176&amp;"|7",Positions!$A$2:$A$6912,0)),"-")</f>
        <v>7</v>
      </c>
      <c r="E176" s="4" t="n">
        <f aca="false">IFERROR(INDEX(Positions!$D$2:$D$6912,MATCH($A176&amp;"|66",Positions!$A$2:$A$6912,0)),"-")</f>
        <v>65</v>
      </c>
      <c r="F176" s="4" t="str">
        <f aca="false">IFERROR(INDEX(Positions!$E$2:$E$6912,MATCH($A176&amp;"|7",Positions!$A$2:$A$6912,0)),"-")</f>
        <v>G</v>
      </c>
      <c r="G176" s="4" t="str">
        <f aca="false">IFERROR(INDEX(Positions!$E$2:$E$6912,MATCH($A176&amp;"|66",Positions!$A$2:$A$6912,0)),"-")</f>
        <v>C</v>
      </c>
      <c r="H176" s="3" t="str">
        <f aca="false">F176&amp;"-"&amp;G176</f>
        <v>G-C</v>
      </c>
      <c r="I176" s="4" t="n">
        <f aca="false">(F176="G")+(G176="G")</f>
        <v>1</v>
      </c>
      <c r="J176" s="4" t="n">
        <f aca="false">(F176="C")+(G176="C")</f>
        <v>1</v>
      </c>
      <c r="K176" s="3" t="n">
        <f aca="false">I176+J176</f>
        <v>2</v>
      </c>
    </row>
    <row r="177" customFormat="false" ht="15" hidden="false" customHeight="false" outlineLevel="0" collapsed="false">
      <c r="A177" s="4" t="s">
        <v>43</v>
      </c>
      <c r="B177" s="4" t="s">
        <v>425</v>
      </c>
      <c r="C177" s="4" t="s">
        <v>522</v>
      </c>
      <c r="D177" s="4" t="n">
        <f aca="false">IFERROR(INDEX(Positions!$D$2:$D$6912,MATCH($A177&amp;"|10",Positions!$A$2:$A$6912,0)),"-")</f>
        <v>10</v>
      </c>
      <c r="E177" s="4" t="n">
        <f aca="false">IFERROR(INDEX(Positions!$D$2:$D$6912,MATCH($A177&amp;"|25",Positions!$A$2:$A$6912,0)),"-")</f>
        <v>24</v>
      </c>
      <c r="F177" s="4" t="str">
        <f aca="false">IFERROR(INDEX(Positions!$E$2:$E$6912,MATCH($A177&amp;"|10",Positions!$A$2:$A$6912,0)),"-")</f>
        <v>G</v>
      </c>
      <c r="G177" s="4" t="str">
        <f aca="false">IFERROR(INDEX(Positions!$E$2:$E$6912,MATCH($A177&amp;"|25",Positions!$A$2:$A$6912,0)),"-")</f>
        <v>C</v>
      </c>
      <c r="H177" s="3" t="str">
        <f aca="false">F177&amp;"-"&amp;G177</f>
        <v>G-C</v>
      </c>
      <c r="I177" s="4" t="n">
        <f aca="false">(F177="G")+(G177="G")</f>
        <v>1</v>
      </c>
      <c r="J177" s="4" t="n">
        <f aca="false">(F177="C")+(G177="C")</f>
        <v>1</v>
      </c>
      <c r="K177" s="3" t="n">
        <f aca="false">I177+J177</f>
        <v>2</v>
      </c>
    </row>
    <row r="178" customFormat="false" ht="15" hidden="false" customHeight="false" outlineLevel="0" collapsed="false">
      <c r="A178" s="4" t="s">
        <v>43</v>
      </c>
      <c r="B178" s="4" t="s">
        <v>425</v>
      </c>
      <c r="C178" s="4" t="s">
        <v>523</v>
      </c>
      <c r="D178" s="4" t="n">
        <f aca="false">IFERROR(INDEX(Positions!$D$2:$D$6912,MATCH($A178&amp;"|11",Positions!$A$2:$A$6912,0)),"-")</f>
        <v>11</v>
      </c>
      <c r="E178" s="4" t="n">
        <f aca="false">IFERROR(INDEX(Positions!$D$2:$D$6912,MATCH($A178&amp;"|24",Positions!$A$2:$A$6912,0)),"-")</f>
        <v>23</v>
      </c>
      <c r="F178" s="4" t="str">
        <f aca="false">IFERROR(INDEX(Positions!$E$2:$E$6912,MATCH($A178&amp;"|11",Positions!$A$2:$A$6912,0)),"-")</f>
        <v>C</v>
      </c>
      <c r="G178" s="4" t="str">
        <f aca="false">IFERROR(INDEX(Positions!$E$2:$E$6912,MATCH($A178&amp;"|24",Positions!$A$2:$A$6912,0)),"-")</f>
        <v>G</v>
      </c>
      <c r="H178" s="3" t="str">
        <f aca="false">F178&amp;"-"&amp;G178</f>
        <v>C-G</v>
      </c>
      <c r="I178" s="4" t="n">
        <f aca="false">(F178="G")+(G178="G")</f>
        <v>1</v>
      </c>
      <c r="J178" s="4" t="n">
        <f aca="false">(F178="C")+(G178="C")</f>
        <v>1</v>
      </c>
      <c r="K178" s="3" t="n">
        <f aca="false">I178+J178</f>
        <v>2</v>
      </c>
    </row>
    <row r="179" customFormat="false" ht="15" hidden="false" customHeight="false" outlineLevel="0" collapsed="false">
      <c r="A179" s="4" t="s">
        <v>43</v>
      </c>
      <c r="B179" s="4" t="s">
        <v>425</v>
      </c>
      <c r="C179" s="4" t="s">
        <v>250</v>
      </c>
      <c r="D179" s="4" t="n">
        <f aca="false">IFERROR(INDEX(Positions!$D$2:$D$6912,MATCH($A179&amp;"|12",Positions!$A$2:$A$6912,0)),"-")</f>
        <v>12</v>
      </c>
      <c r="E179" s="4" t="n">
        <f aca="false">IFERROR(INDEX(Positions!$D$2:$D$6912,MATCH($A179&amp;"|23",Positions!$A$2:$A$6912,0)),"-")</f>
        <v>22</v>
      </c>
      <c r="F179" s="4" t="str">
        <f aca="false">IFERROR(INDEX(Positions!$E$2:$E$6912,MATCH($A179&amp;"|12",Positions!$A$2:$A$6912,0)),"-")</f>
        <v>U</v>
      </c>
      <c r="G179" s="4" t="str">
        <f aca="false">IFERROR(INDEX(Positions!$E$2:$E$6912,MATCH($A179&amp;"|23",Positions!$A$2:$A$6912,0)),"-")</f>
        <v>A</v>
      </c>
      <c r="H179" s="3" t="str">
        <f aca="false">F179&amp;"-"&amp;G179</f>
        <v>U-A</v>
      </c>
      <c r="I179" s="4" t="n">
        <f aca="false">(F179="G")+(G179="G")</f>
        <v>0</v>
      </c>
      <c r="J179" s="4" t="n">
        <f aca="false">(F179="C")+(G179="C")</f>
        <v>0</v>
      </c>
      <c r="K179" s="3" t="n">
        <f aca="false">I179+J179</f>
        <v>0</v>
      </c>
    </row>
    <row r="180" customFormat="false" ht="15" hidden="false" customHeight="false" outlineLevel="0" collapsed="false">
      <c r="A180" s="4" t="s">
        <v>43</v>
      </c>
      <c r="B180" s="4" t="s">
        <v>425</v>
      </c>
      <c r="C180" s="4" t="s">
        <v>154</v>
      </c>
      <c r="D180" s="4" t="n">
        <f aca="false">IFERROR(INDEX(Positions!$D$2:$D$6912,MATCH($A180&amp;"|13",Positions!$A$2:$A$6912,0)),"-")</f>
        <v>13</v>
      </c>
      <c r="E180" s="4" t="n">
        <f aca="false">IFERROR(INDEX(Positions!$D$2:$D$6912,MATCH($A180&amp;"|22",Positions!$A$2:$A$6912,0)),"-")</f>
        <v>21</v>
      </c>
      <c r="F180" s="4" t="str">
        <f aca="false">IFERROR(INDEX(Positions!$E$2:$E$6912,MATCH($A180&amp;"|13",Positions!$A$2:$A$6912,0)),"-")</f>
        <v>U</v>
      </c>
      <c r="G180" s="4" t="str">
        <f aca="false">IFERROR(INDEX(Positions!$E$2:$E$6912,MATCH($A180&amp;"|22",Positions!$A$2:$A$6912,0)),"-")</f>
        <v>A</v>
      </c>
      <c r="H180" s="3" t="str">
        <f aca="false">F180&amp;"-"&amp;G180</f>
        <v>U-A</v>
      </c>
      <c r="I180" s="4" t="n">
        <f aca="false">(F180="G")+(G180="G")</f>
        <v>0</v>
      </c>
      <c r="J180" s="4" t="n">
        <f aca="false">(F180="C")+(G180="C")</f>
        <v>0</v>
      </c>
      <c r="K180" s="3" t="n">
        <f aca="false">I180+J180</f>
        <v>0</v>
      </c>
    </row>
    <row r="181" customFormat="false" ht="15" hidden="false" customHeight="false" outlineLevel="0" collapsed="false">
      <c r="A181" s="4" t="s">
        <v>43</v>
      </c>
      <c r="B181" s="4" t="s">
        <v>446</v>
      </c>
      <c r="C181" s="4" t="s">
        <v>524</v>
      </c>
      <c r="D181" s="4" t="n">
        <f aca="false">IFERROR(INDEX(Positions!$D$2:$D$6912,MATCH($A181&amp;"|27",Positions!$A$2:$A$6912,0)),"-")</f>
        <v>26</v>
      </c>
      <c r="E181" s="4" t="n">
        <f aca="false">IFERROR(INDEX(Positions!$D$2:$D$6912,MATCH($A181&amp;"|43",Positions!$A$2:$A$6912,0)),"-")</f>
        <v>42</v>
      </c>
      <c r="F181" s="4" t="str">
        <f aca="false">IFERROR(INDEX(Positions!$E$2:$E$6912,MATCH($A181&amp;"|27",Positions!$A$2:$A$6912,0)),"-")</f>
        <v>C</v>
      </c>
      <c r="G181" s="4" t="str">
        <f aca="false">IFERROR(INDEX(Positions!$E$2:$E$6912,MATCH($A181&amp;"|43",Positions!$A$2:$A$6912,0)),"-")</f>
        <v>G</v>
      </c>
      <c r="H181" s="3" t="str">
        <f aca="false">F181&amp;"-"&amp;G181</f>
        <v>C-G</v>
      </c>
      <c r="I181" s="4" t="n">
        <f aca="false">(F181="G")+(G181="G")</f>
        <v>1</v>
      </c>
      <c r="J181" s="4" t="n">
        <f aca="false">(F181="C")+(G181="C")</f>
        <v>1</v>
      </c>
      <c r="K181" s="3" t="n">
        <f aca="false">I181+J181</f>
        <v>2</v>
      </c>
    </row>
    <row r="182" customFormat="false" ht="15" hidden="false" customHeight="false" outlineLevel="0" collapsed="false">
      <c r="A182" s="4" t="s">
        <v>43</v>
      </c>
      <c r="B182" s="4" t="s">
        <v>446</v>
      </c>
      <c r="C182" s="4" t="s">
        <v>525</v>
      </c>
      <c r="D182" s="4" t="n">
        <f aca="false">IFERROR(INDEX(Positions!$D$2:$D$6912,MATCH($A182&amp;"|28",Positions!$A$2:$A$6912,0)),"-")</f>
        <v>27</v>
      </c>
      <c r="E182" s="4" t="n">
        <f aca="false">IFERROR(INDEX(Positions!$D$2:$D$6912,MATCH($A182&amp;"|42",Positions!$A$2:$A$6912,0)),"-")</f>
        <v>41</v>
      </c>
      <c r="F182" s="4" t="str">
        <f aca="false">IFERROR(INDEX(Positions!$E$2:$E$6912,MATCH($A182&amp;"|28",Positions!$A$2:$A$6912,0)),"-")</f>
        <v>G</v>
      </c>
      <c r="G182" s="4" t="str">
        <f aca="false">IFERROR(INDEX(Positions!$E$2:$E$6912,MATCH($A182&amp;"|42",Positions!$A$2:$A$6912,0)),"-")</f>
        <v>C</v>
      </c>
      <c r="H182" s="3" t="str">
        <f aca="false">F182&amp;"-"&amp;G182</f>
        <v>G-C</v>
      </c>
      <c r="I182" s="4" t="n">
        <f aca="false">(F182="G")+(G182="G")</f>
        <v>1</v>
      </c>
      <c r="J182" s="4" t="n">
        <f aca="false">(F182="C")+(G182="C")</f>
        <v>1</v>
      </c>
      <c r="K182" s="3" t="n">
        <f aca="false">I182+J182</f>
        <v>2</v>
      </c>
    </row>
    <row r="183" customFormat="false" ht="15" hidden="false" customHeight="false" outlineLevel="0" collapsed="false">
      <c r="A183" s="4" t="s">
        <v>43</v>
      </c>
      <c r="B183" s="4" t="s">
        <v>446</v>
      </c>
      <c r="C183" s="4" t="s">
        <v>256</v>
      </c>
      <c r="D183" s="4" t="n">
        <f aca="false">IFERROR(INDEX(Positions!$D$2:$D$6912,MATCH($A183&amp;"|29",Positions!$A$2:$A$6912,0)),"-")</f>
        <v>28</v>
      </c>
      <c r="E183" s="4" t="n">
        <f aca="false">IFERROR(INDEX(Positions!$D$2:$D$6912,MATCH($A183&amp;"|41",Positions!$A$2:$A$6912,0)),"-")</f>
        <v>40</v>
      </c>
      <c r="F183" s="4" t="str">
        <f aca="false">IFERROR(INDEX(Positions!$E$2:$E$6912,MATCH($A183&amp;"|29",Positions!$A$2:$A$6912,0)),"-")</f>
        <v>U</v>
      </c>
      <c r="G183" s="4" t="str">
        <f aca="false">IFERROR(INDEX(Positions!$E$2:$E$6912,MATCH($A183&amp;"|41",Positions!$A$2:$A$6912,0)),"-")</f>
        <v>A</v>
      </c>
      <c r="H183" s="3" t="str">
        <f aca="false">F183&amp;"-"&amp;G183</f>
        <v>U-A</v>
      </c>
      <c r="I183" s="4" t="n">
        <f aca="false">(F183="G")+(G183="G")</f>
        <v>0</v>
      </c>
      <c r="J183" s="4" t="n">
        <f aca="false">(F183="C")+(G183="C")</f>
        <v>0</v>
      </c>
      <c r="K183" s="3" t="n">
        <f aca="false">I183+J183</f>
        <v>0</v>
      </c>
    </row>
    <row r="184" customFormat="false" ht="15" hidden="false" customHeight="false" outlineLevel="0" collapsed="false">
      <c r="A184" s="4" t="s">
        <v>43</v>
      </c>
      <c r="B184" s="4" t="s">
        <v>446</v>
      </c>
      <c r="C184" s="4" t="s">
        <v>526</v>
      </c>
      <c r="D184" s="4" t="n">
        <f aca="false">IFERROR(INDEX(Positions!$D$2:$D$6912,MATCH($A184&amp;"|30",Positions!$A$2:$A$6912,0)),"-")</f>
        <v>29</v>
      </c>
      <c r="E184" s="4" t="n">
        <f aca="false">IFERROR(INDEX(Positions!$D$2:$D$6912,MATCH($A184&amp;"|40",Positions!$A$2:$A$6912,0)),"-")</f>
        <v>39</v>
      </c>
      <c r="F184" s="4" t="str">
        <f aca="false">IFERROR(INDEX(Positions!$E$2:$E$6912,MATCH($A184&amp;"|30",Positions!$A$2:$A$6912,0)),"-")</f>
        <v>C</v>
      </c>
      <c r="G184" s="4" t="str">
        <f aca="false">IFERROR(INDEX(Positions!$E$2:$E$6912,MATCH($A184&amp;"|40",Positions!$A$2:$A$6912,0)),"-")</f>
        <v>G</v>
      </c>
      <c r="H184" s="3" t="str">
        <f aca="false">F184&amp;"-"&amp;G184</f>
        <v>C-G</v>
      </c>
      <c r="I184" s="4" t="n">
        <f aca="false">(F184="G")+(G184="G")</f>
        <v>1</v>
      </c>
      <c r="J184" s="4" t="n">
        <f aca="false">(F184="C")+(G184="C")</f>
        <v>1</v>
      </c>
      <c r="K184" s="3" t="n">
        <f aca="false">I184+J184</f>
        <v>2</v>
      </c>
    </row>
    <row r="185" customFormat="false" ht="15" hidden="false" customHeight="false" outlineLevel="0" collapsed="false">
      <c r="A185" s="4" t="s">
        <v>43</v>
      </c>
      <c r="B185" s="4" t="s">
        <v>446</v>
      </c>
      <c r="C185" s="4" t="s">
        <v>273</v>
      </c>
      <c r="D185" s="4" t="n">
        <f aca="false">IFERROR(INDEX(Positions!$D$2:$D$6912,MATCH($A185&amp;"|31",Positions!$A$2:$A$6912,0)),"-")</f>
        <v>30</v>
      </c>
      <c r="E185" s="4" t="n">
        <f aca="false">IFERROR(INDEX(Positions!$D$2:$D$6912,MATCH($A185&amp;"|39",Positions!$A$2:$A$6912,0)),"-")</f>
        <v>38</v>
      </c>
      <c r="F185" s="4" t="str">
        <f aca="false">IFERROR(INDEX(Positions!$E$2:$E$6912,MATCH($A185&amp;"|31",Positions!$A$2:$A$6912,0)),"-")</f>
        <v>C</v>
      </c>
      <c r="G185" s="4" t="str">
        <f aca="false">IFERROR(INDEX(Positions!$E$2:$E$6912,MATCH($A185&amp;"|39",Positions!$A$2:$A$6912,0)),"-")</f>
        <v>G</v>
      </c>
      <c r="H185" s="3" t="str">
        <f aca="false">F185&amp;"-"&amp;G185</f>
        <v>C-G</v>
      </c>
      <c r="I185" s="4" t="n">
        <f aca="false">(F185="G")+(G185="G")</f>
        <v>1</v>
      </c>
      <c r="J185" s="4" t="n">
        <f aca="false">(F185="C")+(G185="C")</f>
        <v>1</v>
      </c>
      <c r="K185" s="3" t="n">
        <f aca="false">I185+J185</f>
        <v>2</v>
      </c>
    </row>
    <row r="186" customFormat="false" ht="15" hidden="false" customHeight="false" outlineLevel="0" collapsed="false">
      <c r="A186" s="4" t="s">
        <v>43</v>
      </c>
      <c r="B186" s="4" t="s">
        <v>471</v>
      </c>
      <c r="C186" s="4" t="s">
        <v>367</v>
      </c>
      <c r="D186" s="4" t="n">
        <f aca="false">IFERROR(INDEX(Positions!$D$2:$D$6912,MATCH($A186&amp;"|49",Positions!$A$2:$A$6912,0)),"-")</f>
        <v>48</v>
      </c>
      <c r="E186" s="4" t="n">
        <f aca="false">IFERROR(INDEX(Positions!$D$2:$D$6912,MATCH($A186&amp;"|65",Positions!$A$2:$A$6912,0)),"-")</f>
        <v>64</v>
      </c>
      <c r="F186" s="4" t="str">
        <f aca="false">IFERROR(INDEX(Positions!$E$2:$E$6912,MATCH($A186&amp;"|49",Positions!$A$2:$A$6912,0)),"-")</f>
        <v>C</v>
      </c>
      <c r="G186" s="4" t="str">
        <f aca="false">IFERROR(INDEX(Positions!$E$2:$E$6912,MATCH($A186&amp;"|65",Positions!$A$2:$A$6912,0)),"-")</f>
        <v>G</v>
      </c>
      <c r="H186" s="3" t="str">
        <f aca="false">F186&amp;"-"&amp;G186</f>
        <v>C-G</v>
      </c>
      <c r="I186" s="4" t="n">
        <f aca="false">(F186="G")+(G186="G")</f>
        <v>1</v>
      </c>
      <c r="J186" s="4" t="n">
        <f aca="false">(F186="C")+(G186="C")</f>
        <v>1</v>
      </c>
      <c r="K186" s="3" t="n">
        <f aca="false">I186+J186</f>
        <v>2</v>
      </c>
    </row>
    <row r="187" customFormat="false" ht="15" hidden="false" customHeight="false" outlineLevel="0" collapsed="false">
      <c r="A187" s="4" t="s">
        <v>43</v>
      </c>
      <c r="B187" s="4" t="s">
        <v>471</v>
      </c>
      <c r="C187" s="4" t="s">
        <v>233</v>
      </c>
      <c r="D187" s="4" t="n">
        <f aca="false">IFERROR(INDEX(Positions!$D$2:$D$6912,MATCH($A187&amp;"|50",Positions!$A$2:$A$6912,0)),"-")</f>
        <v>49</v>
      </c>
      <c r="E187" s="4" t="n">
        <f aca="false">IFERROR(INDEX(Positions!$D$2:$D$6912,MATCH($A187&amp;"|64",Positions!$A$2:$A$6912,0)),"-")</f>
        <v>63</v>
      </c>
      <c r="F187" s="4" t="str">
        <f aca="false">IFERROR(INDEX(Positions!$E$2:$E$6912,MATCH($A187&amp;"|50",Positions!$A$2:$A$6912,0)),"-")</f>
        <v>C</v>
      </c>
      <c r="G187" s="4" t="str">
        <f aca="false">IFERROR(INDEX(Positions!$E$2:$E$6912,MATCH($A187&amp;"|64",Positions!$A$2:$A$6912,0)),"-")</f>
        <v>G</v>
      </c>
      <c r="H187" s="3" t="str">
        <f aca="false">F187&amp;"-"&amp;G187</f>
        <v>C-G</v>
      </c>
      <c r="I187" s="4" t="n">
        <f aca="false">(F187="G")+(G187="G")</f>
        <v>1</v>
      </c>
      <c r="J187" s="4" t="n">
        <f aca="false">(F187="C")+(G187="C")</f>
        <v>1</v>
      </c>
      <c r="K187" s="3" t="n">
        <f aca="false">I187+J187</f>
        <v>2</v>
      </c>
    </row>
    <row r="188" customFormat="false" ht="15" hidden="false" customHeight="false" outlineLevel="0" collapsed="false">
      <c r="A188" s="4" t="s">
        <v>43</v>
      </c>
      <c r="B188" s="4" t="s">
        <v>471</v>
      </c>
      <c r="C188" s="4" t="s">
        <v>527</v>
      </c>
      <c r="D188" s="4" t="n">
        <f aca="false">IFERROR(INDEX(Positions!$D$2:$D$6912,MATCH($A188&amp;"|51",Positions!$A$2:$A$6912,0)),"-")</f>
        <v>50</v>
      </c>
      <c r="E188" s="4" t="n">
        <f aca="false">IFERROR(INDEX(Positions!$D$2:$D$6912,MATCH($A188&amp;"|63",Positions!$A$2:$A$6912,0)),"-")</f>
        <v>62</v>
      </c>
      <c r="F188" s="4" t="str">
        <f aca="false">IFERROR(INDEX(Positions!$E$2:$E$6912,MATCH($A188&amp;"|51",Positions!$A$2:$A$6912,0)),"-")</f>
        <v>G</v>
      </c>
      <c r="G188" s="4" t="str">
        <f aca="false">IFERROR(INDEX(Positions!$E$2:$E$6912,MATCH($A188&amp;"|63",Positions!$A$2:$A$6912,0)),"-")</f>
        <v>C</v>
      </c>
      <c r="H188" s="3" t="str">
        <f aca="false">F188&amp;"-"&amp;G188</f>
        <v>G-C</v>
      </c>
      <c r="I188" s="4" t="n">
        <f aca="false">(F188="G")+(G188="G")</f>
        <v>1</v>
      </c>
      <c r="J188" s="4" t="n">
        <f aca="false">(F188="C")+(G188="C")</f>
        <v>1</v>
      </c>
      <c r="K188" s="3" t="n">
        <f aca="false">I188+J188</f>
        <v>2</v>
      </c>
    </row>
    <row r="189" customFormat="false" ht="15" hidden="false" customHeight="false" outlineLevel="0" collapsed="false">
      <c r="A189" s="4" t="s">
        <v>43</v>
      </c>
      <c r="B189" s="4" t="s">
        <v>471</v>
      </c>
      <c r="C189" s="4" t="s">
        <v>528</v>
      </c>
      <c r="D189" s="4" t="n">
        <f aca="false">IFERROR(INDEX(Positions!$D$2:$D$6912,MATCH($A189&amp;"|52",Positions!$A$2:$A$6912,0)),"-")</f>
        <v>51</v>
      </c>
      <c r="E189" s="4" t="n">
        <f aca="false">IFERROR(INDEX(Positions!$D$2:$D$6912,MATCH($A189&amp;"|62",Positions!$A$2:$A$6912,0)),"-")</f>
        <v>61</v>
      </c>
      <c r="F189" s="4" t="str">
        <f aca="false">IFERROR(INDEX(Positions!$E$2:$E$6912,MATCH($A189&amp;"|52",Positions!$A$2:$A$6912,0)),"-")</f>
        <v>G</v>
      </c>
      <c r="G189" s="4" t="str">
        <f aca="false">IFERROR(INDEX(Positions!$E$2:$E$6912,MATCH($A189&amp;"|62",Positions!$A$2:$A$6912,0)),"-")</f>
        <v>C</v>
      </c>
      <c r="H189" s="3" t="str">
        <f aca="false">F189&amp;"-"&amp;G189</f>
        <v>G-C</v>
      </c>
      <c r="I189" s="4" t="n">
        <f aca="false">(F189="G")+(G189="G")</f>
        <v>1</v>
      </c>
      <c r="J189" s="4" t="n">
        <f aca="false">(F189="C")+(G189="C")</f>
        <v>1</v>
      </c>
      <c r="K189" s="3" t="n">
        <f aca="false">I189+J189</f>
        <v>2</v>
      </c>
    </row>
    <row r="190" customFormat="false" ht="15" hidden="false" customHeight="false" outlineLevel="0" collapsed="false">
      <c r="A190" s="4" t="s">
        <v>43</v>
      </c>
      <c r="B190" s="4" t="s">
        <v>471</v>
      </c>
      <c r="C190" s="4" t="s">
        <v>529</v>
      </c>
      <c r="D190" s="4" t="n">
        <f aca="false">IFERROR(INDEX(Positions!$D$2:$D$6912,MATCH($A190&amp;"|53",Positions!$A$2:$A$6912,0)),"-")</f>
        <v>52</v>
      </c>
      <c r="E190" s="4" t="n">
        <f aca="false">IFERROR(INDEX(Positions!$D$2:$D$6912,MATCH($A190&amp;"|61",Positions!$A$2:$A$6912,0)),"-")</f>
        <v>60</v>
      </c>
      <c r="F190" s="4" t="str">
        <f aca="false">IFERROR(INDEX(Positions!$E$2:$E$6912,MATCH($A190&amp;"|53",Positions!$A$2:$A$6912,0)),"-")</f>
        <v>A</v>
      </c>
      <c r="G190" s="4" t="str">
        <f aca="false">IFERROR(INDEX(Positions!$E$2:$E$6912,MATCH($A190&amp;"|61",Positions!$A$2:$A$6912,0)),"-")</f>
        <v>U</v>
      </c>
      <c r="H190" s="3" t="str">
        <f aca="false">F190&amp;"-"&amp;G190</f>
        <v>A-U</v>
      </c>
      <c r="I190" s="4" t="n">
        <f aca="false">(F190="G")+(G190="G")</f>
        <v>0</v>
      </c>
      <c r="J190" s="4" t="n">
        <f aca="false">(F190="C")+(G190="C")</f>
        <v>0</v>
      </c>
      <c r="K190" s="3" t="n">
        <f aca="false">I190+J190</f>
        <v>0</v>
      </c>
    </row>
    <row r="191" customFormat="false" ht="15" hidden="false" customHeight="false" outlineLevel="0" collapsed="false">
      <c r="A191" s="24" t="s">
        <v>43</v>
      </c>
      <c r="B191" s="24" t="s">
        <v>530</v>
      </c>
      <c r="C191" s="24" t="s">
        <v>531</v>
      </c>
      <c r="D191" s="24" t="n">
        <f aca="false">IFERROR(INDEX(Positions!$D$2:$D$6912,MATCH($A191&amp;"|8",Positions!$A$2:$A$6912,0)),"-")</f>
        <v>8</v>
      </c>
      <c r="E191" s="24" t="n">
        <f aca="false">IFERROR(INDEX(Positions!$D$2:$D$6912,MATCH($A191&amp;"|14",Positions!$A$2:$A$6912,0)),"-")</f>
        <v>14</v>
      </c>
      <c r="F191" s="24" t="str">
        <f aca="false">IFERROR(INDEX(Positions!$E$2:$E$6912,MATCH($A191&amp;"|8",Positions!$A$2:$A$6912,0)),"-")</f>
        <v>U</v>
      </c>
      <c r="G191" s="24" t="str">
        <f aca="false">IFERROR(INDEX(Positions!$E$2:$E$6912,MATCH($A191&amp;"|14",Positions!$A$2:$A$6912,0)),"-")</f>
        <v>A</v>
      </c>
      <c r="H191" s="25" t="str">
        <f aca="false">F191&amp;"-"&amp;G191</f>
        <v>U-A</v>
      </c>
      <c r="I191" s="24" t="n">
        <f aca="false">(F191="G")+(G191="G")</f>
        <v>0</v>
      </c>
      <c r="J191" s="24" t="n">
        <f aca="false">(F191="C")+(G191="C")</f>
        <v>0</v>
      </c>
      <c r="K191" s="25" t="n">
        <f aca="false">I191+J191</f>
        <v>0</v>
      </c>
    </row>
    <row r="192" customFormat="false" ht="15" hidden="false" customHeight="false" outlineLevel="0" collapsed="false">
      <c r="A192" s="24" t="s">
        <v>43</v>
      </c>
      <c r="B192" s="24" t="s">
        <v>530</v>
      </c>
      <c r="C192" s="24" t="s">
        <v>532</v>
      </c>
      <c r="D192" s="24" t="n">
        <f aca="false">IFERROR(INDEX(Positions!$D$2:$D$6912,MATCH($A192&amp;"|15",Positions!$A$2:$A$6912,0)),"-")</f>
        <v>15</v>
      </c>
      <c r="E192" s="24" t="n">
        <f aca="false">IFERROR(INDEX(Positions!$D$2:$D$6912,MATCH($A192&amp;"|48",Positions!$A$2:$A$6912,0)),"-")</f>
        <v>47</v>
      </c>
      <c r="F192" s="24" t="str">
        <f aca="false">IFERROR(INDEX(Positions!$E$2:$E$6912,MATCH($A192&amp;"|15",Positions!$A$2:$A$6912,0)),"-")</f>
        <v>G</v>
      </c>
      <c r="G192" s="24" t="str">
        <f aca="false">IFERROR(INDEX(Positions!$E$2:$E$6912,MATCH($A192&amp;"|48",Positions!$A$2:$A$6912,0)),"-")</f>
        <v>C</v>
      </c>
      <c r="H192" s="25" t="str">
        <f aca="false">F192&amp;"-"&amp;G192</f>
        <v>G-C</v>
      </c>
      <c r="I192" s="24" t="n">
        <f aca="false">(F192="G")+(G192="G")</f>
        <v>1</v>
      </c>
      <c r="J192" s="24" t="n">
        <f aca="false">(F192="C")+(G192="C")</f>
        <v>1</v>
      </c>
      <c r="K192" s="25" t="n">
        <f aca="false">I192+J192</f>
        <v>2</v>
      </c>
    </row>
    <row r="193" customFormat="false" ht="15" hidden="false" customHeight="false" outlineLevel="0" collapsed="false">
      <c r="A193" s="24" t="s">
        <v>43</v>
      </c>
      <c r="B193" s="24" t="s">
        <v>530</v>
      </c>
      <c r="C193" s="24" t="s">
        <v>533</v>
      </c>
      <c r="D193" s="24" t="n">
        <f aca="false">IFERROR(INDEX(Positions!$D$2:$D$6912,MATCH($A193&amp;"|18",Positions!$A$2:$A$6912,0)),"-")</f>
        <v>17</v>
      </c>
      <c r="E193" s="24" t="n">
        <f aca="false">IFERROR(INDEX(Positions!$D$2:$D$6912,MATCH($A193&amp;"|55",Positions!$A$2:$A$6912,0)),"-")</f>
        <v>54</v>
      </c>
      <c r="F193" s="24" t="str">
        <f aca="false">IFERROR(INDEX(Positions!$E$2:$E$6912,MATCH($A193&amp;"|18",Positions!$A$2:$A$6912,0)),"-")</f>
        <v>G</v>
      </c>
      <c r="G193" s="24" t="str">
        <f aca="false">IFERROR(INDEX(Positions!$E$2:$E$6912,MATCH($A193&amp;"|55",Positions!$A$2:$A$6912,0)),"-")</f>
        <v>U</v>
      </c>
      <c r="H193" s="25" t="str">
        <f aca="false">F193&amp;"-"&amp;G193</f>
        <v>G-U</v>
      </c>
      <c r="I193" s="24" t="n">
        <f aca="false">(F193="G")+(G193="G")</f>
        <v>1</v>
      </c>
      <c r="J193" s="24" t="n">
        <f aca="false">(F193="C")+(G193="C")</f>
        <v>0</v>
      </c>
      <c r="K193" s="25" t="n">
        <f aca="false">I193+J193</f>
        <v>1</v>
      </c>
    </row>
    <row r="194" customFormat="false" ht="15" hidden="false" customHeight="false" outlineLevel="0" collapsed="false">
      <c r="A194" s="24" t="s">
        <v>43</v>
      </c>
      <c r="B194" s="24" t="s">
        <v>530</v>
      </c>
      <c r="C194" s="24" t="s">
        <v>534</v>
      </c>
      <c r="D194" s="24" t="n">
        <f aca="false">IFERROR(INDEX(Positions!$D$2:$D$6912,MATCH($A194&amp;"|19",Positions!$A$2:$A$6912,0)),"-")</f>
        <v>18</v>
      </c>
      <c r="E194" s="24" t="n">
        <f aca="false">IFERROR(INDEX(Positions!$D$2:$D$6912,MATCH($A194&amp;"|56",Positions!$A$2:$A$6912,0)),"-")</f>
        <v>55</v>
      </c>
      <c r="F194" s="24" t="str">
        <f aca="false">IFERROR(INDEX(Positions!$E$2:$E$6912,MATCH($A194&amp;"|19",Positions!$A$2:$A$6912,0)),"-")</f>
        <v>G</v>
      </c>
      <c r="G194" s="24" t="str">
        <f aca="false">IFERROR(INDEX(Positions!$E$2:$E$6912,MATCH($A194&amp;"|56",Positions!$A$2:$A$6912,0)),"-")</f>
        <v>C</v>
      </c>
      <c r="H194" s="25" t="str">
        <f aca="false">F194&amp;"-"&amp;G194</f>
        <v>G-C</v>
      </c>
      <c r="I194" s="24" t="n">
        <f aca="false">(F194="G")+(G194="G")</f>
        <v>1</v>
      </c>
      <c r="J194" s="24" t="n">
        <f aca="false">(F194="C")+(G194="C")</f>
        <v>1</v>
      </c>
      <c r="K194" s="25" t="n">
        <f aca="false">I194+J194</f>
        <v>2</v>
      </c>
    </row>
    <row r="195" customFormat="false" ht="15" hidden="false" customHeight="false" outlineLevel="0" collapsed="false">
      <c r="A195" s="24" t="s">
        <v>43</v>
      </c>
      <c r="B195" s="24" t="s">
        <v>530</v>
      </c>
      <c r="C195" s="24" t="s">
        <v>535</v>
      </c>
      <c r="D195" s="24" t="n">
        <f aca="false">IFERROR(INDEX(Positions!$D$2:$D$6912,MATCH($A195&amp;"|26",Positions!$A$2:$A$6912,0)),"-")</f>
        <v>25</v>
      </c>
      <c r="E195" s="24" t="n">
        <f aca="false">IFERROR(INDEX(Positions!$D$2:$D$6912,MATCH($A195&amp;"|44",Positions!$A$2:$A$6912,0)),"-")</f>
        <v>43</v>
      </c>
      <c r="F195" s="24" t="str">
        <f aca="false">IFERROR(INDEX(Positions!$E$2:$E$6912,MATCH($A195&amp;"|26",Positions!$A$2:$A$6912,0)),"-")</f>
        <v>G</v>
      </c>
      <c r="G195" s="24" t="str">
        <f aca="false">IFERROR(INDEX(Positions!$E$2:$E$6912,MATCH($A195&amp;"|44",Positions!$A$2:$A$6912,0)),"-")</f>
        <v>A</v>
      </c>
      <c r="H195" s="25" t="str">
        <f aca="false">F195&amp;"-"&amp;G195</f>
        <v>G-A</v>
      </c>
      <c r="I195" s="24" t="n">
        <f aca="false">(F195="G")+(G195="G")</f>
        <v>1</v>
      </c>
      <c r="J195" s="24" t="n">
        <f aca="false">(F195="C")+(G195="C")</f>
        <v>0</v>
      </c>
      <c r="K195" s="25" t="n">
        <f aca="false">I195+J195</f>
        <v>1</v>
      </c>
    </row>
    <row r="196" customFormat="false" ht="15" hidden="false" customHeight="false" outlineLevel="0" collapsed="false">
      <c r="A196" s="24" t="s">
        <v>43</v>
      </c>
      <c r="B196" s="24" t="s">
        <v>530</v>
      </c>
      <c r="C196" s="24" t="s">
        <v>536</v>
      </c>
      <c r="D196" s="24" t="n">
        <f aca="false">IFERROR(INDEX(Positions!$D$2:$D$6912,MATCH($A196&amp;"|32",Positions!$A$2:$A$6912,0)),"-")</f>
        <v>31</v>
      </c>
      <c r="E196" s="24" t="n">
        <f aca="false">IFERROR(INDEX(Positions!$D$2:$D$6912,MATCH($A196&amp;"|38",Positions!$A$2:$A$6912,0)),"-")</f>
        <v>37</v>
      </c>
      <c r="F196" s="24" t="str">
        <f aca="false">IFERROR(INDEX(Positions!$E$2:$E$6912,MATCH($A196&amp;"|32",Positions!$A$2:$A$6912,0)),"-")</f>
        <v>U</v>
      </c>
      <c r="G196" s="24" t="str">
        <f aca="false">IFERROR(INDEX(Positions!$E$2:$E$6912,MATCH($A196&amp;"|38",Positions!$A$2:$A$6912,0)),"-")</f>
        <v>A</v>
      </c>
      <c r="H196" s="25" t="str">
        <f aca="false">F196&amp;"-"&amp;G196</f>
        <v>U-A</v>
      </c>
      <c r="I196" s="24" t="n">
        <f aca="false">(F196="G")+(G196="G")</f>
        <v>0</v>
      </c>
      <c r="J196" s="24" t="n">
        <f aca="false">(F196="C")+(G196="C")</f>
        <v>0</v>
      </c>
      <c r="K196" s="25" t="n">
        <f aca="false">I196+J196</f>
        <v>0</v>
      </c>
    </row>
    <row r="197" customFormat="false" ht="15" hidden="false" customHeight="false" outlineLevel="0" collapsed="false">
      <c r="A197" s="24" t="s">
        <v>43</v>
      </c>
      <c r="B197" s="24" t="s">
        <v>530</v>
      </c>
      <c r="C197" s="24" t="s">
        <v>537</v>
      </c>
      <c r="D197" s="24" t="n">
        <f aca="false">IFERROR(INDEX(Positions!$D$2:$D$6912,MATCH($A197&amp;"|54",Positions!$A$2:$A$6912,0)),"-")</f>
        <v>53</v>
      </c>
      <c r="E197" s="24" t="n">
        <f aca="false">IFERROR(INDEX(Positions!$D$2:$D$6912,MATCH($A197&amp;"|58",Positions!$A$2:$A$6912,0)),"-")</f>
        <v>57</v>
      </c>
      <c r="F197" s="24" t="str">
        <f aca="false">IFERROR(INDEX(Positions!$E$2:$E$6912,MATCH($A197&amp;"|54",Positions!$A$2:$A$6912,0)),"-")</f>
        <v>U</v>
      </c>
      <c r="G197" s="24" t="str">
        <f aca="false">IFERROR(INDEX(Positions!$E$2:$E$6912,MATCH($A197&amp;"|58",Positions!$A$2:$A$6912,0)),"-")</f>
        <v>A</v>
      </c>
      <c r="H197" s="25" t="str">
        <f aca="false">F197&amp;"-"&amp;G197</f>
        <v>U-A</v>
      </c>
      <c r="I197" s="24" t="n">
        <f aca="false">(F197="G")+(G197="G")</f>
        <v>0</v>
      </c>
      <c r="J197" s="24" t="n">
        <f aca="false">(F197="C")+(G197="C")</f>
        <v>0</v>
      </c>
      <c r="K197" s="25" t="n">
        <f aca="false">I197+J197</f>
        <v>0</v>
      </c>
    </row>
    <row r="198" customFormat="false" ht="15" hidden="false" customHeight="false" outlineLevel="0" collapsed="false">
      <c r="A198" s="4" t="s">
        <v>44</v>
      </c>
      <c r="B198" s="4" t="s">
        <v>412</v>
      </c>
      <c r="C198" s="4" t="s">
        <v>517</v>
      </c>
      <c r="D198" s="4" t="n">
        <f aca="false">IFERROR(INDEX(Positions!$D$2:$D$6912,MATCH($A198&amp;"|1",Positions!$A$2:$A$6912,0)),"-")</f>
        <v>1</v>
      </c>
      <c r="E198" s="4" t="n">
        <f aca="false">IFERROR(INDEX(Positions!$D$2:$D$6912,MATCH($A198&amp;"|72",Positions!$A$2:$A$6912,0)),"-")</f>
        <v>74</v>
      </c>
      <c r="F198" s="4" t="str">
        <f aca="false">IFERROR(INDEX(Positions!$E$2:$E$6912,MATCH($A198&amp;"|1",Positions!$A$2:$A$6912,0)),"-")</f>
        <v>G</v>
      </c>
      <c r="G198" s="4" t="str">
        <f aca="false">IFERROR(INDEX(Positions!$E$2:$E$6912,MATCH($A198&amp;"|72",Positions!$A$2:$A$6912,0)),"-")</f>
        <v>C</v>
      </c>
      <c r="H198" s="3" t="str">
        <f aca="false">F198&amp;"-"&amp;G198</f>
        <v>G-C</v>
      </c>
      <c r="I198" s="4" t="n">
        <f aca="false">(F198="G")+(G198="G")</f>
        <v>1</v>
      </c>
      <c r="J198" s="4" t="n">
        <f aca="false">(F198="C")+(G198="C")</f>
        <v>1</v>
      </c>
      <c r="K198" s="3" t="n">
        <f aca="false">I198+J198</f>
        <v>2</v>
      </c>
    </row>
    <row r="199" customFormat="false" ht="15" hidden="false" customHeight="false" outlineLevel="0" collapsed="false">
      <c r="A199" s="4" t="s">
        <v>44</v>
      </c>
      <c r="B199" s="4" t="s">
        <v>412</v>
      </c>
      <c r="C199" s="4" t="s">
        <v>518</v>
      </c>
      <c r="D199" s="4" t="n">
        <f aca="false">IFERROR(INDEX(Positions!$D$2:$D$6912,MATCH($A199&amp;"|2",Positions!$A$2:$A$6912,0)),"-")</f>
        <v>2</v>
      </c>
      <c r="E199" s="4" t="n">
        <f aca="false">IFERROR(INDEX(Positions!$D$2:$D$6912,MATCH($A199&amp;"|71",Positions!$A$2:$A$6912,0)),"-")</f>
        <v>73</v>
      </c>
      <c r="F199" s="4" t="str">
        <f aca="false">IFERROR(INDEX(Positions!$E$2:$E$6912,MATCH($A199&amp;"|2",Positions!$A$2:$A$6912,0)),"-")</f>
        <v>G</v>
      </c>
      <c r="G199" s="4" t="str">
        <f aca="false">IFERROR(INDEX(Positions!$E$2:$E$6912,MATCH($A199&amp;"|71",Positions!$A$2:$A$6912,0)),"-")</f>
        <v>C</v>
      </c>
      <c r="H199" s="3" t="str">
        <f aca="false">F199&amp;"-"&amp;G199</f>
        <v>G-C</v>
      </c>
      <c r="I199" s="4" t="n">
        <f aca="false">(F199="G")+(G199="G")</f>
        <v>1</v>
      </c>
      <c r="J199" s="4" t="n">
        <f aca="false">(F199="C")+(G199="C")</f>
        <v>1</v>
      </c>
      <c r="K199" s="3" t="n">
        <f aca="false">I199+J199</f>
        <v>2</v>
      </c>
    </row>
    <row r="200" customFormat="false" ht="15" hidden="false" customHeight="false" outlineLevel="0" collapsed="false">
      <c r="A200" s="4" t="s">
        <v>44</v>
      </c>
      <c r="B200" s="4" t="s">
        <v>412</v>
      </c>
      <c r="C200" s="4" t="s">
        <v>386</v>
      </c>
      <c r="D200" s="4" t="n">
        <f aca="false">IFERROR(INDEX(Positions!$D$2:$D$6912,MATCH($A200&amp;"|3",Positions!$A$2:$A$6912,0)),"-")</f>
        <v>3</v>
      </c>
      <c r="E200" s="4" t="n">
        <f aca="false">IFERROR(INDEX(Positions!$D$2:$D$6912,MATCH($A200&amp;"|70",Positions!$A$2:$A$6912,0)),"-")</f>
        <v>72</v>
      </c>
      <c r="F200" s="4" t="str">
        <f aca="false">IFERROR(INDEX(Positions!$E$2:$E$6912,MATCH($A200&amp;"|3",Positions!$A$2:$A$6912,0)),"-")</f>
        <v>G</v>
      </c>
      <c r="G200" s="4" t="str">
        <f aca="false">IFERROR(INDEX(Positions!$E$2:$E$6912,MATCH($A200&amp;"|70",Positions!$A$2:$A$6912,0)),"-")</f>
        <v>C</v>
      </c>
      <c r="H200" s="3" t="str">
        <f aca="false">F200&amp;"-"&amp;G200</f>
        <v>G-C</v>
      </c>
      <c r="I200" s="4" t="n">
        <f aca="false">(F200="G")+(G200="G")</f>
        <v>1</v>
      </c>
      <c r="J200" s="4" t="n">
        <f aca="false">(F200="C")+(G200="C")</f>
        <v>1</v>
      </c>
      <c r="K200" s="3" t="n">
        <f aca="false">I200+J200</f>
        <v>2</v>
      </c>
    </row>
    <row r="201" customFormat="false" ht="15" hidden="false" customHeight="false" outlineLevel="0" collapsed="false">
      <c r="A201" s="4" t="s">
        <v>44</v>
      </c>
      <c r="B201" s="4" t="s">
        <v>412</v>
      </c>
      <c r="C201" s="4" t="s">
        <v>519</v>
      </c>
      <c r="D201" s="4" t="n">
        <f aca="false">IFERROR(INDEX(Positions!$D$2:$D$6912,MATCH($A201&amp;"|4",Positions!$A$2:$A$6912,0)),"-")</f>
        <v>4</v>
      </c>
      <c r="E201" s="4" t="n">
        <f aca="false">IFERROR(INDEX(Positions!$D$2:$D$6912,MATCH($A201&amp;"|69",Positions!$A$2:$A$6912,0)),"-")</f>
        <v>71</v>
      </c>
      <c r="F201" s="4" t="str">
        <f aca="false">IFERROR(INDEX(Positions!$E$2:$E$6912,MATCH($A201&amp;"|4",Positions!$A$2:$A$6912,0)),"-")</f>
        <v>U</v>
      </c>
      <c r="G201" s="4" t="str">
        <f aca="false">IFERROR(INDEX(Positions!$E$2:$E$6912,MATCH($A201&amp;"|69",Positions!$A$2:$A$6912,0)),"-")</f>
        <v>A</v>
      </c>
      <c r="H201" s="3" t="str">
        <f aca="false">F201&amp;"-"&amp;G201</f>
        <v>U-A</v>
      </c>
      <c r="I201" s="4" t="n">
        <f aca="false">(F201="G")+(G201="G")</f>
        <v>0</v>
      </c>
      <c r="J201" s="4" t="n">
        <f aca="false">(F201="C")+(G201="C")</f>
        <v>0</v>
      </c>
      <c r="K201" s="3" t="n">
        <f aca="false">I201+J201</f>
        <v>0</v>
      </c>
    </row>
    <row r="202" customFormat="false" ht="15" hidden="false" customHeight="false" outlineLevel="0" collapsed="false">
      <c r="A202" s="4" t="s">
        <v>44</v>
      </c>
      <c r="B202" s="4" t="s">
        <v>412</v>
      </c>
      <c r="C202" s="4" t="s">
        <v>283</v>
      </c>
      <c r="D202" s="4" t="n">
        <f aca="false">IFERROR(INDEX(Positions!$D$2:$D$6912,MATCH($A202&amp;"|5",Positions!$A$2:$A$6912,0)),"-")</f>
        <v>5</v>
      </c>
      <c r="E202" s="4" t="n">
        <f aca="false">IFERROR(INDEX(Positions!$D$2:$D$6912,MATCH($A202&amp;"|68",Positions!$A$2:$A$6912,0)),"-")</f>
        <v>70</v>
      </c>
      <c r="F202" s="4" t="str">
        <f aca="false">IFERROR(INDEX(Positions!$E$2:$E$6912,MATCH($A202&amp;"|5",Positions!$A$2:$A$6912,0)),"-")</f>
        <v>C</v>
      </c>
      <c r="G202" s="4" t="str">
        <f aca="false">IFERROR(INDEX(Positions!$E$2:$E$6912,MATCH($A202&amp;"|68",Positions!$A$2:$A$6912,0)),"-")</f>
        <v>G</v>
      </c>
      <c r="H202" s="3" t="str">
        <f aca="false">F202&amp;"-"&amp;G202</f>
        <v>C-G</v>
      </c>
      <c r="I202" s="4" t="n">
        <f aca="false">(F202="G")+(G202="G")</f>
        <v>1</v>
      </c>
      <c r="J202" s="4" t="n">
        <f aca="false">(F202="C")+(G202="C")</f>
        <v>1</v>
      </c>
      <c r="K202" s="3" t="n">
        <f aca="false">I202+J202</f>
        <v>2</v>
      </c>
    </row>
    <row r="203" customFormat="false" ht="15" hidden="false" customHeight="false" outlineLevel="0" collapsed="false">
      <c r="A203" s="4" t="s">
        <v>44</v>
      </c>
      <c r="B203" s="4" t="s">
        <v>412</v>
      </c>
      <c r="C203" s="4" t="s">
        <v>520</v>
      </c>
      <c r="D203" s="4" t="n">
        <f aca="false">IFERROR(INDEX(Positions!$D$2:$D$6912,MATCH($A203&amp;"|6",Positions!$A$2:$A$6912,0)),"-")</f>
        <v>6</v>
      </c>
      <c r="E203" s="4" t="n">
        <f aca="false">IFERROR(INDEX(Positions!$D$2:$D$6912,MATCH($A203&amp;"|67",Positions!$A$2:$A$6912,0)),"-")</f>
        <v>69</v>
      </c>
      <c r="F203" s="4" t="str">
        <f aca="false">IFERROR(INDEX(Positions!$E$2:$E$6912,MATCH($A203&amp;"|6",Positions!$A$2:$A$6912,0)),"-")</f>
        <v>G</v>
      </c>
      <c r="G203" s="4" t="str">
        <f aca="false">IFERROR(INDEX(Positions!$E$2:$E$6912,MATCH($A203&amp;"|67",Positions!$A$2:$A$6912,0)),"-")</f>
        <v>C</v>
      </c>
      <c r="H203" s="3" t="str">
        <f aca="false">F203&amp;"-"&amp;G203</f>
        <v>G-C</v>
      </c>
      <c r="I203" s="4" t="n">
        <f aca="false">(F203="G")+(G203="G")</f>
        <v>1</v>
      </c>
      <c r="J203" s="4" t="n">
        <f aca="false">(F203="C")+(G203="C")</f>
        <v>1</v>
      </c>
      <c r="K203" s="3" t="n">
        <f aca="false">I203+J203</f>
        <v>2</v>
      </c>
    </row>
    <row r="204" customFormat="false" ht="15" hidden="false" customHeight="false" outlineLevel="0" collapsed="false">
      <c r="A204" s="4" t="s">
        <v>44</v>
      </c>
      <c r="B204" s="4" t="s">
        <v>412</v>
      </c>
      <c r="C204" s="4" t="s">
        <v>521</v>
      </c>
      <c r="D204" s="4" t="n">
        <f aca="false">IFERROR(INDEX(Positions!$D$2:$D$6912,MATCH($A204&amp;"|7",Positions!$A$2:$A$6912,0)),"-")</f>
        <v>7</v>
      </c>
      <c r="E204" s="4" t="n">
        <f aca="false">IFERROR(INDEX(Positions!$D$2:$D$6912,MATCH($A204&amp;"|66",Positions!$A$2:$A$6912,0)),"-")</f>
        <v>68</v>
      </c>
      <c r="F204" s="4" t="str">
        <f aca="false">IFERROR(INDEX(Positions!$E$2:$E$6912,MATCH($A204&amp;"|7",Positions!$A$2:$A$6912,0)),"-")</f>
        <v>G</v>
      </c>
      <c r="G204" s="4" t="str">
        <f aca="false">IFERROR(INDEX(Positions!$E$2:$E$6912,MATCH($A204&amp;"|66",Positions!$A$2:$A$6912,0)),"-")</f>
        <v>C</v>
      </c>
      <c r="H204" s="3" t="str">
        <f aca="false">F204&amp;"-"&amp;G204</f>
        <v>G-C</v>
      </c>
      <c r="I204" s="4" t="n">
        <f aca="false">(F204="G")+(G204="G")</f>
        <v>1</v>
      </c>
      <c r="J204" s="4" t="n">
        <f aca="false">(F204="C")+(G204="C")</f>
        <v>1</v>
      </c>
      <c r="K204" s="3" t="n">
        <f aca="false">I204+J204</f>
        <v>2</v>
      </c>
    </row>
    <row r="205" customFormat="false" ht="15" hidden="false" customHeight="false" outlineLevel="0" collapsed="false">
      <c r="A205" s="4" t="s">
        <v>44</v>
      </c>
      <c r="B205" s="4" t="s">
        <v>425</v>
      </c>
      <c r="C205" s="4" t="s">
        <v>522</v>
      </c>
      <c r="D205" s="4" t="n">
        <f aca="false">IFERROR(INDEX(Positions!$D$2:$D$6912,MATCH($A205&amp;"|10",Positions!$A$2:$A$6912,0)),"-")</f>
        <v>10</v>
      </c>
      <c r="E205" s="4" t="n">
        <f aca="false">IFERROR(INDEX(Positions!$D$2:$D$6912,MATCH($A205&amp;"|25",Positions!$A$2:$A$6912,0)),"-")</f>
        <v>27</v>
      </c>
      <c r="F205" s="4" t="str">
        <f aca="false">IFERROR(INDEX(Positions!$E$2:$E$6912,MATCH($A205&amp;"|10",Positions!$A$2:$A$6912,0)),"-")</f>
        <v>G</v>
      </c>
      <c r="G205" s="4" t="str">
        <f aca="false">IFERROR(INDEX(Positions!$E$2:$E$6912,MATCH($A205&amp;"|25",Positions!$A$2:$A$6912,0)),"-")</f>
        <v>C</v>
      </c>
      <c r="H205" s="3" t="str">
        <f aca="false">F205&amp;"-"&amp;G205</f>
        <v>G-C</v>
      </c>
      <c r="I205" s="4" t="n">
        <f aca="false">(F205="G")+(G205="G")</f>
        <v>1</v>
      </c>
      <c r="J205" s="4" t="n">
        <f aca="false">(F205="C")+(G205="C")</f>
        <v>1</v>
      </c>
      <c r="K205" s="3" t="n">
        <f aca="false">I205+J205</f>
        <v>2</v>
      </c>
    </row>
    <row r="206" customFormat="false" ht="15" hidden="false" customHeight="false" outlineLevel="0" collapsed="false">
      <c r="A206" s="4" t="s">
        <v>44</v>
      </c>
      <c r="B206" s="4" t="s">
        <v>425</v>
      </c>
      <c r="C206" s="4" t="s">
        <v>523</v>
      </c>
      <c r="D206" s="4" t="n">
        <f aca="false">IFERROR(INDEX(Positions!$D$2:$D$6912,MATCH($A206&amp;"|11",Positions!$A$2:$A$6912,0)),"-")</f>
        <v>11</v>
      </c>
      <c r="E206" s="4" t="n">
        <f aca="false">IFERROR(INDEX(Positions!$D$2:$D$6912,MATCH($A206&amp;"|24",Positions!$A$2:$A$6912,0)),"-")</f>
        <v>26</v>
      </c>
      <c r="F206" s="4" t="str">
        <f aca="false">IFERROR(INDEX(Positions!$E$2:$E$6912,MATCH($A206&amp;"|11",Positions!$A$2:$A$6912,0)),"-")</f>
        <v>U</v>
      </c>
      <c r="G206" s="4" t="str">
        <f aca="false">IFERROR(INDEX(Positions!$E$2:$E$6912,MATCH($A206&amp;"|24",Positions!$A$2:$A$6912,0)),"-")</f>
        <v>A</v>
      </c>
      <c r="H206" s="3" t="str">
        <f aca="false">F206&amp;"-"&amp;G206</f>
        <v>U-A</v>
      </c>
      <c r="I206" s="4" t="n">
        <f aca="false">(F206="G")+(G206="G")</f>
        <v>0</v>
      </c>
      <c r="J206" s="4" t="n">
        <f aca="false">(F206="C")+(G206="C")</f>
        <v>0</v>
      </c>
      <c r="K206" s="3" t="n">
        <f aca="false">I206+J206</f>
        <v>0</v>
      </c>
    </row>
    <row r="207" customFormat="false" ht="15" hidden="false" customHeight="false" outlineLevel="0" collapsed="false">
      <c r="A207" s="4" t="s">
        <v>44</v>
      </c>
      <c r="B207" s="4" t="s">
        <v>425</v>
      </c>
      <c r="C207" s="4" t="s">
        <v>250</v>
      </c>
      <c r="D207" s="4" t="n">
        <f aca="false">IFERROR(INDEX(Positions!$D$2:$D$6912,MATCH($A207&amp;"|12",Positions!$A$2:$A$6912,0)),"-")</f>
        <v>12</v>
      </c>
      <c r="E207" s="4" t="n">
        <f aca="false">IFERROR(INDEX(Positions!$D$2:$D$6912,MATCH($A207&amp;"|23",Positions!$A$2:$A$6912,0)),"-")</f>
        <v>25</v>
      </c>
      <c r="F207" s="4" t="str">
        <f aca="false">IFERROR(INDEX(Positions!$E$2:$E$6912,MATCH($A207&amp;"|12",Positions!$A$2:$A$6912,0)),"-")</f>
        <v>C</v>
      </c>
      <c r="G207" s="4" t="str">
        <f aca="false">IFERROR(INDEX(Positions!$E$2:$E$6912,MATCH($A207&amp;"|23",Positions!$A$2:$A$6912,0)),"-")</f>
        <v>G</v>
      </c>
      <c r="H207" s="3" t="str">
        <f aca="false">F207&amp;"-"&amp;G207</f>
        <v>C-G</v>
      </c>
      <c r="I207" s="4" t="n">
        <f aca="false">(F207="G")+(G207="G")</f>
        <v>1</v>
      </c>
      <c r="J207" s="4" t="n">
        <f aca="false">(F207="C")+(G207="C")</f>
        <v>1</v>
      </c>
      <c r="K207" s="3" t="n">
        <f aca="false">I207+J207</f>
        <v>2</v>
      </c>
    </row>
    <row r="208" customFormat="false" ht="15" hidden="false" customHeight="false" outlineLevel="0" collapsed="false">
      <c r="A208" s="4" t="s">
        <v>44</v>
      </c>
      <c r="B208" s="4" t="s">
        <v>425</v>
      </c>
      <c r="C208" s="4" t="s">
        <v>154</v>
      </c>
      <c r="D208" s="4" t="n">
        <f aca="false">IFERROR(INDEX(Positions!$D$2:$D$6912,MATCH($A208&amp;"|13",Positions!$A$2:$A$6912,0)),"-")</f>
        <v>13</v>
      </c>
      <c r="E208" s="4" t="n">
        <f aca="false">IFERROR(INDEX(Positions!$D$2:$D$6912,MATCH($A208&amp;"|22",Positions!$A$2:$A$6912,0)),"-")</f>
        <v>24</v>
      </c>
      <c r="F208" s="4" t="str">
        <f aca="false">IFERROR(INDEX(Positions!$E$2:$E$6912,MATCH($A208&amp;"|13",Positions!$A$2:$A$6912,0)),"-")</f>
        <v>U</v>
      </c>
      <c r="G208" s="4" t="str">
        <f aca="false">IFERROR(INDEX(Positions!$E$2:$E$6912,MATCH($A208&amp;"|22",Positions!$A$2:$A$6912,0)),"-")</f>
        <v>U</v>
      </c>
      <c r="H208" s="3" t="str">
        <f aca="false">F208&amp;"-"&amp;G208</f>
        <v>U-U</v>
      </c>
      <c r="I208" s="4" t="n">
        <f aca="false">(F208="G")+(G208="G")</f>
        <v>0</v>
      </c>
      <c r="J208" s="4" t="n">
        <f aca="false">(F208="C")+(G208="C")</f>
        <v>0</v>
      </c>
      <c r="K208" s="3" t="n">
        <f aca="false">I208+J208</f>
        <v>0</v>
      </c>
    </row>
    <row r="209" customFormat="false" ht="15" hidden="false" customHeight="false" outlineLevel="0" collapsed="false">
      <c r="A209" s="4" t="s">
        <v>44</v>
      </c>
      <c r="B209" s="4" t="s">
        <v>446</v>
      </c>
      <c r="C209" s="4" t="s">
        <v>524</v>
      </c>
      <c r="D209" s="4" t="n">
        <f aca="false">IFERROR(INDEX(Positions!$D$2:$D$6912,MATCH($A209&amp;"|27",Positions!$A$2:$A$6912,0)),"-")</f>
        <v>29</v>
      </c>
      <c r="E209" s="4" t="n">
        <f aca="false">IFERROR(INDEX(Positions!$D$2:$D$6912,MATCH($A209&amp;"|43",Positions!$A$2:$A$6912,0)),"-")</f>
        <v>45</v>
      </c>
      <c r="F209" s="4" t="str">
        <f aca="false">IFERROR(INDEX(Positions!$E$2:$E$6912,MATCH($A209&amp;"|27",Positions!$A$2:$A$6912,0)),"-")</f>
        <v>G</v>
      </c>
      <c r="G209" s="4" t="str">
        <f aca="false">IFERROR(INDEX(Positions!$E$2:$E$6912,MATCH($A209&amp;"|43",Positions!$A$2:$A$6912,0)),"-")</f>
        <v>C</v>
      </c>
      <c r="H209" s="3" t="str">
        <f aca="false">F209&amp;"-"&amp;G209</f>
        <v>G-C</v>
      </c>
      <c r="I209" s="4" t="n">
        <f aca="false">(F209="G")+(G209="G")</f>
        <v>1</v>
      </c>
      <c r="J209" s="4" t="n">
        <f aca="false">(F209="C")+(G209="C")</f>
        <v>1</v>
      </c>
      <c r="K209" s="3" t="n">
        <f aca="false">I209+J209</f>
        <v>2</v>
      </c>
    </row>
    <row r="210" customFormat="false" ht="15" hidden="false" customHeight="false" outlineLevel="0" collapsed="false">
      <c r="A210" s="4" t="s">
        <v>44</v>
      </c>
      <c r="B210" s="4" t="s">
        <v>446</v>
      </c>
      <c r="C210" s="4" t="s">
        <v>525</v>
      </c>
      <c r="D210" s="4" t="n">
        <f aca="false">IFERROR(INDEX(Positions!$D$2:$D$6912,MATCH($A210&amp;"|28",Positions!$A$2:$A$6912,0)),"-")</f>
        <v>30</v>
      </c>
      <c r="E210" s="4" t="n">
        <f aca="false">IFERROR(INDEX(Positions!$D$2:$D$6912,MATCH($A210&amp;"|42",Positions!$A$2:$A$6912,0)),"-")</f>
        <v>44</v>
      </c>
      <c r="F210" s="4" t="str">
        <f aca="false">IFERROR(INDEX(Positions!$E$2:$E$6912,MATCH($A210&amp;"|28",Positions!$A$2:$A$6912,0)),"-")</f>
        <v>C</v>
      </c>
      <c r="G210" s="4" t="str">
        <f aca="false">IFERROR(INDEX(Positions!$E$2:$E$6912,MATCH($A210&amp;"|42",Positions!$A$2:$A$6912,0)),"-")</f>
        <v>G</v>
      </c>
      <c r="H210" s="3" t="str">
        <f aca="false">F210&amp;"-"&amp;G210</f>
        <v>C-G</v>
      </c>
      <c r="I210" s="4" t="n">
        <f aca="false">(F210="G")+(G210="G")</f>
        <v>1</v>
      </c>
      <c r="J210" s="4" t="n">
        <f aca="false">(F210="C")+(G210="C")</f>
        <v>1</v>
      </c>
      <c r="K210" s="3" t="n">
        <f aca="false">I210+J210</f>
        <v>2</v>
      </c>
    </row>
    <row r="211" customFormat="false" ht="15" hidden="false" customHeight="false" outlineLevel="0" collapsed="false">
      <c r="A211" s="4" t="s">
        <v>44</v>
      </c>
      <c r="B211" s="4" t="s">
        <v>446</v>
      </c>
      <c r="C211" s="4" t="s">
        <v>256</v>
      </c>
      <c r="D211" s="4" t="n">
        <f aca="false">IFERROR(INDEX(Positions!$D$2:$D$6912,MATCH($A211&amp;"|29",Positions!$A$2:$A$6912,0)),"-")</f>
        <v>31</v>
      </c>
      <c r="E211" s="4" t="n">
        <f aca="false">IFERROR(INDEX(Positions!$D$2:$D$6912,MATCH($A211&amp;"|41",Positions!$A$2:$A$6912,0)),"-")</f>
        <v>43</v>
      </c>
      <c r="F211" s="4" t="str">
        <f aca="false">IFERROR(INDEX(Positions!$E$2:$E$6912,MATCH($A211&amp;"|29",Positions!$A$2:$A$6912,0)),"-")</f>
        <v>U</v>
      </c>
      <c r="G211" s="4" t="str">
        <f aca="false">IFERROR(INDEX(Positions!$E$2:$E$6912,MATCH($A211&amp;"|41",Positions!$A$2:$A$6912,0)),"-")</f>
        <v>A</v>
      </c>
      <c r="H211" s="3" t="str">
        <f aca="false">F211&amp;"-"&amp;G211</f>
        <v>U-A</v>
      </c>
      <c r="I211" s="4" t="n">
        <f aca="false">(F211="G")+(G211="G")</f>
        <v>0</v>
      </c>
      <c r="J211" s="4" t="n">
        <f aca="false">(F211="C")+(G211="C")</f>
        <v>0</v>
      </c>
      <c r="K211" s="3" t="n">
        <f aca="false">I211+J211</f>
        <v>0</v>
      </c>
    </row>
    <row r="212" customFormat="false" ht="15" hidden="false" customHeight="false" outlineLevel="0" collapsed="false">
      <c r="A212" s="4" t="s">
        <v>44</v>
      </c>
      <c r="B212" s="4" t="s">
        <v>446</v>
      </c>
      <c r="C212" s="4" t="s">
        <v>526</v>
      </c>
      <c r="D212" s="4" t="n">
        <f aca="false">IFERROR(INDEX(Positions!$D$2:$D$6912,MATCH($A212&amp;"|30",Positions!$A$2:$A$6912,0)),"-")</f>
        <v>32</v>
      </c>
      <c r="E212" s="4" t="n">
        <f aca="false">IFERROR(INDEX(Positions!$D$2:$D$6912,MATCH($A212&amp;"|40",Positions!$A$2:$A$6912,0)),"-")</f>
        <v>42</v>
      </c>
      <c r="F212" s="4" t="str">
        <f aca="false">IFERROR(INDEX(Positions!$E$2:$E$6912,MATCH($A212&amp;"|30",Positions!$A$2:$A$6912,0)),"-")</f>
        <v>C</v>
      </c>
      <c r="G212" s="4" t="str">
        <f aca="false">IFERROR(INDEX(Positions!$E$2:$E$6912,MATCH($A212&amp;"|40",Positions!$A$2:$A$6912,0)),"-")</f>
        <v>G</v>
      </c>
      <c r="H212" s="3" t="str">
        <f aca="false">F212&amp;"-"&amp;G212</f>
        <v>C-G</v>
      </c>
      <c r="I212" s="4" t="n">
        <f aca="false">(F212="G")+(G212="G")</f>
        <v>1</v>
      </c>
      <c r="J212" s="4" t="n">
        <f aca="false">(F212="C")+(G212="C")</f>
        <v>1</v>
      </c>
      <c r="K212" s="3" t="n">
        <f aca="false">I212+J212</f>
        <v>2</v>
      </c>
    </row>
    <row r="213" customFormat="false" ht="15" hidden="false" customHeight="false" outlineLevel="0" collapsed="false">
      <c r="A213" s="4" t="s">
        <v>44</v>
      </c>
      <c r="B213" s="4" t="s">
        <v>446</v>
      </c>
      <c r="C213" s="4" t="s">
        <v>273</v>
      </c>
      <c r="D213" s="4" t="n">
        <f aca="false">IFERROR(INDEX(Positions!$D$2:$D$6912,MATCH($A213&amp;"|31",Positions!$A$2:$A$6912,0)),"-")</f>
        <v>33</v>
      </c>
      <c r="E213" s="4" t="n">
        <f aca="false">IFERROR(INDEX(Positions!$D$2:$D$6912,MATCH($A213&amp;"|39",Positions!$A$2:$A$6912,0)),"-")</f>
        <v>41</v>
      </c>
      <c r="F213" s="4" t="str">
        <f aca="false">IFERROR(INDEX(Positions!$E$2:$E$6912,MATCH($A213&amp;"|31",Positions!$A$2:$A$6912,0)),"-")</f>
        <v>C</v>
      </c>
      <c r="G213" s="4" t="str">
        <f aca="false">IFERROR(INDEX(Positions!$E$2:$E$6912,MATCH($A213&amp;"|39",Positions!$A$2:$A$6912,0)),"-")</f>
        <v>G</v>
      </c>
      <c r="H213" s="3" t="str">
        <f aca="false">F213&amp;"-"&amp;G213</f>
        <v>C-G</v>
      </c>
      <c r="I213" s="4" t="n">
        <f aca="false">(F213="G")+(G213="G")</f>
        <v>1</v>
      </c>
      <c r="J213" s="4" t="n">
        <f aca="false">(F213="C")+(G213="C")</f>
        <v>1</v>
      </c>
      <c r="K213" s="3" t="n">
        <f aca="false">I213+J213</f>
        <v>2</v>
      </c>
    </row>
    <row r="214" customFormat="false" ht="15" hidden="false" customHeight="false" outlineLevel="0" collapsed="false">
      <c r="A214" s="4" t="s">
        <v>44</v>
      </c>
      <c r="B214" s="4" t="s">
        <v>471</v>
      </c>
      <c r="C214" s="4" t="s">
        <v>367</v>
      </c>
      <c r="D214" s="4" t="n">
        <f aca="false">IFERROR(INDEX(Positions!$D$2:$D$6912,MATCH($A214&amp;"|49",Positions!$A$2:$A$6912,0)),"-")</f>
        <v>51</v>
      </c>
      <c r="E214" s="4" t="n">
        <f aca="false">IFERROR(INDEX(Positions!$D$2:$D$6912,MATCH($A214&amp;"|65",Positions!$A$2:$A$6912,0)),"-")</f>
        <v>67</v>
      </c>
      <c r="F214" s="4" t="str">
        <f aca="false">IFERROR(INDEX(Positions!$E$2:$E$6912,MATCH($A214&amp;"|49",Positions!$A$2:$A$6912,0)),"-")</f>
        <v>G</v>
      </c>
      <c r="G214" s="4" t="str">
        <f aca="false">IFERROR(INDEX(Positions!$E$2:$E$6912,MATCH($A214&amp;"|65",Positions!$A$2:$A$6912,0)),"-")</f>
        <v>C</v>
      </c>
      <c r="H214" s="3" t="str">
        <f aca="false">F214&amp;"-"&amp;G214</f>
        <v>G-C</v>
      </c>
      <c r="I214" s="4" t="n">
        <f aca="false">(F214="G")+(G214="G")</f>
        <v>1</v>
      </c>
      <c r="J214" s="4" t="n">
        <f aca="false">(F214="C")+(G214="C")</f>
        <v>1</v>
      </c>
      <c r="K214" s="3" t="n">
        <f aca="false">I214+J214</f>
        <v>2</v>
      </c>
    </row>
    <row r="215" customFormat="false" ht="15" hidden="false" customHeight="false" outlineLevel="0" collapsed="false">
      <c r="A215" s="4" t="s">
        <v>44</v>
      </c>
      <c r="B215" s="4" t="s">
        <v>471</v>
      </c>
      <c r="C215" s="4" t="s">
        <v>233</v>
      </c>
      <c r="D215" s="4" t="n">
        <f aca="false">IFERROR(INDEX(Positions!$D$2:$D$6912,MATCH($A215&amp;"|50",Positions!$A$2:$A$6912,0)),"-")</f>
        <v>52</v>
      </c>
      <c r="E215" s="4" t="n">
        <f aca="false">IFERROR(INDEX(Positions!$D$2:$D$6912,MATCH($A215&amp;"|64",Positions!$A$2:$A$6912,0)),"-")</f>
        <v>66</v>
      </c>
      <c r="F215" s="4" t="str">
        <f aca="false">IFERROR(INDEX(Positions!$E$2:$E$6912,MATCH($A215&amp;"|50",Positions!$A$2:$A$6912,0)),"-")</f>
        <v>G</v>
      </c>
      <c r="G215" s="4" t="str">
        <f aca="false">IFERROR(INDEX(Positions!$E$2:$E$6912,MATCH($A215&amp;"|64",Positions!$A$2:$A$6912,0)),"-")</f>
        <v>C</v>
      </c>
      <c r="H215" s="3" t="str">
        <f aca="false">F215&amp;"-"&amp;G215</f>
        <v>G-C</v>
      </c>
      <c r="I215" s="4" t="n">
        <f aca="false">(F215="G")+(G215="G")</f>
        <v>1</v>
      </c>
      <c r="J215" s="4" t="n">
        <f aca="false">(F215="C")+(G215="C")</f>
        <v>1</v>
      </c>
      <c r="K215" s="3" t="n">
        <f aca="false">I215+J215</f>
        <v>2</v>
      </c>
    </row>
    <row r="216" customFormat="false" ht="15" hidden="false" customHeight="false" outlineLevel="0" collapsed="false">
      <c r="A216" s="4" t="s">
        <v>44</v>
      </c>
      <c r="B216" s="4" t="s">
        <v>471</v>
      </c>
      <c r="C216" s="4" t="s">
        <v>527</v>
      </c>
      <c r="D216" s="4" t="n">
        <f aca="false">IFERROR(INDEX(Positions!$D$2:$D$6912,MATCH($A216&amp;"|51",Positions!$A$2:$A$6912,0)),"-")</f>
        <v>53</v>
      </c>
      <c r="E216" s="4" t="n">
        <f aca="false">IFERROR(INDEX(Positions!$D$2:$D$6912,MATCH($A216&amp;"|63",Positions!$A$2:$A$6912,0)),"-")</f>
        <v>65</v>
      </c>
      <c r="F216" s="4" t="str">
        <f aca="false">IFERROR(INDEX(Positions!$E$2:$E$6912,MATCH($A216&amp;"|51",Positions!$A$2:$A$6912,0)),"-")</f>
        <v>C</v>
      </c>
      <c r="G216" s="4" t="str">
        <f aca="false">IFERROR(INDEX(Positions!$E$2:$E$6912,MATCH($A216&amp;"|63",Positions!$A$2:$A$6912,0)),"-")</f>
        <v>G</v>
      </c>
      <c r="H216" s="3" t="str">
        <f aca="false">F216&amp;"-"&amp;G216</f>
        <v>C-G</v>
      </c>
      <c r="I216" s="4" t="n">
        <f aca="false">(F216="G")+(G216="G")</f>
        <v>1</v>
      </c>
      <c r="J216" s="4" t="n">
        <f aca="false">(F216="C")+(G216="C")</f>
        <v>1</v>
      </c>
      <c r="K216" s="3" t="n">
        <f aca="false">I216+J216</f>
        <v>2</v>
      </c>
    </row>
    <row r="217" customFormat="false" ht="15" hidden="false" customHeight="false" outlineLevel="0" collapsed="false">
      <c r="A217" s="4" t="s">
        <v>44</v>
      </c>
      <c r="B217" s="4" t="s">
        <v>471</v>
      </c>
      <c r="C217" s="4" t="s">
        <v>528</v>
      </c>
      <c r="D217" s="4" t="n">
        <f aca="false">IFERROR(INDEX(Positions!$D$2:$D$6912,MATCH($A217&amp;"|52",Positions!$A$2:$A$6912,0)),"-")</f>
        <v>54</v>
      </c>
      <c r="E217" s="4" t="n">
        <f aca="false">IFERROR(INDEX(Positions!$D$2:$D$6912,MATCH($A217&amp;"|62",Positions!$A$2:$A$6912,0)),"-")</f>
        <v>64</v>
      </c>
      <c r="F217" s="4" t="str">
        <f aca="false">IFERROR(INDEX(Positions!$E$2:$E$6912,MATCH($A217&amp;"|52",Positions!$A$2:$A$6912,0)),"-")</f>
        <v>G</v>
      </c>
      <c r="G217" s="4" t="str">
        <f aca="false">IFERROR(INDEX(Positions!$E$2:$E$6912,MATCH($A217&amp;"|62",Positions!$A$2:$A$6912,0)),"-")</f>
        <v>C</v>
      </c>
      <c r="H217" s="3" t="str">
        <f aca="false">F217&amp;"-"&amp;G217</f>
        <v>G-C</v>
      </c>
      <c r="I217" s="4" t="n">
        <f aca="false">(F217="G")+(G217="G")</f>
        <v>1</v>
      </c>
      <c r="J217" s="4" t="n">
        <f aca="false">(F217="C")+(G217="C")</f>
        <v>1</v>
      </c>
      <c r="K217" s="3" t="n">
        <f aca="false">I217+J217</f>
        <v>2</v>
      </c>
    </row>
    <row r="218" customFormat="false" ht="15" hidden="false" customHeight="false" outlineLevel="0" collapsed="false">
      <c r="A218" s="4" t="s">
        <v>44</v>
      </c>
      <c r="B218" s="4" t="s">
        <v>471</v>
      </c>
      <c r="C218" s="4" t="s">
        <v>529</v>
      </c>
      <c r="D218" s="4" t="n">
        <f aca="false">IFERROR(INDEX(Positions!$D$2:$D$6912,MATCH($A218&amp;"|53",Positions!$A$2:$A$6912,0)),"-")</f>
        <v>55</v>
      </c>
      <c r="E218" s="4" t="n">
        <f aca="false">IFERROR(INDEX(Positions!$D$2:$D$6912,MATCH($A218&amp;"|61",Positions!$A$2:$A$6912,0)),"-")</f>
        <v>63</v>
      </c>
      <c r="F218" s="4" t="str">
        <f aca="false">IFERROR(INDEX(Positions!$E$2:$E$6912,MATCH($A218&amp;"|53",Positions!$A$2:$A$6912,0)),"-")</f>
        <v>G</v>
      </c>
      <c r="G218" s="4" t="str">
        <f aca="false">IFERROR(INDEX(Positions!$E$2:$E$6912,MATCH($A218&amp;"|61",Positions!$A$2:$A$6912,0)),"-")</f>
        <v>C</v>
      </c>
      <c r="H218" s="3" t="str">
        <f aca="false">F218&amp;"-"&amp;G218</f>
        <v>G-C</v>
      </c>
      <c r="I218" s="4" t="n">
        <f aca="false">(F218="G")+(G218="G")</f>
        <v>1</v>
      </c>
      <c r="J218" s="4" t="n">
        <f aca="false">(F218="C")+(G218="C")</f>
        <v>1</v>
      </c>
      <c r="K218" s="3" t="n">
        <f aca="false">I218+J218</f>
        <v>2</v>
      </c>
    </row>
    <row r="219" customFormat="false" ht="15" hidden="false" customHeight="false" outlineLevel="0" collapsed="false">
      <c r="A219" s="24" t="s">
        <v>44</v>
      </c>
      <c r="B219" s="24" t="s">
        <v>530</v>
      </c>
      <c r="C219" s="24" t="s">
        <v>531</v>
      </c>
      <c r="D219" s="24" t="n">
        <f aca="false">IFERROR(INDEX(Positions!$D$2:$D$6912,MATCH($A219&amp;"|8",Positions!$A$2:$A$6912,0)),"-")</f>
        <v>8</v>
      </c>
      <c r="E219" s="24" t="n">
        <f aca="false">IFERROR(INDEX(Positions!$D$2:$D$6912,MATCH($A219&amp;"|14",Positions!$A$2:$A$6912,0)),"-")</f>
        <v>14</v>
      </c>
      <c r="F219" s="24" t="str">
        <f aca="false">IFERROR(INDEX(Positions!$E$2:$E$6912,MATCH($A219&amp;"|8",Positions!$A$2:$A$6912,0)),"-")</f>
        <v>U</v>
      </c>
      <c r="G219" s="24" t="str">
        <f aca="false">IFERROR(INDEX(Positions!$E$2:$E$6912,MATCH($A219&amp;"|14",Positions!$A$2:$A$6912,0)),"-")</f>
        <v>A</v>
      </c>
      <c r="H219" s="25" t="str">
        <f aca="false">F219&amp;"-"&amp;G219</f>
        <v>U-A</v>
      </c>
      <c r="I219" s="24" t="n">
        <f aca="false">(F219="G")+(G219="G")</f>
        <v>0</v>
      </c>
      <c r="J219" s="24" t="n">
        <f aca="false">(F219="C")+(G219="C")</f>
        <v>0</v>
      </c>
      <c r="K219" s="25" t="n">
        <f aca="false">I219+J219</f>
        <v>0</v>
      </c>
    </row>
    <row r="220" customFormat="false" ht="15" hidden="false" customHeight="false" outlineLevel="0" collapsed="false">
      <c r="A220" s="24" t="s">
        <v>44</v>
      </c>
      <c r="B220" s="24" t="s">
        <v>530</v>
      </c>
      <c r="C220" s="24" t="s">
        <v>532</v>
      </c>
      <c r="D220" s="24" t="n">
        <f aca="false">IFERROR(INDEX(Positions!$D$2:$D$6912,MATCH($A220&amp;"|15",Positions!$A$2:$A$6912,0)),"-")</f>
        <v>15</v>
      </c>
      <c r="E220" s="24" t="n">
        <f aca="false">IFERROR(INDEX(Positions!$D$2:$D$6912,MATCH($A220&amp;"|48",Positions!$A$2:$A$6912,0)),"-")</f>
        <v>50</v>
      </c>
      <c r="F220" s="24" t="str">
        <f aca="false">IFERROR(INDEX(Positions!$E$2:$E$6912,MATCH($A220&amp;"|15",Positions!$A$2:$A$6912,0)),"-")</f>
        <v>G</v>
      </c>
      <c r="G220" s="24" t="str">
        <f aca="false">IFERROR(INDEX(Positions!$E$2:$E$6912,MATCH($A220&amp;"|48",Positions!$A$2:$A$6912,0)),"-")</f>
        <v>C</v>
      </c>
      <c r="H220" s="25" t="str">
        <f aca="false">F220&amp;"-"&amp;G220</f>
        <v>G-C</v>
      </c>
      <c r="I220" s="24" t="n">
        <f aca="false">(F220="G")+(G220="G")</f>
        <v>1</v>
      </c>
      <c r="J220" s="24" t="n">
        <f aca="false">(F220="C")+(G220="C")</f>
        <v>1</v>
      </c>
      <c r="K220" s="25" t="n">
        <f aca="false">I220+J220</f>
        <v>2</v>
      </c>
    </row>
    <row r="221" customFormat="false" ht="15" hidden="false" customHeight="false" outlineLevel="0" collapsed="false">
      <c r="A221" s="24" t="s">
        <v>44</v>
      </c>
      <c r="B221" s="24" t="s">
        <v>530</v>
      </c>
      <c r="C221" s="24" t="s">
        <v>533</v>
      </c>
      <c r="D221" s="24" t="n">
        <f aca="false">IFERROR(INDEX(Positions!$D$2:$D$6912,MATCH($A221&amp;"|18",Positions!$A$2:$A$6912,0)),"-")</f>
        <v>19</v>
      </c>
      <c r="E221" s="24" t="n">
        <f aca="false">IFERROR(INDEX(Positions!$D$2:$D$6912,MATCH($A221&amp;"|55",Positions!$A$2:$A$6912,0)),"-")</f>
        <v>57</v>
      </c>
      <c r="F221" s="24" t="str">
        <f aca="false">IFERROR(INDEX(Positions!$E$2:$E$6912,MATCH($A221&amp;"|18",Positions!$A$2:$A$6912,0)),"-")</f>
        <v>G</v>
      </c>
      <c r="G221" s="24" t="str">
        <f aca="false">IFERROR(INDEX(Positions!$E$2:$E$6912,MATCH($A221&amp;"|55",Positions!$A$2:$A$6912,0)),"-")</f>
        <v>U</v>
      </c>
      <c r="H221" s="25" t="str">
        <f aca="false">F221&amp;"-"&amp;G221</f>
        <v>G-U</v>
      </c>
      <c r="I221" s="24" t="n">
        <f aca="false">(F221="G")+(G221="G")</f>
        <v>1</v>
      </c>
      <c r="J221" s="24" t="n">
        <f aca="false">(F221="C")+(G221="C")</f>
        <v>0</v>
      </c>
      <c r="K221" s="25" t="n">
        <f aca="false">I221+J221</f>
        <v>1</v>
      </c>
    </row>
    <row r="222" customFormat="false" ht="15" hidden="false" customHeight="false" outlineLevel="0" collapsed="false">
      <c r="A222" s="24" t="s">
        <v>44</v>
      </c>
      <c r="B222" s="24" t="s">
        <v>530</v>
      </c>
      <c r="C222" s="24" t="s">
        <v>534</v>
      </c>
      <c r="D222" s="24" t="n">
        <f aca="false">IFERROR(INDEX(Positions!$D$2:$D$6912,MATCH($A222&amp;"|19",Positions!$A$2:$A$6912,0)),"-")</f>
        <v>20</v>
      </c>
      <c r="E222" s="24" t="n">
        <f aca="false">IFERROR(INDEX(Positions!$D$2:$D$6912,MATCH($A222&amp;"|56",Positions!$A$2:$A$6912,0)),"-")</f>
        <v>58</v>
      </c>
      <c r="F222" s="24" t="str">
        <f aca="false">IFERROR(INDEX(Positions!$E$2:$E$6912,MATCH($A222&amp;"|19",Positions!$A$2:$A$6912,0)),"-")</f>
        <v>G</v>
      </c>
      <c r="G222" s="24" t="str">
        <f aca="false">IFERROR(INDEX(Positions!$E$2:$E$6912,MATCH($A222&amp;"|56",Positions!$A$2:$A$6912,0)),"-")</f>
        <v>G</v>
      </c>
      <c r="H222" s="25" t="str">
        <f aca="false">F222&amp;"-"&amp;G222</f>
        <v>G-G</v>
      </c>
      <c r="I222" s="24" t="n">
        <f aca="false">(F222="G")+(G222="G")</f>
        <v>2</v>
      </c>
      <c r="J222" s="24" t="n">
        <f aca="false">(F222="C")+(G222="C")</f>
        <v>0</v>
      </c>
      <c r="K222" s="25" t="n">
        <f aca="false">I222+J222</f>
        <v>2</v>
      </c>
    </row>
    <row r="223" customFormat="false" ht="15" hidden="false" customHeight="false" outlineLevel="0" collapsed="false">
      <c r="A223" s="24" t="s">
        <v>44</v>
      </c>
      <c r="B223" s="24" t="s">
        <v>530</v>
      </c>
      <c r="C223" s="24" t="s">
        <v>535</v>
      </c>
      <c r="D223" s="24" t="n">
        <f aca="false">IFERROR(INDEX(Positions!$D$2:$D$6912,MATCH($A223&amp;"|26",Positions!$A$2:$A$6912,0)),"-")</f>
        <v>28</v>
      </c>
      <c r="E223" s="24" t="n">
        <f aca="false">IFERROR(INDEX(Positions!$D$2:$D$6912,MATCH($A223&amp;"|44",Positions!$A$2:$A$6912,0)),"-")</f>
        <v>46</v>
      </c>
      <c r="F223" s="24" t="str">
        <f aca="false">IFERROR(INDEX(Positions!$E$2:$E$6912,MATCH($A223&amp;"|26",Positions!$A$2:$A$6912,0)),"-")</f>
        <v>G</v>
      </c>
      <c r="G223" s="24" t="str">
        <f aca="false">IFERROR(INDEX(Positions!$E$2:$E$6912,MATCH($A223&amp;"|44",Positions!$A$2:$A$6912,0)),"-")</f>
        <v>A</v>
      </c>
      <c r="H223" s="25" t="str">
        <f aca="false">F223&amp;"-"&amp;G223</f>
        <v>G-A</v>
      </c>
      <c r="I223" s="24" t="n">
        <f aca="false">(F223="G")+(G223="G")</f>
        <v>1</v>
      </c>
      <c r="J223" s="24" t="n">
        <f aca="false">(F223="C")+(G223="C")</f>
        <v>0</v>
      </c>
      <c r="K223" s="25" t="n">
        <f aca="false">I223+J223</f>
        <v>1</v>
      </c>
    </row>
    <row r="224" customFormat="false" ht="15" hidden="false" customHeight="false" outlineLevel="0" collapsed="false">
      <c r="A224" s="24" t="s">
        <v>44</v>
      </c>
      <c r="B224" s="24" t="s">
        <v>530</v>
      </c>
      <c r="C224" s="24" t="s">
        <v>536</v>
      </c>
      <c r="D224" s="24" t="n">
        <f aca="false">IFERROR(INDEX(Positions!$D$2:$D$6912,MATCH($A224&amp;"|32",Positions!$A$2:$A$6912,0)),"-")</f>
        <v>34</v>
      </c>
      <c r="E224" s="24" t="n">
        <f aca="false">IFERROR(INDEX(Positions!$D$2:$D$6912,MATCH($A224&amp;"|38",Positions!$A$2:$A$6912,0)),"-")</f>
        <v>40</v>
      </c>
      <c r="F224" s="24" t="str">
        <f aca="false">IFERROR(INDEX(Positions!$E$2:$E$6912,MATCH($A224&amp;"|32",Positions!$A$2:$A$6912,0)),"-")</f>
        <v>U</v>
      </c>
      <c r="G224" s="24" t="str">
        <f aca="false">IFERROR(INDEX(Positions!$E$2:$E$6912,MATCH($A224&amp;"|38",Positions!$A$2:$A$6912,0)),"-")</f>
        <v>C</v>
      </c>
      <c r="H224" s="25" t="str">
        <f aca="false">F224&amp;"-"&amp;G224</f>
        <v>U-C</v>
      </c>
      <c r="I224" s="24" t="n">
        <f aca="false">(F224="G")+(G224="G")</f>
        <v>0</v>
      </c>
      <c r="J224" s="24" t="n">
        <f aca="false">(F224="C")+(G224="C")</f>
        <v>1</v>
      </c>
      <c r="K224" s="25" t="n">
        <f aca="false">I224+J224</f>
        <v>1</v>
      </c>
    </row>
    <row r="225" customFormat="false" ht="15" hidden="false" customHeight="false" outlineLevel="0" collapsed="false">
      <c r="A225" s="24" t="s">
        <v>44</v>
      </c>
      <c r="B225" s="24" t="s">
        <v>530</v>
      </c>
      <c r="C225" s="24" t="s">
        <v>537</v>
      </c>
      <c r="D225" s="24" t="n">
        <f aca="false">IFERROR(INDEX(Positions!$D$2:$D$6912,MATCH($A225&amp;"|54",Positions!$A$2:$A$6912,0)),"-")</f>
        <v>56</v>
      </c>
      <c r="E225" s="24" t="n">
        <f aca="false">IFERROR(INDEX(Positions!$D$2:$D$6912,MATCH($A225&amp;"|58",Positions!$A$2:$A$6912,0)),"-")</f>
        <v>60</v>
      </c>
      <c r="F225" s="24" t="str">
        <f aca="false">IFERROR(INDEX(Positions!$E$2:$E$6912,MATCH($A225&amp;"|54",Positions!$A$2:$A$6912,0)),"-")</f>
        <v>U</v>
      </c>
      <c r="G225" s="24" t="str">
        <f aca="false">IFERROR(INDEX(Positions!$E$2:$E$6912,MATCH($A225&amp;"|58",Positions!$A$2:$A$6912,0)),"-")</f>
        <v>A</v>
      </c>
      <c r="H225" s="25" t="str">
        <f aca="false">F225&amp;"-"&amp;G225</f>
        <v>U-A</v>
      </c>
      <c r="I225" s="24" t="n">
        <f aca="false">(F225="G")+(G225="G")</f>
        <v>0</v>
      </c>
      <c r="J225" s="24" t="n">
        <f aca="false">(F225="C")+(G225="C")</f>
        <v>0</v>
      </c>
      <c r="K225" s="25" t="n">
        <f aca="false">I225+J225</f>
        <v>0</v>
      </c>
    </row>
    <row r="226" customFormat="false" ht="15" hidden="false" customHeight="false" outlineLevel="0" collapsed="false">
      <c r="A226" s="4" t="s">
        <v>45</v>
      </c>
      <c r="B226" s="4" t="s">
        <v>412</v>
      </c>
      <c r="C226" s="4" t="s">
        <v>517</v>
      </c>
      <c r="D226" s="4" t="n">
        <f aca="false">IFERROR(INDEX(Positions!$D$2:$D$6912,MATCH($A226&amp;"|1",Positions!$A$2:$A$6912,0)),"-")</f>
        <v>1</v>
      </c>
      <c r="E226" s="4" t="n">
        <f aca="false">IFERROR(INDEX(Positions!$D$2:$D$6912,MATCH($A226&amp;"|72",Positions!$A$2:$A$6912,0)),"-")</f>
        <v>74</v>
      </c>
      <c r="F226" s="4" t="str">
        <f aca="false">IFERROR(INDEX(Positions!$E$2:$E$6912,MATCH($A226&amp;"|1",Positions!$A$2:$A$6912,0)),"-")</f>
        <v>G</v>
      </c>
      <c r="G226" s="4" t="str">
        <f aca="false">IFERROR(INDEX(Positions!$E$2:$E$6912,MATCH($A226&amp;"|72",Positions!$A$2:$A$6912,0)),"-")</f>
        <v>C</v>
      </c>
      <c r="H226" s="3" t="str">
        <f aca="false">F226&amp;"-"&amp;G226</f>
        <v>G-C</v>
      </c>
      <c r="I226" s="4" t="n">
        <f aca="false">(F226="G")+(G226="G")</f>
        <v>1</v>
      </c>
      <c r="J226" s="4" t="n">
        <f aca="false">(F226="C")+(G226="C")</f>
        <v>1</v>
      </c>
      <c r="K226" s="3" t="n">
        <f aca="false">I226+J226</f>
        <v>2</v>
      </c>
    </row>
    <row r="227" customFormat="false" ht="15" hidden="false" customHeight="false" outlineLevel="0" collapsed="false">
      <c r="A227" s="4" t="s">
        <v>45</v>
      </c>
      <c r="B227" s="4" t="s">
        <v>412</v>
      </c>
      <c r="C227" s="4" t="s">
        <v>518</v>
      </c>
      <c r="D227" s="4" t="n">
        <f aca="false">IFERROR(INDEX(Positions!$D$2:$D$6912,MATCH($A227&amp;"|2",Positions!$A$2:$A$6912,0)),"-")</f>
        <v>2</v>
      </c>
      <c r="E227" s="4" t="n">
        <f aca="false">IFERROR(INDEX(Positions!$D$2:$D$6912,MATCH($A227&amp;"|71",Positions!$A$2:$A$6912,0)),"-")</f>
        <v>73</v>
      </c>
      <c r="F227" s="4" t="str">
        <f aca="false">IFERROR(INDEX(Positions!$E$2:$E$6912,MATCH($A227&amp;"|2",Positions!$A$2:$A$6912,0)),"-")</f>
        <v>G</v>
      </c>
      <c r="G227" s="4" t="str">
        <f aca="false">IFERROR(INDEX(Positions!$E$2:$E$6912,MATCH($A227&amp;"|71",Positions!$A$2:$A$6912,0)),"-")</f>
        <v>C</v>
      </c>
      <c r="H227" s="3" t="str">
        <f aca="false">F227&amp;"-"&amp;G227</f>
        <v>G-C</v>
      </c>
      <c r="I227" s="4" t="n">
        <f aca="false">(F227="G")+(G227="G")</f>
        <v>1</v>
      </c>
      <c r="J227" s="4" t="n">
        <f aca="false">(F227="C")+(G227="C")</f>
        <v>1</v>
      </c>
      <c r="K227" s="3" t="n">
        <f aca="false">I227+J227</f>
        <v>2</v>
      </c>
    </row>
    <row r="228" customFormat="false" ht="15" hidden="false" customHeight="false" outlineLevel="0" collapsed="false">
      <c r="A228" s="4" t="s">
        <v>45</v>
      </c>
      <c r="B228" s="4" t="s">
        <v>412</v>
      </c>
      <c r="C228" s="4" t="s">
        <v>386</v>
      </c>
      <c r="D228" s="4" t="n">
        <f aca="false">IFERROR(INDEX(Positions!$D$2:$D$6912,MATCH($A228&amp;"|3",Positions!$A$2:$A$6912,0)),"-")</f>
        <v>3</v>
      </c>
      <c r="E228" s="4" t="n">
        <f aca="false">IFERROR(INDEX(Positions!$D$2:$D$6912,MATCH($A228&amp;"|70",Positions!$A$2:$A$6912,0)),"-")</f>
        <v>72</v>
      </c>
      <c r="F228" s="4" t="str">
        <f aca="false">IFERROR(INDEX(Positions!$E$2:$E$6912,MATCH($A228&amp;"|3",Positions!$A$2:$A$6912,0)),"-")</f>
        <v>G</v>
      </c>
      <c r="G228" s="4" t="str">
        <f aca="false">IFERROR(INDEX(Positions!$E$2:$E$6912,MATCH($A228&amp;"|70",Positions!$A$2:$A$6912,0)),"-")</f>
        <v>C</v>
      </c>
      <c r="H228" s="3" t="str">
        <f aca="false">F228&amp;"-"&amp;G228</f>
        <v>G-C</v>
      </c>
      <c r="I228" s="4" t="n">
        <f aca="false">(F228="G")+(G228="G")</f>
        <v>1</v>
      </c>
      <c r="J228" s="4" t="n">
        <f aca="false">(F228="C")+(G228="C")</f>
        <v>1</v>
      </c>
      <c r="K228" s="3" t="n">
        <f aca="false">I228+J228</f>
        <v>2</v>
      </c>
    </row>
    <row r="229" customFormat="false" ht="15" hidden="false" customHeight="false" outlineLevel="0" collapsed="false">
      <c r="A229" s="4" t="s">
        <v>45</v>
      </c>
      <c r="B229" s="4" t="s">
        <v>412</v>
      </c>
      <c r="C229" s="4" t="s">
        <v>519</v>
      </c>
      <c r="D229" s="4" t="n">
        <f aca="false">IFERROR(INDEX(Positions!$D$2:$D$6912,MATCH($A229&amp;"|4",Positions!$A$2:$A$6912,0)),"-")</f>
        <v>4</v>
      </c>
      <c r="E229" s="4" t="n">
        <f aca="false">IFERROR(INDEX(Positions!$D$2:$D$6912,MATCH($A229&amp;"|69",Positions!$A$2:$A$6912,0)),"-")</f>
        <v>71</v>
      </c>
      <c r="F229" s="4" t="str">
        <f aca="false">IFERROR(INDEX(Positions!$E$2:$E$6912,MATCH($A229&amp;"|4",Positions!$A$2:$A$6912,0)),"-")</f>
        <v>U</v>
      </c>
      <c r="G229" s="4" t="str">
        <f aca="false">IFERROR(INDEX(Positions!$E$2:$E$6912,MATCH($A229&amp;"|69",Positions!$A$2:$A$6912,0)),"-")</f>
        <v>A</v>
      </c>
      <c r="H229" s="3" t="str">
        <f aca="false">F229&amp;"-"&amp;G229</f>
        <v>U-A</v>
      </c>
      <c r="I229" s="4" t="n">
        <f aca="false">(F229="G")+(G229="G")</f>
        <v>0</v>
      </c>
      <c r="J229" s="4" t="n">
        <f aca="false">(F229="C")+(G229="C")</f>
        <v>0</v>
      </c>
      <c r="K229" s="3" t="n">
        <f aca="false">I229+J229</f>
        <v>0</v>
      </c>
    </row>
    <row r="230" customFormat="false" ht="15" hidden="false" customHeight="false" outlineLevel="0" collapsed="false">
      <c r="A230" s="4" t="s">
        <v>45</v>
      </c>
      <c r="B230" s="4" t="s">
        <v>412</v>
      </c>
      <c r="C230" s="4" t="s">
        <v>283</v>
      </c>
      <c r="D230" s="4" t="n">
        <f aca="false">IFERROR(INDEX(Positions!$D$2:$D$6912,MATCH($A230&amp;"|5",Positions!$A$2:$A$6912,0)),"-")</f>
        <v>5</v>
      </c>
      <c r="E230" s="4" t="n">
        <f aca="false">IFERROR(INDEX(Positions!$D$2:$D$6912,MATCH($A230&amp;"|68",Positions!$A$2:$A$6912,0)),"-")</f>
        <v>70</v>
      </c>
      <c r="F230" s="4" t="str">
        <f aca="false">IFERROR(INDEX(Positions!$E$2:$E$6912,MATCH($A230&amp;"|5",Positions!$A$2:$A$6912,0)),"-")</f>
        <v>U</v>
      </c>
      <c r="G230" s="4" t="str">
        <f aca="false">IFERROR(INDEX(Positions!$E$2:$E$6912,MATCH($A230&amp;"|68",Positions!$A$2:$A$6912,0)),"-")</f>
        <v>A</v>
      </c>
      <c r="H230" s="3" t="str">
        <f aca="false">F230&amp;"-"&amp;G230</f>
        <v>U-A</v>
      </c>
      <c r="I230" s="4" t="n">
        <f aca="false">(F230="G")+(G230="G")</f>
        <v>0</v>
      </c>
      <c r="J230" s="4" t="n">
        <f aca="false">(F230="C")+(G230="C")</f>
        <v>0</v>
      </c>
      <c r="K230" s="3" t="n">
        <f aca="false">I230+J230</f>
        <v>0</v>
      </c>
    </row>
    <row r="231" customFormat="false" ht="15" hidden="false" customHeight="false" outlineLevel="0" collapsed="false">
      <c r="A231" s="4" t="s">
        <v>45</v>
      </c>
      <c r="B231" s="4" t="s">
        <v>412</v>
      </c>
      <c r="C231" s="4" t="s">
        <v>520</v>
      </c>
      <c r="D231" s="4" t="n">
        <f aca="false">IFERROR(INDEX(Positions!$D$2:$D$6912,MATCH($A231&amp;"|6",Positions!$A$2:$A$6912,0)),"-")</f>
        <v>6</v>
      </c>
      <c r="E231" s="4" t="n">
        <f aca="false">IFERROR(INDEX(Positions!$D$2:$D$6912,MATCH($A231&amp;"|67",Positions!$A$2:$A$6912,0)),"-")</f>
        <v>69</v>
      </c>
      <c r="F231" s="4" t="str">
        <f aca="false">IFERROR(INDEX(Positions!$E$2:$E$6912,MATCH($A231&amp;"|6",Positions!$A$2:$A$6912,0)),"-")</f>
        <v>G</v>
      </c>
      <c r="G231" s="4" t="str">
        <f aca="false">IFERROR(INDEX(Positions!$E$2:$E$6912,MATCH($A231&amp;"|67",Positions!$A$2:$A$6912,0)),"-")</f>
        <v>C</v>
      </c>
      <c r="H231" s="3" t="str">
        <f aca="false">F231&amp;"-"&amp;G231</f>
        <v>G-C</v>
      </c>
      <c r="I231" s="4" t="n">
        <f aca="false">(F231="G")+(G231="G")</f>
        <v>1</v>
      </c>
      <c r="J231" s="4" t="n">
        <f aca="false">(F231="C")+(G231="C")</f>
        <v>1</v>
      </c>
      <c r="K231" s="3" t="n">
        <f aca="false">I231+J231</f>
        <v>2</v>
      </c>
    </row>
    <row r="232" customFormat="false" ht="15" hidden="false" customHeight="false" outlineLevel="0" collapsed="false">
      <c r="A232" s="4" t="s">
        <v>45</v>
      </c>
      <c r="B232" s="4" t="s">
        <v>412</v>
      </c>
      <c r="C232" s="4" t="s">
        <v>521</v>
      </c>
      <c r="D232" s="4" t="n">
        <f aca="false">IFERROR(INDEX(Positions!$D$2:$D$6912,MATCH($A232&amp;"|7",Positions!$A$2:$A$6912,0)),"-")</f>
        <v>7</v>
      </c>
      <c r="E232" s="4" t="n">
        <f aca="false">IFERROR(INDEX(Positions!$D$2:$D$6912,MATCH($A232&amp;"|66",Positions!$A$2:$A$6912,0)),"-")</f>
        <v>68</v>
      </c>
      <c r="F232" s="4" t="str">
        <f aca="false">IFERROR(INDEX(Positions!$E$2:$E$6912,MATCH($A232&amp;"|7",Positions!$A$2:$A$6912,0)),"-")</f>
        <v>G</v>
      </c>
      <c r="G232" s="4" t="str">
        <f aca="false">IFERROR(INDEX(Positions!$E$2:$E$6912,MATCH($A232&amp;"|66",Positions!$A$2:$A$6912,0)),"-")</f>
        <v>C</v>
      </c>
      <c r="H232" s="3" t="str">
        <f aca="false">F232&amp;"-"&amp;G232</f>
        <v>G-C</v>
      </c>
      <c r="I232" s="4" t="n">
        <f aca="false">(F232="G")+(G232="G")</f>
        <v>1</v>
      </c>
      <c r="J232" s="4" t="n">
        <f aca="false">(F232="C")+(G232="C")</f>
        <v>1</v>
      </c>
      <c r="K232" s="3" t="n">
        <f aca="false">I232+J232</f>
        <v>2</v>
      </c>
    </row>
    <row r="233" customFormat="false" ht="15" hidden="false" customHeight="false" outlineLevel="0" collapsed="false">
      <c r="A233" s="4" t="s">
        <v>45</v>
      </c>
      <c r="B233" s="4" t="s">
        <v>425</v>
      </c>
      <c r="C233" s="4" t="s">
        <v>522</v>
      </c>
      <c r="D233" s="4" t="n">
        <f aca="false">IFERROR(INDEX(Positions!$D$2:$D$6912,MATCH($A233&amp;"|10",Positions!$A$2:$A$6912,0)),"-")</f>
        <v>10</v>
      </c>
      <c r="E233" s="4" t="n">
        <f aca="false">IFERROR(INDEX(Positions!$D$2:$D$6912,MATCH($A233&amp;"|25",Positions!$A$2:$A$6912,0)),"-")</f>
        <v>27</v>
      </c>
      <c r="F233" s="4" t="str">
        <f aca="false">IFERROR(INDEX(Positions!$E$2:$E$6912,MATCH($A233&amp;"|10",Positions!$A$2:$A$6912,0)),"-")</f>
        <v>G</v>
      </c>
      <c r="G233" s="4" t="str">
        <f aca="false">IFERROR(INDEX(Positions!$E$2:$E$6912,MATCH($A233&amp;"|25",Positions!$A$2:$A$6912,0)),"-")</f>
        <v>C</v>
      </c>
      <c r="H233" s="3" t="str">
        <f aca="false">F233&amp;"-"&amp;G233</f>
        <v>G-C</v>
      </c>
      <c r="I233" s="4" t="n">
        <f aca="false">(F233="G")+(G233="G")</f>
        <v>1</v>
      </c>
      <c r="J233" s="4" t="n">
        <f aca="false">(F233="C")+(G233="C")</f>
        <v>1</v>
      </c>
      <c r="K233" s="3" t="n">
        <f aca="false">I233+J233</f>
        <v>2</v>
      </c>
    </row>
    <row r="234" customFormat="false" ht="15" hidden="false" customHeight="false" outlineLevel="0" collapsed="false">
      <c r="A234" s="4" t="s">
        <v>45</v>
      </c>
      <c r="B234" s="4" t="s">
        <v>425</v>
      </c>
      <c r="C234" s="4" t="s">
        <v>523</v>
      </c>
      <c r="D234" s="4" t="n">
        <f aca="false">IFERROR(INDEX(Positions!$D$2:$D$6912,MATCH($A234&amp;"|11",Positions!$A$2:$A$6912,0)),"-")</f>
        <v>11</v>
      </c>
      <c r="E234" s="4" t="n">
        <f aca="false">IFERROR(INDEX(Positions!$D$2:$D$6912,MATCH($A234&amp;"|24",Positions!$A$2:$A$6912,0)),"-")</f>
        <v>26</v>
      </c>
      <c r="F234" s="4" t="str">
        <f aca="false">IFERROR(INDEX(Positions!$E$2:$E$6912,MATCH($A234&amp;"|11",Positions!$A$2:$A$6912,0)),"-")</f>
        <v>U</v>
      </c>
      <c r="G234" s="4" t="str">
        <f aca="false">IFERROR(INDEX(Positions!$E$2:$E$6912,MATCH($A234&amp;"|24",Positions!$A$2:$A$6912,0)),"-")</f>
        <v>A</v>
      </c>
      <c r="H234" s="3" t="str">
        <f aca="false">F234&amp;"-"&amp;G234</f>
        <v>U-A</v>
      </c>
      <c r="I234" s="4" t="n">
        <f aca="false">(F234="G")+(G234="G")</f>
        <v>0</v>
      </c>
      <c r="J234" s="4" t="n">
        <f aca="false">(F234="C")+(G234="C")</f>
        <v>0</v>
      </c>
      <c r="K234" s="3" t="n">
        <f aca="false">I234+J234</f>
        <v>0</v>
      </c>
    </row>
    <row r="235" customFormat="false" ht="15" hidden="false" customHeight="false" outlineLevel="0" collapsed="false">
      <c r="A235" s="4" t="s">
        <v>45</v>
      </c>
      <c r="B235" s="4" t="s">
        <v>425</v>
      </c>
      <c r="C235" s="4" t="s">
        <v>250</v>
      </c>
      <c r="D235" s="4" t="n">
        <f aca="false">IFERROR(INDEX(Positions!$D$2:$D$6912,MATCH($A235&amp;"|12",Positions!$A$2:$A$6912,0)),"-")</f>
        <v>12</v>
      </c>
      <c r="E235" s="4" t="n">
        <f aca="false">IFERROR(INDEX(Positions!$D$2:$D$6912,MATCH($A235&amp;"|23",Positions!$A$2:$A$6912,0)),"-")</f>
        <v>25</v>
      </c>
      <c r="F235" s="4" t="str">
        <f aca="false">IFERROR(INDEX(Positions!$E$2:$E$6912,MATCH($A235&amp;"|12",Positions!$A$2:$A$6912,0)),"-")</f>
        <v>C</v>
      </c>
      <c r="G235" s="4" t="str">
        <f aca="false">IFERROR(INDEX(Positions!$E$2:$E$6912,MATCH($A235&amp;"|23",Positions!$A$2:$A$6912,0)),"-")</f>
        <v>G</v>
      </c>
      <c r="H235" s="3" t="str">
        <f aca="false">F235&amp;"-"&amp;G235</f>
        <v>C-G</v>
      </c>
      <c r="I235" s="4" t="n">
        <f aca="false">(F235="G")+(G235="G")</f>
        <v>1</v>
      </c>
      <c r="J235" s="4" t="n">
        <f aca="false">(F235="C")+(G235="C")</f>
        <v>1</v>
      </c>
      <c r="K235" s="3" t="n">
        <f aca="false">I235+J235</f>
        <v>2</v>
      </c>
    </row>
    <row r="236" customFormat="false" ht="15" hidden="false" customHeight="false" outlineLevel="0" collapsed="false">
      <c r="A236" s="4" t="s">
        <v>45</v>
      </c>
      <c r="B236" s="4" t="s">
        <v>425</v>
      </c>
      <c r="C236" s="4" t="s">
        <v>154</v>
      </c>
      <c r="D236" s="4" t="n">
        <f aca="false">IFERROR(INDEX(Positions!$D$2:$D$6912,MATCH($A236&amp;"|13",Positions!$A$2:$A$6912,0)),"-")</f>
        <v>13</v>
      </c>
      <c r="E236" s="4" t="n">
        <f aca="false">IFERROR(INDEX(Positions!$D$2:$D$6912,MATCH($A236&amp;"|22",Positions!$A$2:$A$6912,0)),"-")</f>
        <v>24</v>
      </c>
      <c r="F236" s="4" t="str">
        <f aca="false">IFERROR(INDEX(Positions!$E$2:$E$6912,MATCH($A236&amp;"|13",Positions!$A$2:$A$6912,0)),"-")</f>
        <v>U</v>
      </c>
      <c r="G236" s="4" t="str">
        <f aca="false">IFERROR(INDEX(Positions!$E$2:$E$6912,MATCH($A236&amp;"|22",Positions!$A$2:$A$6912,0)),"-")</f>
        <v>U</v>
      </c>
      <c r="H236" s="3" t="str">
        <f aca="false">F236&amp;"-"&amp;G236</f>
        <v>U-U</v>
      </c>
      <c r="I236" s="4" t="n">
        <f aca="false">(F236="G")+(G236="G")</f>
        <v>0</v>
      </c>
      <c r="J236" s="4" t="n">
        <f aca="false">(F236="C")+(G236="C")</f>
        <v>0</v>
      </c>
      <c r="K236" s="3" t="n">
        <f aca="false">I236+J236</f>
        <v>0</v>
      </c>
    </row>
    <row r="237" customFormat="false" ht="15" hidden="false" customHeight="false" outlineLevel="0" collapsed="false">
      <c r="A237" s="4" t="s">
        <v>45</v>
      </c>
      <c r="B237" s="4" t="s">
        <v>446</v>
      </c>
      <c r="C237" s="4" t="s">
        <v>524</v>
      </c>
      <c r="D237" s="4" t="n">
        <f aca="false">IFERROR(INDEX(Positions!$D$2:$D$6912,MATCH($A237&amp;"|27",Positions!$A$2:$A$6912,0)),"-")</f>
        <v>29</v>
      </c>
      <c r="E237" s="4" t="n">
        <f aca="false">IFERROR(INDEX(Positions!$D$2:$D$6912,MATCH($A237&amp;"|43",Positions!$A$2:$A$6912,0)),"-")</f>
        <v>45</v>
      </c>
      <c r="F237" s="4" t="str">
        <f aca="false">IFERROR(INDEX(Positions!$E$2:$E$6912,MATCH($A237&amp;"|27",Positions!$A$2:$A$6912,0)),"-")</f>
        <v>C</v>
      </c>
      <c r="G237" s="4" t="str">
        <f aca="false">IFERROR(INDEX(Positions!$E$2:$E$6912,MATCH($A237&amp;"|43",Positions!$A$2:$A$6912,0)),"-")</f>
        <v>G</v>
      </c>
      <c r="H237" s="3" t="str">
        <f aca="false">F237&amp;"-"&amp;G237</f>
        <v>C-G</v>
      </c>
      <c r="I237" s="4" t="n">
        <f aca="false">(F237="G")+(G237="G")</f>
        <v>1</v>
      </c>
      <c r="J237" s="4" t="n">
        <f aca="false">(F237="C")+(G237="C")</f>
        <v>1</v>
      </c>
      <c r="K237" s="3" t="n">
        <f aca="false">I237+J237</f>
        <v>2</v>
      </c>
    </row>
    <row r="238" customFormat="false" ht="15" hidden="false" customHeight="false" outlineLevel="0" collapsed="false">
      <c r="A238" s="4" t="s">
        <v>45</v>
      </c>
      <c r="B238" s="4" t="s">
        <v>446</v>
      </c>
      <c r="C238" s="4" t="s">
        <v>525</v>
      </c>
      <c r="D238" s="4" t="n">
        <f aca="false">IFERROR(INDEX(Positions!$D$2:$D$6912,MATCH($A238&amp;"|28",Positions!$A$2:$A$6912,0)),"-")</f>
        <v>30</v>
      </c>
      <c r="E238" s="4" t="n">
        <f aca="false">IFERROR(INDEX(Positions!$D$2:$D$6912,MATCH($A238&amp;"|42",Positions!$A$2:$A$6912,0)),"-")</f>
        <v>44</v>
      </c>
      <c r="F238" s="4" t="str">
        <f aca="false">IFERROR(INDEX(Positions!$E$2:$E$6912,MATCH($A238&amp;"|28",Positions!$A$2:$A$6912,0)),"-")</f>
        <v>C</v>
      </c>
      <c r="G238" s="4" t="str">
        <f aca="false">IFERROR(INDEX(Positions!$E$2:$E$6912,MATCH($A238&amp;"|42",Positions!$A$2:$A$6912,0)),"-")</f>
        <v>G</v>
      </c>
      <c r="H238" s="3" t="str">
        <f aca="false">F238&amp;"-"&amp;G238</f>
        <v>C-G</v>
      </c>
      <c r="I238" s="4" t="n">
        <f aca="false">(F238="G")+(G238="G")</f>
        <v>1</v>
      </c>
      <c r="J238" s="4" t="n">
        <f aca="false">(F238="C")+(G238="C")</f>
        <v>1</v>
      </c>
      <c r="K238" s="3" t="n">
        <f aca="false">I238+J238</f>
        <v>2</v>
      </c>
    </row>
    <row r="239" customFormat="false" ht="15" hidden="false" customHeight="false" outlineLevel="0" collapsed="false">
      <c r="A239" s="4" t="s">
        <v>45</v>
      </c>
      <c r="B239" s="4" t="s">
        <v>446</v>
      </c>
      <c r="C239" s="4" t="s">
        <v>256</v>
      </c>
      <c r="D239" s="4" t="n">
        <f aca="false">IFERROR(INDEX(Positions!$D$2:$D$6912,MATCH($A239&amp;"|29",Positions!$A$2:$A$6912,0)),"-")</f>
        <v>31</v>
      </c>
      <c r="E239" s="4" t="n">
        <f aca="false">IFERROR(INDEX(Positions!$D$2:$D$6912,MATCH($A239&amp;"|41",Positions!$A$2:$A$6912,0)),"-")</f>
        <v>43</v>
      </c>
      <c r="F239" s="4" t="str">
        <f aca="false">IFERROR(INDEX(Positions!$E$2:$E$6912,MATCH($A239&amp;"|29",Positions!$A$2:$A$6912,0)),"-")</f>
        <v>U</v>
      </c>
      <c r="G239" s="4" t="str">
        <f aca="false">IFERROR(INDEX(Positions!$E$2:$E$6912,MATCH($A239&amp;"|41",Positions!$A$2:$A$6912,0)),"-")</f>
        <v>A</v>
      </c>
      <c r="H239" s="3" t="str">
        <f aca="false">F239&amp;"-"&amp;G239</f>
        <v>U-A</v>
      </c>
      <c r="I239" s="4" t="n">
        <f aca="false">(F239="G")+(G239="G")</f>
        <v>0</v>
      </c>
      <c r="J239" s="4" t="n">
        <f aca="false">(F239="C")+(G239="C")</f>
        <v>0</v>
      </c>
      <c r="K239" s="3" t="n">
        <f aca="false">I239+J239</f>
        <v>0</v>
      </c>
    </row>
    <row r="240" customFormat="false" ht="15" hidden="false" customHeight="false" outlineLevel="0" collapsed="false">
      <c r="A240" s="4" t="s">
        <v>45</v>
      </c>
      <c r="B240" s="4" t="s">
        <v>446</v>
      </c>
      <c r="C240" s="4" t="s">
        <v>526</v>
      </c>
      <c r="D240" s="4" t="n">
        <f aca="false">IFERROR(INDEX(Positions!$D$2:$D$6912,MATCH($A240&amp;"|30",Positions!$A$2:$A$6912,0)),"-")</f>
        <v>32</v>
      </c>
      <c r="E240" s="4" t="n">
        <f aca="false">IFERROR(INDEX(Positions!$D$2:$D$6912,MATCH($A240&amp;"|40",Positions!$A$2:$A$6912,0)),"-")</f>
        <v>42</v>
      </c>
      <c r="F240" s="4" t="str">
        <f aca="false">IFERROR(INDEX(Positions!$E$2:$E$6912,MATCH($A240&amp;"|30",Positions!$A$2:$A$6912,0)),"-")</f>
        <v>C</v>
      </c>
      <c r="G240" s="4" t="str">
        <f aca="false">IFERROR(INDEX(Positions!$E$2:$E$6912,MATCH($A240&amp;"|40",Positions!$A$2:$A$6912,0)),"-")</f>
        <v>G</v>
      </c>
      <c r="H240" s="3" t="str">
        <f aca="false">F240&amp;"-"&amp;G240</f>
        <v>C-G</v>
      </c>
      <c r="I240" s="4" t="n">
        <f aca="false">(F240="G")+(G240="G")</f>
        <v>1</v>
      </c>
      <c r="J240" s="4" t="n">
        <f aca="false">(F240="C")+(G240="C")</f>
        <v>1</v>
      </c>
      <c r="K240" s="3" t="n">
        <f aca="false">I240+J240</f>
        <v>2</v>
      </c>
    </row>
    <row r="241" customFormat="false" ht="15" hidden="false" customHeight="false" outlineLevel="0" collapsed="false">
      <c r="A241" s="4" t="s">
        <v>45</v>
      </c>
      <c r="B241" s="4" t="s">
        <v>446</v>
      </c>
      <c r="C241" s="4" t="s">
        <v>273</v>
      </c>
      <c r="D241" s="4" t="n">
        <f aca="false">IFERROR(INDEX(Positions!$D$2:$D$6912,MATCH($A241&amp;"|31",Positions!$A$2:$A$6912,0)),"-")</f>
        <v>33</v>
      </c>
      <c r="E241" s="4" t="n">
        <f aca="false">IFERROR(INDEX(Positions!$D$2:$D$6912,MATCH($A241&amp;"|39",Positions!$A$2:$A$6912,0)),"-")</f>
        <v>41</v>
      </c>
      <c r="F241" s="4" t="str">
        <f aca="false">IFERROR(INDEX(Positions!$E$2:$E$6912,MATCH($A241&amp;"|31",Positions!$A$2:$A$6912,0)),"-")</f>
        <v>C</v>
      </c>
      <c r="G241" s="4" t="str">
        <f aca="false">IFERROR(INDEX(Positions!$E$2:$E$6912,MATCH($A241&amp;"|39",Positions!$A$2:$A$6912,0)),"-")</f>
        <v>G</v>
      </c>
      <c r="H241" s="3" t="str">
        <f aca="false">F241&amp;"-"&amp;G241</f>
        <v>C-G</v>
      </c>
      <c r="I241" s="4" t="n">
        <f aca="false">(F241="G")+(G241="G")</f>
        <v>1</v>
      </c>
      <c r="J241" s="4" t="n">
        <f aca="false">(F241="C")+(G241="C")</f>
        <v>1</v>
      </c>
      <c r="K241" s="3" t="n">
        <f aca="false">I241+J241</f>
        <v>2</v>
      </c>
    </row>
    <row r="242" customFormat="false" ht="15" hidden="false" customHeight="false" outlineLevel="0" collapsed="false">
      <c r="A242" s="4" t="s">
        <v>45</v>
      </c>
      <c r="B242" s="4" t="s">
        <v>471</v>
      </c>
      <c r="C242" s="4" t="s">
        <v>367</v>
      </c>
      <c r="D242" s="4" t="n">
        <f aca="false">IFERROR(INDEX(Positions!$D$2:$D$6912,MATCH($A242&amp;"|49",Positions!$A$2:$A$6912,0)),"-")</f>
        <v>51</v>
      </c>
      <c r="E242" s="4" t="n">
        <f aca="false">IFERROR(INDEX(Positions!$D$2:$D$6912,MATCH($A242&amp;"|65",Positions!$A$2:$A$6912,0)),"-")</f>
        <v>67</v>
      </c>
      <c r="F242" s="4" t="str">
        <f aca="false">IFERROR(INDEX(Positions!$E$2:$E$6912,MATCH($A242&amp;"|49",Positions!$A$2:$A$6912,0)),"-")</f>
        <v>G</v>
      </c>
      <c r="G242" s="4" t="str">
        <f aca="false">IFERROR(INDEX(Positions!$E$2:$E$6912,MATCH($A242&amp;"|65",Positions!$A$2:$A$6912,0)),"-")</f>
        <v>C</v>
      </c>
      <c r="H242" s="3" t="str">
        <f aca="false">F242&amp;"-"&amp;G242</f>
        <v>G-C</v>
      </c>
      <c r="I242" s="4" t="n">
        <f aca="false">(F242="G")+(G242="G")</f>
        <v>1</v>
      </c>
      <c r="J242" s="4" t="n">
        <f aca="false">(F242="C")+(G242="C")</f>
        <v>1</v>
      </c>
      <c r="K242" s="3" t="n">
        <f aca="false">I242+J242</f>
        <v>2</v>
      </c>
    </row>
    <row r="243" customFormat="false" ht="15" hidden="false" customHeight="false" outlineLevel="0" collapsed="false">
      <c r="A243" s="4" t="s">
        <v>45</v>
      </c>
      <c r="B243" s="4" t="s">
        <v>471</v>
      </c>
      <c r="C243" s="4" t="s">
        <v>233</v>
      </c>
      <c r="D243" s="4" t="n">
        <f aca="false">IFERROR(INDEX(Positions!$D$2:$D$6912,MATCH($A243&amp;"|50",Positions!$A$2:$A$6912,0)),"-")</f>
        <v>52</v>
      </c>
      <c r="E243" s="4" t="n">
        <f aca="false">IFERROR(INDEX(Positions!$D$2:$D$6912,MATCH($A243&amp;"|64",Positions!$A$2:$A$6912,0)),"-")</f>
        <v>66</v>
      </c>
      <c r="F243" s="4" t="str">
        <f aca="false">IFERROR(INDEX(Positions!$E$2:$E$6912,MATCH($A243&amp;"|50",Positions!$A$2:$A$6912,0)),"-")</f>
        <v>G</v>
      </c>
      <c r="G243" s="4" t="str">
        <f aca="false">IFERROR(INDEX(Positions!$E$2:$E$6912,MATCH($A243&amp;"|64",Positions!$A$2:$A$6912,0)),"-")</f>
        <v>C</v>
      </c>
      <c r="H243" s="3" t="str">
        <f aca="false">F243&amp;"-"&amp;G243</f>
        <v>G-C</v>
      </c>
      <c r="I243" s="4" t="n">
        <f aca="false">(F243="G")+(G243="G")</f>
        <v>1</v>
      </c>
      <c r="J243" s="4" t="n">
        <f aca="false">(F243="C")+(G243="C")</f>
        <v>1</v>
      </c>
      <c r="K243" s="3" t="n">
        <f aca="false">I243+J243</f>
        <v>2</v>
      </c>
    </row>
    <row r="244" customFormat="false" ht="15" hidden="false" customHeight="false" outlineLevel="0" collapsed="false">
      <c r="A244" s="4" t="s">
        <v>45</v>
      </c>
      <c r="B244" s="4" t="s">
        <v>471</v>
      </c>
      <c r="C244" s="4" t="s">
        <v>527</v>
      </c>
      <c r="D244" s="4" t="n">
        <f aca="false">IFERROR(INDEX(Positions!$D$2:$D$6912,MATCH($A244&amp;"|51",Positions!$A$2:$A$6912,0)),"-")</f>
        <v>53</v>
      </c>
      <c r="E244" s="4" t="n">
        <f aca="false">IFERROR(INDEX(Positions!$D$2:$D$6912,MATCH($A244&amp;"|63",Positions!$A$2:$A$6912,0)),"-")</f>
        <v>65</v>
      </c>
      <c r="F244" s="4" t="str">
        <f aca="false">IFERROR(INDEX(Positions!$E$2:$E$6912,MATCH($A244&amp;"|51",Positions!$A$2:$A$6912,0)),"-")</f>
        <v>C</v>
      </c>
      <c r="G244" s="4" t="str">
        <f aca="false">IFERROR(INDEX(Positions!$E$2:$E$6912,MATCH($A244&amp;"|63",Positions!$A$2:$A$6912,0)),"-")</f>
        <v>G</v>
      </c>
      <c r="H244" s="3" t="str">
        <f aca="false">F244&amp;"-"&amp;G244</f>
        <v>C-G</v>
      </c>
      <c r="I244" s="4" t="n">
        <f aca="false">(F244="G")+(G244="G")</f>
        <v>1</v>
      </c>
      <c r="J244" s="4" t="n">
        <f aca="false">(F244="C")+(G244="C")</f>
        <v>1</v>
      </c>
      <c r="K244" s="3" t="n">
        <f aca="false">I244+J244</f>
        <v>2</v>
      </c>
    </row>
    <row r="245" customFormat="false" ht="15" hidden="false" customHeight="false" outlineLevel="0" collapsed="false">
      <c r="A245" s="4" t="s">
        <v>45</v>
      </c>
      <c r="B245" s="4" t="s">
        <v>471</v>
      </c>
      <c r="C245" s="4" t="s">
        <v>528</v>
      </c>
      <c r="D245" s="4" t="n">
        <f aca="false">IFERROR(INDEX(Positions!$D$2:$D$6912,MATCH($A245&amp;"|52",Positions!$A$2:$A$6912,0)),"-")</f>
        <v>54</v>
      </c>
      <c r="E245" s="4" t="n">
        <f aca="false">IFERROR(INDEX(Positions!$D$2:$D$6912,MATCH($A245&amp;"|62",Positions!$A$2:$A$6912,0)),"-")</f>
        <v>64</v>
      </c>
      <c r="F245" s="4" t="str">
        <f aca="false">IFERROR(INDEX(Positions!$E$2:$E$6912,MATCH($A245&amp;"|52",Positions!$A$2:$A$6912,0)),"-")</f>
        <v>G</v>
      </c>
      <c r="G245" s="4" t="str">
        <f aca="false">IFERROR(INDEX(Positions!$E$2:$E$6912,MATCH($A245&amp;"|62",Positions!$A$2:$A$6912,0)),"-")</f>
        <v>C</v>
      </c>
      <c r="H245" s="3" t="str">
        <f aca="false">F245&amp;"-"&amp;G245</f>
        <v>G-C</v>
      </c>
      <c r="I245" s="4" t="n">
        <f aca="false">(F245="G")+(G245="G")</f>
        <v>1</v>
      </c>
      <c r="J245" s="4" t="n">
        <f aca="false">(F245="C")+(G245="C")</f>
        <v>1</v>
      </c>
      <c r="K245" s="3" t="n">
        <f aca="false">I245+J245</f>
        <v>2</v>
      </c>
    </row>
    <row r="246" customFormat="false" ht="15" hidden="false" customHeight="false" outlineLevel="0" collapsed="false">
      <c r="A246" s="4" t="s">
        <v>45</v>
      </c>
      <c r="B246" s="4" t="s">
        <v>471</v>
      </c>
      <c r="C246" s="4" t="s">
        <v>529</v>
      </c>
      <c r="D246" s="4" t="n">
        <f aca="false">IFERROR(INDEX(Positions!$D$2:$D$6912,MATCH($A246&amp;"|53",Positions!$A$2:$A$6912,0)),"-")</f>
        <v>55</v>
      </c>
      <c r="E246" s="4" t="n">
        <f aca="false">IFERROR(INDEX(Positions!$D$2:$D$6912,MATCH($A246&amp;"|61",Positions!$A$2:$A$6912,0)),"-")</f>
        <v>63</v>
      </c>
      <c r="F246" s="4" t="str">
        <f aca="false">IFERROR(INDEX(Positions!$E$2:$E$6912,MATCH($A246&amp;"|53",Positions!$A$2:$A$6912,0)),"-")</f>
        <v>G</v>
      </c>
      <c r="G246" s="4" t="str">
        <f aca="false">IFERROR(INDEX(Positions!$E$2:$E$6912,MATCH($A246&amp;"|61",Positions!$A$2:$A$6912,0)),"-")</f>
        <v>C</v>
      </c>
      <c r="H246" s="3" t="str">
        <f aca="false">F246&amp;"-"&amp;G246</f>
        <v>G-C</v>
      </c>
      <c r="I246" s="4" t="n">
        <f aca="false">(F246="G")+(G246="G")</f>
        <v>1</v>
      </c>
      <c r="J246" s="4" t="n">
        <f aca="false">(F246="C")+(G246="C")</f>
        <v>1</v>
      </c>
      <c r="K246" s="3" t="n">
        <f aca="false">I246+J246</f>
        <v>2</v>
      </c>
    </row>
    <row r="247" customFormat="false" ht="15" hidden="false" customHeight="false" outlineLevel="0" collapsed="false">
      <c r="A247" s="24" t="s">
        <v>45</v>
      </c>
      <c r="B247" s="24" t="s">
        <v>530</v>
      </c>
      <c r="C247" s="24" t="s">
        <v>531</v>
      </c>
      <c r="D247" s="24" t="n">
        <f aca="false">IFERROR(INDEX(Positions!$D$2:$D$6912,MATCH($A247&amp;"|8",Positions!$A$2:$A$6912,0)),"-")</f>
        <v>8</v>
      </c>
      <c r="E247" s="24" t="n">
        <f aca="false">IFERROR(INDEX(Positions!$D$2:$D$6912,MATCH($A247&amp;"|14",Positions!$A$2:$A$6912,0)),"-")</f>
        <v>14</v>
      </c>
      <c r="F247" s="24" t="str">
        <f aca="false">IFERROR(INDEX(Positions!$E$2:$E$6912,MATCH($A247&amp;"|8",Positions!$A$2:$A$6912,0)),"-")</f>
        <v>U</v>
      </c>
      <c r="G247" s="24" t="str">
        <f aca="false">IFERROR(INDEX(Positions!$E$2:$E$6912,MATCH($A247&amp;"|14",Positions!$A$2:$A$6912,0)),"-")</f>
        <v>A</v>
      </c>
      <c r="H247" s="25" t="str">
        <f aca="false">F247&amp;"-"&amp;G247</f>
        <v>U-A</v>
      </c>
      <c r="I247" s="24" t="n">
        <f aca="false">(F247="G")+(G247="G")</f>
        <v>0</v>
      </c>
      <c r="J247" s="24" t="n">
        <f aca="false">(F247="C")+(G247="C")</f>
        <v>0</v>
      </c>
      <c r="K247" s="25" t="n">
        <f aca="false">I247+J247</f>
        <v>0</v>
      </c>
    </row>
    <row r="248" customFormat="false" ht="15" hidden="false" customHeight="false" outlineLevel="0" collapsed="false">
      <c r="A248" s="24" t="s">
        <v>45</v>
      </c>
      <c r="B248" s="24" t="s">
        <v>530</v>
      </c>
      <c r="C248" s="24" t="s">
        <v>532</v>
      </c>
      <c r="D248" s="24" t="n">
        <f aca="false">IFERROR(INDEX(Positions!$D$2:$D$6912,MATCH($A248&amp;"|15",Positions!$A$2:$A$6912,0)),"-")</f>
        <v>15</v>
      </c>
      <c r="E248" s="24" t="n">
        <f aca="false">IFERROR(INDEX(Positions!$D$2:$D$6912,MATCH($A248&amp;"|48",Positions!$A$2:$A$6912,0)),"-")</f>
        <v>50</v>
      </c>
      <c r="F248" s="24" t="str">
        <f aca="false">IFERROR(INDEX(Positions!$E$2:$E$6912,MATCH($A248&amp;"|15",Positions!$A$2:$A$6912,0)),"-")</f>
        <v>G</v>
      </c>
      <c r="G248" s="24" t="str">
        <f aca="false">IFERROR(INDEX(Positions!$E$2:$E$6912,MATCH($A248&amp;"|48",Positions!$A$2:$A$6912,0)),"-")</f>
        <v>C</v>
      </c>
      <c r="H248" s="25" t="str">
        <f aca="false">F248&amp;"-"&amp;G248</f>
        <v>G-C</v>
      </c>
      <c r="I248" s="24" t="n">
        <f aca="false">(F248="G")+(G248="G")</f>
        <v>1</v>
      </c>
      <c r="J248" s="24" t="n">
        <f aca="false">(F248="C")+(G248="C")</f>
        <v>1</v>
      </c>
      <c r="K248" s="25" t="n">
        <f aca="false">I248+J248</f>
        <v>2</v>
      </c>
    </row>
    <row r="249" customFormat="false" ht="15" hidden="false" customHeight="false" outlineLevel="0" collapsed="false">
      <c r="A249" s="24" t="s">
        <v>45</v>
      </c>
      <c r="B249" s="24" t="s">
        <v>530</v>
      </c>
      <c r="C249" s="24" t="s">
        <v>533</v>
      </c>
      <c r="D249" s="24" t="n">
        <f aca="false">IFERROR(INDEX(Positions!$D$2:$D$6912,MATCH($A249&amp;"|18",Positions!$A$2:$A$6912,0)),"-")</f>
        <v>19</v>
      </c>
      <c r="E249" s="24" t="n">
        <f aca="false">IFERROR(INDEX(Positions!$D$2:$D$6912,MATCH($A249&amp;"|55",Positions!$A$2:$A$6912,0)),"-")</f>
        <v>57</v>
      </c>
      <c r="F249" s="24" t="str">
        <f aca="false">IFERROR(INDEX(Positions!$E$2:$E$6912,MATCH($A249&amp;"|18",Positions!$A$2:$A$6912,0)),"-")</f>
        <v>G</v>
      </c>
      <c r="G249" s="24" t="str">
        <f aca="false">IFERROR(INDEX(Positions!$E$2:$E$6912,MATCH($A249&amp;"|55",Positions!$A$2:$A$6912,0)),"-")</f>
        <v>U</v>
      </c>
      <c r="H249" s="25" t="str">
        <f aca="false">F249&amp;"-"&amp;G249</f>
        <v>G-U</v>
      </c>
      <c r="I249" s="24" t="n">
        <f aca="false">(F249="G")+(G249="G")</f>
        <v>1</v>
      </c>
      <c r="J249" s="24" t="n">
        <f aca="false">(F249="C")+(G249="C")</f>
        <v>0</v>
      </c>
      <c r="K249" s="25" t="n">
        <f aca="false">I249+J249</f>
        <v>1</v>
      </c>
    </row>
    <row r="250" customFormat="false" ht="15" hidden="false" customHeight="false" outlineLevel="0" collapsed="false">
      <c r="A250" s="24" t="s">
        <v>45</v>
      </c>
      <c r="B250" s="24" t="s">
        <v>530</v>
      </c>
      <c r="C250" s="24" t="s">
        <v>534</v>
      </c>
      <c r="D250" s="24" t="n">
        <f aca="false">IFERROR(INDEX(Positions!$D$2:$D$6912,MATCH($A250&amp;"|19",Positions!$A$2:$A$6912,0)),"-")</f>
        <v>20</v>
      </c>
      <c r="E250" s="24" t="n">
        <f aca="false">IFERROR(INDEX(Positions!$D$2:$D$6912,MATCH($A250&amp;"|56",Positions!$A$2:$A$6912,0)),"-")</f>
        <v>58</v>
      </c>
      <c r="F250" s="24" t="str">
        <f aca="false">IFERROR(INDEX(Positions!$E$2:$E$6912,MATCH($A250&amp;"|19",Positions!$A$2:$A$6912,0)),"-")</f>
        <v>G</v>
      </c>
      <c r="G250" s="24" t="str">
        <f aca="false">IFERROR(INDEX(Positions!$E$2:$E$6912,MATCH($A250&amp;"|56",Positions!$A$2:$A$6912,0)),"-")</f>
        <v>C</v>
      </c>
      <c r="H250" s="25" t="str">
        <f aca="false">F250&amp;"-"&amp;G250</f>
        <v>G-C</v>
      </c>
      <c r="I250" s="24" t="n">
        <f aca="false">(F250="G")+(G250="G")</f>
        <v>1</v>
      </c>
      <c r="J250" s="24" t="n">
        <f aca="false">(F250="C")+(G250="C")</f>
        <v>1</v>
      </c>
      <c r="K250" s="25" t="n">
        <f aca="false">I250+J250</f>
        <v>2</v>
      </c>
    </row>
    <row r="251" customFormat="false" ht="15" hidden="false" customHeight="false" outlineLevel="0" collapsed="false">
      <c r="A251" s="24" t="s">
        <v>45</v>
      </c>
      <c r="B251" s="24" t="s">
        <v>530</v>
      </c>
      <c r="C251" s="24" t="s">
        <v>535</v>
      </c>
      <c r="D251" s="24" t="n">
        <f aca="false">IFERROR(INDEX(Positions!$D$2:$D$6912,MATCH($A251&amp;"|26",Positions!$A$2:$A$6912,0)),"-")</f>
        <v>28</v>
      </c>
      <c r="E251" s="24" t="n">
        <f aca="false">IFERROR(INDEX(Positions!$D$2:$D$6912,MATCH($A251&amp;"|44",Positions!$A$2:$A$6912,0)),"-")</f>
        <v>46</v>
      </c>
      <c r="F251" s="24" t="str">
        <f aca="false">IFERROR(INDEX(Positions!$E$2:$E$6912,MATCH($A251&amp;"|26",Positions!$A$2:$A$6912,0)),"-")</f>
        <v>A</v>
      </c>
      <c r="G251" s="24" t="str">
        <f aca="false">IFERROR(INDEX(Positions!$E$2:$E$6912,MATCH($A251&amp;"|44",Positions!$A$2:$A$6912,0)),"-")</f>
        <v>A</v>
      </c>
      <c r="H251" s="25" t="str">
        <f aca="false">F251&amp;"-"&amp;G251</f>
        <v>A-A</v>
      </c>
      <c r="I251" s="24" t="n">
        <f aca="false">(F251="G")+(G251="G")</f>
        <v>0</v>
      </c>
      <c r="J251" s="24" t="n">
        <f aca="false">(F251="C")+(G251="C")</f>
        <v>0</v>
      </c>
      <c r="K251" s="25" t="n">
        <f aca="false">I251+J251</f>
        <v>0</v>
      </c>
    </row>
    <row r="252" customFormat="false" ht="15" hidden="false" customHeight="false" outlineLevel="0" collapsed="false">
      <c r="A252" s="24" t="s">
        <v>45</v>
      </c>
      <c r="B252" s="24" t="s">
        <v>530</v>
      </c>
      <c r="C252" s="24" t="s">
        <v>536</v>
      </c>
      <c r="D252" s="24" t="n">
        <f aca="false">IFERROR(INDEX(Positions!$D$2:$D$6912,MATCH($A252&amp;"|32",Positions!$A$2:$A$6912,0)),"-")</f>
        <v>34</v>
      </c>
      <c r="E252" s="24" t="n">
        <f aca="false">IFERROR(INDEX(Positions!$D$2:$D$6912,MATCH($A252&amp;"|38",Positions!$A$2:$A$6912,0)),"-")</f>
        <v>40</v>
      </c>
      <c r="F252" s="24" t="str">
        <f aca="false">IFERROR(INDEX(Positions!$E$2:$E$6912,MATCH($A252&amp;"|32",Positions!$A$2:$A$6912,0)),"-")</f>
        <v>U</v>
      </c>
      <c r="G252" s="24" t="str">
        <f aca="false">IFERROR(INDEX(Positions!$E$2:$E$6912,MATCH($A252&amp;"|38",Positions!$A$2:$A$6912,0)),"-")</f>
        <v>U</v>
      </c>
      <c r="H252" s="25" t="str">
        <f aca="false">F252&amp;"-"&amp;G252</f>
        <v>U-U</v>
      </c>
      <c r="I252" s="24" t="n">
        <f aca="false">(F252="G")+(G252="G")</f>
        <v>0</v>
      </c>
      <c r="J252" s="24" t="n">
        <f aca="false">(F252="C")+(G252="C")</f>
        <v>0</v>
      </c>
      <c r="K252" s="25" t="n">
        <f aca="false">I252+J252</f>
        <v>0</v>
      </c>
    </row>
    <row r="253" customFormat="false" ht="15" hidden="false" customHeight="false" outlineLevel="0" collapsed="false">
      <c r="A253" s="24" t="s">
        <v>45</v>
      </c>
      <c r="B253" s="24" t="s">
        <v>530</v>
      </c>
      <c r="C253" s="24" t="s">
        <v>537</v>
      </c>
      <c r="D253" s="24" t="n">
        <f aca="false">IFERROR(INDEX(Positions!$D$2:$D$6912,MATCH($A253&amp;"|54",Positions!$A$2:$A$6912,0)),"-")</f>
        <v>56</v>
      </c>
      <c r="E253" s="24" t="n">
        <f aca="false">IFERROR(INDEX(Positions!$D$2:$D$6912,MATCH($A253&amp;"|58",Positions!$A$2:$A$6912,0)),"-")</f>
        <v>60</v>
      </c>
      <c r="F253" s="24" t="str">
        <f aca="false">IFERROR(INDEX(Positions!$E$2:$E$6912,MATCH($A253&amp;"|54",Positions!$A$2:$A$6912,0)),"-")</f>
        <v>U</v>
      </c>
      <c r="G253" s="24" t="str">
        <f aca="false">IFERROR(INDEX(Positions!$E$2:$E$6912,MATCH($A253&amp;"|58",Positions!$A$2:$A$6912,0)),"-")</f>
        <v>A</v>
      </c>
      <c r="H253" s="25" t="str">
        <f aca="false">F253&amp;"-"&amp;G253</f>
        <v>U-A</v>
      </c>
      <c r="I253" s="24" t="n">
        <f aca="false">(F253="G")+(G253="G")</f>
        <v>0</v>
      </c>
      <c r="J253" s="24" t="n">
        <f aca="false">(F253="C")+(G253="C")</f>
        <v>0</v>
      </c>
      <c r="K253" s="25" t="n">
        <f aca="false">I253+J253</f>
        <v>0</v>
      </c>
    </row>
    <row r="254" customFormat="false" ht="15" hidden="false" customHeight="false" outlineLevel="0" collapsed="false">
      <c r="A254" s="4" t="s">
        <v>46</v>
      </c>
      <c r="B254" s="4" t="s">
        <v>412</v>
      </c>
      <c r="C254" s="4" t="s">
        <v>517</v>
      </c>
      <c r="D254" s="4" t="n">
        <f aca="false">IFERROR(INDEX(Positions!$D$2:$D$6912,MATCH($A254&amp;"|1",Positions!$A$2:$A$6912,0)),"-")</f>
        <v>1</v>
      </c>
      <c r="E254" s="4" t="n">
        <f aca="false">IFERROR(INDEX(Positions!$D$2:$D$6912,MATCH($A254&amp;"|72",Positions!$A$2:$A$6912,0)),"-")</f>
        <v>74</v>
      </c>
      <c r="F254" s="4" t="str">
        <f aca="false">IFERROR(INDEX(Positions!$E$2:$E$6912,MATCH($A254&amp;"|1",Positions!$A$2:$A$6912,0)),"-")</f>
        <v>G</v>
      </c>
      <c r="G254" s="4" t="str">
        <f aca="false">IFERROR(INDEX(Positions!$E$2:$E$6912,MATCH($A254&amp;"|72",Positions!$A$2:$A$6912,0)),"-")</f>
        <v>C</v>
      </c>
      <c r="H254" s="3" t="str">
        <f aca="false">F254&amp;"-"&amp;G254</f>
        <v>G-C</v>
      </c>
      <c r="I254" s="4" t="n">
        <f aca="false">(F254="G")+(G254="G")</f>
        <v>1</v>
      </c>
      <c r="J254" s="4" t="n">
        <f aca="false">(F254="C")+(G254="C")</f>
        <v>1</v>
      </c>
      <c r="K254" s="3" t="n">
        <f aca="false">I254+J254</f>
        <v>2</v>
      </c>
    </row>
    <row r="255" customFormat="false" ht="15" hidden="false" customHeight="false" outlineLevel="0" collapsed="false">
      <c r="A255" s="4" t="s">
        <v>46</v>
      </c>
      <c r="B255" s="4" t="s">
        <v>412</v>
      </c>
      <c r="C255" s="4" t="s">
        <v>518</v>
      </c>
      <c r="D255" s="4" t="n">
        <f aca="false">IFERROR(INDEX(Positions!$D$2:$D$6912,MATCH($A255&amp;"|2",Positions!$A$2:$A$6912,0)),"-")</f>
        <v>2</v>
      </c>
      <c r="E255" s="4" t="n">
        <f aca="false">IFERROR(INDEX(Positions!$D$2:$D$6912,MATCH($A255&amp;"|71",Positions!$A$2:$A$6912,0)),"-")</f>
        <v>73</v>
      </c>
      <c r="F255" s="4" t="str">
        <f aca="false">IFERROR(INDEX(Positions!$E$2:$E$6912,MATCH($A255&amp;"|2",Positions!$A$2:$A$6912,0)),"-")</f>
        <v>G</v>
      </c>
      <c r="G255" s="4" t="str">
        <f aca="false">IFERROR(INDEX(Positions!$E$2:$E$6912,MATCH($A255&amp;"|71",Positions!$A$2:$A$6912,0)),"-")</f>
        <v>C</v>
      </c>
      <c r="H255" s="3" t="str">
        <f aca="false">F255&amp;"-"&amp;G255</f>
        <v>G-C</v>
      </c>
      <c r="I255" s="4" t="n">
        <f aca="false">(F255="G")+(G255="G")</f>
        <v>1</v>
      </c>
      <c r="J255" s="4" t="n">
        <f aca="false">(F255="C")+(G255="C")</f>
        <v>1</v>
      </c>
      <c r="K255" s="3" t="n">
        <f aca="false">I255+J255</f>
        <v>2</v>
      </c>
    </row>
    <row r="256" customFormat="false" ht="15" hidden="false" customHeight="false" outlineLevel="0" collapsed="false">
      <c r="A256" s="4" t="s">
        <v>46</v>
      </c>
      <c r="B256" s="4" t="s">
        <v>412</v>
      </c>
      <c r="C256" s="4" t="s">
        <v>386</v>
      </c>
      <c r="D256" s="4" t="n">
        <f aca="false">IFERROR(INDEX(Positions!$D$2:$D$6912,MATCH($A256&amp;"|3",Positions!$A$2:$A$6912,0)),"-")</f>
        <v>3</v>
      </c>
      <c r="E256" s="4" t="n">
        <f aca="false">IFERROR(INDEX(Positions!$D$2:$D$6912,MATCH($A256&amp;"|70",Positions!$A$2:$A$6912,0)),"-")</f>
        <v>72</v>
      </c>
      <c r="F256" s="4" t="str">
        <f aca="false">IFERROR(INDEX(Positions!$E$2:$E$6912,MATCH($A256&amp;"|3",Positions!$A$2:$A$6912,0)),"-")</f>
        <v>G</v>
      </c>
      <c r="G256" s="4" t="str">
        <f aca="false">IFERROR(INDEX(Positions!$E$2:$E$6912,MATCH($A256&amp;"|70",Positions!$A$2:$A$6912,0)),"-")</f>
        <v>C</v>
      </c>
      <c r="H256" s="3" t="str">
        <f aca="false">F256&amp;"-"&amp;G256</f>
        <v>G-C</v>
      </c>
      <c r="I256" s="4" t="n">
        <f aca="false">(F256="G")+(G256="G")</f>
        <v>1</v>
      </c>
      <c r="J256" s="4" t="n">
        <f aca="false">(F256="C")+(G256="C")</f>
        <v>1</v>
      </c>
      <c r="K256" s="3" t="n">
        <f aca="false">I256+J256</f>
        <v>2</v>
      </c>
    </row>
    <row r="257" customFormat="false" ht="15" hidden="false" customHeight="false" outlineLevel="0" collapsed="false">
      <c r="A257" s="4" t="s">
        <v>46</v>
      </c>
      <c r="B257" s="4" t="s">
        <v>412</v>
      </c>
      <c r="C257" s="4" t="s">
        <v>519</v>
      </c>
      <c r="D257" s="4" t="n">
        <f aca="false">IFERROR(INDEX(Positions!$D$2:$D$6912,MATCH($A257&amp;"|4",Positions!$A$2:$A$6912,0)),"-")</f>
        <v>4</v>
      </c>
      <c r="E257" s="4" t="n">
        <f aca="false">IFERROR(INDEX(Positions!$D$2:$D$6912,MATCH($A257&amp;"|69",Positions!$A$2:$A$6912,0)),"-")</f>
        <v>71</v>
      </c>
      <c r="F257" s="4" t="str">
        <f aca="false">IFERROR(INDEX(Positions!$E$2:$E$6912,MATCH($A257&amp;"|4",Positions!$A$2:$A$6912,0)),"-")</f>
        <v>U</v>
      </c>
      <c r="G257" s="4" t="str">
        <f aca="false">IFERROR(INDEX(Positions!$E$2:$E$6912,MATCH($A257&amp;"|69",Positions!$A$2:$A$6912,0)),"-")</f>
        <v>A</v>
      </c>
      <c r="H257" s="3" t="str">
        <f aca="false">F257&amp;"-"&amp;G257</f>
        <v>U-A</v>
      </c>
      <c r="I257" s="4" t="n">
        <f aca="false">(F257="G")+(G257="G")</f>
        <v>0</v>
      </c>
      <c r="J257" s="4" t="n">
        <f aca="false">(F257="C")+(G257="C")</f>
        <v>0</v>
      </c>
      <c r="K257" s="3" t="n">
        <f aca="false">I257+J257</f>
        <v>0</v>
      </c>
    </row>
    <row r="258" customFormat="false" ht="15" hidden="false" customHeight="false" outlineLevel="0" collapsed="false">
      <c r="A258" s="4" t="s">
        <v>46</v>
      </c>
      <c r="B258" s="4" t="s">
        <v>412</v>
      </c>
      <c r="C258" s="4" t="s">
        <v>283</v>
      </c>
      <c r="D258" s="4" t="n">
        <f aca="false">IFERROR(INDEX(Positions!$D$2:$D$6912,MATCH($A258&amp;"|5",Positions!$A$2:$A$6912,0)),"-")</f>
        <v>5</v>
      </c>
      <c r="E258" s="4" t="n">
        <f aca="false">IFERROR(INDEX(Positions!$D$2:$D$6912,MATCH($A258&amp;"|68",Positions!$A$2:$A$6912,0)),"-")</f>
        <v>70</v>
      </c>
      <c r="F258" s="4" t="str">
        <f aca="false">IFERROR(INDEX(Positions!$E$2:$E$6912,MATCH($A258&amp;"|5",Positions!$A$2:$A$6912,0)),"-")</f>
        <v>U</v>
      </c>
      <c r="G258" s="4" t="str">
        <f aca="false">IFERROR(INDEX(Positions!$E$2:$E$6912,MATCH($A258&amp;"|68",Positions!$A$2:$A$6912,0)),"-")</f>
        <v>A</v>
      </c>
      <c r="H258" s="3" t="str">
        <f aca="false">F258&amp;"-"&amp;G258</f>
        <v>U-A</v>
      </c>
      <c r="I258" s="4" t="n">
        <f aca="false">(F258="G")+(G258="G")</f>
        <v>0</v>
      </c>
      <c r="J258" s="4" t="n">
        <f aca="false">(F258="C")+(G258="C")</f>
        <v>0</v>
      </c>
      <c r="K258" s="3" t="n">
        <f aca="false">I258+J258</f>
        <v>0</v>
      </c>
    </row>
    <row r="259" customFormat="false" ht="15" hidden="false" customHeight="false" outlineLevel="0" collapsed="false">
      <c r="A259" s="4" t="s">
        <v>46</v>
      </c>
      <c r="B259" s="4" t="s">
        <v>412</v>
      </c>
      <c r="C259" s="4" t="s">
        <v>520</v>
      </c>
      <c r="D259" s="4" t="n">
        <f aca="false">IFERROR(INDEX(Positions!$D$2:$D$6912,MATCH($A259&amp;"|6",Positions!$A$2:$A$6912,0)),"-")</f>
        <v>6</v>
      </c>
      <c r="E259" s="4" t="n">
        <f aca="false">IFERROR(INDEX(Positions!$D$2:$D$6912,MATCH($A259&amp;"|67",Positions!$A$2:$A$6912,0)),"-")</f>
        <v>69</v>
      </c>
      <c r="F259" s="4" t="str">
        <f aca="false">IFERROR(INDEX(Positions!$E$2:$E$6912,MATCH($A259&amp;"|6",Positions!$A$2:$A$6912,0)),"-")</f>
        <v>G</v>
      </c>
      <c r="G259" s="4" t="str">
        <f aca="false">IFERROR(INDEX(Positions!$E$2:$E$6912,MATCH($A259&amp;"|67",Positions!$A$2:$A$6912,0)),"-")</f>
        <v>C</v>
      </c>
      <c r="H259" s="3" t="str">
        <f aca="false">F259&amp;"-"&amp;G259</f>
        <v>G-C</v>
      </c>
      <c r="I259" s="4" t="n">
        <f aca="false">(F259="G")+(G259="G")</f>
        <v>1</v>
      </c>
      <c r="J259" s="4" t="n">
        <f aca="false">(F259="C")+(G259="C")</f>
        <v>1</v>
      </c>
      <c r="K259" s="3" t="n">
        <f aca="false">I259+J259</f>
        <v>2</v>
      </c>
    </row>
    <row r="260" customFormat="false" ht="15" hidden="false" customHeight="false" outlineLevel="0" collapsed="false">
      <c r="A260" s="4" t="s">
        <v>46</v>
      </c>
      <c r="B260" s="4" t="s">
        <v>412</v>
      </c>
      <c r="C260" s="4" t="s">
        <v>521</v>
      </c>
      <c r="D260" s="4" t="n">
        <f aca="false">IFERROR(INDEX(Positions!$D$2:$D$6912,MATCH($A260&amp;"|7",Positions!$A$2:$A$6912,0)),"-")</f>
        <v>7</v>
      </c>
      <c r="E260" s="4" t="n">
        <f aca="false">IFERROR(INDEX(Positions!$D$2:$D$6912,MATCH($A260&amp;"|66",Positions!$A$2:$A$6912,0)),"-")</f>
        <v>68</v>
      </c>
      <c r="F260" s="4" t="str">
        <f aca="false">IFERROR(INDEX(Positions!$E$2:$E$6912,MATCH($A260&amp;"|7",Positions!$A$2:$A$6912,0)),"-")</f>
        <v>G</v>
      </c>
      <c r="G260" s="4" t="str">
        <f aca="false">IFERROR(INDEX(Positions!$E$2:$E$6912,MATCH($A260&amp;"|66",Positions!$A$2:$A$6912,0)),"-")</f>
        <v>C</v>
      </c>
      <c r="H260" s="3" t="str">
        <f aca="false">F260&amp;"-"&amp;G260</f>
        <v>G-C</v>
      </c>
      <c r="I260" s="4" t="n">
        <f aca="false">(F260="G")+(G260="G")</f>
        <v>1</v>
      </c>
      <c r="J260" s="4" t="n">
        <f aca="false">(F260="C")+(G260="C")</f>
        <v>1</v>
      </c>
      <c r="K260" s="3" t="n">
        <f aca="false">I260+J260</f>
        <v>2</v>
      </c>
    </row>
    <row r="261" customFormat="false" ht="15" hidden="false" customHeight="false" outlineLevel="0" collapsed="false">
      <c r="A261" s="4" t="s">
        <v>46</v>
      </c>
      <c r="B261" s="4" t="s">
        <v>425</v>
      </c>
      <c r="C261" s="4" t="s">
        <v>522</v>
      </c>
      <c r="D261" s="4" t="n">
        <f aca="false">IFERROR(INDEX(Positions!$D$2:$D$6912,MATCH($A261&amp;"|10",Positions!$A$2:$A$6912,0)),"-")</f>
        <v>10</v>
      </c>
      <c r="E261" s="4" t="n">
        <f aca="false">IFERROR(INDEX(Positions!$D$2:$D$6912,MATCH($A261&amp;"|25",Positions!$A$2:$A$6912,0)),"-")</f>
        <v>27</v>
      </c>
      <c r="F261" s="4" t="str">
        <f aca="false">IFERROR(INDEX(Positions!$E$2:$E$6912,MATCH($A261&amp;"|10",Positions!$A$2:$A$6912,0)),"-")</f>
        <v>G</v>
      </c>
      <c r="G261" s="4" t="str">
        <f aca="false">IFERROR(INDEX(Positions!$E$2:$E$6912,MATCH($A261&amp;"|25",Positions!$A$2:$A$6912,0)),"-")</f>
        <v>C</v>
      </c>
      <c r="H261" s="3" t="str">
        <f aca="false">F261&amp;"-"&amp;G261</f>
        <v>G-C</v>
      </c>
      <c r="I261" s="4" t="n">
        <f aca="false">(F261="G")+(G261="G")</f>
        <v>1</v>
      </c>
      <c r="J261" s="4" t="n">
        <f aca="false">(F261="C")+(G261="C")</f>
        <v>1</v>
      </c>
      <c r="K261" s="3" t="n">
        <f aca="false">I261+J261</f>
        <v>2</v>
      </c>
    </row>
    <row r="262" customFormat="false" ht="15" hidden="false" customHeight="false" outlineLevel="0" collapsed="false">
      <c r="A262" s="4" t="s">
        <v>46</v>
      </c>
      <c r="B262" s="4" t="s">
        <v>425</v>
      </c>
      <c r="C262" s="4" t="s">
        <v>523</v>
      </c>
      <c r="D262" s="4" t="n">
        <f aca="false">IFERROR(INDEX(Positions!$D$2:$D$6912,MATCH($A262&amp;"|11",Positions!$A$2:$A$6912,0)),"-")</f>
        <v>11</v>
      </c>
      <c r="E262" s="4" t="n">
        <f aca="false">IFERROR(INDEX(Positions!$D$2:$D$6912,MATCH($A262&amp;"|24",Positions!$A$2:$A$6912,0)),"-")</f>
        <v>26</v>
      </c>
      <c r="F262" s="4" t="str">
        <f aca="false">IFERROR(INDEX(Positions!$E$2:$E$6912,MATCH($A262&amp;"|11",Positions!$A$2:$A$6912,0)),"-")</f>
        <v>U</v>
      </c>
      <c r="G262" s="4" t="str">
        <f aca="false">IFERROR(INDEX(Positions!$E$2:$E$6912,MATCH($A262&amp;"|24",Positions!$A$2:$A$6912,0)),"-")</f>
        <v>A</v>
      </c>
      <c r="H262" s="3" t="str">
        <f aca="false">F262&amp;"-"&amp;G262</f>
        <v>U-A</v>
      </c>
      <c r="I262" s="4" t="n">
        <f aca="false">(F262="G")+(G262="G")</f>
        <v>0</v>
      </c>
      <c r="J262" s="4" t="n">
        <f aca="false">(F262="C")+(G262="C")</f>
        <v>0</v>
      </c>
      <c r="K262" s="3" t="n">
        <f aca="false">I262+J262</f>
        <v>0</v>
      </c>
    </row>
    <row r="263" customFormat="false" ht="15" hidden="false" customHeight="false" outlineLevel="0" collapsed="false">
      <c r="A263" s="4" t="s">
        <v>46</v>
      </c>
      <c r="B263" s="4" t="s">
        <v>425</v>
      </c>
      <c r="C263" s="4" t="s">
        <v>250</v>
      </c>
      <c r="D263" s="4" t="n">
        <f aca="false">IFERROR(INDEX(Positions!$D$2:$D$6912,MATCH($A263&amp;"|12",Positions!$A$2:$A$6912,0)),"-")</f>
        <v>12</v>
      </c>
      <c r="E263" s="4" t="n">
        <f aca="false">IFERROR(INDEX(Positions!$D$2:$D$6912,MATCH($A263&amp;"|23",Positions!$A$2:$A$6912,0)),"-")</f>
        <v>25</v>
      </c>
      <c r="F263" s="4" t="str">
        <f aca="false">IFERROR(INDEX(Positions!$E$2:$E$6912,MATCH($A263&amp;"|12",Positions!$A$2:$A$6912,0)),"-")</f>
        <v>C</v>
      </c>
      <c r="G263" s="4" t="str">
        <f aca="false">IFERROR(INDEX(Positions!$E$2:$E$6912,MATCH($A263&amp;"|23",Positions!$A$2:$A$6912,0)),"-")</f>
        <v>G</v>
      </c>
      <c r="H263" s="3" t="str">
        <f aca="false">F263&amp;"-"&amp;G263</f>
        <v>C-G</v>
      </c>
      <c r="I263" s="4" t="n">
        <f aca="false">(F263="G")+(G263="G")</f>
        <v>1</v>
      </c>
      <c r="J263" s="4" t="n">
        <f aca="false">(F263="C")+(G263="C")</f>
        <v>1</v>
      </c>
      <c r="K263" s="3" t="n">
        <f aca="false">I263+J263</f>
        <v>2</v>
      </c>
    </row>
    <row r="264" customFormat="false" ht="15" hidden="false" customHeight="false" outlineLevel="0" collapsed="false">
      <c r="A264" s="4" t="s">
        <v>46</v>
      </c>
      <c r="B264" s="4" t="s">
        <v>425</v>
      </c>
      <c r="C264" s="4" t="s">
        <v>154</v>
      </c>
      <c r="D264" s="4" t="n">
        <f aca="false">IFERROR(INDEX(Positions!$D$2:$D$6912,MATCH($A264&amp;"|13",Positions!$A$2:$A$6912,0)),"-")</f>
        <v>13</v>
      </c>
      <c r="E264" s="4" t="n">
        <f aca="false">IFERROR(INDEX(Positions!$D$2:$D$6912,MATCH($A264&amp;"|22",Positions!$A$2:$A$6912,0)),"-")</f>
        <v>24</v>
      </c>
      <c r="F264" s="4" t="str">
        <f aca="false">IFERROR(INDEX(Positions!$E$2:$E$6912,MATCH($A264&amp;"|13",Positions!$A$2:$A$6912,0)),"-")</f>
        <v>U</v>
      </c>
      <c r="G264" s="4" t="str">
        <f aca="false">IFERROR(INDEX(Positions!$E$2:$E$6912,MATCH($A264&amp;"|22",Positions!$A$2:$A$6912,0)),"-")</f>
        <v>U</v>
      </c>
      <c r="H264" s="3" t="str">
        <f aca="false">F264&amp;"-"&amp;G264</f>
        <v>U-U</v>
      </c>
      <c r="I264" s="4" t="n">
        <f aca="false">(F264="G")+(G264="G")</f>
        <v>0</v>
      </c>
      <c r="J264" s="4" t="n">
        <f aca="false">(F264="C")+(G264="C")</f>
        <v>0</v>
      </c>
      <c r="K264" s="3" t="n">
        <f aca="false">I264+J264</f>
        <v>0</v>
      </c>
    </row>
    <row r="265" customFormat="false" ht="15" hidden="false" customHeight="false" outlineLevel="0" collapsed="false">
      <c r="A265" s="4" t="s">
        <v>46</v>
      </c>
      <c r="B265" s="4" t="s">
        <v>446</v>
      </c>
      <c r="C265" s="4" t="s">
        <v>524</v>
      </c>
      <c r="D265" s="4" t="n">
        <f aca="false">IFERROR(INDEX(Positions!$D$2:$D$6912,MATCH($A265&amp;"|27",Positions!$A$2:$A$6912,0)),"-")</f>
        <v>29</v>
      </c>
      <c r="E265" s="4" t="n">
        <f aca="false">IFERROR(INDEX(Positions!$D$2:$D$6912,MATCH($A265&amp;"|43",Positions!$A$2:$A$6912,0)),"-")</f>
        <v>45</v>
      </c>
      <c r="F265" s="4" t="str">
        <f aca="false">IFERROR(INDEX(Positions!$E$2:$E$6912,MATCH($A265&amp;"|27",Positions!$A$2:$A$6912,0)),"-")</f>
        <v>C</v>
      </c>
      <c r="G265" s="4" t="str">
        <f aca="false">IFERROR(INDEX(Positions!$E$2:$E$6912,MATCH($A265&amp;"|43",Positions!$A$2:$A$6912,0)),"-")</f>
        <v>G</v>
      </c>
      <c r="H265" s="3" t="str">
        <f aca="false">F265&amp;"-"&amp;G265</f>
        <v>C-G</v>
      </c>
      <c r="I265" s="4" t="n">
        <f aca="false">(F265="G")+(G265="G")</f>
        <v>1</v>
      </c>
      <c r="J265" s="4" t="n">
        <f aca="false">(F265="C")+(G265="C")</f>
        <v>1</v>
      </c>
      <c r="K265" s="3" t="n">
        <f aca="false">I265+J265</f>
        <v>2</v>
      </c>
    </row>
    <row r="266" customFormat="false" ht="15" hidden="false" customHeight="false" outlineLevel="0" collapsed="false">
      <c r="A266" s="4" t="s">
        <v>46</v>
      </c>
      <c r="B266" s="4" t="s">
        <v>446</v>
      </c>
      <c r="C266" s="4" t="s">
        <v>525</v>
      </c>
      <c r="D266" s="4" t="n">
        <f aca="false">IFERROR(INDEX(Positions!$D$2:$D$6912,MATCH($A266&amp;"|28",Positions!$A$2:$A$6912,0)),"-")</f>
        <v>30</v>
      </c>
      <c r="E266" s="4" t="n">
        <f aca="false">IFERROR(INDEX(Positions!$D$2:$D$6912,MATCH($A266&amp;"|42",Positions!$A$2:$A$6912,0)),"-")</f>
        <v>44</v>
      </c>
      <c r="F266" s="4" t="str">
        <f aca="false">IFERROR(INDEX(Positions!$E$2:$E$6912,MATCH($A266&amp;"|28",Positions!$A$2:$A$6912,0)),"-")</f>
        <v>C</v>
      </c>
      <c r="G266" s="4" t="str">
        <f aca="false">IFERROR(INDEX(Positions!$E$2:$E$6912,MATCH($A266&amp;"|42",Positions!$A$2:$A$6912,0)),"-")</f>
        <v>G</v>
      </c>
      <c r="H266" s="3" t="str">
        <f aca="false">F266&amp;"-"&amp;G266</f>
        <v>C-G</v>
      </c>
      <c r="I266" s="4" t="n">
        <f aca="false">(F266="G")+(G266="G")</f>
        <v>1</v>
      </c>
      <c r="J266" s="4" t="n">
        <f aca="false">(F266="C")+(G266="C")</f>
        <v>1</v>
      </c>
      <c r="K266" s="3" t="n">
        <f aca="false">I266+J266</f>
        <v>2</v>
      </c>
    </row>
    <row r="267" customFormat="false" ht="15" hidden="false" customHeight="false" outlineLevel="0" collapsed="false">
      <c r="A267" s="4" t="s">
        <v>46</v>
      </c>
      <c r="B267" s="4" t="s">
        <v>446</v>
      </c>
      <c r="C267" s="4" t="s">
        <v>256</v>
      </c>
      <c r="D267" s="4" t="n">
        <f aca="false">IFERROR(INDEX(Positions!$D$2:$D$6912,MATCH($A267&amp;"|29",Positions!$A$2:$A$6912,0)),"-")</f>
        <v>31</v>
      </c>
      <c r="E267" s="4" t="n">
        <f aca="false">IFERROR(INDEX(Positions!$D$2:$D$6912,MATCH($A267&amp;"|41",Positions!$A$2:$A$6912,0)),"-")</f>
        <v>43</v>
      </c>
      <c r="F267" s="4" t="str">
        <f aca="false">IFERROR(INDEX(Positions!$E$2:$E$6912,MATCH($A267&amp;"|29",Positions!$A$2:$A$6912,0)),"-")</f>
        <v>U</v>
      </c>
      <c r="G267" s="4" t="str">
        <f aca="false">IFERROR(INDEX(Positions!$E$2:$E$6912,MATCH($A267&amp;"|41",Positions!$A$2:$A$6912,0)),"-")</f>
        <v>A</v>
      </c>
      <c r="H267" s="3" t="str">
        <f aca="false">F267&amp;"-"&amp;G267</f>
        <v>U-A</v>
      </c>
      <c r="I267" s="4" t="n">
        <f aca="false">(F267="G")+(G267="G")</f>
        <v>0</v>
      </c>
      <c r="J267" s="4" t="n">
        <f aca="false">(F267="C")+(G267="C")</f>
        <v>0</v>
      </c>
      <c r="K267" s="3" t="n">
        <f aca="false">I267+J267</f>
        <v>0</v>
      </c>
    </row>
    <row r="268" customFormat="false" ht="15" hidden="false" customHeight="false" outlineLevel="0" collapsed="false">
      <c r="A268" s="4" t="s">
        <v>46</v>
      </c>
      <c r="B268" s="4" t="s">
        <v>446</v>
      </c>
      <c r="C268" s="4" t="s">
        <v>526</v>
      </c>
      <c r="D268" s="4" t="n">
        <f aca="false">IFERROR(INDEX(Positions!$D$2:$D$6912,MATCH($A268&amp;"|30",Positions!$A$2:$A$6912,0)),"-")</f>
        <v>32</v>
      </c>
      <c r="E268" s="4" t="n">
        <f aca="false">IFERROR(INDEX(Positions!$D$2:$D$6912,MATCH($A268&amp;"|40",Positions!$A$2:$A$6912,0)),"-")</f>
        <v>42</v>
      </c>
      <c r="F268" s="4" t="str">
        <f aca="false">IFERROR(INDEX(Positions!$E$2:$E$6912,MATCH($A268&amp;"|30",Positions!$A$2:$A$6912,0)),"-")</f>
        <v>C</v>
      </c>
      <c r="G268" s="4" t="str">
        <f aca="false">IFERROR(INDEX(Positions!$E$2:$E$6912,MATCH($A268&amp;"|40",Positions!$A$2:$A$6912,0)),"-")</f>
        <v>G</v>
      </c>
      <c r="H268" s="3" t="str">
        <f aca="false">F268&amp;"-"&amp;G268</f>
        <v>C-G</v>
      </c>
      <c r="I268" s="4" t="n">
        <f aca="false">(F268="G")+(G268="G")</f>
        <v>1</v>
      </c>
      <c r="J268" s="4" t="n">
        <f aca="false">(F268="C")+(G268="C")</f>
        <v>1</v>
      </c>
      <c r="K268" s="3" t="n">
        <f aca="false">I268+J268</f>
        <v>2</v>
      </c>
    </row>
    <row r="269" customFormat="false" ht="15" hidden="false" customHeight="false" outlineLevel="0" collapsed="false">
      <c r="A269" s="4" t="s">
        <v>46</v>
      </c>
      <c r="B269" s="4" t="s">
        <v>446</v>
      </c>
      <c r="C269" s="4" t="s">
        <v>273</v>
      </c>
      <c r="D269" s="4" t="n">
        <f aca="false">IFERROR(INDEX(Positions!$D$2:$D$6912,MATCH($A269&amp;"|31",Positions!$A$2:$A$6912,0)),"-")</f>
        <v>33</v>
      </c>
      <c r="E269" s="4" t="n">
        <f aca="false">IFERROR(INDEX(Positions!$D$2:$D$6912,MATCH($A269&amp;"|39",Positions!$A$2:$A$6912,0)),"-")</f>
        <v>41</v>
      </c>
      <c r="F269" s="4" t="str">
        <f aca="false">IFERROR(INDEX(Positions!$E$2:$E$6912,MATCH($A269&amp;"|31",Positions!$A$2:$A$6912,0)),"-")</f>
        <v>C</v>
      </c>
      <c r="G269" s="4" t="str">
        <f aca="false">IFERROR(INDEX(Positions!$E$2:$E$6912,MATCH($A269&amp;"|39",Positions!$A$2:$A$6912,0)),"-")</f>
        <v>G</v>
      </c>
      <c r="H269" s="3" t="str">
        <f aca="false">F269&amp;"-"&amp;G269</f>
        <v>C-G</v>
      </c>
      <c r="I269" s="4" t="n">
        <f aca="false">(F269="G")+(G269="G")</f>
        <v>1</v>
      </c>
      <c r="J269" s="4" t="n">
        <f aca="false">(F269="C")+(G269="C")</f>
        <v>1</v>
      </c>
      <c r="K269" s="3" t="n">
        <f aca="false">I269+J269</f>
        <v>2</v>
      </c>
    </row>
    <row r="270" customFormat="false" ht="15" hidden="false" customHeight="false" outlineLevel="0" collapsed="false">
      <c r="A270" s="4" t="s">
        <v>46</v>
      </c>
      <c r="B270" s="4" t="s">
        <v>471</v>
      </c>
      <c r="C270" s="4" t="s">
        <v>367</v>
      </c>
      <c r="D270" s="4" t="n">
        <f aca="false">IFERROR(INDEX(Positions!$D$2:$D$6912,MATCH($A270&amp;"|49",Positions!$A$2:$A$6912,0)),"-")</f>
        <v>51</v>
      </c>
      <c r="E270" s="4" t="n">
        <f aca="false">IFERROR(INDEX(Positions!$D$2:$D$6912,MATCH($A270&amp;"|65",Positions!$A$2:$A$6912,0)),"-")</f>
        <v>67</v>
      </c>
      <c r="F270" s="4" t="str">
        <f aca="false">IFERROR(INDEX(Positions!$E$2:$E$6912,MATCH($A270&amp;"|49",Positions!$A$2:$A$6912,0)),"-")</f>
        <v>G</v>
      </c>
      <c r="G270" s="4" t="str">
        <f aca="false">IFERROR(INDEX(Positions!$E$2:$E$6912,MATCH($A270&amp;"|65",Positions!$A$2:$A$6912,0)),"-")</f>
        <v>C</v>
      </c>
      <c r="H270" s="3" t="str">
        <f aca="false">F270&amp;"-"&amp;G270</f>
        <v>G-C</v>
      </c>
      <c r="I270" s="4" t="n">
        <f aca="false">(F270="G")+(G270="G")</f>
        <v>1</v>
      </c>
      <c r="J270" s="4" t="n">
        <f aca="false">(F270="C")+(G270="C")</f>
        <v>1</v>
      </c>
      <c r="K270" s="3" t="n">
        <f aca="false">I270+J270</f>
        <v>2</v>
      </c>
    </row>
    <row r="271" customFormat="false" ht="15" hidden="false" customHeight="false" outlineLevel="0" collapsed="false">
      <c r="A271" s="4" t="s">
        <v>46</v>
      </c>
      <c r="B271" s="4" t="s">
        <v>471</v>
      </c>
      <c r="C271" s="4" t="s">
        <v>233</v>
      </c>
      <c r="D271" s="4" t="n">
        <f aca="false">IFERROR(INDEX(Positions!$D$2:$D$6912,MATCH($A271&amp;"|50",Positions!$A$2:$A$6912,0)),"-")</f>
        <v>52</v>
      </c>
      <c r="E271" s="4" t="n">
        <f aca="false">IFERROR(INDEX(Positions!$D$2:$D$6912,MATCH($A271&amp;"|64",Positions!$A$2:$A$6912,0)),"-")</f>
        <v>66</v>
      </c>
      <c r="F271" s="4" t="str">
        <f aca="false">IFERROR(INDEX(Positions!$E$2:$E$6912,MATCH($A271&amp;"|50",Positions!$A$2:$A$6912,0)),"-")</f>
        <v>G</v>
      </c>
      <c r="G271" s="4" t="str">
        <f aca="false">IFERROR(INDEX(Positions!$E$2:$E$6912,MATCH($A271&amp;"|64",Positions!$A$2:$A$6912,0)),"-")</f>
        <v>C</v>
      </c>
      <c r="H271" s="3" t="str">
        <f aca="false">F271&amp;"-"&amp;G271</f>
        <v>G-C</v>
      </c>
      <c r="I271" s="4" t="n">
        <f aca="false">(F271="G")+(G271="G")</f>
        <v>1</v>
      </c>
      <c r="J271" s="4" t="n">
        <f aca="false">(F271="C")+(G271="C")</f>
        <v>1</v>
      </c>
      <c r="K271" s="3" t="n">
        <f aca="false">I271+J271</f>
        <v>2</v>
      </c>
    </row>
    <row r="272" customFormat="false" ht="15" hidden="false" customHeight="false" outlineLevel="0" collapsed="false">
      <c r="A272" s="4" t="s">
        <v>46</v>
      </c>
      <c r="B272" s="4" t="s">
        <v>471</v>
      </c>
      <c r="C272" s="4" t="s">
        <v>527</v>
      </c>
      <c r="D272" s="4" t="n">
        <f aca="false">IFERROR(INDEX(Positions!$D$2:$D$6912,MATCH($A272&amp;"|51",Positions!$A$2:$A$6912,0)),"-")</f>
        <v>53</v>
      </c>
      <c r="E272" s="4" t="n">
        <f aca="false">IFERROR(INDEX(Positions!$D$2:$D$6912,MATCH($A272&amp;"|63",Positions!$A$2:$A$6912,0)),"-")</f>
        <v>65</v>
      </c>
      <c r="F272" s="4" t="str">
        <f aca="false">IFERROR(INDEX(Positions!$E$2:$E$6912,MATCH($A272&amp;"|51",Positions!$A$2:$A$6912,0)),"-")</f>
        <v>C</v>
      </c>
      <c r="G272" s="4" t="str">
        <f aca="false">IFERROR(INDEX(Positions!$E$2:$E$6912,MATCH($A272&amp;"|63",Positions!$A$2:$A$6912,0)),"-")</f>
        <v>G</v>
      </c>
      <c r="H272" s="3" t="str">
        <f aca="false">F272&amp;"-"&amp;G272</f>
        <v>C-G</v>
      </c>
      <c r="I272" s="4" t="n">
        <f aca="false">(F272="G")+(G272="G")</f>
        <v>1</v>
      </c>
      <c r="J272" s="4" t="n">
        <f aca="false">(F272="C")+(G272="C")</f>
        <v>1</v>
      </c>
      <c r="K272" s="3" t="n">
        <f aca="false">I272+J272</f>
        <v>2</v>
      </c>
    </row>
    <row r="273" customFormat="false" ht="15" hidden="false" customHeight="false" outlineLevel="0" collapsed="false">
      <c r="A273" s="4" t="s">
        <v>46</v>
      </c>
      <c r="B273" s="4" t="s">
        <v>471</v>
      </c>
      <c r="C273" s="4" t="s">
        <v>528</v>
      </c>
      <c r="D273" s="4" t="n">
        <f aca="false">IFERROR(INDEX(Positions!$D$2:$D$6912,MATCH($A273&amp;"|52",Positions!$A$2:$A$6912,0)),"-")</f>
        <v>54</v>
      </c>
      <c r="E273" s="4" t="n">
        <f aca="false">IFERROR(INDEX(Positions!$D$2:$D$6912,MATCH($A273&amp;"|62",Positions!$A$2:$A$6912,0)),"-")</f>
        <v>64</v>
      </c>
      <c r="F273" s="4" t="str">
        <f aca="false">IFERROR(INDEX(Positions!$E$2:$E$6912,MATCH($A273&amp;"|52",Positions!$A$2:$A$6912,0)),"-")</f>
        <v>G</v>
      </c>
      <c r="G273" s="4" t="str">
        <f aca="false">IFERROR(INDEX(Positions!$E$2:$E$6912,MATCH($A273&amp;"|62",Positions!$A$2:$A$6912,0)),"-")</f>
        <v>C</v>
      </c>
      <c r="H273" s="3" t="str">
        <f aca="false">F273&amp;"-"&amp;G273</f>
        <v>G-C</v>
      </c>
      <c r="I273" s="4" t="n">
        <f aca="false">(F273="G")+(G273="G")</f>
        <v>1</v>
      </c>
      <c r="J273" s="4" t="n">
        <f aca="false">(F273="C")+(G273="C")</f>
        <v>1</v>
      </c>
      <c r="K273" s="3" t="n">
        <f aca="false">I273+J273</f>
        <v>2</v>
      </c>
    </row>
    <row r="274" customFormat="false" ht="15" hidden="false" customHeight="false" outlineLevel="0" collapsed="false">
      <c r="A274" s="4" t="s">
        <v>46</v>
      </c>
      <c r="B274" s="4" t="s">
        <v>471</v>
      </c>
      <c r="C274" s="4" t="s">
        <v>529</v>
      </c>
      <c r="D274" s="4" t="n">
        <f aca="false">IFERROR(INDEX(Positions!$D$2:$D$6912,MATCH($A274&amp;"|53",Positions!$A$2:$A$6912,0)),"-")</f>
        <v>55</v>
      </c>
      <c r="E274" s="4" t="n">
        <f aca="false">IFERROR(INDEX(Positions!$D$2:$D$6912,MATCH($A274&amp;"|61",Positions!$A$2:$A$6912,0)),"-")</f>
        <v>63</v>
      </c>
      <c r="F274" s="4" t="str">
        <f aca="false">IFERROR(INDEX(Positions!$E$2:$E$6912,MATCH($A274&amp;"|53",Positions!$A$2:$A$6912,0)),"-")</f>
        <v>G</v>
      </c>
      <c r="G274" s="4" t="str">
        <f aca="false">IFERROR(INDEX(Positions!$E$2:$E$6912,MATCH($A274&amp;"|61",Positions!$A$2:$A$6912,0)),"-")</f>
        <v>C</v>
      </c>
      <c r="H274" s="3" t="str">
        <f aca="false">F274&amp;"-"&amp;G274</f>
        <v>G-C</v>
      </c>
      <c r="I274" s="4" t="n">
        <f aca="false">(F274="G")+(G274="G")</f>
        <v>1</v>
      </c>
      <c r="J274" s="4" t="n">
        <f aca="false">(F274="C")+(G274="C")</f>
        <v>1</v>
      </c>
      <c r="K274" s="3" t="n">
        <f aca="false">I274+J274</f>
        <v>2</v>
      </c>
    </row>
    <row r="275" customFormat="false" ht="15" hidden="false" customHeight="false" outlineLevel="0" collapsed="false">
      <c r="A275" s="24" t="s">
        <v>46</v>
      </c>
      <c r="B275" s="24" t="s">
        <v>530</v>
      </c>
      <c r="C275" s="24" t="s">
        <v>531</v>
      </c>
      <c r="D275" s="24" t="n">
        <f aca="false">IFERROR(INDEX(Positions!$D$2:$D$6912,MATCH($A275&amp;"|8",Positions!$A$2:$A$6912,0)),"-")</f>
        <v>8</v>
      </c>
      <c r="E275" s="24" t="n">
        <f aca="false">IFERROR(INDEX(Positions!$D$2:$D$6912,MATCH($A275&amp;"|14",Positions!$A$2:$A$6912,0)),"-")</f>
        <v>14</v>
      </c>
      <c r="F275" s="24" t="str">
        <f aca="false">IFERROR(INDEX(Positions!$E$2:$E$6912,MATCH($A275&amp;"|8",Positions!$A$2:$A$6912,0)),"-")</f>
        <v>U</v>
      </c>
      <c r="G275" s="24" t="str">
        <f aca="false">IFERROR(INDEX(Positions!$E$2:$E$6912,MATCH($A275&amp;"|14",Positions!$A$2:$A$6912,0)),"-")</f>
        <v>A</v>
      </c>
      <c r="H275" s="25" t="str">
        <f aca="false">F275&amp;"-"&amp;G275</f>
        <v>U-A</v>
      </c>
      <c r="I275" s="24" t="n">
        <f aca="false">(F275="G")+(G275="G")</f>
        <v>0</v>
      </c>
      <c r="J275" s="24" t="n">
        <f aca="false">(F275="C")+(G275="C")</f>
        <v>0</v>
      </c>
      <c r="K275" s="25" t="n">
        <f aca="false">I275+J275</f>
        <v>0</v>
      </c>
    </row>
    <row r="276" customFormat="false" ht="15" hidden="false" customHeight="false" outlineLevel="0" collapsed="false">
      <c r="A276" s="24" t="s">
        <v>46</v>
      </c>
      <c r="B276" s="24" t="s">
        <v>530</v>
      </c>
      <c r="C276" s="24" t="s">
        <v>532</v>
      </c>
      <c r="D276" s="24" t="n">
        <f aca="false">IFERROR(INDEX(Positions!$D$2:$D$6912,MATCH($A276&amp;"|15",Positions!$A$2:$A$6912,0)),"-")</f>
        <v>15</v>
      </c>
      <c r="E276" s="24" t="n">
        <f aca="false">IFERROR(INDEX(Positions!$D$2:$D$6912,MATCH($A276&amp;"|48",Positions!$A$2:$A$6912,0)),"-")</f>
        <v>50</v>
      </c>
      <c r="F276" s="24" t="str">
        <f aca="false">IFERROR(INDEX(Positions!$E$2:$E$6912,MATCH($A276&amp;"|15",Positions!$A$2:$A$6912,0)),"-")</f>
        <v>G</v>
      </c>
      <c r="G276" s="24" t="str">
        <f aca="false">IFERROR(INDEX(Positions!$E$2:$E$6912,MATCH($A276&amp;"|48",Positions!$A$2:$A$6912,0)),"-")</f>
        <v>C</v>
      </c>
      <c r="H276" s="25" t="str">
        <f aca="false">F276&amp;"-"&amp;G276</f>
        <v>G-C</v>
      </c>
      <c r="I276" s="24" t="n">
        <f aca="false">(F276="G")+(G276="G")</f>
        <v>1</v>
      </c>
      <c r="J276" s="24" t="n">
        <f aca="false">(F276="C")+(G276="C")</f>
        <v>1</v>
      </c>
      <c r="K276" s="25" t="n">
        <f aca="false">I276+J276</f>
        <v>2</v>
      </c>
    </row>
    <row r="277" customFormat="false" ht="15" hidden="false" customHeight="false" outlineLevel="0" collapsed="false">
      <c r="A277" s="24" t="s">
        <v>46</v>
      </c>
      <c r="B277" s="24" t="s">
        <v>530</v>
      </c>
      <c r="C277" s="24" t="s">
        <v>533</v>
      </c>
      <c r="D277" s="24" t="n">
        <f aca="false">IFERROR(INDEX(Positions!$D$2:$D$6912,MATCH($A277&amp;"|18",Positions!$A$2:$A$6912,0)),"-")</f>
        <v>19</v>
      </c>
      <c r="E277" s="24" t="n">
        <f aca="false">IFERROR(INDEX(Positions!$D$2:$D$6912,MATCH($A277&amp;"|55",Positions!$A$2:$A$6912,0)),"-")</f>
        <v>57</v>
      </c>
      <c r="F277" s="24" t="str">
        <f aca="false">IFERROR(INDEX(Positions!$E$2:$E$6912,MATCH($A277&amp;"|18",Positions!$A$2:$A$6912,0)),"-")</f>
        <v>G</v>
      </c>
      <c r="G277" s="24" t="str">
        <f aca="false">IFERROR(INDEX(Positions!$E$2:$E$6912,MATCH($A277&amp;"|55",Positions!$A$2:$A$6912,0)),"-")</f>
        <v>U</v>
      </c>
      <c r="H277" s="25" t="str">
        <f aca="false">F277&amp;"-"&amp;G277</f>
        <v>G-U</v>
      </c>
      <c r="I277" s="24" t="n">
        <f aca="false">(F277="G")+(G277="G")</f>
        <v>1</v>
      </c>
      <c r="J277" s="24" t="n">
        <f aca="false">(F277="C")+(G277="C")</f>
        <v>0</v>
      </c>
      <c r="K277" s="25" t="n">
        <f aca="false">I277+J277</f>
        <v>1</v>
      </c>
    </row>
    <row r="278" customFormat="false" ht="15" hidden="false" customHeight="false" outlineLevel="0" collapsed="false">
      <c r="A278" s="24" t="s">
        <v>46</v>
      </c>
      <c r="B278" s="24" t="s">
        <v>530</v>
      </c>
      <c r="C278" s="24" t="s">
        <v>534</v>
      </c>
      <c r="D278" s="24" t="n">
        <f aca="false">IFERROR(INDEX(Positions!$D$2:$D$6912,MATCH($A278&amp;"|19",Positions!$A$2:$A$6912,0)),"-")</f>
        <v>20</v>
      </c>
      <c r="E278" s="24" t="n">
        <f aca="false">IFERROR(INDEX(Positions!$D$2:$D$6912,MATCH($A278&amp;"|56",Positions!$A$2:$A$6912,0)),"-")</f>
        <v>58</v>
      </c>
      <c r="F278" s="24" t="str">
        <f aca="false">IFERROR(INDEX(Positions!$E$2:$E$6912,MATCH($A278&amp;"|19",Positions!$A$2:$A$6912,0)),"-")</f>
        <v>G</v>
      </c>
      <c r="G278" s="24" t="str">
        <f aca="false">IFERROR(INDEX(Positions!$E$2:$E$6912,MATCH($A278&amp;"|56",Positions!$A$2:$A$6912,0)),"-")</f>
        <v>C</v>
      </c>
      <c r="H278" s="25" t="str">
        <f aca="false">F278&amp;"-"&amp;G278</f>
        <v>G-C</v>
      </c>
      <c r="I278" s="24" t="n">
        <f aca="false">(F278="G")+(G278="G")</f>
        <v>1</v>
      </c>
      <c r="J278" s="24" t="n">
        <f aca="false">(F278="C")+(G278="C")</f>
        <v>1</v>
      </c>
      <c r="K278" s="25" t="n">
        <f aca="false">I278+J278</f>
        <v>2</v>
      </c>
    </row>
    <row r="279" customFormat="false" ht="15" hidden="false" customHeight="false" outlineLevel="0" collapsed="false">
      <c r="A279" s="24" t="s">
        <v>46</v>
      </c>
      <c r="B279" s="24" t="s">
        <v>530</v>
      </c>
      <c r="C279" s="24" t="s">
        <v>535</v>
      </c>
      <c r="D279" s="24" t="n">
        <f aca="false">IFERROR(INDEX(Positions!$D$2:$D$6912,MATCH($A279&amp;"|26",Positions!$A$2:$A$6912,0)),"-")</f>
        <v>28</v>
      </c>
      <c r="E279" s="24" t="n">
        <f aca="false">IFERROR(INDEX(Positions!$D$2:$D$6912,MATCH($A279&amp;"|44",Positions!$A$2:$A$6912,0)),"-")</f>
        <v>46</v>
      </c>
      <c r="F279" s="24" t="str">
        <f aca="false">IFERROR(INDEX(Positions!$E$2:$E$6912,MATCH($A279&amp;"|26",Positions!$A$2:$A$6912,0)),"-")</f>
        <v>A</v>
      </c>
      <c r="G279" s="24" t="str">
        <f aca="false">IFERROR(INDEX(Positions!$E$2:$E$6912,MATCH($A279&amp;"|44",Positions!$A$2:$A$6912,0)),"-")</f>
        <v>A</v>
      </c>
      <c r="H279" s="25" t="str">
        <f aca="false">F279&amp;"-"&amp;G279</f>
        <v>A-A</v>
      </c>
      <c r="I279" s="24" t="n">
        <f aca="false">(F279="G")+(G279="G")</f>
        <v>0</v>
      </c>
      <c r="J279" s="24" t="n">
        <f aca="false">(F279="C")+(G279="C")</f>
        <v>0</v>
      </c>
      <c r="K279" s="25" t="n">
        <f aca="false">I279+J279</f>
        <v>0</v>
      </c>
    </row>
    <row r="280" customFormat="false" ht="15" hidden="false" customHeight="false" outlineLevel="0" collapsed="false">
      <c r="A280" s="24" t="s">
        <v>46</v>
      </c>
      <c r="B280" s="24" t="s">
        <v>530</v>
      </c>
      <c r="C280" s="24" t="s">
        <v>536</v>
      </c>
      <c r="D280" s="24" t="n">
        <f aca="false">IFERROR(INDEX(Positions!$D$2:$D$6912,MATCH($A280&amp;"|32",Positions!$A$2:$A$6912,0)),"-")</f>
        <v>34</v>
      </c>
      <c r="E280" s="24" t="n">
        <f aca="false">IFERROR(INDEX(Positions!$D$2:$D$6912,MATCH($A280&amp;"|38",Positions!$A$2:$A$6912,0)),"-")</f>
        <v>40</v>
      </c>
      <c r="F280" s="24" t="str">
        <f aca="false">IFERROR(INDEX(Positions!$E$2:$E$6912,MATCH($A280&amp;"|32",Positions!$A$2:$A$6912,0)),"-")</f>
        <v>U</v>
      </c>
      <c r="G280" s="24" t="str">
        <f aca="false">IFERROR(INDEX(Positions!$E$2:$E$6912,MATCH($A280&amp;"|38",Positions!$A$2:$A$6912,0)),"-")</f>
        <v>U</v>
      </c>
      <c r="H280" s="25" t="str">
        <f aca="false">F280&amp;"-"&amp;G280</f>
        <v>U-U</v>
      </c>
      <c r="I280" s="24" t="n">
        <f aca="false">(F280="G")+(G280="G")</f>
        <v>0</v>
      </c>
      <c r="J280" s="24" t="n">
        <f aca="false">(F280="C")+(G280="C")</f>
        <v>0</v>
      </c>
      <c r="K280" s="25" t="n">
        <f aca="false">I280+J280</f>
        <v>0</v>
      </c>
    </row>
    <row r="281" customFormat="false" ht="15" hidden="false" customHeight="false" outlineLevel="0" collapsed="false">
      <c r="A281" s="24" t="s">
        <v>46</v>
      </c>
      <c r="B281" s="24" t="s">
        <v>530</v>
      </c>
      <c r="C281" s="24" t="s">
        <v>537</v>
      </c>
      <c r="D281" s="24" t="n">
        <f aca="false">IFERROR(INDEX(Positions!$D$2:$D$6912,MATCH($A281&amp;"|54",Positions!$A$2:$A$6912,0)),"-")</f>
        <v>56</v>
      </c>
      <c r="E281" s="24" t="n">
        <f aca="false">IFERROR(INDEX(Positions!$D$2:$D$6912,MATCH($A281&amp;"|58",Positions!$A$2:$A$6912,0)),"-")</f>
        <v>60</v>
      </c>
      <c r="F281" s="24" t="str">
        <f aca="false">IFERROR(INDEX(Positions!$E$2:$E$6912,MATCH($A281&amp;"|54",Positions!$A$2:$A$6912,0)),"-")</f>
        <v>U</v>
      </c>
      <c r="G281" s="24" t="str">
        <f aca="false">IFERROR(INDEX(Positions!$E$2:$E$6912,MATCH($A281&amp;"|58",Positions!$A$2:$A$6912,0)),"-")</f>
        <v>A</v>
      </c>
      <c r="H281" s="25" t="str">
        <f aca="false">F281&amp;"-"&amp;G281</f>
        <v>U-A</v>
      </c>
      <c r="I281" s="24" t="n">
        <f aca="false">(F281="G")+(G281="G")</f>
        <v>0</v>
      </c>
      <c r="J281" s="24" t="n">
        <f aca="false">(F281="C")+(G281="C")</f>
        <v>0</v>
      </c>
      <c r="K281" s="25" t="n">
        <f aca="false">I281+J281</f>
        <v>0</v>
      </c>
    </row>
    <row r="282" customFormat="false" ht="15" hidden="false" customHeight="false" outlineLevel="0" collapsed="false">
      <c r="A282" s="4" t="s">
        <v>47</v>
      </c>
      <c r="B282" s="4" t="s">
        <v>412</v>
      </c>
      <c r="C282" s="4" t="s">
        <v>517</v>
      </c>
      <c r="D282" s="4" t="n">
        <f aca="false">IFERROR(INDEX(Positions!$D$2:$D$6912,MATCH($A282&amp;"|1",Positions!$A$2:$A$6912,0)),"-")</f>
        <v>1</v>
      </c>
      <c r="E282" s="4" t="n">
        <f aca="false">IFERROR(INDEX(Positions!$D$2:$D$6912,MATCH($A282&amp;"|72",Positions!$A$2:$A$6912,0)),"-")</f>
        <v>71</v>
      </c>
      <c r="F282" s="4" t="str">
        <f aca="false">IFERROR(INDEX(Positions!$E$2:$E$6912,MATCH($A282&amp;"|1",Positions!$A$2:$A$6912,0)),"-")</f>
        <v>U</v>
      </c>
      <c r="G282" s="4" t="str">
        <f aca="false">IFERROR(INDEX(Positions!$E$2:$E$6912,MATCH($A282&amp;"|72",Positions!$A$2:$A$6912,0)),"-")</f>
        <v>A</v>
      </c>
      <c r="H282" s="3" t="str">
        <f aca="false">F282&amp;"-"&amp;G282</f>
        <v>U-A</v>
      </c>
      <c r="I282" s="4" t="n">
        <f aca="false">(F282="G")+(G282="G")</f>
        <v>0</v>
      </c>
      <c r="J282" s="4" t="n">
        <f aca="false">(F282="C")+(G282="C")</f>
        <v>0</v>
      </c>
      <c r="K282" s="3" t="n">
        <f aca="false">I282+J282</f>
        <v>0</v>
      </c>
    </row>
    <row r="283" customFormat="false" ht="15" hidden="false" customHeight="false" outlineLevel="0" collapsed="false">
      <c r="A283" s="4" t="s">
        <v>47</v>
      </c>
      <c r="B283" s="4" t="s">
        <v>412</v>
      </c>
      <c r="C283" s="4" t="s">
        <v>518</v>
      </c>
      <c r="D283" s="4" t="n">
        <f aca="false">IFERROR(INDEX(Positions!$D$2:$D$6912,MATCH($A283&amp;"|2",Positions!$A$2:$A$6912,0)),"-")</f>
        <v>2</v>
      </c>
      <c r="E283" s="4" t="n">
        <f aca="false">IFERROR(INDEX(Positions!$D$2:$D$6912,MATCH($A283&amp;"|71",Positions!$A$2:$A$6912,0)),"-")</f>
        <v>70</v>
      </c>
      <c r="F283" s="4" t="str">
        <f aca="false">IFERROR(INDEX(Positions!$E$2:$E$6912,MATCH($A283&amp;"|2",Positions!$A$2:$A$6912,0)),"-")</f>
        <v>C</v>
      </c>
      <c r="G283" s="4" t="str">
        <f aca="false">IFERROR(INDEX(Positions!$E$2:$E$6912,MATCH($A283&amp;"|71",Positions!$A$2:$A$6912,0)),"-")</f>
        <v>G</v>
      </c>
      <c r="H283" s="3" t="str">
        <f aca="false">F283&amp;"-"&amp;G283</f>
        <v>C-G</v>
      </c>
      <c r="I283" s="4" t="n">
        <f aca="false">(F283="G")+(G283="G")</f>
        <v>1</v>
      </c>
      <c r="J283" s="4" t="n">
        <f aca="false">(F283="C")+(G283="C")</f>
        <v>1</v>
      </c>
      <c r="K283" s="3" t="n">
        <f aca="false">I283+J283</f>
        <v>2</v>
      </c>
    </row>
    <row r="284" customFormat="false" ht="15" hidden="false" customHeight="false" outlineLevel="0" collapsed="false">
      <c r="A284" s="4" t="s">
        <v>47</v>
      </c>
      <c r="B284" s="4" t="s">
        <v>412</v>
      </c>
      <c r="C284" s="4" t="s">
        <v>386</v>
      </c>
      <c r="D284" s="4" t="n">
        <f aca="false">IFERROR(INDEX(Positions!$D$2:$D$6912,MATCH($A284&amp;"|3",Positions!$A$2:$A$6912,0)),"-")</f>
        <v>3</v>
      </c>
      <c r="E284" s="4" t="n">
        <f aca="false">IFERROR(INDEX(Positions!$D$2:$D$6912,MATCH($A284&amp;"|70",Positions!$A$2:$A$6912,0)),"-")</f>
        <v>69</v>
      </c>
      <c r="F284" s="4" t="str">
        <f aca="false">IFERROR(INDEX(Positions!$E$2:$E$6912,MATCH($A284&amp;"|3",Positions!$A$2:$A$6912,0)),"-")</f>
        <v>C</v>
      </c>
      <c r="G284" s="4" t="str">
        <f aca="false">IFERROR(INDEX(Positions!$E$2:$E$6912,MATCH($A284&amp;"|70",Positions!$A$2:$A$6912,0)),"-")</f>
        <v>G</v>
      </c>
      <c r="H284" s="3" t="str">
        <f aca="false">F284&amp;"-"&amp;G284</f>
        <v>C-G</v>
      </c>
      <c r="I284" s="4" t="n">
        <f aca="false">(F284="G")+(G284="G")</f>
        <v>1</v>
      </c>
      <c r="J284" s="4" t="n">
        <f aca="false">(F284="C")+(G284="C")</f>
        <v>1</v>
      </c>
      <c r="K284" s="3" t="n">
        <f aca="false">I284+J284</f>
        <v>2</v>
      </c>
    </row>
    <row r="285" customFormat="false" ht="15" hidden="false" customHeight="false" outlineLevel="0" collapsed="false">
      <c r="A285" s="4" t="s">
        <v>47</v>
      </c>
      <c r="B285" s="4" t="s">
        <v>412</v>
      </c>
      <c r="C285" s="4" t="s">
        <v>519</v>
      </c>
      <c r="D285" s="4" t="n">
        <f aca="false">IFERROR(INDEX(Positions!$D$2:$D$6912,MATCH($A285&amp;"|4",Positions!$A$2:$A$6912,0)),"-")</f>
        <v>4</v>
      </c>
      <c r="E285" s="4" t="n">
        <f aca="false">IFERROR(INDEX(Positions!$D$2:$D$6912,MATCH($A285&amp;"|69",Positions!$A$2:$A$6912,0)),"-")</f>
        <v>68</v>
      </c>
      <c r="F285" s="4" t="str">
        <f aca="false">IFERROR(INDEX(Positions!$E$2:$E$6912,MATCH($A285&amp;"|4",Positions!$A$2:$A$6912,0)),"-")</f>
        <v>C</v>
      </c>
      <c r="G285" s="4" t="str">
        <f aca="false">IFERROR(INDEX(Positions!$E$2:$E$6912,MATCH($A285&amp;"|69",Positions!$A$2:$A$6912,0)),"-")</f>
        <v>G</v>
      </c>
      <c r="H285" s="3" t="str">
        <f aca="false">F285&amp;"-"&amp;G285</f>
        <v>C-G</v>
      </c>
      <c r="I285" s="4" t="n">
        <f aca="false">(F285="G")+(G285="G")</f>
        <v>1</v>
      </c>
      <c r="J285" s="4" t="n">
        <f aca="false">(F285="C")+(G285="C")</f>
        <v>1</v>
      </c>
      <c r="K285" s="3" t="n">
        <f aca="false">I285+J285</f>
        <v>2</v>
      </c>
    </row>
    <row r="286" customFormat="false" ht="15" hidden="false" customHeight="false" outlineLevel="0" collapsed="false">
      <c r="A286" s="4" t="s">
        <v>47</v>
      </c>
      <c r="B286" s="4" t="s">
        <v>412</v>
      </c>
      <c r="C286" s="4" t="s">
        <v>283</v>
      </c>
      <c r="D286" s="4" t="n">
        <f aca="false">IFERROR(INDEX(Positions!$D$2:$D$6912,MATCH($A286&amp;"|5",Positions!$A$2:$A$6912,0)),"-")</f>
        <v>5</v>
      </c>
      <c r="E286" s="4" t="n">
        <f aca="false">IFERROR(INDEX(Positions!$D$2:$D$6912,MATCH($A286&amp;"|68",Positions!$A$2:$A$6912,0)),"-")</f>
        <v>67</v>
      </c>
      <c r="F286" s="4" t="str">
        <f aca="false">IFERROR(INDEX(Positions!$E$2:$E$6912,MATCH($A286&amp;"|5",Positions!$A$2:$A$6912,0)),"-")</f>
        <v>A</v>
      </c>
      <c r="G286" s="4" t="str">
        <f aca="false">IFERROR(INDEX(Positions!$E$2:$E$6912,MATCH($A286&amp;"|68",Positions!$A$2:$A$6912,0)),"-")</f>
        <v>U</v>
      </c>
      <c r="H286" s="3" t="str">
        <f aca="false">F286&amp;"-"&amp;G286</f>
        <v>A-U</v>
      </c>
      <c r="I286" s="4" t="n">
        <f aca="false">(F286="G")+(G286="G")</f>
        <v>0</v>
      </c>
      <c r="J286" s="4" t="n">
        <f aca="false">(F286="C")+(G286="C")</f>
        <v>0</v>
      </c>
      <c r="K286" s="3" t="n">
        <f aca="false">I286+J286</f>
        <v>0</v>
      </c>
    </row>
    <row r="287" customFormat="false" ht="15" hidden="false" customHeight="false" outlineLevel="0" collapsed="false">
      <c r="A287" s="4" t="s">
        <v>47</v>
      </c>
      <c r="B287" s="4" t="s">
        <v>412</v>
      </c>
      <c r="C287" s="4" t="s">
        <v>520</v>
      </c>
      <c r="D287" s="4" t="n">
        <f aca="false">IFERROR(INDEX(Positions!$D$2:$D$6912,MATCH($A287&amp;"|6",Positions!$A$2:$A$6912,0)),"-")</f>
        <v>6</v>
      </c>
      <c r="E287" s="4" t="n">
        <f aca="false">IFERROR(INDEX(Positions!$D$2:$D$6912,MATCH($A287&amp;"|67",Positions!$A$2:$A$6912,0)),"-")</f>
        <v>66</v>
      </c>
      <c r="F287" s="4" t="str">
        <f aca="false">IFERROR(INDEX(Positions!$E$2:$E$6912,MATCH($A287&amp;"|6",Positions!$A$2:$A$6912,0)),"-")</f>
        <v>U</v>
      </c>
      <c r="G287" s="4" t="str">
        <f aca="false">IFERROR(INDEX(Positions!$E$2:$E$6912,MATCH($A287&amp;"|67",Positions!$A$2:$A$6912,0)),"-")</f>
        <v>A</v>
      </c>
      <c r="H287" s="3" t="str">
        <f aca="false">F287&amp;"-"&amp;G287</f>
        <v>U-A</v>
      </c>
      <c r="I287" s="4" t="n">
        <f aca="false">(F287="G")+(G287="G")</f>
        <v>0</v>
      </c>
      <c r="J287" s="4" t="n">
        <f aca="false">(F287="C")+(G287="C")</f>
        <v>0</v>
      </c>
      <c r="K287" s="3" t="n">
        <f aca="false">I287+J287</f>
        <v>0</v>
      </c>
    </row>
    <row r="288" customFormat="false" ht="15" hidden="false" customHeight="false" outlineLevel="0" collapsed="false">
      <c r="A288" s="4" t="s">
        <v>47</v>
      </c>
      <c r="B288" s="4" t="s">
        <v>412</v>
      </c>
      <c r="C288" s="4" t="s">
        <v>521</v>
      </c>
      <c r="D288" s="4" t="n">
        <f aca="false">IFERROR(INDEX(Positions!$D$2:$D$6912,MATCH($A288&amp;"|7",Positions!$A$2:$A$6912,0)),"-")</f>
        <v>7</v>
      </c>
      <c r="E288" s="4" t="n">
        <f aca="false">IFERROR(INDEX(Positions!$D$2:$D$6912,MATCH($A288&amp;"|66",Positions!$A$2:$A$6912,0)),"-")</f>
        <v>65</v>
      </c>
      <c r="F288" s="4" t="str">
        <f aca="false">IFERROR(INDEX(Positions!$E$2:$E$6912,MATCH($A288&amp;"|7",Positions!$A$2:$A$6912,0)),"-")</f>
        <v>A</v>
      </c>
      <c r="G288" s="4" t="str">
        <f aca="false">IFERROR(INDEX(Positions!$E$2:$E$6912,MATCH($A288&amp;"|66",Positions!$A$2:$A$6912,0)),"-")</f>
        <v>U</v>
      </c>
      <c r="H288" s="3" t="str">
        <f aca="false">F288&amp;"-"&amp;G288</f>
        <v>A-U</v>
      </c>
      <c r="I288" s="4" t="n">
        <f aca="false">(F288="G")+(G288="G")</f>
        <v>0</v>
      </c>
      <c r="J288" s="4" t="n">
        <f aca="false">(F288="C")+(G288="C")</f>
        <v>0</v>
      </c>
      <c r="K288" s="3" t="n">
        <f aca="false">I288+J288</f>
        <v>0</v>
      </c>
    </row>
    <row r="289" customFormat="false" ht="15" hidden="false" customHeight="false" outlineLevel="0" collapsed="false">
      <c r="A289" s="4" t="s">
        <v>47</v>
      </c>
      <c r="B289" s="4" t="s">
        <v>425</v>
      </c>
      <c r="C289" s="4" t="s">
        <v>522</v>
      </c>
      <c r="D289" s="4" t="n">
        <f aca="false">IFERROR(INDEX(Positions!$D$2:$D$6912,MATCH($A289&amp;"|10",Positions!$A$2:$A$6912,0)),"-")</f>
        <v>10</v>
      </c>
      <c r="E289" s="4" t="n">
        <f aca="false">IFERROR(INDEX(Positions!$D$2:$D$6912,MATCH($A289&amp;"|25",Positions!$A$2:$A$6912,0)),"-")</f>
        <v>25</v>
      </c>
      <c r="F289" s="4" t="str">
        <f aca="false">IFERROR(INDEX(Positions!$E$2:$E$6912,MATCH($A289&amp;"|10",Positions!$A$2:$A$6912,0)),"-")</f>
        <v>G</v>
      </c>
      <c r="G289" s="4" t="str">
        <f aca="false">IFERROR(INDEX(Positions!$E$2:$E$6912,MATCH($A289&amp;"|25",Positions!$A$2:$A$6912,0)),"-")</f>
        <v>U</v>
      </c>
      <c r="H289" s="3" t="str">
        <f aca="false">F289&amp;"-"&amp;G289</f>
        <v>G-U</v>
      </c>
      <c r="I289" s="4" t="n">
        <f aca="false">(F289="G")+(G289="G")</f>
        <v>1</v>
      </c>
      <c r="J289" s="4" t="n">
        <f aca="false">(F289="C")+(G289="C")</f>
        <v>0</v>
      </c>
      <c r="K289" s="3" t="n">
        <f aca="false">I289+J289</f>
        <v>1</v>
      </c>
    </row>
    <row r="290" customFormat="false" ht="15" hidden="false" customHeight="false" outlineLevel="0" collapsed="false">
      <c r="A290" s="4" t="s">
        <v>47</v>
      </c>
      <c r="B290" s="4" t="s">
        <v>425</v>
      </c>
      <c r="C290" s="4" t="s">
        <v>523</v>
      </c>
      <c r="D290" s="4" t="n">
        <f aca="false">IFERROR(INDEX(Positions!$D$2:$D$6912,MATCH($A290&amp;"|11",Positions!$A$2:$A$6912,0)),"-")</f>
        <v>11</v>
      </c>
      <c r="E290" s="4" t="n">
        <f aca="false">IFERROR(INDEX(Positions!$D$2:$D$6912,MATCH($A290&amp;"|24",Positions!$A$2:$A$6912,0)),"-")</f>
        <v>24</v>
      </c>
      <c r="F290" s="4" t="str">
        <f aca="false">IFERROR(INDEX(Positions!$E$2:$E$6912,MATCH($A290&amp;"|11",Positions!$A$2:$A$6912,0)),"-")</f>
        <v>U</v>
      </c>
      <c r="G290" s="4" t="str">
        <f aca="false">IFERROR(INDEX(Positions!$E$2:$E$6912,MATCH($A290&amp;"|24",Positions!$A$2:$A$6912,0)),"-")</f>
        <v>A</v>
      </c>
      <c r="H290" s="3" t="str">
        <f aca="false">F290&amp;"-"&amp;G290</f>
        <v>U-A</v>
      </c>
      <c r="I290" s="4" t="n">
        <f aca="false">(F290="G")+(G290="G")</f>
        <v>0</v>
      </c>
      <c r="J290" s="4" t="n">
        <f aca="false">(F290="C")+(G290="C")</f>
        <v>0</v>
      </c>
      <c r="K290" s="3" t="n">
        <f aca="false">I290+J290</f>
        <v>0</v>
      </c>
    </row>
    <row r="291" customFormat="false" ht="15" hidden="false" customHeight="false" outlineLevel="0" collapsed="false">
      <c r="A291" s="4" t="s">
        <v>47</v>
      </c>
      <c r="B291" s="4" t="s">
        <v>425</v>
      </c>
      <c r="C291" s="4" t="s">
        <v>250</v>
      </c>
      <c r="D291" s="4" t="n">
        <f aca="false">IFERROR(INDEX(Positions!$D$2:$D$6912,MATCH($A291&amp;"|12",Positions!$A$2:$A$6912,0)),"-")</f>
        <v>12</v>
      </c>
      <c r="E291" s="4" t="n">
        <f aca="false">IFERROR(INDEX(Positions!$D$2:$D$6912,MATCH($A291&amp;"|23",Positions!$A$2:$A$6912,0)),"-")</f>
        <v>23</v>
      </c>
      <c r="F291" s="4" t="str">
        <f aca="false">IFERROR(INDEX(Positions!$E$2:$E$6912,MATCH($A291&amp;"|12",Positions!$A$2:$A$6912,0)),"-")</f>
        <v>C</v>
      </c>
      <c r="G291" s="4" t="str">
        <f aca="false">IFERROR(INDEX(Positions!$E$2:$E$6912,MATCH($A291&amp;"|23",Positions!$A$2:$A$6912,0)),"-")</f>
        <v>G</v>
      </c>
      <c r="H291" s="3" t="str">
        <f aca="false">F291&amp;"-"&amp;G291</f>
        <v>C-G</v>
      </c>
      <c r="I291" s="4" t="n">
        <f aca="false">(F291="G")+(G291="G")</f>
        <v>1</v>
      </c>
      <c r="J291" s="4" t="n">
        <f aca="false">(F291="C")+(G291="C")</f>
        <v>1</v>
      </c>
      <c r="K291" s="3" t="n">
        <f aca="false">I291+J291</f>
        <v>2</v>
      </c>
    </row>
    <row r="292" customFormat="false" ht="15" hidden="false" customHeight="false" outlineLevel="0" collapsed="false">
      <c r="A292" s="4" t="s">
        <v>47</v>
      </c>
      <c r="B292" s="4" t="s">
        <v>425</v>
      </c>
      <c r="C292" s="4" t="s">
        <v>154</v>
      </c>
      <c r="D292" s="4" t="n">
        <f aca="false">IFERROR(INDEX(Positions!$D$2:$D$6912,MATCH($A292&amp;"|13",Positions!$A$2:$A$6912,0)),"-")</f>
        <v>13</v>
      </c>
      <c r="E292" s="4" t="n">
        <f aca="false">IFERROR(INDEX(Positions!$D$2:$D$6912,MATCH($A292&amp;"|22",Positions!$A$2:$A$6912,0)),"-")</f>
        <v>22</v>
      </c>
      <c r="F292" s="4" t="str">
        <f aca="false">IFERROR(INDEX(Positions!$E$2:$E$6912,MATCH($A292&amp;"|13",Positions!$A$2:$A$6912,0)),"-")</f>
        <v>U</v>
      </c>
      <c r="G292" s="4" t="str">
        <f aca="false">IFERROR(INDEX(Positions!$E$2:$E$6912,MATCH($A292&amp;"|22",Positions!$A$2:$A$6912,0)),"-")</f>
        <v>G</v>
      </c>
      <c r="H292" s="3" t="str">
        <f aca="false">F292&amp;"-"&amp;G292</f>
        <v>U-G</v>
      </c>
      <c r="I292" s="4" t="n">
        <f aca="false">(F292="G")+(G292="G")</f>
        <v>1</v>
      </c>
      <c r="J292" s="4" t="n">
        <f aca="false">(F292="C")+(G292="C")</f>
        <v>0</v>
      </c>
      <c r="K292" s="3" t="n">
        <f aca="false">I292+J292</f>
        <v>1</v>
      </c>
    </row>
    <row r="293" customFormat="false" ht="15" hidden="false" customHeight="false" outlineLevel="0" collapsed="false">
      <c r="A293" s="4" t="s">
        <v>47</v>
      </c>
      <c r="B293" s="4" t="s">
        <v>446</v>
      </c>
      <c r="C293" s="4" t="s">
        <v>524</v>
      </c>
      <c r="D293" s="4" t="n">
        <f aca="false">IFERROR(INDEX(Positions!$D$2:$D$6912,MATCH($A293&amp;"|27",Positions!$A$2:$A$6912,0)),"-")</f>
        <v>27</v>
      </c>
      <c r="E293" s="4" t="n">
        <f aca="false">IFERROR(INDEX(Positions!$D$2:$D$6912,MATCH($A293&amp;"|43",Positions!$A$2:$A$6912,0)),"-")</f>
        <v>43</v>
      </c>
      <c r="F293" s="4" t="str">
        <f aca="false">IFERROR(INDEX(Positions!$E$2:$E$6912,MATCH($A293&amp;"|27",Positions!$A$2:$A$6912,0)),"-")</f>
        <v>U</v>
      </c>
      <c r="G293" s="4" t="str">
        <f aca="false">IFERROR(INDEX(Positions!$E$2:$E$6912,MATCH($A293&amp;"|43",Positions!$A$2:$A$6912,0)),"-")</f>
        <v>A</v>
      </c>
      <c r="H293" s="3" t="str">
        <f aca="false">F293&amp;"-"&amp;G293</f>
        <v>U-A</v>
      </c>
      <c r="I293" s="4" t="n">
        <f aca="false">(F293="G")+(G293="G")</f>
        <v>0</v>
      </c>
      <c r="J293" s="4" t="n">
        <f aca="false">(F293="C")+(G293="C")</f>
        <v>0</v>
      </c>
      <c r="K293" s="3" t="n">
        <f aca="false">I293+J293</f>
        <v>0</v>
      </c>
    </row>
    <row r="294" customFormat="false" ht="15" hidden="false" customHeight="false" outlineLevel="0" collapsed="false">
      <c r="A294" s="4" t="s">
        <v>47</v>
      </c>
      <c r="B294" s="4" t="s">
        <v>446</v>
      </c>
      <c r="C294" s="4" t="s">
        <v>525</v>
      </c>
      <c r="D294" s="4" t="n">
        <f aca="false">IFERROR(INDEX(Positions!$D$2:$D$6912,MATCH($A294&amp;"|28",Positions!$A$2:$A$6912,0)),"-")</f>
        <v>28</v>
      </c>
      <c r="E294" s="4" t="n">
        <f aca="false">IFERROR(INDEX(Positions!$D$2:$D$6912,MATCH($A294&amp;"|42",Positions!$A$2:$A$6912,0)),"-")</f>
        <v>42</v>
      </c>
      <c r="F294" s="4" t="str">
        <f aca="false">IFERROR(INDEX(Positions!$E$2:$E$6912,MATCH($A294&amp;"|28",Positions!$A$2:$A$6912,0)),"-")</f>
        <v>C</v>
      </c>
      <c r="G294" s="4" t="str">
        <f aca="false">IFERROR(INDEX(Positions!$E$2:$E$6912,MATCH($A294&amp;"|42",Positions!$A$2:$A$6912,0)),"-")</f>
        <v>G</v>
      </c>
      <c r="H294" s="3" t="str">
        <f aca="false">F294&amp;"-"&amp;G294</f>
        <v>C-G</v>
      </c>
      <c r="I294" s="4" t="n">
        <f aca="false">(F294="G")+(G294="G")</f>
        <v>1</v>
      </c>
      <c r="J294" s="4" t="n">
        <f aca="false">(F294="C")+(G294="C")</f>
        <v>1</v>
      </c>
      <c r="K294" s="3" t="n">
        <f aca="false">I294+J294</f>
        <v>2</v>
      </c>
    </row>
    <row r="295" customFormat="false" ht="15" hidden="false" customHeight="false" outlineLevel="0" collapsed="false">
      <c r="A295" s="4" t="s">
        <v>47</v>
      </c>
      <c r="B295" s="4" t="s">
        <v>446</v>
      </c>
      <c r="C295" s="4" t="s">
        <v>256</v>
      </c>
      <c r="D295" s="4" t="n">
        <f aca="false">IFERROR(INDEX(Positions!$D$2:$D$6912,MATCH($A295&amp;"|29",Positions!$A$2:$A$6912,0)),"-")</f>
        <v>29</v>
      </c>
      <c r="E295" s="4" t="n">
        <f aca="false">IFERROR(INDEX(Positions!$D$2:$D$6912,MATCH($A295&amp;"|41",Positions!$A$2:$A$6912,0)),"-")</f>
        <v>41</v>
      </c>
      <c r="F295" s="4" t="str">
        <f aca="false">IFERROR(INDEX(Positions!$E$2:$E$6912,MATCH($A295&amp;"|29",Positions!$A$2:$A$6912,0)),"-")</f>
        <v>U</v>
      </c>
      <c r="G295" s="4" t="str">
        <f aca="false">IFERROR(INDEX(Positions!$E$2:$E$6912,MATCH($A295&amp;"|41",Positions!$A$2:$A$6912,0)),"-")</f>
        <v>A</v>
      </c>
      <c r="H295" s="3" t="str">
        <f aca="false">F295&amp;"-"&amp;G295</f>
        <v>U-A</v>
      </c>
      <c r="I295" s="4" t="n">
        <f aca="false">(F295="G")+(G295="G")</f>
        <v>0</v>
      </c>
      <c r="J295" s="4" t="n">
        <f aca="false">(F295="C")+(G295="C")</f>
        <v>0</v>
      </c>
      <c r="K295" s="3" t="n">
        <f aca="false">I295+J295</f>
        <v>0</v>
      </c>
    </row>
    <row r="296" customFormat="false" ht="15" hidden="false" customHeight="false" outlineLevel="0" collapsed="false">
      <c r="A296" s="4" t="s">
        <v>47</v>
      </c>
      <c r="B296" s="4" t="s">
        <v>446</v>
      </c>
      <c r="C296" s="4" t="s">
        <v>526</v>
      </c>
      <c r="D296" s="4" t="n">
        <f aca="false">IFERROR(INDEX(Positions!$D$2:$D$6912,MATCH($A296&amp;"|30",Positions!$A$2:$A$6912,0)),"-")</f>
        <v>30</v>
      </c>
      <c r="E296" s="4" t="n">
        <f aca="false">IFERROR(INDEX(Positions!$D$2:$D$6912,MATCH($A296&amp;"|40",Positions!$A$2:$A$6912,0)),"-")</f>
        <v>40</v>
      </c>
      <c r="F296" s="4" t="str">
        <f aca="false">IFERROR(INDEX(Positions!$E$2:$E$6912,MATCH($A296&amp;"|30",Positions!$A$2:$A$6912,0)),"-")</f>
        <v>G</v>
      </c>
      <c r="G296" s="4" t="str">
        <f aca="false">IFERROR(INDEX(Positions!$E$2:$E$6912,MATCH($A296&amp;"|40",Positions!$A$2:$A$6912,0)),"-")</f>
        <v>C</v>
      </c>
      <c r="H296" s="3" t="str">
        <f aca="false">F296&amp;"-"&amp;G296</f>
        <v>G-C</v>
      </c>
      <c r="I296" s="4" t="n">
        <f aca="false">(F296="G")+(G296="G")</f>
        <v>1</v>
      </c>
      <c r="J296" s="4" t="n">
        <f aca="false">(F296="C")+(G296="C")</f>
        <v>1</v>
      </c>
      <c r="K296" s="3" t="n">
        <f aca="false">I296+J296</f>
        <v>2</v>
      </c>
    </row>
    <row r="297" customFormat="false" ht="15" hidden="false" customHeight="false" outlineLevel="0" collapsed="false">
      <c r="A297" s="4" t="s">
        <v>47</v>
      </c>
      <c r="B297" s="4" t="s">
        <v>446</v>
      </c>
      <c r="C297" s="4" t="s">
        <v>273</v>
      </c>
      <c r="D297" s="4" t="n">
        <f aca="false">IFERROR(INDEX(Positions!$D$2:$D$6912,MATCH($A297&amp;"|31",Positions!$A$2:$A$6912,0)),"-")</f>
        <v>31</v>
      </c>
      <c r="E297" s="4" t="n">
        <f aca="false">IFERROR(INDEX(Positions!$D$2:$D$6912,MATCH($A297&amp;"|39",Positions!$A$2:$A$6912,0)),"-")</f>
        <v>39</v>
      </c>
      <c r="F297" s="4" t="str">
        <f aca="false">IFERROR(INDEX(Positions!$E$2:$E$6912,MATCH($A297&amp;"|31",Positions!$A$2:$A$6912,0)),"-")</f>
        <v>G</v>
      </c>
      <c r="G297" s="4" t="str">
        <f aca="false">IFERROR(INDEX(Positions!$E$2:$E$6912,MATCH($A297&amp;"|39",Positions!$A$2:$A$6912,0)),"-")</f>
        <v>C</v>
      </c>
      <c r="H297" s="3" t="str">
        <f aca="false">F297&amp;"-"&amp;G297</f>
        <v>G-C</v>
      </c>
      <c r="I297" s="4" t="n">
        <f aca="false">(F297="G")+(G297="G")</f>
        <v>1</v>
      </c>
      <c r="J297" s="4" t="n">
        <f aca="false">(F297="C")+(G297="C")</f>
        <v>1</v>
      </c>
      <c r="K297" s="3" t="n">
        <f aca="false">I297+J297</f>
        <v>2</v>
      </c>
    </row>
    <row r="298" customFormat="false" ht="15" hidden="false" customHeight="false" outlineLevel="0" collapsed="false">
      <c r="A298" s="4" t="s">
        <v>47</v>
      </c>
      <c r="B298" s="4" t="s">
        <v>471</v>
      </c>
      <c r="C298" s="4" t="s">
        <v>367</v>
      </c>
      <c r="D298" s="4" t="n">
        <f aca="false">IFERROR(INDEX(Positions!$D$2:$D$6912,MATCH($A298&amp;"|49",Positions!$A$2:$A$6912,0)),"-")</f>
        <v>48</v>
      </c>
      <c r="E298" s="4" t="n">
        <f aca="false">IFERROR(INDEX(Positions!$D$2:$D$6912,MATCH($A298&amp;"|65",Positions!$A$2:$A$6912,0)),"-")</f>
        <v>64</v>
      </c>
      <c r="F298" s="4" t="str">
        <f aca="false">IFERROR(INDEX(Positions!$E$2:$E$6912,MATCH($A298&amp;"|49",Positions!$A$2:$A$6912,0)),"-")</f>
        <v>C</v>
      </c>
      <c r="G298" s="4" t="str">
        <f aca="false">IFERROR(INDEX(Positions!$E$2:$E$6912,MATCH($A298&amp;"|65",Positions!$A$2:$A$6912,0)),"-")</f>
        <v>G</v>
      </c>
      <c r="H298" s="3" t="str">
        <f aca="false">F298&amp;"-"&amp;G298</f>
        <v>C-G</v>
      </c>
      <c r="I298" s="4" t="n">
        <f aca="false">(F298="G")+(G298="G")</f>
        <v>1</v>
      </c>
      <c r="J298" s="4" t="n">
        <f aca="false">(F298="C")+(G298="C")</f>
        <v>1</v>
      </c>
      <c r="K298" s="3" t="n">
        <f aca="false">I298+J298</f>
        <v>2</v>
      </c>
    </row>
    <row r="299" customFormat="false" ht="15" hidden="false" customHeight="false" outlineLevel="0" collapsed="false">
      <c r="A299" s="4" t="s">
        <v>47</v>
      </c>
      <c r="B299" s="4" t="s">
        <v>471</v>
      </c>
      <c r="C299" s="4" t="s">
        <v>233</v>
      </c>
      <c r="D299" s="4" t="n">
        <f aca="false">IFERROR(INDEX(Positions!$D$2:$D$6912,MATCH($A299&amp;"|50",Positions!$A$2:$A$6912,0)),"-")</f>
        <v>49</v>
      </c>
      <c r="E299" s="4" t="n">
        <f aca="false">IFERROR(INDEX(Positions!$D$2:$D$6912,MATCH($A299&amp;"|64",Positions!$A$2:$A$6912,0)),"-")</f>
        <v>63</v>
      </c>
      <c r="F299" s="4" t="str">
        <f aca="false">IFERROR(INDEX(Positions!$E$2:$E$6912,MATCH($A299&amp;"|50",Positions!$A$2:$A$6912,0)),"-")</f>
        <v>C</v>
      </c>
      <c r="G299" s="4" t="str">
        <f aca="false">IFERROR(INDEX(Positions!$E$2:$E$6912,MATCH($A299&amp;"|64",Positions!$A$2:$A$6912,0)),"-")</f>
        <v>G</v>
      </c>
      <c r="H299" s="3" t="str">
        <f aca="false">F299&amp;"-"&amp;G299</f>
        <v>C-G</v>
      </c>
      <c r="I299" s="4" t="n">
        <f aca="false">(F299="G")+(G299="G")</f>
        <v>1</v>
      </c>
      <c r="J299" s="4" t="n">
        <f aca="false">(F299="C")+(G299="C")</f>
        <v>1</v>
      </c>
      <c r="K299" s="3" t="n">
        <f aca="false">I299+J299</f>
        <v>2</v>
      </c>
    </row>
    <row r="300" customFormat="false" ht="15" hidden="false" customHeight="false" outlineLevel="0" collapsed="false">
      <c r="A300" s="4" t="s">
        <v>47</v>
      </c>
      <c r="B300" s="4" t="s">
        <v>471</v>
      </c>
      <c r="C300" s="4" t="s">
        <v>527</v>
      </c>
      <c r="D300" s="4" t="n">
        <f aca="false">IFERROR(INDEX(Positions!$D$2:$D$6912,MATCH($A300&amp;"|51",Positions!$A$2:$A$6912,0)),"-")</f>
        <v>50</v>
      </c>
      <c r="E300" s="4" t="n">
        <f aca="false">IFERROR(INDEX(Positions!$D$2:$D$6912,MATCH($A300&amp;"|63",Positions!$A$2:$A$6912,0)),"-")</f>
        <v>62</v>
      </c>
      <c r="F300" s="4" t="str">
        <f aca="false">IFERROR(INDEX(Positions!$E$2:$E$6912,MATCH($A300&amp;"|51",Positions!$A$2:$A$6912,0)),"-")</f>
        <v>G</v>
      </c>
      <c r="G300" s="4" t="str">
        <f aca="false">IFERROR(INDEX(Positions!$E$2:$E$6912,MATCH($A300&amp;"|63",Positions!$A$2:$A$6912,0)),"-")</f>
        <v>C</v>
      </c>
      <c r="H300" s="3" t="str">
        <f aca="false">F300&amp;"-"&amp;G300</f>
        <v>G-C</v>
      </c>
      <c r="I300" s="4" t="n">
        <f aca="false">(F300="G")+(G300="G")</f>
        <v>1</v>
      </c>
      <c r="J300" s="4" t="n">
        <f aca="false">(F300="C")+(G300="C")</f>
        <v>1</v>
      </c>
      <c r="K300" s="3" t="n">
        <f aca="false">I300+J300</f>
        <v>2</v>
      </c>
    </row>
    <row r="301" customFormat="false" ht="15" hidden="false" customHeight="false" outlineLevel="0" collapsed="false">
      <c r="A301" s="4" t="s">
        <v>47</v>
      </c>
      <c r="B301" s="4" t="s">
        <v>471</v>
      </c>
      <c r="C301" s="4" t="s">
        <v>528</v>
      </c>
      <c r="D301" s="4" t="n">
        <f aca="false">IFERROR(INDEX(Positions!$D$2:$D$6912,MATCH($A301&amp;"|52",Positions!$A$2:$A$6912,0)),"-")</f>
        <v>51</v>
      </c>
      <c r="E301" s="4" t="n">
        <f aca="false">IFERROR(INDEX(Positions!$D$2:$D$6912,MATCH($A301&amp;"|62",Positions!$A$2:$A$6912,0)),"-")</f>
        <v>61</v>
      </c>
      <c r="F301" s="4" t="str">
        <f aca="false">IFERROR(INDEX(Positions!$E$2:$E$6912,MATCH($A301&amp;"|52",Positions!$A$2:$A$6912,0)),"-")</f>
        <v>G</v>
      </c>
      <c r="G301" s="4" t="str">
        <f aca="false">IFERROR(INDEX(Positions!$E$2:$E$6912,MATCH($A301&amp;"|62",Positions!$A$2:$A$6912,0)),"-")</f>
        <v>C</v>
      </c>
      <c r="H301" s="3" t="str">
        <f aca="false">F301&amp;"-"&amp;G301</f>
        <v>G-C</v>
      </c>
      <c r="I301" s="4" t="n">
        <f aca="false">(F301="G")+(G301="G")</f>
        <v>1</v>
      </c>
      <c r="J301" s="4" t="n">
        <f aca="false">(F301="C")+(G301="C")</f>
        <v>1</v>
      </c>
      <c r="K301" s="3" t="n">
        <f aca="false">I301+J301</f>
        <v>2</v>
      </c>
    </row>
    <row r="302" customFormat="false" ht="15" hidden="false" customHeight="false" outlineLevel="0" collapsed="false">
      <c r="A302" s="4" t="s">
        <v>47</v>
      </c>
      <c r="B302" s="4" t="s">
        <v>471</v>
      </c>
      <c r="C302" s="4" t="s">
        <v>529</v>
      </c>
      <c r="D302" s="4" t="n">
        <f aca="false">IFERROR(INDEX(Positions!$D$2:$D$6912,MATCH($A302&amp;"|53",Positions!$A$2:$A$6912,0)),"-")</f>
        <v>52</v>
      </c>
      <c r="E302" s="4" t="n">
        <f aca="false">IFERROR(INDEX(Positions!$D$2:$D$6912,MATCH($A302&amp;"|61",Positions!$A$2:$A$6912,0)),"-")</f>
        <v>60</v>
      </c>
      <c r="F302" s="4" t="str">
        <f aca="false">IFERROR(INDEX(Positions!$E$2:$E$6912,MATCH($A302&amp;"|53",Positions!$A$2:$A$6912,0)),"-")</f>
        <v>G</v>
      </c>
      <c r="G302" s="4" t="str">
        <f aca="false">IFERROR(INDEX(Positions!$E$2:$E$6912,MATCH($A302&amp;"|61",Positions!$A$2:$A$6912,0)),"-")</f>
        <v>C</v>
      </c>
      <c r="H302" s="3" t="str">
        <f aca="false">F302&amp;"-"&amp;G302</f>
        <v>G-C</v>
      </c>
      <c r="I302" s="4" t="n">
        <f aca="false">(F302="G")+(G302="G")</f>
        <v>1</v>
      </c>
      <c r="J302" s="4" t="n">
        <f aca="false">(F302="C")+(G302="C")</f>
        <v>1</v>
      </c>
      <c r="K302" s="3" t="n">
        <f aca="false">I302+J302</f>
        <v>2</v>
      </c>
    </row>
    <row r="303" customFormat="false" ht="15" hidden="false" customHeight="false" outlineLevel="0" collapsed="false">
      <c r="A303" s="24" t="s">
        <v>47</v>
      </c>
      <c r="B303" s="24" t="s">
        <v>530</v>
      </c>
      <c r="C303" s="24" t="s">
        <v>531</v>
      </c>
      <c r="D303" s="24" t="n">
        <f aca="false">IFERROR(INDEX(Positions!$D$2:$D$6912,MATCH($A303&amp;"|8",Positions!$A$2:$A$6912,0)),"-")</f>
        <v>8</v>
      </c>
      <c r="E303" s="24" t="n">
        <f aca="false">IFERROR(INDEX(Positions!$D$2:$D$6912,MATCH($A303&amp;"|14",Positions!$A$2:$A$6912,0)),"-")</f>
        <v>14</v>
      </c>
      <c r="F303" s="24" t="str">
        <f aca="false">IFERROR(INDEX(Positions!$E$2:$E$6912,MATCH($A303&amp;"|8",Positions!$A$2:$A$6912,0)),"-")</f>
        <v>U</v>
      </c>
      <c r="G303" s="24" t="str">
        <f aca="false">IFERROR(INDEX(Positions!$E$2:$E$6912,MATCH($A303&amp;"|14",Positions!$A$2:$A$6912,0)),"-")</f>
        <v>A</v>
      </c>
      <c r="H303" s="25" t="str">
        <f aca="false">F303&amp;"-"&amp;G303</f>
        <v>U-A</v>
      </c>
      <c r="I303" s="24" t="n">
        <f aca="false">(F303="G")+(G303="G")</f>
        <v>0</v>
      </c>
      <c r="J303" s="24" t="n">
        <f aca="false">(F303="C")+(G303="C")</f>
        <v>0</v>
      </c>
      <c r="K303" s="25" t="n">
        <f aca="false">I303+J303</f>
        <v>0</v>
      </c>
    </row>
    <row r="304" customFormat="false" ht="15" hidden="false" customHeight="false" outlineLevel="0" collapsed="false">
      <c r="A304" s="24" t="s">
        <v>47</v>
      </c>
      <c r="B304" s="24" t="s">
        <v>530</v>
      </c>
      <c r="C304" s="24" t="s">
        <v>532</v>
      </c>
      <c r="D304" s="24" t="n">
        <f aca="false">IFERROR(INDEX(Positions!$D$2:$D$6912,MATCH($A304&amp;"|15",Positions!$A$2:$A$6912,0)),"-")</f>
        <v>15</v>
      </c>
      <c r="E304" s="24" t="n">
        <f aca="false">IFERROR(INDEX(Positions!$D$2:$D$6912,MATCH($A304&amp;"|48",Positions!$A$2:$A$6912,0)),"-")</f>
        <v>47</v>
      </c>
      <c r="F304" s="24" t="str">
        <f aca="false">IFERROR(INDEX(Positions!$E$2:$E$6912,MATCH($A304&amp;"|15",Positions!$A$2:$A$6912,0)),"-")</f>
        <v>G</v>
      </c>
      <c r="G304" s="24" t="str">
        <f aca="false">IFERROR(INDEX(Positions!$E$2:$E$6912,MATCH($A304&amp;"|48",Positions!$A$2:$A$6912,0)),"-")</f>
        <v>C</v>
      </c>
      <c r="H304" s="25" t="str">
        <f aca="false">F304&amp;"-"&amp;G304</f>
        <v>G-C</v>
      </c>
      <c r="I304" s="24" t="n">
        <f aca="false">(F304="G")+(G304="G")</f>
        <v>1</v>
      </c>
      <c r="J304" s="24" t="n">
        <f aca="false">(F304="C")+(G304="C")</f>
        <v>1</v>
      </c>
      <c r="K304" s="25" t="n">
        <f aca="false">I304+J304</f>
        <v>2</v>
      </c>
    </row>
    <row r="305" customFormat="false" ht="15" hidden="false" customHeight="false" outlineLevel="0" collapsed="false">
      <c r="A305" s="24" t="s">
        <v>47</v>
      </c>
      <c r="B305" s="24" t="s">
        <v>530</v>
      </c>
      <c r="C305" s="24" t="s">
        <v>533</v>
      </c>
      <c r="D305" s="24" t="n">
        <f aca="false">IFERROR(INDEX(Positions!$D$2:$D$6912,MATCH($A305&amp;"|18",Positions!$A$2:$A$6912,0)),"-")</f>
        <v>17</v>
      </c>
      <c r="E305" s="24" t="n">
        <f aca="false">IFERROR(INDEX(Positions!$D$2:$D$6912,MATCH($A305&amp;"|55",Positions!$A$2:$A$6912,0)),"-")</f>
        <v>54</v>
      </c>
      <c r="F305" s="24" t="str">
        <f aca="false">IFERROR(INDEX(Positions!$E$2:$E$6912,MATCH($A305&amp;"|18",Positions!$A$2:$A$6912,0)),"-")</f>
        <v>G</v>
      </c>
      <c r="G305" s="24" t="str">
        <f aca="false">IFERROR(INDEX(Positions!$E$2:$E$6912,MATCH($A305&amp;"|55",Positions!$A$2:$A$6912,0)),"-")</f>
        <v>U</v>
      </c>
      <c r="H305" s="25" t="str">
        <f aca="false">F305&amp;"-"&amp;G305</f>
        <v>G-U</v>
      </c>
      <c r="I305" s="24" t="n">
        <f aca="false">(F305="G")+(G305="G")</f>
        <v>1</v>
      </c>
      <c r="J305" s="24" t="n">
        <f aca="false">(F305="C")+(G305="C")</f>
        <v>0</v>
      </c>
      <c r="K305" s="25" t="n">
        <f aca="false">I305+J305</f>
        <v>1</v>
      </c>
    </row>
    <row r="306" customFormat="false" ht="15" hidden="false" customHeight="false" outlineLevel="0" collapsed="false">
      <c r="A306" s="24" t="s">
        <v>47</v>
      </c>
      <c r="B306" s="24" t="s">
        <v>530</v>
      </c>
      <c r="C306" s="24" t="s">
        <v>534</v>
      </c>
      <c r="D306" s="24" t="n">
        <f aca="false">IFERROR(INDEX(Positions!$D$2:$D$6912,MATCH($A306&amp;"|19",Positions!$A$2:$A$6912,0)),"-")</f>
        <v>18</v>
      </c>
      <c r="E306" s="24" t="n">
        <f aca="false">IFERROR(INDEX(Positions!$D$2:$D$6912,MATCH($A306&amp;"|56",Positions!$A$2:$A$6912,0)),"-")</f>
        <v>55</v>
      </c>
      <c r="F306" s="24" t="str">
        <f aca="false">IFERROR(INDEX(Positions!$E$2:$E$6912,MATCH($A306&amp;"|19",Positions!$A$2:$A$6912,0)),"-")</f>
        <v>G</v>
      </c>
      <c r="G306" s="24" t="str">
        <f aca="false">IFERROR(INDEX(Positions!$E$2:$E$6912,MATCH($A306&amp;"|56",Positions!$A$2:$A$6912,0)),"-")</f>
        <v>C</v>
      </c>
      <c r="H306" s="25" t="str">
        <f aca="false">F306&amp;"-"&amp;G306</f>
        <v>G-C</v>
      </c>
      <c r="I306" s="24" t="n">
        <f aca="false">(F306="G")+(G306="G")</f>
        <v>1</v>
      </c>
      <c r="J306" s="24" t="n">
        <f aca="false">(F306="C")+(G306="C")</f>
        <v>1</v>
      </c>
      <c r="K306" s="25" t="n">
        <f aca="false">I306+J306</f>
        <v>2</v>
      </c>
    </row>
    <row r="307" customFormat="false" ht="15" hidden="false" customHeight="false" outlineLevel="0" collapsed="false">
      <c r="A307" s="24" t="s">
        <v>47</v>
      </c>
      <c r="B307" s="24" t="s">
        <v>530</v>
      </c>
      <c r="C307" s="24" t="s">
        <v>535</v>
      </c>
      <c r="D307" s="24" t="n">
        <f aca="false">IFERROR(INDEX(Positions!$D$2:$D$6912,MATCH($A307&amp;"|26",Positions!$A$2:$A$6912,0)),"-")</f>
        <v>26</v>
      </c>
      <c r="E307" s="24" t="n">
        <f aca="false">IFERROR(INDEX(Positions!$D$2:$D$6912,MATCH($A307&amp;"|44",Positions!$A$2:$A$6912,0)),"-")</f>
        <v>44</v>
      </c>
      <c r="F307" s="24" t="str">
        <f aca="false">IFERROR(INDEX(Positions!$E$2:$E$6912,MATCH($A307&amp;"|26",Positions!$A$2:$A$6912,0)),"-")</f>
        <v>A</v>
      </c>
      <c r="G307" s="24" t="str">
        <f aca="false">IFERROR(INDEX(Positions!$E$2:$E$6912,MATCH($A307&amp;"|44",Positions!$A$2:$A$6912,0)),"-")</f>
        <v>A</v>
      </c>
      <c r="H307" s="25" t="str">
        <f aca="false">F307&amp;"-"&amp;G307</f>
        <v>A-A</v>
      </c>
      <c r="I307" s="24" t="n">
        <f aca="false">(F307="G")+(G307="G")</f>
        <v>0</v>
      </c>
      <c r="J307" s="24" t="n">
        <f aca="false">(F307="C")+(G307="C")</f>
        <v>0</v>
      </c>
      <c r="K307" s="25" t="n">
        <f aca="false">I307+J307</f>
        <v>0</v>
      </c>
    </row>
    <row r="308" customFormat="false" ht="15" hidden="false" customHeight="false" outlineLevel="0" collapsed="false">
      <c r="A308" s="24" t="s">
        <v>47</v>
      </c>
      <c r="B308" s="24" t="s">
        <v>530</v>
      </c>
      <c r="C308" s="24" t="s">
        <v>536</v>
      </c>
      <c r="D308" s="24" t="n">
        <f aca="false">IFERROR(INDEX(Positions!$D$2:$D$6912,MATCH($A308&amp;"|32",Positions!$A$2:$A$6912,0)),"-")</f>
        <v>32</v>
      </c>
      <c r="E308" s="24" t="n">
        <f aca="false">IFERROR(INDEX(Positions!$D$2:$D$6912,MATCH($A308&amp;"|38",Positions!$A$2:$A$6912,0)),"-")</f>
        <v>38</v>
      </c>
      <c r="F308" s="24" t="str">
        <f aca="false">IFERROR(INDEX(Positions!$E$2:$E$6912,MATCH($A308&amp;"|32",Positions!$A$2:$A$6912,0)),"-")</f>
        <v>C</v>
      </c>
      <c r="G308" s="24" t="str">
        <f aca="false">IFERROR(INDEX(Positions!$E$2:$E$6912,MATCH($A308&amp;"|38",Positions!$A$2:$A$6912,0)),"-")</f>
        <v>C</v>
      </c>
      <c r="H308" s="25" t="str">
        <f aca="false">F308&amp;"-"&amp;G308</f>
        <v>C-C</v>
      </c>
      <c r="I308" s="24" t="n">
        <f aca="false">(F308="G")+(G308="G")</f>
        <v>0</v>
      </c>
      <c r="J308" s="24" t="n">
        <f aca="false">(F308="C")+(G308="C")</f>
        <v>2</v>
      </c>
      <c r="K308" s="25" t="n">
        <f aca="false">I308+J308</f>
        <v>2</v>
      </c>
    </row>
    <row r="309" customFormat="false" ht="15" hidden="false" customHeight="false" outlineLevel="0" collapsed="false">
      <c r="A309" s="24" t="s">
        <v>47</v>
      </c>
      <c r="B309" s="24" t="s">
        <v>530</v>
      </c>
      <c r="C309" s="24" t="s">
        <v>537</v>
      </c>
      <c r="D309" s="24" t="n">
        <f aca="false">IFERROR(INDEX(Positions!$D$2:$D$6912,MATCH($A309&amp;"|54",Positions!$A$2:$A$6912,0)),"-")</f>
        <v>53</v>
      </c>
      <c r="E309" s="24" t="n">
        <f aca="false">IFERROR(INDEX(Positions!$D$2:$D$6912,MATCH($A309&amp;"|58",Positions!$A$2:$A$6912,0)),"-")</f>
        <v>57</v>
      </c>
      <c r="F309" s="24" t="str">
        <f aca="false">IFERROR(INDEX(Positions!$E$2:$E$6912,MATCH($A309&amp;"|54",Positions!$A$2:$A$6912,0)),"-")</f>
        <v>U</v>
      </c>
      <c r="G309" s="24" t="str">
        <f aca="false">IFERROR(INDEX(Positions!$E$2:$E$6912,MATCH($A309&amp;"|58",Positions!$A$2:$A$6912,0)),"-")</f>
        <v>A</v>
      </c>
      <c r="H309" s="25" t="str">
        <f aca="false">F309&amp;"-"&amp;G309</f>
        <v>U-A</v>
      </c>
      <c r="I309" s="24" t="n">
        <f aca="false">(F309="G")+(G309="G")</f>
        <v>0</v>
      </c>
      <c r="J309" s="24" t="n">
        <f aca="false">(F309="C")+(G309="C")</f>
        <v>0</v>
      </c>
      <c r="K309" s="25" t="n">
        <f aca="false">I309+J309</f>
        <v>0</v>
      </c>
    </row>
    <row r="310" customFormat="false" ht="15" hidden="false" customHeight="false" outlineLevel="0" collapsed="false">
      <c r="A310" s="4" t="s">
        <v>48</v>
      </c>
      <c r="B310" s="4" t="s">
        <v>412</v>
      </c>
      <c r="C310" s="4" t="s">
        <v>517</v>
      </c>
      <c r="D310" s="4" t="n">
        <f aca="false">IFERROR(INDEX(Positions!$D$2:$D$6912,MATCH($A310&amp;"|1",Positions!$A$2:$A$6912,0)),"-")</f>
        <v>1</v>
      </c>
      <c r="E310" s="4" t="n">
        <f aca="false">IFERROR(INDEX(Positions!$D$2:$D$6912,MATCH($A310&amp;"|72",Positions!$A$2:$A$6912,0)),"-")</f>
        <v>71</v>
      </c>
      <c r="F310" s="4" t="str">
        <f aca="false">IFERROR(INDEX(Positions!$E$2:$E$6912,MATCH($A310&amp;"|1",Positions!$A$2:$A$6912,0)),"-")</f>
        <v>G</v>
      </c>
      <c r="G310" s="4" t="str">
        <f aca="false">IFERROR(INDEX(Positions!$E$2:$E$6912,MATCH($A310&amp;"|72",Positions!$A$2:$A$6912,0)),"-")</f>
        <v>C</v>
      </c>
      <c r="H310" s="3" t="str">
        <f aca="false">F310&amp;"-"&amp;G310</f>
        <v>G-C</v>
      </c>
      <c r="I310" s="4" t="n">
        <f aca="false">(F310="G")+(G310="G")</f>
        <v>1</v>
      </c>
      <c r="J310" s="4" t="n">
        <f aca="false">(F310="C")+(G310="C")</f>
        <v>1</v>
      </c>
      <c r="K310" s="3" t="n">
        <f aca="false">I310+J310</f>
        <v>2</v>
      </c>
    </row>
    <row r="311" customFormat="false" ht="15" hidden="false" customHeight="false" outlineLevel="0" collapsed="false">
      <c r="A311" s="4" t="s">
        <v>48</v>
      </c>
      <c r="B311" s="4" t="s">
        <v>412</v>
      </c>
      <c r="C311" s="4" t="s">
        <v>518</v>
      </c>
      <c r="D311" s="4" t="n">
        <f aca="false">IFERROR(INDEX(Positions!$D$2:$D$6912,MATCH($A311&amp;"|2",Positions!$A$2:$A$6912,0)),"-")</f>
        <v>2</v>
      </c>
      <c r="E311" s="4" t="n">
        <f aca="false">IFERROR(INDEX(Positions!$D$2:$D$6912,MATCH($A311&amp;"|71",Positions!$A$2:$A$6912,0)),"-")</f>
        <v>70</v>
      </c>
      <c r="F311" s="4" t="str">
        <f aca="false">IFERROR(INDEX(Positions!$E$2:$E$6912,MATCH($A311&amp;"|2",Positions!$A$2:$A$6912,0)),"-")</f>
        <v>C</v>
      </c>
      <c r="G311" s="4" t="str">
        <f aca="false">IFERROR(INDEX(Positions!$E$2:$E$6912,MATCH($A311&amp;"|71",Positions!$A$2:$A$6912,0)),"-")</f>
        <v>G</v>
      </c>
      <c r="H311" s="3" t="str">
        <f aca="false">F311&amp;"-"&amp;G311</f>
        <v>C-G</v>
      </c>
      <c r="I311" s="4" t="n">
        <f aca="false">(F311="G")+(G311="G")</f>
        <v>1</v>
      </c>
      <c r="J311" s="4" t="n">
        <f aca="false">(F311="C")+(G311="C")</f>
        <v>1</v>
      </c>
      <c r="K311" s="3" t="n">
        <f aca="false">I311+J311</f>
        <v>2</v>
      </c>
    </row>
    <row r="312" customFormat="false" ht="15" hidden="false" customHeight="false" outlineLevel="0" collapsed="false">
      <c r="A312" s="4" t="s">
        <v>48</v>
      </c>
      <c r="B312" s="4" t="s">
        <v>412</v>
      </c>
      <c r="C312" s="4" t="s">
        <v>386</v>
      </c>
      <c r="D312" s="4" t="n">
        <f aca="false">IFERROR(INDEX(Positions!$D$2:$D$6912,MATCH($A312&amp;"|3",Positions!$A$2:$A$6912,0)),"-")</f>
        <v>3</v>
      </c>
      <c r="E312" s="4" t="n">
        <f aca="false">IFERROR(INDEX(Positions!$D$2:$D$6912,MATCH($A312&amp;"|70",Positions!$A$2:$A$6912,0)),"-")</f>
        <v>69</v>
      </c>
      <c r="F312" s="4" t="str">
        <f aca="false">IFERROR(INDEX(Positions!$E$2:$E$6912,MATCH($A312&amp;"|3",Positions!$A$2:$A$6912,0)),"-")</f>
        <v>C</v>
      </c>
      <c r="G312" s="4" t="str">
        <f aca="false">IFERROR(INDEX(Positions!$E$2:$E$6912,MATCH($A312&amp;"|70",Positions!$A$2:$A$6912,0)),"-")</f>
        <v>G</v>
      </c>
      <c r="H312" s="3" t="str">
        <f aca="false">F312&amp;"-"&amp;G312</f>
        <v>C-G</v>
      </c>
      <c r="I312" s="4" t="n">
        <f aca="false">(F312="G")+(G312="G")</f>
        <v>1</v>
      </c>
      <c r="J312" s="4" t="n">
        <f aca="false">(F312="C")+(G312="C")</f>
        <v>1</v>
      </c>
      <c r="K312" s="3" t="n">
        <f aca="false">I312+J312</f>
        <v>2</v>
      </c>
    </row>
    <row r="313" customFormat="false" ht="15" hidden="false" customHeight="false" outlineLevel="0" collapsed="false">
      <c r="A313" s="4" t="s">
        <v>48</v>
      </c>
      <c r="B313" s="4" t="s">
        <v>412</v>
      </c>
      <c r="C313" s="4" t="s">
        <v>519</v>
      </c>
      <c r="D313" s="4" t="n">
        <f aca="false">IFERROR(INDEX(Positions!$D$2:$D$6912,MATCH($A313&amp;"|4",Positions!$A$2:$A$6912,0)),"-")</f>
        <v>4</v>
      </c>
      <c r="E313" s="4" t="n">
        <f aca="false">IFERROR(INDEX(Positions!$D$2:$D$6912,MATCH($A313&amp;"|69",Positions!$A$2:$A$6912,0)),"-")</f>
        <v>68</v>
      </c>
      <c r="F313" s="4" t="str">
        <f aca="false">IFERROR(INDEX(Positions!$E$2:$E$6912,MATCH($A313&amp;"|4",Positions!$A$2:$A$6912,0)),"-")</f>
        <v>G</v>
      </c>
      <c r="G313" s="4" t="str">
        <f aca="false">IFERROR(INDEX(Positions!$E$2:$E$6912,MATCH($A313&amp;"|69",Positions!$A$2:$A$6912,0)),"-")</f>
        <v>C</v>
      </c>
      <c r="H313" s="3" t="str">
        <f aca="false">F313&amp;"-"&amp;G313</f>
        <v>G-C</v>
      </c>
      <c r="I313" s="4" t="n">
        <f aca="false">(F313="G")+(G313="G")</f>
        <v>1</v>
      </c>
      <c r="J313" s="4" t="n">
        <f aca="false">(F313="C")+(G313="C")</f>
        <v>1</v>
      </c>
      <c r="K313" s="3" t="n">
        <f aca="false">I313+J313</f>
        <v>2</v>
      </c>
    </row>
    <row r="314" customFormat="false" ht="15" hidden="false" customHeight="false" outlineLevel="0" collapsed="false">
      <c r="A314" s="4" t="s">
        <v>48</v>
      </c>
      <c r="B314" s="4" t="s">
        <v>412</v>
      </c>
      <c r="C314" s="4" t="s">
        <v>283</v>
      </c>
      <c r="D314" s="4" t="n">
        <f aca="false">IFERROR(INDEX(Positions!$D$2:$D$6912,MATCH($A314&amp;"|5",Positions!$A$2:$A$6912,0)),"-")</f>
        <v>5</v>
      </c>
      <c r="E314" s="4" t="n">
        <f aca="false">IFERROR(INDEX(Positions!$D$2:$D$6912,MATCH($A314&amp;"|68",Positions!$A$2:$A$6912,0)),"-")</f>
        <v>67</v>
      </c>
      <c r="F314" s="4" t="str">
        <f aca="false">IFERROR(INDEX(Positions!$E$2:$E$6912,MATCH($A314&amp;"|5",Positions!$A$2:$A$6912,0)),"-")</f>
        <v>U</v>
      </c>
      <c r="G314" s="4" t="str">
        <f aca="false">IFERROR(INDEX(Positions!$E$2:$E$6912,MATCH($A314&amp;"|68",Positions!$A$2:$A$6912,0)),"-")</f>
        <v>A</v>
      </c>
      <c r="H314" s="3" t="str">
        <f aca="false">F314&amp;"-"&amp;G314</f>
        <v>U-A</v>
      </c>
      <c r="I314" s="4" t="n">
        <f aca="false">(F314="G")+(G314="G")</f>
        <v>0</v>
      </c>
      <c r="J314" s="4" t="n">
        <f aca="false">(F314="C")+(G314="C")</f>
        <v>0</v>
      </c>
      <c r="K314" s="3" t="n">
        <f aca="false">I314+J314</f>
        <v>0</v>
      </c>
    </row>
    <row r="315" customFormat="false" ht="15" hidden="false" customHeight="false" outlineLevel="0" collapsed="false">
      <c r="A315" s="4" t="s">
        <v>48</v>
      </c>
      <c r="B315" s="4" t="s">
        <v>412</v>
      </c>
      <c r="C315" s="4" t="s">
        <v>520</v>
      </c>
      <c r="D315" s="4" t="n">
        <f aca="false">IFERROR(INDEX(Positions!$D$2:$D$6912,MATCH($A315&amp;"|6",Positions!$A$2:$A$6912,0)),"-")</f>
        <v>6</v>
      </c>
      <c r="E315" s="4" t="n">
        <f aca="false">IFERROR(INDEX(Positions!$D$2:$D$6912,MATCH($A315&amp;"|67",Positions!$A$2:$A$6912,0)),"-")</f>
        <v>66</v>
      </c>
      <c r="F315" s="4" t="str">
        <f aca="false">IFERROR(INDEX(Positions!$E$2:$E$6912,MATCH($A315&amp;"|6",Positions!$A$2:$A$6912,0)),"-")</f>
        <v>G</v>
      </c>
      <c r="G315" s="4" t="str">
        <f aca="false">IFERROR(INDEX(Positions!$E$2:$E$6912,MATCH($A315&amp;"|67",Positions!$A$2:$A$6912,0)),"-")</f>
        <v>C</v>
      </c>
      <c r="H315" s="3" t="str">
        <f aca="false">F315&amp;"-"&amp;G315</f>
        <v>G-C</v>
      </c>
      <c r="I315" s="4" t="n">
        <f aca="false">(F315="G")+(G315="G")</f>
        <v>1</v>
      </c>
      <c r="J315" s="4" t="n">
        <f aca="false">(F315="C")+(G315="C")</f>
        <v>1</v>
      </c>
      <c r="K315" s="3" t="n">
        <f aca="false">I315+J315</f>
        <v>2</v>
      </c>
    </row>
    <row r="316" customFormat="false" ht="15" hidden="false" customHeight="false" outlineLevel="0" collapsed="false">
      <c r="A316" s="4" t="s">
        <v>48</v>
      </c>
      <c r="B316" s="4" t="s">
        <v>412</v>
      </c>
      <c r="C316" s="4" t="s">
        <v>521</v>
      </c>
      <c r="D316" s="4" t="n">
        <f aca="false">IFERROR(INDEX(Positions!$D$2:$D$6912,MATCH($A316&amp;"|7",Positions!$A$2:$A$6912,0)),"-")</f>
        <v>7</v>
      </c>
      <c r="E316" s="4" t="n">
        <f aca="false">IFERROR(INDEX(Positions!$D$2:$D$6912,MATCH($A316&amp;"|66",Positions!$A$2:$A$6912,0)),"-")</f>
        <v>65</v>
      </c>
      <c r="F316" s="4" t="str">
        <f aca="false">IFERROR(INDEX(Positions!$E$2:$E$6912,MATCH($A316&amp;"|7",Positions!$A$2:$A$6912,0)),"-")</f>
        <v>A</v>
      </c>
      <c r="G316" s="4" t="str">
        <f aca="false">IFERROR(INDEX(Positions!$E$2:$E$6912,MATCH($A316&amp;"|66",Positions!$A$2:$A$6912,0)),"-")</f>
        <v>U</v>
      </c>
      <c r="H316" s="3" t="str">
        <f aca="false">F316&amp;"-"&amp;G316</f>
        <v>A-U</v>
      </c>
      <c r="I316" s="4" t="n">
        <f aca="false">(F316="G")+(G316="G")</f>
        <v>0</v>
      </c>
      <c r="J316" s="4" t="n">
        <f aca="false">(F316="C")+(G316="C")</f>
        <v>0</v>
      </c>
      <c r="K316" s="3" t="n">
        <f aca="false">I316+J316</f>
        <v>0</v>
      </c>
    </row>
    <row r="317" customFormat="false" ht="15" hidden="false" customHeight="false" outlineLevel="0" collapsed="false">
      <c r="A317" s="4" t="s">
        <v>48</v>
      </c>
      <c r="B317" s="4" t="s">
        <v>425</v>
      </c>
      <c r="C317" s="4" t="s">
        <v>522</v>
      </c>
      <c r="D317" s="4" t="n">
        <f aca="false">IFERROR(INDEX(Positions!$D$2:$D$6912,MATCH($A317&amp;"|10",Positions!$A$2:$A$6912,0)),"-")</f>
        <v>10</v>
      </c>
      <c r="E317" s="4" t="n">
        <f aca="false">IFERROR(INDEX(Positions!$D$2:$D$6912,MATCH($A317&amp;"|25",Positions!$A$2:$A$6912,0)),"-")</f>
        <v>25</v>
      </c>
      <c r="F317" s="4" t="str">
        <f aca="false">IFERROR(INDEX(Positions!$E$2:$E$6912,MATCH($A317&amp;"|10",Positions!$A$2:$A$6912,0)),"-")</f>
        <v>G</v>
      </c>
      <c r="G317" s="4" t="str">
        <f aca="false">IFERROR(INDEX(Positions!$E$2:$E$6912,MATCH($A317&amp;"|25",Positions!$A$2:$A$6912,0)),"-")</f>
        <v>C</v>
      </c>
      <c r="H317" s="3" t="str">
        <f aca="false">F317&amp;"-"&amp;G317</f>
        <v>G-C</v>
      </c>
      <c r="I317" s="4" t="n">
        <f aca="false">(F317="G")+(G317="G")</f>
        <v>1</v>
      </c>
      <c r="J317" s="4" t="n">
        <f aca="false">(F317="C")+(G317="C")</f>
        <v>1</v>
      </c>
      <c r="K317" s="3" t="n">
        <f aca="false">I317+J317</f>
        <v>2</v>
      </c>
    </row>
    <row r="318" customFormat="false" ht="15" hidden="false" customHeight="false" outlineLevel="0" collapsed="false">
      <c r="A318" s="4" t="s">
        <v>48</v>
      </c>
      <c r="B318" s="4" t="s">
        <v>425</v>
      </c>
      <c r="C318" s="4" t="s">
        <v>523</v>
      </c>
      <c r="D318" s="4" t="n">
        <f aca="false">IFERROR(INDEX(Positions!$D$2:$D$6912,MATCH($A318&amp;"|11",Positions!$A$2:$A$6912,0)),"-")</f>
        <v>11</v>
      </c>
      <c r="E318" s="4" t="n">
        <f aca="false">IFERROR(INDEX(Positions!$D$2:$D$6912,MATCH($A318&amp;"|24",Positions!$A$2:$A$6912,0)),"-")</f>
        <v>24</v>
      </c>
      <c r="F318" s="4" t="str">
        <f aca="false">IFERROR(INDEX(Positions!$E$2:$E$6912,MATCH($A318&amp;"|11",Positions!$A$2:$A$6912,0)),"-")</f>
        <v>U</v>
      </c>
      <c r="G318" s="4" t="str">
        <f aca="false">IFERROR(INDEX(Positions!$E$2:$E$6912,MATCH($A318&amp;"|24",Positions!$A$2:$A$6912,0)),"-")</f>
        <v>A</v>
      </c>
      <c r="H318" s="3" t="str">
        <f aca="false">F318&amp;"-"&amp;G318</f>
        <v>U-A</v>
      </c>
      <c r="I318" s="4" t="n">
        <f aca="false">(F318="G")+(G318="G")</f>
        <v>0</v>
      </c>
      <c r="J318" s="4" t="n">
        <f aca="false">(F318="C")+(G318="C")</f>
        <v>0</v>
      </c>
      <c r="K318" s="3" t="n">
        <f aca="false">I318+J318</f>
        <v>0</v>
      </c>
    </row>
    <row r="319" customFormat="false" ht="15" hidden="false" customHeight="false" outlineLevel="0" collapsed="false">
      <c r="A319" s="4" t="s">
        <v>48</v>
      </c>
      <c r="B319" s="4" t="s">
        <v>425</v>
      </c>
      <c r="C319" s="4" t="s">
        <v>250</v>
      </c>
      <c r="D319" s="4" t="n">
        <f aca="false">IFERROR(INDEX(Positions!$D$2:$D$6912,MATCH($A319&amp;"|12",Positions!$A$2:$A$6912,0)),"-")</f>
        <v>12</v>
      </c>
      <c r="E319" s="4" t="n">
        <f aca="false">IFERROR(INDEX(Positions!$D$2:$D$6912,MATCH($A319&amp;"|23",Positions!$A$2:$A$6912,0)),"-")</f>
        <v>23</v>
      </c>
      <c r="F319" s="4" t="str">
        <f aca="false">IFERROR(INDEX(Positions!$E$2:$E$6912,MATCH($A319&amp;"|12",Positions!$A$2:$A$6912,0)),"-")</f>
        <v>C</v>
      </c>
      <c r="G319" s="4" t="str">
        <f aca="false">IFERROR(INDEX(Positions!$E$2:$E$6912,MATCH($A319&amp;"|23",Positions!$A$2:$A$6912,0)),"-")</f>
        <v>G</v>
      </c>
      <c r="H319" s="3" t="str">
        <f aca="false">F319&amp;"-"&amp;G319</f>
        <v>C-G</v>
      </c>
      <c r="I319" s="4" t="n">
        <f aca="false">(F319="G")+(G319="G")</f>
        <v>1</v>
      </c>
      <c r="J319" s="4" t="n">
        <f aca="false">(F319="C")+(G319="C")</f>
        <v>1</v>
      </c>
      <c r="K319" s="3" t="n">
        <f aca="false">I319+J319</f>
        <v>2</v>
      </c>
    </row>
    <row r="320" customFormat="false" ht="15" hidden="false" customHeight="false" outlineLevel="0" collapsed="false">
      <c r="A320" s="4" t="s">
        <v>48</v>
      </c>
      <c r="B320" s="4" t="s">
        <v>425</v>
      </c>
      <c r="C320" s="4" t="s">
        <v>154</v>
      </c>
      <c r="D320" s="4" t="n">
        <f aca="false">IFERROR(INDEX(Positions!$D$2:$D$6912,MATCH($A320&amp;"|13",Positions!$A$2:$A$6912,0)),"-")</f>
        <v>13</v>
      </c>
      <c r="E320" s="4" t="n">
        <f aca="false">IFERROR(INDEX(Positions!$D$2:$D$6912,MATCH($A320&amp;"|22",Positions!$A$2:$A$6912,0)),"-")</f>
        <v>22</v>
      </c>
      <c r="F320" s="4" t="str">
        <f aca="false">IFERROR(INDEX(Positions!$E$2:$E$6912,MATCH($A320&amp;"|13",Positions!$A$2:$A$6912,0)),"-")</f>
        <v>U</v>
      </c>
      <c r="G320" s="4" t="str">
        <f aca="false">IFERROR(INDEX(Positions!$E$2:$E$6912,MATCH($A320&amp;"|22",Positions!$A$2:$A$6912,0)),"-")</f>
        <v>G</v>
      </c>
      <c r="H320" s="3" t="str">
        <f aca="false">F320&amp;"-"&amp;G320</f>
        <v>U-G</v>
      </c>
      <c r="I320" s="4" t="n">
        <f aca="false">(F320="G")+(G320="G")</f>
        <v>1</v>
      </c>
      <c r="J320" s="4" t="n">
        <f aca="false">(F320="C")+(G320="C")</f>
        <v>0</v>
      </c>
      <c r="K320" s="3" t="n">
        <f aca="false">I320+J320</f>
        <v>1</v>
      </c>
    </row>
    <row r="321" customFormat="false" ht="15" hidden="false" customHeight="false" outlineLevel="0" collapsed="false">
      <c r="A321" s="4" t="s">
        <v>48</v>
      </c>
      <c r="B321" s="4" t="s">
        <v>446</v>
      </c>
      <c r="C321" s="4" t="s">
        <v>524</v>
      </c>
      <c r="D321" s="4" t="n">
        <f aca="false">IFERROR(INDEX(Positions!$D$2:$D$6912,MATCH($A321&amp;"|27",Positions!$A$2:$A$6912,0)),"-")</f>
        <v>27</v>
      </c>
      <c r="E321" s="4" t="n">
        <f aca="false">IFERROR(INDEX(Positions!$D$2:$D$6912,MATCH($A321&amp;"|43",Positions!$A$2:$A$6912,0)),"-")</f>
        <v>43</v>
      </c>
      <c r="F321" s="4" t="str">
        <f aca="false">IFERROR(INDEX(Positions!$E$2:$E$6912,MATCH($A321&amp;"|27",Positions!$A$2:$A$6912,0)),"-")</f>
        <v>C</v>
      </c>
      <c r="G321" s="4" t="str">
        <f aca="false">IFERROR(INDEX(Positions!$E$2:$E$6912,MATCH($A321&amp;"|43",Positions!$A$2:$A$6912,0)),"-")</f>
        <v>G</v>
      </c>
      <c r="H321" s="3" t="str">
        <f aca="false">F321&amp;"-"&amp;G321</f>
        <v>C-G</v>
      </c>
      <c r="I321" s="4" t="n">
        <f aca="false">(F321="G")+(G321="G")</f>
        <v>1</v>
      </c>
      <c r="J321" s="4" t="n">
        <f aca="false">(F321="C")+(G321="C")</f>
        <v>1</v>
      </c>
      <c r="K321" s="3" t="n">
        <f aca="false">I321+J321</f>
        <v>2</v>
      </c>
    </row>
    <row r="322" customFormat="false" ht="15" hidden="false" customHeight="false" outlineLevel="0" collapsed="false">
      <c r="A322" s="4" t="s">
        <v>48</v>
      </c>
      <c r="B322" s="4" t="s">
        <v>446</v>
      </c>
      <c r="C322" s="4" t="s">
        <v>525</v>
      </c>
      <c r="D322" s="4" t="n">
        <f aca="false">IFERROR(INDEX(Positions!$D$2:$D$6912,MATCH($A322&amp;"|28",Positions!$A$2:$A$6912,0)),"-")</f>
        <v>28</v>
      </c>
      <c r="E322" s="4" t="n">
        <f aca="false">IFERROR(INDEX(Positions!$D$2:$D$6912,MATCH($A322&amp;"|42",Positions!$A$2:$A$6912,0)),"-")</f>
        <v>42</v>
      </c>
      <c r="F322" s="4" t="str">
        <f aca="false">IFERROR(INDEX(Positions!$E$2:$E$6912,MATCH($A322&amp;"|28",Positions!$A$2:$A$6912,0)),"-")</f>
        <v>C</v>
      </c>
      <c r="G322" s="4" t="str">
        <f aca="false">IFERROR(INDEX(Positions!$E$2:$E$6912,MATCH($A322&amp;"|42",Positions!$A$2:$A$6912,0)),"-")</f>
        <v>G</v>
      </c>
      <c r="H322" s="3" t="str">
        <f aca="false">F322&amp;"-"&amp;G322</f>
        <v>C-G</v>
      </c>
      <c r="I322" s="4" t="n">
        <f aca="false">(F322="G")+(G322="G")</f>
        <v>1</v>
      </c>
      <c r="J322" s="4" t="n">
        <f aca="false">(F322="C")+(G322="C")</f>
        <v>1</v>
      </c>
      <c r="K322" s="3" t="n">
        <f aca="false">I322+J322</f>
        <v>2</v>
      </c>
    </row>
    <row r="323" customFormat="false" ht="15" hidden="false" customHeight="false" outlineLevel="0" collapsed="false">
      <c r="A323" s="4" t="s">
        <v>48</v>
      </c>
      <c r="B323" s="4" t="s">
        <v>446</v>
      </c>
      <c r="C323" s="4" t="s">
        <v>256</v>
      </c>
      <c r="D323" s="4" t="n">
        <f aca="false">IFERROR(INDEX(Positions!$D$2:$D$6912,MATCH($A323&amp;"|29",Positions!$A$2:$A$6912,0)),"-")</f>
        <v>29</v>
      </c>
      <c r="E323" s="4" t="n">
        <f aca="false">IFERROR(INDEX(Positions!$D$2:$D$6912,MATCH($A323&amp;"|41",Positions!$A$2:$A$6912,0)),"-")</f>
        <v>41</v>
      </c>
      <c r="F323" s="4" t="str">
        <f aca="false">IFERROR(INDEX(Positions!$E$2:$E$6912,MATCH($A323&amp;"|29",Positions!$A$2:$A$6912,0)),"-")</f>
        <v>A</v>
      </c>
      <c r="G323" s="4" t="str">
        <f aca="false">IFERROR(INDEX(Positions!$E$2:$E$6912,MATCH($A323&amp;"|41",Positions!$A$2:$A$6912,0)),"-")</f>
        <v>U</v>
      </c>
      <c r="H323" s="3" t="str">
        <f aca="false">F323&amp;"-"&amp;G323</f>
        <v>A-U</v>
      </c>
      <c r="I323" s="4" t="n">
        <f aca="false">(F323="G")+(G323="G")</f>
        <v>0</v>
      </c>
      <c r="J323" s="4" t="n">
        <f aca="false">(F323="C")+(G323="C")</f>
        <v>0</v>
      </c>
      <c r="K323" s="3" t="n">
        <f aca="false">I323+J323</f>
        <v>0</v>
      </c>
    </row>
    <row r="324" customFormat="false" ht="15" hidden="false" customHeight="false" outlineLevel="0" collapsed="false">
      <c r="A324" s="4" t="s">
        <v>48</v>
      </c>
      <c r="B324" s="4" t="s">
        <v>446</v>
      </c>
      <c r="C324" s="4" t="s">
        <v>526</v>
      </c>
      <c r="D324" s="4" t="n">
        <f aca="false">IFERROR(INDEX(Positions!$D$2:$D$6912,MATCH($A324&amp;"|30",Positions!$A$2:$A$6912,0)),"-")</f>
        <v>30</v>
      </c>
      <c r="E324" s="4" t="n">
        <f aca="false">IFERROR(INDEX(Positions!$D$2:$D$6912,MATCH($A324&amp;"|40",Positions!$A$2:$A$6912,0)),"-")</f>
        <v>40</v>
      </c>
      <c r="F324" s="4" t="str">
        <f aca="false">IFERROR(INDEX(Positions!$E$2:$E$6912,MATCH($A324&amp;"|30",Positions!$A$2:$A$6912,0)),"-")</f>
        <v>C</v>
      </c>
      <c r="G324" s="4" t="str">
        <f aca="false">IFERROR(INDEX(Positions!$E$2:$E$6912,MATCH($A324&amp;"|40",Positions!$A$2:$A$6912,0)),"-")</f>
        <v>G</v>
      </c>
      <c r="H324" s="3" t="str">
        <f aca="false">F324&amp;"-"&amp;G324</f>
        <v>C-G</v>
      </c>
      <c r="I324" s="4" t="n">
        <f aca="false">(F324="G")+(G324="G")</f>
        <v>1</v>
      </c>
      <c r="J324" s="4" t="n">
        <f aca="false">(F324="C")+(G324="C")</f>
        <v>1</v>
      </c>
      <c r="K324" s="3" t="n">
        <f aca="false">I324+J324</f>
        <v>2</v>
      </c>
    </row>
    <row r="325" customFormat="false" ht="15" hidden="false" customHeight="false" outlineLevel="0" collapsed="false">
      <c r="A325" s="4" t="s">
        <v>48</v>
      </c>
      <c r="B325" s="4" t="s">
        <v>446</v>
      </c>
      <c r="C325" s="4" t="s">
        <v>273</v>
      </c>
      <c r="D325" s="4" t="n">
        <f aca="false">IFERROR(INDEX(Positions!$D$2:$D$6912,MATCH($A325&amp;"|31",Positions!$A$2:$A$6912,0)),"-")</f>
        <v>31</v>
      </c>
      <c r="E325" s="4" t="n">
        <f aca="false">IFERROR(INDEX(Positions!$D$2:$D$6912,MATCH($A325&amp;"|39",Positions!$A$2:$A$6912,0)),"-")</f>
        <v>39</v>
      </c>
      <c r="F325" s="4" t="str">
        <f aca="false">IFERROR(INDEX(Positions!$E$2:$E$6912,MATCH($A325&amp;"|31",Positions!$A$2:$A$6912,0)),"-")</f>
        <v>G</v>
      </c>
      <c r="G325" s="4" t="str">
        <f aca="false">IFERROR(INDEX(Positions!$E$2:$E$6912,MATCH($A325&amp;"|39",Positions!$A$2:$A$6912,0)),"-")</f>
        <v>C</v>
      </c>
      <c r="H325" s="3" t="str">
        <f aca="false">F325&amp;"-"&amp;G325</f>
        <v>G-C</v>
      </c>
      <c r="I325" s="4" t="n">
        <f aca="false">(F325="G")+(G325="G")</f>
        <v>1</v>
      </c>
      <c r="J325" s="4" t="n">
        <f aca="false">(F325="C")+(G325="C")</f>
        <v>1</v>
      </c>
      <c r="K325" s="3" t="n">
        <f aca="false">I325+J325</f>
        <v>2</v>
      </c>
    </row>
    <row r="326" customFormat="false" ht="15" hidden="false" customHeight="false" outlineLevel="0" collapsed="false">
      <c r="A326" s="4" t="s">
        <v>48</v>
      </c>
      <c r="B326" s="4" t="s">
        <v>471</v>
      </c>
      <c r="C326" s="4" t="s">
        <v>367</v>
      </c>
      <c r="D326" s="4" t="n">
        <f aca="false">IFERROR(INDEX(Positions!$D$2:$D$6912,MATCH($A326&amp;"|49",Positions!$A$2:$A$6912,0)),"-")</f>
        <v>48</v>
      </c>
      <c r="E326" s="4" t="n">
        <f aca="false">IFERROR(INDEX(Positions!$D$2:$D$6912,MATCH($A326&amp;"|65",Positions!$A$2:$A$6912,0)),"-")</f>
        <v>64</v>
      </c>
      <c r="F326" s="4" t="str">
        <f aca="false">IFERROR(INDEX(Positions!$E$2:$E$6912,MATCH($A326&amp;"|49",Positions!$A$2:$A$6912,0)),"-")</f>
        <v>C</v>
      </c>
      <c r="G326" s="4" t="str">
        <f aca="false">IFERROR(INDEX(Positions!$E$2:$E$6912,MATCH($A326&amp;"|65",Positions!$A$2:$A$6912,0)),"-")</f>
        <v>G</v>
      </c>
      <c r="H326" s="3" t="str">
        <f aca="false">F326&amp;"-"&amp;G326</f>
        <v>C-G</v>
      </c>
      <c r="I326" s="4" t="n">
        <f aca="false">(F326="G")+(G326="G")</f>
        <v>1</v>
      </c>
      <c r="J326" s="4" t="n">
        <f aca="false">(F326="C")+(G326="C")</f>
        <v>1</v>
      </c>
      <c r="K326" s="3" t="n">
        <f aca="false">I326+J326</f>
        <v>2</v>
      </c>
    </row>
    <row r="327" customFormat="false" ht="15" hidden="false" customHeight="false" outlineLevel="0" collapsed="false">
      <c r="A327" s="4" t="s">
        <v>48</v>
      </c>
      <c r="B327" s="4" t="s">
        <v>471</v>
      </c>
      <c r="C327" s="4" t="s">
        <v>233</v>
      </c>
      <c r="D327" s="4" t="n">
        <f aca="false">IFERROR(INDEX(Positions!$D$2:$D$6912,MATCH($A327&amp;"|50",Positions!$A$2:$A$6912,0)),"-")</f>
        <v>49</v>
      </c>
      <c r="E327" s="4" t="n">
        <f aca="false">IFERROR(INDEX(Positions!$D$2:$D$6912,MATCH($A327&amp;"|64",Positions!$A$2:$A$6912,0)),"-")</f>
        <v>63</v>
      </c>
      <c r="F327" s="4" t="str">
        <f aca="false">IFERROR(INDEX(Positions!$E$2:$E$6912,MATCH($A327&amp;"|50",Positions!$A$2:$A$6912,0)),"-")</f>
        <v>C</v>
      </c>
      <c r="G327" s="4" t="str">
        <f aca="false">IFERROR(INDEX(Positions!$E$2:$E$6912,MATCH($A327&amp;"|64",Positions!$A$2:$A$6912,0)),"-")</f>
        <v>G</v>
      </c>
      <c r="H327" s="3" t="str">
        <f aca="false">F327&amp;"-"&amp;G327</f>
        <v>C-G</v>
      </c>
      <c r="I327" s="4" t="n">
        <f aca="false">(F327="G")+(G327="G")</f>
        <v>1</v>
      </c>
      <c r="J327" s="4" t="n">
        <f aca="false">(F327="C")+(G327="C")</f>
        <v>1</v>
      </c>
      <c r="K327" s="3" t="n">
        <f aca="false">I327+J327</f>
        <v>2</v>
      </c>
    </row>
    <row r="328" customFormat="false" ht="15" hidden="false" customHeight="false" outlineLevel="0" collapsed="false">
      <c r="A328" s="4" t="s">
        <v>48</v>
      </c>
      <c r="B328" s="4" t="s">
        <v>471</v>
      </c>
      <c r="C328" s="4" t="s">
        <v>527</v>
      </c>
      <c r="D328" s="4" t="n">
        <f aca="false">IFERROR(INDEX(Positions!$D$2:$D$6912,MATCH($A328&amp;"|51",Positions!$A$2:$A$6912,0)),"-")</f>
        <v>50</v>
      </c>
      <c r="E328" s="4" t="n">
        <f aca="false">IFERROR(INDEX(Positions!$D$2:$D$6912,MATCH($A328&amp;"|63",Positions!$A$2:$A$6912,0)),"-")</f>
        <v>62</v>
      </c>
      <c r="F328" s="4" t="str">
        <f aca="false">IFERROR(INDEX(Positions!$E$2:$E$6912,MATCH($A328&amp;"|51",Positions!$A$2:$A$6912,0)),"-")</f>
        <v>A</v>
      </c>
      <c r="G328" s="4" t="str">
        <f aca="false">IFERROR(INDEX(Positions!$E$2:$E$6912,MATCH($A328&amp;"|63",Positions!$A$2:$A$6912,0)),"-")</f>
        <v>U</v>
      </c>
      <c r="H328" s="3" t="str">
        <f aca="false">F328&amp;"-"&amp;G328</f>
        <v>A-U</v>
      </c>
      <c r="I328" s="4" t="n">
        <f aca="false">(F328="G")+(G328="G")</f>
        <v>0</v>
      </c>
      <c r="J328" s="4" t="n">
        <f aca="false">(F328="C")+(G328="C")</f>
        <v>0</v>
      </c>
      <c r="K328" s="3" t="n">
        <f aca="false">I328+J328</f>
        <v>0</v>
      </c>
    </row>
    <row r="329" customFormat="false" ht="15" hidden="false" customHeight="false" outlineLevel="0" collapsed="false">
      <c r="A329" s="4" t="s">
        <v>48</v>
      </c>
      <c r="B329" s="4" t="s">
        <v>471</v>
      </c>
      <c r="C329" s="4" t="s">
        <v>528</v>
      </c>
      <c r="D329" s="4" t="n">
        <f aca="false">IFERROR(INDEX(Positions!$D$2:$D$6912,MATCH($A329&amp;"|52",Positions!$A$2:$A$6912,0)),"-")</f>
        <v>51</v>
      </c>
      <c r="E329" s="4" t="n">
        <f aca="false">IFERROR(INDEX(Positions!$D$2:$D$6912,MATCH($A329&amp;"|62",Positions!$A$2:$A$6912,0)),"-")</f>
        <v>61</v>
      </c>
      <c r="F329" s="4" t="str">
        <f aca="false">IFERROR(INDEX(Positions!$E$2:$E$6912,MATCH($A329&amp;"|52",Positions!$A$2:$A$6912,0)),"-")</f>
        <v>G</v>
      </c>
      <c r="G329" s="4" t="str">
        <f aca="false">IFERROR(INDEX(Positions!$E$2:$E$6912,MATCH($A329&amp;"|62",Positions!$A$2:$A$6912,0)),"-")</f>
        <v>C</v>
      </c>
      <c r="H329" s="3" t="str">
        <f aca="false">F329&amp;"-"&amp;G329</f>
        <v>G-C</v>
      </c>
      <c r="I329" s="4" t="n">
        <f aca="false">(F329="G")+(G329="G")</f>
        <v>1</v>
      </c>
      <c r="J329" s="4" t="n">
        <f aca="false">(F329="C")+(G329="C")</f>
        <v>1</v>
      </c>
      <c r="K329" s="3" t="n">
        <f aca="false">I329+J329</f>
        <v>2</v>
      </c>
    </row>
    <row r="330" customFormat="false" ht="15" hidden="false" customHeight="false" outlineLevel="0" collapsed="false">
      <c r="A330" s="4" t="s">
        <v>48</v>
      </c>
      <c r="B330" s="4" t="s">
        <v>471</v>
      </c>
      <c r="C330" s="4" t="s">
        <v>529</v>
      </c>
      <c r="D330" s="4" t="n">
        <f aca="false">IFERROR(INDEX(Positions!$D$2:$D$6912,MATCH($A330&amp;"|53",Positions!$A$2:$A$6912,0)),"-")</f>
        <v>52</v>
      </c>
      <c r="E330" s="4" t="n">
        <f aca="false">IFERROR(INDEX(Positions!$D$2:$D$6912,MATCH($A330&amp;"|61",Positions!$A$2:$A$6912,0)),"-")</f>
        <v>60</v>
      </c>
      <c r="F330" s="4" t="str">
        <f aca="false">IFERROR(INDEX(Positions!$E$2:$E$6912,MATCH($A330&amp;"|53",Positions!$A$2:$A$6912,0)),"-")</f>
        <v>G</v>
      </c>
      <c r="G330" s="4" t="str">
        <f aca="false">IFERROR(INDEX(Positions!$E$2:$E$6912,MATCH($A330&amp;"|61",Positions!$A$2:$A$6912,0)),"-")</f>
        <v>C</v>
      </c>
      <c r="H330" s="3" t="str">
        <f aca="false">F330&amp;"-"&amp;G330</f>
        <v>G-C</v>
      </c>
      <c r="I330" s="4" t="n">
        <f aca="false">(F330="G")+(G330="G")</f>
        <v>1</v>
      </c>
      <c r="J330" s="4" t="n">
        <f aca="false">(F330="C")+(G330="C")</f>
        <v>1</v>
      </c>
      <c r="K330" s="3" t="n">
        <f aca="false">I330+J330</f>
        <v>2</v>
      </c>
    </row>
    <row r="331" customFormat="false" ht="15" hidden="false" customHeight="false" outlineLevel="0" collapsed="false">
      <c r="A331" s="24" t="s">
        <v>48</v>
      </c>
      <c r="B331" s="24" t="s">
        <v>530</v>
      </c>
      <c r="C331" s="24" t="s">
        <v>531</v>
      </c>
      <c r="D331" s="24" t="n">
        <f aca="false">IFERROR(INDEX(Positions!$D$2:$D$6912,MATCH($A331&amp;"|8",Positions!$A$2:$A$6912,0)),"-")</f>
        <v>8</v>
      </c>
      <c r="E331" s="24" t="n">
        <f aca="false">IFERROR(INDEX(Positions!$D$2:$D$6912,MATCH($A331&amp;"|14",Positions!$A$2:$A$6912,0)),"-")</f>
        <v>14</v>
      </c>
      <c r="F331" s="24" t="str">
        <f aca="false">IFERROR(INDEX(Positions!$E$2:$E$6912,MATCH($A331&amp;"|8",Positions!$A$2:$A$6912,0)),"-")</f>
        <v>U</v>
      </c>
      <c r="G331" s="24" t="str">
        <f aca="false">IFERROR(INDEX(Positions!$E$2:$E$6912,MATCH($A331&amp;"|14",Positions!$A$2:$A$6912,0)),"-")</f>
        <v>A</v>
      </c>
      <c r="H331" s="25" t="str">
        <f aca="false">F331&amp;"-"&amp;G331</f>
        <v>U-A</v>
      </c>
      <c r="I331" s="24" t="n">
        <f aca="false">(F331="G")+(G331="G")</f>
        <v>0</v>
      </c>
      <c r="J331" s="24" t="n">
        <f aca="false">(F331="C")+(G331="C")</f>
        <v>0</v>
      </c>
      <c r="K331" s="25" t="n">
        <f aca="false">I331+J331</f>
        <v>0</v>
      </c>
    </row>
    <row r="332" customFormat="false" ht="15" hidden="false" customHeight="false" outlineLevel="0" collapsed="false">
      <c r="A332" s="24" t="s">
        <v>48</v>
      </c>
      <c r="B332" s="24" t="s">
        <v>530</v>
      </c>
      <c r="C332" s="24" t="s">
        <v>532</v>
      </c>
      <c r="D332" s="24" t="n">
        <f aca="false">IFERROR(INDEX(Positions!$D$2:$D$6912,MATCH($A332&amp;"|15",Positions!$A$2:$A$6912,0)),"-")</f>
        <v>15</v>
      </c>
      <c r="E332" s="24" t="n">
        <f aca="false">IFERROR(INDEX(Positions!$D$2:$D$6912,MATCH($A332&amp;"|48",Positions!$A$2:$A$6912,0)),"-")</f>
        <v>47</v>
      </c>
      <c r="F332" s="24" t="str">
        <f aca="false">IFERROR(INDEX(Positions!$E$2:$E$6912,MATCH($A332&amp;"|15",Positions!$A$2:$A$6912,0)),"-")</f>
        <v>G</v>
      </c>
      <c r="G332" s="24" t="str">
        <f aca="false">IFERROR(INDEX(Positions!$E$2:$E$6912,MATCH($A332&amp;"|48",Positions!$A$2:$A$6912,0)),"-")</f>
        <v>C</v>
      </c>
      <c r="H332" s="25" t="str">
        <f aca="false">F332&amp;"-"&amp;G332</f>
        <v>G-C</v>
      </c>
      <c r="I332" s="24" t="n">
        <f aca="false">(F332="G")+(G332="G")</f>
        <v>1</v>
      </c>
      <c r="J332" s="24" t="n">
        <f aca="false">(F332="C")+(G332="C")</f>
        <v>1</v>
      </c>
      <c r="K332" s="25" t="n">
        <f aca="false">I332+J332</f>
        <v>2</v>
      </c>
    </row>
    <row r="333" customFormat="false" ht="15" hidden="false" customHeight="false" outlineLevel="0" collapsed="false">
      <c r="A333" s="24" t="s">
        <v>48</v>
      </c>
      <c r="B333" s="24" t="s">
        <v>530</v>
      </c>
      <c r="C333" s="24" t="s">
        <v>533</v>
      </c>
      <c r="D333" s="24" t="n">
        <f aca="false">IFERROR(INDEX(Positions!$D$2:$D$6912,MATCH($A333&amp;"|18",Positions!$A$2:$A$6912,0)),"-")</f>
        <v>17</v>
      </c>
      <c r="E333" s="24" t="n">
        <f aca="false">IFERROR(INDEX(Positions!$D$2:$D$6912,MATCH($A333&amp;"|55",Positions!$A$2:$A$6912,0)),"-")</f>
        <v>54</v>
      </c>
      <c r="F333" s="24" t="str">
        <f aca="false">IFERROR(INDEX(Positions!$E$2:$E$6912,MATCH($A333&amp;"|18",Positions!$A$2:$A$6912,0)),"-")</f>
        <v>G</v>
      </c>
      <c r="G333" s="24" t="str">
        <f aca="false">IFERROR(INDEX(Positions!$E$2:$E$6912,MATCH($A333&amp;"|55",Positions!$A$2:$A$6912,0)),"-")</f>
        <v>U</v>
      </c>
      <c r="H333" s="25" t="str">
        <f aca="false">F333&amp;"-"&amp;G333</f>
        <v>G-U</v>
      </c>
      <c r="I333" s="24" t="n">
        <f aca="false">(F333="G")+(G333="G")</f>
        <v>1</v>
      </c>
      <c r="J333" s="24" t="n">
        <f aca="false">(F333="C")+(G333="C")</f>
        <v>0</v>
      </c>
      <c r="K333" s="25" t="n">
        <f aca="false">I333+J333</f>
        <v>1</v>
      </c>
    </row>
    <row r="334" customFormat="false" ht="15" hidden="false" customHeight="false" outlineLevel="0" collapsed="false">
      <c r="A334" s="24" t="s">
        <v>48</v>
      </c>
      <c r="B334" s="24" t="s">
        <v>530</v>
      </c>
      <c r="C334" s="24" t="s">
        <v>534</v>
      </c>
      <c r="D334" s="24" t="n">
        <f aca="false">IFERROR(INDEX(Positions!$D$2:$D$6912,MATCH($A334&amp;"|19",Positions!$A$2:$A$6912,0)),"-")</f>
        <v>18</v>
      </c>
      <c r="E334" s="24" t="n">
        <f aca="false">IFERROR(INDEX(Positions!$D$2:$D$6912,MATCH($A334&amp;"|56",Positions!$A$2:$A$6912,0)),"-")</f>
        <v>55</v>
      </c>
      <c r="F334" s="24" t="str">
        <f aca="false">IFERROR(INDEX(Positions!$E$2:$E$6912,MATCH($A334&amp;"|19",Positions!$A$2:$A$6912,0)),"-")</f>
        <v>G</v>
      </c>
      <c r="G334" s="24" t="str">
        <f aca="false">IFERROR(INDEX(Positions!$E$2:$E$6912,MATCH($A334&amp;"|56",Positions!$A$2:$A$6912,0)),"-")</f>
        <v>C</v>
      </c>
      <c r="H334" s="25" t="str">
        <f aca="false">F334&amp;"-"&amp;G334</f>
        <v>G-C</v>
      </c>
      <c r="I334" s="24" t="n">
        <f aca="false">(F334="G")+(G334="G")</f>
        <v>1</v>
      </c>
      <c r="J334" s="24" t="n">
        <f aca="false">(F334="C")+(G334="C")</f>
        <v>1</v>
      </c>
      <c r="K334" s="25" t="n">
        <f aca="false">I334+J334</f>
        <v>2</v>
      </c>
    </row>
    <row r="335" customFormat="false" ht="15" hidden="false" customHeight="false" outlineLevel="0" collapsed="false">
      <c r="A335" s="24" t="s">
        <v>48</v>
      </c>
      <c r="B335" s="24" t="s">
        <v>530</v>
      </c>
      <c r="C335" s="24" t="s">
        <v>535</v>
      </c>
      <c r="D335" s="24" t="n">
        <f aca="false">IFERROR(INDEX(Positions!$D$2:$D$6912,MATCH($A335&amp;"|26",Positions!$A$2:$A$6912,0)),"-")</f>
        <v>26</v>
      </c>
      <c r="E335" s="24" t="n">
        <f aca="false">IFERROR(INDEX(Positions!$D$2:$D$6912,MATCH($A335&amp;"|44",Positions!$A$2:$A$6912,0)),"-")</f>
        <v>44</v>
      </c>
      <c r="F335" s="24" t="str">
        <f aca="false">IFERROR(INDEX(Positions!$E$2:$E$6912,MATCH($A335&amp;"|26",Positions!$A$2:$A$6912,0)),"-")</f>
        <v>C</v>
      </c>
      <c r="G335" s="24" t="str">
        <f aca="false">IFERROR(INDEX(Positions!$E$2:$E$6912,MATCH($A335&amp;"|44",Positions!$A$2:$A$6912,0)),"-")</f>
        <v>U</v>
      </c>
      <c r="H335" s="25" t="str">
        <f aca="false">F335&amp;"-"&amp;G335</f>
        <v>C-U</v>
      </c>
      <c r="I335" s="24" t="n">
        <f aca="false">(F335="G")+(G335="G")</f>
        <v>0</v>
      </c>
      <c r="J335" s="24" t="n">
        <f aca="false">(F335="C")+(G335="C")</f>
        <v>1</v>
      </c>
      <c r="K335" s="25" t="n">
        <f aca="false">I335+J335</f>
        <v>1</v>
      </c>
    </row>
    <row r="336" customFormat="false" ht="15" hidden="false" customHeight="false" outlineLevel="0" collapsed="false">
      <c r="A336" s="24" t="s">
        <v>48</v>
      </c>
      <c r="B336" s="24" t="s">
        <v>530</v>
      </c>
      <c r="C336" s="24" t="s">
        <v>536</v>
      </c>
      <c r="D336" s="24" t="n">
        <f aca="false">IFERROR(INDEX(Positions!$D$2:$D$6912,MATCH($A336&amp;"|32",Positions!$A$2:$A$6912,0)),"-")</f>
        <v>32</v>
      </c>
      <c r="E336" s="24" t="n">
        <f aca="false">IFERROR(INDEX(Positions!$D$2:$D$6912,MATCH($A336&amp;"|38",Positions!$A$2:$A$6912,0)),"-")</f>
        <v>38</v>
      </c>
      <c r="F336" s="24" t="str">
        <f aca="false">IFERROR(INDEX(Positions!$E$2:$E$6912,MATCH($A336&amp;"|32",Positions!$A$2:$A$6912,0)),"-")</f>
        <v>U</v>
      </c>
      <c r="G336" s="24" t="str">
        <f aca="false">IFERROR(INDEX(Positions!$E$2:$E$6912,MATCH($A336&amp;"|38",Positions!$A$2:$A$6912,0)),"-")</f>
        <v>C</v>
      </c>
      <c r="H336" s="25" t="str">
        <f aca="false">F336&amp;"-"&amp;G336</f>
        <v>U-C</v>
      </c>
      <c r="I336" s="24" t="n">
        <f aca="false">(F336="G")+(G336="G")</f>
        <v>0</v>
      </c>
      <c r="J336" s="24" t="n">
        <f aca="false">(F336="C")+(G336="C")</f>
        <v>1</v>
      </c>
      <c r="K336" s="25" t="n">
        <f aca="false">I336+J336</f>
        <v>1</v>
      </c>
    </row>
    <row r="337" customFormat="false" ht="15" hidden="false" customHeight="false" outlineLevel="0" collapsed="false">
      <c r="A337" s="24" t="s">
        <v>48</v>
      </c>
      <c r="B337" s="24" t="s">
        <v>530</v>
      </c>
      <c r="C337" s="24" t="s">
        <v>537</v>
      </c>
      <c r="D337" s="24" t="n">
        <f aca="false">IFERROR(INDEX(Positions!$D$2:$D$6912,MATCH($A337&amp;"|54",Positions!$A$2:$A$6912,0)),"-")</f>
        <v>53</v>
      </c>
      <c r="E337" s="24" t="n">
        <f aca="false">IFERROR(INDEX(Positions!$D$2:$D$6912,MATCH($A337&amp;"|58",Positions!$A$2:$A$6912,0)),"-")</f>
        <v>57</v>
      </c>
      <c r="F337" s="24" t="str">
        <f aca="false">IFERROR(INDEX(Positions!$E$2:$E$6912,MATCH($A337&amp;"|54",Positions!$A$2:$A$6912,0)),"-")</f>
        <v>U</v>
      </c>
      <c r="G337" s="24" t="str">
        <f aca="false">IFERROR(INDEX(Positions!$E$2:$E$6912,MATCH($A337&amp;"|58",Positions!$A$2:$A$6912,0)),"-")</f>
        <v>A</v>
      </c>
      <c r="H337" s="25" t="str">
        <f aca="false">F337&amp;"-"&amp;G337</f>
        <v>U-A</v>
      </c>
      <c r="I337" s="24" t="n">
        <f aca="false">(F337="G")+(G337="G")</f>
        <v>0</v>
      </c>
      <c r="J337" s="24" t="n">
        <f aca="false">(F337="C")+(G337="C")</f>
        <v>0</v>
      </c>
      <c r="K337" s="25" t="n">
        <f aca="false">I337+J337</f>
        <v>0</v>
      </c>
    </row>
    <row r="338" customFormat="false" ht="15" hidden="false" customHeight="false" outlineLevel="0" collapsed="false">
      <c r="A338" s="4" t="s">
        <v>49</v>
      </c>
      <c r="B338" s="4" t="s">
        <v>412</v>
      </c>
      <c r="C338" s="4" t="s">
        <v>517</v>
      </c>
      <c r="D338" s="4" t="n">
        <f aca="false">IFERROR(INDEX(Positions!$D$2:$D$6912,MATCH($A338&amp;"|1",Positions!$A$2:$A$6912,0)),"-")</f>
        <v>1</v>
      </c>
      <c r="E338" s="4" t="n">
        <f aca="false">IFERROR(INDEX(Positions!$D$2:$D$6912,MATCH($A338&amp;"|72",Positions!$A$2:$A$6912,0)),"-")</f>
        <v>71</v>
      </c>
      <c r="F338" s="4" t="str">
        <f aca="false">IFERROR(INDEX(Positions!$E$2:$E$6912,MATCH($A338&amp;"|1",Positions!$A$2:$A$6912,0)),"-")</f>
        <v>A</v>
      </c>
      <c r="G338" s="4" t="str">
        <f aca="false">IFERROR(INDEX(Positions!$E$2:$E$6912,MATCH($A338&amp;"|72",Positions!$A$2:$A$6912,0)),"-")</f>
        <v>U</v>
      </c>
      <c r="H338" s="3" t="str">
        <f aca="false">F338&amp;"-"&amp;G338</f>
        <v>A-U</v>
      </c>
      <c r="I338" s="4" t="n">
        <f aca="false">(F338="G")+(G338="G")</f>
        <v>0</v>
      </c>
      <c r="J338" s="4" t="n">
        <f aca="false">(F338="C")+(G338="C")</f>
        <v>0</v>
      </c>
      <c r="K338" s="3" t="n">
        <f aca="false">I338+J338</f>
        <v>0</v>
      </c>
    </row>
    <row r="339" customFormat="false" ht="15" hidden="false" customHeight="false" outlineLevel="0" collapsed="false">
      <c r="A339" s="4" t="s">
        <v>49</v>
      </c>
      <c r="B339" s="4" t="s">
        <v>412</v>
      </c>
      <c r="C339" s="4" t="s">
        <v>518</v>
      </c>
      <c r="D339" s="4" t="n">
        <f aca="false">IFERROR(INDEX(Positions!$D$2:$D$6912,MATCH($A339&amp;"|2",Positions!$A$2:$A$6912,0)),"-")</f>
        <v>2</v>
      </c>
      <c r="E339" s="4" t="n">
        <f aca="false">IFERROR(INDEX(Positions!$D$2:$D$6912,MATCH($A339&amp;"|71",Positions!$A$2:$A$6912,0)),"-")</f>
        <v>70</v>
      </c>
      <c r="F339" s="4" t="str">
        <f aca="false">IFERROR(INDEX(Positions!$E$2:$E$6912,MATCH($A339&amp;"|2",Positions!$A$2:$A$6912,0)),"-")</f>
        <v>G</v>
      </c>
      <c r="G339" s="4" t="str">
        <f aca="false">IFERROR(INDEX(Positions!$E$2:$E$6912,MATCH($A339&amp;"|71",Positions!$A$2:$A$6912,0)),"-")</f>
        <v>C</v>
      </c>
      <c r="H339" s="3" t="str">
        <f aca="false">F339&amp;"-"&amp;G339</f>
        <v>G-C</v>
      </c>
      <c r="I339" s="4" t="n">
        <f aca="false">(F339="G")+(G339="G")</f>
        <v>1</v>
      </c>
      <c r="J339" s="4" t="n">
        <f aca="false">(F339="C")+(G339="C")</f>
        <v>1</v>
      </c>
      <c r="K339" s="3" t="n">
        <f aca="false">I339+J339</f>
        <v>2</v>
      </c>
    </row>
    <row r="340" customFormat="false" ht="15" hidden="false" customHeight="false" outlineLevel="0" collapsed="false">
      <c r="A340" s="4" t="s">
        <v>49</v>
      </c>
      <c r="B340" s="4" t="s">
        <v>412</v>
      </c>
      <c r="C340" s="4" t="s">
        <v>386</v>
      </c>
      <c r="D340" s="4" t="n">
        <f aca="false">IFERROR(INDEX(Positions!$D$2:$D$6912,MATCH($A340&amp;"|3",Positions!$A$2:$A$6912,0)),"-")</f>
        <v>3</v>
      </c>
      <c r="E340" s="4" t="n">
        <f aca="false">IFERROR(INDEX(Positions!$D$2:$D$6912,MATCH($A340&amp;"|70",Positions!$A$2:$A$6912,0)),"-")</f>
        <v>69</v>
      </c>
      <c r="F340" s="4" t="str">
        <f aca="false">IFERROR(INDEX(Positions!$E$2:$E$6912,MATCH($A340&amp;"|3",Positions!$A$2:$A$6912,0)),"-")</f>
        <v>C</v>
      </c>
      <c r="G340" s="4" t="str">
        <f aca="false">IFERROR(INDEX(Positions!$E$2:$E$6912,MATCH($A340&amp;"|70",Positions!$A$2:$A$6912,0)),"-")</f>
        <v>G</v>
      </c>
      <c r="H340" s="3" t="str">
        <f aca="false">F340&amp;"-"&amp;G340</f>
        <v>C-G</v>
      </c>
      <c r="I340" s="4" t="n">
        <f aca="false">(F340="G")+(G340="G")</f>
        <v>1</v>
      </c>
      <c r="J340" s="4" t="n">
        <f aca="false">(F340="C")+(G340="C")</f>
        <v>1</v>
      </c>
      <c r="K340" s="3" t="n">
        <f aca="false">I340+J340</f>
        <v>2</v>
      </c>
    </row>
    <row r="341" customFormat="false" ht="15" hidden="false" customHeight="false" outlineLevel="0" collapsed="false">
      <c r="A341" s="4" t="s">
        <v>49</v>
      </c>
      <c r="B341" s="4" t="s">
        <v>412</v>
      </c>
      <c r="C341" s="4" t="s">
        <v>519</v>
      </c>
      <c r="D341" s="4" t="n">
        <f aca="false">IFERROR(INDEX(Positions!$D$2:$D$6912,MATCH($A341&amp;"|4",Positions!$A$2:$A$6912,0)),"-")</f>
        <v>4</v>
      </c>
      <c r="E341" s="4" t="n">
        <f aca="false">IFERROR(INDEX(Positions!$D$2:$D$6912,MATCH($A341&amp;"|69",Positions!$A$2:$A$6912,0)),"-")</f>
        <v>68</v>
      </c>
      <c r="F341" s="4" t="str">
        <f aca="false">IFERROR(INDEX(Positions!$E$2:$E$6912,MATCH($A341&amp;"|4",Positions!$A$2:$A$6912,0)),"-")</f>
        <v>A</v>
      </c>
      <c r="G341" s="4" t="str">
        <f aca="false">IFERROR(INDEX(Positions!$E$2:$E$6912,MATCH($A341&amp;"|69",Positions!$A$2:$A$6912,0)),"-")</f>
        <v>U</v>
      </c>
      <c r="H341" s="3" t="str">
        <f aca="false">F341&amp;"-"&amp;G341</f>
        <v>A-U</v>
      </c>
      <c r="I341" s="4" t="n">
        <f aca="false">(F341="G")+(G341="G")</f>
        <v>0</v>
      </c>
      <c r="J341" s="4" t="n">
        <f aca="false">(F341="C")+(G341="C")</f>
        <v>0</v>
      </c>
      <c r="K341" s="3" t="n">
        <f aca="false">I341+J341</f>
        <v>0</v>
      </c>
    </row>
    <row r="342" customFormat="false" ht="15" hidden="false" customHeight="false" outlineLevel="0" collapsed="false">
      <c r="A342" s="4" t="s">
        <v>49</v>
      </c>
      <c r="B342" s="4" t="s">
        <v>412</v>
      </c>
      <c r="C342" s="4" t="s">
        <v>283</v>
      </c>
      <c r="D342" s="4" t="n">
        <f aca="false">IFERROR(INDEX(Positions!$D$2:$D$6912,MATCH($A342&amp;"|5",Positions!$A$2:$A$6912,0)),"-")</f>
        <v>5</v>
      </c>
      <c r="E342" s="4" t="n">
        <f aca="false">IFERROR(INDEX(Positions!$D$2:$D$6912,MATCH($A342&amp;"|68",Positions!$A$2:$A$6912,0)),"-")</f>
        <v>67</v>
      </c>
      <c r="F342" s="4" t="str">
        <f aca="false">IFERROR(INDEX(Positions!$E$2:$E$6912,MATCH($A342&amp;"|5",Positions!$A$2:$A$6912,0)),"-")</f>
        <v>G</v>
      </c>
      <c r="G342" s="4" t="str">
        <f aca="false">IFERROR(INDEX(Positions!$E$2:$E$6912,MATCH($A342&amp;"|68",Positions!$A$2:$A$6912,0)),"-")</f>
        <v>C</v>
      </c>
      <c r="H342" s="3" t="str">
        <f aca="false">F342&amp;"-"&amp;G342</f>
        <v>G-C</v>
      </c>
      <c r="I342" s="4" t="n">
        <f aca="false">(F342="G")+(G342="G")</f>
        <v>1</v>
      </c>
      <c r="J342" s="4" t="n">
        <f aca="false">(F342="C")+(G342="C")</f>
        <v>1</v>
      </c>
      <c r="K342" s="3" t="n">
        <f aca="false">I342+J342</f>
        <v>2</v>
      </c>
    </row>
    <row r="343" customFormat="false" ht="15" hidden="false" customHeight="false" outlineLevel="0" collapsed="false">
      <c r="A343" s="4" t="s">
        <v>49</v>
      </c>
      <c r="B343" s="4" t="s">
        <v>412</v>
      </c>
      <c r="C343" s="4" t="s">
        <v>520</v>
      </c>
      <c r="D343" s="4" t="n">
        <f aca="false">IFERROR(INDEX(Positions!$D$2:$D$6912,MATCH($A343&amp;"|6",Positions!$A$2:$A$6912,0)),"-")</f>
        <v>6</v>
      </c>
      <c r="E343" s="4" t="n">
        <f aca="false">IFERROR(INDEX(Positions!$D$2:$D$6912,MATCH($A343&amp;"|67",Positions!$A$2:$A$6912,0)),"-")</f>
        <v>66</v>
      </c>
      <c r="F343" s="4" t="str">
        <f aca="false">IFERROR(INDEX(Positions!$E$2:$E$6912,MATCH($A343&amp;"|6",Positions!$A$2:$A$6912,0)),"-")</f>
        <v>A</v>
      </c>
      <c r="G343" s="4" t="str">
        <f aca="false">IFERROR(INDEX(Positions!$E$2:$E$6912,MATCH($A343&amp;"|67",Positions!$A$2:$A$6912,0)),"-")</f>
        <v>U</v>
      </c>
      <c r="H343" s="3" t="str">
        <f aca="false">F343&amp;"-"&amp;G343</f>
        <v>A-U</v>
      </c>
      <c r="I343" s="4" t="n">
        <f aca="false">(F343="G")+(G343="G")</f>
        <v>0</v>
      </c>
      <c r="J343" s="4" t="n">
        <f aca="false">(F343="C")+(G343="C")</f>
        <v>0</v>
      </c>
      <c r="K343" s="3" t="n">
        <f aca="false">I343+J343</f>
        <v>0</v>
      </c>
    </row>
    <row r="344" customFormat="false" ht="15" hidden="false" customHeight="false" outlineLevel="0" collapsed="false">
      <c r="A344" s="4" t="s">
        <v>49</v>
      </c>
      <c r="B344" s="4" t="s">
        <v>412</v>
      </c>
      <c r="C344" s="4" t="s">
        <v>521</v>
      </c>
      <c r="D344" s="4" t="n">
        <f aca="false">IFERROR(INDEX(Positions!$D$2:$D$6912,MATCH($A344&amp;"|7",Positions!$A$2:$A$6912,0)),"-")</f>
        <v>7</v>
      </c>
      <c r="E344" s="4" t="n">
        <f aca="false">IFERROR(INDEX(Positions!$D$2:$D$6912,MATCH($A344&amp;"|66",Positions!$A$2:$A$6912,0)),"-")</f>
        <v>65</v>
      </c>
      <c r="F344" s="4" t="str">
        <f aca="false">IFERROR(INDEX(Positions!$E$2:$E$6912,MATCH($A344&amp;"|7",Positions!$A$2:$A$6912,0)),"-")</f>
        <v>G</v>
      </c>
      <c r="G344" s="4" t="str">
        <f aca="false">IFERROR(INDEX(Positions!$E$2:$E$6912,MATCH($A344&amp;"|66",Positions!$A$2:$A$6912,0)),"-")</f>
        <v>C</v>
      </c>
      <c r="H344" s="3" t="str">
        <f aca="false">F344&amp;"-"&amp;G344</f>
        <v>G-C</v>
      </c>
      <c r="I344" s="4" t="n">
        <f aca="false">(F344="G")+(G344="G")</f>
        <v>1</v>
      </c>
      <c r="J344" s="4" t="n">
        <f aca="false">(F344="C")+(G344="C")</f>
        <v>1</v>
      </c>
      <c r="K344" s="3" t="n">
        <f aca="false">I344+J344</f>
        <v>2</v>
      </c>
    </row>
    <row r="345" customFormat="false" ht="15" hidden="false" customHeight="false" outlineLevel="0" collapsed="false">
      <c r="A345" s="4" t="s">
        <v>49</v>
      </c>
      <c r="B345" s="4" t="s">
        <v>425</v>
      </c>
      <c r="C345" s="4" t="s">
        <v>522</v>
      </c>
      <c r="D345" s="4" t="n">
        <f aca="false">IFERROR(INDEX(Positions!$D$2:$D$6912,MATCH($A345&amp;"|10",Positions!$A$2:$A$6912,0)),"-")</f>
        <v>10</v>
      </c>
      <c r="E345" s="4" t="n">
        <f aca="false">IFERROR(INDEX(Positions!$D$2:$D$6912,MATCH($A345&amp;"|25",Positions!$A$2:$A$6912,0)),"-")</f>
        <v>24</v>
      </c>
      <c r="F345" s="4" t="str">
        <f aca="false">IFERROR(INDEX(Positions!$E$2:$E$6912,MATCH($A345&amp;"|10",Positions!$A$2:$A$6912,0)),"-")</f>
        <v>G</v>
      </c>
      <c r="G345" s="4" t="str">
        <f aca="false">IFERROR(INDEX(Positions!$E$2:$E$6912,MATCH($A345&amp;"|25",Positions!$A$2:$A$6912,0)),"-")</f>
        <v>U</v>
      </c>
      <c r="H345" s="3" t="str">
        <f aca="false">F345&amp;"-"&amp;G345</f>
        <v>G-U</v>
      </c>
      <c r="I345" s="4" t="n">
        <f aca="false">(F345="G")+(G345="G")</f>
        <v>1</v>
      </c>
      <c r="J345" s="4" t="n">
        <f aca="false">(F345="C")+(G345="C")</f>
        <v>0</v>
      </c>
      <c r="K345" s="3" t="n">
        <f aca="false">I345+J345</f>
        <v>1</v>
      </c>
    </row>
    <row r="346" customFormat="false" ht="15" hidden="false" customHeight="false" outlineLevel="0" collapsed="false">
      <c r="A346" s="4" t="s">
        <v>49</v>
      </c>
      <c r="B346" s="4" t="s">
        <v>425</v>
      </c>
      <c r="C346" s="4" t="s">
        <v>523</v>
      </c>
      <c r="D346" s="4" t="n">
        <f aca="false">IFERROR(INDEX(Positions!$D$2:$D$6912,MATCH($A346&amp;"|11",Positions!$A$2:$A$6912,0)),"-")</f>
        <v>11</v>
      </c>
      <c r="E346" s="4" t="n">
        <f aca="false">IFERROR(INDEX(Positions!$D$2:$D$6912,MATCH($A346&amp;"|24",Positions!$A$2:$A$6912,0)),"-")</f>
        <v>23</v>
      </c>
      <c r="F346" s="4" t="str">
        <f aca="false">IFERROR(INDEX(Positions!$E$2:$E$6912,MATCH($A346&amp;"|11",Positions!$A$2:$A$6912,0)),"-")</f>
        <v>C</v>
      </c>
      <c r="G346" s="4" t="str">
        <f aca="false">IFERROR(INDEX(Positions!$E$2:$E$6912,MATCH($A346&amp;"|24",Positions!$A$2:$A$6912,0)),"-")</f>
        <v>G</v>
      </c>
      <c r="H346" s="3" t="str">
        <f aca="false">F346&amp;"-"&amp;G346</f>
        <v>C-G</v>
      </c>
      <c r="I346" s="4" t="n">
        <f aca="false">(F346="G")+(G346="G")</f>
        <v>1</v>
      </c>
      <c r="J346" s="4" t="n">
        <f aca="false">(F346="C")+(G346="C")</f>
        <v>1</v>
      </c>
      <c r="K346" s="3" t="n">
        <f aca="false">I346+J346</f>
        <v>2</v>
      </c>
    </row>
    <row r="347" customFormat="false" ht="15" hidden="false" customHeight="false" outlineLevel="0" collapsed="false">
      <c r="A347" s="4" t="s">
        <v>49</v>
      </c>
      <c r="B347" s="4" t="s">
        <v>425</v>
      </c>
      <c r="C347" s="4" t="s">
        <v>250</v>
      </c>
      <c r="D347" s="4" t="n">
        <f aca="false">IFERROR(INDEX(Positions!$D$2:$D$6912,MATCH($A347&amp;"|12",Positions!$A$2:$A$6912,0)),"-")</f>
        <v>12</v>
      </c>
      <c r="E347" s="4" t="n">
        <f aca="false">IFERROR(INDEX(Positions!$D$2:$D$6912,MATCH($A347&amp;"|23",Positions!$A$2:$A$6912,0)),"-")</f>
        <v>22</v>
      </c>
      <c r="F347" s="4" t="str">
        <f aca="false">IFERROR(INDEX(Positions!$E$2:$E$6912,MATCH($A347&amp;"|12",Positions!$A$2:$A$6912,0)),"-")</f>
        <v>G</v>
      </c>
      <c r="G347" s="4" t="str">
        <f aca="false">IFERROR(INDEX(Positions!$E$2:$E$6912,MATCH($A347&amp;"|23",Positions!$A$2:$A$6912,0)),"-")</f>
        <v>C</v>
      </c>
      <c r="H347" s="3" t="str">
        <f aca="false">F347&amp;"-"&amp;G347</f>
        <v>G-C</v>
      </c>
      <c r="I347" s="4" t="n">
        <f aca="false">(F347="G")+(G347="G")</f>
        <v>1</v>
      </c>
      <c r="J347" s="4" t="n">
        <f aca="false">(F347="C")+(G347="C")</f>
        <v>1</v>
      </c>
      <c r="K347" s="3" t="n">
        <f aca="false">I347+J347</f>
        <v>2</v>
      </c>
    </row>
    <row r="348" customFormat="false" ht="15" hidden="false" customHeight="false" outlineLevel="0" collapsed="false">
      <c r="A348" s="4" t="s">
        <v>49</v>
      </c>
      <c r="B348" s="4" t="s">
        <v>425</v>
      </c>
      <c r="C348" s="4" t="s">
        <v>154</v>
      </c>
      <c r="D348" s="4" t="n">
        <f aca="false">IFERROR(INDEX(Positions!$D$2:$D$6912,MATCH($A348&amp;"|13",Positions!$A$2:$A$6912,0)),"-")</f>
        <v>13</v>
      </c>
      <c r="E348" s="4" t="n">
        <f aca="false">IFERROR(INDEX(Positions!$D$2:$D$6912,MATCH($A348&amp;"|22",Positions!$A$2:$A$6912,0)),"-")</f>
        <v>21</v>
      </c>
      <c r="F348" s="4" t="str">
        <f aca="false">IFERROR(INDEX(Positions!$E$2:$E$6912,MATCH($A348&amp;"|13",Positions!$A$2:$A$6912,0)),"-")</f>
        <v>C</v>
      </c>
      <c r="G348" s="4" t="str">
        <f aca="false">IFERROR(INDEX(Positions!$E$2:$E$6912,MATCH($A348&amp;"|22",Positions!$A$2:$A$6912,0)),"-")</f>
        <v>G</v>
      </c>
      <c r="H348" s="3" t="str">
        <f aca="false">F348&amp;"-"&amp;G348</f>
        <v>C-G</v>
      </c>
      <c r="I348" s="4" t="n">
        <f aca="false">(F348="G")+(G348="G")</f>
        <v>1</v>
      </c>
      <c r="J348" s="4" t="n">
        <f aca="false">(F348="C")+(G348="C")</f>
        <v>1</v>
      </c>
      <c r="K348" s="3" t="n">
        <f aca="false">I348+J348</f>
        <v>2</v>
      </c>
    </row>
    <row r="349" customFormat="false" ht="15" hidden="false" customHeight="false" outlineLevel="0" collapsed="false">
      <c r="A349" s="4" t="s">
        <v>49</v>
      </c>
      <c r="B349" s="4" t="s">
        <v>446</v>
      </c>
      <c r="C349" s="4" t="s">
        <v>524</v>
      </c>
      <c r="D349" s="4" t="n">
        <f aca="false">IFERROR(INDEX(Positions!$D$2:$D$6912,MATCH($A349&amp;"|27",Positions!$A$2:$A$6912,0)),"-")</f>
        <v>26</v>
      </c>
      <c r="E349" s="4" t="n">
        <f aca="false">IFERROR(INDEX(Positions!$D$2:$D$6912,MATCH($A349&amp;"|43",Positions!$A$2:$A$6912,0)),"-")</f>
        <v>42</v>
      </c>
      <c r="F349" s="4" t="str">
        <f aca="false">IFERROR(INDEX(Positions!$E$2:$E$6912,MATCH($A349&amp;"|27",Positions!$A$2:$A$6912,0)),"-")</f>
        <v>C</v>
      </c>
      <c r="G349" s="4" t="str">
        <f aca="false">IFERROR(INDEX(Positions!$E$2:$E$6912,MATCH($A349&amp;"|43",Positions!$A$2:$A$6912,0)),"-")</f>
        <v>G</v>
      </c>
      <c r="H349" s="3" t="str">
        <f aca="false">F349&amp;"-"&amp;G349</f>
        <v>C-G</v>
      </c>
      <c r="I349" s="4" t="n">
        <f aca="false">(F349="G")+(G349="G")</f>
        <v>1</v>
      </c>
      <c r="J349" s="4" t="n">
        <f aca="false">(F349="C")+(G349="C")</f>
        <v>1</v>
      </c>
      <c r="K349" s="3" t="n">
        <f aca="false">I349+J349</f>
        <v>2</v>
      </c>
    </row>
    <row r="350" customFormat="false" ht="15" hidden="false" customHeight="false" outlineLevel="0" collapsed="false">
      <c r="A350" s="4" t="s">
        <v>49</v>
      </c>
      <c r="B350" s="4" t="s">
        <v>446</v>
      </c>
      <c r="C350" s="4" t="s">
        <v>525</v>
      </c>
      <c r="D350" s="4" t="n">
        <f aca="false">IFERROR(INDEX(Positions!$D$2:$D$6912,MATCH($A350&amp;"|28",Positions!$A$2:$A$6912,0)),"-")</f>
        <v>27</v>
      </c>
      <c r="E350" s="4" t="n">
        <f aca="false">IFERROR(INDEX(Positions!$D$2:$D$6912,MATCH($A350&amp;"|42",Positions!$A$2:$A$6912,0)),"-")</f>
        <v>41</v>
      </c>
      <c r="F350" s="4" t="str">
        <f aca="false">IFERROR(INDEX(Positions!$E$2:$E$6912,MATCH($A350&amp;"|28",Positions!$A$2:$A$6912,0)),"-")</f>
        <v>U</v>
      </c>
      <c r="G350" s="4" t="str">
        <f aca="false">IFERROR(INDEX(Positions!$E$2:$E$6912,MATCH($A350&amp;"|42",Positions!$A$2:$A$6912,0)),"-")</f>
        <v>A</v>
      </c>
      <c r="H350" s="3" t="str">
        <f aca="false">F350&amp;"-"&amp;G350</f>
        <v>U-A</v>
      </c>
      <c r="I350" s="4" t="n">
        <f aca="false">(F350="G")+(G350="G")</f>
        <v>0</v>
      </c>
      <c r="J350" s="4" t="n">
        <f aca="false">(F350="C")+(G350="C")</f>
        <v>0</v>
      </c>
      <c r="K350" s="3" t="n">
        <f aca="false">I350+J350</f>
        <v>0</v>
      </c>
    </row>
    <row r="351" customFormat="false" ht="15" hidden="false" customHeight="false" outlineLevel="0" collapsed="false">
      <c r="A351" s="4" t="s">
        <v>49</v>
      </c>
      <c r="B351" s="4" t="s">
        <v>446</v>
      </c>
      <c r="C351" s="4" t="s">
        <v>256</v>
      </c>
      <c r="D351" s="4" t="n">
        <f aca="false">IFERROR(INDEX(Positions!$D$2:$D$6912,MATCH($A351&amp;"|29",Positions!$A$2:$A$6912,0)),"-")</f>
        <v>28</v>
      </c>
      <c r="E351" s="4" t="n">
        <f aca="false">IFERROR(INDEX(Positions!$D$2:$D$6912,MATCH($A351&amp;"|41",Positions!$A$2:$A$6912,0)),"-")</f>
        <v>40</v>
      </c>
      <c r="F351" s="4" t="str">
        <f aca="false">IFERROR(INDEX(Positions!$E$2:$E$6912,MATCH($A351&amp;"|29",Positions!$A$2:$A$6912,0)),"-")</f>
        <v>G</v>
      </c>
      <c r="G351" s="4" t="str">
        <f aca="false">IFERROR(INDEX(Positions!$E$2:$E$6912,MATCH($A351&amp;"|41",Positions!$A$2:$A$6912,0)),"-")</f>
        <v>C</v>
      </c>
      <c r="H351" s="3" t="str">
        <f aca="false">F351&amp;"-"&amp;G351</f>
        <v>G-C</v>
      </c>
      <c r="I351" s="4" t="n">
        <f aca="false">(F351="G")+(G351="G")</f>
        <v>1</v>
      </c>
      <c r="J351" s="4" t="n">
        <f aca="false">(F351="C")+(G351="C")</f>
        <v>1</v>
      </c>
      <c r="K351" s="3" t="n">
        <f aca="false">I351+J351</f>
        <v>2</v>
      </c>
    </row>
    <row r="352" customFormat="false" ht="15" hidden="false" customHeight="false" outlineLevel="0" collapsed="false">
      <c r="A352" s="4" t="s">
        <v>49</v>
      </c>
      <c r="B352" s="4" t="s">
        <v>446</v>
      </c>
      <c r="C352" s="4" t="s">
        <v>526</v>
      </c>
      <c r="D352" s="4" t="n">
        <f aca="false">IFERROR(INDEX(Positions!$D$2:$D$6912,MATCH($A352&amp;"|30",Positions!$A$2:$A$6912,0)),"-")</f>
        <v>29</v>
      </c>
      <c r="E352" s="4" t="n">
        <f aca="false">IFERROR(INDEX(Positions!$D$2:$D$6912,MATCH($A352&amp;"|40",Positions!$A$2:$A$6912,0)),"-")</f>
        <v>39</v>
      </c>
      <c r="F352" s="4" t="str">
        <f aca="false">IFERROR(INDEX(Positions!$E$2:$E$6912,MATCH($A352&amp;"|30",Positions!$A$2:$A$6912,0)),"-")</f>
        <v>G</v>
      </c>
      <c r="G352" s="4" t="str">
        <f aca="false">IFERROR(INDEX(Positions!$E$2:$E$6912,MATCH($A352&amp;"|40",Positions!$A$2:$A$6912,0)),"-")</f>
        <v>C</v>
      </c>
      <c r="H352" s="3" t="str">
        <f aca="false">F352&amp;"-"&amp;G352</f>
        <v>G-C</v>
      </c>
      <c r="I352" s="4" t="n">
        <f aca="false">(F352="G")+(G352="G")</f>
        <v>1</v>
      </c>
      <c r="J352" s="4" t="n">
        <f aca="false">(F352="C")+(G352="C")</f>
        <v>1</v>
      </c>
      <c r="K352" s="3" t="n">
        <f aca="false">I352+J352</f>
        <v>2</v>
      </c>
    </row>
    <row r="353" customFormat="false" ht="15" hidden="false" customHeight="false" outlineLevel="0" collapsed="false">
      <c r="A353" s="4" t="s">
        <v>49</v>
      </c>
      <c r="B353" s="4" t="s">
        <v>446</v>
      </c>
      <c r="C353" s="4" t="s">
        <v>273</v>
      </c>
      <c r="D353" s="4" t="n">
        <f aca="false">IFERROR(INDEX(Positions!$D$2:$D$6912,MATCH($A353&amp;"|31",Positions!$A$2:$A$6912,0)),"-")</f>
        <v>30</v>
      </c>
      <c r="E353" s="4" t="n">
        <f aca="false">IFERROR(INDEX(Positions!$D$2:$D$6912,MATCH($A353&amp;"|39",Positions!$A$2:$A$6912,0)),"-")</f>
        <v>38</v>
      </c>
      <c r="F353" s="4" t="str">
        <f aca="false">IFERROR(INDEX(Positions!$E$2:$E$6912,MATCH($A353&amp;"|31",Positions!$A$2:$A$6912,0)),"-")</f>
        <v>G</v>
      </c>
      <c r="G353" s="4" t="str">
        <f aca="false">IFERROR(INDEX(Positions!$E$2:$E$6912,MATCH($A353&amp;"|39",Positions!$A$2:$A$6912,0)),"-")</f>
        <v>C</v>
      </c>
      <c r="H353" s="3" t="str">
        <f aca="false">F353&amp;"-"&amp;G353</f>
        <v>G-C</v>
      </c>
      <c r="I353" s="4" t="n">
        <f aca="false">(F353="G")+(G353="G")</f>
        <v>1</v>
      </c>
      <c r="J353" s="4" t="n">
        <f aca="false">(F353="C")+(G353="C")</f>
        <v>1</v>
      </c>
      <c r="K353" s="3" t="n">
        <f aca="false">I353+J353</f>
        <v>2</v>
      </c>
    </row>
    <row r="354" customFormat="false" ht="15" hidden="false" customHeight="false" outlineLevel="0" collapsed="false">
      <c r="A354" s="4" t="s">
        <v>49</v>
      </c>
      <c r="B354" s="4" t="s">
        <v>471</v>
      </c>
      <c r="C354" s="4" t="s">
        <v>367</v>
      </c>
      <c r="D354" s="4" t="n">
        <f aca="false">IFERROR(INDEX(Positions!$D$2:$D$6912,MATCH($A354&amp;"|49",Positions!$A$2:$A$6912,0)),"-")</f>
        <v>48</v>
      </c>
      <c r="E354" s="4" t="n">
        <f aca="false">IFERROR(INDEX(Positions!$D$2:$D$6912,MATCH($A354&amp;"|65",Positions!$A$2:$A$6912,0)),"-")</f>
        <v>64</v>
      </c>
      <c r="F354" s="4" t="str">
        <f aca="false">IFERROR(INDEX(Positions!$E$2:$E$6912,MATCH($A354&amp;"|49",Positions!$A$2:$A$6912,0)),"-")</f>
        <v>C</v>
      </c>
      <c r="G354" s="4" t="str">
        <f aca="false">IFERROR(INDEX(Positions!$E$2:$E$6912,MATCH($A354&amp;"|65",Positions!$A$2:$A$6912,0)),"-")</f>
        <v>G</v>
      </c>
      <c r="H354" s="3" t="str">
        <f aca="false">F354&amp;"-"&amp;G354</f>
        <v>C-G</v>
      </c>
      <c r="I354" s="4" t="n">
        <f aca="false">(F354="G")+(G354="G")</f>
        <v>1</v>
      </c>
      <c r="J354" s="4" t="n">
        <f aca="false">(F354="C")+(G354="C")</f>
        <v>1</v>
      </c>
      <c r="K354" s="3" t="n">
        <f aca="false">I354+J354</f>
        <v>2</v>
      </c>
    </row>
    <row r="355" customFormat="false" ht="15" hidden="false" customHeight="false" outlineLevel="0" collapsed="false">
      <c r="A355" s="4" t="s">
        <v>49</v>
      </c>
      <c r="B355" s="4" t="s">
        <v>471</v>
      </c>
      <c r="C355" s="4" t="s">
        <v>233</v>
      </c>
      <c r="D355" s="4" t="n">
        <f aca="false">IFERROR(INDEX(Positions!$D$2:$D$6912,MATCH($A355&amp;"|50",Positions!$A$2:$A$6912,0)),"-")</f>
        <v>49</v>
      </c>
      <c r="E355" s="4" t="n">
        <f aca="false">IFERROR(INDEX(Positions!$D$2:$D$6912,MATCH($A355&amp;"|64",Positions!$A$2:$A$6912,0)),"-")</f>
        <v>63</v>
      </c>
      <c r="F355" s="4" t="str">
        <f aca="false">IFERROR(INDEX(Positions!$E$2:$E$6912,MATCH($A355&amp;"|50",Positions!$A$2:$A$6912,0)),"-")</f>
        <v>G</v>
      </c>
      <c r="G355" s="4" t="str">
        <f aca="false">IFERROR(INDEX(Positions!$E$2:$E$6912,MATCH($A355&amp;"|64",Positions!$A$2:$A$6912,0)),"-")</f>
        <v>U</v>
      </c>
      <c r="H355" s="3" t="str">
        <f aca="false">F355&amp;"-"&amp;G355</f>
        <v>G-U</v>
      </c>
      <c r="I355" s="4" t="n">
        <f aca="false">(F355="G")+(G355="G")</f>
        <v>1</v>
      </c>
      <c r="J355" s="4" t="n">
        <f aca="false">(F355="C")+(G355="C")</f>
        <v>0</v>
      </c>
      <c r="K355" s="3" t="n">
        <f aca="false">I355+J355</f>
        <v>1</v>
      </c>
    </row>
    <row r="356" customFormat="false" ht="15" hidden="false" customHeight="false" outlineLevel="0" collapsed="false">
      <c r="A356" s="4" t="s">
        <v>49</v>
      </c>
      <c r="B356" s="4" t="s">
        <v>471</v>
      </c>
      <c r="C356" s="4" t="s">
        <v>527</v>
      </c>
      <c r="D356" s="4" t="n">
        <f aca="false">IFERROR(INDEX(Positions!$D$2:$D$6912,MATCH($A356&amp;"|51",Positions!$A$2:$A$6912,0)),"-")</f>
        <v>50</v>
      </c>
      <c r="E356" s="4" t="n">
        <f aca="false">IFERROR(INDEX(Positions!$D$2:$D$6912,MATCH($A356&amp;"|63",Positions!$A$2:$A$6912,0)),"-")</f>
        <v>62</v>
      </c>
      <c r="F356" s="4" t="str">
        <f aca="false">IFERROR(INDEX(Positions!$E$2:$E$6912,MATCH($A356&amp;"|51",Positions!$A$2:$A$6912,0)),"-")</f>
        <v>A</v>
      </c>
      <c r="G356" s="4" t="str">
        <f aca="false">IFERROR(INDEX(Positions!$E$2:$E$6912,MATCH($A356&amp;"|63",Positions!$A$2:$A$6912,0)),"-")</f>
        <v>U</v>
      </c>
      <c r="H356" s="3" t="str">
        <f aca="false">F356&amp;"-"&amp;G356</f>
        <v>A-U</v>
      </c>
      <c r="I356" s="4" t="n">
        <f aca="false">(F356="G")+(G356="G")</f>
        <v>0</v>
      </c>
      <c r="J356" s="4" t="n">
        <f aca="false">(F356="C")+(G356="C")</f>
        <v>0</v>
      </c>
      <c r="K356" s="3" t="n">
        <f aca="false">I356+J356</f>
        <v>0</v>
      </c>
    </row>
    <row r="357" customFormat="false" ht="15" hidden="false" customHeight="false" outlineLevel="0" collapsed="false">
      <c r="A357" s="4" t="s">
        <v>49</v>
      </c>
      <c r="B357" s="4" t="s">
        <v>471</v>
      </c>
      <c r="C357" s="4" t="s">
        <v>528</v>
      </c>
      <c r="D357" s="4" t="n">
        <f aca="false">IFERROR(INDEX(Positions!$D$2:$D$6912,MATCH($A357&amp;"|52",Positions!$A$2:$A$6912,0)),"-")</f>
        <v>51</v>
      </c>
      <c r="E357" s="4" t="n">
        <f aca="false">IFERROR(INDEX(Positions!$D$2:$D$6912,MATCH($A357&amp;"|62",Positions!$A$2:$A$6912,0)),"-")</f>
        <v>61</v>
      </c>
      <c r="F357" s="4" t="str">
        <f aca="false">IFERROR(INDEX(Positions!$E$2:$E$6912,MATCH($A357&amp;"|52",Positions!$A$2:$A$6912,0)),"-")</f>
        <v>G</v>
      </c>
      <c r="G357" s="4" t="str">
        <f aca="false">IFERROR(INDEX(Positions!$E$2:$E$6912,MATCH($A357&amp;"|62",Positions!$A$2:$A$6912,0)),"-")</f>
        <v>C</v>
      </c>
      <c r="H357" s="3" t="str">
        <f aca="false">F357&amp;"-"&amp;G357</f>
        <v>G-C</v>
      </c>
      <c r="I357" s="4" t="n">
        <f aca="false">(F357="G")+(G357="G")</f>
        <v>1</v>
      </c>
      <c r="J357" s="4" t="n">
        <f aca="false">(F357="C")+(G357="C")</f>
        <v>1</v>
      </c>
      <c r="K357" s="3" t="n">
        <f aca="false">I357+J357</f>
        <v>2</v>
      </c>
    </row>
    <row r="358" customFormat="false" ht="15" hidden="false" customHeight="false" outlineLevel="0" collapsed="false">
      <c r="A358" s="4" t="s">
        <v>49</v>
      </c>
      <c r="B358" s="4" t="s">
        <v>471</v>
      </c>
      <c r="C358" s="4" t="s">
        <v>529</v>
      </c>
      <c r="D358" s="4" t="n">
        <f aca="false">IFERROR(INDEX(Positions!$D$2:$D$6912,MATCH($A358&amp;"|53",Positions!$A$2:$A$6912,0)),"-")</f>
        <v>52</v>
      </c>
      <c r="E358" s="4" t="n">
        <f aca="false">IFERROR(INDEX(Positions!$D$2:$D$6912,MATCH($A358&amp;"|61",Positions!$A$2:$A$6912,0)),"-")</f>
        <v>60</v>
      </c>
      <c r="F358" s="4" t="str">
        <f aca="false">IFERROR(INDEX(Positions!$E$2:$E$6912,MATCH($A358&amp;"|53",Positions!$A$2:$A$6912,0)),"-")</f>
        <v>G</v>
      </c>
      <c r="G358" s="4" t="str">
        <f aca="false">IFERROR(INDEX(Positions!$E$2:$E$6912,MATCH($A358&amp;"|61",Positions!$A$2:$A$6912,0)),"-")</f>
        <v>C</v>
      </c>
      <c r="H358" s="3" t="str">
        <f aca="false">F358&amp;"-"&amp;G358</f>
        <v>G-C</v>
      </c>
      <c r="I358" s="4" t="n">
        <f aca="false">(F358="G")+(G358="G")</f>
        <v>1</v>
      </c>
      <c r="J358" s="4" t="n">
        <f aca="false">(F358="C")+(G358="C")</f>
        <v>1</v>
      </c>
      <c r="K358" s="3" t="n">
        <f aca="false">I358+J358</f>
        <v>2</v>
      </c>
    </row>
    <row r="359" customFormat="false" ht="15" hidden="false" customHeight="false" outlineLevel="0" collapsed="false">
      <c r="A359" s="24" t="s">
        <v>49</v>
      </c>
      <c r="B359" s="24" t="s">
        <v>530</v>
      </c>
      <c r="C359" s="24" t="s">
        <v>531</v>
      </c>
      <c r="D359" s="24" t="n">
        <f aca="false">IFERROR(INDEX(Positions!$D$2:$D$6912,MATCH($A359&amp;"|8",Positions!$A$2:$A$6912,0)),"-")</f>
        <v>8</v>
      </c>
      <c r="E359" s="24" t="n">
        <f aca="false">IFERROR(INDEX(Positions!$D$2:$D$6912,MATCH($A359&amp;"|14",Positions!$A$2:$A$6912,0)),"-")</f>
        <v>14</v>
      </c>
      <c r="F359" s="24" t="str">
        <f aca="false">IFERROR(INDEX(Positions!$E$2:$E$6912,MATCH($A359&amp;"|8",Positions!$A$2:$A$6912,0)),"-")</f>
        <v>U</v>
      </c>
      <c r="G359" s="24" t="str">
        <f aca="false">IFERROR(INDEX(Positions!$E$2:$E$6912,MATCH($A359&amp;"|14",Positions!$A$2:$A$6912,0)),"-")</f>
        <v>A</v>
      </c>
      <c r="H359" s="25" t="str">
        <f aca="false">F359&amp;"-"&amp;G359</f>
        <v>U-A</v>
      </c>
      <c r="I359" s="24" t="n">
        <f aca="false">(F359="G")+(G359="G")</f>
        <v>0</v>
      </c>
      <c r="J359" s="24" t="n">
        <f aca="false">(F359="C")+(G359="C")</f>
        <v>0</v>
      </c>
      <c r="K359" s="25" t="n">
        <f aca="false">I359+J359</f>
        <v>0</v>
      </c>
    </row>
    <row r="360" customFormat="false" ht="15" hidden="false" customHeight="false" outlineLevel="0" collapsed="false">
      <c r="A360" s="24" t="s">
        <v>49</v>
      </c>
      <c r="B360" s="24" t="s">
        <v>530</v>
      </c>
      <c r="C360" s="24" t="s">
        <v>532</v>
      </c>
      <c r="D360" s="24" t="n">
        <f aca="false">IFERROR(INDEX(Positions!$D$2:$D$6912,MATCH($A360&amp;"|15",Positions!$A$2:$A$6912,0)),"-")</f>
        <v>15</v>
      </c>
      <c r="E360" s="24" t="n">
        <f aca="false">IFERROR(INDEX(Positions!$D$2:$D$6912,MATCH($A360&amp;"|48",Positions!$A$2:$A$6912,0)),"-")</f>
        <v>47</v>
      </c>
      <c r="F360" s="24" t="str">
        <f aca="false">IFERROR(INDEX(Positions!$E$2:$E$6912,MATCH($A360&amp;"|15",Positions!$A$2:$A$6912,0)),"-")</f>
        <v>G</v>
      </c>
      <c r="G360" s="24" t="str">
        <f aca="false">IFERROR(INDEX(Positions!$E$2:$E$6912,MATCH($A360&amp;"|48",Positions!$A$2:$A$6912,0)),"-")</f>
        <v>C</v>
      </c>
      <c r="H360" s="25" t="str">
        <f aca="false">F360&amp;"-"&amp;G360</f>
        <v>G-C</v>
      </c>
      <c r="I360" s="24" t="n">
        <f aca="false">(F360="G")+(G360="G")</f>
        <v>1</v>
      </c>
      <c r="J360" s="24" t="n">
        <f aca="false">(F360="C")+(G360="C")</f>
        <v>1</v>
      </c>
      <c r="K360" s="25" t="n">
        <f aca="false">I360+J360</f>
        <v>2</v>
      </c>
    </row>
    <row r="361" customFormat="false" ht="15" hidden="false" customHeight="false" outlineLevel="0" collapsed="false">
      <c r="A361" s="24" t="s">
        <v>49</v>
      </c>
      <c r="B361" s="24" t="s">
        <v>530</v>
      </c>
      <c r="C361" s="24" t="s">
        <v>533</v>
      </c>
      <c r="D361" s="24" t="n">
        <f aca="false">IFERROR(INDEX(Positions!$D$2:$D$6912,MATCH($A361&amp;"|18",Positions!$A$2:$A$6912,0)),"-")</f>
        <v>17</v>
      </c>
      <c r="E361" s="24" t="n">
        <f aca="false">IFERROR(INDEX(Positions!$D$2:$D$6912,MATCH($A361&amp;"|55",Positions!$A$2:$A$6912,0)),"-")</f>
        <v>54</v>
      </c>
      <c r="F361" s="24" t="str">
        <f aca="false">IFERROR(INDEX(Positions!$E$2:$E$6912,MATCH($A361&amp;"|18",Positions!$A$2:$A$6912,0)),"-")</f>
        <v>G</v>
      </c>
      <c r="G361" s="24" t="str">
        <f aca="false">IFERROR(INDEX(Positions!$E$2:$E$6912,MATCH($A361&amp;"|55",Positions!$A$2:$A$6912,0)),"-")</f>
        <v>U</v>
      </c>
      <c r="H361" s="25" t="str">
        <f aca="false">F361&amp;"-"&amp;G361</f>
        <v>G-U</v>
      </c>
      <c r="I361" s="24" t="n">
        <f aca="false">(F361="G")+(G361="G")</f>
        <v>1</v>
      </c>
      <c r="J361" s="24" t="n">
        <f aca="false">(F361="C")+(G361="C")</f>
        <v>0</v>
      </c>
      <c r="K361" s="25" t="n">
        <f aca="false">I361+J361</f>
        <v>1</v>
      </c>
    </row>
    <row r="362" customFormat="false" ht="15" hidden="false" customHeight="false" outlineLevel="0" collapsed="false">
      <c r="A362" s="24" t="s">
        <v>49</v>
      </c>
      <c r="B362" s="24" t="s">
        <v>530</v>
      </c>
      <c r="C362" s="24" t="s">
        <v>534</v>
      </c>
      <c r="D362" s="24" t="n">
        <f aca="false">IFERROR(INDEX(Positions!$D$2:$D$6912,MATCH($A362&amp;"|19",Positions!$A$2:$A$6912,0)),"-")</f>
        <v>18</v>
      </c>
      <c r="E362" s="24" t="n">
        <f aca="false">IFERROR(INDEX(Positions!$D$2:$D$6912,MATCH($A362&amp;"|56",Positions!$A$2:$A$6912,0)),"-")</f>
        <v>55</v>
      </c>
      <c r="F362" s="24" t="str">
        <f aca="false">IFERROR(INDEX(Positions!$E$2:$E$6912,MATCH($A362&amp;"|19",Positions!$A$2:$A$6912,0)),"-")</f>
        <v>G</v>
      </c>
      <c r="G362" s="24" t="str">
        <f aca="false">IFERROR(INDEX(Positions!$E$2:$E$6912,MATCH($A362&amp;"|56",Positions!$A$2:$A$6912,0)),"-")</f>
        <v>C</v>
      </c>
      <c r="H362" s="25" t="str">
        <f aca="false">F362&amp;"-"&amp;G362</f>
        <v>G-C</v>
      </c>
      <c r="I362" s="24" t="n">
        <f aca="false">(F362="G")+(G362="G")</f>
        <v>1</v>
      </c>
      <c r="J362" s="24" t="n">
        <f aca="false">(F362="C")+(G362="C")</f>
        <v>1</v>
      </c>
      <c r="K362" s="25" t="n">
        <f aca="false">I362+J362</f>
        <v>2</v>
      </c>
    </row>
    <row r="363" customFormat="false" ht="15" hidden="false" customHeight="false" outlineLevel="0" collapsed="false">
      <c r="A363" s="24" t="s">
        <v>49</v>
      </c>
      <c r="B363" s="24" t="s">
        <v>530</v>
      </c>
      <c r="C363" s="24" t="s">
        <v>535</v>
      </c>
      <c r="D363" s="24" t="n">
        <f aca="false">IFERROR(INDEX(Positions!$D$2:$D$6912,MATCH($A363&amp;"|26",Positions!$A$2:$A$6912,0)),"-")</f>
        <v>25</v>
      </c>
      <c r="E363" s="24" t="n">
        <f aca="false">IFERROR(INDEX(Positions!$D$2:$D$6912,MATCH($A363&amp;"|44",Positions!$A$2:$A$6912,0)),"-")</f>
        <v>43</v>
      </c>
      <c r="F363" s="24" t="str">
        <f aca="false">IFERROR(INDEX(Positions!$E$2:$E$6912,MATCH($A363&amp;"|26",Positions!$A$2:$A$6912,0)),"-")</f>
        <v>G</v>
      </c>
      <c r="G363" s="24" t="str">
        <f aca="false">IFERROR(INDEX(Positions!$E$2:$E$6912,MATCH($A363&amp;"|44",Positions!$A$2:$A$6912,0)),"-")</f>
        <v>A</v>
      </c>
      <c r="H363" s="25" t="str">
        <f aca="false">F363&amp;"-"&amp;G363</f>
        <v>G-A</v>
      </c>
      <c r="I363" s="24" t="n">
        <f aca="false">(F363="G")+(G363="G")</f>
        <v>1</v>
      </c>
      <c r="J363" s="24" t="n">
        <f aca="false">(F363="C")+(G363="C")</f>
        <v>0</v>
      </c>
      <c r="K363" s="25" t="n">
        <f aca="false">I363+J363</f>
        <v>1</v>
      </c>
    </row>
    <row r="364" customFormat="false" ht="15" hidden="false" customHeight="false" outlineLevel="0" collapsed="false">
      <c r="A364" s="24" t="s">
        <v>49</v>
      </c>
      <c r="B364" s="24" t="s">
        <v>530</v>
      </c>
      <c r="C364" s="24" t="s">
        <v>536</v>
      </c>
      <c r="D364" s="24" t="n">
        <f aca="false">IFERROR(INDEX(Positions!$D$2:$D$6912,MATCH($A364&amp;"|32",Positions!$A$2:$A$6912,0)),"-")</f>
        <v>31</v>
      </c>
      <c r="E364" s="24" t="n">
        <f aca="false">IFERROR(INDEX(Positions!$D$2:$D$6912,MATCH($A364&amp;"|38",Positions!$A$2:$A$6912,0)),"-")</f>
        <v>37</v>
      </c>
      <c r="F364" s="24" t="str">
        <f aca="false">IFERROR(INDEX(Positions!$E$2:$E$6912,MATCH($A364&amp;"|32",Positions!$A$2:$A$6912,0)),"-")</f>
        <v>C</v>
      </c>
      <c r="G364" s="24" t="str">
        <f aca="false">IFERROR(INDEX(Positions!$E$2:$E$6912,MATCH($A364&amp;"|38",Positions!$A$2:$A$6912,0)),"-")</f>
        <v>A</v>
      </c>
      <c r="H364" s="25" t="str">
        <f aca="false">F364&amp;"-"&amp;G364</f>
        <v>C-A</v>
      </c>
      <c r="I364" s="24" t="n">
        <f aca="false">(F364="G")+(G364="G")</f>
        <v>0</v>
      </c>
      <c r="J364" s="24" t="n">
        <f aca="false">(F364="C")+(G364="C")</f>
        <v>1</v>
      </c>
      <c r="K364" s="25" t="n">
        <f aca="false">I364+J364</f>
        <v>1</v>
      </c>
    </row>
    <row r="365" customFormat="false" ht="15" hidden="false" customHeight="false" outlineLevel="0" collapsed="false">
      <c r="A365" s="24" t="s">
        <v>49</v>
      </c>
      <c r="B365" s="24" t="s">
        <v>530</v>
      </c>
      <c r="C365" s="24" t="s">
        <v>537</v>
      </c>
      <c r="D365" s="24" t="n">
        <f aca="false">IFERROR(INDEX(Positions!$D$2:$D$6912,MATCH($A365&amp;"|54",Positions!$A$2:$A$6912,0)),"-")</f>
        <v>53</v>
      </c>
      <c r="E365" s="24" t="n">
        <f aca="false">IFERROR(INDEX(Positions!$D$2:$D$6912,MATCH($A365&amp;"|58",Positions!$A$2:$A$6912,0)),"-")</f>
        <v>57</v>
      </c>
      <c r="F365" s="24" t="str">
        <f aca="false">IFERROR(INDEX(Positions!$E$2:$E$6912,MATCH($A365&amp;"|54",Positions!$A$2:$A$6912,0)),"-")</f>
        <v>A</v>
      </c>
      <c r="G365" s="24" t="str">
        <f aca="false">IFERROR(INDEX(Positions!$E$2:$E$6912,MATCH($A365&amp;"|58",Positions!$A$2:$A$6912,0)),"-")</f>
        <v>A</v>
      </c>
      <c r="H365" s="25" t="str">
        <f aca="false">F365&amp;"-"&amp;G365</f>
        <v>A-A</v>
      </c>
      <c r="I365" s="24" t="n">
        <f aca="false">(F365="G")+(G365="G")</f>
        <v>0</v>
      </c>
      <c r="J365" s="24" t="n">
        <f aca="false">(F365="C")+(G365="C")</f>
        <v>0</v>
      </c>
      <c r="K365" s="25" t="n">
        <f aca="false">I365+J365</f>
        <v>0</v>
      </c>
    </row>
    <row r="366" customFormat="false" ht="15" hidden="false" customHeight="false" outlineLevel="0" collapsed="false">
      <c r="A366" s="4" t="s">
        <v>50</v>
      </c>
      <c r="B366" s="4" t="s">
        <v>412</v>
      </c>
      <c r="C366" s="4" t="s">
        <v>517</v>
      </c>
      <c r="D366" s="4" t="n">
        <f aca="false">IFERROR(INDEX(Positions!$D$2:$D$6912,MATCH($A366&amp;"|1",Positions!$A$2:$A$6912,0)),"-")</f>
        <v>1</v>
      </c>
      <c r="E366" s="4" t="n">
        <f aca="false">IFERROR(INDEX(Positions!$D$2:$D$6912,MATCH($A366&amp;"|72",Positions!$A$2:$A$6912,0)),"-")</f>
        <v>72</v>
      </c>
      <c r="F366" s="4" t="str">
        <f aca="false">IFERROR(INDEX(Positions!$E$2:$E$6912,MATCH($A366&amp;"|1",Positions!$A$2:$A$6912,0)),"-")</f>
        <v>G</v>
      </c>
      <c r="G366" s="4" t="str">
        <f aca="false">IFERROR(INDEX(Positions!$E$2:$E$6912,MATCH($A366&amp;"|72",Positions!$A$2:$A$6912,0)),"-")</f>
        <v>C</v>
      </c>
      <c r="H366" s="3" t="str">
        <f aca="false">F366&amp;"-"&amp;G366</f>
        <v>G-C</v>
      </c>
      <c r="I366" s="4" t="n">
        <f aca="false">(F366="G")+(G366="G")</f>
        <v>1</v>
      </c>
      <c r="J366" s="4" t="n">
        <f aca="false">(F366="C")+(G366="C")</f>
        <v>1</v>
      </c>
      <c r="K366" s="3" t="n">
        <f aca="false">I366+J366</f>
        <v>2</v>
      </c>
    </row>
    <row r="367" customFormat="false" ht="15" hidden="false" customHeight="false" outlineLevel="0" collapsed="false">
      <c r="A367" s="4" t="s">
        <v>50</v>
      </c>
      <c r="B367" s="4" t="s">
        <v>412</v>
      </c>
      <c r="C367" s="4" t="s">
        <v>518</v>
      </c>
      <c r="D367" s="4" t="n">
        <f aca="false">IFERROR(INDEX(Positions!$D$2:$D$6912,MATCH($A367&amp;"|2",Positions!$A$2:$A$6912,0)),"-")</f>
        <v>2</v>
      </c>
      <c r="E367" s="4" t="n">
        <f aca="false">IFERROR(INDEX(Positions!$D$2:$D$6912,MATCH($A367&amp;"|71",Positions!$A$2:$A$6912,0)),"-")</f>
        <v>71</v>
      </c>
      <c r="F367" s="4" t="str">
        <f aca="false">IFERROR(INDEX(Positions!$E$2:$E$6912,MATCH($A367&amp;"|2",Positions!$A$2:$A$6912,0)),"-")</f>
        <v>C</v>
      </c>
      <c r="G367" s="4" t="str">
        <f aca="false">IFERROR(INDEX(Positions!$E$2:$E$6912,MATCH($A367&amp;"|71",Positions!$A$2:$A$6912,0)),"-")</f>
        <v>G</v>
      </c>
      <c r="H367" s="3" t="str">
        <f aca="false">F367&amp;"-"&amp;G367</f>
        <v>C-G</v>
      </c>
      <c r="I367" s="4" t="n">
        <f aca="false">(F367="G")+(G367="G")</f>
        <v>1</v>
      </c>
      <c r="J367" s="4" t="n">
        <f aca="false">(F367="C")+(G367="C")</f>
        <v>1</v>
      </c>
      <c r="K367" s="3" t="n">
        <f aca="false">I367+J367</f>
        <v>2</v>
      </c>
    </row>
    <row r="368" customFormat="false" ht="15" hidden="false" customHeight="false" outlineLevel="0" collapsed="false">
      <c r="A368" s="4" t="s">
        <v>50</v>
      </c>
      <c r="B368" s="4" t="s">
        <v>412</v>
      </c>
      <c r="C368" s="4" t="s">
        <v>386</v>
      </c>
      <c r="D368" s="4" t="n">
        <f aca="false">IFERROR(INDEX(Positions!$D$2:$D$6912,MATCH($A368&amp;"|3",Positions!$A$2:$A$6912,0)),"-")</f>
        <v>3</v>
      </c>
      <c r="E368" s="4" t="n">
        <f aca="false">IFERROR(INDEX(Positions!$D$2:$D$6912,MATCH($A368&amp;"|70",Positions!$A$2:$A$6912,0)),"-")</f>
        <v>70</v>
      </c>
      <c r="F368" s="4" t="str">
        <f aca="false">IFERROR(INDEX(Positions!$E$2:$E$6912,MATCH($A368&amp;"|3",Positions!$A$2:$A$6912,0)),"-")</f>
        <v>C</v>
      </c>
      <c r="G368" s="4" t="str">
        <f aca="false">IFERROR(INDEX(Positions!$E$2:$E$6912,MATCH($A368&amp;"|70",Positions!$A$2:$A$6912,0)),"-")</f>
        <v>G</v>
      </c>
      <c r="H368" s="3" t="str">
        <f aca="false">F368&amp;"-"&amp;G368</f>
        <v>C-G</v>
      </c>
      <c r="I368" s="4" t="n">
        <f aca="false">(F368="G")+(G368="G")</f>
        <v>1</v>
      </c>
      <c r="J368" s="4" t="n">
        <f aca="false">(F368="C")+(G368="C")</f>
        <v>1</v>
      </c>
      <c r="K368" s="3" t="n">
        <f aca="false">I368+J368</f>
        <v>2</v>
      </c>
    </row>
    <row r="369" customFormat="false" ht="15" hidden="false" customHeight="false" outlineLevel="0" collapsed="false">
      <c r="A369" s="4" t="s">
        <v>50</v>
      </c>
      <c r="B369" s="4" t="s">
        <v>412</v>
      </c>
      <c r="C369" s="4" t="s">
        <v>519</v>
      </c>
      <c r="D369" s="4" t="n">
        <f aca="false">IFERROR(INDEX(Positions!$D$2:$D$6912,MATCH($A369&amp;"|4",Positions!$A$2:$A$6912,0)),"-")</f>
        <v>4</v>
      </c>
      <c r="E369" s="4" t="n">
        <f aca="false">IFERROR(INDEX(Positions!$D$2:$D$6912,MATCH($A369&amp;"|69",Positions!$A$2:$A$6912,0)),"-")</f>
        <v>69</v>
      </c>
      <c r="F369" s="4" t="str">
        <f aca="false">IFERROR(INDEX(Positions!$E$2:$E$6912,MATCH($A369&amp;"|4",Positions!$A$2:$A$6912,0)),"-")</f>
        <v>C</v>
      </c>
      <c r="G369" s="4" t="str">
        <f aca="false">IFERROR(INDEX(Positions!$E$2:$E$6912,MATCH($A369&amp;"|69",Positions!$A$2:$A$6912,0)),"-")</f>
        <v>G</v>
      </c>
      <c r="H369" s="3" t="str">
        <f aca="false">F369&amp;"-"&amp;G369</f>
        <v>C-G</v>
      </c>
      <c r="I369" s="4" t="n">
        <f aca="false">(F369="G")+(G369="G")</f>
        <v>1</v>
      </c>
      <c r="J369" s="4" t="n">
        <f aca="false">(F369="C")+(G369="C")</f>
        <v>1</v>
      </c>
      <c r="K369" s="3" t="n">
        <f aca="false">I369+J369</f>
        <v>2</v>
      </c>
    </row>
    <row r="370" customFormat="false" ht="15" hidden="false" customHeight="false" outlineLevel="0" collapsed="false">
      <c r="A370" s="4" t="s">
        <v>50</v>
      </c>
      <c r="B370" s="4" t="s">
        <v>412</v>
      </c>
      <c r="C370" s="4" t="s">
        <v>283</v>
      </c>
      <c r="D370" s="4" t="n">
        <f aca="false">IFERROR(INDEX(Positions!$D$2:$D$6912,MATCH($A370&amp;"|5",Positions!$A$2:$A$6912,0)),"-")</f>
        <v>5</v>
      </c>
      <c r="E370" s="4" t="n">
        <f aca="false">IFERROR(INDEX(Positions!$D$2:$D$6912,MATCH($A370&amp;"|68",Positions!$A$2:$A$6912,0)),"-")</f>
        <v>68</v>
      </c>
      <c r="F370" s="4" t="str">
        <f aca="false">IFERROR(INDEX(Positions!$E$2:$E$6912,MATCH($A370&amp;"|5",Positions!$A$2:$A$6912,0)),"-")</f>
        <v>G</v>
      </c>
      <c r="G370" s="4" t="str">
        <f aca="false">IFERROR(INDEX(Positions!$E$2:$E$6912,MATCH($A370&amp;"|68",Positions!$A$2:$A$6912,0)),"-")</f>
        <v>C</v>
      </c>
      <c r="H370" s="3" t="str">
        <f aca="false">F370&amp;"-"&amp;G370</f>
        <v>G-C</v>
      </c>
      <c r="I370" s="4" t="n">
        <f aca="false">(F370="G")+(G370="G")</f>
        <v>1</v>
      </c>
      <c r="J370" s="4" t="n">
        <f aca="false">(F370="C")+(G370="C")</f>
        <v>1</v>
      </c>
      <c r="K370" s="3" t="n">
        <f aca="false">I370+J370</f>
        <v>2</v>
      </c>
    </row>
    <row r="371" customFormat="false" ht="15" hidden="false" customHeight="false" outlineLevel="0" collapsed="false">
      <c r="A371" s="4" t="s">
        <v>50</v>
      </c>
      <c r="B371" s="4" t="s">
        <v>412</v>
      </c>
      <c r="C371" s="4" t="s">
        <v>520</v>
      </c>
      <c r="D371" s="4" t="n">
        <f aca="false">IFERROR(INDEX(Positions!$D$2:$D$6912,MATCH($A371&amp;"|6",Positions!$A$2:$A$6912,0)),"-")</f>
        <v>6</v>
      </c>
      <c r="E371" s="4" t="n">
        <f aca="false">IFERROR(INDEX(Positions!$D$2:$D$6912,MATCH($A371&amp;"|67",Positions!$A$2:$A$6912,0)),"-")</f>
        <v>67</v>
      </c>
      <c r="F371" s="4" t="str">
        <f aca="false">IFERROR(INDEX(Positions!$E$2:$E$6912,MATCH($A371&amp;"|6",Positions!$A$2:$A$6912,0)),"-")</f>
        <v>G</v>
      </c>
      <c r="G371" s="4" t="str">
        <f aca="false">IFERROR(INDEX(Positions!$E$2:$E$6912,MATCH($A371&amp;"|67",Positions!$A$2:$A$6912,0)),"-")</f>
        <v>U</v>
      </c>
      <c r="H371" s="3" t="str">
        <f aca="false">F371&amp;"-"&amp;G371</f>
        <v>G-U</v>
      </c>
      <c r="I371" s="4" t="n">
        <f aca="false">(F371="G")+(G371="G")</f>
        <v>1</v>
      </c>
      <c r="J371" s="4" t="n">
        <f aca="false">(F371="C")+(G371="C")</f>
        <v>0</v>
      </c>
      <c r="K371" s="3" t="n">
        <f aca="false">I371+J371</f>
        <v>1</v>
      </c>
    </row>
    <row r="372" customFormat="false" ht="15" hidden="false" customHeight="false" outlineLevel="0" collapsed="false">
      <c r="A372" s="4" t="s">
        <v>50</v>
      </c>
      <c r="B372" s="4" t="s">
        <v>412</v>
      </c>
      <c r="C372" s="4" t="s">
        <v>521</v>
      </c>
      <c r="D372" s="4" t="n">
        <f aca="false">IFERROR(INDEX(Positions!$D$2:$D$6912,MATCH($A372&amp;"|7",Positions!$A$2:$A$6912,0)),"-")</f>
        <v>7</v>
      </c>
      <c r="E372" s="4" t="n">
        <f aca="false">IFERROR(INDEX(Positions!$D$2:$D$6912,MATCH($A372&amp;"|66",Positions!$A$2:$A$6912,0)),"-")</f>
        <v>66</v>
      </c>
      <c r="F372" s="4" t="str">
        <f aca="false">IFERROR(INDEX(Positions!$E$2:$E$6912,MATCH($A372&amp;"|7",Positions!$A$2:$A$6912,0)),"-")</f>
        <v>A</v>
      </c>
      <c r="G372" s="4" t="str">
        <f aca="false">IFERROR(INDEX(Positions!$E$2:$E$6912,MATCH($A372&amp;"|66",Positions!$A$2:$A$6912,0)),"-")</f>
        <v>U</v>
      </c>
      <c r="H372" s="3" t="str">
        <f aca="false">F372&amp;"-"&amp;G372</f>
        <v>A-U</v>
      </c>
      <c r="I372" s="4" t="n">
        <f aca="false">(F372="G")+(G372="G")</f>
        <v>0</v>
      </c>
      <c r="J372" s="4" t="n">
        <f aca="false">(F372="C")+(G372="C")</f>
        <v>0</v>
      </c>
      <c r="K372" s="3" t="n">
        <f aca="false">I372+J372</f>
        <v>0</v>
      </c>
    </row>
    <row r="373" customFormat="false" ht="15" hidden="false" customHeight="false" outlineLevel="0" collapsed="false">
      <c r="A373" s="4" t="s">
        <v>50</v>
      </c>
      <c r="B373" s="4" t="s">
        <v>425</v>
      </c>
      <c r="C373" s="4" t="s">
        <v>522</v>
      </c>
      <c r="D373" s="4" t="n">
        <f aca="false">IFERROR(INDEX(Positions!$D$2:$D$6912,MATCH($A373&amp;"|10",Positions!$A$2:$A$6912,0)),"-")</f>
        <v>10</v>
      </c>
      <c r="E373" s="4" t="n">
        <f aca="false">IFERROR(INDEX(Positions!$D$2:$D$6912,MATCH($A373&amp;"|25",Positions!$A$2:$A$6912,0)),"-")</f>
        <v>25</v>
      </c>
      <c r="F373" s="4" t="str">
        <f aca="false">IFERROR(INDEX(Positions!$E$2:$E$6912,MATCH($A373&amp;"|10",Positions!$A$2:$A$6912,0)),"-")</f>
        <v>G</v>
      </c>
      <c r="G373" s="4" t="str">
        <f aca="false">IFERROR(INDEX(Positions!$E$2:$E$6912,MATCH($A373&amp;"|25",Positions!$A$2:$A$6912,0)),"-")</f>
        <v>C</v>
      </c>
      <c r="H373" s="3" t="str">
        <f aca="false">F373&amp;"-"&amp;G373</f>
        <v>G-C</v>
      </c>
      <c r="I373" s="4" t="n">
        <f aca="false">(F373="G")+(G373="G")</f>
        <v>1</v>
      </c>
      <c r="J373" s="4" t="n">
        <f aca="false">(F373="C")+(G373="C")</f>
        <v>1</v>
      </c>
      <c r="K373" s="3" t="n">
        <f aca="false">I373+J373</f>
        <v>2</v>
      </c>
    </row>
    <row r="374" customFormat="false" ht="15" hidden="false" customHeight="false" outlineLevel="0" collapsed="false">
      <c r="A374" s="4" t="s">
        <v>50</v>
      </c>
      <c r="B374" s="4" t="s">
        <v>425</v>
      </c>
      <c r="C374" s="4" t="s">
        <v>523</v>
      </c>
      <c r="D374" s="4" t="n">
        <f aca="false">IFERROR(INDEX(Positions!$D$2:$D$6912,MATCH($A374&amp;"|11",Positions!$A$2:$A$6912,0)),"-")</f>
        <v>11</v>
      </c>
      <c r="E374" s="4" t="n">
        <f aca="false">IFERROR(INDEX(Positions!$D$2:$D$6912,MATCH($A374&amp;"|24",Positions!$A$2:$A$6912,0)),"-")</f>
        <v>24</v>
      </c>
      <c r="F374" s="4" t="str">
        <f aca="false">IFERROR(INDEX(Positions!$E$2:$E$6912,MATCH($A374&amp;"|11",Positions!$A$2:$A$6912,0)),"-")</f>
        <v>C</v>
      </c>
      <c r="G374" s="4" t="str">
        <f aca="false">IFERROR(INDEX(Positions!$E$2:$E$6912,MATCH($A374&amp;"|24",Positions!$A$2:$A$6912,0)),"-")</f>
        <v>G</v>
      </c>
      <c r="H374" s="3" t="str">
        <f aca="false">F374&amp;"-"&amp;G374</f>
        <v>C-G</v>
      </c>
      <c r="I374" s="4" t="n">
        <f aca="false">(F374="G")+(G374="G")</f>
        <v>1</v>
      </c>
      <c r="J374" s="4" t="n">
        <f aca="false">(F374="C")+(G374="C")</f>
        <v>1</v>
      </c>
      <c r="K374" s="3" t="n">
        <f aca="false">I374+J374</f>
        <v>2</v>
      </c>
    </row>
    <row r="375" customFormat="false" ht="15" hidden="false" customHeight="false" outlineLevel="0" collapsed="false">
      <c r="A375" s="4" t="s">
        <v>50</v>
      </c>
      <c r="B375" s="4" t="s">
        <v>425</v>
      </c>
      <c r="C375" s="4" t="s">
        <v>250</v>
      </c>
      <c r="D375" s="4" t="n">
        <f aca="false">IFERROR(INDEX(Positions!$D$2:$D$6912,MATCH($A375&amp;"|12",Positions!$A$2:$A$6912,0)),"-")</f>
        <v>12</v>
      </c>
      <c r="E375" s="4" t="n">
        <f aca="false">IFERROR(INDEX(Positions!$D$2:$D$6912,MATCH($A375&amp;"|23",Positions!$A$2:$A$6912,0)),"-")</f>
        <v>23</v>
      </c>
      <c r="F375" s="4" t="str">
        <f aca="false">IFERROR(INDEX(Positions!$E$2:$E$6912,MATCH($A375&amp;"|12",Positions!$A$2:$A$6912,0)),"-")</f>
        <v>U</v>
      </c>
      <c r="G375" s="4" t="str">
        <f aca="false">IFERROR(INDEX(Positions!$E$2:$E$6912,MATCH($A375&amp;"|23",Positions!$A$2:$A$6912,0)),"-")</f>
        <v>A</v>
      </c>
      <c r="H375" s="3" t="str">
        <f aca="false">F375&amp;"-"&amp;G375</f>
        <v>U-A</v>
      </c>
      <c r="I375" s="4" t="n">
        <f aca="false">(F375="G")+(G375="G")</f>
        <v>0</v>
      </c>
      <c r="J375" s="4" t="n">
        <f aca="false">(F375="C")+(G375="C")</f>
        <v>0</v>
      </c>
      <c r="K375" s="3" t="n">
        <f aca="false">I375+J375</f>
        <v>0</v>
      </c>
    </row>
    <row r="376" customFormat="false" ht="15" hidden="false" customHeight="false" outlineLevel="0" collapsed="false">
      <c r="A376" s="4" t="s">
        <v>50</v>
      </c>
      <c r="B376" s="4" t="s">
        <v>425</v>
      </c>
      <c r="C376" s="4" t="s">
        <v>154</v>
      </c>
      <c r="D376" s="4" t="n">
        <f aca="false">IFERROR(INDEX(Positions!$D$2:$D$6912,MATCH($A376&amp;"|13",Positions!$A$2:$A$6912,0)),"-")</f>
        <v>13</v>
      </c>
      <c r="E376" s="4" t="n">
        <f aca="false">IFERROR(INDEX(Positions!$D$2:$D$6912,MATCH($A376&amp;"|22",Positions!$A$2:$A$6912,0)),"-")</f>
        <v>22</v>
      </c>
      <c r="F376" s="4" t="str">
        <f aca="false">IFERROR(INDEX(Positions!$E$2:$E$6912,MATCH($A376&amp;"|13",Positions!$A$2:$A$6912,0)),"-")</f>
        <v>C</v>
      </c>
      <c r="G376" s="4" t="str">
        <f aca="false">IFERROR(INDEX(Positions!$E$2:$E$6912,MATCH($A376&amp;"|22",Positions!$A$2:$A$6912,0)),"-")</f>
        <v>G</v>
      </c>
      <c r="H376" s="3" t="str">
        <f aca="false">F376&amp;"-"&amp;G376</f>
        <v>C-G</v>
      </c>
      <c r="I376" s="4" t="n">
        <f aca="false">(F376="G")+(G376="G")</f>
        <v>1</v>
      </c>
      <c r="J376" s="4" t="n">
        <f aca="false">(F376="C")+(G376="C")</f>
        <v>1</v>
      </c>
      <c r="K376" s="3" t="n">
        <f aca="false">I376+J376</f>
        <v>2</v>
      </c>
    </row>
    <row r="377" customFormat="false" ht="15" hidden="false" customHeight="false" outlineLevel="0" collapsed="false">
      <c r="A377" s="4" t="s">
        <v>50</v>
      </c>
      <c r="B377" s="4" t="s">
        <v>446</v>
      </c>
      <c r="C377" s="4" t="s">
        <v>524</v>
      </c>
      <c r="D377" s="4" t="n">
        <f aca="false">IFERROR(INDEX(Positions!$D$2:$D$6912,MATCH($A377&amp;"|27",Positions!$A$2:$A$6912,0)),"-")</f>
        <v>27</v>
      </c>
      <c r="E377" s="4" t="n">
        <f aca="false">IFERROR(INDEX(Positions!$D$2:$D$6912,MATCH($A377&amp;"|43",Positions!$A$2:$A$6912,0)),"-")</f>
        <v>43</v>
      </c>
      <c r="F377" s="4" t="str">
        <f aca="false">IFERROR(INDEX(Positions!$E$2:$E$6912,MATCH($A377&amp;"|27",Positions!$A$2:$A$6912,0)),"-")</f>
        <v>U</v>
      </c>
      <c r="G377" s="4" t="str">
        <f aca="false">IFERROR(INDEX(Positions!$E$2:$E$6912,MATCH($A377&amp;"|43",Positions!$A$2:$A$6912,0)),"-")</f>
        <v>A</v>
      </c>
      <c r="H377" s="3" t="str">
        <f aca="false">F377&amp;"-"&amp;G377</f>
        <v>U-A</v>
      </c>
      <c r="I377" s="4" t="n">
        <f aca="false">(F377="G")+(G377="G")</f>
        <v>0</v>
      </c>
      <c r="J377" s="4" t="n">
        <f aca="false">(F377="C")+(G377="C")</f>
        <v>0</v>
      </c>
      <c r="K377" s="3" t="n">
        <f aca="false">I377+J377</f>
        <v>0</v>
      </c>
    </row>
    <row r="378" customFormat="false" ht="15" hidden="false" customHeight="false" outlineLevel="0" collapsed="false">
      <c r="A378" s="4" t="s">
        <v>50</v>
      </c>
      <c r="B378" s="4" t="s">
        <v>446</v>
      </c>
      <c r="C378" s="4" t="s">
        <v>525</v>
      </c>
      <c r="D378" s="4" t="n">
        <f aca="false">IFERROR(INDEX(Positions!$D$2:$D$6912,MATCH($A378&amp;"|28",Positions!$A$2:$A$6912,0)),"-")</f>
        <v>28</v>
      </c>
      <c r="E378" s="4" t="n">
        <f aca="false">IFERROR(INDEX(Positions!$D$2:$D$6912,MATCH($A378&amp;"|42",Positions!$A$2:$A$6912,0)),"-")</f>
        <v>42</v>
      </c>
      <c r="F378" s="4" t="str">
        <f aca="false">IFERROR(INDEX(Positions!$E$2:$E$6912,MATCH($A378&amp;"|28",Positions!$A$2:$A$6912,0)),"-")</f>
        <v>U</v>
      </c>
      <c r="G378" s="4" t="str">
        <f aca="false">IFERROR(INDEX(Positions!$E$2:$E$6912,MATCH($A378&amp;"|42",Positions!$A$2:$A$6912,0)),"-")</f>
        <v>A</v>
      </c>
      <c r="H378" s="3" t="str">
        <f aca="false">F378&amp;"-"&amp;G378</f>
        <v>U-A</v>
      </c>
      <c r="I378" s="4" t="n">
        <f aca="false">(F378="G")+(G378="G")</f>
        <v>0</v>
      </c>
      <c r="J378" s="4" t="n">
        <f aca="false">(F378="C")+(G378="C")</f>
        <v>0</v>
      </c>
      <c r="K378" s="3" t="n">
        <f aca="false">I378+J378</f>
        <v>0</v>
      </c>
    </row>
    <row r="379" customFormat="false" ht="15" hidden="false" customHeight="false" outlineLevel="0" collapsed="false">
      <c r="A379" s="4" t="s">
        <v>50</v>
      </c>
      <c r="B379" s="4" t="s">
        <v>446</v>
      </c>
      <c r="C379" s="4" t="s">
        <v>256</v>
      </c>
      <c r="D379" s="4" t="n">
        <f aca="false">IFERROR(INDEX(Positions!$D$2:$D$6912,MATCH($A379&amp;"|29",Positions!$A$2:$A$6912,0)),"-")</f>
        <v>29</v>
      </c>
      <c r="E379" s="4" t="n">
        <f aca="false">IFERROR(INDEX(Positions!$D$2:$D$6912,MATCH($A379&amp;"|41",Positions!$A$2:$A$6912,0)),"-")</f>
        <v>41</v>
      </c>
      <c r="F379" s="4" t="str">
        <f aca="false">IFERROR(INDEX(Positions!$E$2:$E$6912,MATCH($A379&amp;"|29",Positions!$A$2:$A$6912,0)),"-")</f>
        <v>G</v>
      </c>
      <c r="G379" s="4" t="str">
        <f aca="false">IFERROR(INDEX(Positions!$E$2:$E$6912,MATCH($A379&amp;"|41",Positions!$A$2:$A$6912,0)),"-")</f>
        <v>C</v>
      </c>
      <c r="H379" s="3" t="str">
        <f aca="false">F379&amp;"-"&amp;G379</f>
        <v>G-C</v>
      </c>
      <c r="I379" s="4" t="n">
        <f aca="false">(F379="G")+(G379="G")</f>
        <v>1</v>
      </c>
      <c r="J379" s="4" t="n">
        <f aca="false">(F379="C")+(G379="C")</f>
        <v>1</v>
      </c>
      <c r="K379" s="3" t="n">
        <f aca="false">I379+J379</f>
        <v>2</v>
      </c>
    </row>
    <row r="380" customFormat="false" ht="15" hidden="false" customHeight="false" outlineLevel="0" collapsed="false">
      <c r="A380" s="4" t="s">
        <v>50</v>
      </c>
      <c r="B380" s="4" t="s">
        <v>446</v>
      </c>
      <c r="C380" s="4" t="s">
        <v>526</v>
      </c>
      <c r="D380" s="4" t="n">
        <f aca="false">IFERROR(INDEX(Positions!$D$2:$D$6912,MATCH($A380&amp;"|30",Positions!$A$2:$A$6912,0)),"-")</f>
        <v>30</v>
      </c>
      <c r="E380" s="4" t="n">
        <f aca="false">IFERROR(INDEX(Positions!$D$2:$D$6912,MATCH($A380&amp;"|40",Positions!$A$2:$A$6912,0)),"-")</f>
        <v>40</v>
      </c>
      <c r="F380" s="4" t="str">
        <f aca="false">IFERROR(INDEX(Positions!$E$2:$E$6912,MATCH($A380&amp;"|30",Positions!$A$2:$A$6912,0)),"-")</f>
        <v>G</v>
      </c>
      <c r="G380" s="4" t="str">
        <f aca="false">IFERROR(INDEX(Positions!$E$2:$E$6912,MATCH($A380&amp;"|40",Positions!$A$2:$A$6912,0)),"-")</f>
        <v>C</v>
      </c>
      <c r="H380" s="3" t="str">
        <f aca="false">F380&amp;"-"&amp;G380</f>
        <v>G-C</v>
      </c>
      <c r="I380" s="4" t="n">
        <f aca="false">(F380="G")+(G380="G")</f>
        <v>1</v>
      </c>
      <c r="J380" s="4" t="n">
        <f aca="false">(F380="C")+(G380="C")</f>
        <v>1</v>
      </c>
      <c r="K380" s="3" t="n">
        <f aca="false">I380+J380</f>
        <v>2</v>
      </c>
    </row>
    <row r="381" customFormat="false" ht="15" hidden="false" customHeight="false" outlineLevel="0" collapsed="false">
      <c r="A381" s="4" t="s">
        <v>50</v>
      </c>
      <c r="B381" s="4" t="s">
        <v>446</v>
      </c>
      <c r="C381" s="4" t="s">
        <v>273</v>
      </c>
      <c r="D381" s="4" t="n">
        <f aca="false">IFERROR(INDEX(Positions!$D$2:$D$6912,MATCH($A381&amp;"|31",Positions!$A$2:$A$6912,0)),"-")</f>
        <v>31</v>
      </c>
      <c r="E381" s="4" t="n">
        <f aca="false">IFERROR(INDEX(Positions!$D$2:$D$6912,MATCH($A381&amp;"|39",Positions!$A$2:$A$6912,0)),"-")</f>
        <v>39</v>
      </c>
      <c r="F381" s="4" t="str">
        <f aca="false">IFERROR(INDEX(Positions!$E$2:$E$6912,MATCH($A381&amp;"|31",Positions!$A$2:$A$6912,0)),"-")</f>
        <v>A</v>
      </c>
      <c r="G381" s="4" t="str">
        <f aca="false">IFERROR(INDEX(Positions!$E$2:$E$6912,MATCH($A381&amp;"|39",Positions!$A$2:$A$6912,0)),"-")</f>
        <v>U</v>
      </c>
      <c r="H381" s="3" t="str">
        <f aca="false">F381&amp;"-"&amp;G381</f>
        <v>A-U</v>
      </c>
      <c r="I381" s="4" t="n">
        <f aca="false">(F381="G")+(G381="G")</f>
        <v>0</v>
      </c>
      <c r="J381" s="4" t="n">
        <f aca="false">(F381="C")+(G381="C")</f>
        <v>0</v>
      </c>
      <c r="K381" s="3" t="n">
        <f aca="false">I381+J381</f>
        <v>0</v>
      </c>
    </row>
    <row r="382" customFormat="false" ht="15" hidden="false" customHeight="false" outlineLevel="0" collapsed="false">
      <c r="A382" s="4" t="s">
        <v>50</v>
      </c>
      <c r="B382" s="4" t="s">
        <v>471</v>
      </c>
      <c r="C382" s="4" t="s">
        <v>367</v>
      </c>
      <c r="D382" s="4" t="n">
        <f aca="false">IFERROR(INDEX(Positions!$D$2:$D$6912,MATCH($A382&amp;"|49",Positions!$A$2:$A$6912,0)),"-")</f>
        <v>49</v>
      </c>
      <c r="E382" s="4" t="n">
        <f aca="false">IFERROR(INDEX(Positions!$D$2:$D$6912,MATCH($A382&amp;"|65",Positions!$A$2:$A$6912,0)),"-")</f>
        <v>65</v>
      </c>
      <c r="F382" s="4" t="str">
        <f aca="false">IFERROR(INDEX(Positions!$E$2:$E$6912,MATCH($A382&amp;"|49",Positions!$A$2:$A$6912,0)),"-")</f>
        <v>C</v>
      </c>
      <c r="G382" s="4" t="str">
        <f aca="false">IFERROR(INDEX(Positions!$E$2:$E$6912,MATCH($A382&amp;"|65",Positions!$A$2:$A$6912,0)),"-")</f>
        <v>G</v>
      </c>
      <c r="H382" s="3" t="str">
        <f aca="false">F382&amp;"-"&amp;G382</f>
        <v>C-G</v>
      </c>
      <c r="I382" s="4" t="n">
        <f aca="false">(F382="G")+(G382="G")</f>
        <v>1</v>
      </c>
      <c r="J382" s="4" t="n">
        <f aca="false">(F382="C")+(G382="C")</f>
        <v>1</v>
      </c>
      <c r="K382" s="3" t="n">
        <f aca="false">I382+J382</f>
        <v>2</v>
      </c>
    </row>
    <row r="383" customFormat="false" ht="15" hidden="false" customHeight="false" outlineLevel="0" collapsed="false">
      <c r="A383" s="4" t="s">
        <v>50</v>
      </c>
      <c r="B383" s="4" t="s">
        <v>471</v>
      </c>
      <c r="C383" s="4" t="s">
        <v>233</v>
      </c>
      <c r="D383" s="4" t="n">
        <f aca="false">IFERROR(INDEX(Positions!$D$2:$D$6912,MATCH($A383&amp;"|50",Positions!$A$2:$A$6912,0)),"-")</f>
        <v>50</v>
      </c>
      <c r="E383" s="4" t="n">
        <f aca="false">IFERROR(INDEX(Positions!$D$2:$D$6912,MATCH($A383&amp;"|64",Positions!$A$2:$A$6912,0)),"-")</f>
        <v>64</v>
      </c>
      <c r="F383" s="4" t="str">
        <f aca="false">IFERROR(INDEX(Positions!$E$2:$E$6912,MATCH($A383&amp;"|50",Positions!$A$2:$A$6912,0)),"-")</f>
        <v>A</v>
      </c>
      <c r="G383" s="4" t="str">
        <f aca="false">IFERROR(INDEX(Positions!$E$2:$E$6912,MATCH($A383&amp;"|64",Positions!$A$2:$A$6912,0)),"-")</f>
        <v>U</v>
      </c>
      <c r="H383" s="3" t="str">
        <f aca="false">F383&amp;"-"&amp;G383</f>
        <v>A-U</v>
      </c>
      <c r="I383" s="4" t="n">
        <f aca="false">(F383="G")+(G383="G")</f>
        <v>0</v>
      </c>
      <c r="J383" s="4" t="n">
        <f aca="false">(F383="C")+(G383="C")</f>
        <v>0</v>
      </c>
      <c r="K383" s="3" t="n">
        <f aca="false">I383+J383</f>
        <v>0</v>
      </c>
    </row>
    <row r="384" customFormat="false" ht="15" hidden="false" customHeight="false" outlineLevel="0" collapsed="false">
      <c r="A384" s="4" t="s">
        <v>50</v>
      </c>
      <c r="B384" s="4" t="s">
        <v>471</v>
      </c>
      <c r="C384" s="4" t="s">
        <v>527</v>
      </c>
      <c r="D384" s="4" t="n">
        <f aca="false">IFERROR(INDEX(Positions!$D$2:$D$6912,MATCH($A384&amp;"|51",Positions!$A$2:$A$6912,0)),"-")</f>
        <v>51</v>
      </c>
      <c r="E384" s="4" t="n">
        <f aca="false">IFERROR(INDEX(Positions!$D$2:$D$6912,MATCH($A384&amp;"|63",Positions!$A$2:$A$6912,0)),"-")</f>
        <v>63</v>
      </c>
      <c r="F384" s="4" t="str">
        <f aca="false">IFERROR(INDEX(Positions!$E$2:$E$6912,MATCH($A384&amp;"|51",Positions!$A$2:$A$6912,0)),"-")</f>
        <v>G</v>
      </c>
      <c r="G384" s="4" t="str">
        <f aca="false">IFERROR(INDEX(Positions!$E$2:$E$6912,MATCH($A384&amp;"|63",Positions!$A$2:$A$6912,0)),"-")</f>
        <v>C</v>
      </c>
      <c r="H384" s="3" t="str">
        <f aca="false">F384&amp;"-"&amp;G384</f>
        <v>G-C</v>
      </c>
      <c r="I384" s="4" t="n">
        <f aca="false">(F384="G")+(G384="G")</f>
        <v>1</v>
      </c>
      <c r="J384" s="4" t="n">
        <f aca="false">(F384="C")+(G384="C")</f>
        <v>1</v>
      </c>
      <c r="K384" s="3" t="n">
        <f aca="false">I384+J384</f>
        <v>2</v>
      </c>
    </row>
    <row r="385" customFormat="false" ht="15" hidden="false" customHeight="false" outlineLevel="0" collapsed="false">
      <c r="A385" s="4" t="s">
        <v>50</v>
      </c>
      <c r="B385" s="4" t="s">
        <v>471</v>
      </c>
      <c r="C385" s="4" t="s">
        <v>528</v>
      </c>
      <c r="D385" s="4" t="n">
        <f aca="false">IFERROR(INDEX(Positions!$D$2:$D$6912,MATCH($A385&amp;"|52",Positions!$A$2:$A$6912,0)),"-")</f>
        <v>52</v>
      </c>
      <c r="E385" s="4" t="n">
        <f aca="false">IFERROR(INDEX(Positions!$D$2:$D$6912,MATCH($A385&amp;"|62",Positions!$A$2:$A$6912,0)),"-")</f>
        <v>62</v>
      </c>
      <c r="F385" s="4" t="str">
        <f aca="false">IFERROR(INDEX(Positions!$E$2:$E$6912,MATCH($A385&amp;"|52",Positions!$A$2:$A$6912,0)),"-")</f>
        <v>G</v>
      </c>
      <c r="G385" s="4" t="str">
        <f aca="false">IFERROR(INDEX(Positions!$E$2:$E$6912,MATCH($A385&amp;"|62",Positions!$A$2:$A$6912,0)),"-")</f>
        <v>C</v>
      </c>
      <c r="H385" s="3" t="str">
        <f aca="false">F385&amp;"-"&amp;G385</f>
        <v>G-C</v>
      </c>
      <c r="I385" s="4" t="n">
        <f aca="false">(F385="G")+(G385="G")</f>
        <v>1</v>
      </c>
      <c r="J385" s="4" t="n">
        <f aca="false">(F385="C")+(G385="C")</f>
        <v>1</v>
      </c>
      <c r="K385" s="3" t="n">
        <f aca="false">I385+J385</f>
        <v>2</v>
      </c>
    </row>
    <row r="386" customFormat="false" ht="15" hidden="false" customHeight="false" outlineLevel="0" collapsed="false">
      <c r="A386" s="4" t="s">
        <v>50</v>
      </c>
      <c r="B386" s="4" t="s">
        <v>471</v>
      </c>
      <c r="C386" s="4" t="s">
        <v>529</v>
      </c>
      <c r="D386" s="4" t="n">
        <f aca="false">IFERROR(INDEX(Positions!$D$2:$D$6912,MATCH($A386&amp;"|53",Positions!$A$2:$A$6912,0)),"-")</f>
        <v>53</v>
      </c>
      <c r="E386" s="4" t="n">
        <f aca="false">IFERROR(INDEX(Positions!$D$2:$D$6912,MATCH($A386&amp;"|61",Positions!$A$2:$A$6912,0)),"-")</f>
        <v>61</v>
      </c>
      <c r="F386" s="4" t="str">
        <f aca="false">IFERROR(INDEX(Positions!$E$2:$E$6912,MATCH($A386&amp;"|53",Positions!$A$2:$A$6912,0)),"-")</f>
        <v>G</v>
      </c>
      <c r="G386" s="4" t="str">
        <f aca="false">IFERROR(INDEX(Positions!$E$2:$E$6912,MATCH($A386&amp;"|61",Positions!$A$2:$A$6912,0)),"-")</f>
        <v>C</v>
      </c>
      <c r="H386" s="3" t="str">
        <f aca="false">F386&amp;"-"&amp;G386</f>
        <v>G-C</v>
      </c>
      <c r="I386" s="4" t="n">
        <f aca="false">(F386="G")+(G386="G")</f>
        <v>1</v>
      </c>
      <c r="J386" s="4" t="n">
        <f aca="false">(F386="C")+(G386="C")</f>
        <v>1</v>
      </c>
      <c r="K386" s="3" t="n">
        <f aca="false">I386+J386</f>
        <v>2</v>
      </c>
    </row>
    <row r="387" customFormat="false" ht="15" hidden="false" customHeight="false" outlineLevel="0" collapsed="false">
      <c r="A387" s="24" t="s">
        <v>50</v>
      </c>
      <c r="B387" s="24" t="s">
        <v>530</v>
      </c>
      <c r="C387" s="24" t="s">
        <v>531</v>
      </c>
      <c r="D387" s="24" t="n">
        <f aca="false">IFERROR(INDEX(Positions!$D$2:$D$6912,MATCH($A387&amp;"|8",Positions!$A$2:$A$6912,0)),"-")</f>
        <v>8</v>
      </c>
      <c r="E387" s="24" t="n">
        <f aca="false">IFERROR(INDEX(Positions!$D$2:$D$6912,MATCH($A387&amp;"|14",Positions!$A$2:$A$6912,0)),"-")</f>
        <v>14</v>
      </c>
      <c r="F387" s="24" t="str">
        <f aca="false">IFERROR(INDEX(Positions!$E$2:$E$6912,MATCH($A387&amp;"|8",Positions!$A$2:$A$6912,0)),"-")</f>
        <v>U</v>
      </c>
      <c r="G387" s="24" t="str">
        <f aca="false">IFERROR(INDEX(Positions!$E$2:$E$6912,MATCH($A387&amp;"|14",Positions!$A$2:$A$6912,0)),"-")</f>
        <v>A</v>
      </c>
      <c r="H387" s="25" t="str">
        <f aca="false">F387&amp;"-"&amp;G387</f>
        <v>U-A</v>
      </c>
      <c r="I387" s="24" t="n">
        <f aca="false">(F387="G")+(G387="G")</f>
        <v>0</v>
      </c>
      <c r="J387" s="24" t="n">
        <f aca="false">(F387="C")+(G387="C")</f>
        <v>0</v>
      </c>
      <c r="K387" s="25" t="n">
        <f aca="false">I387+J387</f>
        <v>0</v>
      </c>
    </row>
    <row r="388" customFormat="false" ht="15" hidden="false" customHeight="false" outlineLevel="0" collapsed="false">
      <c r="A388" s="24" t="s">
        <v>50</v>
      </c>
      <c r="B388" s="24" t="s">
        <v>530</v>
      </c>
      <c r="C388" s="24" t="s">
        <v>532</v>
      </c>
      <c r="D388" s="24" t="n">
        <f aca="false">IFERROR(INDEX(Positions!$D$2:$D$6912,MATCH($A388&amp;"|15",Positions!$A$2:$A$6912,0)),"-")</f>
        <v>15</v>
      </c>
      <c r="E388" s="24" t="n">
        <f aca="false">IFERROR(INDEX(Positions!$D$2:$D$6912,MATCH($A388&amp;"|48",Positions!$A$2:$A$6912,0)),"-")</f>
        <v>48</v>
      </c>
      <c r="F388" s="24" t="str">
        <f aca="false">IFERROR(INDEX(Positions!$E$2:$E$6912,MATCH($A388&amp;"|15",Positions!$A$2:$A$6912,0)),"-")</f>
        <v>G</v>
      </c>
      <c r="G388" s="24" t="str">
        <f aca="false">IFERROR(INDEX(Positions!$E$2:$E$6912,MATCH($A388&amp;"|48",Positions!$A$2:$A$6912,0)),"-")</f>
        <v>C</v>
      </c>
      <c r="H388" s="25" t="str">
        <f aca="false">F388&amp;"-"&amp;G388</f>
        <v>G-C</v>
      </c>
      <c r="I388" s="24" t="n">
        <f aca="false">(F388="G")+(G388="G")</f>
        <v>1</v>
      </c>
      <c r="J388" s="24" t="n">
        <f aca="false">(F388="C")+(G388="C")</f>
        <v>1</v>
      </c>
      <c r="K388" s="25" t="n">
        <f aca="false">I388+J388</f>
        <v>2</v>
      </c>
    </row>
    <row r="389" customFormat="false" ht="15" hidden="false" customHeight="false" outlineLevel="0" collapsed="false">
      <c r="A389" s="24" t="s">
        <v>50</v>
      </c>
      <c r="B389" s="24" t="s">
        <v>530</v>
      </c>
      <c r="C389" s="24" t="s">
        <v>533</v>
      </c>
      <c r="D389" s="24" t="n">
        <f aca="false">IFERROR(INDEX(Positions!$D$2:$D$6912,MATCH($A389&amp;"|18",Positions!$A$2:$A$6912,0)),"-")</f>
        <v>18</v>
      </c>
      <c r="E389" s="24" t="n">
        <f aca="false">IFERROR(INDEX(Positions!$D$2:$D$6912,MATCH($A389&amp;"|55",Positions!$A$2:$A$6912,0)),"-")</f>
        <v>55</v>
      </c>
      <c r="F389" s="24" t="str">
        <f aca="false">IFERROR(INDEX(Positions!$E$2:$E$6912,MATCH($A389&amp;"|18",Positions!$A$2:$A$6912,0)),"-")</f>
        <v>G</v>
      </c>
      <c r="G389" s="24" t="str">
        <f aca="false">IFERROR(INDEX(Positions!$E$2:$E$6912,MATCH($A389&amp;"|55",Positions!$A$2:$A$6912,0)),"-")</f>
        <v>U</v>
      </c>
      <c r="H389" s="25" t="str">
        <f aca="false">F389&amp;"-"&amp;G389</f>
        <v>G-U</v>
      </c>
      <c r="I389" s="24" t="n">
        <f aca="false">(F389="G")+(G389="G")</f>
        <v>1</v>
      </c>
      <c r="J389" s="24" t="n">
        <f aca="false">(F389="C")+(G389="C")</f>
        <v>0</v>
      </c>
      <c r="K389" s="25" t="n">
        <f aca="false">I389+J389</f>
        <v>1</v>
      </c>
    </row>
    <row r="390" customFormat="false" ht="15" hidden="false" customHeight="false" outlineLevel="0" collapsed="false">
      <c r="A390" s="24" t="s">
        <v>50</v>
      </c>
      <c r="B390" s="24" t="s">
        <v>530</v>
      </c>
      <c r="C390" s="24" t="s">
        <v>534</v>
      </c>
      <c r="D390" s="24" t="n">
        <f aca="false">IFERROR(INDEX(Positions!$D$2:$D$6912,MATCH($A390&amp;"|19",Positions!$A$2:$A$6912,0)),"-")</f>
        <v>19</v>
      </c>
      <c r="E390" s="24" t="n">
        <f aca="false">IFERROR(INDEX(Positions!$D$2:$D$6912,MATCH($A390&amp;"|56",Positions!$A$2:$A$6912,0)),"-")</f>
        <v>56</v>
      </c>
      <c r="F390" s="24" t="str">
        <f aca="false">IFERROR(INDEX(Positions!$E$2:$E$6912,MATCH($A390&amp;"|19",Positions!$A$2:$A$6912,0)),"-")</f>
        <v>G</v>
      </c>
      <c r="G390" s="24" t="str">
        <f aca="false">IFERROR(INDEX(Positions!$E$2:$E$6912,MATCH($A390&amp;"|56",Positions!$A$2:$A$6912,0)),"-")</f>
        <v>C</v>
      </c>
      <c r="H390" s="25" t="str">
        <f aca="false">F390&amp;"-"&amp;G390</f>
        <v>G-C</v>
      </c>
      <c r="I390" s="24" t="n">
        <f aca="false">(F390="G")+(G390="G")</f>
        <v>1</v>
      </c>
      <c r="J390" s="24" t="n">
        <f aca="false">(F390="C")+(G390="C")</f>
        <v>1</v>
      </c>
      <c r="K390" s="25" t="n">
        <f aca="false">I390+J390</f>
        <v>2</v>
      </c>
    </row>
    <row r="391" customFormat="false" ht="15" hidden="false" customHeight="false" outlineLevel="0" collapsed="false">
      <c r="A391" s="24" t="s">
        <v>50</v>
      </c>
      <c r="B391" s="24" t="s">
        <v>530</v>
      </c>
      <c r="C391" s="24" t="s">
        <v>535</v>
      </c>
      <c r="D391" s="24" t="n">
        <f aca="false">IFERROR(INDEX(Positions!$D$2:$D$6912,MATCH($A391&amp;"|26",Positions!$A$2:$A$6912,0)),"-")</f>
        <v>26</v>
      </c>
      <c r="E391" s="24" t="n">
        <f aca="false">IFERROR(INDEX(Positions!$D$2:$D$6912,MATCH($A391&amp;"|44",Positions!$A$2:$A$6912,0)),"-")</f>
        <v>44</v>
      </c>
      <c r="F391" s="24" t="str">
        <f aca="false">IFERROR(INDEX(Positions!$E$2:$E$6912,MATCH($A391&amp;"|26",Positions!$A$2:$A$6912,0)),"-")</f>
        <v>A</v>
      </c>
      <c r="G391" s="24" t="str">
        <f aca="false">IFERROR(INDEX(Positions!$E$2:$E$6912,MATCH($A391&amp;"|44",Positions!$A$2:$A$6912,0)),"-")</f>
        <v>G</v>
      </c>
      <c r="H391" s="25" t="str">
        <f aca="false">F391&amp;"-"&amp;G391</f>
        <v>A-G</v>
      </c>
      <c r="I391" s="24" t="n">
        <f aca="false">(F391="G")+(G391="G")</f>
        <v>1</v>
      </c>
      <c r="J391" s="24" t="n">
        <f aca="false">(F391="C")+(G391="C")</f>
        <v>0</v>
      </c>
      <c r="K391" s="25" t="n">
        <f aca="false">I391+J391</f>
        <v>1</v>
      </c>
    </row>
    <row r="392" customFormat="false" ht="15" hidden="false" customHeight="false" outlineLevel="0" collapsed="false">
      <c r="A392" s="24" t="s">
        <v>50</v>
      </c>
      <c r="B392" s="24" t="s">
        <v>530</v>
      </c>
      <c r="C392" s="24" t="s">
        <v>536</v>
      </c>
      <c r="D392" s="24" t="n">
        <f aca="false">IFERROR(INDEX(Positions!$D$2:$D$6912,MATCH($A392&amp;"|32",Positions!$A$2:$A$6912,0)),"-")</f>
        <v>32</v>
      </c>
      <c r="E392" s="24" t="n">
        <f aca="false">IFERROR(INDEX(Positions!$D$2:$D$6912,MATCH($A392&amp;"|38",Positions!$A$2:$A$6912,0)),"-")</f>
        <v>38</v>
      </c>
      <c r="F392" s="24" t="str">
        <f aca="false">IFERROR(INDEX(Positions!$E$2:$E$6912,MATCH($A392&amp;"|32",Positions!$A$2:$A$6912,0)),"-")</f>
        <v>C</v>
      </c>
      <c r="G392" s="24" t="str">
        <f aca="false">IFERROR(INDEX(Positions!$E$2:$E$6912,MATCH($A392&amp;"|38",Positions!$A$2:$A$6912,0)),"-")</f>
        <v>A</v>
      </c>
      <c r="H392" s="25" t="str">
        <f aca="false">F392&amp;"-"&amp;G392</f>
        <v>C-A</v>
      </c>
      <c r="I392" s="24" t="n">
        <f aca="false">(F392="G")+(G392="G")</f>
        <v>0</v>
      </c>
      <c r="J392" s="24" t="n">
        <f aca="false">(F392="C")+(G392="C")</f>
        <v>1</v>
      </c>
      <c r="K392" s="25" t="n">
        <f aca="false">I392+J392</f>
        <v>1</v>
      </c>
    </row>
    <row r="393" customFormat="false" ht="15" hidden="false" customHeight="false" outlineLevel="0" collapsed="false">
      <c r="A393" s="24" t="s">
        <v>50</v>
      </c>
      <c r="B393" s="24" t="s">
        <v>530</v>
      </c>
      <c r="C393" s="24" t="s">
        <v>537</v>
      </c>
      <c r="D393" s="24" t="n">
        <f aca="false">IFERROR(INDEX(Positions!$D$2:$D$6912,MATCH($A393&amp;"|54",Positions!$A$2:$A$6912,0)),"-")</f>
        <v>54</v>
      </c>
      <c r="E393" s="24" t="n">
        <f aca="false">IFERROR(INDEX(Positions!$D$2:$D$6912,MATCH($A393&amp;"|58",Positions!$A$2:$A$6912,0)),"-")</f>
        <v>58</v>
      </c>
      <c r="F393" s="24" t="str">
        <f aca="false">IFERROR(INDEX(Positions!$E$2:$E$6912,MATCH($A393&amp;"|54",Positions!$A$2:$A$6912,0)),"-")</f>
        <v>U</v>
      </c>
      <c r="G393" s="24" t="str">
        <f aca="false">IFERROR(INDEX(Positions!$E$2:$E$6912,MATCH($A393&amp;"|58",Positions!$A$2:$A$6912,0)),"-")</f>
        <v>A</v>
      </c>
      <c r="H393" s="25" t="str">
        <f aca="false">F393&amp;"-"&amp;G393</f>
        <v>U-A</v>
      </c>
      <c r="I393" s="24" t="n">
        <f aca="false">(F393="G")+(G393="G")</f>
        <v>0</v>
      </c>
      <c r="J393" s="24" t="n">
        <f aca="false">(F393="C")+(G393="C")</f>
        <v>0</v>
      </c>
      <c r="K393" s="25" t="n">
        <f aca="false">I393+J393</f>
        <v>0</v>
      </c>
    </row>
    <row r="394" customFormat="false" ht="15" hidden="false" customHeight="false" outlineLevel="0" collapsed="false">
      <c r="A394" s="4" t="s">
        <v>51</v>
      </c>
      <c r="B394" s="4" t="s">
        <v>412</v>
      </c>
      <c r="C394" s="4" t="s">
        <v>517</v>
      </c>
      <c r="D394" s="4" t="n">
        <f aca="false">IFERROR(INDEX(Positions!$D$2:$D$6912,MATCH($A394&amp;"|1",Positions!$A$2:$A$6912,0)),"-")</f>
        <v>1</v>
      </c>
      <c r="E394" s="4" t="n">
        <f aca="false">IFERROR(INDEX(Positions!$D$2:$D$6912,MATCH($A394&amp;"|72",Positions!$A$2:$A$6912,0)),"-")</f>
        <v>72</v>
      </c>
      <c r="F394" s="4" t="str">
        <f aca="false">IFERROR(INDEX(Positions!$E$2:$E$6912,MATCH($A394&amp;"|1",Positions!$A$2:$A$6912,0)),"-")</f>
        <v>G</v>
      </c>
      <c r="G394" s="4" t="str">
        <f aca="false">IFERROR(INDEX(Positions!$E$2:$E$6912,MATCH($A394&amp;"|72",Positions!$A$2:$A$6912,0)),"-")</f>
        <v>C</v>
      </c>
      <c r="H394" s="3" t="str">
        <f aca="false">F394&amp;"-"&amp;G394</f>
        <v>G-C</v>
      </c>
      <c r="I394" s="4" t="n">
        <f aca="false">(F394="G")+(G394="G")</f>
        <v>1</v>
      </c>
      <c r="J394" s="4" t="n">
        <f aca="false">(F394="C")+(G394="C")</f>
        <v>1</v>
      </c>
      <c r="K394" s="3" t="n">
        <f aca="false">I394+J394</f>
        <v>2</v>
      </c>
    </row>
    <row r="395" customFormat="false" ht="15" hidden="false" customHeight="false" outlineLevel="0" collapsed="false">
      <c r="A395" s="4" t="s">
        <v>51</v>
      </c>
      <c r="B395" s="4" t="s">
        <v>412</v>
      </c>
      <c r="C395" s="4" t="s">
        <v>518</v>
      </c>
      <c r="D395" s="4" t="n">
        <f aca="false">IFERROR(INDEX(Positions!$D$2:$D$6912,MATCH($A395&amp;"|2",Positions!$A$2:$A$6912,0)),"-")</f>
        <v>2</v>
      </c>
      <c r="E395" s="4" t="n">
        <f aca="false">IFERROR(INDEX(Positions!$D$2:$D$6912,MATCH($A395&amp;"|71",Positions!$A$2:$A$6912,0)),"-")</f>
        <v>71</v>
      </c>
      <c r="F395" s="4" t="str">
        <f aca="false">IFERROR(INDEX(Positions!$E$2:$E$6912,MATCH($A395&amp;"|2",Positions!$A$2:$A$6912,0)),"-")</f>
        <v>C</v>
      </c>
      <c r="G395" s="4" t="str">
        <f aca="false">IFERROR(INDEX(Positions!$E$2:$E$6912,MATCH($A395&amp;"|71",Positions!$A$2:$A$6912,0)),"-")</f>
        <v>G</v>
      </c>
      <c r="H395" s="3" t="str">
        <f aca="false">F395&amp;"-"&amp;G395</f>
        <v>C-G</v>
      </c>
      <c r="I395" s="4" t="n">
        <f aca="false">(F395="G")+(G395="G")</f>
        <v>1</v>
      </c>
      <c r="J395" s="4" t="n">
        <f aca="false">(F395="C")+(G395="C")</f>
        <v>1</v>
      </c>
      <c r="K395" s="3" t="n">
        <f aca="false">I395+J395</f>
        <v>2</v>
      </c>
    </row>
    <row r="396" customFormat="false" ht="15" hidden="false" customHeight="false" outlineLevel="0" collapsed="false">
      <c r="A396" s="4" t="s">
        <v>51</v>
      </c>
      <c r="B396" s="4" t="s">
        <v>412</v>
      </c>
      <c r="C396" s="4" t="s">
        <v>386</v>
      </c>
      <c r="D396" s="4" t="n">
        <f aca="false">IFERROR(INDEX(Positions!$D$2:$D$6912,MATCH($A396&amp;"|3",Positions!$A$2:$A$6912,0)),"-")</f>
        <v>3</v>
      </c>
      <c r="E396" s="4" t="n">
        <f aca="false">IFERROR(INDEX(Positions!$D$2:$D$6912,MATCH($A396&amp;"|70",Positions!$A$2:$A$6912,0)),"-")</f>
        <v>70</v>
      </c>
      <c r="F396" s="4" t="str">
        <f aca="false">IFERROR(INDEX(Positions!$E$2:$E$6912,MATCH($A396&amp;"|3",Positions!$A$2:$A$6912,0)),"-")</f>
        <v>C</v>
      </c>
      <c r="G396" s="4" t="str">
        <f aca="false">IFERROR(INDEX(Positions!$E$2:$E$6912,MATCH($A396&amp;"|70",Positions!$A$2:$A$6912,0)),"-")</f>
        <v>G</v>
      </c>
      <c r="H396" s="3" t="str">
        <f aca="false">F396&amp;"-"&amp;G396</f>
        <v>C-G</v>
      </c>
      <c r="I396" s="4" t="n">
        <f aca="false">(F396="G")+(G396="G")</f>
        <v>1</v>
      </c>
      <c r="J396" s="4" t="n">
        <f aca="false">(F396="C")+(G396="C")</f>
        <v>1</v>
      </c>
      <c r="K396" s="3" t="n">
        <f aca="false">I396+J396</f>
        <v>2</v>
      </c>
    </row>
    <row r="397" customFormat="false" ht="15" hidden="false" customHeight="false" outlineLevel="0" collapsed="false">
      <c r="A397" s="4" t="s">
        <v>51</v>
      </c>
      <c r="B397" s="4" t="s">
        <v>412</v>
      </c>
      <c r="C397" s="4" t="s">
        <v>519</v>
      </c>
      <c r="D397" s="4" t="n">
        <f aca="false">IFERROR(INDEX(Positions!$D$2:$D$6912,MATCH($A397&amp;"|4",Positions!$A$2:$A$6912,0)),"-")</f>
        <v>4</v>
      </c>
      <c r="E397" s="4" t="n">
        <f aca="false">IFERROR(INDEX(Positions!$D$2:$D$6912,MATCH($A397&amp;"|69",Positions!$A$2:$A$6912,0)),"-")</f>
        <v>69</v>
      </c>
      <c r="F397" s="4" t="str">
        <f aca="false">IFERROR(INDEX(Positions!$E$2:$E$6912,MATCH($A397&amp;"|4",Positions!$A$2:$A$6912,0)),"-")</f>
        <v>C</v>
      </c>
      <c r="G397" s="4" t="str">
        <f aca="false">IFERROR(INDEX(Positions!$E$2:$E$6912,MATCH($A397&amp;"|69",Positions!$A$2:$A$6912,0)),"-")</f>
        <v>G</v>
      </c>
      <c r="H397" s="3" t="str">
        <f aca="false">F397&amp;"-"&amp;G397</f>
        <v>C-G</v>
      </c>
      <c r="I397" s="4" t="n">
        <f aca="false">(F397="G")+(G397="G")</f>
        <v>1</v>
      </c>
      <c r="J397" s="4" t="n">
        <f aca="false">(F397="C")+(G397="C")</f>
        <v>1</v>
      </c>
      <c r="K397" s="3" t="n">
        <f aca="false">I397+J397</f>
        <v>2</v>
      </c>
    </row>
    <row r="398" customFormat="false" ht="15" hidden="false" customHeight="false" outlineLevel="0" collapsed="false">
      <c r="A398" s="4" t="s">
        <v>51</v>
      </c>
      <c r="B398" s="4" t="s">
        <v>412</v>
      </c>
      <c r="C398" s="4" t="s">
        <v>283</v>
      </c>
      <c r="D398" s="4" t="n">
        <f aca="false">IFERROR(INDEX(Positions!$D$2:$D$6912,MATCH($A398&amp;"|5",Positions!$A$2:$A$6912,0)),"-")</f>
        <v>5</v>
      </c>
      <c r="E398" s="4" t="n">
        <f aca="false">IFERROR(INDEX(Positions!$D$2:$D$6912,MATCH($A398&amp;"|68",Positions!$A$2:$A$6912,0)),"-")</f>
        <v>68</v>
      </c>
      <c r="F398" s="4" t="str">
        <f aca="false">IFERROR(INDEX(Positions!$E$2:$E$6912,MATCH($A398&amp;"|5",Positions!$A$2:$A$6912,0)),"-")</f>
        <v>G</v>
      </c>
      <c r="G398" s="4" t="str">
        <f aca="false">IFERROR(INDEX(Positions!$E$2:$E$6912,MATCH($A398&amp;"|68",Positions!$A$2:$A$6912,0)),"-")</f>
        <v>U</v>
      </c>
      <c r="H398" s="3" t="str">
        <f aca="false">F398&amp;"-"&amp;G398</f>
        <v>G-U</v>
      </c>
      <c r="I398" s="4" t="n">
        <f aca="false">(F398="G")+(G398="G")</f>
        <v>1</v>
      </c>
      <c r="J398" s="4" t="n">
        <f aca="false">(F398="C")+(G398="C")</f>
        <v>0</v>
      </c>
      <c r="K398" s="3" t="n">
        <f aca="false">I398+J398</f>
        <v>1</v>
      </c>
    </row>
    <row r="399" customFormat="false" ht="15" hidden="false" customHeight="false" outlineLevel="0" collapsed="false">
      <c r="A399" s="4" t="s">
        <v>51</v>
      </c>
      <c r="B399" s="4" t="s">
        <v>412</v>
      </c>
      <c r="C399" s="4" t="s">
        <v>520</v>
      </c>
      <c r="D399" s="4" t="n">
        <f aca="false">IFERROR(INDEX(Positions!$D$2:$D$6912,MATCH($A399&amp;"|6",Positions!$A$2:$A$6912,0)),"-")</f>
        <v>6</v>
      </c>
      <c r="E399" s="4" t="n">
        <f aca="false">IFERROR(INDEX(Positions!$D$2:$D$6912,MATCH($A399&amp;"|67",Positions!$A$2:$A$6912,0)),"-")</f>
        <v>67</v>
      </c>
      <c r="F399" s="4" t="str">
        <f aca="false">IFERROR(INDEX(Positions!$E$2:$E$6912,MATCH($A399&amp;"|6",Positions!$A$2:$A$6912,0)),"-")</f>
        <v>G</v>
      </c>
      <c r="G399" s="4" t="str">
        <f aca="false">IFERROR(INDEX(Positions!$E$2:$E$6912,MATCH($A399&amp;"|67",Positions!$A$2:$A$6912,0)),"-")</f>
        <v>U</v>
      </c>
      <c r="H399" s="3" t="str">
        <f aca="false">F399&amp;"-"&amp;G399</f>
        <v>G-U</v>
      </c>
      <c r="I399" s="4" t="n">
        <f aca="false">(F399="G")+(G399="G")</f>
        <v>1</v>
      </c>
      <c r="J399" s="4" t="n">
        <f aca="false">(F399="C")+(G399="C")</f>
        <v>0</v>
      </c>
      <c r="K399" s="3" t="n">
        <f aca="false">I399+J399</f>
        <v>1</v>
      </c>
    </row>
    <row r="400" customFormat="false" ht="15" hidden="false" customHeight="false" outlineLevel="0" collapsed="false">
      <c r="A400" s="4" t="s">
        <v>51</v>
      </c>
      <c r="B400" s="4" t="s">
        <v>412</v>
      </c>
      <c r="C400" s="4" t="s">
        <v>521</v>
      </c>
      <c r="D400" s="4" t="n">
        <f aca="false">IFERROR(INDEX(Positions!$D$2:$D$6912,MATCH($A400&amp;"|7",Positions!$A$2:$A$6912,0)),"-")</f>
        <v>7</v>
      </c>
      <c r="E400" s="4" t="n">
        <f aca="false">IFERROR(INDEX(Positions!$D$2:$D$6912,MATCH($A400&amp;"|66",Positions!$A$2:$A$6912,0)),"-")</f>
        <v>66</v>
      </c>
      <c r="F400" s="4" t="str">
        <f aca="false">IFERROR(INDEX(Positions!$E$2:$E$6912,MATCH($A400&amp;"|7",Positions!$A$2:$A$6912,0)),"-")</f>
        <v>C</v>
      </c>
      <c r="G400" s="4" t="str">
        <f aca="false">IFERROR(INDEX(Positions!$E$2:$E$6912,MATCH($A400&amp;"|66",Positions!$A$2:$A$6912,0)),"-")</f>
        <v>G</v>
      </c>
      <c r="H400" s="3" t="str">
        <f aca="false">F400&amp;"-"&amp;G400</f>
        <v>C-G</v>
      </c>
      <c r="I400" s="4" t="n">
        <f aca="false">(F400="G")+(G400="G")</f>
        <v>1</v>
      </c>
      <c r="J400" s="4" t="n">
        <f aca="false">(F400="C")+(G400="C")</f>
        <v>1</v>
      </c>
      <c r="K400" s="3" t="n">
        <f aca="false">I400+J400</f>
        <v>2</v>
      </c>
    </row>
    <row r="401" customFormat="false" ht="15" hidden="false" customHeight="false" outlineLevel="0" collapsed="false">
      <c r="A401" s="4" t="s">
        <v>51</v>
      </c>
      <c r="B401" s="4" t="s">
        <v>425</v>
      </c>
      <c r="C401" s="4" t="s">
        <v>522</v>
      </c>
      <c r="D401" s="4" t="n">
        <f aca="false">IFERROR(INDEX(Positions!$D$2:$D$6912,MATCH($A401&amp;"|10",Positions!$A$2:$A$6912,0)),"-")</f>
        <v>10</v>
      </c>
      <c r="E401" s="4" t="n">
        <f aca="false">IFERROR(INDEX(Positions!$D$2:$D$6912,MATCH($A401&amp;"|25",Positions!$A$2:$A$6912,0)),"-")</f>
        <v>25</v>
      </c>
      <c r="F401" s="4" t="str">
        <f aca="false">IFERROR(INDEX(Positions!$E$2:$E$6912,MATCH($A401&amp;"|10",Positions!$A$2:$A$6912,0)),"-")</f>
        <v>G</v>
      </c>
      <c r="G401" s="4" t="str">
        <f aca="false">IFERROR(INDEX(Positions!$E$2:$E$6912,MATCH($A401&amp;"|25",Positions!$A$2:$A$6912,0)),"-")</f>
        <v>C</v>
      </c>
      <c r="H401" s="3" t="str">
        <f aca="false">F401&amp;"-"&amp;G401</f>
        <v>G-C</v>
      </c>
      <c r="I401" s="4" t="n">
        <f aca="false">(F401="G")+(G401="G")</f>
        <v>1</v>
      </c>
      <c r="J401" s="4" t="n">
        <f aca="false">(F401="C")+(G401="C")</f>
        <v>1</v>
      </c>
      <c r="K401" s="3" t="n">
        <f aca="false">I401+J401</f>
        <v>2</v>
      </c>
    </row>
    <row r="402" customFormat="false" ht="15" hidden="false" customHeight="false" outlineLevel="0" collapsed="false">
      <c r="A402" s="4" t="s">
        <v>51</v>
      </c>
      <c r="B402" s="4" t="s">
        <v>425</v>
      </c>
      <c r="C402" s="4" t="s">
        <v>523</v>
      </c>
      <c r="D402" s="4" t="n">
        <f aca="false">IFERROR(INDEX(Positions!$D$2:$D$6912,MATCH($A402&amp;"|11",Positions!$A$2:$A$6912,0)),"-")</f>
        <v>11</v>
      </c>
      <c r="E402" s="4" t="n">
        <f aca="false">IFERROR(INDEX(Positions!$D$2:$D$6912,MATCH($A402&amp;"|24",Positions!$A$2:$A$6912,0)),"-")</f>
        <v>24</v>
      </c>
      <c r="F402" s="4" t="str">
        <f aca="false">IFERROR(INDEX(Positions!$E$2:$E$6912,MATCH($A402&amp;"|11",Positions!$A$2:$A$6912,0)),"-")</f>
        <v>C</v>
      </c>
      <c r="G402" s="4" t="str">
        <f aca="false">IFERROR(INDEX(Positions!$E$2:$E$6912,MATCH($A402&amp;"|24",Positions!$A$2:$A$6912,0)),"-")</f>
        <v>G</v>
      </c>
      <c r="H402" s="3" t="str">
        <f aca="false">F402&amp;"-"&amp;G402</f>
        <v>C-G</v>
      </c>
      <c r="I402" s="4" t="n">
        <f aca="false">(F402="G")+(G402="G")</f>
        <v>1</v>
      </c>
      <c r="J402" s="4" t="n">
        <f aca="false">(F402="C")+(G402="C")</f>
        <v>1</v>
      </c>
      <c r="K402" s="3" t="n">
        <f aca="false">I402+J402</f>
        <v>2</v>
      </c>
    </row>
    <row r="403" customFormat="false" ht="15" hidden="false" customHeight="false" outlineLevel="0" collapsed="false">
      <c r="A403" s="4" t="s">
        <v>51</v>
      </c>
      <c r="B403" s="4" t="s">
        <v>425</v>
      </c>
      <c r="C403" s="4" t="s">
        <v>250</v>
      </c>
      <c r="D403" s="4" t="n">
        <f aca="false">IFERROR(INDEX(Positions!$D$2:$D$6912,MATCH($A403&amp;"|12",Positions!$A$2:$A$6912,0)),"-")</f>
        <v>12</v>
      </c>
      <c r="E403" s="4" t="n">
        <f aca="false">IFERROR(INDEX(Positions!$D$2:$D$6912,MATCH($A403&amp;"|23",Positions!$A$2:$A$6912,0)),"-")</f>
        <v>23</v>
      </c>
      <c r="F403" s="4" t="str">
        <f aca="false">IFERROR(INDEX(Positions!$E$2:$E$6912,MATCH($A403&amp;"|12",Positions!$A$2:$A$6912,0)),"-")</f>
        <v>U</v>
      </c>
      <c r="G403" s="4" t="str">
        <f aca="false">IFERROR(INDEX(Positions!$E$2:$E$6912,MATCH($A403&amp;"|23",Positions!$A$2:$A$6912,0)),"-")</f>
        <v>A</v>
      </c>
      <c r="H403" s="3" t="str">
        <f aca="false">F403&amp;"-"&amp;G403</f>
        <v>U-A</v>
      </c>
      <c r="I403" s="4" t="n">
        <f aca="false">(F403="G")+(G403="G")</f>
        <v>0</v>
      </c>
      <c r="J403" s="4" t="n">
        <f aca="false">(F403="C")+(G403="C")</f>
        <v>0</v>
      </c>
      <c r="K403" s="3" t="n">
        <f aca="false">I403+J403</f>
        <v>0</v>
      </c>
    </row>
    <row r="404" customFormat="false" ht="15" hidden="false" customHeight="false" outlineLevel="0" collapsed="false">
      <c r="A404" s="4" t="s">
        <v>51</v>
      </c>
      <c r="B404" s="4" t="s">
        <v>425</v>
      </c>
      <c r="C404" s="4" t="s">
        <v>154</v>
      </c>
      <c r="D404" s="4" t="n">
        <f aca="false">IFERROR(INDEX(Positions!$D$2:$D$6912,MATCH($A404&amp;"|13",Positions!$A$2:$A$6912,0)),"-")</f>
        <v>13</v>
      </c>
      <c r="E404" s="4" t="n">
        <f aca="false">IFERROR(INDEX(Positions!$D$2:$D$6912,MATCH($A404&amp;"|22",Positions!$A$2:$A$6912,0)),"-")</f>
        <v>22</v>
      </c>
      <c r="F404" s="4" t="str">
        <f aca="false">IFERROR(INDEX(Positions!$E$2:$E$6912,MATCH($A404&amp;"|13",Positions!$A$2:$A$6912,0)),"-")</f>
        <v>C</v>
      </c>
      <c r="G404" s="4" t="str">
        <f aca="false">IFERROR(INDEX(Positions!$E$2:$E$6912,MATCH($A404&amp;"|22",Positions!$A$2:$A$6912,0)),"-")</f>
        <v>G</v>
      </c>
      <c r="H404" s="3" t="str">
        <f aca="false">F404&amp;"-"&amp;G404</f>
        <v>C-G</v>
      </c>
      <c r="I404" s="4" t="n">
        <f aca="false">(F404="G")+(G404="G")</f>
        <v>1</v>
      </c>
      <c r="J404" s="4" t="n">
        <f aca="false">(F404="C")+(G404="C")</f>
        <v>1</v>
      </c>
      <c r="K404" s="3" t="n">
        <f aca="false">I404+J404</f>
        <v>2</v>
      </c>
    </row>
    <row r="405" customFormat="false" ht="15" hidden="false" customHeight="false" outlineLevel="0" collapsed="false">
      <c r="A405" s="4" t="s">
        <v>51</v>
      </c>
      <c r="B405" s="4" t="s">
        <v>446</v>
      </c>
      <c r="C405" s="4" t="s">
        <v>524</v>
      </c>
      <c r="D405" s="4" t="n">
        <f aca="false">IFERROR(INDEX(Positions!$D$2:$D$6912,MATCH($A405&amp;"|27",Positions!$A$2:$A$6912,0)),"-")</f>
        <v>27</v>
      </c>
      <c r="E405" s="4" t="n">
        <f aca="false">IFERROR(INDEX(Positions!$D$2:$D$6912,MATCH($A405&amp;"|43",Positions!$A$2:$A$6912,0)),"-")</f>
        <v>43</v>
      </c>
      <c r="F405" s="4" t="str">
        <f aca="false">IFERROR(INDEX(Positions!$E$2:$E$6912,MATCH($A405&amp;"|27",Positions!$A$2:$A$6912,0)),"-")</f>
        <v>U</v>
      </c>
      <c r="G405" s="4" t="str">
        <f aca="false">IFERROR(INDEX(Positions!$E$2:$E$6912,MATCH($A405&amp;"|43",Positions!$A$2:$A$6912,0)),"-")</f>
        <v>A</v>
      </c>
      <c r="H405" s="3" t="str">
        <f aca="false">F405&amp;"-"&amp;G405</f>
        <v>U-A</v>
      </c>
      <c r="I405" s="4" t="n">
        <f aca="false">(F405="G")+(G405="G")</f>
        <v>0</v>
      </c>
      <c r="J405" s="4" t="n">
        <f aca="false">(F405="C")+(G405="C")</f>
        <v>0</v>
      </c>
      <c r="K405" s="3" t="n">
        <f aca="false">I405+J405</f>
        <v>0</v>
      </c>
    </row>
    <row r="406" customFormat="false" ht="15" hidden="false" customHeight="false" outlineLevel="0" collapsed="false">
      <c r="A406" s="4" t="s">
        <v>51</v>
      </c>
      <c r="B406" s="4" t="s">
        <v>446</v>
      </c>
      <c r="C406" s="4" t="s">
        <v>525</v>
      </c>
      <c r="D406" s="4" t="n">
        <f aca="false">IFERROR(INDEX(Positions!$D$2:$D$6912,MATCH($A406&amp;"|28",Positions!$A$2:$A$6912,0)),"-")</f>
        <v>28</v>
      </c>
      <c r="E406" s="4" t="n">
        <f aca="false">IFERROR(INDEX(Positions!$D$2:$D$6912,MATCH($A406&amp;"|42",Positions!$A$2:$A$6912,0)),"-")</f>
        <v>42</v>
      </c>
      <c r="F406" s="4" t="str">
        <f aca="false">IFERROR(INDEX(Positions!$E$2:$E$6912,MATCH($A406&amp;"|28",Positions!$A$2:$A$6912,0)),"-")</f>
        <v>G</v>
      </c>
      <c r="G406" s="4" t="str">
        <f aca="false">IFERROR(INDEX(Positions!$E$2:$E$6912,MATCH($A406&amp;"|42",Positions!$A$2:$A$6912,0)),"-")</f>
        <v>C</v>
      </c>
      <c r="H406" s="3" t="str">
        <f aca="false">F406&amp;"-"&amp;G406</f>
        <v>G-C</v>
      </c>
      <c r="I406" s="4" t="n">
        <f aca="false">(F406="G")+(G406="G")</f>
        <v>1</v>
      </c>
      <c r="J406" s="4" t="n">
        <f aca="false">(F406="C")+(G406="C")</f>
        <v>1</v>
      </c>
      <c r="K406" s="3" t="n">
        <f aca="false">I406+J406</f>
        <v>2</v>
      </c>
    </row>
    <row r="407" customFormat="false" ht="15" hidden="false" customHeight="false" outlineLevel="0" collapsed="false">
      <c r="A407" s="4" t="s">
        <v>51</v>
      </c>
      <c r="B407" s="4" t="s">
        <v>446</v>
      </c>
      <c r="C407" s="4" t="s">
        <v>256</v>
      </c>
      <c r="D407" s="4" t="n">
        <f aca="false">IFERROR(INDEX(Positions!$D$2:$D$6912,MATCH($A407&amp;"|29",Positions!$A$2:$A$6912,0)),"-")</f>
        <v>29</v>
      </c>
      <c r="E407" s="4" t="n">
        <f aca="false">IFERROR(INDEX(Positions!$D$2:$D$6912,MATCH($A407&amp;"|41",Positions!$A$2:$A$6912,0)),"-")</f>
        <v>41</v>
      </c>
      <c r="F407" s="4" t="str">
        <f aca="false">IFERROR(INDEX(Positions!$E$2:$E$6912,MATCH($A407&amp;"|29",Positions!$A$2:$A$6912,0)),"-")</f>
        <v>A</v>
      </c>
      <c r="G407" s="4" t="str">
        <f aca="false">IFERROR(INDEX(Positions!$E$2:$E$6912,MATCH($A407&amp;"|41",Positions!$A$2:$A$6912,0)),"-")</f>
        <v>U</v>
      </c>
      <c r="H407" s="3" t="str">
        <f aca="false">F407&amp;"-"&amp;G407</f>
        <v>A-U</v>
      </c>
      <c r="I407" s="4" t="n">
        <f aca="false">(F407="G")+(G407="G")</f>
        <v>0</v>
      </c>
      <c r="J407" s="4" t="n">
        <f aca="false">(F407="C")+(G407="C")</f>
        <v>0</v>
      </c>
      <c r="K407" s="3" t="n">
        <f aca="false">I407+J407</f>
        <v>0</v>
      </c>
    </row>
    <row r="408" customFormat="false" ht="15" hidden="false" customHeight="false" outlineLevel="0" collapsed="false">
      <c r="A408" s="4" t="s">
        <v>51</v>
      </c>
      <c r="B408" s="4" t="s">
        <v>446</v>
      </c>
      <c r="C408" s="4" t="s">
        <v>526</v>
      </c>
      <c r="D408" s="4" t="n">
        <f aca="false">IFERROR(INDEX(Positions!$D$2:$D$6912,MATCH($A408&amp;"|30",Positions!$A$2:$A$6912,0)),"-")</f>
        <v>30</v>
      </c>
      <c r="E408" s="4" t="n">
        <f aca="false">IFERROR(INDEX(Positions!$D$2:$D$6912,MATCH($A408&amp;"|40",Positions!$A$2:$A$6912,0)),"-")</f>
        <v>40</v>
      </c>
      <c r="F408" s="4" t="str">
        <f aca="false">IFERROR(INDEX(Positions!$E$2:$E$6912,MATCH($A408&amp;"|30",Positions!$A$2:$A$6912,0)),"-")</f>
        <v>G</v>
      </c>
      <c r="G408" s="4" t="str">
        <f aca="false">IFERROR(INDEX(Positions!$E$2:$E$6912,MATCH($A408&amp;"|40",Positions!$A$2:$A$6912,0)),"-")</f>
        <v>C</v>
      </c>
      <c r="H408" s="3" t="str">
        <f aca="false">F408&amp;"-"&amp;G408</f>
        <v>G-C</v>
      </c>
      <c r="I408" s="4" t="n">
        <f aca="false">(F408="G")+(G408="G")</f>
        <v>1</v>
      </c>
      <c r="J408" s="4" t="n">
        <f aca="false">(F408="C")+(G408="C")</f>
        <v>1</v>
      </c>
      <c r="K408" s="3" t="n">
        <f aca="false">I408+J408</f>
        <v>2</v>
      </c>
    </row>
    <row r="409" customFormat="false" ht="15" hidden="false" customHeight="false" outlineLevel="0" collapsed="false">
      <c r="A409" s="4" t="s">
        <v>51</v>
      </c>
      <c r="B409" s="4" t="s">
        <v>446</v>
      </c>
      <c r="C409" s="4" t="s">
        <v>273</v>
      </c>
      <c r="D409" s="4" t="n">
        <f aca="false">IFERROR(INDEX(Positions!$D$2:$D$6912,MATCH($A409&amp;"|31",Positions!$A$2:$A$6912,0)),"-")</f>
        <v>31</v>
      </c>
      <c r="E409" s="4" t="n">
        <f aca="false">IFERROR(INDEX(Positions!$D$2:$D$6912,MATCH($A409&amp;"|39",Positions!$A$2:$A$6912,0)),"-")</f>
        <v>39</v>
      </c>
      <c r="F409" s="4" t="str">
        <f aca="false">IFERROR(INDEX(Positions!$E$2:$E$6912,MATCH($A409&amp;"|31",Positions!$A$2:$A$6912,0)),"-")</f>
        <v>A</v>
      </c>
      <c r="G409" s="4" t="str">
        <f aca="false">IFERROR(INDEX(Positions!$E$2:$E$6912,MATCH($A409&amp;"|39",Positions!$A$2:$A$6912,0)),"-")</f>
        <v>U</v>
      </c>
      <c r="H409" s="3" t="str">
        <f aca="false">F409&amp;"-"&amp;G409</f>
        <v>A-U</v>
      </c>
      <c r="I409" s="4" t="n">
        <f aca="false">(F409="G")+(G409="G")</f>
        <v>0</v>
      </c>
      <c r="J409" s="4" t="n">
        <f aca="false">(F409="C")+(G409="C")</f>
        <v>0</v>
      </c>
      <c r="K409" s="3" t="n">
        <f aca="false">I409+J409</f>
        <v>0</v>
      </c>
    </row>
    <row r="410" customFormat="false" ht="15" hidden="false" customHeight="false" outlineLevel="0" collapsed="false">
      <c r="A410" s="4" t="s">
        <v>51</v>
      </c>
      <c r="B410" s="4" t="s">
        <v>471</v>
      </c>
      <c r="C410" s="4" t="s">
        <v>367</v>
      </c>
      <c r="D410" s="4" t="n">
        <f aca="false">IFERROR(INDEX(Positions!$D$2:$D$6912,MATCH($A410&amp;"|49",Positions!$A$2:$A$6912,0)),"-")</f>
        <v>49</v>
      </c>
      <c r="E410" s="4" t="n">
        <f aca="false">IFERROR(INDEX(Positions!$D$2:$D$6912,MATCH($A410&amp;"|65",Positions!$A$2:$A$6912,0)),"-")</f>
        <v>65</v>
      </c>
      <c r="F410" s="4" t="str">
        <f aca="false">IFERROR(INDEX(Positions!$E$2:$E$6912,MATCH($A410&amp;"|49",Positions!$A$2:$A$6912,0)),"-")</f>
        <v>G</v>
      </c>
      <c r="G410" s="4" t="str">
        <f aca="false">IFERROR(INDEX(Positions!$E$2:$E$6912,MATCH($A410&amp;"|65",Positions!$A$2:$A$6912,0)),"-")</f>
        <v>C</v>
      </c>
      <c r="H410" s="3" t="str">
        <f aca="false">F410&amp;"-"&amp;G410</f>
        <v>G-C</v>
      </c>
      <c r="I410" s="4" t="n">
        <f aca="false">(F410="G")+(G410="G")</f>
        <v>1</v>
      </c>
      <c r="J410" s="4" t="n">
        <f aca="false">(F410="C")+(G410="C")</f>
        <v>1</v>
      </c>
      <c r="K410" s="3" t="n">
        <f aca="false">I410+J410</f>
        <v>2</v>
      </c>
    </row>
    <row r="411" customFormat="false" ht="15" hidden="false" customHeight="false" outlineLevel="0" collapsed="false">
      <c r="A411" s="4" t="s">
        <v>51</v>
      </c>
      <c r="B411" s="4" t="s">
        <v>471</v>
      </c>
      <c r="C411" s="4" t="s">
        <v>233</v>
      </c>
      <c r="D411" s="4" t="n">
        <f aca="false">IFERROR(INDEX(Positions!$D$2:$D$6912,MATCH($A411&amp;"|50",Positions!$A$2:$A$6912,0)),"-")</f>
        <v>50</v>
      </c>
      <c r="E411" s="4" t="n">
        <f aca="false">IFERROR(INDEX(Positions!$D$2:$D$6912,MATCH($A411&amp;"|64",Positions!$A$2:$A$6912,0)),"-")</f>
        <v>64</v>
      </c>
      <c r="F411" s="4" t="str">
        <f aca="false">IFERROR(INDEX(Positions!$E$2:$E$6912,MATCH($A411&amp;"|50",Positions!$A$2:$A$6912,0)),"-")</f>
        <v>U</v>
      </c>
      <c r="G411" s="4" t="str">
        <f aca="false">IFERROR(INDEX(Positions!$E$2:$E$6912,MATCH($A411&amp;"|64",Positions!$A$2:$A$6912,0)),"-")</f>
        <v>A</v>
      </c>
      <c r="H411" s="3" t="str">
        <f aca="false">F411&amp;"-"&amp;G411</f>
        <v>U-A</v>
      </c>
      <c r="I411" s="4" t="n">
        <f aca="false">(F411="G")+(G411="G")</f>
        <v>0</v>
      </c>
      <c r="J411" s="4" t="n">
        <f aca="false">(F411="C")+(G411="C")</f>
        <v>0</v>
      </c>
      <c r="K411" s="3" t="n">
        <f aca="false">I411+J411</f>
        <v>0</v>
      </c>
    </row>
    <row r="412" customFormat="false" ht="15" hidden="false" customHeight="false" outlineLevel="0" collapsed="false">
      <c r="A412" s="4" t="s">
        <v>51</v>
      </c>
      <c r="B412" s="4" t="s">
        <v>471</v>
      </c>
      <c r="C412" s="4" t="s">
        <v>527</v>
      </c>
      <c r="D412" s="4" t="n">
        <f aca="false">IFERROR(INDEX(Positions!$D$2:$D$6912,MATCH($A412&amp;"|51",Positions!$A$2:$A$6912,0)),"-")</f>
        <v>51</v>
      </c>
      <c r="E412" s="4" t="n">
        <f aca="false">IFERROR(INDEX(Positions!$D$2:$D$6912,MATCH($A412&amp;"|63",Positions!$A$2:$A$6912,0)),"-")</f>
        <v>63</v>
      </c>
      <c r="F412" s="4" t="str">
        <f aca="false">IFERROR(INDEX(Positions!$E$2:$E$6912,MATCH($A412&amp;"|51",Positions!$A$2:$A$6912,0)),"-")</f>
        <v>G</v>
      </c>
      <c r="G412" s="4" t="str">
        <f aca="false">IFERROR(INDEX(Positions!$E$2:$E$6912,MATCH($A412&amp;"|63",Positions!$A$2:$A$6912,0)),"-")</f>
        <v>C</v>
      </c>
      <c r="H412" s="3" t="str">
        <f aca="false">F412&amp;"-"&amp;G412</f>
        <v>G-C</v>
      </c>
      <c r="I412" s="4" t="n">
        <f aca="false">(F412="G")+(G412="G")</f>
        <v>1</v>
      </c>
      <c r="J412" s="4" t="n">
        <f aca="false">(F412="C")+(G412="C")</f>
        <v>1</v>
      </c>
      <c r="K412" s="3" t="n">
        <f aca="false">I412+J412</f>
        <v>2</v>
      </c>
    </row>
    <row r="413" customFormat="false" ht="15" hidden="false" customHeight="false" outlineLevel="0" collapsed="false">
      <c r="A413" s="4" t="s">
        <v>51</v>
      </c>
      <c r="B413" s="4" t="s">
        <v>471</v>
      </c>
      <c r="C413" s="4" t="s">
        <v>528</v>
      </c>
      <c r="D413" s="4" t="n">
        <f aca="false">IFERROR(INDEX(Positions!$D$2:$D$6912,MATCH($A413&amp;"|52",Positions!$A$2:$A$6912,0)),"-")</f>
        <v>52</v>
      </c>
      <c r="E413" s="4" t="n">
        <f aca="false">IFERROR(INDEX(Positions!$D$2:$D$6912,MATCH($A413&amp;"|62",Positions!$A$2:$A$6912,0)),"-")</f>
        <v>62</v>
      </c>
      <c r="F413" s="4" t="str">
        <f aca="false">IFERROR(INDEX(Positions!$E$2:$E$6912,MATCH($A413&amp;"|52",Positions!$A$2:$A$6912,0)),"-")</f>
        <v>G</v>
      </c>
      <c r="G413" s="4" t="str">
        <f aca="false">IFERROR(INDEX(Positions!$E$2:$E$6912,MATCH($A413&amp;"|62",Positions!$A$2:$A$6912,0)),"-")</f>
        <v>C</v>
      </c>
      <c r="H413" s="3" t="str">
        <f aca="false">F413&amp;"-"&amp;G413</f>
        <v>G-C</v>
      </c>
      <c r="I413" s="4" t="n">
        <f aca="false">(F413="G")+(G413="G")</f>
        <v>1</v>
      </c>
      <c r="J413" s="4" t="n">
        <f aca="false">(F413="C")+(G413="C")</f>
        <v>1</v>
      </c>
      <c r="K413" s="3" t="n">
        <f aca="false">I413+J413</f>
        <v>2</v>
      </c>
    </row>
    <row r="414" customFormat="false" ht="15" hidden="false" customHeight="false" outlineLevel="0" collapsed="false">
      <c r="A414" s="4" t="s">
        <v>51</v>
      </c>
      <c r="B414" s="4" t="s">
        <v>471</v>
      </c>
      <c r="C414" s="4" t="s">
        <v>529</v>
      </c>
      <c r="D414" s="4" t="n">
        <f aca="false">IFERROR(INDEX(Positions!$D$2:$D$6912,MATCH($A414&amp;"|53",Positions!$A$2:$A$6912,0)),"-")</f>
        <v>53</v>
      </c>
      <c r="E414" s="4" t="n">
        <f aca="false">IFERROR(INDEX(Positions!$D$2:$D$6912,MATCH($A414&amp;"|61",Positions!$A$2:$A$6912,0)),"-")</f>
        <v>61</v>
      </c>
      <c r="F414" s="4" t="str">
        <f aca="false">IFERROR(INDEX(Positions!$E$2:$E$6912,MATCH($A414&amp;"|53",Positions!$A$2:$A$6912,0)),"-")</f>
        <v>G</v>
      </c>
      <c r="G414" s="4" t="str">
        <f aca="false">IFERROR(INDEX(Positions!$E$2:$E$6912,MATCH($A414&amp;"|61",Positions!$A$2:$A$6912,0)),"-")</f>
        <v>C</v>
      </c>
      <c r="H414" s="3" t="str">
        <f aca="false">F414&amp;"-"&amp;G414</f>
        <v>G-C</v>
      </c>
      <c r="I414" s="4" t="n">
        <f aca="false">(F414="G")+(G414="G")</f>
        <v>1</v>
      </c>
      <c r="J414" s="4" t="n">
        <f aca="false">(F414="C")+(G414="C")</f>
        <v>1</v>
      </c>
      <c r="K414" s="3" t="n">
        <f aca="false">I414+J414</f>
        <v>2</v>
      </c>
    </row>
    <row r="415" customFormat="false" ht="15" hidden="false" customHeight="false" outlineLevel="0" collapsed="false">
      <c r="A415" s="24" t="s">
        <v>51</v>
      </c>
      <c r="B415" s="24" t="s">
        <v>530</v>
      </c>
      <c r="C415" s="24" t="s">
        <v>531</v>
      </c>
      <c r="D415" s="24" t="n">
        <f aca="false">IFERROR(INDEX(Positions!$D$2:$D$6912,MATCH($A415&amp;"|8",Positions!$A$2:$A$6912,0)),"-")</f>
        <v>8</v>
      </c>
      <c r="E415" s="24" t="n">
        <f aca="false">IFERROR(INDEX(Positions!$D$2:$D$6912,MATCH($A415&amp;"|14",Positions!$A$2:$A$6912,0)),"-")</f>
        <v>14</v>
      </c>
      <c r="F415" s="24" t="str">
        <f aca="false">IFERROR(INDEX(Positions!$E$2:$E$6912,MATCH($A415&amp;"|8",Positions!$A$2:$A$6912,0)),"-")</f>
        <v>U</v>
      </c>
      <c r="G415" s="24" t="str">
        <f aca="false">IFERROR(INDEX(Positions!$E$2:$E$6912,MATCH($A415&amp;"|14",Positions!$A$2:$A$6912,0)),"-")</f>
        <v>A</v>
      </c>
      <c r="H415" s="25" t="str">
        <f aca="false">F415&amp;"-"&amp;G415</f>
        <v>U-A</v>
      </c>
      <c r="I415" s="24" t="n">
        <f aca="false">(F415="G")+(G415="G")</f>
        <v>0</v>
      </c>
      <c r="J415" s="24" t="n">
        <f aca="false">(F415="C")+(G415="C")</f>
        <v>0</v>
      </c>
      <c r="K415" s="25" t="n">
        <f aca="false">I415+J415</f>
        <v>0</v>
      </c>
    </row>
    <row r="416" customFormat="false" ht="15" hidden="false" customHeight="false" outlineLevel="0" collapsed="false">
      <c r="A416" s="24" t="s">
        <v>51</v>
      </c>
      <c r="B416" s="24" t="s">
        <v>530</v>
      </c>
      <c r="C416" s="24" t="s">
        <v>532</v>
      </c>
      <c r="D416" s="24" t="n">
        <f aca="false">IFERROR(INDEX(Positions!$D$2:$D$6912,MATCH($A416&amp;"|15",Positions!$A$2:$A$6912,0)),"-")</f>
        <v>15</v>
      </c>
      <c r="E416" s="24" t="n">
        <f aca="false">IFERROR(INDEX(Positions!$D$2:$D$6912,MATCH($A416&amp;"|48",Positions!$A$2:$A$6912,0)),"-")</f>
        <v>48</v>
      </c>
      <c r="F416" s="24" t="str">
        <f aca="false">IFERROR(INDEX(Positions!$E$2:$E$6912,MATCH($A416&amp;"|15",Positions!$A$2:$A$6912,0)),"-")</f>
        <v>G</v>
      </c>
      <c r="G416" s="24" t="str">
        <f aca="false">IFERROR(INDEX(Positions!$E$2:$E$6912,MATCH($A416&amp;"|48",Positions!$A$2:$A$6912,0)),"-")</f>
        <v>C</v>
      </c>
      <c r="H416" s="25" t="str">
        <f aca="false">F416&amp;"-"&amp;G416</f>
        <v>G-C</v>
      </c>
      <c r="I416" s="24" t="n">
        <f aca="false">(F416="G")+(G416="G")</f>
        <v>1</v>
      </c>
      <c r="J416" s="24" t="n">
        <f aca="false">(F416="C")+(G416="C")</f>
        <v>1</v>
      </c>
      <c r="K416" s="25" t="n">
        <f aca="false">I416+J416</f>
        <v>2</v>
      </c>
    </row>
    <row r="417" customFormat="false" ht="15" hidden="false" customHeight="false" outlineLevel="0" collapsed="false">
      <c r="A417" s="24" t="s">
        <v>51</v>
      </c>
      <c r="B417" s="24" t="s">
        <v>530</v>
      </c>
      <c r="C417" s="24" t="s">
        <v>533</v>
      </c>
      <c r="D417" s="24" t="n">
        <f aca="false">IFERROR(INDEX(Positions!$D$2:$D$6912,MATCH($A417&amp;"|18",Positions!$A$2:$A$6912,0)),"-")</f>
        <v>18</v>
      </c>
      <c r="E417" s="24" t="n">
        <f aca="false">IFERROR(INDEX(Positions!$D$2:$D$6912,MATCH($A417&amp;"|55",Positions!$A$2:$A$6912,0)),"-")</f>
        <v>55</v>
      </c>
      <c r="F417" s="24" t="str">
        <f aca="false">IFERROR(INDEX(Positions!$E$2:$E$6912,MATCH($A417&amp;"|18",Positions!$A$2:$A$6912,0)),"-")</f>
        <v>G</v>
      </c>
      <c r="G417" s="24" t="str">
        <f aca="false">IFERROR(INDEX(Positions!$E$2:$E$6912,MATCH($A417&amp;"|55",Positions!$A$2:$A$6912,0)),"-")</f>
        <v>U</v>
      </c>
      <c r="H417" s="25" t="str">
        <f aca="false">F417&amp;"-"&amp;G417</f>
        <v>G-U</v>
      </c>
      <c r="I417" s="24" t="n">
        <f aca="false">(F417="G")+(G417="G")</f>
        <v>1</v>
      </c>
      <c r="J417" s="24" t="n">
        <f aca="false">(F417="C")+(G417="C")</f>
        <v>0</v>
      </c>
      <c r="K417" s="25" t="n">
        <f aca="false">I417+J417</f>
        <v>1</v>
      </c>
    </row>
    <row r="418" customFormat="false" ht="15" hidden="false" customHeight="false" outlineLevel="0" collapsed="false">
      <c r="A418" s="24" t="s">
        <v>51</v>
      </c>
      <c r="B418" s="24" t="s">
        <v>530</v>
      </c>
      <c r="C418" s="24" t="s">
        <v>534</v>
      </c>
      <c r="D418" s="24" t="n">
        <f aca="false">IFERROR(INDEX(Positions!$D$2:$D$6912,MATCH($A418&amp;"|19",Positions!$A$2:$A$6912,0)),"-")</f>
        <v>19</v>
      </c>
      <c r="E418" s="24" t="n">
        <f aca="false">IFERROR(INDEX(Positions!$D$2:$D$6912,MATCH($A418&amp;"|56",Positions!$A$2:$A$6912,0)),"-")</f>
        <v>56</v>
      </c>
      <c r="F418" s="24" t="str">
        <f aca="false">IFERROR(INDEX(Positions!$E$2:$E$6912,MATCH($A418&amp;"|19",Positions!$A$2:$A$6912,0)),"-")</f>
        <v>G</v>
      </c>
      <c r="G418" s="24" t="str">
        <f aca="false">IFERROR(INDEX(Positions!$E$2:$E$6912,MATCH($A418&amp;"|56",Positions!$A$2:$A$6912,0)),"-")</f>
        <v>C</v>
      </c>
      <c r="H418" s="25" t="str">
        <f aca="false">F418&amp;"-"&amp;G418</f>
        <v>G-C</v>
      </c>
      <c r="I418" s="24" t="n">
        <f aca="false">(F418="G")+(G418="G")</f>
        <v>1</v>
      </c>
      <c r="J418" s="24" t="n">
        <f aca="false">(F418="C")+(G418="C")</f>
        <v>1</v>
      </c>
      <c r="K418" s="25" t="n">
        <f aca="false">I418+J418</f>
        <v>2</v>
      </c>
    </row>
    <row r="419" customFormat="false" ht="15" hidden="false" customHeight="false" outlineLevel="0" collapsed="false">
      <c r="A419" s="24" t="s">
        <v>51</v>
      </c>
      <c r="B419" s="24" t="s">
        <v>530</v>
      </c>
      <c r="C419" s="24" t="s">
        <v>535</v>
      </c>
      <c r="D419" s="24" t="n">
        <f aca="false">IFERROR(INDEX(Positions!$D$2:$D$6912,MATCH($A419&amp;"|26",Positions!$A$2:$A$6912,0)),"-")</f>
        <v>26</v>
      </c>
      <c r="E419" s="24" t="n">
        <f aca="false">IFERROR(INDEX(Positions!$D$2:$D$6912,MATCH($A419&amp;"|44",Positions!$A$2:$A$6912,0)),"-")</f>
        <v>44</v>
      </c>
      <c r="F419" s="24" t="str">
        <f aca="false">IFERROR(INDEX(Positions!$E$2:$E$6912,MATCH($A419&amp;"|26",Positions!$A$2:$A$6912,0)),"-")</f>
        <v>A</v>
      </c>
      <c r="G419" s="24" t="str">
        <f aca="false">IFERROR(INDEX(Positions!$E$2:$E$6912,MATCH($A419&amp;"|44",Positions!$A$2:$A$6912,0)),"-")</f>
        <v>G</v>
      </c>
      <c r="H419" s="25" t="str">
        <f aca="false">F419&amp;"-"&amp;G419</f>
        <v>A-G</v>
      </c>
      <c r="I419" s="24" t="n">
        <f aca="false">(F419="G")+(G419="G")</f>
        <v>1</v>
      </c>
      <c r="J419" s="24" t="n">
        <f aca="false">(F419="C")+(G419="C")</f>
        <v>0</v>
      </c>
      <c r="K419" s="25" t="n">
        <f aca="false">I419+J419</f>
        <v>1</v>
      </c>
    </row>
    <row r="420" customFormat="false" ht="15" hidden="false" customHeight="false" outlineLevel="0" collapsed="false">
      <c r="A420" s="24" t="s">
        <v>51</v>
      </c>
      <c r="B420" s="24" t="s">
        <v>530</v>
      </c>
      <c r="C420" s="24" t="s">
        <v>536</v>
      </c>
      <c r="D420" s="24" t="n">
        <f aca="false">IFERROR(INDEX(Positions!$D$2:$D$6912,MATCH($A420&amp;"|32",Positions!$A$2:$A$6912,0)),"-")</f>
        <v>32</v>
      </c>
      <c r="E420" s="24" t="n">
        <f aca="false">IFERROR(INDEX(Positions!$D$2:$D$6912,MATCH($A420&amp;"|38",Positions!$A$2:$A$6912,0)),"-")</f>
        <v>38</v>
      </c>
      <c r="F420" s="24" t="str">
        <f aca="false">IFERROR(INDEX(Positions!$E$2:$E$6912,MATCH($A420&amp;"|32",Positions!$A$2:$A$6912,0)),"-")</f>
        <v>C</v>
      </c>
      <c r="G420" s="24" t="str">
        <f aca="false">IFERROR(INDEX(Positions!$E$2:$E$6912,MATCH($A420&amp;"|38",Positions!$A$2:$A$6912,0)),"-")</f>
        <v>A</v>
      </c>
      <c r="H420" s="25" t="str">
        <f aca="false">F420&amp;"-"&amp;G420</f>
        <v>C-A</v>
      </c>
      <c r="I420" s="24" t="n">
        <f aca="false">(F420="G")+(G420="G")</f>
        <v>0</v>
      </c>
      <c r="J420" s="24" t="n">
        <f aca="false">(F420="C")+(G420="C")</f>
        <v>1</v>
      </c>
      <c r="K420" s="25" t="n">
        <f aca="false">I420+J420</f>
        <v>1</v>
      </c>
    </row>
    <row r="421" customFormat="false" ht="15" hidden="false" customHeight="false" outlineLevel="0" collapsed="false">
      <c r="A421" s="24" t="s">
        <v>51</v>
      </c>
      <c r="B421" s="24" t="s">
        <v>530</v>
      </c>
      <c r="C421" s="24" t="s">
        <v>537</v>
      </c>
      <c r="D421" s="24" t="n">
        <f aca="false">IFERROR(INDEX(Positions!$D$2:$D$6912,MATCH($A421&amp;"|54",Positions!$A$2:$A$6912,0)),"-")</f>
        <v>54</v>
      </c>
      <c r="E421" s="24" t="n">
        <f aca="false">IFERROR(INDEX(Positions!$D$2:$D$6912,MATCH($A421&amp;"|58",Positions!$A$2:$A$6912,0)),"-")</f>
        <v>58</v>
      </c>
      <c r="F421" s="24" t="str">
        <f aca="false">IFERROR(INDEX(Positions!$E$2:$E$6912,MATCH($A421&amp;"|54",Positions!$A$2:$A$6912,0)),"-")</f>
        <v>U</v>
      </c>
      <c r="G421" s="24" t="str">
        <f aca="false">IFERROR(INDEX(Positions!$E$2:$E$6912,MATCH($A421&amp;"|58",Positions!$A$2:$A$6912,0)),"-")</f>
        <v>A</v>
      </c>
      <c r="H421" s="25" t="str">
        <f aca="false">F421&amp;"-"&amp;G421</f>
        <v>U-A</v>
      </c>
      <c r="I421" s="24" t="n">
        <f aca="false">(F421="G")+(G421="G")</f>
        <v>0</v>
      </c>
      <c r="J421" s="24" t="n">
        <f aca="false">(F421="C")+(G421="C")</f>
        <v>0</v>
      </c>
      <c r="K421" s="25" t="n">
        <f aca="false">I421+J421</f>
        <v>0</v>
      </c>
    </row>
    <row r="422" customFormat="false" ht="15" hidden="false" customHeight="false" outlineLevel="0" collapsed="false">
      <c r="A422" s="4" t="s">
        <v>52</v>
      </c>
      <c r="B422" s="4" t="s">
        <v>412</v>
      </c>
      <c r="C422" s="4" t="s">
        <v>517</v>
      </c>
      <c r="D422" s="4" t="n">
        <f aca="false">IFERROR(INDEX(Positions!$D$2:$D$6912,MATCH($A422&amp;"|1",Positions!$A$2:$A$6912,0)),"-")</f>
        <v>1</v>
      </c>
      <c r="E422" s="4" t="n">
        <f aca="false">IFERROR(INDEX(Positions!$D$2:$D$6912,MATCH($A422&amp;"|72",Positions!$A$2:$A$6912,0)),"-")</f>
        <v>72</v>
      </c>
      <c r="F422" s="4" t="str">
        <f aca="false">IFERROR(INDEX(Positions!$E$2:$E$6912,MATCH($A422&amp;"|1",Positions!$A$2:$A$6912,0)),"-")</f>
        <v>G</v>
      </c>
      <c r="G422" s="4" t="str">
        <f aca="false">IFERROR(INDEX(Positions!$E$2:$E$6912,MATCH($A422&amp;"|72",Positions!$A$2:$A$6912,0)),"-")</f>
        <v>C</v>
      </c>
      <c r="H422" s="3" t="str">
        <f aca="false">F422&amp;"-"&amp;G422</f>
        <v>G-C</v>
      </c>
      <c r="I422" s="4" t="n">
        <f aca="false">(F422="G")+(G422="G")</f>
        <v>1</v>
      </c>
      <c r="J422" s="4" t="n">
        <f aca="false">(F422="C")+(G422="C")</f>
        <v>1</v>
      </c>
      <c r="K422" s="3" t="n">
        <f aca="false">I422+J422</f>
        <v>2</v>
      </c>
    </row>
    <row r="423" customFormat="false" ht="15" hidden="false" customHeight="false" outlineLevel="0" collapsed="false">
      <c r="A423" s="4" t="s">
        <v>52</v>
      </c>
      <c r="B423" s="4" t="s">
        <v>412</v>
      </c>
      <c r="C423" s="4" t="s">
        <v>518</v>
      </c>
      <c r="D423" s="4" t="n">
        <f aca="false">IFERROR(INDEX(Positions!$D$2:$D$6912,MATCH($A423&amp;"|2",Positions!$A$2:$A$6912,0)),"-")</f>
        <v>2</v>
      </c>
      <c r="E423" s="4" t="n">
        <f aca="false">IFERROR(INDEX(Positions!$D$2:$D$6912,MATCH($A423&amp;"|71",Positions!$A$2:$A$6912,0)),"-")</f>
        <v>71</v>
      </c>
      <c r="F423" s="4" t="str">
        <f aca="false">IFERROR(INDEX(Positions!$E$2:$E$6912,MATCH($A423&amp;"|2",Positions!$A$2:$A$6912,0)),"-")</f>
        <v>C</v>
      </c>
      <c r="G423" s="4" t="str">
        <f aca="false">IFERROR(INDEX(Positions!$E$2:$E$6912,MATCH($A423&amp;"|71",Positions!$A$2:$A$6912,0)),"-")</f>
        <v>G</v>
      </c>
      <c r="H423" s="3" t="str">
        <f aca="false">F423&amp;"-"&amp;G423</f>
        <v>C-G</v>
      </c>
      <c r="I423" s="4" t="n">
        <f aca="false">(F423="G")+(G423="G")</f>
        <v>1</v>
      </c>
      <c r="J423" s="4" t="n">
        <f aca="false">(F423="C")+(G423="C")</f>
        <v>1</v>
      </c>
      <c r="K423" s="3" t="n">
        <f aca="false">I423+J423</f>
        <v>2</v>
      </c>
    </row>
    <row r="424" customFormat="false" ht="15" hidden="false" customHeight="false" outlineLevel="0" collapsed="false">
      <c r="A424" s="4" t="s">
        <v>52</v>
      </c>
      <c r="B424" s="4" t="s">
        <v>412</v>
      </c>
      <c r="C424" s="4" t="s">
        <v>386</v>
      </c>
      <c r="D424" s="4" t="n">
        <f aca="false">IFERROR(INDEX(Positions!$D$2:$D$6912,MATCH($A424&amp;"|3",Positions!$A$2:$A$6912,0)),"-")</f>
        <v>3</v>
      </c>
      <c r="E424" s="4" t="n">
        <f aca="false">IFERROR(INDEX(Positions!$D$2:$D$6912,MATCH($A424&amp;"|70",Positions!$A$2:$A$6912,0)),"-")</f>
        <v>70</v>
      </c>
      <c r="F424" s="4" t="str">
        <f aca="false">IFERROR(INDEX(Positions!$E$2:$E$6912,MATCH($A424&amp;"|3",Positions!$A$2:$A$6912,0)),"-")</f>
        <v>C</v>
      </c>
      <c r="G424" s="4" t="str">
        <f aca="false">IFERROR(INDEX(Positions!$E$2:$E$6912,MATCH($A424&amp;"|70",Positions!$A$2:$A$6912,0)),"-")</f>
        <v>G</v>
      </c>
      <c r="H424" s="3" t="str">
        <f aca="false">F424&amp;"-"&amp;G424</f>
        <v>C-G</v>
      </c>
      <c r="I424" s="4" t="n">
        <f aca="false">(F424="G")+(G424="G")</f>
        <v>1</v>
      </c>
      <c r="J424" s="4" t="n">
        <f aca="false">(F424="C")+(G424="C")</f>
        <v>1</v>
      </c>
      <c r="K424" s="3" t="n">
        <f aca="false">I424+J424</f>
        <v>2</v>
      </c>
    </row>
    <row r="425" customFormat="false" ht="15" hidden="false" customHeight="false" outlineLevel="0" collapsed="false">
      <c r="A425" s="4" t="s">
        <v>52</v>
      </c>
      <c r="B425" s="4" t="s">
        <v>412</v>
      </c>
      <c r="C425" s="4" t="s">
        <v>519</v>
      </c>
      <c r="D425" s="4" t="n">
        <f aca="false">IFERROR(INDEX(Positions!$D$2:$D$6912,MATCH($A425&amp;"|4",Positions!$A$2:$A$6912,0)),"-")</f>
        <v>4</v>
      </c>
      <c r="E425" s="4" t="n">
        <f aca="false">IFERROR(INDEX(Positions!$D$2:$D$6912,MATCH($A425&amp;"|69",Positions!$A$2:$A$6912,0)),"-")</f>
        <v>69</v>
      </c>
      <c r="F425" s="4" t="str">
        <f aca="false">IFERROR(INDEX(Positions!$E$2:$E$6912,MATCH($A425&amp;"|4",Positions!$A$2:$A$6912,0)),"-")</f>
        <v>G</v>
      </c>
      <c r="G425" s="4" t="str">
        <f aca="false">IFERROR(INDEX(Positions!$E$2:$E$6912,MATCH($A425&amp;"|69",Positions!$A$2:$A$6912,0)),"-")</f>
        <v>C</v>
      </c>
      <c r="H425" s="3" t="str">
        <f aca="false">F425&amp;"-"&amp;G425</f>
        <v>G-C</v>
      </c>
      <c r="I425" s="4" t="n">
        <f aca="false">(F425="G")+(G425="G")</f>
        <v>1</v>
      </c>
      <c r="J425" s="4" t="n">
        <f aca="false">(F425="C")+(G425="C")</f>
        <v>1</v>
      </c>
      <c r="K425" s="3" t="n">
        <f aca="false">I425+J425</f>
        <v>2</v>
      </c>
    </row>
    <row r="426" customFormat="false" ht="15" hidden="false" customHeight="false" outlineLevel="0" collapsed="false">
      <c r="A426" s="4" t="s">
        <v>52</v>
      </c>
      <c r="B426" s="4" t="s">
        <v>412</v>
      </c>
      <c r="C426" s="4" t="s">
        <v>283</v>
      </c>
      <c r="D426" s="4" t="n">
        <f aca="false">IFERROR(INDEX(Positions!$D$2:$D$6912,MATCH($A426&amp;"|5",Positions!$A$2:$A$6912,0)),"-")</f>
        <v>5</v>
      </c>
      <c r="E426" s="4" t="n">
        <f aca="false">IFERROR(INDEX(Positions!$D$2:$D$6912,MATCH($A426&amp;"|68",Positions!$A$2:$A$6912,0)),"-")</f>
        <v>68</v>
      </c>
      <c r="F426" s="4" t="str">
        <f aca="false">IFERROR(INDEX(Positions!$E$2:$E$6912,MATCH($A426&amp;"|5",Positions!$A$2:$A$6912,0)),"-")</f>
        <v>A</v>
      </c>
      <c r="G426" s="4" t="str">
        <f aca="false">IFERROR(INDEX(Positions!$E$2:$E$6912,MATCH($A426&amp;"|68",Positions!$A$2:$A$6912,0)),"-")</f>
        <v>U</v>
      </c>
      <c r="H426" s="3" t="str">
        <f aca="false">F426&amp;"-"&amp;G426</f>
        <v>A-U</v>
      </c>
      <c r="I426" s="4" t="n">
        <f aca="false">(F426="G")+(G426="G")</f>
        <v>0</v>
      </c>
      <c r="J426" s="4" t="n">
        <f aca="false">(F426="C")+(G426="C")</f>
        <v>0</v>
      </c>
      <c r="K426" s="3" t="n">
        <f aca="false">I426+J426</f>
        <v>0</v>
      </c>
    </row>
    <row r="427" customFormat="false" ht="15" hidden="false" customHeight="false" outlineLevel="0" collapsed="false">
      <c r="A427" s="4" t="s">
        <v>52</v>
      </c>
      <c r="B427" s="4" t="s">
        <v>412</v>
      </c>
      <c r="C427" s="4" t="s">
        <v>520</v>
      </c>
      <c r="D427" s="4" t="n">
        <f aca="false">IFERROR(INDEX(Positions!$D$2:$D$6912,MATCH($A427&amp;"|6",Positions!$A$2:$A$6912,0)),"-")</f>
        <v>6</v>
      </c>
      <c r="E427" s="4" t="n">
        <f aca="false">IFERROR(INDEX(Positions!$D$2:$D$6912,MATCH($A427&amp;"|67",Positions!$A$2:$A$6912,0)),"-")</f>
        <v>67</v>
      </c>
      <c r="F427" s="4" t="str">
        <f aca="false">IFERROR(INDEX(Positions!$E$2:$E$6912,MATCH($A427&amp;"|6",Positions!$A$2:$A$6912,0)),"-")</f>
        <v>A</v>
      </c>
      <c r="G427" s="4" t="str">
        <f aca="false">IFERROR(INDEX(Positions!$E$2:$E$6912,MATCH($A427&amp;"|67",Positions!$A$2:$A$6912,0)),"-")</f>
        <v>U</v>
      </c>
      <c r="H427" s="3" t="str">
        <f aca="false">F427&amp;"-"&amp;G427</f>
        <v>A-U</v>
      </c>
      <c r="I427" s="4" t="n">
        <f aca="false">(F427="G")+(G427="G")</f>
        <v>0</v>
      </c>
      <c r="J427" s="4" t="n">
        <f aca="false">(F427="C")+(G427="C")</f>
        <v>0</v>
      </c>
      <c r="K427" s="3" t="n">
        <f aca="false">I427+J427</f>
        <v>0</v>
      </c>
    </row>
    <row r="428" customFormat="false" ht="15" hidden="false" customHeight="false" outlineLevel="0" collapsed="false">
      <c r="A428" s="4" t="s">
        <v>52</v>
      </c>
      <c r="B428" s="4" t="s">
        <v>412</v>
      </c>
      <c r="C428" s="4" t="s">
        <v>521</v>
      </c>
      <c r="D428" s="4" t="n">
        <f aca="false">IFERROR(INDEX(Positions!$D$2:$D$6912,MATCH($A428&amp;"|7",Positions!$A$2:$A$6912,0)),"-")</f>
        <v>7</v>
      </c>
      <c r="E428" s="4" t="n">
        <f aca="false">IFERROR(INDEX(Positions!$D$2:$D$6912,MATCH($A428&amp;"|66",Positions!$A$2:$A$6912,0)),"-")</f>
        <v>66</v>
      </c>
      <c r="F428" s="4" t="str">
        <f aca="false">IFERROR(INDEX(Positions!$E$2:$E$6912,MATCH($A428&amp;"|7",Positions!$A$2:$A$6912,0)),"-")</f>
        <v>A</v>
      </c>
      <c r="G428" s="4" t="str">
        <f aca="false">IFERROR(INDEX(Positions!$E$2:$E$6912,MATCH($A428&amp;"|66",Positions!$A$2:$A$6912,0)),"-")</f>
        <v>U</v>
      </c>
      <c r="H428" s="3" t="str">
        <f aca="false">F428&amp;"-"&amp;G428</f>
        <v>A-U</v>
      </c>
      <c r="I428" s="4" t="n">
        <f aca="false">(F428="G")+(G428="G")</f>
        <v>0</v>
      </c>
      <c r="J428" s="4" t="n">
        <f aca="false">(F428="C")+(G428="C")</f>
        <v>0</v>
      </c>
      <c r="K428" s="3" t="n">
        <f aca="false">I428+J428</f>
        <v>0</v>
      </c>
    </row>
    <row r="429" customFormat="false" ht="15" hidden="false" customHeight="false" outlineLevel="0" collapsed="false">
      <c r="A429" s="4" t="s">
        <v>52</v>
      </c>
      <c r="B429" s="4" t="s">
        <v>425</v>
      </c>
      <c r="C429" s="4" t="s">
        <v>522</v>
      </c>
      <c r="D429" s="4" t="n">
        <f aca="false">IFERROR(INDEX(Positions!$D$2:$D$6912,MATCH($A429&amp;"|10",Positions!$A$2:$A$6912,0)),"-")</f>
        <v>10</v>
      </c>
      <c r="E429" s="4" t="n">
        <f aca="false">IFERROR(INDEX(Positions!$D$2:$D$6912,MATCH($A429&amp;"|25",Positions!$A$2:$A$6912,0)),"-")</f>
        <v>25</v>
      </c>
      <c r="F429" s="4" t="str">
        <f aca="false">IFERROR(INDEX(Positions!$E$2:$E$6912,MATCH($A429&amp;"|10",Positions!$A$2:$A$6912,0)),"-")</f>
        <v>G</v>
      </c>
      <c r="G429" s="4" t="str">
        <f aca="false">IFERROR(INDEX(Positions!$E$2:$E$6912,MATCH($A429&amp;"|25",Positions!$A$2:$A$6912,0)),"-")</f>
        <v>C</v>
      </c>
      <c r="H429" s="3" t="str">
        <f aca="false">F429&amp;"-"&amp;G429</f>
        <v>G-C</v>
      </c>
      <c r="I429" s="4" t="n">
        <f aca="false">(F429="G")+(G429="G")</f>
        <v>1</v>
      </c>
      <c r="J429" s="4" t="n">
        <f aca="false">(F429="C")+(G429="C")</f>
        <v>1</v>
      </c>
      <c r="K429" s="3" t="n">
        <f aca="false">I429+J429</f>
        <v>2</v>
      </c>
    </row>
    <row r="430" customFormat="false" ht="15" hidden="false" customHeight="false" outlineLevel="0" collapsed="false">
      <c r="A430" s="4" t="s">
        <v>52</v>
      </c>
      <c r="B430" s="4" t="s">
        <v>425</v>
      </c>
      <c r="C430" s="4" t="s">
        <v>523</v>
      </c>
      <c r="D430" s="4" t="n">
        <f aca="false">IFERROR(INDEX(Positions!$D$2:$D$6912,MATCH($A430&amp;"|11",Positions!$A$2:$A$6912,0)),"-")</f>
        <v>11</v>
      </c>
      <c r="E430" s="4" t="n">
        <f aca="false">IFERROR(INDEX(Positions!$D$2:$D$6912,MATCH($A430&amp;"|24",Positions!$A$2:$A$6912,0)),"-")</f>
        <v>24</v>
      </c>
      <c r="F430" s="4" t="str">
        <f aca="false">IFERROR(INDEX(Positions!$E$2:$E$6912,MATCH($A430&amp;"|11",Positions!$A$2:$A$6912,0)),"-")</f>
        <v>C</v>
      </c>
      <c r="G430" s="4" t="str">
        <f aca="false">IFERROR(INDEX(Positions!$E$2:$E$6912,MATCH($A430&amp;"|24",Positions!$A$2:$A$6912,0)),"-")</f>
        <v>G</v>
      </c>
      <c r="H430" s="3" t="str">
        <f aca="false">F430&amp;"-"&amp;G430</f>
        <v>C-G</v>
      </c>
      <c r="I430" s="4" t="n">
        <f aca="false">(F430="G")+(G430="G")</f>
        <v>1</v>
      </c>
      <c r="J430" s="4" t="n">
        <f aca="false">(F430="C")+(G430="C")</f>
        <v>1</v>
      </c>
      <c r="K430" s="3" t="n">
        <f aca="false">I430+J430</f>
        <v>2</v>
      </c>
    </row>
    <row r="431" customFormat="false" ht="15" hidden="false" customHeight="false" outlineLevel="0" collapsed="false">
      <c r="A431" s="4" t="s">
        <v>52</v>
      </c>
      <c r="B431" s="4" t="s">
        <v>425</v>
      </c>
      <c r="C431" s="4" t="s">
        <v>250</v>
      </c>
      <c r="D431" s="4" t="n">
        <f aca="false">IFERROR(INDEX(Positions!$D$2:$D$6912,MATCH($A431&amp;"|12",Positions!$A$2:$A$6912,0)),"-")</f>
        <v>12</v>
      </c>
      <c r="E431" s="4" t="n">
        <f aca="false">IFERROR(INDEX(Positions!$D$2:$D$6912,MATCH($A431&amp;"|23",Positions!$A$2:$A$6912,0)),"-")</f>
        <v>23</v>
      </c>
      <c r="F431" s="4" t="str">
        <f aca="false">IFERROR(INDEX(Positions!$E$2:$E$6912,MATCH($A431&amp;"|12",Positions!$A$2:$A$6912,0)),"-")</f>
        <v>U</v>
      </c>
      <c r="G431" s="4" t="str">
        <f aca="false">IFERROR(INDEX(Positions!$E$2:$E$6912,MATCH($A431&amp;"|23",Positions!$A$2:$A$6912,0)),"-")</f>
        <v>A</v>
      </c>
      <c r="H431" s="3" t="str">
        <f aca="false">F431&amp;"-"&amp;G431</f>
        <v>U-A</v>
      </c>
      <c r="I431" s="4" t="n">
        <f aca="false">(F431="G")+(G431="G")</f>
        <v>0</v>
      </c>
      <c r="J431" s="4" t="n">
        <f aca="false">(F431="C")+(G431="C")</f>
        <v>0</v>
      </c>
      <c r="K431" s="3" t="n">
        <f aca="false">I431+J431</f>
        <v>0</v>
      </c>
    </row>
    <row r="432" customFormat="false" ht="15" hidden="false" customHeight="false" outlineLevel="0" collapsed="false">
      <c r="A432" s="4" t="s">
        <v>52</v>
      </c>
      <c r="B432" s="4" t="s">
        <v>425</v>
      </c>
      <c r="C432" s="4" t="s">
        <v>154</v>
      </c>
      <c r="D432" s="4" t="n">
        <f aca="false">IFERROR(INDEX(Positions!$D$2:$D$6912,MATCH($A432&amp;"|13",Positions!$A$2:$A$6912,0)),"-")</f>
        <v>13</v>
      </c>
      <c r="E432" s="4" t="n">
        <f aca="false">IFERROR(INDEX(Positions!$D$2:$D$6912,MATCH($A432&amp;"|22",Positions!$A$2:$A$6912,0)),"-")</f>
        <v>22</v>
      </c>
      <c r="F432" s="4" t="str">
        <f aca="false">IFERROR(INDEX(Positions!$E$2:$E$6912,MATCH($A432&amp;"|13",Positions!$A$2:$A$6912,0)),"-")</f>
        <v>C</v>
      </c>
      <c r="G432" s="4" t="str">
        <f aca="false">IFERROR(INDEX(Positions!$E$2:$E$6912,MATCH($A432&amp;"|22",Positions!$A$2:$A$6912,0)),"-")</f>
        <v>G</v>
      </c>
      <c r="H432" s="3" t="str">
        <f aca="false">F432&amp;"-"&amp;G432</f>
        <v>C-G</v>
      </c>
      <c r="I432" s="4" t="n">
        <f aca="false">(F432="G")+(G432="G")</f>
        <v>1</v>
      </c>
      <c r="J432" s="4" t="n">
        <f aca="false">(F432="C")+(G432="C")</f>
        <v>1</v>
      </c>
      <c r="K432" s="3" t="n">
        <f aca="false">I432+J432</f>
        <v>2</v>
      </c>
    </row>
    <row r="433" customFormat="false" ht="15" hidden="false" customHeight="false" outlineLevel="0" collapsed="false">
      <c r="A433" s="4" t="s">
        <v>52</v>
      </c>
      <c r="B433" s="4" t="s">
        <v>446</v>
      </c>
      <c r="C433" s="4" t="s">
        <v>524</v>
      </c>
      <c r="D433" s="4" t="n">
        <f aca="false">IFERROR(INDEX(Positions!$D$2:$D$6912,MATCH($A433&amp;"|27",Positions!$A$2:$A$6912,0)),"-")</f>
        <v>27</v>
      </c>
      <c r="E433" s="4" t="n">
        <f aca="false">IFERROR(INDEX(Positions!$D$2:$D$6912,MATCH($A433&amp;"|43",Positions!$A$2:$A$6912,0)),"-")</f>
        <v>43</v>
      </c>
      <c r="F433" s="4" t="str">
        <f aca="false">IFERROR(INDEX(Positions!$E$2:$E$6912,MATCH($A433&amp;"|27",Positions!$A$2:$A$6912,0)),"-")</f>
        <v>U</v>
      </c>
      <c r="G433" s="4" t="str">
        <f aca="false">IFERROR(INDEX(Positions!$E$2:$E$6912,MATCH($A433&amp;"|43",Positions!$A$2:$A$6912,0)),"-")</f>
        <v>A</v>
      </c>
      <c r="H433" s="3" t="str">
        <f aca="false">F433&amp;"-"&amp;G433</f>
        <v>U-A</v>
      </c>
      <c r="I433" s="4" t="n">
        <f aca="false">(F433="G")+(G433="G")</f>
        <v>0</v>
      </c>
      <c r="J433" s="4" t="n">
        <f aca="false">(F433="C")+(G433="C")</f>
        <v>0</v>
      </c>
      <c r="K433" s="3" t="n">
        <f aca="false">I433+J433</f>
        <v>0</v>
      </c>
    </row>
    <row r="434" customFormat="false" ht="15" hidden="false" customHeight="false" outlineLevel="0" collapsed="false">
      <c r="A434" s="4" t="s">
        <v>52</v>
      </c>
      <c r="B434" s="4" t="s">
        <v>446</v>
      </c>
      <c r="C434" s="4" t="s">
        <v>525</v>
      </c>
      <c r="D434" s="4" t="n">
        <f aca="false">IFERROR(INDEX(Positions!$D$2:$D$6912,MATCH($A434&amp;"|28",Positions!$A$2:$A$6912,0)),"-")</f>
        <v>28</v>
      </c>
      <c r="E434" s="4" t="n">
        <f aca="false">IFERROR(INDEX(Positions!$D$2:$D$6912,MATCH($A434&amp;"|42",Positions!$A$2:$A$6912,0)),"-")</f>
        <v>42</v>
      </c>
      <c r="F434" s="4" t="str">
        <f aca="false">IFERROR(INDEX(Positions!$E$2:$E$6912,MATCH($A434&amp;"|28",Positions!$A$2:$A$6912,0)),"-")</f>
        <v>U</v>
      </c>
      <c r="G434" s="4" t="str">
        <f aca="false">IFERROR(INDEX(Positions!$E$2:$E$6912,MATCH($A434&amp;"|42",Positions!$A$2:$A$6912,0)),"-")</f>
        <v>A</v>
      </c>
      <c r="H434" s="3" t="str">
        <f aca="false">F434&amp;"-"&amp;G434</f>
        <v>U-A</v>
      </c>
      <c r="I434" s="4" t="n">
        <f aca="false">(F434="G")+(G434="G")</f>
        <v>0</v>
      </c>
      <c r="J434" s="4" t="n">
        <f aca="false">(F434="C")+(G434="C")</f>
        <v>0</v>
      </c>
      <c r="K434" s="3" t="n">
        <f aca="false">I434+J434</f>
        <v>0</v>
      </c>
    </row>
    <row r="435" customFormat="false" ht="15" hidden="false" customHeight="false" outlineLevel="0" collapsed="false">
      <c r="A435" s="4" t="s">
        <v>52</v>
      </c>
      <c r="B435" s="4" t="s">
        <v>446</v>
      </c>
      <c r="C435" s="4" t="s">
        <v>256</v>
      </c>
      <c r="D435" s="4" t="n">
        <f aca="false">IFERROR(INDEX(Positions!$D$2:$D$6912,MATCH($A435&amp;"|29",Positions!$A$2:$A$6912,0)),"-")</f>
        <v>29</v>
      </c>
      <c r="E435" s="4" t="n">
        <f aca="false">IFERROR(INDEX(Positions!$D$2:$D$6912,MATCH($A435&amp;"|41",Positions!$A$2:$A$6912,0)),"-")</f>
        <v>41</v>
      </c>
      <c r="F435" s="4" t="str">
        <f aca="false">IFERROR(INDEX(Positions!$E$2:$E$6912,MATCH($A435&amp;"|29",Positions!$A$2:$A$6912,0)),"-")</f>
        <v>A</v>
      </c>
      <c r="G435" s="4" t="str">
        <f aca="false">IFERROR(INDEX(Positions!$E$2:$E$6912,MATCH($A435&amp;"|41",Positions!$A$2:$A$6912,0)),"-")</f>
        <v>U</v>
      </c>
      <c r="H435" s="3" t="str">
        <f aca="false">F435&amp;"-"&amp;G435</f>
        <v>A-U</v>
      </c>
      <c r="I435" s="4" t="n">
        <f aca="false">(F435="G")+(G435="G")</f>
        <v>0</v>
      </c>
      <c r="J435" s="4" t="n">
        <f aca="false">(F435="C")+(G435="C")</f>
        <v>0</v>
      </c>
      <c r="K435" s="3" t="n">
        <f aca="false">I435+J435</f>
        <v>0</v>
      </c>
    </row>
    <row r="436" customFormat="false" ht="15" hidden="false" customHeight="false" outlineLevel="0" collapsed="false">
      <c r="A436" s="4" t="s">
        <v>52</v>
      </c>
      <c r="B436" s="4" t="s">
        <v>446</v>
      </c>
      <c r="C436" s="4" t="s">
        <v>526</v>
      </c>
      <c r="D436" s="4" t="n">
        <f aca="false">IFERROR(INDEX(Positions!$D$2:$D$6912,MATCH($A436&amp;"|30",Positions!$A$2:$A$6912,0)),"-")</f>
        <v>30</v>
      </c>
      <c r="E436" s="4" t="n">
        <f aca="false">IFERROR(INDEX(Positions!$D$2:$D$6912,MATCH($A436&amp;"|40",Positions!$A$2:$A$6912,0)),"-")</f>
        <v>40</v>
      </c>
      <c r="F436" s="4" t="str">
        <f aca="false">IFERROR(INDEX(Positions!$E$2:$E$6912,MATCH($A436&amp;"|30",Positions!$A$2:$A$6912,0)),"-")</f>
        <v>G</v>
      </c>
      <c r="G436" s="4" t="str">
        <f aca="false">IFERROR(INDEX(Positions!$E$2:$E$6912,MATCH($A436&amp;"|40",Positions!$A$2:$A$6912,0)),"-")</f>
        <v>C</v>
      </c>
      <c r="H436" s="3" t="str">
        <f aca="false">F436&amp;"-"&amp;G436</f>
        <v>G-C</v>
      </c>
      <c r="I436" s="4" t="n">
        <f aca="false">(F436="G")+(G436="G")</f>
        <v>1</v>
      </c>
      <c r="J436" s="4" t="n">
        <f aca="false">(F436="C")+(G436="C")</f>
        <v>1</v>
      </c>
      <c r="K436" s="3" t="n">
        <f aca="false">I436+J436</f>
        <v>2</v>
      </c>
    </row>
    <row r="437" customFormat="false" ht="15" hidden="false" customHeight="false" outlineLevel="0" collapsed="false">
      <c r="A437" s="4" t="s">
        <v>52</v>
      </c>
      <c r="B437" s="4" t="s">
        <v>446</v>
      </c>
      <c r="C437" s="4" t="s">
        <v>273</v>
      </c>
      <c r="D437" s="4" t="n">
        <f aca="false">IFERROR(INDEX(Positions!$D$2:$D$6912,MATCH($A437&amp;"|31",Positions!$A$2:$A$6912,0)),"-")</f>
        <v>31</v>
      </c>
      <c r="E437" s="4" t="n">
        <f aca="false">IFERROR(INDEX(Positions!$D$2:$D$6912,MATCH($A437&amp;"|39",Positions!$A$2:$A$6912,0)),"-")</f>
        <v>39</v>
      </c>
      <c r="F437" s="4" t="str">
        <f aca="false">IFERROR(INDEX(Positions!$E$2:$E$6912,MATCH($A437&amp;"|31",Positions!$A$2:$A$6912,0)),"-")</f>
        <v>A</v>
      </c>
      <c r="G437" s="4" t="str">
        <f aca="false">IFERROR(INDEX(Positions!$E$2:$E$6912,MATCH($A437&amp;"|39",Positions!$A$2:$A$6912,0)),"-")</f>
        <v>U</v>
      </c>
      <c r="H437" s="3" t="str">
        <f aca="false">F437&amp;"-"&amp;G437</f>
        <v>A-U</v>
      </c>
      <c r="I437" s="4" t="n">
        <f aca="false">(F437="G")+(G437="G")</f>
        <v>0</v>
      </c>
      <c r="J437" s="4" t="n">
        <f aca="false">(F437="C")+(G437="C")</f>
        <v>0</v>
      </c>
      <c r="K437" s="3" t="n">
        <f aca="false">I437+J437</f>
        <v>0</v>
      </c>
    </row>
    <row r="438" customFormat="false" ht="15" hidden="false" customHeight="false" outlineLevel="0" collapsed="false">
      <c r="A438" s="4" t="s">
        <v>52</v>
      </c>
      <c r="B438" s="4" t="s">
        <v>471</v>
      </c>
      <c r="C438" s="4" t="s">
        <v>367</v>
      </c>
      <c r="D438" s="4" t="n">
        <f aca="false">IFERROR(INDEX(Positions!$D$2:$D$6912,MATCH($A438&amp;"|49",Positions!$A$2:$A$6912,0)),"-")</f>
        <v>49</v>
      </c>
      <c r="E438" s="4" t="n">
        <f aca="false">IFERROR(INDEX(Positions!$D$2:$D$6912,MATCH($A438&amp;"|65",Positions!$A$2:$A$6912,0)),"-")</f>
        <v>65</v>
      </c>
      <c r="F438" s="4" t="str">
        <f aca="false">IFERROR(INDEX(Positions!$E$2:$E$6912,MATCH($A438&amp;"|49",Positions!$A$2:$A$6912,0)),"-")</f>
        <v>C</v>
      </c>
      <c r="G438" s="4" t="str">
        <f aca="false">IFERROR(INDEX(Positions!$E$2:$E$6912,MATCH($A438&amp;"|65",Positions!$A$2:$A$6912,0)),"-")</f>
        <v>G</v>
      </c>
      <c r="H438" s="3" t="str">
        <f aca="false">F438&amp;"-"&amp;G438</f>
        <v>C-G</v>
      </c>
      <c r="I438" s="4" t="n">
        <f aca="false">(F438="G")+(G438="G")</f>
        <v>1</v>
      </c>
      <c r="J438" s="4" t="n">
        <f aca="false">(F438="C")+(G438="C")</f>
        <v>1</v>
      </c>
      <c r="K438" s="3" t="n">
        <f aca="false">I438+J438</f>
        <v>2</v>
      </c>
    </row>
    <row r="439" customFormat="false" ht="15" hidden="false" customHeight="false" outlineLevel="0" collapsed="false">
      <c r="A439" s="4" t="s">
        <v>52</v>
      </c>
      <c r="B439" s="4" t="s">
        <v>471</v>
      </c>
      <c r="C439" s="4" t="s">
        <v>233</v>
      </c>
      <c r="D439" s="4" t="n">
        <f aca="false">IFERROR(INDEX(Positions!$D$2:$D$6912,MATCH($A439&amp;"|50",Positions!$A$2:$A$6912,0)),"-")</f>
        <v>50</v>
      </c>
      <c r="E439" s="4" t="n">
        <f aca="false">IFERROR(INDEX(Positions!$D$2:$D$6912,MATCH($A439&amp;"|64",Positions!$A$2:$A$6912,0)),"-")</f>
        <v>64</v>
      </c>
      <c r="F439" s="4" t="str">
        <f aca="false">IFERROR(INDEX(Positions!$E$2:$E$6912,MATCH($A439&amp;"|50",Positions!$A$2:$A$6912,0)),"-")</f>
        <v>C</v>
      </c>
      <c r="G439" s="4" t="str">
        <f aca="false">IFERROR(INDEX(Positions!$E$2:$E$6912,MATCH($A439&amp;"|64",Positions!$A$2:$A$6912,0)),"-")</f>
        <v>G</v>
      </c>
      <c r="H439" s="3" t="str">
        <f aca="false">F439&amp;"-"&amp;G439</f>
        <v>C-G</v>
      </c>
      <c r="I439" s="4" t="n">
        <f aca="false">(F439="G")+(G439="G")</f>
        <v>1</v>
      </c>
      <c r="J439" s="4" t="n">
        <f aca="false">(F439="C")+(G439="C")</f>
        <v>1</v>
      </c>
      <c r="K439" s="3" t="n">
        <f aca="false">I439+J439</f>
        <v>2</v>
      </c>
    </row>
    <row r="440" customFormat="false" ht="15" hidden="false" customHeight="false" outlineLevel="0" collapsed="false">
      <c r="A440" s="4" t="s">
        <v>52</v>
      </c>
      <c r="B440" s="4" t="s">
        <v>471</v>
      </c>
      <c r="C440" s="4" t="s">
        <v>527</v>
      </c>
      <c r="D440" s="4" t="n">
        <f aca="false">IFERROR(INDEX(Positions!$D$2:$D$6912,MATCH($A440&amp;"|51",Positions!$A$2:$A$6912,0)),"-")</f>
        <v>51</v>
      </c>
      <c r="E440" s="4" t="n">
        <f aca="false">IFERROR(INDEX(Positions!$D$2:$D$6912,MATCH($A440&amp;"|63",Positions!$A$2:$A$6912,0)),"-")</f>
        <v>63</v>
      </c>
      <c r="F440" s="4" t="str">
        <f aca="false">IFERROR(INDEX(Positions!$E$2:$E$6912,MATCH($A440&amp;"|51",Positions!$A$2:$A$6912,0)),"-")</f>
        <v>C</v>
      </c>
      <c r="G440" s="4" t="str">
        <f aca="false">IFERROR(INDEX(Positions!$E$2:$E$6912,MATCH($A440&amp;"|63",Positions!$A$2:$A$6912,0)),"-")</f>
        <v>G</v>
      </c>
      <c r="H440" s="3" t="str">
        <f aca="false">F440&amp;"-"&amp;G440</f>
        <v>C-G</v>
      </c>
      <c r="I440" s="4" t="n">
        <f aca="false">(F440="G")+(G440="G")</f>
        <v>1</v>
      </c>
      <c r="J440" s="4" t="n">
        <f aca="false">(F440="C")+(G440="C")</f>
        <v>1</v>
      </c>
      <c r="K440" s="3" t="n">
        <f aca="false">I440+J440</f>
        <v>2</v>
      </c>
    </row>
    <row r="441" customFormat="false" ht="15" hidden="false" customHeight="false" outlineLevel="0" collapsed="false">
      <c r="A441" s="4" t="s">
        <v>52</v>
      </c>
      <c r="B441" s="4" t="s">
        <v>471</v>
      </c>
      <c r="C441" s="4" t="s">
        <v>528</v>
      </c>
      <c r="D441" s="4" t="n">
        <f aca="false">IFERROR(INDEX(Positions!$D$2:$D$6912,MATCH($A441&amp;"|52",Positions!$A$2:$A$6912,0)),"-")</f>
        <v>52</v>
      </c>
      <c r="E441" s="4" t="n">
        <f aca="false">IFERROR(INDEX(Positions!$D$2:$D$6912,MATCH($A441&amp;"|62",Positions!$A$2:$A$6912,0)),"-")</f>
        <v>62</v>
      </c>
      <c r="F441" s="4" t="str">
        <f aca="false">IFERROR(INDEX(Positions!$E$2:$E$6912,MATCH($A441&amp;"|52",Positions!$A$2:$A$6912,0)),"-")</f>
        <v>G</v>
      </c>
      <c r="G441" s="4" t="str">
        <f aca="false">IFERROR(INDEX(Positions!$E$2:$E$6912,MATCH($A441&amp;"|62",Positions!$A$2:$A$6912,0)),"-")</f>
        <v>C</v>
      </c>
      <c r="H441" s="3" t="str">
        <f aca="false">F441&amp;"-"&amp;G441</f>
        <v>G-C</v>
      </c>
      <c r="I441" s="4" t="n">
        <f aca="false">(F441="G")+(G441="G")</f>
        <v>1</v>
      </c>
      <c r="J441" s="4" t="n">
        <f aca="false">(F441="C")+(G441="C")</f>
        <v>1</v>
      </c>
      <c r="K441" s="3" t="n">
        <f aca="false">I441+J441</f>
        <v>2</v>
      </c>
    </row>
    <row r="442" customFormat="false" ht="15" hidden="false" customHeight="false" outlineLevel="0" collapsed="false">
      <c r="A442" s="4" t="s">
        <v>52</v>
      </c>
      <c r="B442" s="4" t="s">
        <v>471</v>
      </c>
      <c r="C442" s="4" t="s">
        <v>529</v>
      </c>
      <c r="D442" s="4" t="n">
        <f aca="false">IFERROR(INDEX(Positions!$D$2:$D$6912,MATCH($A442&amp;"|53",Positions!$A$2:$A$6912,0)),"-")</f>
        <v>53</v>
      </c>
      <c r="E442" s="4" t="n">
        <f aca="false">IFERROR(INDEX(Positions!$D$2:$D$6912,MATCH($A442&amp;"|61",Positions!$A$2:$A$6912,0)),"-")</f>
        <v>61</v>
      </c>
      <c r="F442" s="4" t="str">
        <f aca="false">IFERROR(INDEX(Positions!$E$2:$E$6912,MATCH($A442&amp;"|53",Positions!$A$2:$A$6912,0)),"-")</f>
        <v>G</v>
      </c>
      <c r="G442" s="4" t="str">
        <f aca="false">IFERROR(INDEX(Positions!$E$2:$E$6912,MATCH($A442&amp;"|61",Positions!$A$2:$A$6912,0)),"-")</f>
        <v>C</v>
      </c>
      <c r="H442" s="3" t="str">
        <f aca="false">F442&amp;"-"&amp;G442</f>
        <v>G-C</v>
      </c>
      <c r="I442" s="4" t="n">
        <f aca="false">(F442="G")+(G442="G")</f>
        <v>1</v>
      </c>
      <c r="J442" s="4" t="n">
        <f aca="false">(F442="C")+(G442="C")</f>
        <v>1</v>
      </c>
      <c r="K442" s="3" t="n">
        <f aca="false">I442+J442</f>
        <v>2</v>
      </c>
    </row>
    <row r="443" customFormat="false" ht="15" hidden="false" customHeight="false" outlineLevel="0" collapsed="false">
      <c r="A443" s="24" t="s">
        <v>52</v>
      </c>
      <c r="B443" s="24" t="s">
        <v>530</v>
      </c>
      <c r="C443" s="24" t="s">
        <v>531</v>
      </c>
      <c r="D443" s="24" t="n">
        <f aca="false">IFERROR(INDEX(Positions!$D$2:$D$6912,MATCH($A443&amp;"|8",Positions!$A$2:$A$6912,0)),"-")</f>
        <v>8</v>
      </c>
      <c r="E443" s="24" t="n">
        <f aca="false">IFERROR(INDEX(Positions!$D$2:$D$6912,MATCH($A443&amp;"|14",Positions!$A$2:$A$6912,0)),"-")</f>
        <v>14</v>
      </c>
      <c r="F443" s="24" t="str">
        <f aca="false">IFERROR(INDEX(Positions!$E$2:$E$6912,MATCH($A443&amp;"|8",Positions!$A$2:$A$6912,0)),"-")</f>
        <v>U</v>
      </c>
      <c r="G443" s="24" t="str">
        <f aca="false">IFERROR(INDEX(Positions!$E$2:$E$6912,MATCH($A443&amp;"|14",Positions!$A$2:$A$6912,0)),"-")</f>
        <v>A</v>
      </c>
      <c r="H443" s="25" t="str">
        <f aca="false">F443&amp;"-"&amp;G443</f>
        <v>U-A</v>
      </c>
      <c r="I443" s="24" t="n">
        <f aca="false">(F443="G")+(G443="G")</f>
        <v>0</v>
      </c>
      <c r="J443" s="24" t="n">
        <f aca="false">(F443="C")+(G443="C")</f>
        <v>0</v>
      </c>
      <c r="K443" s="25" t="n">
        <f aca="false">I443+J443</f>
        <v>0</v>
      </c>
    </row>
    <row r="444" customFormat="false" ht="15" hidden="false" customHeight="false" outlineLevel="0" collapsed="false">
      <c r="A444" s="24" t="s">
        <v>52</v>
      </c>
      <c r="B444" s="24" t="s">
        <v>530</v>
      </c>
      <c r="C444" s="24" t="s">
        <v>532</v>
      </c>
      <c r="D444" s="24" t="n">
        <f aca="false">IFERROR(INDEX(Positions!$D$2:$D$6912,MATCH($A444&amp;"|15",Positions!$A$2:$A$6912,0)),"-")</f>
        <v>15</v>
      </c>
      <c r="E444" s="24" t="n">
        <f aca="false">IFERROR(INDEX(Positions!$D$2:$D$6912,MATCH($A444&amp;"|48",Positions!$A$2:$A$6912,0)),"-")</f>
        <v>48</v>
      </c>
      <c r="F444" s="24" t="str">
        <f aca="false">IFERROR(INDEX(Positions!$E$2:$E$6912,MATCH($A444&amp;"|15",Positions!$A$2:$A$6912,0)),"-")</f>
        <v>G</v>
      </c>
      <c r="G444" s="24" t="str">
        <f aca="false">IFERROR(INDEX(Positions!$E$2:$E$6912,MATCH($A444&amp;"|48",Positions!$A$2:$A$6912,0)),"-")</f>
        <v>C</v>
      </c>
      <c r="H444" s="25" t="str">
        <f aca="false">F444&amp;"-"&amp;G444</f>
        <v>G-C</v>
      </c>
      <c r="I444" s="24" t="n">
        <f aca="false">(F444="G")+(G444="G")</f>
        <v>1</v>
      </c>
      <c r="J444" s="24" t="n">
        <f aca="false">(F444="C")+(G444="C")</f>
        <v>1</v>
      </c>
      <c r="K444" s="25" t="n">
        <f aca="false">I444+J444</f>
        <v>2</v>
      </c>
    </row>
    <row r="445" customFormat="false" ht="15" hidden="false" customHeight="false" outlineLevel="0" collapsed="false">
      <c r="A445" s="24" t="s">
        <v>52</v>
      </c>
      <c r="B445" s="24" t="s">
        <v>530</v>
      </c>
      <c r="C445" s="24" t="s">
        <v>533</v>
      </c>
      <c r="D445" s="24" t="n">
        <f aca="false">IFERROR(INDEX(Positions!$D$2:$D$6912,MATCH($A445&amp;"|18",Positions!$A$2:$A$6912,0)),"-")</f>
        <v>18</v>
      </c>
      <c r="E445" s="24" t="n">
        <f aca="false">IFERROR(INDEX(Positions!$D$2:$D$6912,MATCH($A445&amp;"|55",Positions!$A$2:$A$6912,0)),"-")</f>
        <v>55</v>
      </c>
      <c r="F445" s="24" t="str">
        <f aca="false">IFERROR(INDEX(Positions!$E$2:$E$6912,MATCH($A445&amp;"|18",Positions!$A$2:$A$6912,0)),"-")</f>
        <v>G</v>
      </c>
      <c r="G445" s="24" t="str">
        <f aca="false">IFERROR(INDEX(Positions!$E$2:$E$6912,MATCH($A445&amp;"|55",Positions!$A$2:$A$6912,0)),"-")</f>
        <v>U</v>
      </c>
      <c r="H445" s="25" t="str">
        <f aca="false">F445&amp;"-"&amp;G445</f>
        <v>G-U</v>
      </c>
      <c r="I445" s="24" t="n">
        <f aca="false">(F445="G")+(G445="G")</f>
        <v>1</v>
      </c>
      <c r="J445" s="24" t="n">
        <f aca="false">(F445="C")+(G445="C")</f>
        <v>0</v>
      </c>
      <c r="K445" s="25" t="n">
        <f aca="false">I445+J445</f>
        <v>1</v>
      </c>
    </row>
    <row r="446" customFormat="false" ht="15" hidden="false" customHeight="false" outlineLevel="0" collapsed="false">
      <c r="A446" s="24" t="s">
        <v>52</v>
      </c>
      <c r="B446" s="24" t="s">
        <v>530</v>
      </c>
      <c r="C446" s="24" t="s">
        <v>534</v>
      </c>
      <c r="D446" s="24" t="n">
        <f aca="false">IFERROR(INDEX(Positions!$D$2:$D$6912,MATCH($A446&amp;"|19",Positions!$A$2:$A$6912,0)),"-")</f>
        <v>19</v>
      </c>
      <c r="E446" s="24" t="n">
        <f aca="false">IFERROR(INDEX(Positions!$D$2:$D$6912,MATCH($A446&amp;"|56",Positions!$A$2:$A$6912,0)),"-")</f>
        <v>56</v>
      </c>
      <c r="F446" s="24" t="str">
        <f aca="false">IFERROR(INDEX(Positions!$E$2:$E$6912,MATCH($A446&amp;"|19",Positions!$A$2:$A$6912,0)),"-")</f>
        <v>G</v>
      </c>
      <c r="G446" s="24" t="str">
        <f aca="false">IFERROR(INDEX(Positions!$E$2:$E$6912,MATCH($A446&amp;"|56",Positions!$A$2:$A$6912,0)),"-")</f>
        <v>C</v>
      </c>
      <c r="H446" s="25" t="str">
        <f aca="false">F446&amp;"-"&amp;G446</f>
        <v>G-C</v>
      </c>
      <c r="I446" s="24" t="n">
        <f aca="false">(F446="G")+(G446="G")</f>
        <v>1</v>
      </c>
      <c r="J446" s="24" t="n">
        <f aca="false">(F446="C")+(G446="C")</f>
        <v>1</v>
      </c>
      <c r="K446" s="25" t="n">
        <f aca="false">I446+J446</f>
        <v>2</v>
      </c>
    </row>
    <row r="447" customFormat="false" ht="15" hidden="false" customHeight="false" outlineLevel="0" collapsed="false">
      <c r="A447" s="24" t="s">
        <v>52</v>
      </c>
      <c r="B447" s="24" t="s">
        <v>530</v>
      </c>
      <c r="C447" s="24" t="s">
        <v>535</v>
      </c>
      <c r="D447" s="24" t="n">
        <f aca="false">IFERROR(INDEX(Positions!$D$2:$D$6912,MATCH($A447&amp;"|26",Positions!$A$2:$A$6912,0)),"-")</f>
        <v>26</v>
      </c>
      <c r="E447" s="24" t="n">
        <f aca="false">IFERROR(INDEX(Positions!$D$2:$D$6912,MATCH($A447&amp;"|44",Positions!$A$2:$A$6912,0)),"-")</f>
        <v>44</v>
      </c>
      <c r="F447" s="24" t="str">
        <f aca="false">IFERROR(INDEX(Positions!$E$2:$E$6912,MATCH($A447&amp;"|26",Positions!$A$2:$A$6912,0)),"-")</f>
        <v>G</v>
      </c>
      <c r="G447" s="24" t="str">
        <f aca="false">IFERROR(INDEX(Positions!$E$2:$E$6912,MATCH($A447&amp;"|44",Positions!$A$2:$A$6912,0)),"-")</f>
        <v>A</v>
      </c>
      <c r="H447" s="25" t="str">
        <f aca="false">F447&amp;"-"&amp;G447</f>
        <v>G-A</v>
      </c>
      <c r="I447" s="24" t="n">
        <f aca="false">(F447="G")+(G447="G")</f>
        <v>1</v>
      </c>
      <c r="J447" s="24" t="n">
        <f aca="false">(F447="C")+(G447="C")</f>
        <v>0</v>
      </c>
      <c r="K447" s="25" t="n">
        <f aca="false">I447+J447</f>
        <v>1</v>
      </c>
    </row>
    <row r="448" customFormat="false" ht="15" hidden="false" customHeight="false" outlineLevel="0" collapsed="false">
      <c r="A448" s="24" t="s">
        <v>52</v>
      </c>
      <c r="B448" s="24" t="s">
        <v>530</v>
      </c>
      <c r="C448" s="24" t="s">
        <v>536</v>
      </c>
      <c r="D448" s="24" t="n">
        <f aca="false">IFERROR(INDEX(Positions!$D$2:$D$6912,MATCH($A448&amp;"|32",Positions!$A$2:$A$6912,0)),"-")</f>
        <v>32</v>
      </c>
      <c r="E448" s="24" t="n">
        <f aca="false">IFERROR(INDEX(Positions!$D$2:$D$6912,MATCH($A448&amp;"|38",Positions!$A$2:$A$6912,0)),"-")</f>
        <v>38</v>
      </c>
      <c r="F448" s="24" t="str">
        <f aca="false">IFERROR(INDEX(Positions!$E$2:$E$6912,MATCH($A448&amp;"|32",Positions!$A$2:$A$6912,0)),"-")</f>
        <v>C</v>
      </c>
      <c r="G448" s="24" t="str">
        <f aca="false">IFERROR(INDEX(Positions!$E$2:$E$6912,MATCH($A448&amp;"|38",Positions!$A$2:$A$6912,0)),"-")</f>
        <v>A</v>
      </c>
      <c r="H448" s="25" t="str">
        <f aca="false">F448&amp;"-"&amp;G448</f>
        <v>C-A</v>
      </c>
      <c r="I448" s="24" t="n">
        <f aca="false">(F448="G")+(G448="G")</f>
        <v>0</v>
      </c>
      <c r="J448" s="24" t="n">
        <f aca="false">(F448="C")+(G448="C")</f>
        <v>1</v>
      </c>
      <c r="K448" s="25" t="n">
        <f aca="false">I448+J448</f>
        <v>1</v>
      </c>
    </row>
    <row r="449" customFormat="false" ht="15" hidden="false" customHeight="false" outlineLevel="0" collapsed="false">
      <c r="A449" s="24" t="s">
        <v>52</v>
      </c>
      <c r="B449" s="24" t="s">
        <v>530</v>
      </c>
      <c r="C449" s="24" t="s">
        <v>537</v>
      </c>
      <c r="D449" s="24" t="n">
        <f aca="false">IFERROR(INDEX(Positions!$D$2:$D$6912,MATCH($A449&amp;"|54",Positions!$A$2:$A$6912,0)),"-")</f>
        <v>54</v>
      </c>
      <c r="E449" s="24" t="n">
        <f aca="false">IFERROR(INDEX(Positions!$D$2:$D$6912,MATCH($A449&amp;"|58",Positions!$A$2:$A$6912,0)),"-")</f>
        <v>58</v>
      </c>
      <c r="F449" s="24" t="str">
        <f aca="false">IFERROR(INDEX(Positions!$E$2:$E$6912,MATCH($A449&amp;"|54",Positions!$A$2:$A$6912,0)),"-")</f>
        <v>U</v>
      </c>
      <c r="G449" s="24" t="str">
        <f aca="false">IFERROR(INDEX(Positions!$E$2:$E$6912,MATCH($A449&amp;"|58",Positions!$A$2:$A$6912,0)),"-")</f>
        <v>A</v>
      </c>
      <c r="H449" s="25" t="str">
        <f aca="false">F449&amp;"-"&amp;G449</f>
        <v>U-A</v>
      </c>
      <c r="I449" s="24" t="n">
        <f aca="false">(F449="G")+(G449="G")</f>
        <v>0</v>
      </c>
      <c r="J449" s="24" t="n">
        <f aca="false">(F449="C")+(G449="C")</f>
        <v>0</v>
      </c>
      <c r="K449" s="25" t="n">
        <f aca="false">I449+J449</f>
        <v>0</v>
      </c>
    </row>
    <row r="450" customFormat="false" ht="15" hidden="false" customHeight="false" outlineLevel="0" collapsed="false">
      <c r="A450" s="4" t="s">
        <v>53</v>
      </c>
      <c r="B450" s="4" t="s">
        <v>412</v>
      </c>
      <c r="C450" s="4" t="s">
        <v>517</v>
      </c>
      <c r="D450" s="4" t="n">
        <f aca="false">IFERROR(INDEX(Positions!$D$2:$D$6912,MATCH($A450&amp;"|1",Positions!$A$2:$A$6912,0)),"-")</f>
        <v>1</v>
      </c>
      <c r="E450" s="4" t="n">
        <f aca="false">IFERROR(INDEX(Positions!$D$2:$D$6912,MATCH($A450&amp;"|72",Positions!$A$2:$A$6912,0)),"-")</f>
        <v>72</v>
      </c>
      <c r="F450" s="4" t="str">
        <f aca="false">IFERROR(INDEX(Positions!$E$2:$E$6912,MATCH($A450&amp;"|1",Positions!$A$2:$A$6912,0)),"-")</f>
        <v>C</v>
      </c>
      <c r="G450" s="4" t="str">
        <f aca="false">IFERROR(INDEX(Positions!$E$2:$E$6912,MATCH($A450&amp;"|72",Positions!$A$2:$A$6912,0)),"-")</f>
        <v>G</v>
      </c>
      <c r="H450" s="3" t="str">
        <f aca="false">F450&amp;"-"&amp;G450</f>
        <v>C-G</v>
      </c>
      <c r="I450" s="4" t="n">
        <f aca="false">(F450="G")+(G450="G")</f>
        <v>1</v>
      </c>
      <c r="J450" s="4" t="n">
        <f aca="false">(F450="C")+(G450="C")</f>
        <v>1</v>
      </c>
      <c r="K450" s="3" t="n">
        <f aca="false">I450+J450</f>
        <v>2</v>
      </c>
    </row>
    <row r="451" customFormat="false" ht="15" hidden="false" customHeight="false" outlineLevel="0" collapsed="false">
      <c r="A451" s="4" t="s">
        <v>53</v>
      </c>
      <c r="B451" s="4" t="s">
        <v>412</v>
      </c>
      <c r="C451" s="4" t="s">
        <v>518</v>
      </c>
      <c r="D451" s="4" t="n">
        <f aca="false">IFERROR(INDEX(Positions!$D$2:$D$6912,MATCH($A451&amp;"|2",Positions!$A$2:$A$6912,0)),"-")</f>
        <v>2</v>
      </c>
      <c r="E451" s="4" t="n">
        <f aca="false">IFERROR(INDEX(Positions!$D$2:$D$6912,MATCH($A451&amp;"|71",Positions!$A$2:$A$6912,0)),"-")</f>
        <v>71</v>
      </c>
      <c r="F451" s="4" t="str">
        <f aca="false">IFERROR(INDEX(Positions!$E$2:$E$6912,MATCH($A451&amp;"|2",Positions!$A$2:$A$6912,0)),"-")</f>
        <v>C</v>
      </c>
      <c r="G451" s="4" t="str">
        <f aca="false">IFERROR(INDEX(Positions!$E$2:$E$6912,MATCH($A451&amp;"|71",Positions!$A$2:$A$6912,0)),"-")</f>
        <v>G</v>
      </c>
      <c r="H451" s="3" t="str">
        <f aca="false">F451&amp;"-"&amp;G451</f>
        <v>C-G</v>
      </c>
      <c r="I451" s="4" t="n">
        <f aca="false">(F451="G")+(G451="G")</f>
        <v>1</v>
      </c>
      <c r="J451" s="4" t="n">
        <f aca="false">(F451="C")+(G451="C")</f>
        <v>1</v>
      </c>
      <c r="K451" s="3" t="n">
        <f aca="false">I451+J451</f>
        <v>2</v>
      </c>
    </row>
    <row r="452" customFormat="false" ht="15" hidden="false" customHeight="false" outlineLevel="0" collapsed="false">
      <c r="A452" s="4" t="s">
        <v>53</v>
      </c>
      <c r="B452" s="4" t="s">
        <v>412</v>
      </c>
      <c r="C452" s="4" t="s">
        <v>386</v>
      </c>
      <c r="D452" s="4" t="n">
        <f aca="false">IFERROR(INDEX(Positions!$D$2:$D$6912,MATCH($A452&amp;"|3",Positions!$A$2:$A$6912,0)),"-")</f>
        <v>3</v>
      </c>
      <c r="E452" s="4" t="n">
        <f aca="false">IFERROR(INDEX(Positions!$D$2:$D$6912,MATCH($A452&amp;"|70",Positions!$A$2:$A$6912,0)),"-")</f>
        <v>70</v>
      </c>
      <c r="F452" s="4" t="str">
        <f aca="false">IFERROR(INDEX(Positions!$E$2:$E$6912,MATCH($A452&amp;"|3",Positions!$A$2:$A$6912,0)),"-")</f>
        <v>U</v>
      </c>
      <c r="G452" s="4" t="str">
        <f aca="false">IFERROR(INDEX(Positions!$E$2:$E$6912,MATCH($A452&amp;"|70",Positions!$A$2:$A$6912,0)),"-")</f>
        <v>A</v>
      </c>
      <c r="H452" s="3" t="str">
        <f aca="false">F452&amp;"-"&amp;G452</f>
        <v>U-A</v>
      </c>
      <c r="I452" s="4" t="n">
        <f aca="false">(F452="G")+(G452="G")</f>
        <v>0</v>
      </c>
      <c r="J452" s="4" t="n">
        <f aca="false">(F452="C")+(G452="C")</f>
        <v>0</v>
      </c>
      <c r="K452" s="3" t="n">
        <f aca="false">I452+J452</f>
        <v>0</v>
      </c>
    </row>
    <row r="453" customFormat="false" ht="15" hidden="false" customHeight="false" outlineLevel="0" collapsed="false">
      <c r="A453" s="4" t="s">
        <v>53</v>
      </c>
      <c r="B453" s="4" t="s">
        <v>412</v>
      </c>
      <c r="C453" s="4" t="s">
        <v>519</v>
      </c>
      <c r="D453" s="4" t="n">
        <f aca="false">IFERROR(INDEX(Positions!$D$2:$D$6912,MATCH($A453&amp;"|4",Positions!$A$2:$A$6912,0)),"-")</f>
        <v>4</v>
      </c>
      <c r="E453" s="4" t="n">
        <f aca="false">IFERROR(INDEX(Positions!$D$2:$D$6912,MATCH($A453&amp;"|69",Positions!$A$2:$A$6912,0)),"-")</f>
        <v>69</v>
      </c>
      <c r="F453" s="4" t="str">
        <f aca="false">IFERROR(INDEX(Positions!$E$2:$E$6912,MATCH($A453&amp;"|4",Positions!$A$2:$A$6912,0)),"-")</f>
        <v>U</v>
      </c>
      <c r="G453" s="4" t="str">
        <f aca="false">IFERROR(INDEX(Positions!$E$2:$E$6912,MATCH($A453&amp;"|69",Positions!$A$2:$A$6912,0)),"-")</f>
        <v>A</v>
      </c>
      <c r="H453" s="3" t="str">
        <f aca="false">F453&amp;"-"&amp;G453</f>
        <v>U-A</v>
      </c>
      <c r="I453" s="4" t="n">
        <f aca="false">(F453="G")+(G453="G")</f>
        <v>0</v>
      </c>
      <c r="J453" s="4" t="n">
        <f aca="false">(F453="C")+(G453="C")</f>
        <v>0</v>
      </c>
      <c r="K453" s="3" t="n">
        <f aca="false">I453+J453</f>
        <v>0</v>
      </c>
    </row>
    <row r="454" customFormat="false" ht="15" hidden="false" customHeight="false" outlineLevel="0" collapsed="false">
      <c r="A454" s="4" t="s">
        <v>53</v>
      </c>
      <c r="B454" s="4" t="s">
        <v>412</v>
      </c>
      <c r="C454" s="4" t="s">
        <v>283</v>
      </c>
      <c r="D454" s="4" t="n">
        <f aca="false">IFERROR(INDEX(Positions!$D$2:$D$6912,MATCH($A454&amp;"|5",Positions!$A$2:$A$6912,0)),"-")</f>
        <v>5</v>
      </c>
      <c r="E454" s="4" t="n">
        <f aca="false">IFERROR(INDEX(Positions!$D$2:$D$6912,MATCH($A454&amp;"|68",Positions!$A$2:$A$6912,0)),"-")</f>
        <v>68</v>
      </c>
      <c r="F454" s="4" t="str">
        <f aca="false">IFERROR(INDEX(Positions!$E$2:$E$6912,MATCH($A454&amp;"|5",Positions!$A$2:$A$6912,0)),"-")</f>
        <v>C</v>
      </c>
      <c r="G454" s="4" t="str">
        <f aca="false">IFERROR(INDEX(Positions!$E$2:$E$6912,MATCH($A454&amp;"|68",Positions!$A$2:$A$6912,0)),"-")</f>
        <v>G</v>
      </c>
      <c r="H454" s="3" t="str">
        <f aca="false">F454&amp;"-"&amp;G454</f>
        <v>C-G</v>
      </c>
      <c r="I454" s="4" t="n">
        <f aca="false">(F454="G")+(G454="G")</f>
        <v>1</v>
      </c>
      <c r="J454" s="4" t="n">
        <f aca="false">(F454="C")+(G454="C")</f>
        <v>1</v>
      </c>
      <c r="K454" s="3" t="n">
        <f aca="false">I454+J454</f>
        <v>2</v>
      </c>
    </row>
    <row r="455" customFormat="false" ht="15" hidden="false" customHeight="false" outlineLevel="0" collapsed="false">
      <c r="A455" s="4" t="s">
        <v>53</v>
      </c>
      <c r="B455" s="4" t="s">
        <v>412</v>
      </c>
      <c r="C455" s="4" t="s">
        <v>520</v>
      </c>
      <c r="D455" s="4" t="n">
        <f aca="false">IFERROR(INDEX(Positions!$D$2:$D$6912,MATCH($A455&amp;"|6",Positions!$A$2:$A$6912,0)),"-")</f>
        <v>6</v>
      </c>
      <c r="E455" s="4" t="n">
        <f aca="false">IFERROR(INDEX(Positions!$D$2:$D$6912,MATCH($A455&amp;"|67",Positions!$A$2:$A$6912,0)),"-")</f>
        <v>67</v>
      </c>
      <c r="F455" s="4" t="str">
        <f aca="false">IFERROR(INDEX(Positions!$E$2:$E$6912,MATCH($A455&amp;"|6",Positions!$A$2:$A$6912,0)),"-")</f>
        <v>G</v>
      </c>
      <c r="G455" s="4" t="str">
        <f aca="false">IFERROR(INDEX(Positions!$E$2:$E$6912,MATCH($A455&amp;"|67",Positions!$A$2:$A$6912,0)),"-")</f>
        <v>C</v>
      </c>
      <c r="H455" s="3" t="str">
        <f aca="false">F455&amp;"-"&amp;G455</f>
        <v>G-C</v>
      </c>
      <c r="I455" s="4" t="n">
        <f aca="false">(F455="G")+(G455="G")</f>
        <v>1</v>
      </c>
      <c r="J455" s="4" t="n">
        <f aca="false">(F455="C")+(G455="C")</f>
        <v>1</v>
      </c>
      <c r="K455" s="3" t="n">
        <f aca="false">I455+J455</f>
        <v>2</v>
      </c>
    </row>
    <row r="456" customFormat="false" ht="15" hidden="false" customHeight="false" outlineLevel="0" collapsed="false">
      <c r="A456" s="4" t="s">
        <v>53</v>
      </c>
      <c r="B456" s="4" t="s">
        <v>412</v>
      </c>
      <c r="C456" s="4" t="s">
        <v>521</v>
      </c>
      <c r="D456" s="4" t="n">
        <f aca="false">IFERROR(INDEX(Positions!$D$2:$D$6912,MATCH($A456&amp;"|7",Positions!$A$2:$A$6912,0)),"-")</f>
        <v>7</v>
      </c>
      <c r="E456" s="4" t="n">
        <f aca="false">IFERROR(INDEX(Positions!$D$2:$D$6912,MATCH($A456&amp;"|66",Positions!$A$2:$A$6912,0)),"-")</f>
        <v>66</v>
      </c>
      <c r="F456" s="4" t="str">
        <f aca="false">IFERROR(INDEX(Positions!$E$2:$E$6912,MATCH($A456&amp;"|7",Positions!$A$2:$A$6912,0)),"-")</f>
        <v>A</v>
      </c>
      <c r="G456" s="4" t="str">
        <f aca="false">IFERROR(INDEX(Positions!$E$2:$E$6912,MATCH($A456&amp;"|66",Positions!$A$2:$A$6912,0)),"-")</f>
        <v>U</v>
      </c>
      <c r="H456" s="3" t="str">
        <f aca="false">F456&amp;"-"&amp;G456</f>
        <v>A-U</v>
      </c>
      <c r="I456" s="4" t="n">
        <f aca="false">(F456="G")+(G456="G")</f>
        <v>0</v>
      </c>
      <c r="J456" s="4" t="n">
        <f aca="false">(F456="C")+(G456="C")</f>
        <v>0</v>
      </c>
      <c r="K456" s="3" t="n">
        <f aca="false">I456+J456</f>
        <v>0</v>
      </c>
    </row>
    <row r="457" customFormat="false" ht="15" hidden="false" customHeight="false" outlineLevel="0" collapsed="false">
      <c r="A457" s="4" t="s">
        <v>53</v>
      </c>
      <c r="B457" s="4" t="s">
        <v>425</v>
      </c>
      <c r="C457" s="4" t="s">
        <v>522</v>
      </c>
      <c r="D457" s="4" t="n">
        <f aca="false">IFERROR(INDEX(Positions!$D$2:$D$6912,MATCH($A457&amp;"|10",Positions!$A$2:$A$6912,0)),"-")</f>
        <v>10</v>
      </c>
      <c r="E457" s="4" t="n">
        <f aca="false">IFERROR(INDEX(Positions!$D$2:$D$6912,MATCH($A457&amp;"|25",Positions!$A$2:$A$6912,0)),"-")</f>
        <v>25</v>
      </c>
      <c r="F457" s="4" t="str">
        <f aca="false">IFERROR(INDEX(Positions!$E$2:$E$6912,MATCH($A457&amp;"|10",Positions!$A$2:$A$6912,0)),"-")</f>
        <v>G</v>
      </c>
      <c r="G457" s="4" t="str">
        <f aca="false">IFERROR(INDEX(Positions!$E$2:$E$6912,MATCH($A457&amp;"|25",Positions!$A$2:$A$6912,0)),"-")</f>
        <v>C</v>
      </c>
      <c r="H457" s="3" t="str">
        <f aca="false">F457&amp;"-"&amp;G457</f>
        <v>G-C</v>
      </c>
      <c r="I457" s="4" t="n">
        <f aca="false">(F457="G")+(G457="G")</f>
        <v>1</v>
      </c>
      <c r="J457" s="4" t="n">
        <f aca="false">(F457="C")+(G457="C")</f>
        <v>1</v>
      </c>
      <c r="K457" s="3" t="n">
        <f aca="false">I457+J457</f>
        <v>2</v>
      </c>
    </row>
    <row r="458" customFormat="false" ht="15" hidden="false" customHeight="false" outlineLevel="0" collapsed="false">
      <c r="A458" s="4" t="s">
        <v>53</v>
      </c>
      <c r="B458" s="4" t="s">
        <v>425</v>
      </c>
      <c r="C458" s="4" t="s">
        <v>523</v>
      </c>
      <c r="D458" s="4" t="n">
        <f aca="false">IFERROR(INDEX(Positions!$D$2:$D$6912,MATCH($A458&amp;"|11",Positions!$A$2:$A$6912,0)),"-")</f>
        <v>11</v>
      </c>
      <c r="E458" s="4" t="n">
        <f aca="false">IFERROR(INDEX(Positions!$D$2:$D$6912,MATCH($A458&amp;"|24",Positions!$A$2:$A$6912,0)),"-")</f>
        <v>24</v>
      </c>
      <c r="F458" s="4" t="str">
        <f aca="false">IFERROR(INDEX(Positions!$E$2:$E$6912,MATCH($A458&amp;"|11",Positions!$A$2:$A$6912,0)),"-")</f>
        <v>C</v>
      </c>
      <c r="G458" s="4" t="str">
        <f aca="false">IFERROR(INDEX(Positions!$E$2:$E$6912,MATCH($A458&amp;"|24",Positions!$A$2:$A$6912,0)),"-")</f>
        <v>G</v>
      </c>
      <c r="H458" s="3" t="str">
        <f aca="false">F458&amp;"-"&amp;G458</f>
        <v>C-G</v>
      </c>
      <c r="I458" s="4" t="n">
        <f aca="false">(F458="G")+(G458="G")</f>
        <v>1</v>
      </c>
      <c r="J458" s="4" t="n">
        <f aca="false">(F458="C")+(G458="C")</f>
        <v>1</v>
      </c>
      <c r="K458" s="3" t="n">
        <f aca="false">I458+J458</f>
        <v>2</v>
      </c>
    </row>
    <row r="459" customFormat="false" ht="15" hidden="false" customHeight="false" outlineLevel="0" collapsed="false">
      <c r="A459" s="4" t="s">
        <v>53</v>
      </c>
      <c r="B459" s="4" t="s">
        <v>425</v>
      </c>
      <c r="C459" s="4" t="s">
        <v>250</v>
      </c>
      <c r="D459" s="4" t="n">
        <f aca="false">IFERROR(INDEX(Positions!$D$2:$D$6912,MATCH($A459&amp;"|12",Positions!$A$2:$A$6912,0)),"-")</f>
        <v>12</v>
      </c>
      <c r="E459" s="4" t="n">
        <f aca="false">IFERROR(INDEX(Positions!$D$2:$D$6912,MATCH($A459&amp;"|23",Positions!$A$2:$A$6912,0)),"-")</f>
        <v>23</v>
      </c>
      <c r="F459" s="4" t="str">
        <f aca="false">IFERROR(INDEX(Positions!$E$2:$E$6912,MATCH($A459&amp;"|12",Positions!$A$2:$A$6912,0)),"-")</f>
        <v>U</v>
      </c>
      <c r="G459" s="4" t="str">
        <f aca="false">IFERROR(INDEX(Positions!$E$2:$E$6912,MATCH($A459&amp;"|23",Positions!$A$2:$A$6912,0)),"-")</f>
        <v>A</v>
      </c>
      <c r="H459" s="3" t="str">
        <f aca="false">F459&amp;"-"&amp;G459</f>
        <v>U-A</v>
      </c>
      <c r="I459" s="4" t="n">
        <f aca="false">(F459="G")+(G459="G")</f>
        <v>0</v>
      </c>
      <c r="J459" s="4" t="n">
        <f aca="false">(F459="C")+(G459="C")</f>
        <v>0</v>
      </c>
      <c r="K459" s="3" t="n">
        <f aca="false">I459+J459</f>
        <v>0</v>
      </c>
    </row>
    <row r="460" customFormat="false" ht="15" hidden="false" customHeight="false" outlineLevel="0" collapsed="false">
      <c r="A460" s="4" t="s">
        <v>53</v>
      </c>
      <c r="B460" s="4" t="s">
        <v>425</v>
      </c>
      <c r="C460" s="4" t="s">
        <v>154</v>
      </c>
      <c r="D460" s="4" t="n">
        <f aca="false">IFERROR(INDEX(Positions!$D$2:$D$6912,MATCH($A460&amp;"|13",Positions!$A$2:$A$6912,0)),"-")</f>
        <v>13</v>
      </c>
      <c r="E460" s="4" t="n">
        <f aca="false">IFERROR(INDEX(Positions!$D$2:$D$6912,MATCH($A460&amp;"|22",Positions!$A$2:$A$6912,0)),"-")</f>
        <v>22</v>
      </c>
      <c r="F460" s="4" t="str">
        <f aca="false">IFERROR(INDEX(Positions!$E$2:$E$6912,MATCH($A460&amp;"|13",Positions!$A$2:$A$6912,0)),"-")</f>
        <v>C</v>
      </c>
      <c r="G460" s="4" t="str">
        <f aca="false">IFERROR(INDEX(Positions!$E$2:$E$6912,MATCH($A460&amp;"|22",Positions!$A$2:$A$6912,0)),"-")</f>
        <v>G</v>
      </c>
      <c r="H460" s="3" t="str">
        <f aca="false">F460&amp;"-"&amp;G460</f>
        <v>C-G</v>
      </c>
      <c r="I460" s="4" t="n">
        <f aca="false">(F460="G")+(G460="G")</f>
        <v>1</v>
      </c>
      <c r="J460" s="4" t="n">
        <f aca="false">(F460="C")+(G460="C")</f>
        <v>1</v>
      </c>
      <c r="K460" s="3" t="n">
        <f aca="false">I460+J460</f>
        <v>2</v>
      </c>
    </row>
    <row r="461" customFormat="false" ht="15" hidden="false" customHeight="false" outlineLevel="0" collapsed="false">
      <c r="A461" s="4" t="s">
        <v>53</v>
      </c>
      <c r="B461" s="4" t="s">
        <v>446</v>
      </c>
      <c r="C461" s="4" t="s">
        <v>524</v>
      </c>
      <c r="D461" s="4" t="n">
        <f aca="false">IFERROR(INDEX(Positions!$D$2:$D$6912,MATCH($A461&amp;"|27",Positions!$A$2:$A$6912,0)),"-")</f>
        <v>27</v>
      </c>
      <c r="E461" s="4" t="n">
        <f aca="false">IFERROR(INDEX(Positions!$D$2:$D$6912,MATCH($A461&amp;"|43",Positions!$A$2:$A$6912,0)),"-")</f>
        <v>43</v>
      </c>
      <c r="F461" s="4" t="str">
        <f aca="false">IFERROR(INDEX(Positions!$E$2:$E$6912,MATCH($A461&amp;"|27",Positions!$A$2:$A$6912,0)),"-")</f>
        <v>G</v>
      </c>
      <c r="G461" s="4" t="str">
        <f aca="false">IFERROR(INDEX(Positions!$E$2:$E$6912,MATCH($A461&amp;"|43",Positions!$A$2:$A$6912,0)),"-")</f>
        <v>U</v>
      </c>
      <c r="H461" s="3" t="str">
        <f aca="false">F461&amp;"-"&amp;G461</f>
        <v>G-U</v>
      </c>
      <c r="I461" s="4" t="n">
        <f aca="false">(F461="G")+(G461="G")</f>
        <v>1</v>
      </c>
      <c r="J461" s="4" t="n">
        <f aca="false">(F461="C")+(G461="C")</f>
        <v>0</v>
      </c>
      <c r="K461" s="3" t="n">
        <f aca="false">I461+J461</f>
        <v>1</v>
      </c>
    </row>
    <row r="462" customFormat="false" ht="15" hidden="false" customHeight="false" outlineLevel="0" collapsed="false">
      <c r="A462" s="4" t="s">
        <v>53</v>
      </c>
      <c r="B462" s="4" t="s">
        <v>446</v>
      </c>
      <c r="C462" s="4" t="s">
        <v>525</v>
      </c>
      <c r="D462" s="4" t="n">
        <f aca="false">IFERROR(INDEX(Positions!$D$2:$D$6912,MATCH($A462&amp;"|28",Positions!$A$2:$A$6912,0)),"-")</f>
        <v>28</v>
      </c>
      <c r="E462" s="4" t="n">
        <f aca="false">IFERROR(INDEX(Positions!$D$2:$D$6912,MATCH($A462&amp;"|42",Positions!$A$2:$A$6912,0)),"-")</f>
        <v>42</v>
      </c>
      <c r="F462" s="4" t="str">
        <f aca="false">IFERROR(INDEX(Positions!$E$2:$E$6912,MATCH($A462&amp;"|28",Positions!$A$2:$A$6912,0)),"-")</f>
        <v>U</v>
      </c>
      <c r="G462" s="4" t="str">
        <f aca="false">IFERROR(INDEX(Positions!$E$2:$E$6912,MATCH($A462&amp;"|42",Positions!$A$2:$A$6912,0)),"-")</f>
        <v>A</v>
      </c>
      <c r="H462" s="3" t="str">
        <f aca="false">F462&amp;"-"&amp;G462</f>
        <v>U-A</v>
      </c>
      <c r="I462" s="4" t="n">
        <f aca="false">(F462="G")+(G462="G")</f>
        <v>0</v>
      </c>
      <c r="J462" s="4" t="n">
        <f aca="false">(F462="C")+(G462="C")</f>
        <v>0</v>
      </c>
      <c r="K462" s="3" t="n">
        <f aca="false">I462+J462</f>
        <v>0</v>
      </c>
    </row>
    <row r="463" customFormat="false" ht="15" hidden="false" customHeight="false" outlineLevel="0" collapsed="false">
      <c r="A463" s="4" t="s">
        <v>53</v>
      </c>
      <c r="B463" s="4" t="s">
        <v>446</v>
      </c>
      <c r="C463" s="4" t="s">
        <v>256</v>
      </c>
      <c r="D463" s="4" t="n">
        <f aca="false">IFERROR(INDEX(Positions!$D$2:$D$6912,MATCH($A463&amp;"|29",Positions!$A$2:$A$6912,0)),"-")</f>
        <v>29</v>
      </c>
      <c r="E463" s="4" t="n">
        <f aca="false">IFERROR(INDEX(Positions!$D$2:$D$6912,MATCH($A463&amp;"|41",Positions!$A$2:$A$6912,0)),"-")</f>
        <v>41</v>
      </c>
      <c r="F463" s="4" t="str">
        <f aca="false">IFERROR(INDEX(Positions!$E$2:$E$6912,MATCH($A463&amp;"|29",Positions!$A$2:$A$6912,0)),"-")</f>
        <v>G</v>
      </c>
      <c r="G463" s="4" t="str">
        <f aca="false">IFERROR(INDEX(Positions!$E$2:$E$6912,MATCH($A463&amp;"|41",Positions!$A$2:$A$6912,0)),"-")</f>
        <v>C</v>
      </c>
      <c r="H463" s="3" t="str">
        <f aca="false">F463&amp;"-"&amp;G463</f>
        <v>G-C</v>
      </c>
      <c r="I463" s="4" t="n">
        <f aca="false">(F463="G")+(G463="G")</f>
        <v>1</v>
      </c>
      <c r="J463" s="4" t="n">
        <f aca="false">(F463="C")+(G463="C")</f>
        <v>1</v>
      </c>
      <c r="K463" s="3" t="n">
        <f aca="false">I463+J463</f>
        <v>2</v>
      </c>
    </row>
    <row r="464" customFormat="false" ht="15" hidden="false" customHeight="false" outlineLevel="0" collapsed="false">
      <c r="A464" s="4" t="s">
        <v>53</v>
      </c>
      <c r="B464" s="4" t="s">
        <v>446</v>
      </c>
      <c r="C464" s="4" t="s">
        <v>526</v>
      </c>
      <c r="D464" s="4" t="n">
        <f aca="false">IFERROR(INDEX(Positions!$D$2:$D$6912,MATCH($A464&amp;"|30",Positions!$A$2:$A$6912,0)),"-")</f>
        <v>30</v>
      </c>
      <c r="E464" s="4" t="n">
        <f aca="false">IFERROR(INDEX(Positions!$D$2:$D$6912,MATCH($A464&amp;"|40",Positions!$A$2:$A$6912,0)),"-")</f>
        <v>40</v>
      </c>
      <c r="F464" s="4" t="str">
        <f aca="false">IFERROR(INDEX(Positions!$E$2:$E$6912,MATCH($A464&amp;"|30",Positions!$A$2:$A$6912,0)),"-")</f>
        <v>G</v>
      </c>
      <c r="G464" s="4" t="str">
        <f aca="false">IFERROR(INDEX(Positions!$E$2:$E$6912,MATCH($A464&amp;"|40",Positions!$A$2:$A$6912,0)),"-")</f>
        <v>C</v>
      </c>
      <c r="H464" s="3" t="str">
        <f aca="false">F464&amp;"-"&amp;G464</f>
        <v>G-C</v>
      </c>
      <c r="I464" s="4" t="n">
        <f aca="false">(F464="G")+(G464="G")</f>
        <v>1</v>
      </c>
      <c r="J464" s="4" t="n">
        <f aca="false">(F464="C")+(G464="C")</f>
        <v>1</v>
      </c>
      <c r="K464" s="3" t="n">
        <f aca="false">I464+J464</f>
        <v>2</v>
      </c>
    </row>
    <row r="465" customFormat="false" ht="15" hidden="false" customHeight="false" outlineLevel="0" collapsed="false">
      <c r="A465" s="4" t="s">
        <v>53</v>
      </c>
      <c r="B465" s="4" t="s">
        <v>446</v>
      </c>
      <c r="C465" s="4" t="s">
        <v>273</v>
      </c>
      <c r="D465" s="4" t="n">
        <f aca="false">IFERROR(INDEX(Positions!$D$2:$D$6912,MATCH($A465&amp;"|31",Positions!$A$2:$A$6912,0)),"-")</f>
        <v>31</v>
      </c>
      <c r="E465" s="4" t="n">
        <f aca="false">IFERROR(INDEX(Positions!$D$2:$D$6912,MATCH($A465&amp;"|39",Positions!$A$2:$A$6912,0)),"-")</f>
        <v>39</v>
      </c>
      <c r="F465" s="4" t="str">
        <f aca="false">IFERROR(INDEX(Positions!$E$2:$E$6912,MATCH($A465&amp;"|31",Positions!$A$2:$A$6912,0)),"-")</f>
        <v>A</v>
      </c>
      <c r="G465" s="4" t="str">
        <f aca="false">IFERROR(INDEX(Positions!$E$2:$E$6912,MATCH($A465&amp;"|39",Positions!$A$2:$A$6912,0)),"-")</f>
        <v>U</v>
      </c>
      <c r="H465" s="3" t="str">
        <f aca="false">F465&amp;"-"&amp;G465</f>
        <v>A-U</v>
      </c>
      <c r="I465" s="4" t="n">
        <f aca="false">(F465="G")+(G465="G")</f>
        <v>0</v>
      </c>
      <c r="J465" s="4" t="n">
        <f aca="false">(F465="C")+(G465="C")</f>
        <v>0</v>
      </c>
      <c r="K465" s="3" t="n">
        <f aca="false">I465+J465</f>
        <v>0</v>
      </c>
    </row>
    <row r="466" customFormat="false" ht="15" hidden="false" customHeight="false" outlineLevel="0" collapsed="false">
      <c r="A466" s="4" t="s">
        <v>53</v>
      </c>
      <c r="B466" s="4" t="s">
        <v>471</v>
      </c>
      <c r="C466" s="4" t="s">
        <v>367</v>
      </c>
      <c r="D466" s="4" t="n">
        <f aca="false">IFERROR(INDEX(Positions!$D$2:$D$6912,MATCH($A466&amp;"|49",Positions!$A$2:$A$6912,0)),"-")</f>
        <v>49</v>
      </c>
      <c r="E466" s="4" t="n">
        <f aca="false">IFERROR(INDEX(Positions!$D$2:$D$6912,MATCH($A466&amp;"|65",Positions!$A$2:$A$6912,0)),"-")</f>
        <v>65</v>
      </c>
      <c r="F466" s="4" t="str">
        <f aca="false">IFERROR(INDEX(Positions!$E$2:$E$6912,MATCH($A466&amp;"|49",Positions!$A$2:$A$6912,0)),"-")</f>
        <v>G</v>
      </c>
      <c r="G466" s="4" t="str">
        <f aca="false">IFERROR(INDEX(Positions!$E$2:$E$6912,MATCH($A466&amp;"|65",Positions!$A$2:$A$6912,0)),"-")</f>
        <v>C</v>
      </c>
      <c r="H466" s="3" t="str">
        <f aca="false">F466&amp;"-"&amp;G466</f>
        <v>G-C</v>
      </c>
      <c r="I466" s="4" t="n">
        <f aca="false">(F466="G")+(G466="G")</f>
        <v>1</v>
      </c>
      <c r="J466" s="4" t="n">
        <f aca="false">(F466="C")+(G466="C")</f>
        <v>1</v>
      </c>
      <c r="K466" s="3" t="n">
        <f aca="false">I466+J466</f>
        <v>2</v>
      </c>
    </row>
    <row r="467" customFormat="false" ht="15" hidden="false" customHeight="false" outlineLevel="0" collapsed="false">
      <c r="A467" s="4" t="s">
        <v>53</v>
      </c>
      <c r="B467" s="4" t="s">
        <v>471</v>
      </c>
      <c r="C467" s="4" t="s">
        <v>233</v>
      </c>
      <c r="D467" s="4" t="n">
        <f aca="false">IFERROR(INDEX(Positions!$D$2:$D$6912,MATCH($A467&amp;"|50",Positions!$A$2:$A$6912,0)),"-")</f>
        <v>50</v>
      </c>
      <c r="E467" s="4" t="n">
        <f aca="false">IFERROR(INDEX(Positions!$D$2:$D$6912,MATCH($A467&amp;"|64",Positions!$A$2:$A$6912,0)),"-")</f>
        <v>64</v>
      </c>
      <c r="F467" s="4" t="str">
        <f aca="false">IFERROR(INDEX(Positions!$E$2:$E$6912,MATCH($A467&amp;"|50",Positions!$A$2:$A$6912,0)),"-")</f>
        <v>C</v>
      </c>
      <c r="G467" s="4" t="str">
        <f aca="false">IFERROR(INDEX(Positions!$E$2:$E$6912,MATCH($A467&amp;"|64",Positions!$A$2:$A$6912,0)),"-")</f>
        <v>G</v>
      </c>
      <c r="H467" s="3" t="str">
        <f aca="false">F467&amp;"-"&amp;G467</f>
        <v>C-G</v>
      </c>
      <c r="I467" s="4" t="n">
        <f aca="false">(F467="G")+(G467="G")</f>
        <v>1</v>
      </c>
      <c r="J467" s="4" t="n">
        <f aca="false">(F467="C")+(G467="C")</f>
        <v>1</v>
      </c>
      <c r="K467" s="3" t="n">
        <f aca="false">I467+J467</f>
        <v>2</v>
      </c>
    </row>
    <row r="468" customFormat="false" ht="15" hidden="false" customHeight="false" outlineLevel="0" collapsed="false">
      <c r="A468" s="4" t="s">
        <v>53</v>
      </c>
      <c r="B468" s="4" t="s">
        <v>471</v>
      </c>
      <c r="C468" s="4" t="s">
        <v>527</v>
      </c>
      <c r="D468" s="4" t="n">
        <f aca="false">IFERROR(INDEX(Positions!$D$2:$D$6912,MATCH($A468&amp;"|51",Positions!$A$2:$A$6912,0)),"-")</f>
        <v>51</v>
      </c>
      <c r="E468" s="4" t="n">
        <f aca="false">IFERROR(INDEX(Positions!$D$2:$D$6912,MATCH($A468&amp;"|63",Positions!$A$2:$A$6912,0)),"-")</f>
        <v>63</v>
      </c>
      <c r="F468" s="4" t="str">
        <f aca="false">IFERROR(INDEX(Positions!$E$2:$E$6912,MATCH($A468&amp;"|51",Positions!$A$2:$A$6912,0)),"-")</f>
        <v>U</v>
      </c>
      <c r="G468" s="4" t="str">
        <f aca="false">IFERROR(INDEX(Positions!$E$2:$E$6912,MATCH($A468&amp;"|63",Positions!$A$2:$A$6912,0)),"-")</f>
        <v>G</v>
      </c>
      <c r="H468" s="3" t="str">
        <f aca="false">F468&amp;"-"&amp;G468</f>
        <v>U-G</v>
      </c>
      <c r="I468" s="4" t="n">
        <f aca="false">(F468="G")+(G468="G")</f>
        <v>1</v>
      </c>
      <c r="J468" s="4" t="n">
        <f aca="false">(F468="C")+(G468="C")</f>
        <v>0</v>
      </c>
      <c r="K468" s="3" t="n">
        <f aca="false">I468+J468</f>
        <v>1</v>
      </c>
    </row>
    <row r="469" customFormat="false" ht="15" hidden="false" customHeight="false" outlineLevel="0" collapsed="false">
      <c r="A469" s="4" t="s">
        <v>53</v>
      </c>
      <c r="B469" s="4" t="s">
        <v>471</v>
      </c>
      <c r="C469" s="4" t="s">
        <v>528</v>
      </c>
      <c r="D469" s="4" t="n">
        <f aca="false">IFERROR(INDEX(Positions!$D$2:$D$6912,MATCH($A469&amp;"|52",Positions!$A$2:$A$6912,0)),"-")</f>
        <v>52</v>
      </c>
      <c r="E469" s="4" t="n">
        <f aca="false">IFERROR(INDEX(Positions!$D$2:$D$6912,MATCH($A469&amp;"|62",Positions!$A$2:$A$6912,0)),"-")</f>
        <v>62</v>
      </c>
      <c r="F469" s="4" t="str">
        <f aca="false">IFERROR(INDEX(Positions!$E$2:$E$6912,MATCH($A469&amp;"|52",Positions!$A$2:$A$6912,0)),"-")</f>
        <v>G</v>
      </c>
      <c r="G469" s="4" t="str">
        <f aca="false">IFERROR(INDEX(Positions!$E$2:$E$6912,MATCH($A469&amp;"|62",Positions!$A$2:$A$6912,0)),"-")</f>
        <v>C</v>
      </c>
      <c r="H469" s="3" t="str">
        <f aca="false">F469&amp;"-"&amp;G469</f>
        <v>G-C</v>
      </c>
      <c r="I469" s="4" t="n">
        <f aca="false">(F469="G")+(G469="G")</f>
        <v>1</v>
      </c>
      <c r="J469" s="4" t="n">
        <f aca="false">(F469="C")+(G469="C")</f>
        <v>1</v>
      </c>
      <c r="K469" s="3" t="n">
        <f aca="false">I469+J469</f>
        <v>2</v>
      </c>
    </row>
    <row r="470" customFormat="false" ht="15" hidden="false" customHeight="false" outlineLevel="0" collapsed="false">
      <c r="A470" s="4" t="s">
        <v>53</v>
      </c>
      <c r="B470" s="4" t="s">
        <v>471</v>
      </c>
      <c r="C470" s="4" t="s">
        <v>529</v>
      </c>
      <c r="D470" s="4" t="n">
        <f aca="false">IFERROR(INDEX(Positions!$D$2:$D$6912,MATCH($A470&amp;"|53",Positions!$A$2:$A$6912,0)),"-")</f>
        <v>53</v>
      </c>
      <c r="E470" s="4" t="n">
        <f aca="false">IFERROR(INDEX(Positions!$D$2:$D$6912,MATCH($A470&amp;"|61",Positions!$A$2:$A$6912,0)),"-")</f>
        <v>61</v>
      </c>
      <c r="F470" s="4" t="str">
        <f aca="false">IFERROR(INDEX(Positions!$E$2:$E$6912,MATCH($A470&amp;"|53",Positions!$A$2:$A$6912,0)),"-")</f>
        <v>G</v>
      </c>
      <c r="G470" s="4" t="str">
        <f aca="false">IFERROR(INDEX(Positions!$E$2:$E$6912,MATCH($A470&amp;"|61",Positions!$A$2:$A$6912,0)),"-")</f>
        <v>C</v>
      </c>
      <c r="H470" s="3" t="str">
        <f aca="false">F470&amp;"-"&amp;G470</f>
        <v>G-C</v>
      </c>
      <c r="I470" s="4" t="n">
        <f aca="false">(F470="G")+(G470="G")</f>
        <v>1</v>
      </c>
      <c r="J470" s="4" t="n">
        <f aca="false">(F470="C")+(G470="C")</f>
        <v>1</v>
      </c>
      <c r="K470" s="3" t="n">
        <f aca="false">I470+J470</f>
        <v>2</v>
      </c>
    </row>
    <row r="471" customFormat="false" ht="15" hidden="false" customHeight="false" outlineLevel="0" collapsed="false">
      <c r="A471" s="24" t="s">
        <v>53</v>
      </c>
      <c r="B471" s="24" t="s">
        <v>530</v>
      </c>
      <c r="C471" s="24" t="s">
        <v>531</v>
      </c>
      <c r="D471" s="24" t="n">
        <f aca="false">IFERROR(INDEX(Positions!$D$2:$D$6912,MATCH($A471&amp;"|8",Positions!$A$2:$A$6912,0)),"-")</f>
        <v>8</v>
      </c>
      <c r="E471" s="24" t="n">
        <f aca="false">IFERROR(INDEX(Positions!$D$2:$D$6912,MATCH($A471&amp;"|14",Positions!$A$2:$A$6912,0)),"-")</f>
        <v>14</v>
      </c>
      <c r="F471" s="24" t="str">
        <f aca="false">IFERROR(INDEX(Positions!$E$2:$E$6912,MATCH($A471&amp;"|8",Positions!$A$2:$A$6912,0)),"-")</f>
        <v>U</v>
      </c>
      <c r="G471" s="24" t="str">
        <f aca="false">IFERROR(INDEX(Positions!$E$2:$E$6912,MATCH($A471&amp;"|14",Positions!$A$2:$A$6912,0)),"-")</f>
        <v>A</v>
      </c>
      <c r="H471" s="25" t="str">
        <f aca="false">F471&amp;"-"&amp;G471</f>
        <v>U-A</v>
      </c>
      <c r="I471" s="24" t="n">
        <f aca="false">(F471="G")+(G471="G")</f>
        <v>0</v>
      </c>
      <c r="J471" s="24" t="n">
        <f aca="false">(F471="C")+(G471="C")</f>
        <v>0</v>
      </c>
      <c r="K471" s="25" t="n">
        <f aca="false">I471+J471</f>
        <v>0</v>
      </c>
    </row>
    <row r="472" customFormat="false" ht="15" hidden="false" customHeight="false" outlineLevel="0" collapsed="false">
      <c r="A472" s="24" t="s">
        <v>53</v>
      </c>
      <c r="B472" s="24" t="s">
        <v>530</v>
      </c>
      <c r="C472" s="24" t="s">
        <v>532</v>
      </c>
      <c r="D472" s="24" t="n">
        <f aca="false">IFERROR(INDEX(Positions!$D$2:$D$6912,MATCH($A472&amp;"|15",Positions!$A$2:$A$6912,0)),"-")</f>
        <v>15</v>
      </c>
      <c r="E472" s="24" t="n">
        <f aca="false">IFERROR(INDEX(Positions!$D$2:$D$6912,MATCH($A472&amp;"|48",Positions!$A$2:$A$6912,0)),"-")</f>
        <v>48</v>
      </c>
      <c r="F472" s="24" t="str">
        <f aca="false">IFERROR(INDEX(Positions!$E$2:$E$6912,MATCH($A472&amp;"|15",Positions!$A$2:$A$6912,0)),"-")</f>
        <v>G</v>
      </c>
      <c r="G472" s="24" t="str">
        <f aca="false">IFERROR(INDEX(Positions!$E$2:$E$6912,MATCH($A472&amp;"|48",Positions!$A$2:$A$6912,0)),"-")</f>
        <v>C</v>
      </c>
      <c r="H472" s="25" t="str">
        <f aca="false">F472&amp;"-"&amp;G472</f>
        <v>G-C</v>
      </c>
      <c r="I472" s="24" t="n">
        <f aca="false">(F472="G")+(G472="G")</f>
        <v>1</v>
      </c>
      <c r="J472" s="24" t="n">
        <f aca="false">(F472="C")+(G472="C")</f>
        <v>1</v>
      </c>
      <c r="K472" s="25" t="n">
        <f aca="false">I472+J472</f>
        <v>2</v>
      </c>
    </row>
    <row r="473" customFormat="false" ht="15" hidden="false" customHeight="false" outlineLevel="0" collapsed="false">
      <c r="A473" s="24" t="s">
        <v>53</v>
      </c>
      <c r="B473" s="24" t="s">
        <v>530</v>
      </c>
      <c r="C473" s="24" t="s">
        <v>533</v>
      </c>
      <c r="D473" s="24" t="n">
        <f aca="false">IFERROR(INDEX(Positions!$D$2:$D$6912,MATCH($A473&amp;"|18",Positions!$A$2:$A$6912,0)),"-")</f>
        <v>18</v>
      </c>
      <c r="E473" s="24" t="n">
        <f aca="false">IFERROR(INDEX(Positions!$D$2:$D$6912,MATCH($A473&amp;"|55",Positions!$A$2:$A$6912,0)),"-")</f>
        <v>55</v>
      </c>
      <c r="F473" s="24" t="str">
        <f aca="false">IFERROR(INDEX(Positions!$E$2:$E$6912,MATCH($A473&amp;"|18",Positions!$A$2:$A$6912,0)),"-")</f>
        <v>G</v>
      </c>
      <c r="G473" s="24" t="str">
        <f aca="false">IFERROR(INDEX(Positions!$E$2:$E$6912,MATCH($A473&amp;"|55",Positions!$A$2:$A$6912,0)),"-")</f>
        <v>U</v>
      </c>
      <c r="H473" s="25" t="str">
        <f aca="false">F473&amp;"-"&amp;G473</f>
        <v>G-U</v>
      </c>
      <c r="I473" s="24" t="n">
        <f aca="false">(F473="G")+(G473="G")</f>
        <v>1</v>
      </c>
      <c r="J473" s="24" t="n">
        <f aca="false">(F473="C")+(G473="C")</f>
        <v>0</v>
      </c>
      <c r="K473" s="25" t="n">
        <f aca="false">I473+J473</f>
        <v>1</v>
      </c>
    </row>
    <row r="474" customFormat="false" ht="15" hidden="false" customHeight="false" outlineLevel="0" collapsed="false">
      <c r="A474" s="24" t="s">
        <v>53</v>
      </c>
      <c r="B474" s="24" t="s">
        <v>530</v>
      </c>
      <c r="C474" s="24" t="s">
        <v>534</v>
      </c>
      <c r="D474" s="24" t="n">
        <f aca="false">IFERROR(INDEX(Positions!$D$2:$D$6912,MATCH($A474&amp;"|19",Positions!$A$2:$A$6912,0)),"-")</f>
        <v>19</v>
      </c>
      <c r="E474" s="24" t="n">
        <f aca="false">IFERROR(INDEX(Positions!$D$2:$D$6912,MATCH($A474&amp;"|56",Positions!$A$2:$A$6912,0)),"-")</f>
        <v>56</v>
      </c>
      <c r="F474" s="24" t="str">
        <f aca="false">IFERROR(INDEX(Positions!$E$2:$E$6912,MATCH($A474&amp;"|19",Positions!$A$2:$A$6912,0)),"-")</f>
        <v>G</v>
      </c>
      <c r="G474" s="24" t="str">
        <f aca="false">IFERROR(INDEX(Positions!$E$2:$E$6912,MATCH($A474&amp;"|56",Positions!$A$2:$A$6912,0)),"-")</f>
        <v>C</v>
      </c>
      <c r="H474" s="25" t="str">
        <f aca="false">F474&amp;"-"&amp;G474</f>
        <v>G-C</v>
      </c>
      <c r="I474" s="24" t="n">
        <f aca="false">(F474="G")+(G474="G")</f>
        <v>1</v>
      </c>
      <c r="J474" s="24" t="n">
        <f aca="false">(F474="C")+(G474="C")</f>
        <v>1</v>
      </c>
      <c r="K474" s="25" t="n">
        <f aca="false">I474+J474</f>
        <v>2</v>
      </c>
    </row>
    <row r="475" customFormat="false" ht="15" hidden="false" customHeight="false" outlineLevel="0" collapsed="false">
      <c r="A475" s="24" t="s">
        <v>53</v>
      </c>
      <c r="B475" s="24" t="s">
        <v>530</v>
      </c>
      <c r="C475" s="24" t="s">
        <v>535</v>
      </c>
      <c r="D475" s="24" t="n">
        <f aca="false">IFERROR(INDEX(Positions!$D$2:$D$6912,MATCH($A475&amp;"|26",Positions!$A$2:$A$6912,0)),"-")</f>
        <v>26</v>
      </c>
      <c r="E475" s="24" t="n">
        <f aca="false">IFERROR(INDEX(Positions!$D$2:$D$6912,MATCH($A475&amp;"|44",Positions!$A$2:$A$6912,0)),"-")</f>
        <v>44</v>
      </c>
      <c r="F475" s="24" t="str">
        <f aca="false">IFERROR(INDEX(Positions!$E$2:$E$6912,MATCH($A475&amp;"|26",Positions!$A$2:$A$6912,0)),"-")</f>
        <v>G</v>
      </c>
      <c r="G475" s="24" t="str">
        <f aca="false">IFERROR(INDEX(Positions!$E$2:$E$6912,MATCH($A475&amp;"|44",Positions!$A$2:$A$6912,0)),"-")</f>
        <v>A</v>
      </c>
      <c r="H475" s="25" t="str">
        <f aca="false">F475&amp;"-"&amp;G475</f>
        <v>G-A</v>
      </c>
      <c r="I475" s="24" t="n">
        <f aca="false">(F475="G")+(G475="G")</f>
        <v>1</v>
      </c>
      <c r="J475" s="24" t="n">
        <f aca="false">(F475="C")+(G475="C")</f>
        <v>0</v>
      </c>
      <c r="K475" s="25" t="n">
        <f aca="false">I475+J475</f>
        <v>1</v>
      </c>
    </row>
    <row r="476" customFormat="false" ht="15" hidden="false" customHeight="false" outlineLevel="0" collapsed="false">
      <c r="A476" s="24" t="s">
        <v>53</v>
      </c>
      <c r="B476" s="24" t="s">
        <v>530</v>
      </c>
      <c r="C476" s="24" t="s">
        <v>536</v>
      </c>
      <c r="D476" s="24" t="n">
        <f aca="false">IFERROR(INDEX(Positions!$D$2:$D$6912,MATCH($A476&amp;"|32",Positions!$A$2:$A$6912,0)),"-")</f>
        <v>32</v>
      </c>
      <c r="E476" s="24" t="n">
        <f aca="false">IFERROR(INDEX(Positions!$D$2:$D$6912,MATCH($A476&amp;"|38",Positions!$A$2:$A$6912,0)),"-")</f>
        <v>38</v>
      </c>
      <c r="F476" s="24" t="str">
        <f aca="false">IFERROR(INDEX(Positions!$E$2:$E$6912,MATCH($A476&amp;"|32",Positions!$A$2:$A$6912,0)),"-")</f>
        <v>C</v>
      </c>
      <c r="G476" s="24" t="str">
        <f aca="false">IFERROR(INDEX(Positions!$E$2:$E$6912,MATCH($A476&amp;"|38",Positions!$A$2:$A$6912,0)),"-")</f>
        <v>A</v>
      </c>
      <c r="H476" s="25" t="str">
        <f aca="false">F476&amp;"-"&amp;G476</f>
        <v>C-A</v>
      </c>
      <c r="I476" s="24" t="n">
        <f aca="false">(F476="G")+(G476="G")</f>
        <v>0</v>
      </c>
      <c r="J476" s="24" t="n">
        <f aca="false">(F476="C")+(G476="C")</f>
        <v>1</v>
      </c>
      <c r="K476" s="25" t="n">
        <f aca="false">I476+J476</f>
        <v>1</v>
      </c>
    </row>
    <row r="477" customFormat="false" ht="15" hidden="false" customHeight="false" outlineLevel="0" collapsed="false">
      <c r="A477" s="24" t="s">
        <v>53</v>
      </c>
      <c r="B477" s="24" t="s">
        <v>530</v>
      </c>
      <c r="C477" s="24" t="s">
        <v>537</v>
      </c>
      <c r="D477" s="24" t="n">
        <f aca="false">IFERROR(INDEX(Positions!$D$2:$D$6912,MATCH($A477&amp;"|54",Positions!$A$2:$A$6912,0)),"-")</f>
        <v>54</v>
      </c>
      <c r="E477" s="24" t="n">
        <f aca="false">IFERROR(INDEX(Positions!$D$2:$D$6912,MATCH($A477&amp;"|58",Positions!$A$2:$A$6912,0)),"-")</f>
        <v>58</v>
      </c>
      <c r="F477" s="24" t="str">
        <f aca="false">IFERROR(INDEX(Positions!$E$2:$E$6912,MATCH($A477&amp;"|54",Positions!$A$2:$A$6912,0)),"-")</f>
        <v>U</v>
      </c>
      <c r="G477" s="24" t="str">
        <f aca="false">IFERROR(INDEX(Positions!$E$2:$E$6912,MATCH($A477&amp;"|58",Positions!$A$2:$A$6912,0)),"-")</f>
        <v>A</v>
      </c>
      <c r="H477" s="25" t="str">
        <f aca="false">F477&amp;"-"&amp;G477</f>
        <v>U-A</v>
      </c>
      <c r="I477" s="24" t="n">
        <f aca="false">(F477="G")+(G477="G")</f>
        <v>0</v>
      </c>
      <c r="J477" s="24" t="n">
        <f aca="false">(F477="C")+(G477="C")</f>
        <v>0</v>
      </c>
      <c r="K477" s="25" t="n">
        <f aca="false">I477+J477</f>
        <v>0</v>
      </c>
    </row>
    <row r="478" customFormat="false" ht="15" hidden="false" customHeight="false" outlineLevel="0" collapsed="false">
      <c r="A478" s="4" t="s">
        <v>54</v>
      </c>
      <c r="B478" s="4" t="s">
        <v>412</v>
      </c>
      <c r="C478" s="4" t="s">
        <v>517</v>
      </c>
      <c r="D478" s="4" t="n">
        <f aca="false">IFERROR(INDEX(Positions!$D$2:$D$6912,MATCH($A478&amp;"|1",Positions!$A$2:$A$6912,0)),"-")</f>
        <v>1</v>
      </c>
      <c r="E478" s="4" t="n">
        <f aca="false">IFERROR(INDEX(Positions!$D$2:$D$6912,MATCH($A478&amp;"|72",Positions!$A$2:$A$6912,0)),"-")</f>
        <v>72</v>
      </c>
      <c r="F478" s="4" t="str">
        <f aca="false">IFERROR(INDEX(Positions!$E$2:$E$6912,MATCH($A478&amp;"|1",Positions!$A$2:$A$6912,0)),"-")</f>
        <v>G</v>
      </c>
      <c r="G478" s="4" t="str">
        <f aca="false">IFERROR(INDEX(Positions!$E$2:$E$6912,MATCH($A478&amp;"|72",Positions!$A$2:$A$6912,0)),"-")</f>
        <v>C</v>
      </c>
      <c r="H478" s="3" t="str">
        <f aca="false">F478&amp;"-"&amp;G478</f>
        <v>G-C</v>
      </c>
      <c r="I478" s="4" t="n">
        <f aca="false">(F478="G")+(G478="G")</f>
        <v>1</v>
      </c>
      <c r="J478" s="4" t="n">
        <f aca="false">(F478="C")+(G478="C")</f>
        <v>1</v>
      </c>
      <c r="K478" s="3" t="n">
        <f aca="false">I478+J478</f>
        <v>2</v>
      </c>
    </row>
    <row r="479" customFormat="false" ht="15" hidden="false" customHeight="false" outlineLevel="0" collapsed="false">
      <c r="A479" s="4" t="s">
        <v>54</v>
      </c>
      <c r="B479" s="4" t="s">
        <v>412</v>
      </c>
      <c r="C479" s="4" t="s">
        <v>518</v>
      </c>
      <c r="D479" s="4" t="n">
        <f aca="false">IFERROR(INDEX(Positions!$D$2:$D$6912,MATCH($A479&amp;"|2",Positions!$A$2:$A$6912,0)),"-")</f>
        <v>2</v>
      </c>
      <c r="E479" s="4" t="n">
        <f aca="false">IFERROR(INDEX(Positions!$D$2:$D$6912,MATCH($A479&amp;"|71",Positions!$A$2:$A$6912,0)),"-")</f>
        <v>71</v>
      </c>
      <c r="F479" s="4" t="str">
        <f aca="false">IFERROR(INDEX(Positions!$E$2:$E$6912,MATCH($A479&amp;"|2",Positions!$A$2:$A$6912,0)),"-")</f>
        <v>U</v>
      </c>
      <c r="G479" s="4" t="str">
        <f aca="false">IFERROR(INDEX(Positions!$E$2:$E$6912,MATCH($A479&amp;"|71",Positions!$A$2:$A$6912,0)),"-")</f>
        <v>A</v>
      </c>
      <c r="H479" s="3" t="str">
        <f aca="false">F479&amp;"-"&amp;G479</f>
        <v>U-A</v>
      </c>
      <c r="I479" s="4" t="n">
        <f aca="false">(F479="G")+(G479="G")</f>
        <v>0</v>
      </c>
      <c r="J479" s="4" t="n">
        <f aca="false">(F479="C")+(G479="C")</f>
        <v>0</v>
      </c>
      <c r="K479" s="3" t="n">
        <f aca="false">I479+J479</f>
        <v>0</v>
      </c>
    </row>
    <row r="480" customFormat="false" ht="15" hidden="false" customHeight="false" outlineLevel="0" collapsed="false">
      <c r="A480" s="4" t="s">
        <v>54</v>
      </c>
      <c r="B480" s="4" t="s">
        <v>412</v>
      </c>
      <c r="C480" s="4" t="s">
        <v>386</v>
      </c>
      <c r="D480" s="4" t="n">
        <f aca="false">IFERROR(INDEX(Positions!$D$2:$D$6912,MATCH($A480&amp;"|3",Positions!$A$2:$A$6912,0)),"-")</f>
        <v>3</v>
      </c>
      <c r="E480" s="4" t="n">
        <f aca="false">IFERROR(INDEX(Positions!$D$2:$D$6912,MATCH($A480&amp;"|70",Positions!$A$2:$A$6912,0)),"-")</f>
        <v>70</v>
      </c>
      <c r="F480" s="4" t="str">
        <f aca="false">IFERROR(INDEX(Positions!$E$2:$E$6912,MATCH($A480&amp;"|3",Positions!$A$2:$A$6912,0)),"-")</f>
        <v>U</v>
      </c>
      <c r="G480" s="4" t="str">
        <f aca="false">IFERROR(INDEX(Positions!$E$2:$E$6912,MATCH($A480&amp;"|70",Positions!$A$2:$A$6912,0)),"-")</f>
        <v>A</v>
      </c>
      <c r="H480" s="3" t="str">
        <f aca="false">F480&amp;"-"&amp;G480</f>
        <v>U-A</v>
      </c>
      <c r="I480" s="4" t="n">
        <f aca="false">(F480="G")+(G480="G")</f>
        <v>0</v>
      </c>
      <c r="J480" s="4" t="n">
        <f aca="false">(F480="C")+(G480="C")</f>
        <v>0</v>
      </c>
      <c r="K480" s="3" t="n">
        <f aca="false">I480+J480</f>
        <v>0</v>
      </c>
    </row>
    <row r="481" customFormat="false" ht="15" hidden="false" customHeight="false" outlineLevel="0" collapsed="false">
      <c r="A481" s="4" t="s">
        <v>54</v>
      </c>
      <c r="B481" s="4" t="s">
        <v>412</v>
      </c>
      <c r="C481" s="4" t="s">
        <v>519</v>
      </c>
      <c r="D481" s="4" t="n">
        <f aca="false">IFERROR(INDEX(Positions!$D$2:$D$6912,MATCH($A481&amp;"|4",Positions!$A$2:$A$6912,0)),"-")</f>
        <v>4</v>
      </c>
      <c r="E481" s="4" t="n">
        <f aca="false">IFERROR(INDEX(Positions!$D$2:$D$6912,MATCH($A481&amp;"|69",Positions!$A$2:$A$6912,0)),"-")</f>
        <v>69</v>
      </c>
      <c r="F481" s="4" t="str">
        <f aca="false">IFERROR(INDEX(Positions!$E$2:$E$6912,MATCH($A481&amp;"|4",Positions!$A$2:$A$6912,0)),"-")</f>
        <v>U</v>
      </c>
      <c r="G481" s="4" t="str">
        <f aca="false">IFERROR(INDEX(Positions!$E$2:$E$6912,MATCH($A481&amp;"|69",Positions!$A$2:$A$6912,0)),"-")</f>
        <v>G</v>
      </c>
      <c r="H481" s="3" t="str">
        <f aca="false">F481&amp;"-"&amp;G481</f>
        <v>U-G</v>
      </c>
      <c r="I481" s="4" t="n">
        <f aca="false">(F481="G")+(G481="G")</f>
        <v>1</v>
      </c>
      <c r="J481" s="4" t="n">
        <f aca="false">(F481="C")+(G481="C")</f>
        <v>0</v>
      </c>
      <c r="K481" s="3" t="n">
        <f aca="false">I481+J481</f>
        <v>1</v>
      </c>
    </row>
    <row r="482" customFormat="false" ht="15" hidden="false" customHeight="false" outlineLevel="0" collapsed="false">
      <c r="A482" s="4" t="s">
        <v>54</v>
      </c>
      <c r="B482" s="4" t="s">
        <v>412</v>
      </c>
      <c r="C482" s="4" t="s">
        <v>283</v>
      </c>
      <c r="D482" s="4" t="n">
        <f aca="false">IFERROR(INDEX(Positions!$D$2:$D$6912,MATCH($A482&amp;"|5",Positions!$A$2:$A$6912,0)),"-")</f>
        <v>5</v>
      </c>
      <c r="E482" s="4" t="n">
        <f aca="false">IFERROR(INDEX(Positions!$D$2:$D$6912,MATCH($A482&amp;"|68",Positions!$A$2:$A$6912,0)),"-")</f>
        <v>68</v>
      </c>
      <c r="F482" s="4" t="str">
        <f aca="false">IFERROR(INDEX(Positions!$E$2:$E$6912,MATCH($A482&amp;"|5",Positions!$A$2:$A$6912,0)),"-")</f>
        <v>C</v>
      </c>
      <c r="G482" s="4" t="str">
        <f aca="false">IFERROR(INDEX(Positions!$E$2:$E$6912,MATCH($A482&amp;"|68",Positions!$A$2:$A$6912,0)),"-")</f>
        <v>G</v>
      </c>
      <c r="H482" s="3" t="str">
        <f aca="false">F482&amp;"-"&amp;G482</f>
        <v>C-G</v>
      </c>
      <c r="I482" s="4" t="n">
        <f aca="false">(F482="G")+(G482="G")</f>
        <v>1</v>
      </c>
      <c r="J482" s="4" t="n">
        <f aca="false">(F482="C")+(G482="C")</f>
        <v>1</v>
      </c>
      <c r="K482" s="3" t="n">
        <f aca="false">I482+J482</f>
        <v>2</v>
      </c>
    </row>
    <row r="483" customFormat="false" ht="15" hidden="false" customHeight="false" outlineLevel="0" collapsed="false">
      <c r="A483" s="4" t="s">
        <v>54</v>
      </c>
      <c r="B483" s="4" t="s">
        <v>412</v>
      </c>
      <c r="C483" s="4" t="s">
        <v>520</v>
      </c>
      <c r="D483" s="4" t="n">
        <f aca="false">IFERROR(INDEX(Positions!$D$2:$D$6912,MATCH($A483&amp;"|6",Positions!$A$2:$A$6912,0)),"-")</f>
        <v>6</v>
      </c>
      <c r="E483" s="4" t="n">
        <f aca="false">IFERROR(INDEX(Positions!$D$2:$D$6912,MATCH($A483&amp;"|67",Positions!$A$2:$A$6912,0)),"-")</f>
        <v>67</v>
      </c>
      <c r="F483" s="4" t="str">
        <f aca="false">IFERROR(INDEX(Positions!$E$2:$E$6912,MATCH($A483&amp;"|6",Positions!$A$2:$A$6912,0)),"-")</f>
        <v>C</v>
      </c>
      <c r="G483" s="4" t="str">
        <f aca="false">IFERROR(INDEX(Positions!$E$2:$E$6912,MATCH($A483&amp;"|67",Positions!$A$2:$A$6912,0)),"-")</f>
        <v>G</v>
      </c>
      <c r="H483" s="3" t="str">
        <f aca="false">F483&amp;"-"&amp;G483</f>
        <v>C-G</v>
      </c>
      <c r="I483" s="4" t="n">
        <f aca="false">(F483="G")+(G483="G")</f>
        <v>1</v>
      </c>
      <c r="J483" s="4" t="n">
        <f aca="false">(F483="C")+(G483="C")</f>
        <v>1</v>
      </c>
      <c r="K483" s="3" t="n">
        <f aca="false">I483+J483</f>
        <v>2</v>
      </c>
    </row>
    <row r="484" customFormat="false" ht="15" hidden="false" customHeight="false" outlineLevel="0" collapsed="false">
      <c r="A484" s="4" t="s">
        <v>54</v>
      </c>
      <c r="B484" s="4" t="s">
        <v>412</v>
      </c>
      <c r="C484" s="4" t="s">
        <v>521</v>
      </c>
      <c r="D484" s="4" t="n">
        <f aca="false">IFERROR(INDEX(Positions!$D$2:$D$6912,MATCH($A484&amp;"|7",Positions!$A$2:$A$6912,0)),"-")</f>
        <v>7</v>
      </c>
      <c r="E484" s="4" t="n">
        <f aca="false">IFERROR(INDEX(Positions!$D$2:$D$6912,MATCH($A484&amp;"|66",Positions!$A$2:$A$6912,0)),"-")</f>
        <v>66</v>
      </c>
      <c r="F484" s="4" t="str">
        <f aca="false">IFERROR(INDEX(Positions!$E$2:$E$6912,MATCH($A484&amp;"|7",Positions!$A$2:$A$6912,0)),"-")</f>
        <v>G</v>
      </c>
      <c r="G484" s="4" t="str">
        <f aca="false">IFERROR(INDEX(Positions!$E$2:$E$6912,MATCH($A484&amp;"|66",Positions!$A$2:$A$6912,0)),"-")</f>
        <v>C</v>
      </c>
      <c r="H484" s="3" t="str">
        <f aca="false">F484&amp;"-"&amp;G484</f>
        <v>G-C</v>
      </c>
      <c r="I484" s="4" t="n">
        <f aca="false">(F484="G")+(G484="G")</f>
        <v>1</v>
      </c>
      <c r="J484" s="4" t="n">
        <f aca="false">(F484="C")+(G484="C")</f>
        <v>1</v>
      </c>
      <c r="K484" s="3" t="n">
        <f aca="false">I484+J484</f>
        <v>2</v>
      </c>
    </row>
    <row r="485" customFormat="false" ht="15" hidden="false" customHeight="false" outlineLevel="0" collapsed="false">
      <c r="A485" s="4" t="s">
        <v>54</v>
      </c>
      <c r="B485" s="4" t="s">
        <v>425</v>
      </c>
      <c r="C485" s="4" t="s">
        <v>522</v>
      </c>
      <c r="D485" s="4" t="n">
        <f aca="false">IFERROR(INDEX(Positions!$D$2:$D$6912,MATCH($A485&amp;"|10",Positions!$A$2:$A$6912,0)),"-")</f>
        <v>10</v>
      </c>
      <c r="E485" s="4" t="n">
        <f aca="false">IFERROR(INDEX(Positions!$D$2:$D$6912,MATCH($A485&amp;"|25",Positions!$A$2:$A$6912,0)),"-")</f>
        <v>25</v>
      </c>
      <c r="F485" s="4" t="str">
        <f aca="false">IFERROR(INDEX(Positions!$E$2:$E$6912,MATCH($A485&amp;"|10",Positions!$A$2:$A$6912,0)),"-")</f>
        <v>G</v>
      </c>
      <c r="G485" s="4" t="str">
        <f aca="false">IFERROR(INDEX(Positions!$E$2:$E$6912,MATCH($A485&amp;"|25",Positions!$A$2:$A$6912,0)),"-")</f>
        <v>C</v>
      </c>
      <c r="H485" s="3" t="str">
        <f aca="false">F485&amp;"-"&amp;G485</f>
        <v>G-C</v>
      </c>
      <c r="I485" s="4" t="n">
        <f aca="false">(F485="G")+(G485="G")</f>
        <v>1</v>
      </c>
      <c r="J485" s="4" t="n">
        <f aca="false">(F485="C")+(G485="C")</f>
        <v>1</v>
      </c>
      <c r="K485" s="3" t="n">
        <f aca="false">I485+J485</f>
        <v>2</v>
      </c>
    </row>
    <row r="486" customFormat="false" ht="15" hidden="false" customHeight="false" outlineLevel="0" collapsed="false">
      <c r="A486" s="4" t="s">
        <v>54</v>
      </c>
      <c r="B486" s="4" t="s">
        <v>425</v>
      </c>
      <c r="C486" s="4" t="s">
        <v>523</v>
      </c>
      <c r="D486" s="4" t="n">
        <f aca="false">IFERROR(INDEX(Positions!$D$2:$D$6912,MATCH($A486&amp;"|11",Positions!$A$2:$A$6912,0)),"-")</f>
        <v>11</v>
      </c>
      <c r="E486" s="4" t="n">
        <f aca="false">IFERROR(INDEX(Positions!$D$2:$D$6912,MATCH($A486&amp;"|24",Positions!$A$2:$A$6912,0)),"-")</f>
        <v>24</v>
      </c>
      <c r="F486" s="4" t="str">
        <f aca="false">IFERROR(INDEX(Positions!$E$2:$E$6912,MATCH($A486&amp;"|11",Positions!$A$2:$A$6912,0)),"-")</f>
        <v>U</v>
      </c>
      <c r="G486" s="4" t="str">
        <f aca="false">IFERROR(INDEX(Positions!$E$2:$E$6912,MATCH($A486&amp;"|24",Positions!$A$2:$A$6912,0)),"-")</f>
        <v>A</v>
      </c>
      <c r="H486" s="3" t="str">
        <f aca="false">F486&amp;"-"&amp;G486</f>
        <v>U-A</v>
      </c>
      <c r="I486" s="4" t="n">
        <f aca="false">(F486="G")+(G486="G")</f>
        <v>0</v>
      </c>
      <c r="J486" s="4" t="n">
        <f aca="false">(F486="C")+(G486="C")</f>
        <v>0</v>
      </c>
      <c r="K486" s="3" t="n">
        <f aca="false">I486+J486</f>
        <v>0</v>
      </c>
    </row>
    <row r="487" customFormat="false" ht="15" hidden="false" customHeight="false" outlineLevel="0" collapsed="false">
      <c r="A487" s="4" t="s">
        <v>54</v>
      </c>
      <c r="B487" s="4" t="s">
        <v>425</v>
      </c>
      <c r="C487" s="4" t="s">
        <v>250</v>
      </c>
      <c r="D487" s="4" t="n">
        <f aca="false">IFERROR(INDEX(Positions!$D$2:$D$6912,MATCH($A487&amp;"|12",Positions!$A$2:$A$6912,0)),"-")</f>
        <v>12</v>
      </c>
      <c r="E487" s="4" t="n">
        <f aca="false">IFERROR(INDEX(Positions!$D$2:$D$6912,MATCH($A487&amp;"|23",Positions!$A$2:$A$6912,0)),"-")</f>
        <v>23</v>
      </c>
      <c r="F487" s="4" t="str">
        <f aca="false">IFERROR(INDEX(Positions!$E$2:$E$6912,MATCH($A487&amp;"|12",Positions!$A$2:$A$6912,0)),"-")</f>
        <v>G</v>
      </c>
      <c r="G487" s="4" t="str">
        <f aca="false">IFERROR(INDEX(Positions!$E$2:$E$6912,MATCH($A487&amp;"|23",Positions!$A$2:$A$6912,0)),"-")</f>
        <v>C</v>
      </c>
      <c r="H487" s="3" t="str">
        <f aca="false">F487&amp;"-"&amp;G487</f>
        <v>G-C</v>
      </c>
      <c r="I487" s="4" t="n">
        <f aca="false">(F487="G")+(G487="G")</f>
        <v>1</v>
      </c>
      <c r="J487" s="4" t="n">
        <f aca="false">(F487="C")+(G487="C")</f>
        <v>1</v>
      </c>
      <c r="K487" s="3" t="n">
        <f aca="false">I487+J487</f>
        <v>2</v>
      </c>
    </row>
    <row r="488" customFormat="false" ht="15" hidden="false" customHeight="false" outlineLevel="0" collapsed="false">
      <c r="A488" s="4" t="s">
        <v>54</v>
      </c>
      <c r="B488" s="4" t="s">
        <v>425</v>
      </c>
      <c r="C488" s="4" t="s">
        <v>154</v>
      </c>
      <c r="D488" s="4" t="n">
        <f aca="false">IFERROR(INDEX(Positions!$D$2:$D$6912,MATCH($A488&amp;"|13",Positions!$A$2:$A$6912,0)),"-")</f>
        <v>13</v>
      </c>
      <c r="E488" s="4" t="n">
        <f aca="false">IFERROR(INDEX(Positions!$D$2:$D$6912,MATCH($A488&amp;"|22",Positions!$A$2:$A$6912,0)),"-")</f>
        <v>22</v>
      </c>
      <c r="F488" s="4" t="str">
        <f aca="false">IFERROR(INDEX(Positions!$E$2:$E$6912,MATCH($A488&amp;"|13",Positions!$A$2:$A$6912,0)),"-")</f>
        <v>U</v>
      </c>
      <c r="G488" s="4" t="str">
        <f aca="false">IFERROR(INDEX(Positions!$E$2:$E$6912,MATCH($A488&amp;"|22",Positions!$A$2:$A$6912,0)),"-")</f>
        <v>U</v>
      </c>
      <c r="H488" s="3" t="str">
        <f aca="false">F488&amp;"-"&amp;G488</f>
        <v>U-U</v>
      </c>
      <c r="I488" s="4" t="n">
        <f aca="false">(F488="G")+(G488="G")</f>
        <v>0</v>
      </c>
      <c r="J488" s="4" t="n">
        <f aca="false">(F488="C")+(G488="C")</f>
        <v>0</v>
      </c>
      <c r="K488" s="3" t="n">
        <f aca="false">I488+J488</f>
        <v>0</v>
      </c>
    </row>
    <row r="489" customFormat="false" ht="15" hidden="false" customHeight="false" outlineLevel="0" collapsed="false">
      <c r="A489" s="4" t="s">
        <v>54</v>
      </c>
      <c r="B489" s="4" t="s">
        <v>446</v>
      </c>
      <c r="C489" s="4" t="s">
        <v>524</v>
      </c>
      <c r="D489" s="4" t="n">
        <f aca="false">IFERROR(INDEX(Positions!$D$2:$D$6912,MATCH($A489&amp;"|27",Positions!$A$2:$A$6912,0)),"-")</f>
        <v>27</v>
      </c>
      <c r="E489" s="4" t="n">
        <f aca="false">IFERROR(INDEX(Positions!$D$2:$D$6912,MATCH($A489&amp;"|43",Positions!$A$2:$A$6912,0)),"-")</f>
        <v>43</v>
      </c>
      <c r="F489" s="4" t="str">
        <f aca="false">IFERROR(INDEX(Positions!$E$2:$E$6912,MATCH($A489&amp;"|27",Positions!$A$2:$A$6912,0)),"-")</f>
        <v>U</v>
      </c>
      <c r="G489" s="4" t="str">
        <f aca="false">IFERROR(INDEX(Positions!$E$2:$E$6912,MATCH($A489&amp;"|43",Positions!$A$2:$A$6912,0)),"-")</f>
        <v>A</v>
      </c>
      <c r="H489" s="3" t="str">
        <f aca="false">F489&amp;"-"&amp;G489</f>
        <v>U-A</v>
      </c>
      <c r="I489" s="4" t="n">
        <f aca="false">(F489="G")+(G489="G")</f>
        <v>0</v>
      </c>
      <c r="J489" s="4" t="n">
        <f aca="false">(F489="C")+(G489="C")</f>
        <v>0</v>
      </c>
      <c r="K489" s="3" t="n">
        <f aca="false">I489+J489</f>
        <v>0</v>
      </c>
    </row>
    <row r="490" customFormat="false" ht="15" hidden="false" customHeight="false" outlineLevel="0" collapsed="false">
      <c r="A490" s="4" t="s">
        <v>54</v>
      </c>
      <c r="B490" s="4" t="s">
        <v>446</v>
      </c>
      <c r="C490" s="4" t="s">
        <v>525</v>
      </c>
      <c r="D490" s="4" t="n">
        <f aca="false">IFERROR(INDEX(Positions!$D$2:$D$6912,MATCH($A490&amp;"|28",Positions!$A$2:$A$6912,0)),"-")</f>
        <v>28</v>
      </c>
      <c r="E490" s="4" t="n">
        <f aca="false">IFERROR(INDEX(Positions!$D$2:$D$6912,MATCH($A490&amp;"|42",Positions!$A$2:$A$6912,0)),"-")</f>
        <v>42</v>
      </c>
      <c r="F490" s="4" t="str">
        <f aca="false">IFERROR(INDEX(Positions!$E$2:$E$6912,MATCH($A490&amp;"|28",Positions!$A$2:$A$6912,0)),"-")</f>
        <v>G</v>
      </c>
      <c r="G490" s="4" t="str">
        <f aca="false">IFERROR(INDEX(Positions!$E$2:$E$6912,MATCH($A490&amp;"|42",Positions!$A$2:$A$6912,0)),"-")</f>
        <v>C</v>
      </c>
      <c r="H490" s="3" t="str">
        <f aca="false">F490&amp;"-"&amp;G490</f>
        <v>G-C</v>
      </c>
      <c r="I490" s="4" t="n">
        <f aca="false">(F490="G")+(G490="G")</f>
        <v>1</v>
      </c>
      <c r="J490" s="4" t="n">
        <f aca="false">(F490="C")+(G490="C")</f>
        <v>1</v>
      </c>
      <c r="K490" s="3" t="n">
        <f aca="false">I490+J490</f>
        <v>2</v>
      </c>
    </row>
    <row r="491" customFormat="false" ht="15" hidden="false" customHeight="false" outlineLevel="0" collapsed="false">
      <c r="A491" s="4" t="s">
        <v>54</v>
      </c>
      <c r="B491" s="4" t="s">
        <v>446</v>
      </c>
      <c r="C491" s="4" t="s">
        <v>256</v>
      </c>
      <c r="D491" s="4" t="n">
        <f aca="false">IFERROR(INDEX(Positions!$D$2:$D$6912,MATCH($A491&amp;"|29",Positions!$A$2:$A$6912,0)),"-")</f>
        <v>29</v>
      </c>
      <c r="E491" s="4" t="n">
        <f aca="false">IFERROR(INDEX(Positions!$D$2:$D$6912,MATCH($A491&amp;"|41",Positions!$A$2:$A$6912,0)),"-")</f>
        <v>41</v>
      </c>
      <c r="F491" s="4" t="str">
        <f aca="false">IFERROR(INDEX(Positions!$E$2:$E$6912,MATCH($A491&amp;"|29",Positions!$A$2:$A$6912,0)),"-")</f>
        <v>U</v>
      </c>
      <c r="G491" s="4" t="str">
        <f aca="false">IFERROR(INDEX(Positions!$E$2:$E$6912,MATCH($A491&amp;"|41",Positions!$A$2:$A$6912,0)),"-")</f>
        <v>A</v>
      </c>
      <c r="H491" s="3" t="str">
        <f aca="false">F491&amp;"-"&amp;G491</f>
        <v>U-A</v>
      </c>
      <c r="I491" s="4" t="n">
        <f aca="false">(F491="G")+(G491="G")</f>
        <v>0</v>
      </c>
      <c r="J491" s="4" t="n">
        <f aca="false">(F491="C")+(G491="C")</f>
        <v>0</v>
      </c>
      <c r="K491" s="3" t="n">
        <f aca="false">I491+J491</f>
        <v>0</v>
      </c>
    </row>
    <row r="492" customFormat="false" ht="15" hidden="false" customHeight="false" outlineLevel="0" collapsed="false">
      <c r="A492" s="4" t="s">
        <v>54</v>
      </c>
      <c r="B492" s="4" t="s">
        <v>446</v>
      </c>
      <c r="C492" s="4" t="s">
        <v>526</v>
      </c>
      <c r="D492" s="4" t="n">
        <f aca="false">IFERROR(INDEX(Positions!$D$2:$D$6912,MATCH($A492&amp;"|30",Positions!$A$2:$A$6912,0)),"-")</f>
        <v>30</v>
      </c>
      <c r="E492" s="4" t="n">
        <f aca="false">IFERROR(INDEX(Positions!$D$2:$D$6912,MATCH($A492&amp;"|40",Positions!$A$2:$A$6912,0)),"-")</f>
        <v>40</v>
      </c>
      <c r="F492" s="4" t="str">
        <f aca="false">IFERROR(INDEX(Positions!$E$2:$E$6912,MATCH($A492&amp;"|30",Positions!$A$2:$A$6912,0)),"-")</f>
        <v>G</v>
      </c>
      <c r="G492" s="4" t="str">
        <f aca="false">IFERROR(INDEX(Positions!$E$2:$E$6912,MATCH($A492&amp;"|40",Positions!$A$2:$A$6912,0)),"-")</f>
        <v>C</v>
      </c>
      <c r="H492" s="3" t="str">
        <f aca="false">F492&amp;"-"&amp;G492</f>
        <v>G-C</v>
      </c>
      <c r="I492" s="4" t="n">
        <f aca="false">(F492="G")+(G492="G")</f>
        <v>1</v>
      </c>
      <c r="J492" s="4" t="n">
        <f aca="false">(F492="C")+(G492="C")</f>
        <v>1</v>
      </c>
      <c r="K492" s="3" t="n">
        <f aca="false">I492+J492</f>
        <v>2</v>
      </c>
    </row>
    <row r="493" customFormat="false" ht="15" hidden="false" customHeight="false" outlineLevel="0" collapsed="false">
      <c r="A493" s="4" t="s">
        <v>54</v>
      </c>
      <c r="B493" s="4" t="s">
        <v>446</v>
      </c>
      <c r="C493" s="4" t="s">
        <v>273</v>
      </c>
      <c r="D493" s="4" t="n">
        <f aca="false">IFERROR(INDEX(Positions!$D$2:$D$6912,MATCH($A493&amp;"|31",Positions!$A$2:$A$6912,0)),"-")</f>
        <v>31</v>
      </c>
      <c r="E493" s="4" t="n">
        <f aca="false">IFERROR(INDEX(Positions!$D$2:$D$6912,MATCH($A493&amp;"|39",Positions!$A$2:$A$6912,0)),"-")</f>
        <v>39</v>
      </c>
      <c r="F493" s="4" t="str">
        <f aca="false">IFERROR(INDEX(Positions!$E$2:$E$6912,MATCH($A493&amp;"|31",Positions!$A$2:$A$6912,0)),"-")</f>
        <v>C</v>
      </c>
      <c r="G493" s="4" t="str">
        <f aca="false">IFERROR(INDEX(Positions!$E$2:$E$6912,MATCH($A493&amp;"|39",Positions!$A$2:$A$6912,0)),"-")</f>
        <v>G</v>
      </c>
      <c r="H493" s="3" t="str">
        <f aca="false">F493&amp;"-"&amp;G493</f>
        <v>C-G</v>
      </c>
      <c r="I493" s="4" t="n">
        <f aca="false">(F493="G")+(G493="G")</f>
        <v>1</v>
      </c>
      <c r="J493" s="4" t="n">
        <f aca="false">(F493="C")+(G493="C")</f>
        <v>1</v>
      </c>
      <c r="K493" s="3" t="n">
        <f aca="false">I493+J493</f>
        <v>2</v>
      </c>
    </row>
    <row r="494" customFormat="false" ht="15" hidden="false" customHeight="false" outlineLevel="0" collapsed="false">
      <c r="A494" s="4" t="s">
        <v>54</v>
      </c>
      <c r="B494" s="4" t="s">
        <v>471</v>
      </c>
      <c r="C494" s="4" t="s">
        <v>367</v>
      </c>
      <c r="D494" s="4" t="n">
        <f aca="false">IFERROR(INDEX(Positions!$D$2:$D$6912,MATCH($A494&amp;"|49",Positions!$A$2:$A$6912,0)),"-")</f>
        <v>49</v>
      </c>
      <c r="E494" s="4" t="n">
        <f aca="false">IFERROR(INDEX(Positions!$D$2:$D$6912,MATCH($A494&amp;"|65",Positions!$A$2:$A$6912,0)),"-")</f>
        <v>65</v>
      </c>
      <c r="F494" s="4" t="str">
        <f aca="false">IFERROR(INDEX(Positions!$E$2:$E$6912,MATCH($A494&amp;"|49",Positions!$A$2:$A$6912,0)),"-")</f>
        <v>C</v>
      </c>
      <c r="G494" s="4" t="str">
        <f aca="false">IFERROR(INDEX(Positions!$E$2:$E$6912,MATCH($A494&amp;"|65",Positions!$A$2:$A$6912,0)),"-")</f>
        <v>G</v>
      </c>
      <c r="H494" s="3" t="str">
        <f aca="false">F494&amp;"-"&amp;G494</f>
        <v>C-G</v>
      </c>
      <c r="I494" s="4" t="n">
        <f aca="false">(F494="G")+(G494="G")</f>
        <v>1</v>
      </c>
      <c r="J494" s="4" t="n">
        <f aca="false">(F494="C")+(G494="C")</f>
        <v>1</v>
      </c>
      <c r="K494" s="3" t="n">
        <f aca="false">I494+J494</f>
        <v>2</v>
      </c>
    </row>
    <row r="495" customFormat="false" ht="15" hidden="false" customHeight="false" outlineLevel="0" collapsed="false">
      <c r="A495" s="4" t="s">
        <v>54</v>
      </c>
      <c r="B495" s="4" t="s">
        <v>471</v>
      </c>
      <c r="C495" s="4" t="s">
        <v>233</v>
      </c>
      <c r="D495" s="4" t="n">
        <f aca="false">IFERROR(INDEX(Positions!$D$2:$D$6912,MATCH($A495&amp;"|50",Positions!$A$2:$A$6912,0)),"-")</f>
        <v>50</v>
      </c>
      <c r="E495" s="4" t="n">
        <f aca="false">IFERROR(INDEX(Positions!$D$2:$D$6912,MATCH($A495&amp;"|64",Positions!$A$2:$A$6912,0)),"-")</f>
        <v>64</v>
      </c>
      <c r="F495" s="4" t="str">
        <f aca="false">IFERROR(INDEX(Positions!$E$2:$E$6912,MATCH($A495&amp;"|50",Positions!$A$2:$A$6912,0)),"-")</f>
        <v>C</v>
      </c>
      <c r="G495" s="4" t="str">
        <f aca="false">IFERROR(INDEX(Positions!$E$2:$E$6912,MATCH($A495&amp;"|64",Positions!$A$2:$A$6912,0)),"-")</f>
        <v>G</v>
      </c>
      <c r="H495" s="3" t="str">
        <f aca="false">F495&amp;"-"&amp;G495</f>
        <v>C-G</v>
      </c>
      <c r="I495" s="4" t="n">
        <f aca="false">(F495="G")+(G495="G")</f>
        <v>1</v>
      </c>
      <c r="J495" s="4" t="n">
        <f aca="false">(F495="C")+(G495="C")</f>
        <v>1</v>
      </c>
      <c r="K495" s="3" t="n">
        <f aca="false">I495+J495</f>
        <v>2</v>
      </c>
    </row>
    <row r="496" customFormat="false" ht="15" hidden="false" customHeight="false" outlineLevel="0" collapsed="false">
      <c r="A496" s="4" t="s">
        <v>54</v>
      </c>
      <c r="B496" s="4" t="s">
        <v>471</v>
      </c>
      <c r="C496" s="4" t="s">
        <v>527</v>
      </c>
      <c r="D496" s="4" t="n">
        <f aca="false">IFERROR(INDEX(Positions!$D$2:$D$6912,MATCH($A496&amp;"|51",Positions!$A$2:$A$6912,0)),"-")</f>
        <v>51</v>
      </c>
      <c r="E496" s="4" t="n">
        <f aca="false">IFERROR(INDEX(Positions!$D$2:$D$6912,MATCH($A496&amp;"|63",Positions!$A$2:$A$6912,0)),"-")</f>
        <v>63</v>
      </c>
      <c r="F496" s="4" t="str">
        <f aca="false">IFERROR(INDEX(Positions!$E$2:$E$6912,MATCH($A496&amp;"|51",Positions!$A$2:$A$6912,0)),"-")</f>
        <v>C</v>
      </c>
      <c r="G496" s="4" t="str">
        <f aca="false">IFERROR(INDEX(Positions!$E$2:$E$6912,MATCH($A496&amp;"|63",Positions!$A$2:$A$6912,0)),"-")</f>
        <v>G</v>
      </c>
      <c r="H496" s="3" t="str">
        <f aca="false">F496&amp;"-"&amp;G496</f>
        <v>C-G</v>
      </c>
      <c r="I496" s="4" t="n">
        <f aca="false">(F496="G")+(G496="G")</f>
        <v>1</v>
      </c>
      <c r="J496" s="4" t="n">
        <f aca="false">(F496="C")+(G496="C")</f>
        <v>1</v>
      </c>
      <c r="K496" s="3" t="n">
        <f aca="false">I496+J496</f>
        <v>2</v>
      </c>
    </row>
    <row r="497" customFormat="false" ht="15" hidden="false" customHeight="false" outlineLevel="0" collapsed="false">
      <c r="A497" s="4" t="s">
        <v>54</v>
      </c>
      <c r="B497" s="4" t="s">
        <v>471</v>
      </c>
      <c r="C497" s="4" t="s">
        <v>528</v>
      </c>
      <c r="D497" s="4" t="n">
        <f aca="false">IFERROR(INDEX(Positions!$D$2:$D$6912,MATCH($A497&amp;"|52",Positions!$A$2:$A$6912,0)),"-")</f>
        <v>52</v>
      </c>
      <c r="E497" s="4" t="n">
        <f aca="false">IFERROR(INDEX(Positions!$D$2:$D$6912,MATCH($A497&amp;"|62",Positions!$A$2:$A$6912,0)),"-")</f>
        <v>62</v>
      </c>
      <c r="F497" s="4" t="str">
        <f aca="false">IFERROR(INDEX(Positions!$E$2:$E$6912,MATCH($A497&amp;"|52",Positions!$A$2:$A$6912,0)),"-")</f>
        <v>G</v>
      </c>
      <c r="G497" s="4" t="str">
        <f aca="false">IFERROR(INDEX(Positions!$E$2:$E$6912,MATCH($A497&amp;"|62",Positions!$A$2:$A$6912,0)),"-")</f>
        <v>C</v>
      </c>
      <c r="H497" s="3" t="str">
        <f aca="false">F497&amp;"-"&amp;G497</f>
        <v>G-C</v>
      </c>
      <c r="I497" s="4" t="n">
        <f aca="false">(F497="G")+(G497="G")</f>
        <v>1</v>
      </c>
      <c r="J497" s="4" t="n">
        <f aca="false">(F497="C")+(G497="C")</f>
        <v>1</v>
      </c>
      <c r="K497" s="3" t="n">
        <f aca="false">I497+J497</f>
        <v>2</v>
      </c>
    </row>
    <row r="498" customFormat="false" ht="15" hidden="false" customHeight="false" outlineLevel="0" collapsed="false">
      <c r="A498" s="4" t="s">
        <v>54</v>
      </c>
      <c r="B498" s="4" t="s">
        <v>471</v>
      </c>
      <c r="C498" s="4" t="s">
        <v>529</v>
      </c>
      <c r="D498" s="4" t="n">
        <f aca="false">IFERROR(INDEX(Positions!$D$2:$D$6912,MATCH($A498&amp;"|53",Positions!$A$2:$A$6912,0)),"-")</f>
        <v>53</v>
      </c>
      <c r="E498" s="4" t="n">
        <f aca="false">IFERROR(INDEX(Positions!$D$2:$D$6912,MATCH($A498&amp;"|61",Positions!$A$2:$A$6912,0)),"-")</f>
        <v>61</v>
      </c>
      <c r="F498" s="4" t="str">
        <f aca="false">IFERROR(INDEX(Positions!$E$2:$E$6912,MATCH($A498&amp;"|53",Positions!$A$2:$A$6912,0)),"-")</f>
        <v>G</v>
      </c>
      <c r="G498" s="4" t="str">
        <f aca="false">IFERROR(INDEX(Positions!$E$2:$E$6912,MATCH($A498&amp;"|61",Positions!$A$2:$A$6912,0)),"-")</f>
        <v>C</v>
      </c>
      <c r="H498" s="3" t="str">
        <f aca="false">F498&amp;"-"&amp;G498</f>
        <v>G-C</v>
      </c>
      <c r="I498" s="4" t="n">
        <f aca="false">(F498="G")+(G498="G")</f>
        <v>1</v>
      </c>
      <c r="J498" s="4" t="n">
        <f aca="false">(F498="C")+(G498="C")</f>
        <v>1</v>
      </c>
      <c r="K498" s="3" t="n">
        <f aca="false">I498+J498</f>
        <v>2</v>
      </c>
    </row>
    <row r="499" customFormat="false" ht="15" hidden="false" customHeight="false" outlineLevel="0" collapsed="false">
      <c r="A499" s="24" t="s">
        <v>54</v>
      </c>
      <c r="B499" s="24" t="s">
        <v>530</v>
      </c>
      <c r="C499" s="24" t="s">
        <v>531</v>
      </c>
      <c r="D499" s="24" t="n">
        <f aca="false">IFERROR(INDEX(Positions!$D$2:$D$6912,MATCH($A499&amp;"|8",Positions!$A$2:$A$6912,0)),"-")</f>
        <v>8</v>
      </c>
      <c r="E499" s="24" t="n">
        <f aca="false">IFERROR(INDEX(Positions!$D$2:$D$6912,MATCH($A499&amp;"|14",Positions!$A$2:$A$6912,0)),"-")</f>
        <v>14</v>
      </c>
      <c r="F499" s="24" t="str">
        <f aca="false">IFERROR(INDEX(Positions!$E$2:$E$6912,MATCH($A499&amp;"|8",Positions!$A$2:$A$6912,0)),"-")</f>
        <v>U</v>
      </c>
      <c r="G499" s="24" t="str">
        <f aca="false">IFERROR(INDEX(Positions!$E$2:$E$6912,MATCH($A499&amp;"|14",Positions!$A$2:$A$6912,0)),"-")</f>
        <v>A</v>
      </c>
      <c r="H499" s="25" t="str">
        <f aca="false">F499&amp;"-"&amp;G499</f>
        <v>U-A</v>
      </c>
      <c r="I499" s="24" t="n">
        <f aca="false">(F499="G")+(G499="G")</f>
        <v>0</v>
      </c>
      <c r="J499" s="24" t="n">
        <f aca="false">(F499="C")+(G499="C")</f>
        <v>0</v>
      </c>
      <c r="K499" s="25" t="n">
        <f aca="false">I499+J499</f>
        <v>0</v>
      </c>
    </row>
    <row r="500" customFormat="false" ht="15" hidden="false" customHeight="false" outlineLevel="0" collapsed="false">
      <c r="A500" s="24" t="s">
        <v>54</v>
      </c>
      <c r="B500" s="24" t="s">
        <v>530</v>
      </c>
      <c r="C500" s="24" t="s">
        <v>532</v>
      </c>
      <c r="D500" s="24" t="n">
        <f aca="false">IFERROR(INDEX(Positions!$D$2:$D$6912,MATCH($A500&amp;"|15",Positions!$A$2:$A$6912,0)),"-")</f>
        <v>15</v>
      </c>
      <c r="E500" s="24" t="n">
        <f aca="false">IFERROR(INDEX(Positions!$D$2:$D$6912,MATCH($A500&amp;"|48",Positions!$A$2:$A$6912,0)),"-")</f>
        <v>48</v>
      </c>
      <c r="F500" s="24" t="str">
        <f aca="false">IFERROR(INDEX(Positions!$E$2:$E$6912,MATCH($A500&amp;"|15",Positions!$A$2:$A$6912,0)),"-")</f>
        <v>G</v>
      </c>
      <c r="G500" s="24" t="str">
        <f aca="false">IFERROR(INDEX(Positions!$E$2:$E$6912,MATCH($A500&amp;"|48",Positions!$A$2:$A$6912,0)),"-")</f>
        <v>C</v>
      </c>
      <c r="H500" s="25" t="str">
        <f aca="false">F500&amp;"-"&amp;G500</f>
        <v>G-C</v>
      </c>
      <c r="I500" s="24" t="n">
        <f aca="false">(F500="G")+(G500="G")</f>
        <v>1</v>
      </c>
      <c r="J500" s="24" t="n">
        <f aca="false">(F500="C")+(G500="C")</f>
        <v>1</v>
      </c>
      <c r="K500" s="25" t="n">
        <f aca="false">I500+J500</f>
        <v>2</v>
      </c>
    </row>
    <row r="501" customFormat="false" ht="15" hidden="false" customHeight="false" outlineLevel="0" collapsed="false">
      <c r="A501" s="24" t="s">
        <v>54</v>
      </c>
      <c r="B501" s="24" t="s">
        <v>530</v>
      </c>
      <c r="C501" s="24" t="s">
        <v>533</v>
      </c>
      <c r="D501" s="24" t="n">
        <f aca="false">IFERROR(INDEX(Positions!$D$2:$D$6912,MATCH($A501&amp;"|18",Positions!$A$2:$A$6912,0)),"-")</f>
        <v>17</v>
      </c>
      <c r="E501" s="24" t="n">
        <f aca="false">IFERROR(INDEX(Positions!$D$2:$D$6912,MATCH($A501&amp;"|55",Positions!$A$2:$A$6912,0)),"-")</f>
        <v>55</v>
      </c>
      <c r="F501" s="24" t="str">
        <f aca="false">IFERROR(INDEX(Positions!$E$2:$E$6912,MATCH($A501&amp;"|18",Positions!$A$2:$A$6912,0)),"-")</f>
        <v>G</v>
      </c>
      <c r="G501" s="24" t="str">
        <f aca="false">IFERROR(INDEX(Positions!$E$2:$E$6912,MATCH($A501&amp;"|55",Positions!$A$2:$A$6912,0)),"-")</f>
        <v>U</v>
      </c>
      <c r="H501" s="25" t="str">
        <f aca="false">F501&amp;"-"&amp;G501</f>
        <v>G-U</v>
      </c>
      <c r="I501" s="24" t="n">
        <f aca="false">(F501="G")+(G501="G")</f>
        <v>1</v>
      </c>
      <c r="J501" s="24" t="n">
        <f aca="false">(F501="C")+(G501="C")</f>
        <v>0</v>
      </c>
      <c r="K501" s="25" t="n">
        <f aca="false">I501+J501</f>
        <v>1</v>
      </c>
    </row>
    <row r="502" customFormat="false" ht="15" hidden="false" customHeight="false" outlineLevel="0" collapsed="false">
      <c r="A502" s="24" t="s">
        <v>54</v>
      </c>
      <c r="B502" s="24" t="s">
        <v>530</v>
      </c>
      <c r="C502" s="24" t="s">
        <v>534</v>
      </c>
      <c r="D502" s="24" t="n">
        <f aca="false">IFERROR(INDEX(Positions!$D$2:$D$6912,MATCH($A502&amp;"|19",Positions!$A$2:$A$6912,0)),"-")</f>
        <v>18</v>
      </c>
      <c r="E502" s="24" t="n">
        <f aca="false">IFERROR(INDEX(Positions!$D$2:$D$6912,MATCH($A502&amp;"|56",Positions!$A$2:$A$6912,0)),"-")</f>
        <v>56</v>
      </c>
      <c r="F502" s="24" t="str">
        <f aca="false">IFERROR(INDEX(Positions!$E$2:$E$6912,MATCH($A502&amp;"|19",Positions!$A$2:$A$6912,0)),"-")</f>
        <v>G</v>
      </c>
      <c r="G502" s="24" t="str">
        <f aca="false">IFERROR(INDEX(Positions!$E$2:$E$6912,MATCH($A502&amp;"|56",Positions!$A$2:$A$6912,0)),"-")</f>
        <v>C</v>
      </c>
      <c r="H502" s="25" t="str">
        <f aca="false">F502&amp;"-"&amp;G502</f>
        <v>G-C</v>
      </c>
      <c r="I502" s="24" t="n">
        <f aca="false">(F502="G")+(G502="G")</f>
        <v>1</v>
      </c>
      <c r="J502" s="24" t="n">
        <f aca="false">(F502="C")+(G502="C")</f>
        <v>1</v>
      </c>
      <c r="K502" s="25" t="n">
        <f aca="false">I502+J502</f>
        <v>2</v>
      </c>
    </row>
    <row r="503" customFormat="false" ht="15" hidden="false" customHeight="false" outlineLevel="0" collapsed="false">
      <c r="A503" s="24" t="s">
        <v>54</v>
      </c>
      <c r="B503" s="24" t="s">
        <v>530</v>
      </c>
      <c r="C503" s="24" t="s">
        <v>535</v>
      </c>
      <c r="D503" s="24" t="n">
        <f aca="false">IFERROR(INDEX(Positions!$D$2:$D$6912,MATCH($A503&amp;"|26",Positions!$A$2:$A$6912,0)),"-")</f>
        <v>26</v>
      </c>
      <c r="E503" s="24" t="n">
        <f aca="false">IFERROR(INDEX(Positions!$D$2:$D$6912,MATCH($A503&amp;"|44",Positions!$A$2:$A$6912,0)),"-")</f>
        <v>44</v>
      </c>
      <c r="F503" s="24" t="str">
        <f aca="false">IFERROR(INDEX(Positions!$E$2:$E$6912,MATCH($A503&amp;"|26",Positions!$A$2:$A$6912,0)),"-")</f>
        <v>G</v>
      </c>
      <c r="G503" s="24" t="str">
        <f aca="false">IFERROR(INDEX(Positions!$E$2:$E$6912,MATCH($A503&amp;"|44",Positions!$A$2:$A$6912,0)),"-")</f>
        <v>A</v>
      </c>
      <c r="H503" s="25" t="str">
        <f aca="false">F503&amp;"-"&amp;G503</f>
        <v>G-A</v>
      </c>
      <c r="I503" s="24" t="n">
        <f aca="false">(F503="G")+(G503="G")</f>
        <v>1</v>
      </c>
      <c r="J503" s="24" t="n">
        <f aca="false">(F503="C")+(G503="C")</f>
        <v>0</v>
      </c>
      <c r="K503" s="25" t="n">
        <f aca="false">I503+J503</f>
        <v>1</v>
      </c>
    </row>
    <row r="504" customFormat="false" ht="15" hidden="false" customHeight="false" outlineLevel="0" collapsed="false">
      <c r="A504" s="24" t="s">
        <v>54</v>
      </c>
      <c r="B504" s="24" t="s">
        <v>530</v>
      </c>
      <c r="C504" s="24" t="s">
        <v>536</v>
      </c>
      <c r="D504" s="24" t="n">
        <f aca="false">IFERROR(INDEX(Positions!$D$2:$D$6912,MATCH($A504&amp;"|32",Positions!$A$2:$A$6912,0)),"-")</f>
        <v>32</v>
      </c>
      <c r="E504" s="24" t="n">
        <f aca="false">IFERROR(INDEX(Positions!$D$2:$D$6912,MATCH($A504&amp;"|38",Positions!$A$2:$A$6912,0)),"-")</f>
        <v>38</v>
      </c>
      <c r="F504" s="24" t="str">
        <f aca="false">IFERROR(INDEX(Positions!$E$2:$E$6912,MATCH($A504&amp;"|32",Positions!$A$2:$A$6912,0)),"-")</f>
        <v>U</v>
      </c>
      <c r="G504" s="24" t="str">
        <f aca="false">IFERROR(INDEX(Positions!$E$2:$E$6912,MATCH($A504&amp;"|38",Positions!$A$2:$A$6912,0)),"-")</f>
        <v>C</v>
      </c>
      <c r="H504" s="25" t="str">
        <f aca="false">F504&amp;"-"&amp;G504</f>
        <v>U-C</v>
      </c>
      <c r="I504" s="24" t="n">
        <f aca="false">(F504="G")+(G504="G")</f>
        <v>0</v>
      </c>
      <c r="J504" s="24" t="n">
        <f aca="false">(F504="C")+(G504="C")</f>
        <v>1</v>
      </c>
      <c r="K504" s="25" t="n">
        <f aca="false">I504+J504</f>
        <v>1</v>
      </c>
    </row>
    <row r="505" customFormat="false" ht="15" hidden="false" customHeight="false" outlineLevel="0" collapsed="false">
      <c r="A505" s="24" t="s">
        <v>54</v>
      </c>
      <c r="B505" s="24" t="s">
        <v>530</v>
      </c>
      <c r="C505" s="24" t="s">
        <v>537</v>
      </c>
      <c r="D505" s="24" t="n">
        <f aca="false">IFERROR(INDEX(Positions!$D$2:$D$6912,MATCH($A505&amp;"|54",Positions!$A$2:$A$6912,0)),"-")</f>
        <v>54</v>
      </c>
      <c r="E505" s="24" t="n">
        <f aca="false">IFERROR(INDEX(Positions!$D$2:$D$6912,MATCH($A505&amp;"|58",Positions!$A$2:$A$6912,0)),"-")</f>
        <v>58</v>
      </c>
      <c r="F505" s="24" t="str">
        <f aca="false">IFERROR(INDEX(Positions!$E$2:$E$6912,MATCH($A505&amp;"|54",Positions!$A$2:$A$6912,0)),"-")</f>
        <v>U</v>
      </c>
      <c r="G505" s="24" t="str">
        <f aca="false">IFERROR(INDEX(Positions!$E$2:$E$6912,MATCH($A505&amp;"|58",Positions!$A$2:$A$6912,0)),"-")</f>
        <v>A</v>
      </c>
      <c r="H505" s="25" t="str">
        <f aca="false">F505&amp;"-"&amp;G505</f>
        <v>U-A</v>
      </c>
      <c r="I505" s="24" t="n">
        <f aca="false">(F505="G")+(G505="G")</f>
        <v>0</v>
      </c>
      <c r="J505" s="24" t="n">
        <f aca="false">(F505="C")+(G505="C")</f>
        <v>0</v>
      </c>
      <c r="K505" s="25" t="n">
        <f aca="false">I505+J505</f>
        <v>0</v>
      </c>
    </row>
    <row r="506" customFormat="false" ht="15" hidden="false" customHeight="false" outlineLevel="0" collapsed="false">
      <c r="A506" s="4" t="s">
        <v>55</v>
      </c>
      <c r="B506" s="4" t="s">
        <v>412</v>
      </c>
      <c r="C506" s="4" t="s">
        <v>517</v>
      </c>
      <c r="D506" s="4" t="n">
        <f aca="false">IFERROR(INDEX(Positions!$D$2:$D$6912,MATCH($A506&amp;"|1",Positions!$A$2:$A$6912,0)),"-")</f>
        <v>1</v>
      </c>
      <c r="E506" s="4" t="n">
        <f aca="false">IFERROR(INDEX(Positions!$D$2:$D$6912,MATCH($A506&amp;"|72",Positions!$A$2:$A$6912,0)),"-")</f>
        <v>72</v>
      </c>
      <c r="F506" s="4" t="str">
        <f aca="false">IFERROR(INDEX(Positions!$E$2:$E$6912,MATCH($A506&amp;"|1",Positions!$A$2:$A$6912,0)),"-")</f>
        <v>G</v>
      </c>
      <c r="G506" s="4" t="str">
        <f aca="false">IFERROR(INDEX(Positions!$E$2:$E$6912,MATCH($A506&amp;"|72",Positions!$A$2:$A$6912,0)),"-")</f>
        <v>C</v>
      </c>
      <c r="H506" s="3" t="str">
        <f aca="false">F506&amp;"-"&amp;G506</f>
        <v>G-C</v>
      </c>
      <c r="I506" s="4" t="n">
        <f aca="false">(F506="G")+(G506="G")</f>
        <v>1</v>
      </c>
      <c r="J506" s="4" t="n">
        <f aca="false">(F506="C")+(G506="C")</f>
        <v>1</v>
      </c>
      <c r="K506" s="3" t="n">
        <f aca="false">I506+J506</f>
        <v>2</v>
      </c>
    </row>
    <row r="507" customFormat="false" ht="15" hidden="false" customHeight="false" outlineLevel="0" collapsed="false">
      <c r="A507" s="4" t="s">
        <v>55</v>
      </c>
      <c r="B507" s="4" t="s">
        <v>412</v>
      </c>
      <c r="C507" s="4" t="s">
        <v>518</v>
      </c>
      <c r="D507" s="4" t="n">
        <f aca="false">IFERROR(INDEX(Positions!$D$2:$D$6912,MATCH($A507&amp;"|2",Positions!$A$2:$A$6912,0)),"-")</f>
        <v>2</v>
      </c>
      <c r="E507" s="4" t="n">
        <f aca="false">IFERROR(INDEX(Positions!$D$2:$D$6912,MATCH($A507&amp;"|71",Positions!$A$2:$A$6912,0)),"-")</f>
        <v>71</v>
      </c>
      <c r="F507" s="4" t="str">
        <f aca="false">IFERROR(INDEX(Positions!$E$2:$E$6912,MATCH($A507&amp;"|2",Positions!$A$2:$A$6912,0)),"-")</f>
        <v>U</v>
      </c>
      <c r="G507" s="4" t="str">
        <f aca="false">IFERROR(INDEX(Positions!$E$2:$E$6912,MATCH($A507&amp;"|71",Positions!$A$2:$A$6912,0)),"-")</f>
        <v>A</v>
      </c>
      <c r="H507" s="3" t="str">
        <f aca="false">F507&amp;"-"&amp;G507</f>
        <v>U-A</v>
      </c>
      <c r="I507" s="4" t="n">
        <f aca="false">(F507="G")+(G507="G")</f>
        <v>0</v>
      </c>
      <c r="J507" s="4" t="n">
        <f aca="false">(F507="C")+(G507="C")</f>
        <v>0</v>
      </c>
      <c r="K507" s="3" t="n">
        <f aca="false">I507+J507</f>
        <v>0</v>
      </c>
    </row>
    <row r="508" customFormat="false" ht="15" hidden="false" customHeight="false" outlineLevel="0" collapsed="false">
      <c r="A508" s="4" t="s">
        <v>55</v>
      </c>
      <c r="B508" s="4" t="s">
        <v>412</v>
      </c>
      <c r="C508" s="4" t="s">
        <v>386</v>
      </c>
      <c r="D508" s="4" t="n">
        <f aca="false">IFERROR(INDEX(Positions!$D$2:$D$6912,MATCH($A508&amp;"|3",Positions!$A$2:$A$6912,0)),"-")</f>
        <v>3</v>
      </c>
      <c r="E508" s="4" t="n">
        <f aca="false">IFERROR(INDEX(Positions!$D$2:$D$6912,MATCH($A508&amp;"|70",Positions!$A$2:$A$6912,0)),"-")</f>
        <v>70</v>
      </c>
      <c r="F508" s="4" t="str">
        <f aca="false">IFERROR(INDEX(Positions!$E$2:$E$6912,MATCH($A508&amp;"|3",Positions!$A$2:$A$6912,0)),"-")</f>
        <v>U</v>
      </c>
      <c r="G508" s="4" t="str">
        <f aca="false">IFERROR(INDEX(Positions!$E$2:$E$6912,MATCH($A508&amp;"|70",Positions!$A$2:$A$6912,0)),"-")</f>
        <v>A</v>
      </c>
      <c r="H508" s="3" t="str">
        <f aca="false">F508&amp;"-"&amp;G508</f>
        <v>U-A</v>
      </c>
      <c r="I508" s="4" t="n">
        <f aca="false">(F508="G")+(G508="G")</f>
        <v>0</v>
      </c>
      <c r="J508" s="4" t="n">
        <f aca="false">(F508="C")+(G508="C")</f>
        <v>0</v>
      </c>
      <c r="K508" s="3" t="n">
        <f aca="false">I508+J508</f>
        <v>0</v>
      </c>
    </row>
    <row r="509" customFormat="false" ht="15" hidden="false" customHeight="false" outlineLevel="0" collapsed="false">
      <c r="A509" s="4" t="s">
        <v>55</v>
      </c>
      <c r="B509" s="4" t="s">
        <v>412</v>
      </c>
      <c r="C509" s="4" t="s">
        <v>519</v>
      </c>
      <c r="D509" s="4" t="n">
        <f aca="false">IFERROR(INDEX(Positions!$D$2:$D$6912,MATCH($A509&amp;"|4",Positions!$A$2:$A$6912,0)),"-")</f>
        <v>4</v>
      </c>
      <c r="E509" s="4" t="n">
        <f aca="false">IFERROR(INDEX(Positions!$D$2:$D$6912,MATCH($A509&amp;"|69",Positions!$A$2:$A$6912,0)),"-")</f>
        <v>69</v>
      </c>
      <c r="F509" s="4" t="str">
        <f aca="false">IFERROR(INDEX(Positions!$E$2:$E$6912,MATCH($A509&amp;"|4",Positions!$A$2:$A$6912,0)),"-")</f>
        <v>U</v>
      </c>
      <c r="G509" s="4" t="str">
        <f aca="false">IFERROR(INDEX(Positions!$E$2:$E$6912,MATCH($A509&amp;"|69",Positions!$A$2:$A$6912,0)),"-")</f>
        <v>A</v>
      </c>
      <c r="H509" s="3" t="str">
        <f aca="false">F509&amp;"-"&amp;G509</f>
        <v>U-A</v>
      </c>
      <c r="I509" s="4" t="n">
        <f aca="false">(F509="G")+(G509="G")</f>
        <v>0</v>
      </c>
      <c r="J509" s="4" t="n">
        <f aca="false">(F509="C")+(G509="C")</f>
        <v>0</v>
      </c>
      <c r="K509" s="3" t="n">
        <f aca="false">I509+J509</f>
        <v>0</v>
      </c>
    </row>
    <row r="510" customFormat="false" ht="15" hidden="false" customHeight="false" outlineLevel="0" collapsed="false">
      <c r="A510" s="4" t="s">
        <v>55</v>
      </c>
      <c r="B510" s="4" t="s">
        <v>412</v>
      </c>
      <c r="C510" s="4" t="s">
        <v>283</v>
      </c>
      <c r="D510" s="4" t="n">
        <f aca="false">IFERROR(INDEX(Positions!$D$2:$D$6912,MATCH($A510&amp;"|5",Positions!$A$2:$A$6912,0)),"-")</f>
        <v>5</v>
      </c>
      <c r="E510" s="4" t="n">
        <f aca="false">IFERROR(INDEX(Positions!$D$2:$D$6912,MATCH($A510&amp;"|68",Positions!$A$2:$A$6912,0)),"-")</f>
        <v>68</v>
      </c>
      <c r="F510" s="4" t="str">
        <f aca="false">IFERROR(INDEX(Positions!$E$2:$E$6912,MATCH($A510&amp;"|5",Positions!$A$2:$A$6912,0)),"-")</f>
        <v>C</v>
      </c>
      <c r="G510" s="4" t="str">
        <f aca="false">IFERROR(INDEX(Positions!$E$2:$E$6912,MATCH($A510&amp;"|68",Positions!$A$2:$A$6912,0)),"-")</f>
        <v>G</v>
      </c>
      <c r="H510" s="3" t="str">
        <f aca="false">F510&amp;"-"&amp;G510</f>
        <v>C-G</v>
      </c>
      <c r="I510" s="4" t="n">
        <f aca="false">(F510="G")+(G510="G")</f>
        <v>1</v>
      </c>
      <c r="J510" s="4" t="n">
        <f aca="false">(F510="C")+(G510="C")</f>
        <v>1</v>
      </c>
      <c r="K510" s="3" t="n">
        <f aca="false">I510+J510</f>
        <v>2</v>
      </c>
    </row>
    <row r="511" customFormat="false" ht="15" hidden="false" customHeight="false" outlineLevel="0" collapsed="false">
      <c r="A511" s="4" t="s">
        <v>55</v>
      </c>
      <c r="B511" s="4" t="s">
        <v>412</v>
      </c>
      <c r="C511" s="4" t="s">
        <v>520</v>
      </c>
      <c r="D511" s="4" t="n">
        <f aca="false">IFERROR(INDEX(Positions!$D$2:$D$6912,MATCH($A511&amp;"|6",Positions!$A$2:$A$6912,0)),"-")</f>
        <v>6</v>
      </c>
      <c r="E511" s="4" t="n">
        <f aca="false">IFERROR(INDEX(Positions!$D$2:$D$6912,MATCH($A511&amp;"|67",Positions!$A$2:$A$6912,0)),"-")</f>
        <v>67</v>
      </c>
      <c r="F511" s="4" t="str">
        <f aca="false">IFERROR(INDEX(Positions!$E$2:$E$6912,MATCH($A511&amp;"|6",Positions!$A$2:$A$6912,0)),"-")</f>
        <v>C</v>
      </c>
      <c r="G511" s="4" t="str">
        <f aca="false">IFERROR(INDEX(Positions!$E$2:$E$6912,MATCH($A511&amp;"|67",Positions!$A$2:$A$6912,0)),"-")</f>
        <v>G</v>
      </c>
      <c r="H511" s="3" t="str">
        <f aca="false">F511&amp;"-"&amp;G511</f>
        <v>C-G</v>
      </c>
      <c r="I511" s="4" t="n">
        <f aca="false">(F511="G")+(G511="G")</f>
        <v>1</v>
      </c>
      <c r="J511" s="4" t="n">
        <f aca="false">(F511="C")+(G511="C")</f>
        <v>1</v>
      </c>
      <c r="K511" s="3" t="n">
        <f aca="false">I511+J511</f>
        <v>2</v>
      </c>
    </row>
    <row r="512" customFormat="false" ht="15" hidden="false" customHeight="false" outlineLevel="0" collapsed="false">
      <c r="A512" s="4" t="s">
        <v>55</v>
      </c>
      <c r="B512" s="4" t="s">
        <v>412</v>
      </c>
      <c r="C512" s="4" t="s">
        <v>521</v>
      </c>
      <c r="D512" s="4" t="n">
        <f aca="false">IFERROR(INDEX(Positions!$D$2:$D$6912,MATCH($A512&amp;"|7",Positions!$A$2:$A$6912,0)),"-")</f>
        <v>7</v>
      </c>
      <c r="E512" s="4" t="n">
        <f aca="false">IFERROR(INDEX(Positions!$D$2:$D$6912,MATCH($A512&amp;"|66",Positions!$A$2:$A$6912,0)),"-")</f>
        <v>66</v>
      </c>
      <c r="F512" s="4" t="str">
        <f aca="false">IFERROR(INDEX(Positions!$E$2:$E$6912,MATCH($A512&amp;"|7",Positions!$A$2:$A$6912,0)),"-")</f>
        <v>G</v>
      </c>
      <c r="G512" s="4" t="str">
        <f aca="false">IFERROR(INDEX(Positions!$E$2:$E$6912,MATCH($A512&amp;"|66",Positions!$A$2:$A$6912,0)),"-")</f>
        <v>C</v>
      </c>
      <c r="H512" s="3" t="str">
        <f aca="false">F512&amp;"-"&amp;G512</f>
        <v>G-C</v>
      </c>
      <c r="I512" s="4" t="n">
        <f aca="false">(F512="G")+(G512="G")</f>
        <v>1</v>
      </c>
      <c r="J512" s="4" t="n">
        <f aca="false">(F512="C")+(G512="C")</f>
        <v>1</v>
      </c>
      <c r="K512" s="3" t="n">
        <f aca="false">I512+J512</f>
        <v>2</v>
      </c>
    </row>
    <row r="513" customFormat="false" ht="15" hidden="false" customHeight="false" outlineLevel="0" collapsed="false">
      <c r="A513" s="4" t="s">
        <v>55</v>
      </c>
      <c r="B513" s="4" t="s">
        <v>425</v>
      </c>
      <c r="C513" s="4" t="s">
        <v>522</v>
      </c>
      <c r="D513" s="4" t="n">
        <f aca="false">IFERROR(INDEX(Positions!$D$2:$D$6912,MATCH($A513&amp;"|10",Positions!$A$2:$A$6912,0)),"-")</f>
        <v>10</v>
      </c>
      <c r="E513" s="4" t="n">
        <f aca="false">IFERROR(INDEX(Positions!$D$2:$D$6912,MATCH($A513&amp;"|25",Positions!$A$2:$A$6912,0)),"-")</f>
        <v>25</v>
      </c>
      <c r="F513" s="4" t="str">
        <f aca="false">IFERROR(INDEX(Positions!$E$2:$E$6912,MATCH($A513&amp;"|10",Positions!$A$2:$A$6912,0)),"-")</f>
        <v>G</v>
      </c>
      <c r="G513" s="4" t="str">
        <f aca="false">IFERROR(INDEX(Positions!$E$2:$E$6912,MATCH($A513&amp;"|25",Positions!$A$2:$A$6912,0)),"-")</f>
        <v>C</v>
      </c>
      <c r="H513" s="3" t="str">
        <f aca="false">F513&amp;"-"&amp;G513</f>
        <v>G-C</v>
      </c>
      <c r="I513" s="4" t="n">
        <f aca="false">(F513="G")+(G513="G")</f>
        <v>1</v>
      </c>
      <c r="J513" s="4" t="n">
        <f aca="false">(F513="C")+(G513="C")</f>
        <v>1</v>
      </c>
      <c r="K513" s="3" t="n">
        <f aca="false">I513+J513</f>
        <v>2</v>
      </c>
    </row>
    <row r="514" customFormat="false" ht="15" hidden="false" customHeight="false" outlineLevel="0" collapsed="false">
      <c r="A514" s="4" t="s">
        <v>55</v>
      </c>
      <c r="B514" s="4" t="s">
        <v>425</v>
      </c>
      <c r="C514" s="4" t="s">
        <v>523</v>
      </c>
      <c r="D514" s="4" t="n">
        <f aca="false">IFERROR(INDEX(Positions!$D$2:$D$6912,MATCH($A514&amp;"|11",Positions!$A$2:$A$6912,0)),"-")</f>
        <v>11</v>
      </c>
      <c r="E514" s="4" t="n">
        <f aca="false">IFERROR(INDEX(Positions!$D$2:$D$6912,MATCH($A514&amp;"|24",Positions!$A$2:$A$6912,0)),"-")</f>
        <v>24</v>
      </c>
      <c r="F514" s="4" t="str">
        <f aca="false">IFERROR(INDEX(Positions!$E$2:$E$6912,MATCH($A514&amp;"|11",Positions!$A$2:$A$6912,0)),"-")</f>
        <v>U</v>
      </c>
      <c r="G514" s="4" t="str">
        <f aca="false">IFERROR(INDEX(Positions!$E$2:$E$6912,MATCH($A514&amp;"|24",Positions!$A$2:$A$6912,0)),"-")</f>
        <v>A</v>
      </c>
      <c r="H514" s="3" t="str">
        <f aca="false">F514&amp;"-"&amp;G514</f>
        <v>U-A</v>
      </c>
      <c r="I514" s="4" t="n">
        <f aca="false">(F514="G")+(G514="G")</f>
        <v>0</v>
      </c>
      <c r="J514" s="4" t="n">
        <f aca="false">(F514="C")+(G514="C")</f>
        <v>0</v>
      </c>
      <c r="K514" s="3" t="n">
        <f aca="false">I514+J514</f>
        <v>0</v>
      </c>
    </row>
    <row r="515" customFormat="false" ht="15" hidden="false" customHeight="false" outlineLevel="0" collapsed="false">
      <c r="A515" s="4" t="s">
        <v>55</v>
      </c>
      <c r="B515" s="4" t="s">
        <v>425</v>
      </c>
      <c r="C515" s="4" t="s">
        <v>250</v>
      </c>
      <c r="D515" s="4" t="n">
        <f aca="false">IFERROR(INDEX(Positions!$D$2:$D$6912,MATCH($A515&amp;"|12",Positions!$A$2:$A$6912,0)),"-")</f>
        <v>12</v>
      </c>
      <c r="E515" s="4" t="n">
        <f aca="false">IFERROR(INDEX(Positions!$D$2:$D$6912,MATCH($A515&amp;"|23",Positions!$A$2:$A$6912,0)),"-")</f>
        <v>23</v>
      </c>
      <c r="F515" s="4" t="str">
        <f aca="false">IFERROR(INDEX(Positions!$E$2:$E$6912,MATCH($A515&amp;"|12",Positions!$A$2:$A$6912,0)),"-")</f>
        <v>G</v>
      </c>
      <c r="G515" s="4" t="str">
        <f aca="false">IFERROR(INDEX(Positions!$E$2:$E$6912,MATCH($A515&amp;"|23",Positions!$A$2:$A$6912,0)),"-")</f>
        <v>C</v>
      </c>
      <c r="H515" s="3" t="str">
        <f aca="false">F515&amp;"-"&amp;G515</f>
        <v>G-C</v>
      </c>
      <c r="I515" s="4" t="n">
        <f aca="false">(F515="G")+(G515="G")</f>
        <v>1</v>
      </c>
      <c r="J515" s="4" t="n">
        <f aca="false">(F515="C")+(G515="C")</f>
        <v>1</v>
      </c>
      <c r="K515" s="3" t="n">
        <f aca="false">I515+J515</f>
        <v>2</v>
      </c>
    </row>
    <row r="516" customFormat="false" ht="15" hidden="false" customHeight="false" outlineLevel="0" collapsed="false">
      <c r="A516" s="4" t="s">
        <v>55</v>
      </c>
      <c r="B516" s="4" t="s">
        <v>425</v>
      </c>
      <c r="C516" s="4" t="s">
        <v>154</v>
      </c>
      <c r="D516" s="4" t="n">
        <f aca="false">IFERROR(INDEX(Positions!$D$2:$D$6912,MATCH($A516&amp;"|13",Positions!$A$2:$A$6912,0)),"-")</f>
        <v>13</v>
      </c>
      <c r="E516" s="4" t="n">
        <f aca="false">IFERROR(INDEX(Positions!$D$2:$D$6912,MATCH($A516&amp;"|22",Positions!$A$2:$A$6912,0)),"-")</f>
        <v>22</v>
      </c>
      <c r="F516" s="4" t="str">
        <f aca="false">IFERROR(INDEX(Positions!$E$2:$E$6912,MATCH($A516&amp;"|13",Positions!$A$2:$A$6912,0)),"-")</f>
        <v>U</v>
      </c>
      <c r="G516" s="4" t="str">
        <f aca="false">IFERROR(INDEX(Positions!$E$2:$E$6912,MATCH($A516&amp;"|22",Positions!$A$2:$A$6912,0)),"-")</f>
        <v>U</v>
      </c>
      <c r="H516" s="3" t="str">
        <f aca="false">F516&amp;"-"&amp;G516</f>
        <v>U-U</v>
      </c>
      <c r="I516" s="4" t="n">
        <f aca="false">(F516="G")+(G516="G")</f>
        <v>0</v>
      </c>
      <c r="J516" s="4" t="n">
        <f aca="false">(F516="C")+(G516="C")</f>
        <v>0</v>
      </c>
      <c r="K516" s="3" t="n">
        <f aca="false">I516+J516</f>
        <v>0</v>
      </c>
    </row>
    <row r="517" customFormat="false" ht="15" hidden="false" customHeight="false" outlineLevel="0" collapsed="false">
      <c r="A517" s="4" t="s">
        <v>55</v>
      </c>
      <c r="B517" s="4" t="s">
        <v>446</v>
      </c>
      <c r="C517" s="4" t="s">
        <v>524</v>
      </c>
      <c r="D517" s="4" t="n">
        <f aca="false">IFERROR(INDEX(Positions!$D$2:$D$6912,MATCH($A517&amp;"|27",Positions!$A$2:$A$6912,0)),"-")</f>
        <v>27</v>
      </c>
      <c r="E517" s="4" t="n">
        <f aca="false">IFERROR(INDEX(Positions!$D$2:$D$6912,MATCH($A517&amp;"|43",Positions!$A$2:$A$6912,0)),"-")</f>
        <v>43</v>
      </c>
      <c r="F517" s="4" t="str">
        <f aca="false">IFERROR(INDEX(Positions!$E$2:$E$6912,MATCH($A517&amp;"|27",Positions!$A$2:$A$6912,0)),"-")</f>
        <v>U</v>
      </c>
      <c r="G517" s="4" t="str">
        <f aca="false">IFERROR(INDEX(Positions!$E$2:$E$6912,MATCH($A517&amp;"|43",Positions!$A$2:$A$6912,0)),"-")</f>
        <v>A</v>
      </c>
      <c r="H517" s="3" t="str">
        <f aca="false">F517&amp;"-"&amp;G517</f>
        <v>U-A</v>
      </c>
      <c r="I517" s="4" t="n">
        <f aca="false">(F517="G")+(G517="G")</f>
        <v>0</v>
      </c>
      <c r="J517" s="4" t="n">
        <f aca="false">(F517="C")+(G517="C")</f>
        <v>0</v>
      </c>
      <c r="K517" s="3" t="n">
        <f aca="false">I517+J517</f>
        <v>0</v>
      </c>
    </row>
    <row r="518" customFormat="false" ht="15" hidden="false" customHeight="false" outlineLevel="0" collapsed="false">
      <c r="A518" s="4" t="s">
        <v>55</v>
      </c>
      <c r="B518" s="4" t="s">
        <v>446</v>
      </c>
      <c r="C518" s="4" t="s">
        <v>525</v>
      </c>
      <c r="D518" s="4" t="n">
        <f aca="false">IFERROR(INDEX(Positions!$D$2:$D$6912,MATCH($A518&amp;"|28",Positions!$A$2:$A$6912,0)),"-")</f>
        <v>28</v>
      </c>
      <c r="E518" s="4" t="n">
        <f aca="false">IFERROR(INDEX(Positions!$D$2:$D$6912,MATCH($A518&amp;"|42",Positions!$A$2:$A$6912,0)),"-")</f>
        <v>42</v>
      </c>
      <c r="F518" s="4" t="str">
        <f aca="false">IFERROR(INDEX(Positions!$E$2:$E$6912,MATCH($A518&amp;"|28",Positions!$A$2:$A$6912,0)),"-")</f>
        <v>C</v>
      </c>
      <c r="G518" s="4" t="str">
        <f aca="false">IFERROR(INDEX(Positions!$E$2:$E$6912,MATCH($A518&amp;"|42",Positions!$A$2:$A$6912,0)),"-")</f>
        <v>G</v>
      </c>
      <c r="H518" s="3" t="str">
        <f aca="false">F518&amp;"-"&amp;G518</f>
        <v>C-G</v>
      </c>
      <c r="I518" s="4" t="n">
        <f aca="false">(F518="G")+(G518="G")</f>
        <v>1</v>
      </c>
      <c r="J518" s="4" t="n">
        <f aca="false">(F518="C")+(G518="C")</f>
        <v>1</v>
      </c>
      <c r="K518" s="3" t="n">
        <f aca="false">I518+J518</f>
        <v>2</v>
      </c>
    </row>
    <row r="519" customFormat="false" ht="15" hidden="false" customHeight="false" outlineLevel="0" collapsed="false">
      <c r="A519" s="4" t="s">
        <v>55</v>
      </c>
      <c r="B519" s="4" t="s">
        <v>446</v>
      </c>
      <c r="C519" s="4" t="s">
        <v>256</v>
      </c>
      <c r="D519" s="4" t="n">
        <f aca="false">IFERROR(INDEX(Positions!$D$2:$D$6912,MATCH($A519&amp;"|29",Positions!$A$2:$A$6912,0)),"-")</f>
        <v>29</v>
      </c>
      <c r="E519" s="4" t="n">
        <f aca="false">IFERROR(INDEX(Positions!$D$2:$D$6912,MATCH($A519&amp;"|41",Positions!$A$2:$A$6912,0)),"-")</f>
        <v>41</v>
      </c>
      <c r="F519" s="4" t="str">
        <f aca="false">IFERROR(INDEX(Positions!$E$2:$E$6912,MATCH($A519&amp;"|29",Positions!$A$2:$A$6912,0)),"-")</f>
        <v>U</v>
      </c>
      <c r="G519" s="4" t="str">
        <f aca="false">IFERROR(INDEX(Positions!$E$2:$E$6912,MATCH($A519&amp;"|41",Positions!$A$2:$A$6912,0)),"-")</f>
        <v>A</v>
      </c>
      <c r="H519" s="3" t="str">
        <f aca="false">F519&amp;"-"&amp;G519</f>
        <v>U-A</v>
      </c>
      <c r="I519" s="4" t="n">
        <f aca="false">(F519="G")+(G519="G")</f>
        <v>0</v>
      </c>
      <c r="J519" s="4" t="n">
        <f aca="false">(F519="C")+(G519="C")</f>
        <v>0</v>
      </c>
      <c r="K519" s="3" t="n">
        <f aca="false">I519+J519</f>
        <v>0</v>
      </c>
    </row>
    <row r="520" customFormat="false" ht="15" hidden="false" customHeight="false" outlineLevel="0" collapsed="false">
      <c r="A520" s="4" t="s">
        <v>55</v>
      </c>
      <c r="B520" s="4" t="s">
        <v>446</v>
      </c>
      <c r="C520" s="4" t="s">
        <v>526</v>
      </c>
      <c r="D520" s="4" t="n">
        <f aca="false">IFERROR(INDEX(Positions!$D$2:$D$6912,MATCH($A520&amp;"|30",Positions!$A$2:$A$6912,0)),"-")</f>
        <v>30</v>
      </c>
      <c r="E520" s="4" t="n">
        <f aca="false">IFERROR(INDEX(Positions!$D$2:$D$6912,MATCH($A520&amp;"|40",Positions!$A$2:$A$6912,0)),"-")</f>
        <v>40</v>
      </c>
      <c r="F520" s="4" t="str">
        <f aca="false">IFERROR(INDEX(Positions!$E$2:$E$6912,MATCH($A520&amp;"|30",Positions!$A$2:$A$6912,0)),"-")</f>
        <v>G</v>
      </c>
      <c r="G520" s="4" t="str">
        <f aca="false">IFERROR(INDEX(Positions!$E$2:$E$6912,MATCH($A520&amp;"|40",Positions!$A$2:$A$6912,0)),"-")</f>
        <v>C</v>
      </c>
      <c r="H520" s="3" t="str">
        <f aca="false">F520&amp;"-"&amp;G520</f>
        <v>G-C</v>
      </c>
      <c r="I520" s="4" t="n">
        <f aca="false">(F520="G")+(G520="G")</f>
        <v>1</v>
      </c>
      <c r="J520" s="4" t="n">
        <f aca="false">(F520="C")+(G520="C")</f>
        <v>1</v>
      </c>
      <c r="K520" s="3" t="n">
        <f aca="false">I520+J520</f>
        <v>2</v>
      </c>
    </row>
    <row r="521" customFormat="false" ht="15" hidden="false" customHeight="false" outlineLevel="0" collapsed="false">
      <c r="A521" s="4" t="s">
        <v>55</v>
      </c>
      <c r="B521" s="4" t="s">
        <v>446</v>
      </c>
      <c r="C521" s="4" t="s">
        <v>273</v>
      </c>
      <c r="D521" s="4" t="n">
        <f aca="false">IFERROR(INDEX(Positions!$D$2:$D$6912,MATCH($A521&amp;"|31",Positions!$A$2:$A$6912,0)),"-")</f>
        <v>31</v>
      </c>
      <c r="E521" s="4" t="n">
        <f aca="false">IFERROR(INDEX(Positions!$D$2:$D$6912,MATCH($A521&amp;"|39",Positions!$A$2:$A$6912,0)),"-")</f>
        <v>39</v>
      </c>
      <c r="F521" s="4" t="str">
        <f aca="false">IFERROR(INDEX(Positions!$E$2:$E$6912,MATCH($A521&amp;"|31",Positions!$A$2:$A$6912,0)),"-")</f>
        <v>C</v>
      </c>
      <c r="G521" s="4" t="str">
        <f aca="false">IFERROR(INDEX(Positions!$E$2:$E$6912,MATCH($A521&amp;"|39",Positions!$A$2:$A$6912,0)),"-")</f>
        <v>G</v>
      </c>
      <c r="H521" s="3" t="str">
        <f aca="false">F521&amp;"-"&amp;G521</f>
        <v>C-G</v>
      </c>
      <c r="I521" s="4" t="n">
        <f aca="false">(F521="G")+(G521="G")</f>
        <v>1</v>
      </c>
      <c r="J521" s="4" t="n">
        <f aca="false">(F521="C")+(G521="C")</f>
        <v>1</v>
      </c>
      <c r="K521" s="3" t="n">
        <f aca="false">I521+J521</f>
        <v>2</v>
      </c>
    </row>
    <row r="522" customFormat="false" ht="15" hidden="false" customHeight="false" outlineLevel="0" collapsed="false">
      <c r="A522" s="4" t="s">
        <v>55</v>
      </c>
      <c r="B522" s="4" t="s">
        <v>471</v>
      </c>
      <c r="C522" s="4" t="s">
        <v>367</v>
      </c>
      <c r="D522" s="4" t="n">
        <f aca="false">IFERROR(INDEX(Positions!$D$2:$D$6912,MATCH($A522&amp;"|49",Positions!$A$2:$A$6912,0)),"-")</f>
        <v>49</v>
      </c>
      <c r="E522" s="4" t="n">
        <f aca="false">IFERROR(INDEX(Positions!$D$2:$D$6912,MATCH($A522&amp;"|65",Positions!$A$2:$A$6912,0)),"-")</f>
        <v>65</v>
      </c>
      <c r="F522" s="4" t="str">
        <f aca="false">IFERROR(INDEX(Positions!$E$2:$E$6912,MATCH($A522&amp;"|49",Positions!$A$2:$A$6912,0)),"-")</f>
        <v>C</v>
      </c>
      <c r="G522" s="4" t="str">
        <f aca="false">IFERROR(INDEX(Positions!$E$2:$E$6912,MATCH($A522&amp;"|65",Positions!$A$2:$A$6912,0)),"-")</f>
        <v>G</v>
      </c>
      <c r="H522" s="3" t="str">
        <f aca="false">F522&amp;"-"&amp;G522</f>
        <v>C-G</v>
      </c>
      <c r="I522" s="4" t="n">
        <f aca="false">(F522="G")+(G522="G")</f>
        <v>1</v>
      </c>
      <c r="J522" s="4" t="n">
        <f aca="false">(F522="C")+(G522="C")</f>
        <v>1</v>
      </c>
      <c r="K522" s="3" t="n">
        <f aca="false">I522+J522</f>
        <v>2</v>
      </c>
    </row>
    <row r="523" customFormat="false" ht="15" hidden="false" customHeight="false" outlineLevel="0" collapsed="false">
      <c r="A523" s="4" t="s">
        <v>55</v>
      </c>
      <c r="B523" s="4" t="s">
        <v>471</v>
      </c>
      <c r="C523" s="4" t="s">
        <v>233</v>
      </c>
      <c r="D523" s="4" t="n">
        <f aca="false">IFERROR(INDEX(Positions!$D$2:$D$6912,MATCH($A523&amp;"|50",Positions!$A$2:$A$6912,0)),"-")</f>
        <v>50</v>
      </c>
      <c r="E523" s="4" t="n">
        <f aca="false">IFERROR(INDEX(Positions!$D$2:$D$6912,MATCH($A523&amp;"|64",Positions!$A$2:$A$6912,0)),"-")</f>
        <v>64</v>
      </c>
      <c r="F523" s="4" t="str">
        <f aca="false">IFERROR(INDEX(Positions!$E$2:$E$6912,MATCH($A523&amp;"|50",Positions!$A$2:$A$6912,0)),"-")</f>
        <v>C</v>
      </c>
      <c r="G523" s="4" t="str">
        <f aca="false">IFERROR(INDEX(Positions!$E$2:$E$6912,MATCH($A523&amp;"|64",Positions!$A$2:$A$6912,0)),"-")</f>
        <v>G</v>
      </c>
      <c r="H523" s="3" t="str">
        <f aca="false">F523&amp;"-"&amp;G523</f>
        <v>C-G</v>
      </c>
      <c r="I523" s="4" t="n">
        <f aca="false">(F523="G")+(G523="G")</f>
        <v>1</v>
      </c>
      <c r="J523" s="4" t="n">
        <f aca="false">(F523="C")+(G523="C")</f>
        <v>1</v>
      </c>
      <c r="K523" s="3" t="n">
        <f aca="false">I523+J523</f>
        <v>2</v>
      </c>
    </row>
    <row r="524" customFormat="false" ht="15" hidden="false" customHeight="false" outlineLevel="0" collapsed="false">
      <c r="A524" s="4" t="s">
        <v>55</v>
      </c>
      <c r="B524" s="4" t="s">
        <v>471</v>
      </c>
      <c r="C524" s="4" t="s">
        <v>527</v>
      </c>
      <c r="D524" s="4" t="n">
        <f aca="false">IFERROR(INDEX(Positions!$D$2:$D$6912,MATCH($A524&amp;"|51",Positions!$A$2:$A$6912,0)),"-")</f>
        <v>51</v>
      </c>
      <c r="E524" s="4" t="n">
        <f aca="false">IFERROR(INDEX(Positions!$D$2:$D$6912,MATCH($A524&amp;"|63",Positions!$A$2:$A$6912,0)),"-")</f>
        <v>63</v>
      </c>
      <c r="F524" s="4" t="str">
        <f aca="false">IFERROR(INDEX(Positions!$E$2:$E$6912,MATCH($A524&amp;"|51",Positions!$A$2:$A$6912,0)),"-")</f>
        <v>C</v>
      </c>
      <c r="G524" s="4" t="str">
        <f aca="false">IFERROR(INDEX(Positions!$E$2:$E$6912,MATCH($A524&amp;"|63",Positions!$A$2:$A$6912,0)),"-")</f>
        <v>G</v>
      </c>
      <c r="H524" s="3" t="str">
        <f aca="false">F524&amp;"-"&amp;G524</f>
        <v>C-G</v>
      </c>
      <c r="I524" s="4" t="n">
        <f aca="false">(F524="G")+(G524="G")</f>
        <v>1</v>
      </c>
      <c r="J524" s="4" t="n">
        <f aca="false">(F524="C")+(G524="C")</f>
        <v>1</v>
      </c>
      <c r="K524" s="3" t="n">
        <f aca="false">I524+J524</f>
        <v>2</v>
      </c>
    </row>
    <row r="525" customFormat="false" ht="15" hidden="false" customHeight="false" outlineLevel="0" collapsed="false">
      <c r="A525" s="4" t="s">
        <v>55</v>
      </c>
      <c r="B525" s="4" t="s">
        <v>471</v>
      </c>
      <c r="C525" s="4" t="s">
        <v>528</v>
      </c>
      <c r="D525" s="4" t="n">
        <f aca="false">IFERROR(INDEX(Positions!$D$2:$D$6912,MATCH($A525&amp;"|52",Positions!$A$2:$A$6912,0)),"-")</f>
        <v>52</v>
      </c>
      <c r="E525" s="4" t="n">
        <f aca="false">IFERROR(INDEX(Positions!$D$2:$D$6912,MATCH($A525&amp;"|62",Positions!$A$2:$A$6912,0)),"-")</f>
        <v>62</v>
      </c>
      <c r="F525" s="4" t="str">
        <f aca="false">IFERROR(INDEX(Positions!$E$2:$E$6912,MATCH($A525&amp;"|52",Positions!$A$2:$A$6912,0)),"-")</f>
        <v>G</v>
      </c>
      <c r="G525" s="4" t="str">
        <f aca="false">IFERROR(INDEX(Positions!$E$2:$E$6912,MATCH($A525&amp;"|62",Positions!$A$2:$A$6912,0)),"-")</f>
        <v>C</v>
      </c>
      <c r="H525" s="3" t="str">
        <f aca="false">F525&amp;"-"&amp;G525</f>
        <v>G-C</v>
      </c>
      <c r="I525" s="4" t="n">
        <f aca="false">(F525="G")+(G525="G")</f>
        <v>1</v>
      </c>
      <c r="J525" s="4" t="n">
        <f aca="false">(F525="C")+(G525="C")</f>
        <v>1</v>
      </c>
      <c r="K525" s="3" t="n">
        <f aca="false">I525+J525</f>
        <v>2</v>
      </c>
    </row>
    <row r="526" customFormat="false" ht="15" hidden="false" customHeight="false" outlineLevel="0" collapsed="false">
      <c r="A526" s="4" t="s">
        <v>55</v>
      </c>
      <c r="B526" s="4" t="s">
        <v>471</v>
      </c>
      <c r="C526" s="4" t="s">
        <v>529</v>
      </c>
      <c r="D526" s="4" t="n">
        <f aca="false">IFERROR(INDEX(Positions!$D$2:$D$6912,MATCH($A526&amp;"|53",Positions!$A$2:$A$6912,0)),"-")</f>
        <v>53</v>
      </c>
      <c r="E526" s="4" t="n">
        <f aca="false">IFERROR(INDEX(Positions!$D$2:$D$6912,MATCH($A526&amp;"|61",Positions!$A$2:$A$6912,0)),"-")</f>
        <v>61</v>
      </c>
      <c r="F526" s="4" t="str">
        <f aca="false">IFERROR(INDEX(Positions!$E$2:$E$6912,MATCH($A526&amp;"|53",Positions!$A$2:$A$6912,0)),"-")</f>
        <v>G</v>
      </c>
      <c r="G526" s="4" t="str">
        <f aca="false">IFERROR(INDEX(Positions!$E$2:$E$6912,MATCH($A526&amp;"|61",Positions!$A$2:$A$6912,0)),"-")</f>
        <v>C</v>
      </c>
      <c r="H526" s="3" t="str">
        <f aca="false">F526&amp;"-"&amp;G526</f>
        <v>G-C</v>
      </c>
      <c r="I526" s="4" t="n">
        <f aca="false">(F526="G")+(G526="G")</f>
        <v>1</v>
      </c>
      <c r="J526" s="4" t="n">
        <f aca="false">(F526="C")+(G526="C")</f>
        <v>1</v>
      </c>
      <c r="K526" s="3" t="n">
        <f aca="false">I526+J526</f>
        <v>2</v>
      </c>
    </row>
    <row r="527" customFormat="false" ht="15" hidden="false" customHeight="false" outlineLevel="0" collapsed="false">
      <c r="A527" s="24" t="s">
        <v>55</v>
      </c>
      <c r="B527" s="24" t="s">
        <v>530</v>
      </c>
      <c r="C527" s="24" t="s">
        <v>531</v>
      </c>
      <c r="D527" s="24" t="n">
        <f aca="false">IFERROR(INDEX(Positions!$D$2:$D$6912,MATCH($A527&amp;"|8",Positions!$A$2:$A$6912,0)),"-")</f>
        <v>8</v>
      </c>
      <c r="E527" s="24" t="n">
        <f aca="false">IFERROR(INDEX(Positions!$D$2:$D$6912,MATCH($A527&amp;"|14",Positions!$A$2:$A$6912,0)),"-")</f>
        <v>14</v>
      </c>
      <c r="F527" s="24" t="str">
        <f aca="false">IFERROR(INDEX(Positions!$E$2:$E$6912,MATCH($A527&amp;"|8",Positions!$A$2:$A$6912,0)),"-")</f>
        <v>U</v>
      </c>
      <c r="G527" s="24" t="str">
        <f aca="false">IFERROR(INDEX(Positions!$E$2:$E$6912,MATCH($A527&amp;"|14",Positions!$A$2:$A$6912,0)),"-")</f>
        <v>A</v>
      </c>
      <c r="H527" s="25" t="str">
        <f aca="false">F527&amp;"-"&amp;G527</f>
        <v>U-A</v>
      </c>
      <c r="I527" s="24" t="n">
        <f aca="false">(F527="G")+(G527="G")</f>
        <v>0</v>
      </c>
      <c r="J527" s="24" t="n">
        <f aca="false">(F527="C")+(G527="C")</f>
        <v>0</v>
      </c>
      <c r="K527" s="25" t="n">
        <f aca="false">I527+J527</f>
        <v>0</v>
      </c>
    </row>
    <row r="528" customFormat="false" ht="15" hidden="false" customHeight="false" outlineLevel="0" collapsed="false">
      <c r="A528" s="24" t="s">
        <v>55</v>
      </c>
      <c r="B528" s="24" t="s">
        <v>530</v>
      </c>
      <c r="C528" s="24" t="s">
        <v>532</v>
      </c>
      <c r="D528" s="24" t="n">
        <f aca="false">IFERROR(INDEX(Positions!$D$2:$D$6912,MATCH($A528&amp;"|15",Positions!$A$2:$A$6912,0)),"-")</f>
        <v>15</v>
      </c>
      <c r="E528" s="24" t="n">
        <f aca="false">IFERROR(INDEX(Positions!$D$2:$D$6912,MATCH($A528&amp;"|48",Positions!$A$2:$A$6912,0)),"-")</f>
        <v>48</v>
      </c>
      <c r="F528" s="24" t="str">
        <f aca="false">IFERROR(INDEX(Positions!$E$2:$E$6912,MATCH($A528&amp;"|15",Positions!$A$2:$A$6912,0)),"-")</f>
        <v>G</v>
      </c>
      <c r="G528" s="24" t="str">
        <f aca="false">IFERROR(INDEX(Positions!$E$2:$E$6912,MATCH($A528&amp;"|48",Positions!$A$2:$A$6912,0)),"-")</f>
        <v>C</v>
      </c>
      <c r="H528" s="25" t="str">
        <f aca="false">F528&amp;"-"&amp;G528</f>
        <v>G-C</v>
      </c>
      <c r="I528" s="24" t="n">
        <f aca="false">(F528="G")+(G528="G")</f>
        <v>1</v>
      </c>
      <c r="J528" s="24" t="n">
        <f aca="false">(F528="C")+(G528="C")</f>
        <v>1</v>
      </c>
      <c r="K528" s="25" t="n">
        <f aca="false">I528+J528</f>
        <v>2</v>
      </c>
    </row>
    <row r="529" customFormat="false" ht="15" hidden="false" customHeight="false" outlineLevel="0" collapsed="false">
      <c r="A529" s="24" t="s">
        <v>55</v>
      </c>
      <c r="B529" s="24" t="s">
        <v>530</v>
      </c>
      <c r="C529" s="24" t="s">
        <v>533</v>
      </c>
      <c r="D529" s="24" t="n">
        <f aca="false">IFERROR(INDEX(Positions!$D$2:$D$6912,MATCH($A529&amp;"|18",Positions!$A$2:$A$6912,0)),"-")</f>
        <v>17</v>
      </c>
      <c r="E529" s="24" t="n">
        <f aca="false">IFERROR(INDEX(Positions!$D$2:$D$6912,MATCH($A529&amp;"|55",Positions!$A$2:$A$6912,0)),"-")</f>
        <v>55</v>
      </c>
      <c r="F529" s="24" t="str">
        <f aca="false">IFERROR(INDEX(Positions!$E$2:$E$6912,MATCH($A529&amp;"|18",Positions!$A$2:$A$6912,0)),"-")</f>
        <v>G</v>
      </c>
      <c r="G529" s="24" t="str">
        <f aca="false">IFERROR(INDEX(Positions!$E$2:$E$6912,MATCH($A529&amp;"|55",Positions!$A$2:$A$6912,0)),"-")</f>
        <v>U</v>
      </c>
      <c r="H529" s="25" t="str">
        <f aca="false">F529&amp;"-"&amp;G529</f>
        <v>G-U</v>
      </c>
      <c r="I529" s="24" t="n">
        <f aca="false">(F529="G")+(G529="G")</f>
        <v>1</v>
      </c>
      <c r="J529" s="24" t="n">
        <f aca="false">(F529="C")+(G529="C")</f>
        <v>0</v>
      </c>
      <c r="K529" s="25" t="n">
        <f aca="false">I529+J529</f>
        <v>1</v>
      </c>
    </row>
    <row r="530" customFormat="false" ht="15" hidden="false" customHeight="false" outlineLevel="0" collapsed="false">
      <c r="A530" s="24" t="s">
        <v>55</v>
      </c>
      <c r="B530" s="24" t="s">
        <v>530</v>
      </c>
      <c r="C530" s="24" t="s">
        <v>534</v>
      </c>
      <c r="D530" s="24" t="n">
        <f aca="false">IFERROR(INDEX(Positions!$D$2:$D$6912,MATCH($A530&amp;"|19",Positions!$A$2:$A$6912,0)),"-")</f>
        <v>18</v>
      </c>
      <c r="E530" s="24" t="n">
        <f aca="false">IFERROR(INDEX(Positions!$D$2:$D$6912,MATCH($A530&amp;"|56",Positions!$A$2:$A$6912,0)),"-")</f>
        <v>56</v>
      </c>
      <c r="F530" s="24" t="str">
        <f aca="false">IFERROR(INDEX(Positions!$E$2:$E$6912,MATCH($A530&amp;"|19",Positions!$A$2:$A$6912,0)),"-")</f>
        <v>G</v>
      </c>
      <c r="G530" s="24" t="str">
        <f aca="false">IFERROR(INDEX(Positions!$E$2:$E$6912,MATCH($A530&amp;"|56",Positions!$A$2:$A$6912,0)),"-")</f>
        <v>C</v>
      </c>
      <c r="H530" s="25" t="str">
        <f aca="false">F530&amp;"-"&amp;G530</f>
        <v>G-C</v>
      </c>
      <c r="I530" s="24" t="n">
        <f aca="false">(F530="G")+(G530="G")</f>
        <v>1</v>
      </c>
      <c r="J530" s="24" t="n">
        <f aca="false">(F530="C")+(G530="C")</f>
        <v>1</v>
      </c>
      <c r="K530" s="25" t="n">
        <f aca="false">I530+J530</f>
        <v>2</v>
      </c>
    </row>
    <row r="531" customFormat="false" ht="15" hidden="false" customHeight="false" outlineLevel="0" collapsed="false">
      <c r="A531" s="24" t="s">
        <v>55</v>
      </c>
      <c r="B531" s="24" t="s">
        <v>530</v>
      </c>
      <c r="C531" s="24" t="s">
        <v>535</v>
      </c>
      <c r="D531" s="24" t="n">
        <f aca="false">IFERROR(INDEX(Positions!$D$2:$D$6912,MATCH($A531&amp;"|26",Positions!$A$2:$A$6912,0)),"-")</f>
        <v>26</v>
      </c>
      <c r="E531" s="24" t="n">
        <f aca="false">IFERROR(INDEX(Positions!$D$2:$D$6912,MATCH($A531&amp;"|44",Positions!$A$2:$A$6912,0)),"-")</f>
        <v>44</v>
      </c>
      <c r="F531" s="24" t="str">
        <f aca="false">IFERROR(INDEX(Positions!$E$2:$E$6912,MATCH($A531&amp;"|26",Positions!$A$2:$A$6912,0)),"-")</f>
        <v>A</v>
      </c>
      <c r="G531" s="24" t="str">
        <f aca="false">IFERROR(INDEX(Positions!$E$2:$E$6912,MATCH($A531&amp;"|44",Positions!$A$2:$A$6912,0)),"-")</f>
        <v>A</v>
      </c>
      <c r="H531" s="25" t="str">
        <f aca="false">F531&amp;"-"&amp;G531</f>
        <v>A-A</v>
      </c>
      <c r="I531" s="24" t="n">
        <f aca="false">(F531="G")+(G531="G")</f>
        <v>0</v>
      </c>
      <c r="J531" s="24" t="n">
        <f aca="false">(F531="C")+(G531="C")</f>
        <v>0</v>
      </c>
      <c r="K531" s="25" t="n">
        <f aca="false">I531+J531</f>
        <v>0</v>
      </c>
    </row>
    <row r="532" customFormat="false" ht="15" hidden="false" customHeight="false" outlineLevel="0" collapsed="false">
      <c r="A532" s="24" t="s">
        <v>55</v>
      </c>
      <c r="B532" s="24" t="s">
        <v>530</v>
      </c>
      <c r="C532" s="24" t="s">
        <v>536</v>
      </c>
      <c r="D532" s="24" t="n">
        <f aca="false">IFERROR(INDEX(Positions!$D$2:$D$6912,MATCH($A532&amp;"|32",Positions!$A$2:$A$6912,0)),"-")</f>
        <v>32</v>
      </c>
      <c r="E532" s="24" t="n">
        <f aca="false">IFERROR(INDEX(Positions!$D$2:$D$6912,MATCH($A532&amp;"|38",Positions!$A$2:$A$6912,0)),"-")</f>
        <v>38</v>
      </c>
      <c r="F532" s="24" t="str">
        <f aca="false">IFERROR(INDEX(Positions!$E$2:$E$6912,MATCH($A532&amp;"|32",Positions!$A$2:$A$6912,0)),"-")</f>
        <v>C</v>
      </c>
      <c r="G532" s="24" t="str">
        <f aca="false">IFERROR(INDEX(Positions!$E$2:$E$6912,MATCH($A532&amp;"|38",Positions!$A$2:$A$6912,0)),"-")</f>
        <v>C</v>
      </c>
      <c r="H532" s="25" t="str">
        <f aca="false">F532&amp;"-"&amp;G532</f>
        <v>C-C</v>
      </c>
      <c r="I532" s="24" t="n">
        <f aca="false">(F532="G")+(G532="G")</f>
        <v>0</v>
      </c>
      <c r="J532" s="24" t="n">
        <f aca="false">(F532="C")+(G532="C")</f>
        <v>2</v>
      </c>
      <c r="K532" s="25" t="n">
        <f aca="false">I532+J532</f>
        <v>2</v>
      </c>
    </row>
    <row r="533" customFormat="false" ht="15" hidden="false" customHeight="false" outlineLevel="0" collapsed="false">
      <c r="A533" s="24" t="s">
        <v>55</v>
      </c>
      <c r="B533" s="24" t="s">
        <v>530</v>
      </c>
      <c r="C533" s="24" t="s">
        <v>537</v>
      </c>
      <c r="D533" s="24" t="n">
        <f aca="false">IFERROR(INDEX(Positions!$D$2:$D$6912,MATCH($A533&amp;"|54",Positions!$A$2:$A$6912,0)),"-")</f>
        <v>54</v>
      </c>
      <c r="E533" s="24" t="n">
        <f aca="false">IFERROR(INDEX(Positions!$D$2:$D$6912,MATCH($A533&amp;"|58",Positions!$A$2:$A$6912,0)),"-")</f>
        <v>58</v>
      </c>
      <c r="F533" s="24" t="str">
        <f aca="false">IFERROR(INDEX(Positions!$E$2:$E$6912,MATCH($A533&amp;"|54",Positions!$A$2:$A$6912,0)),"-")</f>
        <v>U</v>
      </c>
      <c r="G533" s="24" t="str">
        <f aca="false">IFERROR(INDEX(Positions!$E$2:$E$6912,MATCH($A533&amp;"|58",Positions!$A$2:$A$6912,0)),"-")</f>
        <v>A</v>
      </c>
      <c r="H533" s="25" t="str">
        <f aca="false">F533&amp;"-"&amp;G533</f>
        <v>U-A</v>
      </c>
      <c r="I533" s="24" t="n">
        <f aca="false">(F533="G")+(G533="G")</f>
        <v>0</v>
      </c>
      <c r="J533" s="24" t="n">
        <f aca="false">(F533="C")+(G533="C")</f>
        <v>0</v>
      </c>
      <c r="K533" s="25" t="n">
        <f aca="false">I533+J533</f>
        <v>0</v>
      </c>
    </row>
    <row r="534" customFormat="false" ht="15" hidden="false" customHeight="false" outlineLevel="0" collapsed="false">
      <c r="A534" s="4" t="s">
        <v>56</v>
      </c>
      <c r="B534" s="4" t="s">
        <v>412</v>
      </c>
      <c r="C534" s="4" t="s">
        <v>517</v>
      </c>
      <c r="D534" s="4" t="n">
        <f aca="false">IFERROR(INDEX(Positions!$D$2:$D$6912,MATCH($A534&amp;"|1",Positions!$A$2:$A$6912,0)),"-")</f>
        <v>1</v>
      </c>
      <c r="E534" s="4" t="n">
        <f aca="false">IFERROR(INDEX(Positions!$D$2:$D$6912,MATCH($A534&amp;"|72",Positions!$A$2:$A$6912,0)),"-")</f>
        <v>72</v>
      </c>
      <c r="F534" s="4" t="str">
        <f aca="false">IFERROR(INDEX(Positions!$E$2:$E$6912,MATCH($A534&amp;"|1",Positions!$A$2:$A$6912,0)),"-")</f>
        <v>G</v>
      </c>
      <c r="G534" s="4" t="str">
        <f aca="false">IFERROR(INDEX(Positions!$E$2:$E$6912,MATCH($A534&amp;"|72",Positions!$A$2:$A$6912,0)),"-")</f>
        <v>C</v>
      </c>
      <c r="H534" s="3" t="str">
        <f aca="false">F534&amp;"-"&amp;G534</f>
        <v>G-C</v>
      </c>
      <c r="I534" s="4" t="n">
        <f aca="false">(F534="G")+(G534="G")</f>
        <v>1</v>
      </c>
      <c r="J534" s="4" t="n">
        <f aca="false">(F534="C")+(G534="C")</f>
        <v>1</v>
      </c>
      <c r="K534" s="3" t="n">
        <f aca="false">I534+J534</f>
        <v>2</v>
      </c>
    </row>
    <row r="535" customFormat="false" ht="15" hidden="false" customHeight="false" outlineLevel="0" collapsed="false">
      <c r="A535" s="4" t="s">
        <v>56</v>
      </c>
      <c r="B535" s="4" t="s">
        <v>412</v>
      </c>
      <c r="C535" s="4" t="s">
        <v>518</v>
      </c>
      <c r="D535" s="4" t="n">
        <f aca="false">IFERROR(INDEX(Positions!$D$2:$D$6912,MATCH($A535&amp;"|2",Positions!$A$2:$A$6912,0)),"-")</f>
        <v>2</v>
      </c>
      <c r="E535" s="4" t="n">
        <f aca="false">IFERROR(INDEX(Positions!$D$2:$D$6912,MATCH($A535&amp;"|71",Positions!$A$2:$A$6912,0)),"-")</f>
        <v>71</v>
      </c>
      <c r="F535" s="4" t="str">
        <f aca="false">IFERROR(INDEX(Positions!$E$2:$E$6912,MATCH($A535&amp;"|2",Positions!$A$2:$A$6912,0)),"-")</f>
        <v>G</v>
      </c>
      <c r="G535" s="4" t="str">
        <f aca="false">IFERROR(INDEX(Positions!$E$2:$E$6912,MATCH($A535&amp;"|71",Positions!$A$2:$A$6912,0)),"-")</f>
        <v>C</v>
      </c>
      <c r="H535" s="3" t="str">
        <f aca="false">F535&amp;"-"&amp;G535</f>
        <v>G-C</v>
      </c>
      <c r="I535" s="4" t="n">
        <f aca="false">(F535="G")+(G535="G")</f>
        <v>1</v>
      </c>
      <c r="J535" s="4" t="n">
        <f aca="false">(F535="C")+(G535="C")</f>
        <v>1</v>
      </c>
      <c r="K535" s="3" t="n">
        <f aca="false">I535+J535</f>
        <v>2</v>
      </c>
    </row>
    <row r="536" customFormat="false" ht="15" hidden="false" customHeight="false" outlineLevel="0" collapsed="false">
      <c r="A536" s="4" t="s">
        <v>56</v>
      </c>
      <c r="B536" s="4" t="s">
        <v>412</v>
      </c>
      <c r="C536" s="4" t="s">
        <v>386</v>
      </c>
      <c r="D536" s="4" t="n">
        <f aca="false">IFERROR(INDEX(Positions!$D$2:$D$6912,MATCH($A536&amp;"|3",Positions!$A$2:$A$6912,0)),"-")</f>
        <v>3</v>
      </c>
      <c r="E536" s="4" t="n">
        <f aca="false">IFERROR(INDEX(Positions!$D$2:$D$6912,MATCH($A536&amp;"|70",Positions!$A$2:$A$6912,0)),"-")</f>
        <v>70</v>
      </c>
      <c r="F536" s="4" t="str">
        <f aca="false">IFERROR(INDEX(Positions!$E$2:$E$6912,MATCH($A536&amp;"|3",Positions!$A$2:$A$6912,0)),"-")</f>
        <v>U</v>
      </c>
      <c r="G536" s="4" t="str">
        <f aca="false">IFERROR(INDEX(Positions!$E$2:$E$6912,MATCH($A536&amp;"|70",Positions!$A$2:$A$6912,0)),"-")</f>
        <v>A</v>
      </c>
      <c r="H536" s="3" t="str">
        <f aca="false">F536&amp;"-"&amp;G536</f>
        <v>U-A</v>
      </c>
      <c r="I536" s="4" t="n">
        <f aca="false">(F536="G")+(G536="G")</f>
        <v>0</v>
      </c>
      <c r="J536" s="4" t="n">
        <f aca="false">(F536="C")+(G536="C")</f>
        <v>0</v>
      </c>
      <c r="K536" s="3" t="n">
        <f aca="false">I536+J536</f>
        <v>0</v>
      </c>
    </row>
    <row r="537" customFormat="false" ht="15" hidden="false" customHeight="false" outlineLevel="0" collapsed="false">
      <c r="A537" s="4" t="s">
        <v>56</v>
      </c>
      <c r="B537" s="4" t="s">
        <v>412</v>
      </c>
      <c r="C537" s="4" t="s">
        <v>519</v>
      </c>
      <c r="D537" s="4" t="n">
        <f aca="false">IFERROR(INDEX(Positions!$D$2:$D$6912,MATCH($A537&amp;"|4",Positions!$A$2:$A$6912,0)),"-")</f>
        <v>4</v>
      </c>
      <c r="E537" s="4" t="n">
        <f aca="false">IFERROR(INDEX(Positions!$D$2:$D$6912,MATCH($A537&amp;"|69",Positions!$A$2:$A$6912,0)),"-")</f>
        <v>69</v>
      </c>
      <c r="F537" s="4" t="str">
        <f aca="false">IFERROR(INDEX(Positions!$E$2:$E$6912,MATCH($A537&amp;"|4",Positions!$A$2:$A$6912,0)),"-")</f>
        <v>U</v>
      </c>
      <c r="G537" s="4" t="str">
        <f aca="false">IFERROR(INDEX(Positions!$E$2:$E$6912,MATCH($A537&amp;"|69",Positions!$A$2:$A$6912,0)),"-")</f>
        <v>A</v>
      </c>
      <c r="H537" s="3" t="str">
        <f aca="false">F537&amp;"-"&amp;G537</f>
        <v>U-A</v>
      </c>
      <c r="I537" s="4" t="n">
        <f aca="false">(F537="G")+(G537="G")</f>
        <v>0</v>
      </c>
      <c r="J537" s="4" t="n">
        <f aca="false">(F537="C")+(G537="C")</f>
        <v>0</v>
      </c>
      <c r="K537" s="3" t="n">
        <f aca="false">I537+J537</f>
        <v>0</v>
      </c>
    </row>
    <row r="538" customFormat="false" ht="15" hidden="false" customHeight="false" outlineLevel="0" collapsed="false">
      <c r="A538" s="4" t="s">
        <v>56</v>
      </c>
      <c r="B538" s="4" t="s">
        <v>412</v>
      </c>
      <c r="C538" s="4" t="s">
        <v>283</v>
      </c>
      <c r="D538" s="4" t="n">
        <f aca="false">IFERROR(INDEX(Positions!$D$2:$D$6912,MATCH($A538&amp;"|5",Positions!$A$2:$A$6912,0)),"-")</f>
        <v>5</v>
      </c>
      <c r="E538" s="4" t="n">
        <f aca="false">IFERROR(INDEX(Positions!$D$2:$D$6912,MATCH($A538&amp;"|68",Positions!$A$2:$A$6912,0)),"-")</f>
        <v>68</v>
      </c>
      <c r="F538" s="4" t="str">
        <f aca="false">IFERROR(INDEX(Positions!$E$2:$E$6912,MATCH($A538&amp;"|5",Positions!$A$2:$A$6912,0)),"-")</f>
        <v>C</v>
      </c>
      <c r="G538" s="4" t="str">
        <f aca="false">IFERROR(INDEX(Positions!$E$2:$E$6912,MATCH($A538&amp;"|68",Positions!$A$2:$A$6912,0)),"-")</f>
        <v>G</v>
      </c>
      <c r="H538" s="3" t="str">
        <f aca="false">F538&amp;"-"&amp;G538</f>
        <v>C-G</v>
      </c>
      <c r="I538" s="4" t="n">
        <f aca="false">(F538="G")+(G538="G")</f>
        <v>1</v>
      </c>
      <c r="J538" s="4" t="n">
        <f aca="false">(F538="C")+(G538="C")</f>
        <v>1</v>
      </c>
      <c r="K538" s="3" t="n">
        <f aca="false">I538+J538</f>
        <v>2</v>
      </c>
    </row>
    <row r="539" customFormat="false" ht="15" hidden="false" customHeight="false" outlineLevel="0" collapsed="false">
      <c r="A539" s="4" t="s">
        <v>56</v>
      </c>
      <c r="B539" s="4" t="s">
        <v>412</v>
      </c>
      <c r="C539" s="4" t="s">
        <v>520</v>
      </c>
      <c r="D539" s="4" t="n">
        <f aca="false">IFERROR(INDEX(Positions!$D$2:$D$6912,MATCH($A539&amp;"|6",Positions!$A$2:$A$6912,0)),"-")</f>
        <v>6</v>
      </c>
      <c r="E539" s="4" t="n">
        <f aca="false">IFERROR(INDEX(Positions!$D$2:$D$6912,MATCH($A539&amp;"|67",Positions!$A$2:$A$6912,0)),"-")</f>
        <v>67</v>
      </c>
      <c r="F539" s="4" t="str">
        <f aca="false">IFERROR(INDEX(Positions!$E$2:$E$6912,MATCH($A539&amp;"|6",Positions!$A$2:$A$6912,0)),"-")</f>
        <v>C</v>
      </c>
      <c r="G539" s="4" t="str">
        <f aca="false">IFERROR(INDEX(Positions!$E$2:$E$6912,MATCH($A539&amp;"|67",Positions!$A$2:$A$6912,0)),"-")</f>
        <v>G</v>
      </c>
      <c r="H539" s="3" t="str">
        <f aca="false">F539&amp;"-"&amp;G539</f>
        <v>C-G</v>
      </c>
      <c r="I539" s="4" t="n">
        <f aca="false">(F539="G")+(G539="G")</f>
        <v>1</v>
      </c>
      <c r="J539" s="4" t="n">
        <f aca="false">(F539="C")+(G539="C")</f>
        <v>1</v>
      </c>
      <c r="K539" s="3" t="n">
        <f aca="false">I539+J539</f>
        <v>2</v>
      </c>
    </row>
    <row r="540" customFormat="false" ht="15" hidden="false" customHeight="false" outlineLevel="0" collapsed="false">
      <c r="A540" s="4" t="s">
        <v>56</v>
      </c>
      <c r="B540" s="4" t="s">
        <v>412</v>
      </c>
      <c r="C540" s="4" t="s">
        <v>521</v>
      </c>
      <c r="D540" s="4" t="n">
        <f aca="false">IFERROR(INDEX(Positions!$D$2:$D$6912,MATCH($A540&amp;"|7",Positions!$A$2:$A$6912,0)),"-")</f>
        <v>7</v>
      </c>
      <c r="E540" s="4" t="n">
        <f aca="false">IFERROR(INDEX(Positions!$D$2:$D$6912,MATCH($A540&amp;"|66",Positions!$A$2:$A$6912,0)),"-")</f>
        <v>66</v>
      </c>
      <c r="F540" s="4" t="str">
        <f aca="false">IFERROR(INDEX(Positions!$E$2:$E$6912,MATCH($A540&amp;"|7",Positions!$A$2:$A$6912,0)),"-")</f>
        <v>A</v>
      </c>
      <c r="G540" s="4" t="str">
        <f aca="false">IFERROR(INDEX(Positions!$E$2:$E$6912,MATCH($A540&amp;"|66",Positions!$A$2:$A$6912,0)),"-")</f>
        <v>U</v>
      </c>
      <c r="H540" s="3" t="str">
        <f aca="false">F540&amp;"-"&amp;G540</f>
        <v>A-U</v>
      </c>
      <c r="I540" s="4" t="n">
        <f aca="false">(F540="G")+(G540="G")</f>
        <v>0</v>
      </c>
      <c r="J540" s="4" t="n">
        <f aca="false">(F540="C")+(G540="C")</f>
        <v>0</v>
      </c>
      <c r="K540" s="3" t="n">
        <f aca="false">I540+J540</f>
        <v>0</v>
      </c>
    </row>
    <row r="541" customFormat="false" ht="15" hidden="false" customHeight="false" outlineLevel="0" collapsed="false">
      <c r="A541" s="4" t="s">
        <v>56</v>
      </c>
      <c r="B541" s="4" t="s">
        <v>425</v>
      </c>
      <c r="C541" s="4" t="s">
        <v>522</v>
      </c>
      <c r="D541" s="4" t="n">
        <f aca="false">IFERROR(INDEX(Positions!$D$2:$D$6912,MATCH($A541&amp;"|10",Positions!$A$2:$A$6912,0)),"-")</f>
        <v>10</v>
      </c>
      <c r="E541" s="4" t="n">
        <f aca="false">IFERROR(INDEX(Positions!$D$2:$D$6912,MATCH($A541&amp;"|25",Positions!$A$2:$A$6912,0)),"-")</f>
        <v>25</v>
      </c>
      <c r="F541" s="4" t="str">
        <f aca="false">IFERROR(INDEX(Positions!$E$2:$E$6912,MATCH($A541&amp;"|10",Positions!$A$2:$A$6912,0)),"-")</f>
        <v>G</v>
      </c>
      <c r="G541" s="4" t="str">
        <f aca="false">IFERROR(INDEX(Positions!$E$2:$E$6912,MATCH($A541&amp;"|25",Positions!$A$2:$A$6912,0)),"-")</f>
        <v>C</v>
      </c>
      <c r="H541" s="3" t="str">
        <f aca="false">F541&amp;"-"&amp;G541</f>
        <v>G-C</v>
      </c>
      <c r="I541" s="4" t="n">
        <f aca="false">(F541="G")+(G541="G")</f>
        <v>1</v>
      </c>
      <c r="J541" s="4" t="n">
        <f aca="false">(F541="C")+(G541="C")</f>
        <v>1</v>
      </c>
      <c r="K541" s="3" t="n">
        <f aca="false">I541+J541</f>
        <v>2</v>
      </c>
    </row>
    <row r="542" customFormat="false" ht="15" hidden="false" customHeight="false" outlineLevel="0" collapsed="false">
      <c r="A542" s="4" t="s">
        <v>56</v>
      </c>
      <c r="B542" s="4" t="s">
        <v>425</v>
      </c>
      <c r="C542" s="4" t="s">
        <v>523</v>
      </c>
      <c r="D542" s="4" t="n">
        <f aca="false">IFERROR(INDEX(Positions!$D$2:$D$6912,MATCH($A542&amp;"|11",Positions!$A$2:$A$6912,0)),"-")</f>
        <v>11</v>
      </c>
      <c r="E542" s="4" t="n">
        <f aca="false">IFERROR(INDEX(Positions!$D$2:$D$6912,MATCH($A542&amp;"|24",Positions!$A$2:$A$6912,0)),"-")</f>
        <v>24</v>
      </c>
      <c r="F542" s="4" t="str">
        <f aca="false">IFERROR(INDEX(Positions!$E$2:$E$6912,MATCH($A542&amp;"|11",Positions!$A$2:$A$6912,0)),"-")</f>
        <v>U</v>
      </c>
      <c r="G542" s="4" t="str">
        <f aca="false">IFERROR(INDEX(Positions!$E$2:$E$6912,MATCH($A542&amp;"|24",Positions!$A$2:$A$6912,0)),"-")</f>
        <v>A</v>
      </c>
      <c r="H542" s="3" t="str">
        <f aca="false">F542&amp;"-"&amp;G542</f>
        <v>U-A</v>
      </c>
      <c r="I542" s="4" t="n">
        <f aca="false">(F542="G")+(G542="G")</f>
        <v>0</v>
      </c>
      <c r="J542" s="4" t="n">
        <f aca="false">(F542="C")+(G542="C")</f>
        <v>0</v>
      </c>
      <c r="K542" s="3" t="n">
        <f aca="false">I542+J542</f>
        <v>0</v>
      </c>
    </row>
    <row r="543" customFormat="false" ht="15" hidden="false" customHeight="false" outlineLevel="0" collapsed="false">
      <c r="A543" s="4" t="s">
        <v>56</v>
      </c>
      <c r="B543" s="4" t="s">
        <v>425</v>
      </c>
      <c r="C543" s="4" t="s">
        <v>250</v>
      </c>
      <c r="D543" s="4" t="n">
        <f aca="false">IFERROR(INDEX(Positions!$D$2:$D$6912,MATCH($A543&amp;"|12",Positions!$A$2:$A$6912,0)),"-")</f>
        <v>12</v>
      </c>
      <c r="E543" s="4" t="n">
        <f aca="false">IFERROR(INDEX(Positions!$D$2:$D$6912,MATCH($A543&amp;"|23",Positions!$A$2:$A$6912,0)),"-")</f>
        <v>23</v>
      </c>
      <c r="F543" s="4" t="str">
        <f aca="false">IFERROR(INDEX(Positions!$E$2:$E$6912,MATCH($A543&amp;"|12",Positions!$A$2:$A$6912,0)),"-")</f>
        <v>G</v>
      </c>
      <c r="G543" s="4" t="str">
        <f aca="false">IFERROR(INDEX(Positions!$E$2:$E$6912,MATCH($A543&amp;"|23",Positions!$A$2:$A$6912,0)),"-")</f>
        <v>C</v>
      </c>
      <c r="H543" s="3" t="str">
        <f aca="false">F543&amp;"-"&amp;G543</f>
        <v>G-C</v>
      </c>
      <c r="I543" s="4" t="n">
        <f aca="false">(F543="G")+(G543="G")</f>
        <v>1</v>
      </c>
      <c r="J543" s="4" t="n">
        <f aca="false">(F543="C")+(G543="C")</f>
        <v>1</v>
      </c>
      <c r="K543" s="3" t="n">
        <f aca="false">I543+J543</f>
        <v>2</v>
      </c>
    </row>
    <row r="544" customFormat="false" ht="15" hidden="false" customHeight="false" outlineLevel="0" collapsed="false">
      <c r="A544" s="4" t="s">
        <v>56</v>
      </c>
      <c r="B544" s="4" t="s">
        <v>425</v>
      </c>
      <c r="C544" s="4" t="s">
        <v>154</v>
      </c>
      <c r="D544" s="4" t="n">
        <f aca="false">IFERROR(INDEX(Positions!$D$2:$D$6912,MATCH($A544&amp;"|13",Positions!$A$2:$A$6912,0)),"-")</f>
        <v>13</v>
      </c>
      <c r="E544" s="4" t="n">
        <f aca="false">IFERROR(INDEX(Positions!$D$2:$D$6912,MATCH($A544&amp;"|22",Positions!$A$2:$A$6912,0)),"-")</f>
        <v>22</v>
      </c>
      <c r="F544" s="4" t="str">
        <f aca="false">IFERROR(INDEX(Positions!$E$2:$E$6912,MATCH($A544&amp;"|13",Positions!$A$2:$A$6912,0)),"-")</f>
        <v>U</v>
      </c>
      <c r="G544" s="4" t="str">
        <f aca="false">IFERROR(INDEX(Positions!$E$2:$E$6912,MATCH($A544&amp;"|22",Positions!$A$2:$A$6912,0)),"-")</f>
        <v>U</v>
      </c>
      <c r="H544" s="3" t="str">
        <f aca="false">F544&amp;"-"&amp;G544</f>
        <v>U-U</v>
      </c>
      <c r="I544" s="4" t="n">
        <f aca="false">(F544="G")+(G544="G")</f>
        <v>0</v>
      </c>
      <c r="J544" s="4" t="n">
        <f aca="false">(F544="C")+(G544="C")</f>
        <v>0</v>
      </c>
      <c r="K544" s="3" t="n">
        <f aca="false">I544+J544</f>
        <v>0</v>
      </c>
    </row>
    <row r="545" customFormat="false" ht="15" hidden="false" customHeight="false" outlineLevel="0" collapsed="false">
      <c r="A545" s="4" t="s">
        <v>56</v>
      </c>
      <c r="B545" s="4" t="s">
        <v>446</v>
      </c>
      <c r="C545" s="4" t="s">
        <v>524</v>
      </c>
      <c r="D545" s="4" t="n">
        <f aca="false">IFERROR(INDEX(Positions!$D$2:$D$6912,MATCH($A545&amp;"|27",Positions!$A$2:$A$6912,0)),"-")</f>
        <v>27</v>
      </c>
      <c r="E545" s="4" t="n">
        <f aca="false">IFERROR(INDEX(Positions!$D$2:$D$6912,MATCH($A545&amp;"|43",Positions!$A$2:$A$6912,0)),"-")</f>
        <v>43</v>
      </c>
      <c r="F545" s="4" t="str">
        <f aca="false">IFERROR(INDEX(Positions!$E$2:$E$6912,MATCH($A545&amp;"|27",Positions!$A$2:$A$6912,0)),"-")</f>
        <v>U</v>
      </c>
      <c r="G545" s="4" t="str">
        <f aca="false">IFERROR(INDEX(Positions!$E$2:$E$6912,MATCH($A545&amp;"|43",Positions!$A$2:$A$6912,0)),"-")</f>
        <v>A</v>
      </c>
      <c r="H545" s="3" t="str">
        <f aca="false">F545&amp;"-"&amp;G545</f>
        <v>U-A</v>
      </c>
      <c r="I545" s="4" t="n">
        <f aca="false">(F545="G")+(G545="G")</f>
        <v>0</v>
      </c>
      <c r="J545" s="4" t="n">
        <f aca="false">(F545="C")+(G545="C")</f>
        <v>0</v>
      </c>
      <c r="K545" s="3" t="n">
        <f aca="false">I545+J545</f>
        <v>0</v>
      </c>
    </row>
    <row r="546" customFormat="false" ht="15" hidden="false" customHeight="false" outlineLevel="0" collapsed="false">
      <c r="A546" s="4" t="s">
        <v>56</v>
      </c>
      <c r="B546" s="4" t="s">
        <v>446</v>
      </c>
      <c r="C546" s="4" t="s">
        <v>525</v>
      </c>
      <c r="D546" s="4" t="n">
        <f aca="false">IFERROR(INDEX(Positions!$D$2:$D$6912,MATCH($A546&amp;"|28",Positions!$A$2:$A$6912,0)),"-")</f>
        <v>28</v>
      </c>
      <c r="E546" s="4" t="n">
        <f aca="false">IFERROR(INDEX(Positions!$D$2:$D$6912,MATCH($A546&amp;"|42",Positions!$A$2:$A$6912,0)),"-")</f>
        <v>42</v>
      </c>
      <c r="F546" s="4" t="str">
        <f aca="false">IFERROR(INDEX(Positions!$E$2:$E$6912,MATCH($A546&amp;"|28",Positions!$A$2:$A$6912,0)),"-")</f>
        <v>C</v>
      </c>
      <c r="G546" s="4" t="str">
        <f aca="false">IFERROR(INDEX(Positions!$E$2:$E$6912,MATCH($A546&amp;"|42",Positions!$A$2:$A$6912,0)),"-")</f>
        <v>G</v>
      </c>
      <c r="H546" s="3" t="str">
        <f aca="false">F546&amp;"-"&amp;G546</f>
        <v>C-G</v>
      </c>
      <c r="I546" s="4" t="n">
        <f aca="false">(F546="G")+(G546="G")</f>
        <v>1</v>
      </c>
      <c r="J546" s="4" t="n">
        <f aca="false">(F546="C")+(G546="C")</f>
        <v>1</v>
      </c>
      <c r="K546" s="3" t="n">
        <f aca="false">I546+J546</f>
        <v>2</v>
      </c>
    </row>
    <row r="547" customFormat="false" ht="15" hidden="false" customHeight="false" outlineLevel="0" collapsed="false">
      <c r="A547" s="4" t="s">
        <v>56</v>
      </c>
      <c r="B547" s="4" t="s">
        <v>446</v>
      </c>
      <c r="C547" s="4" t="s">
        <v>256</v>
      </c>
      <c r="D547" s="4" t="n">
        <f aca="false">IFERROR(INDEX(Positions!$D$2:$D$6912,MATCH($A547&amp;"|29",Positions!$A$2:$A$6912,0)),"-")</f>
        <v>29</v>
      </c>
      <c r="E547" s="4" t="n">
        <f aca="false">IFERROR(INDEX(Positions!$D$2:$D$6912,MATCH($A547&amp;"|41",Positions!$A$2:$A$6912,0)),"-")</f>
        <v>41</v>
      </c>
      <c r="F547" s="4" t="str">
        <f aca="false">IFERROR(INDEX(Positions!$E$2:$E$6912,MATCH($A547&amp;"|29",Positions!$A$2:$A$6912,0)),"-")</f>
        <v>U</v>
      </c>
      <c r="G547" s="4" t="str">
        <f aca="false">IFERROR(INDEX(Positions!$E$2:$E$6912,MATCH($A547&amp;"|41",Positions!$A$2:$A$6912,0)),"-")</f>
        <v>A</v>
      </c>
      <c r="H547" s="3" t="str">
        <f aca="false">F547&amp;"-"&amp;G547</f>
        <v>U-A</v>
      </c>
      <c r="I547" s="4" t="n">
        <f aca="false">(F547="G")+(G547="G")</f>
        <v>0</v>
      </c>
      <c r="J547" s="4" t="n">
        <f aca="false">(F547="C")+(G547="C")</f>
        <v>0</v>
      </c>
      <c r="K547" s="3" t="n">
        <f aca="false">I547+J547</f>
        <v>0</v>
      </c>
    </row>
    <row r="548" customFormat="false" ht="15" hidden="false" customHeight="false" outlineLevel="0" collapsed="false">
      <c r="A548" s="4" t="s">
        <v>56</v>
      </c>
      <c r="B548" s="4" t="s">
        <v>446</v>
      </c>
      <c r="C548" s="4" t="s">
        <v>526</v>
      </c>
      <c r="D548" s="4" t="n">
        <f aca="false">IFERROR(INDEX(Positions!$D$2:$D$6912,MATCH($A548&amp;"|30",Positions!$A$2:$A$6912,0)),"-")</f>
        <v>30</v>
      </c>
      <c r="E548" s="4" t="n">
        <f aca="false">IFERROR(INDEX(Positions!$D$2:$D$6912,MATCH($A548&amp;"|40",Positions!$A$2:$A$6912,0)),"-")</f>
        <v>40</v>
      </c>
      <c r="F548" s="4" t="str">
        <f aca="false">IFERROR(INDEX(Positions!$E$2:$E$6912,MATCH($A548&amp;"|30",Positions!$A$2:$A$6912,0)),"-")</f>
        <v>G</v>
      </c>
      <c r="G548" s="4" t="str">
        <f aca="false">IFERROR(INDEX(Positions!$E$2:$E$6912,MATCH($A548&amp;"|40",Positions!$A$2:$A$6912,0)),"-")</f>
        <v>C</v>
      </c>
      <c r="H548" s="3" t="str">
        <f aca="false">F548&amp;"-"&amp;G548</f>
        <v>G-C</v>
      </c>
      <c r="I548" s="4" t="n">
        <f aca="false">(F548="G")+(G548="G")</f>
        <v>1</v>
      </c>
      <c r="J548" s="4" t="n">
        <f aca="false">(F548="C")+(G548="C")</f>
        <v>1</v>
      </c>
      <c r="K548" s="3" t="n">
        <f aca="false">I548+J548</f>
        <v>2</v>
      </c>
    </row>
    <row r="549" customFormat="false" ht="15" hidden="false" customHeight="false" outlineLevel="0" collapsed="false">
      <c r="A549" s="4" t="s">
        <v>56</v>
      </c>
      <c r="B549" s="4" t="s">
        <v>446</v>
      </c>
      <c r="C549" s="4" t="s">
        <v>273</v>
      </c>
      <c r="D549" s="4" t="n">
        <f aca="false">IFERROR(INDEX(Positions!$D$2:$D$6912,MATCH($A549&amp;"|31",Positions!$A$2:$A$6912,0)),"-")</f>
        <v>31</v>
      </c>
      <c r="E549" s="4" t="n">
        <f aca="false">IFERROR(INDEX(Positions!$D$2:$D$6912,MATCH($A549&amp;"|39",Positions!$A$2:$A$6912,0)),"-")</f>
        <v>39</v>
      </c>
      <c r="F549" s="4" t="str">
        <f aca="false">IFERROR(INDEX(Positions!$E$2:$E$6912,MATCH($A549&amp;"|31",Positions!$A$2:$A$6912,0)),"-")</f>
        <v>C</v>
      </c>
      <c r="G549" s="4" t="str">
        <f aca="false">IFERROR(INDEX(Positions!$E$2:$E$6912,MATCH($A549&amp;"|39",Positions!$A$2:$A$6912,0)),"-")</f>
        <v>G</v>
      </c>
      <c r="H549" s="3" t="str">
        <f aca="false">F549&amp;"-"&amp;G549</f>
        <v>C-G</v>
      </c>
      <c r="I549" s="4" t="n">
        <f aca="false">(F549="G")+(G549="G")</f>
        <v>1</v>
      </c>
      <c r="J549" s="4" t="n">
        <f aca="false">(F549="C")+(G549="C")</f>
        <v>1</v>
      </c>
      <c r="K549" s="3" t="n">
        <f aca="false">I549+J549</f>
        <v>2</v>
      </c>
    </row>
    <row r="550" customFormat="false" ht="15" hidden="false" customHeight="false" outlineLevel="0" collapsed="false">
      <c r="A550" s="4" t="s">
        <v>56</v>
      </c>
      <c r="B550" s="4" t="s">
        <v>471</v>
      </c>
      <c r="C550" s="4" t="s">
        <v>367</v>
      </c>
      <c r="D550" s="4" t="n">
        <f aca="false">IFERROR(INDEX(Positions!$D$2:$D$6912,MATCH($A550&amp;"|49",Positions!$A$2:$A$6912,0)),"-")</f>
        <v>49</v>
      </c>
      <c r="E550" s="4" t="n">
        <f aca="false">IFERROR(INDEX(Positions!$D$2:$D$6912,MATCH($A550&amp;"|65",Positions!$A$2:$A$6912,0)),"-")</f>
        <v>65</v>
      </c>
      <c r="F550" s="4" t="str">
        <f aca="false">IFERROR(INDEX(Positions!$E$2:$E$6912,MATCH($A550&amp;"|49",Positions!$A$2:$A$6912,0)),"-")</f>
        <v>U</v>
      </c>
      <c r="G550" s="4" t="str">
        <f aca="false">IFERROR(INDEX(Positions!$E$2:$E$6912,MATCH($A550&amp;"|65",Positions!$A$2:$A$6912,0)),"-")</f>
        <v>A</v>
      </c>
      <c r="H550" s="3" t="str">
        <f aca="false">F550&amp;"-"&amp;G550</f>
        <v>U-A</v>
      </c>
      <c r="I550" s="4" t="n">
        <f aca="false">(F550="G")+(G550="G")</f>
        <v>0</v>
      </c>
      <c r="J550" s="4" t="n">
        <f aca="false">(F550="C")+(G550="C")</f>
        <v>0</v>
      </c>
      <c r="K550" s="3" t="n">
        <f aca="false">I550+J550</f>
        <v>0</v>
      </c>
    </row>
    <row r="551" customFormat="false" ht="15" hidden="false" customHeight="false" outlineLevel="0" collapsed="false">
      <c r="A551" s="4" t="s">
        <v>56</v>
      </c>
      <c r="B551" s="4" t="s">
        <v>471</v>
      </c>
      <c r="C551" s="4" t="s">
        <v>233</v>
      </c>
      <c r="D551" s="4" t="n">
        <f aca="false">IFERROR(INDEX(Positions!$D$2:$D$6912,MATCH($A551&amp;"|50",Positions!$A$2:$A$6912,0)),"-")</f>
        <v>50</v>
      </c>
      <c r="E551" s="4" t="n">
        <f aca="false">IFERROR(INDEX(Positions!$D$2:$D$6912,MATCH($A551&amp;"|64",Positions!$A$2:$A$6912,0)),"-")</f>
        <v>64</v>
      </c>
      <c r="F551" s="4" t="str">
        <f aca="false">IFERROR(INDEX(Positions!$E$2:$E$6912,MATCH($A551&amp;"|50",Positions!$A$2:$A$6912,0)),"-")</f>
        <v>C</v>
      </c>
      <c r="G551" s="4" t="str">
        <f aca="false">IFERROR(INDEX(Positions!$E$2:$E$6912,MATCH($A551&amp;"|64",Positions!$A$2:$A$6912,0)),"-")</f>
        <v>G</v>
      </c>
      <c r="H551" s="3" t="str">
        <f aca="false">F551&amp;"-"&amp;G551</f>
        <v>C-G</v>
      </c>
      <c r="I551" s="4" t="n">
        <f aca="false">(F551="G")+(G551="G")</f>
        <v>1</v>
      </c>
      <c r="J551" s="4" t="n">
        <f aca="false">(F551="C")+(G551="C")</f>
        <v>1</v>
      </c>
      <c r="K551" s="3" t="n">
        <f aca="false">I551+J551</f>
        <v>2</v>
      </c>
    </row>
    <row r="552" customFormat="false" ht="15" hidden="false" customHeight="false" outlineLevel="0" collapsed="false">
      <c r="A552" s="4" t="s">
        <v>56</v>
      </c>
      <c r="B552" s="4" t="s">
        <v>471</v>
      </c>
      <c r="C552" s="4" t="s">
        <v>527</v>
      </c>
      <c r="D552" s="4" t="n">
        <f aca="false">IFERROR(INDEX(Positions!$D$2:$D$6912,MATCH($A552&amp;"|51",Positions!$A$2:$A$6912,0)),"-")</f>
        <v>51</v>
      </c>
      <c r="E552" s="4" t="n">
        <f aca="false">IFERROR(INDEX(Positions!$D$2:$D$6912,MATCH($A552&amp;"|63",Positions!$A$2:$A$6912,0)),"-")</f>
        <v>63</v>
      </c>
      <c r="F552" s="4" t="str">
        <f aca="false">IFERROR(INDEX(Positions!$E$2:$E$6912,MATCH($A552&amp;"|51",Positions!$A$2:$A$6912,0)),"-")</f>
        <v>C</v>
      </c>
      <c r="G552" s="4" t="str">
        <f aca="false">IFERROR(INDEX(Positions!$E$2:$E$6912,MATCH($A552&amp;"|63",Positions!$A$2:$A$6912,0)),"-")</f>
        <v>G</v>
      </c>
      <c r="H552" s="3" t="str">
        <f aca="false">F552&amp;"-"&amp;G552</f>
        <v>C-G</v>
      </c>
      <c r="I552" s="4" t="n">
        <f aca="false">(F552="G")+(G552="G")</f>
        <v>1</v>
      </c>
      <c r="J552" s="4" t="n">
        <f aca="false">(F552="C")+(G552="C")</f>
        <v>1</v>
      </c>
      <c r="K552" s="3" t="n">
        <f aca="false">I552+J552</f>
        <v>2</v>
      </c>
    </row>
    <row r="553" customFormat="false" ht="15" hidden="false" customHeight="false" outlineLevel="0" collapsed="false">
      <c r="A553" s="4" t="s">
        <v>56</v>
      </c>
      <c r="B553" s="4" t="s">
        <v>471</v>
      </c>
      <c r="C553" s="4" t="s">
        <v>528</v>
      </c>
      <c r="D553" s="4" t="n">
        <f aca="false">IFERROR(INDEX(Positions!$D$2:$D$6912,MATCH($A553&amp;"|52",Positions!$A$2:$A$6912,0)),"-")</f>
        <v>52</v>
      </c>
      <c r="E553" s="4" t="n">
        <f aca="false">IFERROR(INDEX(Positions!$D$2:$D$6912,MATCH($A553&amp;"|62",Positions!$A$2:$A$6912,0)),"-")</f>
        <v>62</v>
      </c>
      <c r="F553" s="4" t="str">
        <f aca="false">IFERROR(INDEX(Positions!$E$2:$E$6912,MATCH($A553&amp;"|52",Positions!$A$2:$A$6912,0)),"-")</f>
        <v>G</v>
      </c>
      <c r="G553" s="4" t="str">
        <f aca="false">IFERROR(INDEX(Positions!$E$2:$E$6912,MATCH($A553&amp;"|62",Positions!$A$2:$A$6912,0)),"-")</f>
        <v>C</v>
      </c>
      <c r="H553" s="3" t="str">
        <f aca="false">F553&amp;"-"&amp;G553</f>
        <v>G-C</v>
      </c>
      <c r="I553" s="4" t="n">
        <f aca="false">(F553="G")+(G553="G")</f>
        <v>1</v>
      </c>
      <c r="J553" s="4" t="n">
        <f aca="false">(F553="C")+(G553="C")</f>
        <v>1</v>
      </c>
      <c r="K553" s="3" t="n">
        <f aca="false">I553+J553</f>
        <v>2</v>
      </c>
    </row>
    <row r="554" customFormat="false" ht="15" hidden="false" customHeight="false" outlineLevel="0" collapsed="false">
      <c r="A554" s="4" t="s">
        <v>56</v>
      </c>
      <c r="B554" s="4" t="s">
        <v>471</v>
      </c>
      <c r="C554" s="4" t="s">
        <v>529</v>
      </c>
      <c r="D554" s="4" t="n">
        <f aca="false">IFERROR(INDEX(Positions!$D$2:$D$6912,MATCH($A554&amp;"|53",Positions!$A$2:$A$6912,0)),"-")</f>
        <v>53</v>
      </c>
      <c r="E554" s="4" t="n">
        <f aca="false">IFERROR(INDEX(Positions!$D$2:$D$6912,MATCH($A554&amp;"|61",Positions!$A$2:$A$6912,0)),"-")</f>
        <v>61</v>
      </c>
      <c r="F554" s="4" t="str">
        <f aca="false">IFERROR(INDEX(Positions!$E$2:$E$6912,MATCH($A554&amp;"|53",Positions!$A$2:$A$6912,0)),"-")</f>
        <v>G</v>
      </c>
      <c r="G554" s="4" t="str">
        <f aca="false">IFERROR(INDEX(Positions!$E$2:$E$6912,MATCH($A554&amp;"|61",Positions!$A$2:$A$6912,0)),"-")</f>
        <v>C</v>
      </c>
      <c r="H554" s="3" t="str">
        <f aca="false">F554&amp;"-"&amp;G554</f>
        <v>G-C</v>
      </c>
      <c r="I554" s="4" t="n">
        <f aca="false">(F554="G")+(G554="G")</f>
        <v>1</v>
      </c>
      <c r="J554" s="4" t="n">
        <f aca="false">(F554="C")+(G554="C")</f>
        <v>1</v>
      </c>
      <c r="K554" s="3" t="n">
        <f aca="false">I554+J554</f>
        <v>2</v>
      </c>
    </row>
    <row r="555" customFormat="false" ht="15" hidden="false" customHeight="false" outlineLevel="0" collapsed="false">
      <c r="A555" s="24" t="s">
        <v>56</v>
      </c>
      <c r="B555" s="24" t="s">
        <v>530</v>
      </c>
      <c r="C555" s="24" t="s">
        <v>531</v>
      </c>
      <c r="D555" s="24" t="n">
        <f aca="false">IFERROR(INDEX(Positions!$D$2:$D$6912,MATCH($A555&amp;"|8",Positions!$A$2:$A$6912,0)),"-")</f>
        <v>8</v>
      </c>
      <c r="E555" s="24" t="n">
        <f aca="false">IFERROR(INDEX(Positions!$D$2:$D$6912,MATCH($A555&amp;"|14",Positions!$A$2:$A$6912,0)),"-")</f>
        <v>14</v>
      </c>
      <c r="F555" s="24" t="str">
        <f aca="false">IFERROR(INDEX(Positions!$E$2:$E$6912,MATCH($A555&amp;"|8",Positions!$A$2:$A$6912,0)),"-")</f>
        <v>U</v>
      </c>
      <c r="G555" s="24" t="str">
        <f aca="false">IFERROR(INDEX(Positions!$E$2:$E$6912,MATCH($A555&amp;"|14",Positions!$A$2:$A$6912,0)),"-")</f>
        <v>A</v>
      </c>
      <c r="H555" s="25" t="str">
        <f aca="false">F555&amp;"-"&amp;G555</f>
        <v>U-A</v>
      </c>
      <c r="I555" s="24" t="n">
        <f aca="false">(F555="G")+(G555="G")</f>
        <v>0</v>
      </c>
      <c r="J555" s="24" t="n">
        <f aca="false">(F555="C")+(G555="C")</f>
        <v>0</v>
      </c>
      <c r="K555" s="25" t="n">
        <f aca="false">I555+J555</f>
        <v>0</v>
      </c>
    </row>
    <row r="556" customFormat="false" ht="15" hidden="false" customHeight="false" outlineLevel="0" collapsed="false">
      <c r="A556" s="24" t="s">
        <v>56</v>
      </c>
      <c r="B556" s="24" t="s">
        <v>530</v>
      </c>
      <c r="C556" s="24" t="s">
        <v>532</v>
      </c>
      <c r="D556" s="24" t="n">
        <f aca="false">IFERROR(INDEX(Positions!$D$2:$D$6912,MATCH($A556&amp;"|15",Positions!$A$2:$A$6912,0)),"-")</f>
        <v>15</v>
      </c>
      <c r="E556" s="24" t="n">
        <f aca="false">IFERROR(INDEX(Positions!$D$2:$D$6912,MATCH($A556&amp;"|48",Positions!$A$2:$A$6912,0)),"-")</f>
        <v>48</v>
      </c>
      <c r="F556" s="24" t="str">
        <f aca="false">IFERROR(INDEX(Positions!$E$2:$E$6912,MATCH($A556&amp;"|15",Positions!$A$2:$A$6912,0)),"-")</f>
        <v>G</v>
      </c>
      <c r="G556" s="24" t="str">
        <f aca="false">IFERROR(INDEX(Positions!$E$2:$E$6912,MATCH($A556&amp;"|48",Positions!$A$2:$A$6912,0)),"-")</f>
        <v>C</v>
      </c>
      <c r="H556" s="25" t="str">
        <f aca="false">F556&amp;"-"&amp;G556</f>
        <v>G-C</v>
      </c>
      <c r="I556" s="24" t="n">
        <f aca="false">(F556="G")+(G556="G")</f>
        <v>1</v>
      </c>
      <c r="J556" s="24" t="n">
        <f aca="false">(F556="C")+(G556="C")</f>
        <v>1</v>
      </c>
      <c r="K556" s="25" t="n">
        <f aca="false">I556+J556</f>
        <v>2</v>
      </c>
    </row>
    <row r="557" customFormat="false" ht="15" hidden="false" customHeight="false" outlineLevel="0" collapsed="false">
      <c r="A557" s="24" t="s">
        <v>56</v>
      </c>
      <c r="B557" s="24" t="s">
        <v>530</v>
      </c>
      <c r="C557" s="24" t="s">
        <v>533</v>
      </c>
      <c r="D557" s="24" t="n">
        <f aca="false">IFERROR(INDEX(Positions!$D$2:$D$6912,MATCH($A557&amp;"|18",Positions!$A$2:$A$6912,0)),"-")</f>
        <v>17</v>
      </c>
      <c r="E557" s="24" t="n">
        <f aca="false">IFERROR(INDEX(Positions!$D$2:$D$6912,MATCH($A557&amp;"|55",Positions!$A$2:$A$6912,0)),"-")</f>
        <v>55</v>
      </c>
      <c r="F557" s="24" t="str">
        <f aca="false">IFERROR(INDEX(Positions!$E$2:$E$6912,MATCH($A557&amp;"|18",Positions!$A$2:$A$6912,0)),"-")</f>
        <v>G</v>
      </c>
      <c r="G557" s="24" t="str">
        <f aca="false">IFERROR(INDEX(Positions!$E$2:$E$6912,MATCH($A557&amp;"|55",Positions!$A$2:$A$6912,0)),"-")</f>
        <v>U</v>
      </c>
      <c r="H557" s="25" t="str">
        <f aca="false">F557&amp;"-"&amp;G557</f>
        <v>G-U</v>
      </c>
      <c r="I557" s="24" t="n">
        <f aca="false">(F557="G")+(G557="G")</f>
        <v>1</v>
      </c>
      <c r="J557" s="24" t="n">
        <f aca="false">(F557="C")+(G557="C")</f>
        <v>0</v>
      </c>
      <c r="K557" s="25" t="n">
        <f aca="false">I557+J557</f>
        <v>1</v>
      </c>
    </row>
    <row r="558" customFormat="false" ht="15" hidden="false" customHeight="false" outlineLevel="0" collapsed="false">
      <c r="A558" s="24" t="s">
        <v>56</v>
      </c>
      <c r="B558" s="24" t="s">
        <v>530</v>
      </c>
      <c r="C558" s="24" t="s">
        <v>534</v>
      </c>
      <c r="D558" s="24" t="n">
        <f aca="false">IFERROR(INDEX(Positions!$D$2:$D$6912,MATCH($A558&amp;"|19",Positions!$A$2:$A$6912,0)),"-")</f>
        <v>18</v>
      </c>
      <c r="E558" s="24" t="n">
        <f aca="false">IFERROR(INDEX(Positions!$D$2:$D$6912,MATCH($A558&amp;"|56",Positions!$A$2:$A$6912,0)),"-")</f>
        <v>56</v>
      </c>
      <c r="F558" s="24" t="str">
        <f aca="false">IFERROR(INDEX(Positions!$E$2:$E$6912,MATCH($A558&amp;"|19",Positions!$A$2:$A$6912,0)),"-")</f>
        <v>G</v>
      </c>
      <c r="G558" s="24" t="str">
        <f aca="false">IFERROR(INDEX(Positions!$E$2:$E$6912,MATCH($A558&amp;"|56",Positions!$A$2:$A$6912,0)),"-")</f>
        <v>C</v>
      </c>
      <c r="H558" s="25" t="str">
        <f aca="false">F558&amp;"-"&amp;G558</f>
        <v>G-C</v>
      </c>
      <c r="I558" s="24" t="n">
        <f aca="false">(F558="G")+(G558="G")</f>
        <v>1</v>
      </c>
      <c r="J558" s="24" t="n">
        <f aca="false">(F558="C")+(G558="C")</f>
        <v>1</v>
      </c>
      <c r="K558" s="25" t="n">
        <f aca="false">I558+J558</f>
        <v>2</v>
      </c>
    </row>
    <row r="559" customFormat="false" ht="15" hidden="false" customHeight="false" outlineLevel="0" collapsed="false">
      <c r="A559" s="24" t="s">
        <v>56</v>
      </c>
      <c r="B559" s="24" t="s">
        <v>530</v>
      </c>
      <c r="C559" s="24" t="s">
        <v>535</v>
      </c>
      <c r="D559" s="24" t="n">
        <f aca="false">IFERROR(INDEX(Positions!$D$2:$D$6912,MATCH($A559&amp;"|26",Positions!$A$2:$A$6912,0)),"-")</f>
        <v>26</v>
      </c>
      <c r="E559" s="24" t="n">
        <f aca="false">IFERROR(INDEX(Positions!$D$2:$D$6912,MATCH($A559&amp;"|44",Positions!$A$2:$A$6912,0)),"-")</f>
        <v>44</v>
      </c>
      <c r="F559" s="24" t="str">
        <f aca="false">IFERROR(INDEX(Positions!$E$2:$E$6912,MATCH($A559&amp;"|26",Positions!$A$2:$A$6912,0)),"-")</f>
        <v>G</v>
      </c>
      <c r="G559" s="24" t="str">
        <f aca="false">IFERROR(INDEX(Positions!$E$2:$E$6912,MATCH($A559&amp;"|44",Positions!$A$2:$A$6912,0)),"-")</f>
        <v>A</v>
      </c>
      <c r="H559" s="25" t="str">
        <f aca="false">F559&amp;"-"&amp;G559</f>
        <v>G-A</v>
      </c>
      <c r="I559" s="24" t="n">
        <f aca="false">(F559="G")+(G559="G")</f>
        <v>1</v>
      </c>
      <c r="J559" s="24" t="n">
        <f aca="false">(F559="C")+(G559="C")</f>
        <v>0</v>
      </c>
      <c r="K559" s="25" t="n">
        <f aca="false">I559+J559</f>
        <v>1</v>
      </c>
    </row>
    <row r="560" customFormat="false" ht="15" hidden="false" customHeight="false" outlineLevel="0" collapsed="false">
      <c r="A560" s="24" t="s">
        <v>56</v>
      </c>
      <c r="B560" s="24" t="s">
        <v>530</v>
      </c>
      <c r="C560" s="24" t="s">
        <v>536</v>
      </c>
      <c r="D560" s="24" t="n">
        <f aca="false">IFERROR(INDEX(Positions!$D$2:$D$6912,MATCH($A560&amp;"|32",Positions!$A$2:$A$6912,0)),"-")</f>
        <v>32</v>
      </c>
      <c r="E560" s="24" t="n">
        <f aca="false">IFERROR(INDEX(Positions!$D$2:$D$6912,MATCH($A560&amp;"|38",Positions!$A$2:$A$6912,0)),"-")</f>
        <v>38</v>
      </c>
      <c r="F560" s="24" t="str">
        <f aca="false">IFERROR(INDEX(Positions!$E$2:$E$6912,MATCH($A560&amp;"|32",Positions!$A$2:$A$6912,0)),"-")</f>
        <v>U</v>
      </c>
      <c r="G560" s="24" t="str">
        <f aca="false">IFERROR(INDEX(Positions!$E$2:$E$6912,MATCH($A560&amp;"|38",Positions!$A$2:$A$6912,0)),"-")</f>
        <v>C</v>
      </c>
      <c r="H560" s="25" t="str">
        <f aca="false">F560&amp;"-"&amp;G560</f>
        <v>U-C</v>
      </c>
      <c r="I560" s="24" t="n">
        <f aca="false">(F560="G")+(G560="G")</f>
        <v>0</v>
      </c>
      <c r="J560" s="24" t="n">
        <f aca="false">(F560="C")+(G560="C")</f>
        <v>1</v>
      </c>
      <c r="K560" s="25" t="n">
        <f aca="false">I560+J560</f>
        <v>1</v>
      </c>
    </row>
    <row r="561" customFormat="false" ht="15" hidden="false" customHeight="false" outlineLevel="0" collapsed="false">
      <c r="A561" s="24" t="s">
        <v>56</v>
      </c>
      <c r="B561" s="24" t="s">
        <v>530</v>
      </c>
      <c r="C561" s="24" t="s">
        <v>537</v>
      </c>
      <c r="D561" s="24" t="n">
        <f aca="false">IFERROR(INDEX(Positions!$D$2:$D$6912,MATCH($A561&amp;"|54",Positions!$A$2:$A$6912,0)),"-")</f>
        <v>54</v>
      </c>
      <c r="E561" s="24" t="n">
        <f aca="false">IFERROR(INDEX(Positions!$D$2:$D$6912,MATCH($A561&amp;"|58",Positions!$A$2:$A$6912,0)),"-")</f>
        <v>58</v>
      </c>
      <c r="F561" s="24" t="str">
        <f aca="false">IFERROR(INDEX(Positions!$E$2:$E$6912,MATCH($A561&amp;"|54",Positions!$A$2:$A$6912,0)),"-")</f>
        <v>U</v>
      </c>
      <c r="G561" s="24" t="str">
        <f aca="false">IFERROR(INDEX(Positions!$E$2:$E$6912,MATCH($A561&amp;"|58",Positions!$A$2:$A$6912,0)),"-")</f>
        <v>A</v>
      </c>
      <c r="H561" s="25" t="str">
        <f aca="false">F561&amp;"-"&amp;G561</f>
        <v>U-A</v>
      </c>
      <c r="I561" s="24" t="n">
        <f aca="false">(F561="G")+(G561="G")</f>
        <v>0</v>
      </c>
      <c r="J561" s="24" t="n">
        <f aca="false">(F561="C")+(G561="C")</f>
        <v>0</v>
      </c>
      <c r="K561" s="25" t="n">
        <f aca="false">I561+J561</f>
        <v>0</v>
      </c>
    </row>
    <row r="562" customFormat="false" ht="15" hidden="false" customHeight="false" outlineLevel="0" collapsed="false">
      <c r="A562" s="4" t="s">
        <v>57</v>
      </c>
      <c r="B562" s="4" t="s">
        <v>412</v>
      </c>
      <c r="C562" s="4" t="s">
        <v>517</v>
      </c>
      <c r="D562" s="4" t="n">
        <f aca="false">IFERROR(INDEX(Positions!$D$2:$D$6912,MATCH($A562&amp;"|1",Positions!$A$2:$A$6912,0)),"-")</f>
        <v>1</v>
      </c>
      <c r="E562" s="4" t="n">
        <f aca="false">IFERROR(INDEX(Positions!$D$2:$D$6912,MATCH($A562&amp;"|72",Positions!$A$2:$A$6912,0)),"-")</f>
        <v>72</v>
      </c>
      <c r="F562" s="4" t="str">
        <f aca="false">IFERROR(INDEX(Positions!$E$2:$E$6912,MATCH($A562&amp;"|1",Positions!$A$2:$A$6912,0)),"-")</f>
        <v>G</v>
      </c>
      <c r="G562" s="4" t="str">
        <f aca="false">IFERROR(INDEX(Positions!$E$2:$E$6912,MATCH($A562&amp;"|72",Positions!$A$2:$A$6912,0)),"-")</f>
        <v>C</v>
      </c>
      <c r="H562" s="3" t="str">
        <f aca="false">F562&amp;"-"&amp;G562</f>
        <v>G-C</v>
      </c>
      <c r="I562" s="4" t="n">
        <f aca="false">(F562="G")+(G562="G")</f>
        <v>1</v>
      </c>
      <c r="J562" s="4" t="n">
        <f aca="false">(F562="C")+(G562="C")</f>
        <v>1</v>
      </c>
      <c r="K562" s="3" t="n">
        <f aca="false">I562+J562</f>
        <v>2</v>
      </c>
    </row>
    <row r="563" customFormat="false" ht="15" hidden="false" customHeight="false" outlineLevel="0" collapsed="false">
      <c r="A563" s="4" t="s">
        <v>57</v>
      </c>
      <c r="B563" s="4" t="s">
        <v>412</v>
      </c>
      <c r="C563" s="4" t="s">
        <v>518</v>
      </c>
      <c r="D563" s="4" t="n">
        <f aca="false">IFERROR(INDEX(Positions!$D$2:$D$6912,MATCH($A563&amp;"|2",Positions!$A$2:$A$6912,0)),"-")</f>
        <v>2</v>
      </c>
      <c r="E563" s="4" t="n">
        <f aca="false">IFERROR(INDEX(Positions!$D$2:$D$6912,MATCH($A563&amp;"|71",Positions!$A$2:$A$6912,0)),"-")</f>
        <v>71</v>
      </c>
      <c r="F563" s="4" t="str">
        <f aca="false">IFERROR(INDEX(Positions!$E$2:$E$6912,MATCH($A563&amp;"|2",Positions!$A$2:$A$6912,0)),"-")</f>
        <v>G</v>
      </c>
      <c r="G563" s="4" t="str">
        <f aca="false">IFERROR(INDEX(Positions!$E$2:$E$6912,MATCH($A563&amp;"|71",Positions!$A$2:$A$6912,0)),"-")</f>
        <v>C</v>
      </c>
      <c r="H563" s="3" t="str">
        <f aca="false">F563&amp;"-"&amp;G563</f>
        <v>G-C</v>
      </c>
      <c r="I563" s="4" t="n">
        <f aca="false">(F563="G")+(G563="G")</f>
        <v>1</v>
      </c>
      <c r="J563" s="4" t="n">
        <f aca="false">(F563="C")+(G563="C")</f>
        <v>1</v>
      </c>
      <c r="K563" s="3" t="n">
        <f aca="false">I563+J563</f>
        <v>2</v>
      </c>
    </row>
    <row r="564" customFormat="false" ht="15" hidden="false" customHeight="false" outlineLevel="0" collapsed="false">
      <c r="A564" s="4" t="s">
        <v>57</v>
      </c>
      <c r="B564" s="4" t="s">
        <v>412</v>
      </c>
      <c r="C564" s="4" t="s">
        <v>386</v>
      </c>
      <c r="D564" s="4" t="n">
        <f aca="false">IFERROR(INDEX(Positions!$D$2:$D$6912,MATCH($A564&amp;"|3",Positions!$A$2:$A$6912,0)),"-")</f>
        <v>3</v>
      </c>
      <c r="E564" s="4" t="n">
        <f aca="false">IFERROR(INDEX(Positions!$D$2:$D$6912,MATCH($A564&amp;"|70",Positions!$A$2:$A$6912,0)),"-")</f>
        <v>70</v>
      </c>
      <c r="F564" s="4" t="str">
        <f aca="false">IFERROR(INDEX(Positions!$E$2:$E$6912,MATCH($A564&amp;"|3",Positions!$A$2:$A$6912,0)),"-")</f>
        <v>G</v>
      </c>
      <c r="G564" s="4" t="str">
        <f aca="false">IFERROR(INDEX(Positions!$E$2:$E$6912,MATCH($A564&amp;"|70",Positions!$A$2:$A$6912,0)),"-")</f>
        <v>U</v>
      </c>
      <c r="H564" s="3" t="str">
        <f aca="false">F564&amp;"-"&amp;G564</f>
        <v>G-U</v>
      </c>
      <c r="I564" s="4" t="n">
        <f aca="false">(F564="G")+(G564="G")</f>
        <v>1</v>
      </c>
      <c r="J564" s="4" t="n">
        <f aca="false">(F564="C")+(G564="C")</f>
        <v>0</v>
      </c>
      <c r="K564" s="3" t="n">
        <f aca="false">I564+J564</f>
        <v>1</v>
      </c>
    </row>
    <row r="565" customFormat="false" ht="15" hidden="false" customHeight="false" outlineLevel="0" collapsed="false">
      <c r="A565" s="4" t="s">
        <v>57</v>
      </c>
      <c r="B565" s="4" t="s">
        <v>412</v>
      </c>
      <c r="C565" s="4" t="s">
        <v>519</v>
      </c>
      <c r="D565" s="4" t="n">
        <f aca="false">IFERROR(INDEX(Positions!$D$2:$D$6912,MATCH($A565&amp;"|4",Positions!$A$2:$A$6912,0)),"-")</f>
        <v>4</v>
      </c>
      <c r="E565" s="4" t="n">
        <f aca="false">IFERROR(INDEX(Positions!$D$2:$D$6912,MATCH($A565&amp;"|69",Positions!$A$2:$A$6912,0)),"-")</f>
        <v>69</v>
      </c>
      <c r="F565" s="4" t="str">
        <f aca="false">IFERROR(INDEX(Positions!$E$2:$E$6912,MATCH($A565&amp;"|4",Positions!$A$2:$A$6912,0)),"-")</f>
        <v>G</v>
      </c>
      <c r="G565" s="4" t="str">
        <f aca="false">IFERROR(INDEX(Positions!$E$2:$E$6912,MATCH($A565&amp;"|69",Positions!$A$2:$A$6912,0)),"-")</f>
        <v>C</v>
      </c>
      <c r="H565" s="3" t="str">
        <f aca="false">F565&amp;"-"&amp;G565</f>
        <v>G-C</v>
      </c>
      <c r="I565" s="4" t="n">
        <f aca="false">(F565="G")+(G565="G")</f>
        <v>1</v>
      </c>
      <c r="J565" s="4" t="n">
        <f aca="false">(F565="C")+(G565="C")</f>
        <v>1</v>
      </c>
      <c r="K565" s="3" t="n">
        <f aca="false">I565+J565</f>
        <v>2</v>
      </c>
    </row>
    <row r="566" customFormat="false" ht="15" hidden="false" customHeight="false" outlineLevel="0" collapsed="false">
      <c r="A566" s="4" t="s">
        <v>57</v>
      </c>
      <c r="B566" s="4" t="s">
        <v>412</v>
      </c>
      <c r="C566" s="4" t="s">
        <v>283</v>
      </c>
      <c r="D566" s="4" t="n">
        <f aca="false">IFERROR(INDEX(Positions!$D$2:$D$6912,MATCH($A566&amp;"|5",Positions!$A$2:$A$6912,0)),"-")</f>
        <v>5</v>
      </c>
      <c r="E566" s="4" t="n">
        <f aca="false">IFERROR(INDEX(Positions!$D$2:$D$6912,MATCH($A566&amp;"|68",Positions!$A$2:$A$6912,0)),"-")</f>
        <v>68</v>
      </c>
      <c r="F566" s="4" t="str">
        <f aca="false">IFERROR(INDEX(Positions!$E$2:$E$6912,MATCH($A566&amp;"|5",Positions!$A$2:$A$6912,0)),"-")</f>
        <v>G</v>
      </c>
      <c r="G566" s="4" t="str">
        <f aca="false">IFERROR(INDEX(Positions!$E$2:$E$6912,MATCH($A566&amp;"|68",Positions!$A$2:$A$6912,0)),"-")</f>
        <v>C</v>
      </c>
      <c r="H566" s="3" t="str">
        <f aca="false">F566&amp;"-"&amp;G566</f>
        <v>G-C</v>
      </c>
      <c r="I566" s="4" t="n">
        <f aca="false">(F566="G")+(G566="G")</f>
        <v>1</v>
      </c>
      <c r="J566" s="4" t="n">
        <f aca="false">(F566="C")+(G566="C")</f>
        <v>1</v>
      </c>
      <c r="K566" s="3" t="n">
        <f aca="false">I566+J566</f>
        <v>2</v>
      </c>
    </row>
    <row r="567" customFormat="false" ht="15" hidden="false" customHeight="false" outlineLevel="0" collapsed="false">
      <c r="A567" s="4" t="s">
        <v>57</v>
      </c>
      <c r="B567" s="4" t="s">
        <v>412</v>
      </c>
      <c r="C567" s="4" t="s">
        <v>520</v>
      </c>
      <c r="D567" s="4" t="n">
        <f aca="false">IFERROR(INDEX(Positions!$D$2:$D$6912,MATCH($A567&amp;"|6",Positions!$A$2:$A$6912,0)),"-")</f>
        <v>6</v>
      </c>
      <c r="E567" s="4" t="n">
        <f aca="false">IFERROR(INDEX(Positions!$D$2:$D$6912,MATCH($A567&amp;"|67",Positions!$A$2:$A$6912,0)),"-")</f>
        <v>67</v>
      </c>
      <c r="F567" s="4" t="str">
        <f aca="false">IFERROR(INDEX(Positions!$E$2:$E$6912,MATCH($A567&amp;"|6",Positions!$A$2:$A$6912,0)),"-")</f>
        <v>C</v>
      </c>
      <c r="G567" s="4" t="str">
        <f aca="false">IFERROR(INDEX(Positions!$E$2:$E$6912,MATCH($A567&amp;"|67",Positions!$A$2:$A$6912,0)),"-")</f>
        <v>G</v>
      </c>
      <c r="H567" s="3" t="str">
        <f aca="false">F567&amp;"-"&amp;G567</f>
        <v>C-G</v>
      </c>
      <c r="I567" s="4" t="n">
        <f aca="false">(F567="G")+(G567="G")</f>
        <v>1</v>
      </c>
      <c r="J567" s="4" t="n">
        <f aca="false">(F567="C")+(G567="C")</f>
        <v>1</v>
      </c>
      <c r="K567" s="3" t="n">
        <f aca="false">I567+J567</f>
        <v>2</v>
      </c>
    </row>
    <row r="568" customFormat="false" ht="15" hidden="false" customHeight="false" outlineLevel="0" collapsed="false">
      <c r="A568" s="4" t="s">
        <v>57</v>
      </c>
      <c r="B568" s="4" t="s">
        <v>412</v>
      </c>
      <c r="C568" s="4" t="s">
        <v>521</v>
      </c>
      <c r="D568" s="4" t="n">
        <f aca="false">IFERROR(INDEX(Positions!$D$2:$D$6912,MATCH($A568&amp;"|7",Positions!$A$2:$A$6912,0)),"-")</f>
        <v>7</v>
      </c>
      <c r="E568" s="4" t="n">
        <f aca="false">IFERROR(INDEX(Positions!$D$2:$D$6912,MATCH($A568&amp;"|66",Positions!$A$2:$A$6912,0)),"-")</f>
        <v>66</v>
      </c>
      <c r="F568" s="4" t="str">
        <f aca="false">IFERROR(INDEX(Positions!$E$2:$E$6912,MATCH($A568&amp;"|7",Positions!$A$2:$A$6912,0)),"-")</f>
        <v>G</v>
      </c>
      <c r="G568" s="4" t="str">
        <f aca="false">IFERROR(INDEX(Positions!$E$2:$E$6912,MATCH($A568&amp;"|66",Positions!$A$2:$A$6912,0)),"-")</f>
        <v>C</v>
      </c>
      <c r="H568" s="3" t="str">
        <f aca="false">F568&amp;"-"&amp;G568</f>
        <v>G-C</v>
      </c>
      <c r="I568" s="4" t="n">
        <f aca="false">(F568="G")+(G568="G")</f>
        <v>1</v>
      </c>
      <c r="J568" s="4" t="n">
        <f aca="false">(F568="C")+(G568="C")</f>
        <v>1</v>
      </c>
      <c r="K568" s="3" t="n">
        <f aca="false">I568+J568</f>
        <v>2</v>
      </c>
    </row>
    <row r="569" customFormat="false" ht="15" hidden="false" customHeight="false" outlineLevel="0" collapsed="false">
      <c r="A569" s="4" t="s">
        <v>57</v>
      </c>
      <c r="B569" s="4" t="s">
        <v>425</v>
      </c>
      <c r="C569" s="4" t="s">
        <v>522</v>
      </c>
      <c r="D569" s="4" t="n">
        <f aca="false">IFERROR(INDEX(Positions!$D$2:$D$6912,MATCH($A569&amp;"|10",Positions!$A$2:$A$6912,0)),"-")</f>
        <v>10</v>
      </c>
      <c r="E569" s="4" t="n">
        <f aca="false">IFERROR(INDEX(Positions!$D$2:$D$6912,MATCH($A569&amp;"|25",Positions!$A$2:$A$6912,0)),"-")</f>
        <v>25</v>
      </c>
      <c r="F569" s="4" t="str">
        <f aca="false">IFERROR(INDEX(Positions!$E$2:$E$6912,MATCH($A569&amp;"|10",Positions!$A$2:$A$6912,0)),"-")</f>
        <v>G</v>
      </c>
      <c r="G569" s="4" t="str">
        <f aca="false">IFERROR(INDEX(Positions!$E$2:$E$6912,MATCH($A569&amp;"|25",Positions!$A$2:$A$6912,0)),"-")</f>
        <v>C</v>
      </c>
      <c r="H569" s="3" t="str">
        <f aca="false">F569&amp;"-"&amp;G569</f>
        <v>G-C</v>
      </c>
      <c r="I569" s="4" t="n">
        <f aca="false">(F569="G")+(G569="G")</f>
        <v>1</v>
      </c>
      <c r="J569" s="4" t="n">
        <f aca="false">(F569="C")+(G569="C")</f>
        <v>1</v>
      </c>
      <c r="K569" s="3" t="n">
        <f aca="false">I569+J569</f>
        <v>2</v>
      </c>
    </row>
    <row r="570" customFormat="false" ht="15" hidden="false" customHeight="false" outlineLevel="0" collapsed="false">
      <c r="A570" s="4" t="s">
        <v>57</v>
      </c>
      <c r="B570" s="4" t="s">
        <v>425</v>
      </c>
      <c r="C570" s="4" t="s">
        <v>523</v>
      </c>
      <c r="D570" s="4" t="n">
        <f aca="false">IFERROR(INDEX(Positions!$D$2:$D$6912,MATCH($A570&amp;"|11",Positions!$A$2:$A$6912,0)),"-")</f>
        <v>11</v>
      </c>
      <c r="E570" s="4" t="n">
        <f aca="false">IFERROR(INDEX(Positions!$D$2:$D$6912,MATCH($A570&amp;"|24",Positions!$A$2:$A$6912,0)),"-")</f>
        <v>24</v>
      </c>
      <c r="F570" s="4" t="str">
        <f aca="false">IFERROR(INDEX(Positions!$E$2:$E$6912,MATCH($A570&amp;"|11",Positions!$A$2:$A$6912,0)),"-")</f>
        <v>C</v>
      </c>
      <c r="G570" s="4" t="str">
        <f aca="false">IFERROR(INDEX(Positions!$E$2:$E$6912,MATCH($A570&amp;"|24",Positions!$A$2:$A$6912,0)),"-")</f>
        <v>G</v>
      </c>
      <c r="H570" s="3" t="str">
        <f aca="false">F570&amp;"-"&amp;G570</f>
        <v>C-G</v>
      </c>
      <c r="I570" s="4" t="n">
        <f aca="false">(F570="G")+(G570="G")</f>
        <v>1</v>
      </c>
      <c r="J570" s="4" t="n">
        <f aca="false">(F570="C")+(G570="C")</f>
        <v>1</v>
      </c>
      <c r="K570" s="3" t="n">
        <f aca="false">I570+J570</f>
        <v>2</v>
      </c>
    </row>
    <row r="571" customFormat="false" ht="15" hidden="false" customHeight="false" outlineLevel="0" collapsed="false">
      <c r="A571" s="4" t="s">
        <v>57</v>
      </c>
      <c r="B571" s="4" t="s">
        <v>425</v>
      </c>
      <c r="C571" s="4" t="s">
        <v>250</v>
      </c>
      <c r="D571" s="4" t="n">
        <f aca="false">IFERROR(INDEX(Positions!$D$2:$D$6912,MATCH($A571&amp;"|12",Positions!$A$2:$A$6912,0)),"-")</f>
        <v>12</v>
      </c>
      <c r="E571" s="4" t="n">
        <f aca="false">IFERROR(INDEX(Positions!$D$2:$D$6912,MATCH($A571&amp;"|23",Positions!$A$2:$A$6912,0)),"-")</f>
        <v>23</v>
      </c>
      <c r="F571" s="4" t="str">
        <f aca="false">IFERROR(INDEX(Positions!$E$2:$E$6912,MATCH($A571&amp;"|12",Positions!$A$2:$A$6912,0)),"-")</f>
        <v>U</v>
      </c>
      <c r="G571" s="4" t="str">
        <f aca="false">IFERROR(INDEX(Positions!$E$2:$E$6912,MATCH($A571&amp;"|23",Positions!$A$2:$A$6912,0)),"-")</f>
        <v>A</v>
      </c>
      <c r="H571" s="3" t="str">
        <f aca="false">F571&amp;"-"&amp;G571</f>
        <v>U-A</v>
      </c>
      <c r="I571" s="4" t="n">
        <f aca="false">(F571="G")+(G571="G")</f>
        <v>0</v>
      </c>
      <c r="J571" s="4" t="n">
        <f aca="false">(F571="C")+(G571="C")</f>
        <v>0</v>
      </c>
      <c r="K571" s="3" t="n">
        <f aca="false">I571+J571</f>
        <v>0</v>
      </c>
    </row>
    <row r="572" customFormat="false" ht="15" hidden="false" customHeight="false" outlineLevel="0" collapsed="false">
      <c r="A572" s="4" t="s">
        <v>57</v>
      </c>
      <c r="B572" s="4" t="s">
        <v>425</v>
      </c>
      <c r="C572" s="4" t="s">
        <v>154</v>
      </c>
      <c r="D572" s="4" t="n">
        <f aca="false">IFERROR(INDEX(Positions!$D$2:$D$6912,MATCH($A572&amp;"|13",Positions!$A$2:$A$6912,0)),"-")</f>
        <v>13</v>
      </c>
      <c r="E572" s="4" t="n">
        <f aca="false">IFERROR(INDEX(Positions!$D$2:$D$6912,MATCH($A572&amp;"|22",Positions!$A$2:$A$6912,0)),"-")</f>
        <v>22</v>
      </c>
      <c r="F572" s="4" t="str">
        <f aca="false">IFERROR(INDEX(Positions!$E$2:$E$6912,MATCH($A572&amp;"|13",Positions!$A$2:$A$6912,0)),"-")</f>
        <v>C</v>
      </c>
      <c r="G572" s="4" t="str">
        <f aca="false">IFERROR(INDEX(Positions!$E$2:$E$6912,MATCH($A572&amp;"|22",Positions!$A$2:$A$6912,0)),"-")</f>
        <v>G</v>
      </c>
      <c r="H572" s="3" t="str">
        <f aca="false">F572&amp;"-"&amp;G572</f>
        <v>C-G</v>
      </c>
      <c r="I572" s="4" t="n">
        <f aca="false">(F572="G")+(G572="G")</f>
        <v>1</v>
      </c>
      <c r="J572" s="4" t="n">
        <f aca="false">(F572="C")+(G572="C")</f>
        <v>1</v>
      </c>
      <c r="K572" s="3" t="n">
        <f aca="false">I572+J572</f>
        <v>2</v>
      </c>
    </row>
    <row r="573" customFormat="false" ht="15" hidden="false" customHeight="false" outlineLevel="0" collapsed="false">
      <c r="A573" s="4" t="s">
        <v>57</v>
      </c>
      <c r="B573" s="4" t="s">
        <v>446</v>
      </c>
      <c r="C573" s="4" t="s">
        <v>524</v>
      </c>
      <c r="D573" s="4" t="n">
        <f aca="false">IFERROR(INDEX(Positions!$D$2:$D$6912,MATCH($A573&amp;"|27",Positions!$A$2:$A$6912,0)),"-")</f>
        <v>27</v>
      </c>
      <c r="E573" s="4" t="n">
        <f aca="false">IFERROR(INDEX(Positions!$D$2:$D$6912,MATCH($A573&amp;"|43",Positions!$A$2:$A$6912,0)),"-")</f>
        <v>43</v>
      </c>
      <c r="F573" s="4" t="str">
        <f aca="false">IFERROR(INDEX(Positions!$E$2:$E$6912,MATCH($A573&amp;"|27",Positions!$A$2:$A$6912,0)),"-")</f>
        <v>C</v>
      </c>
      <c r="G573" s="4" t="str">
        <f aca="false">IFERROR(INDEX(Positions!$E$2:$E$6912,MATCH($A573&amp;"|43",Positions!$A$2:$A$6912,0)),"-")</f>
        <v>G</v>
      </c>
      <c r="H573" s="3" t="str">
        <f aca="false">F573&amp;"-"&amp;G573</f>
        <v>C-G</v>
      </c>
      <c r="I573" s="4" t="n">
        <f aca="false">(F573="G")+(G573="G")</f>
        <v>1</v>
      </c>
      <c r="J573" s="4" t="n">
        <f aca="false">(F573="C")+(G573="C")</f>
        <v>1</v>
      </c>
      <c r="K573" s="3" t="n">
        <f aca="false">I573+J573</f>
        <v>2</v>
      </c>
    </row>
    <row r="574" customFormat="false" ht="15" hidden="false" customHeight="false" outlineLevel="0" collapsed="false">
      <c r="A574" s="4" t="s">
        <v>57</v>
      </c>
      <c r="B574" s="4" t="s">
        <v>446</v>
      </c>
      <c r="C574" s="4" t="s">
        <v>525</v>
      </c>
      <c r="D574" s="4" t="n">
        <f aca="false">IFERROR(INDEX(Positions!$D$2:$D$6912,MATCH($A574&amp;"|28",Positions!$A$2:$A$6912,0)),"-")</f>
        <v>28</v>
      </c>
      <c r="E574" s="4" t="n">
        <f aca="false">IFERROR(INDEX(Positions!$D$2:$D$6912,MATCH($A574&amp;"|42",Positions!$A$2:$A$6912,0)),"-")</f>
        <v>42</v>
      </c>
      <c r="F574" s="4" t="str">
        <f aca="false">IFERROR(INDEX(Positions!$E$2:$E$6912,MATCH($A574&amp;"|28",Positions!$A$2:$A$6912,0)),"-")</f>
        <v>U</v>
      </c>
      <c r="G574" s="4" t="str">
        <f aca="false">IFERROR(INDEX(Positions!$E$2:$E$6912,MATCH($A574&amp;"|42",Positions!$A$2:$A$6912,0)),"-")</f>
        <v>A</v>
      </c>
      <c r="H574" s="3" t="str">
        <f aca="false">F574&amp;"-"&amp;G574</f>
        <v>U-A</v>
      </c>
      <c r="I574" s="4" t="n">
        <f aca="false">(F574="G")+(G574="G")</f>
        <v>0</v>
      </c>
      <c r="J574" s="4" t="n">
        <f aca="false">(F574="C")+(G574="C")</f>
        <v>0</v>
      </c>
      <c r="K574" s="3" t="n">
        <f aca="false">I574+J574</f>
        <v>0</v>
      </c>
    </row>
    <row r="575" customFormat="false" ht="15" hidden="false" customHeight="false" outlineLevel="0" collapsed="false">
      <c r="A575" s="4" t="s">
        <v>57</v>
      </c>
      <c r="B575" s="4" t="s">
        <v>446</v>
      </c>
      <c r="C575" s="4" t="s">
        <v>256</v>
      </c>
      <c r="D575" s="4" t="n">
        <f aca="false">IFERROR(INDEX(Positions!$D$2:$D$6912,MATCH($A575&amp;"|29",Positions!$A$2:$A$6912,0)),"-")</f>
        <v>29</v>
      </c>
      <c r="E575" s="4" t="n">
        <f aca="false">IFERROR(INDEX(Positions!$D$2:$D$6912,MATCH($A575&amp;"|41",Positions!$A$2:$A$6912,0)),"-")</f>
        <v>41</v>
      </c>
      <c r="F575" s="4" t="str">
        <f aca="false">IFERROR(INDEX(Positions!$E$2:$E$6912,MATCH($A575&amp;"|29",Positions!$A$2:$A$6912,0)),"-")</f>
        <v>C</v>
      </c>
      <c r="G575" s="4" t="str">
        <f aca="false">IFERROR(INDEX(Positions!$E$2:$E$6912,MATCH($A575&amp;"|41",Positions!$A$2:$A$6912,0)),"-")</f>
        <v>G</v>
      </c>
      <c r="H575" s="3" t="str">
        <f aca="false">F575&amp;"-"&amp;G575</f>
        <v>C-G</v>
      </c>
      <c r="I575" s="4" t="n">
        <f aca="false">(F575="G")+(G575="G")</f>
        <v>1</v>
      </c>
      <c r="J575" s="4" t="n">
        <f aca="false">(F575="C")+(G575="C")</f>
        <v>1</v>
      </c>
      <c r="K575" s="3" t="n">
        <f aca="false">I575+J575</f>
        <v>2</v>
      </c>
    </row>
    <row r="576" customFormat="false" ht="15" hidden="false" customHeight="false" outlineLevel="0" collapsed="false">
      <c r="A576" s="4" t="s">
        <v>57</v>
      </c>
      <c r="B576" s="4" t="s">
        <v>446</v>
      </c>
      <c r="C576" s="4" t="s">
        <v>526</v>
      </c>
      <c r="D576" s="4" t="n">
        <f aca="false">IFERROR(INDEX(Positions!$D$2:$D$6912,MATCH($A576&amp;"|30",Positions!$A$2:$A$6912,0)),"-")</f>
        <v>30</v>
      </c>
      <c r="E576" s="4" t="n">
        <f aca="false">IFERROR(INDEX(Positions!$D$2:$D$6912,MATCH($A576&amp;"|40",Positions!$A$2:$A$6912,0)),"-")</f>
        <v>40</v>
      </c>
      <c r="F576" s="4" t="str">
        <f aca="false">IFERROR(INDEX(Positions!$E$2:$E$6912,MATCH($A576&amp;"|30",Positions!$A$2:$A$6912,0)),"-")</f>
        <v>G</v>
      </c>
      <c r="G576" s="4" t="str">
        <f aca="false">IFERROR(INDEX(Positions!$E$2:$E$6912,MATCH($A576&amp;"|40",Positions!$A$2:$A$6912,0)),"-")</f>
        <v>U</v>
      </c>
      <c r="H576" s="3" t="str">
        <f aca="false">F576&amp;"-"&amp;G576</f>
        <v>G-U</v>
      </c>
      <c r="I576" s="4" t="n">
        <f aca="false">(F576="G")+(G576="G")</f>
        <v>1</v>
      </c>
      <c r="J576" s="4" t="n">
        <f aca="false">(F576="C")+(G576="C")</f>
        <v>0</v>
      </c>
      <c r="K576" s="3" t="n">
        <f aca="false">I576+J576</f>
        <v>1</v>
      </c>
    </row>
    <row r="577" customFormat="false" ht="15" hidden="false" customHeight="false" outlineLevel="0" collapsed="false">
      <c r="A577" s="4" t="s">
        <v>57</v>
      </c>
      <c r="B577" s="4" t="s">
        <v>446</v>
      </c>
      <c r="C577" s="4" t="s">
        <v>273</v>
      </c>
      <c r="D577" s="4" t="n">
        <f aca="false">IFERROR(INDEX(Positions!$D$2:$D$6912,MATCH($A577&amp;"|31",Positions!$A$2:$A$6912,0)),"-")</f>
        <v>31</v>
      </c>
      <c r="E577" s="4" t="n">
        <f aca="false">IFERROR(INDEX(Positions!$D$2:$D$6912,MATCH($A577&amp;"|39",Positions!$A$2:$A$6912,0)),"-")</f>
        <v>39</v>
      </c>
      <c r="F577" s="4" t="str">
        <f aca="false">IFERROR(INDEX(Positions!$E$2:$E$6912,MATCH($A577&amp;"|31",Positions!$A$2:$A$6912,0)),"-")</f>
        <v>C</v>
      </c>
      <c r="G577" s="4" t="str">
        <f aca="false">IFERROR(INDEX(Positions!$E$2:$E$6912,MATCH($A577&amp;"|39",Positions!$A$2:$A$6912,0)),"-")</f>
        <v>G</v>
      </c>
      <c r="H577" s="3" t="str">
        <f aca="false">F577&amp;"-"&amp;G577</f>
        <v>C-G</v>
      </c>
      <c r="I577" s="4" t="n">
        <f aca="false">(F577="G")+(G577="G")</f>
        <v>1</v>
      </c>
      <c r="J577" s="4" t="n">
        <f aca="false">(F577="C")+(G577="C")</f>
        <v>1</v>
      </c>
      <c r="K577" s="3" t="n">
        <f aca="false">I577+J577</f>
        <v>2</v>
      </c>
    </row>
    <row r="578" customFormat="false" ht="15" hidden="false" customHeight="false" outlineLevel="0" collapsed="false">
      <c r="A578" s="4" t="s">
        <v>57</v>
      </c>
      <c r="B578" s="4" t="s">
        <v>471</v>
      </c>
      <c r="C578" s="4" t="s">
        <v>367</v>
      </c>
      <c r="D578" s="4" t="n">
        <f aca="false">IFERROR(INDEX(Positions!$D$2:$D$6912,MATCH($A578&amp;"|49",Positions!$A$2:$A$6912,0)),"-")</f>
        <v>49</v>
      </c>
      <c r="E578" s="4" t="n">
        <f aca="false">IFERROR(INDEX(Positions!$D$2:$D$6912,MATCH($A578&amp;"|65",Positions!$A$2:$A$6912,0)),"-")</f>
        <v>65</v>
      </c>
      <c r="F578" s="4" t="str">
        <f aca="false">IFERROR(INDEX(Positions!$E$2:$E$6912,MATCH($A578&amp;"|49",Positions!$A$2:$A$6912,0)),"-")</f>
        <v>C</v>
      </c>
      <c r="G578" s="4" t="str">
        <f aca="false">IFERROR(INDEX(Positions!$E$2:$E$6912,MATCH($A578&amp;"|65",Positions!$A$2:$A$6912,0)),"-")</f>
        <v>G</v>
      </c>
      <c r="H578" s="3" t="str">
        <f aca="false">F578&amp;"-"&amp;G578</f>
        <v>C-G</v>
      </c>
      <c r="I578" s="4" t="n">
        <f aca="false">(F578="G")+(G578="G")</f>
        <v>1</v>
      </c>
      <c r="J578" s="4" t="n">
        <f aca="false">(F578="C")+(G578="C")</f>
        <v>1</v>
      </c>
      <c r="K578" s="3" t="n">
        <f aca="false">I578+J578</f>
        <v>2</v>
      </c>
    </row>
    <row r="579" customFormat="false" ht="15" hidden="false" customHeight="false" outlineLevel="0" collapsed="false">
      <c r="A579" s="4" t="s">
        <v>57</v>
      </c>
      <c r="B579" s="4" t="s">
        <v>471</v>
      </c>
      <c r="C579" s="4" t="s">
        <v>233</v>
      </c>
      <c r="D579" s="4" t="n">
        <f aca="false">IFERROR(INDEX(Positions!$D$2:$D$6912,MATCH($A579&amp;"|50",Positions!$A$2:$A$6912,0)),"-")</f>
        <v>50</v>
      </c>
      <c r="E579" s="4" t="n">
        <f aca="false">IFERROR(INDEX(Positions!$D$2:$D$6912,MATCH($A579&amp;"|64",Positions!$A$2:$A$6912,0)),"-")</f>
        <v>64</v>
      </c>
      <c r="F579" s="4" t="str">
        <f aca="false">IFERROR(INDEX(Positions!$E$2:$E$6912,MATCH($A579&amp;"|50",Positions!$A$2:$A$6912,0)),"-")</f>
        <v>C</v>
      </c>
      <c r="G579" s="4" t="str">
        <f aca="false">IFERROR(INDEX(Positions!$E$2:$E$6912,MATCH($A579&amp;"|64",Positions!$A$2:$A$6912,0)),"-")</f>
        <v>G</v>
      </c>
      <c r="H579" s="3" t="str">
        <f aca="false">F579&amp;"-"&amp;G579</f>
        <v>C-G</v>
      </c>
      <c r="I579" s="4" t="n">
        <f aca="false">(F579="G")+(G579="G")</f>
        <v>1</v>
      </c>
      <c r="J579" s="4" t="n">
        <f aca="false">(F579="C")+(G579="C")</f>
        <v>1</v>
      </c>
      <c r="K579" s="3" t="n">
        <f aca="false">I579+J579</f>
        <v>2</v>
      </c>
    </row>
    <row r="580" customFormat="false" ht="15" hidden="false" customHeight="false" outlineLevel="0" collapsed="false">
      <c r="A580" s="4" t="s">
        <v>57</v>
      </c>
      <c r="B580" s="4" t="s">
        <v>471</v>
      </c>
      <c r="C580" s="4" t="s">
        <v>527</v>
      </c>
      <c r="D580" s="4" t="n">
        <f aca="false">IFERROR(INDEX(Positions!$D$2:$D$6912,MATCH($A580&amp;"|51",Positions!$A$2:$A$6912,0)),"-")</f>
        <v>51</v>
      </c>
      <c r="E580" s="4" t="n">
        <f aca="false">IFERROR(INDEX(Positions!$D$2:$D$6912,MATCH($A580&amp;"|63",Positions!$A$2:$A$6912,0)),"-")</f>
        <v>63</v>
      </c>
      <c r="F580" s="4" t="str">
        <f aca="false">IFERROR(INDEX(Positions!$E$2:$E$6912,MATCH($A580&amp;"|51",Positions!$A$2:$A$6912,0)),"-")</f>
        <v>G</v>
      </c>
      <c r="G580" s="4" t="str">
        <f aca="false">IFERROR(INDEX(Positions!$E$2:$E$6912,MATCH($A580&amp;"|63",Positions!$A$2:$A$6912,0)),"-")</f>
        <v>C</v>
      </c>
      <c r="H580" s="3" t="str">
        <f aca="false">F580&amp;"-"&amp;G580</f>
        <v>G-C</v>
      </c>
      <c r="I580" s="4" t="n">
        <f aca="false">(F580="G")+(G580="G")</f>
        <v>1</v>
      </c>
      <c r="J580" s="4" t="n">
        <f aca="false">(F580="C")+(G580="C")</f>
        <v>1</v>
      </c>
      <c r="K580" s="3" t="n">
        <f aca="false">I580+J580</f>
        <v>2</v>
      </c>
    </row>
    <row r="581" customFormat="false" ht="15" hidden="false" customHeight="false" outlineLevel="0" collapsed="false">
      <c r="A581" s="4" t="s">
        <v>57</v>
      </c>
      <c r="B581" s="4" t="s">
        <v>471</v>
      </c>
      <c r="C581" s="4" t="s">
        <v>528</v>
      </c>
      <c r="D581" s="4" t="n">
        <f aca="false">IFERROR(INDEX(Positions!$D$2:$D$6912,MATCH($A581&amp;"|52",Positions!$A$2:$A$6912,0)),"-")</f>
        <v>52</v>
      </c>
      <c r="E581" s="4" t="n">
        <f aca="false">IFERROR(INDEX(Positions!$D$2:$D$6912,MATCH($A581&amp;"|62",Positions!$A$2:$A$6912,0)),"-")</f>
        <v>62</v>
      </c>
      <c r="F581" s="4" t="str">
        <f aca="false">IFERROR(INDEX(Positions!$E$2:$E$6912,MATCH($A581&amp;"|52",Positions!$A$2:$A$6912,0)),"-")</f>
        <v>G</v>
      </c>
      <c r="G581" s="4" t="str">
        <f aca="false">IFERROR(INDEX(Positions!$E$2:$E$6912,MATCH($A581&amp;"|62",Positions!$A$2:$A$6912,0)),"-")</f>
        <v>C</v>
      </c>
      <c r="H581" s="3" t="str">
        <f aca="false">F581&amp;"-"&amp;G581</f>
        <v>G-C</v>
      </c>
      <c r="I581" s="4" t="n">
        <f aca="false">(F581="G")+(G581="G")</f>
        <v>1</v>
      </c>
      <c r="J581" s="4" t="n">
        <f aca="false">(F581="C")+(G581="C")</f>
        <v>1</v>
      </c>
      <c r="K581" s="3" t="n">
        <f aca="false">I581+J581</f>
        <v>2</v>
      </c>
    </row>
    <row r="582" customFormat="false" ht="15" hidden="false" customHeight="false" outlineLevel="0" collapsed="false">
      <c r="A582" s="4" t="s">
        <v>57</v>
      </c>
      <c r="B582" s="4" t="s">
        <v>471</v>
      </c>
      <c r="C582" s="4" t="s">
        <v>529</v>
      </c>
      <c r="D582" s="4" t="n">
        <f aca="false">IFERROR(INDEX(Positions!$D$2:$D$6912,MATCH($A582&amp;"|53",Positions!$A$2:$A$6912,0)),"-")</f>
        <v>53</v>
      </c>
      <c r="E582" s="4" t="n">
        <f aca="false">IFERROR(INDEX(Positions!$D$2:$D$6912,MATCH($A582&amp;"|61",Positions!$A$2:$A$6912,0)),"-")</f>
        <v>61</v>
      </c>
      <c r="F582" s="4" t="str">
        <f aca="false">IFERROR(INDEX(Positions!$E$2:$E$6912,MATCH($A582&amp;"|53",Positions!$A$2:$A$6912,0)),"-")</f>
        <v>G</v>
      </c>
      <c r="G582" s="4" t="str">
        <f aca="false">IFERROR(INDEX(Positions!$E$2:$E$6912,MATCH($A582&amp;"|61",Positions!$A$2:$A$6912,0)),"-")</f>
        <v>C</v>
      </c>
      <c r="H582" s="3" t="str">
        <f aca="false">F582&amp;"-"&amp;G582</f>
        <v>G-C</v>
      </c>
      <c r="I582" s="4" t="n">
        <f aca="false">(F582="G")+(G582="G")</f>
        <v>1</v>
      </c>
      <c r="J582" s="4" t="n">
        <f aca="false">(F582="C")+(G582="C")</f>
        <v>1</v>
      </c>
      <c r="K582" s="3" t="n">
        <f aca="false">I582+J582</f>
        <v>2</v>
      </c>
    </row>
    <row r="583" customFormat="false" ht="15" hidden="false" customHeight="false" outlineLevel="0" collapsed="false">
      <c r="A583" s="24" t="s">
        <v>57</v>
      </c>
      <c r="B583" s="24" t="s">
        <v>530</v>
      </c>
      <c r="C583" s="24" t="s">
        <v>531</v>
      </c>
      <c r="D583" s="24" t="n">
        <f aca="false">IFERROR(INDEX(Positions!$D$2:$D$6912,MATCH($A583&amp;"|8",Positions!$A$2:$A$6912,0)),"-")</f>
        <v>8</v>
      </c>
      <c r="E583" s="24" t="n">
        <f aca="false">IFERROR(INDEX(Positions!$D$2:$D$6912,MATCH($A583&amp;"|14",Positions!$A$2:$A$6912,0)),"-")</f>
        <v>14</v>
      </c>
      <c r="F583" s="24" t="str">
        <f aca="false">IFERROR(INDEX(Positions!$E$2:$E$6912,MATCH($A583&amp;"|8",Positions!$A$2:$A$6912,0)),"-")</f>
        <v>U</v>
      </c>
      <c r="G583" s="24" t="str">
        <f aca="false">IFERROR(INDEX(Positions!$E$2:$E$6912,MATCH($A583&amp;"|14",Positions!$A$2:$A$6912,0)),"-")</f>
        <v>A</v>
      </c>
      <c r="H583" s="25" t="str">
        <f aca="false">F583&amp;"-"&amp;G583</f>
        <v>U-A</v>
      </c>
      <c r="I583" s="24" t="n">
        <f aca="false">(F583="G")+(G583="G")</f>
        <v>0</v>
      </c>
      <c r="J583" s="24" t="n">
        <f aca="false">(F583="C")+(G583="C")</f>
        <v>0</v>
      </c>
      <c r="K583" s="25" t="n">
        <f aca="false">I583+J583</f>
        <v>0</v>
      </c>
    </row>
    <row r="584" customFormat="false" ht="15" hidden="false" customHeight="false" outlineLevel="0" collapsed="false">
      <c r="A584" s="24" t="s">
        <v>57</v>
      </c>
      <c r="B584" s="24" t="s">
        <v>530</v>
      </c>
      <c r="C584" s="24" t="s">
        <v>532</v>
      </c>
      <c r="D584" s="24" t="n">
        <f aca="false">IFERROR(INDEX(Positions!$D$2:$D$6912,MATCH($A584&amp;"|15",Positions!$A$2:$A$6912,0)),"-")</f>
        <v>15</v>
      </c>
      <c r="E584" s="24" t="n">
        <f aca="false">IFERROR(INDEX(Positions!$D$2:$D$6912,MATCH($A584&amp;"|48",Positions!$A$2:$A$6912,0)),"-")</f>
        <v>48</v>
      </c>
      <c r="F584" s="24" t="str">
        <f aca="false">IFERROR(INDEX(Positions!$E$2:$E$6912,MATCH($A584&amp;"|15",Positions!$A$2:$A$6912,0)),"-")</f>
        <v>G</v>
      </c>
      <c r="G584" s="24" t="str">
        <f aca="false">IFERROR(INDEX(Positions!$E$2:$E$6912,MATCH($A584&amp;"|48",Positions!$A$2:$A$6912,0)),"-")</f>
        <v>A</v>
      </c>
      <c r="H584" s="25" t="str">
        <f aca="false">F584&amp;"-"&amp;G584</f>
        <v>G-A</v>
      </c>
      <c r="I584" s="24" t="n">
        <f aca="false">(F584="G")+(G584="G")</f>
        <v>1</v>
      </c>
      <c r="J584" s="24" t="n">
        <f aca="false">(F584="C")+(G584="C")</f>
        <v>0</v>
      </c>
      <c r="K584" s="25" t="n">
        <f aca="false">I584+J584</f>
        <v>1</v>
      </c>
    </row>
    <row r="585" customFormat="false" ht="15" hidden="false" customHeight="false" outlineLevel="0" collapsed="false">
      <c r="A585" s="24" t="s">
        <v>57</v>
      </c>
      <c r="B585" s="24" t="s">
        <v>530</v>
      </c>
      <c r="C585" s="24" t="s">
        <v>533</v>
      </c>
      <c r="D585" s="24" t="n">
        <f aca="false">IFERROR(INDEX(Positions!$D$2:$D$6912,MATCH($A585&amp;"|18",Positions!$A$2:$A$6912,0)),"-")</f>
        <v>18</v>
      </c>
      <c r="E585" s="24" t="n">
        <f aca="false">IFERROR(INDEX(Positions!$D$2:$D$6912,MATCH($A585&amp;"|55",Positions!$A$2:$A$6912,0)),"-")</f>
        <v>55</v>
      </c>
      <c r="F585" s="24" t="str">
        <f aca="false">IFERROR(INDEX(Positions!$E$2:$E$6912,MATCH($A585&amp;"|18",Positions!$A$2:$A$6912,0)),"-")</f>
        <v>G</v>
      </c>
      <c r="G585" s="24" t="str">
        <f aca="false">IFERROR(INDEX(Positions!$E$2:$E$6912,MATCH($A585&amp;"|55",Positions!$A$2:$A$6912,0)),"-")</f>
        <v>U</v>
      </c>
      <c r="H585" s="25" t="str">
        <f aca="false">F585&amp;"-"&amp;G585</f>
        <v>G-U</v>
      </c>
      <c r="I585" s="24" t="n">
        <f aca="false">(F585="G")+(G585="G")</f>
        <v>1</v>
      </c>
      <c r="J585" s="24" t="n">
        <f aca="false">(F585="C")+(G585="C")</f>
        <v>0</v>
      </c>
      <c r="K585" s="25" t="n">
        <f aca="false">I585+J585</f>
        <v>1</v>
      </c>
    </row>
    <row r="586" customFormat="false" ht="15" hidden="false" customHeight="false" outlineLevel="0" collapsed="false">
      <c r="A586" s="24" t="s">
        <v>57</v>
      </c>
      <c r="B586" s="24" t="s">
        <v>530</v>
      </c>
      <c r="C586" s="24" t="s">
        <v>534</v>
      </c>
      <c r="D586" s="24" t="n">
        <f aca="false">IFERROR(INDEX(Positions!$D$2:$D$6912,MATCH($A586&amp;"|19",Positions!$A$2:$A$6912,0)),"-")</f>
        <v>19</v>
      </c>
      <c r="E586" s="24" t="n">
        <f aca="false">IFERROR(INDEX(Positions!$D$2:$D$6912,MATCH($A586&amp;"|56",Positions!$A$2:$A$6912,0)),"-")</f>
        <v>56</v>
      </c>
      <c r="F586" s="24" t="str">
        <f aca="false">IFERROR(INDEX(Positions!$E$2:$E$6912,MATCH($A586&amp;"|19",Positions!$A$2:$A$6912,0)),"-")</f>
        <v>G</v>
      </c>
      <c r="G586" s="24" t="str">
        <f aca="false">IFERROR(INDEX(Positions!$E$2:$E$6912,MATCH($A586&amp;"|56",Positions!$A$2:$A$6912,0)),"-")</f>
        <v>C</v>
      </c>
      <c r="H586" s="25" t="str">
        <f aca="false">F586&amp;"-"&amp;G586</f>
        <v>G-C</v>
      </c>
      <c r="I586" s="24" t="n">
        <f aca="false">(F586="G")+(G586="G")</f>
        <v>1</v>
      </c>
      <c r="J586" s="24" t="n">
        <f aca="false">(F586="C")+(G586="C")</f>
        <v>1</v>
      </c>
      <c r="K586" s="25" t="n">
        <f aca="false">I586+J586</f>
        <v>2</v>
      </c>
    </row>
    <row r="587" customFormat="false" ht="15" hidden="false" customHeight="false" outlineLevel="0" collapsed="false">
      <c r="A587" s="24" t="s">
        <v>57</v>
      </c>
      <c r="B587" s="24" t="s">
        <v>530</v>
      </c>
      <c r="C587" s="24" t="s">
        <v>535</v>
      </c>
      <c r="D587" s="24" t="n">
        <f aca="false">IFERROR(INDEX(Positions!$D$2:$D$6912,MATCH($A587&amp;"|26",Positions!$A$2:$A$6912,0)),"-")</f>
        <v>26</v>
      </c>
      <c r="E587" s="24" t="n">
        <f aca="false">IFERROR(INDEX(Positions!$D$2:$D$6912,MATCH($A587&amp;"|44",Positions!$A$2:$A$6912,0)),"-")</f>
        <v>44</v>
      </c>
      <c r="F587" s="24" t="str">
        <f aca="false">IFERROR(INDEX(Positions!$E$2:$E$6912,MATCH($A587&amp;"|26",Positions!$A$2:$A$6912,0)),"-")</f>
        <v>G</v>
      </c>
      <c r="G587" s="24" t="str">
        <f aca="false">IFERROR(INDEX(Positions!$E$2:$E$6912,MATCH($A587&amp;"|44",Positions!$A$2:$A$6912,0)),"-")</f>
        <v>A</v>
      </c>
      <c r="H587" s="25" t="str">
        <f aca="false">F587&amp;"-"&amp;G587</f>
        <v>G-A</v>
      </c>
      <c r="I587" s="24" t="n">
        <f aca="false">(F587="G")+(G587="G")</f>
        <v>1</v>
      </c>
      <c r="J587" s="24" t="n">
        <f aca="false">(F587="C")+(G587="C")</f>
        <v>0</v>
      </c>
      <c r="K587" s="25" t="n">
        <f aca="false">I587+J587</f>
        <v>1</v>
      </c>
    </row>
    <row r="588" customFormat="false" ht="15" hidden="false" customHeight="false" outlineLevel="0" collapsed="false">
      <c r="A588" s="24" t="s">
        <v>57</v>
      </c>
      <c r="B588" s="24" t="s">
        <v>530</v>
      </c>
      <c r="C588" s="24" t="s">
        <v>536</v>
      </c>
      <c r="D588" s="24" t="n">
        <f aca="false">IFERROR(INDEX(Positions!$D$2:$D$6912,MATCH($A588&amp;"|32",Positions!$A$2:$A$6912,0)),"-")</f>
        <v>32</v>
      </c>
      <c r="E588" s="24" t="n">
        <f aca="false">IFERROR(INDEX(Positions!$D$2:$D$6912,MATCH($A588&amp;"|38",Positions!$A$2:$A$6912,0)),"-")</f>
        <v>38</v>
      </c>
      <c r="F588" s="24" t="str">
        <f aca="false">IFERROR(INDEX(Positions!$E$2:$E$6912,MATCH($A588&amp;"|32",Positions!$A$2:$A$6912,0)),"-")</f>
        <v>U</v>
      </c>
      <c r="G588" s="24" t="str">
        <f aca="false">IFERROR(INDEX(Positions!$E$2:$E$6912,MATCH($A588&amp;"|38",Positions!$A$2:$A$6912,0)),"-")</f>
        <v>U</v>
      </c>
      <c r="H588" s="25" t="str">
        <f aca="false">F588&amp;"-"&amp;G588</f>
        <v>U-U</v>
      </c>
      <c r="I588" s="24" t="n">
        <f aca="false">(F588="G")+(G588="G")</f>
        <v>0</v>
      </c>
      <c r="J588" s="24" t="n">
        <f aca="false">(F588="C")+(G588="C")</f>
        <v>0</v>
      </c>
      <c r="K588" s="25" t="n">
        <f aca="false">I588+J588</f>
        <v>0</v>
      </c>
    </row>
    <row r="589" customFormat="false" ht="15" hidden="false" customHeight="false" outlineLevel="0" collapsed="false">
      <c r="A589" s="24" t="s">
        <v>57</v>
      </c>
      <c r="B589" s="24" t="s">
        <v>530</v>
      </c>
      <c r="C589" s="24" t="s">
        <v>537</v>
      </c>
      <c r="D589" s="24" t="n">
        <f aca="false">IFERROR(INDEX(Positions!$D$2:$D$6912,MATCH($A589&amp;"|54",Positions!$A$2:$A$6912,0)),"-")</f>
        <v>54</v>
      </c>
      <c r="E589" s="24" t="n">
        <f aca="false">IFERROR(INDEX(Positions!$D$2:$D$6912,MATCH($A589&amp;"|58",Positions!$A$2:$A$6912,0)),"-")</f>
        <v>58</v>
      </c>
      <c r="F589" s="24" t="str">
        <f aca="false">IFERROR(INDEX(Positions!$E$2:$E$6912,MATCH($A589&amp;"|54",Positions!$A$2:$A$6912,0)),"-")</f>
        <v>A</v>
      </c>
      <c r="G589" s="24" t="str">
        <f aca="false">IFERROR(INDEX(Positions!$E$2:$E$6912,MATCH($A589&amp;"|58",Positions!$A$2:$A$6912,0)),"-")</f>
        <v>A</v>
      </c>
      <c r="H589" s="25" t="str">
        <f aca="false">F589&amp;"-"&amp;G589</f>
        <v>A-A</v>
      </c>
      <c r="I589" s="24" t="n">
        <f aca="false">(F589="G")+(G589="G")</f>
        <v>0</v>
      </c>
      <c r="J589" s="24" t="n">
        <f aca="false">(F589="C")+(G589="C")</f>
        <v>0</v>
      </c>
      <c r="K589" s="25" t="n">
        <f aca="false">I589+J589</f>
        <v>0</v>
      </c>
    </row>
    <row r="590" customFormat="false" ht="15" hidden="false" customHeight="false" outlineLevel="0" collapsed="false">
      <c r="A590" s="4" t="s">
        <v>58</v>
      </c>
      <c r="B590" s="4" t="s">
        <v>412</v>
      </c>
      <c r="C590" s="4" t="s">
        <v>517</v>
      </c>
      <c r="D590" s="4" t="n">
        <f aca="false">IFERROR(INDEX(Positions!$D$2:$D$6912,MATCH($A590&amp;"|1",Positions!$A$2:$A$6912,0)),"-")</f>
        <v>1</v>
      </c>
      <c r="E590" s="4" t="n">
        <f aca="false">IFERROR(INDEX(Positions!$D$2:$D$6912,MATCH($A590&amp;"|72",Positions!$A$2:$A$6912,0)),"-")</f>
        <v>72</v>
      </c>
      <c r="F590" s="4" t="str">
        <f aca="false">IFERROR(INDEX(Positions!$E$2:$E$6912,MATCH($A590&amp;"|1",Positions!$A$2:$A$6912,0)),"-")</f>
        <v>G</v>
      </c>
      <c r="G590" s="4" t="str">
        <f aca="false">IFERROR(INDEX(Positions!$E$2:$E$6912,MATCH($A590&amp;"|72",Positions!$A$2:$A$6912,0)),"-")</f>
        <v>C</v>
      </c>
      <c r="H590" s="3" t="str">
        <f aca="false">F590&amp;"-"&amp;G590</f>
        <v>G-C</v>
      </c>
      <c r="I590" s="4" t="n">
        <f aca="false">(F590="G")+(G590="G")</f>
        <v>1</v>
      </c>
      <c r="J590" s="4" t="n">
        <f aca="false">(F590="C")+(G590="C")</f>
        <v>1</v>
      </c>
      <c r="K590" s="3" t="n">
        <f aca="false">I590+J590</f>
        <v>2</v>
      </c>
    </row>
    <row r="591" customFormat="false" ht="15" hidden="false" customHeight="false" outlineLevel="0" collapsed="false">
      <c r="A591" s="4" t="s">
        <v>58</v>
      </c>
      <c r="B591" s="4" t="s">
        <v>412</v>
      </c>
      <c r="C591" s="4" t="s">
        <v>518</v>
      </c>
      <c r="D591" s="4" t="n">
        <f aca="false">IFERROR(INDEX(Positions!$D$2:$D$6912,MATCH($A591&amp;"|2",Positions!$A$2:$A$6912,0)),"-")</f>
        <v>2</v>
      </c>
      <c r="E591" s="4" t="n">
        <f aca="false">IFERROR(INDEX(Positions!$D$2:$D$6912,MATCH($A591&amp;"|71",Positions!$A$2:$A$6912,0)),"-")</f>
        <v>71</v>
      </c>
      <c r="F591" s="4" t="str">
        <f aca="false">IFERROR(INDEX(Positions!$E$2:$E$6912,MATCH($A591&amp;"|2",Positions!$A$2:$A$6912,0)),"-")</f>
        <v>G</v>
      </c>
      <c r="G591" s="4" t="str">
        <f aca="false">IFERROR(INDEX(Positions!$E$2:$E$6912,MATCH($A591&amp;"|71",Positions!$A$2:$A$6912,0)),"-")</f>
        <v>C</v>
      </c>
      <c r="H591" s="3" t="str">
        <f aca="false">F591&amp;"-"&amp;G591</f>
        <v>G-C</v>
      </c>
      <c r="I591" s="4" t="n">
        <f aca="false">(F591="G")+(G591="G")</f>
        <v>1</v>
      </c>
      <c r="J591" s="4" t="n">
        <f aca="false">(F591="C")+(G591="C")</f>
        <v>1</v>
      </c>
      <c r="K591" s="3" t="n">
        <f aca="false">I591+J591</f>
        <v>2</v>
      </c>
    </row>
    <row r="592" customFormat="false" ht="15" hidden="false" customHeight="false" outlineLevel="0" collapsed="false">
      <c r="A592" s="4" t="s">
        <v>58</v>
      </c>
      <c r="B592" s="4" t="s">
        <v>412</v>
      </c>
      <c r="C592" s="4" t="s">
        <v>386</v>
      </c>
      <c r="D592" s="4" t="n">
        <f aca="false">IFERROR(INDEX(Positions!$D$2:$D$6912,MATCH($A592&amp;"|3",Positions!$A$2:$A$6912,0)),"-")</f>
        <v>3</v>
      </c>
      <c r="E592" s="4" t="n">
        <f aca="false">IFERROR(INDEX(Positions!$D$2:$D$6912,MATCH($A592&amp;"|70",Positions!$A$2:$A$6912,0)),"-")</f>
        <v>70</v>
      </c>
      <c r="F592" s="4" t="str">
        <f aca="false">IFERROR(INDEX(Positions!$E$2:$E$6912,MATCH($A592&amp;"|3",Positions!$A$2:$A$6912,0)),"-")</f>
        <v>G</v>
      </c>
      <c r="G592" s="4" t="str">
        <f aca="false">IFERROR(INDEX(Positions!$E$2:$E$6912,MATCH($A592&amp;"|70",Positions!$A$2:$A$6912,0)),"-")</f>
        <v>U</v>
      </c>
      <c r="H592" s="3" t="str">
        <f aca="false">F592&amp;"-"&amp;G592</f>
        <v>G-U</v>
      </c>
      <c r="I592" s="4" t="n">
        <f aca="false">(F592="G")+(G592="G")</f>
        <v>1</v>
      </c>
      <c r="J592" s="4" t="n">
        <f aca="false">(F592="C")+(G592="C")</f>
        <v>0</v>
      </c>
      <c r="K592" s="3" t="n">
        <f aca="false">I592+J592</f>
        <v>1</v>
      </c>
    </row>
    <row r="593" customFormat="false" ht="15" hidden="false" customHeight="false" outlineLevel="0" collapsed="false">
      <c r="A593" s="4" t="s">
        <v>58</v>
      </c>
      <c r="B593" s="4" t="s">
        <v>412</v>
      </c>
      <c r="C593" s="4" t="s">
        <v>519</v>
      </c>
      <c r="D593" s="4" t="n">
        <f aca="false">IFERROR(INDEX(Positions!$D$2:$D$6912,MATCH($A593&amp;"|4",Positions!$A$2:$A$6912,0)),"-")</f>
        <v>4</v>
      </c>
      <c r="E593" s="4" t="n">
        <f aca="false">IFERROR(INDEX(Positions!$D$2:$D$6912,MATCH($A593&amp;"|69",Positions!$A$2:$A$6912,0)),"-")</f>
        <v>69</v>
      </c>
      <c r="F593" s="4" t="str">
        <f aca="false">IFERROR(INDEX(Positions!$E$2:$E$6912,MATCH($A593&amp;"|4",Positions!$A$2:$A$6912,0)),"-")</f>
        <v>G</v>
      </c>
      <c r="G593" s="4" t="str">
        <f aca="false">IFERROR(INDEX(Positions!$E$2:$E$6912,MATCH($A593&amp;"|69",Positions!$A$2:$A$6912,0)),"-")</f>
        <v>C</v>
      </c>
      <c r="H593" s="3" t="str">
        <f aca="false">F593&amp;"-"&amp;G593</f>
        <v>G-C</v>
      </c>
      <c r="I593" s="4" t="n">
        <f aca="false">(F593="G")+(G593="G")</f>
        <v>1</v>
      </c>
      <c r="J593" s="4" t="n">
        <f aca="false">(F593="C")+(G593="C")</f>
        <v>1</v>
      </c>
      <c r="K593" s="3" t="n">
        <f aca="false">I593+J593</f>
        <v>2</v>
      </c>
    </row>
    <row r="594" customFormat="false" ht="15" hidden="false" customHeight="false" outlineLevel="0" collapsed="false">
      <c r="A594" s="4" t="s">
        <v>58</v>
      </c>
      <c r="B594" s="4" t="s">
        <v>412</v>
      </c>
      <c r="C594" s="4" t="s">
        <v>283</v>
      </c>
      <c r="D594" s="4" t="n">
        <f aca="false">IFERROR(INDEX(Positions!$D$2:$D$6912,MATCH($A594&amp;"|5",Positions!$A$2:$A$6912,0)),"-")</f>
        <v>5</v>
      </c>
      <c r="E594" s="4" t="n">
        <f aca="false">IFERROR(INDEX(Positions!$D$2:$D$6912,MATCH($A594&amp;"|68",Positions!$A$2:$A$6912,0)),"-")</f>
        <v>68</v>
      </c>
      <c r="F594" s="4" t="str">
        <f aca="false">IFERROR(INDEX(Positions!$E$2:$E$6912,MATCH($A594&amp;"|5",Positions!$A$2:$A$6912,0)),"-")</f>
        <v>G</v>
      </c>
      <c r="G594" s="4" t="str">
        <f aca="false">IFERROR(INDEX(Positions!$E$2:$E$6912,MATCH($A594&amp;"|68",Positions!$A$2:$A$6912,0)),"-")</f>
        <v>C</v>
      </c>
      <c r="H594" s="3" t="str">
        <f aca="false">F594&amp;"-"&amp;G594</f>
        <v>G-C</v>
      </c>
      <c r="I594" s="4" t="n">
        <f aca="false">(F594="G")+(G594="G")</f>
        <v>1</v>
      </c>
      <c r="J594" s="4" t="n">
        <f aca="false">(F594="C")+(G594="C")</f>
        <v>1</v>
      </c>
      <c r="K594" s="3" t="n">
        <f aca="false">I594+J594</f>
        <v>2</v>
      </c>
    </row>
    <row r="595" customFormat="false" ht="15" hidden="false" customHeight="false" outlineLevel="0" collapsed="false">
      <c r="A595" s="4" t="s">
        <v>58</v>
      </c>
      <c r="B595" s="4" t="s">
        <v>412</v>
      </c>
      <c r="C595" s="4" t="s">
        <v>520</v>
      </c>
      <c r="D595" s="4" t="n">
        <f aca="false">IFERROR(INDEX(Positions!$D$2:$D$6912,MATCH($A595&amp;"|6",Positions!$A$2:$A$6912,0)),"-")</f>
        <v>6</v>
      </c>
      <c r="E595" s="4" t="n">
        <f aca="false">IFERROR(INDEX(Positions!$D$2:$D$6912,MATCH($A595&amp;"|67",Positions!$A$2:$A$6912,0)),"-")</f>
        <v>67</v>
      </c>
      <c r="F595" s="4" t="str">
        <f aca="false">IFERROR(INDEX(Positions!$E$2:$E$6912,MATCH($A595&amp;"|6",Positions!$A$2:$A$6912,0)),"-")</f>
        <v>C</v>
      </c>
      <c r="G595" s="4" t="str">
        <f aca="false">IFERROR(INDEX(Positions!$E$2:$E$6912,MATCH($A595&amp;"|67",Positions!$A$2:$A$6912,0)),"-")</f>
        <v>G</v>
      </c>
      <c r="H595" s="3" t="str">
        <f aca="false">F595&amp;"-"&amp;G595</f>
        <v>C-G</v>
      </c>
      <c r="I595" s="4" t="n">
        <f aca="false">(F595="G")+(G595="G")</f>
        <v>1</v>
      </c>
      <c r="J595" s="4" t="n">
        <f aca="false">(F595="C")+(G595="C")</f>
        <v>1</v>
      </c>
      <c r="K595" s="3" t="n">
        <f aca="false">I595+J595</f>
        <v>2</v>
      </c>
    </row>
    <row r="596" customFormat="false" ht="15" hidden="false" customHeight="false" outlineLevel="0" collapsed="false">
      <c r="A596" s="4" t="s">
        <v>58</v>
      </c>
      <c r="B596" s="4" t="s">
        <v>412</v>
      </c>
      <c r="C596" s="4" t="s">
        <v>521</v>
      </c>
      <c r="D596" s="4" t="n">
        <f aca="false">IFERROR(INDEX(Positions!$D$2:$D$6912,MATCH($A596&amp;"|7",Positions!$A$2:$A$6912,0)),"-")</f>
        <v>7</v>
      </c>
      <c r="E596" s="4" t="n">
        <f aca="false">IFERROR(INDEX(Positions!$D$2:$D$6912,MATCH($A596&amp;"|66",Positions!$A$2:$A$6912,0)),"-")</f>
        <v>66</v>
      </c>
      <c r="F596" s="4" t="str">
        <f aca="false">IFERROR(INDEX(Positions!$E$2:$E$6912,MATCH($A596&amp;"|7",Positions!$A$2:$A$6912,0)),"-")</f>
        <v>G</v>
      </c>
      <c r="G596" s="4" t="str">
        <f aca="false">IFERROR(INDEX(Positions!$E$2:$E$6912,MATCH($A596&amp;"|66",Positions!$A$2:$A$6912,0)),"-")</f>
        <v>C</v>
      </c>
      <c r="H596" s="3" t="str">
        <f aca="false">F596&amp;"-"&amp;G596</f>
        <v>G-C</v>
      </c>
      <c r="I596" s="4" t="n">
        <f aca="false">(F596="G")+(G596="G")</f>
        <v>1</v>
      </c>
      <c r="J596" s="4" t="n">
        <f aca="false">(F596="C")+(G596="C")</f>
        <v>1</v>
      </c>
      <c r="K596" s="3" t="n">
        <f aca="false">I596+J596</f>
        <v>2</v>
      </c>
    </row>
    <row r="597" customFormat="false" ht="15" hidden="false" customHeight="false" outlineLevel="0" collapsed="false">
      <c r="A597" s="4" t="s">
        <v>58</v>
      </c>
      <c r="B597" s="4" t="s">
        <v>425</v>
      </c>
      <c r="C597" s="4" t="s">
        <v>522</v>
      </c>
      <c r="D597" s="4" t="n">
        <f aca="false">IFERROR(INDEX(Positions!$D$2:$D$6912,MATCH($A597&amp;"|10",Positions!$A$2:$A$6912,0)),"-")</f>
        <v>10</v>
      </c>
      <c r="E597" s="4" t="n">
        <f aca="false">IFERROR(INDEX(Positions!$D$2:$D$6912,MATCH($A597&amp;"|25",Positions!$A$2:$A$6912,0)),"-")</f>
        <v>25</v>
      </c>
      <c r="F597" s="4" t="str">
        <f aca="false">IFERROR(INDEX(Positions!$E$2:$E$6912,MATCH($A597&amp;"|10",Positions!$A$2:$A$6912,0)),"-")</f>
        <v>G</v>
      </c>
      <c r="G597" s="4" t="str">
        <f aca="false">IFERROR(INDEX(Positions!$E$2:$E$6912,MATCH($A597&amp;"|25",Positions!$A$2:$A$6912,0)),"-")</f>
        <v>C</v>
      </c>
      <c r="H597" s="3" t="str">
        <f aca="false">F597&amp;"-"&amp;G597</f>
        <v>G-C</v>
      </c>
      <c r="I597" s="4" t="n">
        <f aca="false">(F597="G")+(G597="G")</f>
        <v>1</v>
      </c>
      <c r="J597" s="4" t="n">
        <f aca="false">(F597="C")+(G597="C")</f>
        <v>1</v>
      </c>
      <c r="K597" s="3" t="n">
        <f aca="false">I597+J597</f>
        <v>2</v>
      </c>
    </row>
    <row r="598" customFormat="false" ht="15" hidden="false" customHeight="false" outlineLevel="0" collapsed="false">
      <c r="A598" s="4" t="s">
        <v>58</v>
      </c>
      <c r="B598" s="4" t="s">
        <v>425</v>
      </c>
      <c r="C598" s="4" t="s">
        <v>523</v>
      </c>
      <c r="D598" s="4" t="n">
        <f aca="false">IFERROR(INDEX(Positions!$D$2:$D$6912,MATCH($A598&amp;"|11",Positions!$A$2:$A$6912,0)),"-")</f>
        <v>11</v>
      </c>
      <c r="E598" s="4" t="n">
        <f aca="false">IFERROR(INDEX(Positions!$D$2:$D$6912,MATCH($A598&amp;"|24",Positions!$A$2:$A$6912,0)),"-")</f>
        <v>24</v>
      </c>
      <c r="F598" s="4" t="str">
        <f aca="false">IFERROR(INDEX(Positions!$E$2:$E$6912,MATCH($A598&amp;"|11",Positions!$A$2:$A$6912,0)),"-")</f>
        <v>C</v>
      </c>
      <c r="G598" s="4" t="str">
        <f aca="false">IFERROR(INDEX(Positions!$E$2:$E$6912,MATCH($A598&amp;"|24",Positions!$A$2:$A$6912,0)),"-")</f>
        <v>G</v>
      </c>
      <c r="H598" s="3" t="str">
        <f aca="false">F598&amp;"-"&amp;G598</f>
        <v>C-G</v>
      </c>
      <c r="I598" s="4" t="n">
        <f aca="false">(F598="G")+(G598="G")</f>
        <v>1</v>
      </c>
      <c r="J598" s="4" t="n">
        <f aca="false">(F598="C")+(G598="C")</f>
        <v>1</v>
      </c>
      <c r="K598" s="3" t="n">
        <f aca="false">I598+J598</f>
        <v>2</v>
      </c>
    </row>
    <row r="599" customFormat="false" ht="15" hidden="false" customHeight="false" outlineLevel="0" collapsed="false">
      <c r="A599" s="4" t="s">
        <v>58</v>
      </c>
      <c r="B599" s="4" t="s">
        <v>425</v>
      </c>
      <c r="C599" s="4" t="s">
        <v>250</v>
      </c>
      <c r="D599" s="4" t="n">
        <f aca="false">IFERROR(INDEX(Positions!$D$2:$D$6912,MATCH($A599&amp;"|12",Positions!$A$2:$A$6912,0)),"-")</f>
        <v>12</v>
      </c>
      <c r="E599" s="4" t="n">
        <f aca="false">IFERROR(INDEX(Positions!$D$2:$D$6912,MATCH($A599&amp;"|23",Positions!$A$2:$A$6912,0)),"-")</f>
        <v>23</v>
      </c>
      <c r="F599" s="4" t="str">
        <f aca="false">IFERROR(INDEX(Positions!$E$2:$E$6912,MATCH($A599&amp;"|12",Positions!$A$2:$A$6912,0)),"-")</f>
        <v>U</v>
      </c>
      <c r="G599" s="4" t="str">
        <f aca="false">IFERROR(INDEX(Positions!$E$2:$E$6912,MATCH($A599&amp;"|23",Positions!$A$2:$A$6912,0)),"-")</f>
        <v>A</v>
      </c>
      <c r="H599" s="3" t="str">
        <f aca="false">F599&amp;"-"&amp;G599</f>
        <v>U-A</v>
      </c>
      <c r="I599" s="4" t="n">
        <f aca="false">(F599="G")+(G599="G")</f>
        <v>0</v>
      </c>
      <c r="J599" s="4" t="n">
        <f aca="false">(F599="C")+(G599="C")</f>
        <v>0</v>
      </c>
      <c r="K599" s="3" t="n">
        <f aca="false">I599+J599</f>
        <v>0</v>
      </c>
    </row>
    <row r="600" customFormat="false" ht="15" hidden="false" customHeight="false" outlineLevel="0" collapsed="false">
      <c r="A600" s="4" t="s">
        <v>58</v>
      </c>
      <c r="B600" s="4" t="s">
        <v>425</v>
      </c>
      <c r="C600" s="4" t="s">
        <v>154</v>
      </c>
      <c r="D600" s="4" t="n">
        <f aca="false">IFERROR(INDEX(Positions!$D$2:$D$6912,MATCH($A600&amp;"|13",Positions!$A$2:$A$6912,0)),"-")</f>
        <v>13</v>
      </c>
      <c r="E600" s="4" t="n">
        <f aca="false">IFERROR(INDEX(Positions!$D$2:$D$6912,MATCH($A600&amp;"|22",Positions!$A$2:$A$6912,0)),"-")</f>
        <v>22</v>
      </c>
      <c r="F600" s="4" t="str">
        <f aca="false">IFERROR(INDEX(Positions!$E$2:$E$6912,MATCH($A600&amp;"|13",Positions!$A$2:$A$6912,0)),"-")</f>
        <v>C</v>
      </c>
      <c r="G600" s="4" t="str">
        <f aca="false">IFERROR(INDEX(Positions!$E$2:$E$6912,MATCH($A600&amp;"|22",Positions!$A$2:$A$6912,0)),"-")</f>
        <v>G</v>
      </c>
      <c r="H600" s="3" t="str">
        <f aca="false">F600&amp;"-"&amp;G600</f>
        <v>C-G</v>
      </c>
      <c r="I600" s="4" t="n">
        <f aca="false">(F600="G")+(G600="G")</f>
        <v>1</v>
      </c>
      <c r="J600" s="4" t="n">
        <f aca="false">(F600="C")+(G600="C")</f>
        <v>1</v>
      </c>
      <c r="K600" s="3" t="n">
        <f aca="false">I600+J600</f>
        <v>2</v>
      </c>
    </row>
    <row r="601" customFormat="false" ht="15" hidden="false" customHeight="false" outlineLevel="0" collapsed="false">
      <c r="A601" s="4" t="s">
        <v>58</v>
      </c>
      <c r="B601" s="4" t="s">
        <v>446</v>
      </c>
      <c r="C601" s="4" t="s">
        <v>524</v>
      </c>
      <c r="D601" s="4" t="n">
        <f aca="false">IFERROR(INDEX(Positions!$D$2:$D$6912,MATCH($A601&amp;"|27",Positions!$A$2:$A$6912,0)),"-")</f>
        <v>27</v>
      </c>
      <c r="E601" s="4" t="n">
        <f aca="false">IFERROR(INDEX(Positions!$D$2:$D$6912,MATCH($A601&amp;"|43",Positions!$A$2:$A$6912,0)),"-")</f>
        <v>43</v>
      </c>
      <c r="F601" s="4" t="str">
        <f aca="false">IFERROR(INDEX(Positions!$E$2:$E$6912,MATCH($A601&amp;"|27",Positions!$A$2:$A$6912,0)),"-")</f>
        <v>C</v>
      </c>
      <c r="G601" s="4" t="str">
        <f aca="false">IFERROR(INDEX(Positions!$E$2:$E$6912,MATCH($A601&amp;"|43",Positions!$A$2:$A$6912,0)),"-")</f>
        <v>G</v>
      </c>
      <c r="H601" s="3" t="str">
        <f aca="false">F601&amp;"-"&amp;G601</f>
        <v>C-G</v>
      </c>
      <c r="I601" s="4" t="n">
        <f aca="false">(F601="G")+(G601="G")</f>
        <v>1</v>
      </c>
      <c r="J601" s="4" t="n">
        <f aca="false">(F601="C")+(G601="C")</f>
        <v>1</v>
      </c>
      <c r="K601" s="3" t="n">
        <f aca="false">I601+J601</f>
        <v>2</v>
      </c>
    </row>
    <row r="602" customFormat="false" ht="15" hidden="false" customHeight="false" outlineLevel="0" collapsed="false">
      <c r="A602" s="4" t="s">
        <v>58</v>
      </c>
      <c r="B602" s="4" t="s">
        <v>446</v>
      </c>
      <c r="C602" s="4" t="s">
        <v>525</v>
      </c>
      <c r="D602" s="4" t="n">
        <f aca="false">IFERROR(INDEX(Positions!$D$2:$D$6912,MATCH($A602&amp;"|28",Positions!$A$2:$A$6912,0)),"-")</f>
        <v>28</v>
      </c>
      <c r="E602" s="4" t="n">
        <f aca="false">IFERROR(INDEX(Positions!$D$2:$D$6912,MATCH($A602&amp;"|42",Positions!$A$2:$A$6912,0)),"-")</f>
        <v>42</v>
      </c>
      <c r="F602" s="4" t="str">
        <f aca="false">IFERROR(INDEX(Positions!$E$2:$E$6912,MATCH($A602&amp;"|28",Positions!$A$2:$A$6912,0)),"-")</f>
        <v>U</v>
      </c>
      <c r="G602" s="4" t="str">
        <f aca="false">IFERROR(INDEX(Positions!$E$2:$E$6912,MATCH($A602&amp;"|42",Positions!$A$2:$A$6912,0)),"-")</f>
        <v>A</v>
      </c>
      <c r="H602" s="3" t="str">
        <f aca="false">F602&amp;"-"&amp;G602</f>
        <v>U-A</v>
      </c>
      <c r="I602" s="4" t="n">
        <f aca="false">(F602="G")+(G602="G")</f>
        <v>0</v>
      </c>
      <c r="J602" s="4" t="n">
        <f aca="false">(F602="C")+(G602="C")</f>
        <v>0</v>
      </c>
      <c r="K602" s="3" t="n">
        <f aca="false">I602+J602</f>
        <v>0</v>
      </c>
    </row>
    <row r="603" customFormat="false" ht="15" hidden="false" customHeight="false" outlineLevel="0" collapsed="false">
      <c r="A603" s="4" t="s">
        <v>58</v>
      </c>
      <c r="B603" s="4" t="s">
        <v>446</v>
      </c>
      <c r="C603" s="4" t="s">
        <v>256</v>
      </c>
      <c r="D603" s="4" t="n">
        <f aca="false">IFERROR(INDEX(Positions!$D$2:$D$6912,MATCH($A603&amp;"|29",Positions!$A$2:$A$6912,0)),"-")</f>
        <v>29</v>
      </c>
      <c r="E603" s="4" t="n">
        <f aca="false">IFERROR(INDEX(Positions!$D$2:$D$6912,MATCH($A603&amp;"|41",Positions!$A$2:$A$6912,0)),"-")</f>
        <v>41</v>
      </c>
      <c r="F603" s="4" t="str">
        <f aca="false">IFERROR(INDEX(Positions!$E$2:$E$6912,MATCH($A603&amp;"|29",Positions!$A$2:$A$6912,0)),"-")</f>
        <v>C</v>
      </c>
      <c r="G603" s="4" t="str">
        <f aca="false">IFERROR(INDEX(Positions!$E$2:$E$6912,MATCH($A603&amp;"|41",Positions!$A$2:$A$6912,0)),"-")</f>
        <v>G</v>
      </c>
      <c r="H603" s="3" t="str">
        <f aca="false">F603&amp;"-"&amp;G603</f>
        <v>C-G</v>
      </c>
      <c r="I603" s="4" t="n">
        <f aca="false">(F603="G")+(G603="G")</f>
        <v>1</v>
      </c>
      <c r="J603" s="4" t="n">
        <f aca="false">(F603="C")+(G603="C")</f>
        <v>1</v>
      </c>
      <c r="K603" s="3" t="n">
        <f aca="false">I603+J603</f>
        <v>2</v>
      </c>
    </row>
    <row r="604" customFormat="false" ht="15" hidden="false" customHeight="false" outlineLevel="0" collapsed="false">
      <c r="A604" s="4" t="s">
        <v>58</v>
      </c>
      <c r="B604" s="4" t="s">
        <v>446</v>
      </c>
      <c r="C604" s="4" t="s">
        <v>526</v>
      </c>
      <c r="D604" s="4" t="n">
        <f aca="false">IFERROR(INDEX(Positions!$D$2:$D$6912,MATCH($A604&amp;"|30",Positions!$A$2:$A$6912,0)),"-")</f>
        <v>30</v>
      </c>
      <c r="E604" s="4" t="n">
        <f aca="false">IFERROR(INDEX(Positions!$D$2:$D$6912,MATCH($A604&amp;"|40",Positions!$A$2:$A$6912,0)),"-")</f>
        <v>40</v>
      </c>
      <c r="F604" s="4" t="str">
        <f aca="false">IFERROR(INDEX(Positions!$E$2:$E$6912,MATCH($A604&amp;"|30",Positions!$A$2:$A$6912,0)),"-")</f>
        <v>G</v>
      </c>
      <c r="G604" s="4" t="str">
        <f aca="false">IFERROR(INDEX(Positions!$E$2:$E$6912,MATCH($A604&amp;"|40",Positions!$A$2:$A$6912,0)),"-")</f>
        <v>C</v>
      </c>
      <c r="H604" s="3" t="str">
        <f aca="false">F604&amp;"-"&amp;G604</f>
        <v>G-C</v>
      </c>
      <c r="I604" s="4" t="n">
        <f aca="false">(F604="G")+(G604="G")</f>
        <v>1</v>
      </c>
      <c r="J604" s="4" t="n">
        <f aca="false">(F604="C")+(G604="C")</f>
        <v>1</v>
      </c>
      <c r="K604" s="3" t="n">
        <f aca="false">I604+J604</f>
        <v>2</v>
      </c>
    </row>
    <row r="605" customFormat="false" ht="15" hidden="false" customHeight="false" outlineLevel="0" collapsed="false">
      <c r="A605" s="4" t="s">
        <v>58</v>
      </c>
      <c r="B605" s="4" t="s">
        <v>446</v>
      </c>
      <c r="C605" s="4" t="s">
        <v>273</v>
      </c>
      <c r="D605" s="4" t="n">
        <f aca="false">IFERROR(INDEX(Positions!$D$2:$D$6912,MATCH($A605&amp;"|31",Positions!$A$2:$A$6912,0)),"-")</f>
        <v>31</v>
      </c>
      <c r="E605" s="4" t="n">
        <f aca="false">IFERROR(INDEX(Positions!$D$2:$D$6912,MATCH($A605&amp;"|39",Positions!$A$2:$A$6912,0)),"-")</f>
        <v>39</v>
      </c>
      <c r="F605" s="4" t="str">
        <f aca="false">IFERROR(INDEX(Positions!$E$2:$E$6912,MATCH($A605&amp;"|31",Positions!$A$2:$A$6912,0)),"-")</f>
        <v>C</v>
      </c>
      <c r="G605" s="4" t="str">
        <f aca="false">IFERROR(INDEX(Positions!$E$2:$E$6912,MATCH($A605&amp;"|39",Positions!$A$2:$A$6912,0)),"-")</f>
        <v>G</v>
      </c>
      <c r="H605" s="3" t="str">
        <f aca="false">F605&amp;"-"&amp;G605</f>
        <v>C-G</v>
      </c>
      <c r="I605" s="4" t="n">
        <f aca="false">(F605="G")+(G605="G")</f>
        <v>1</v>
      </c>
      <c r="J605" s="4" t="n">
        <f aca="false">(F605="C")+(G605="C")</f>
        <v>1</v>
      </c>
      <c r="K605" s="3" t="n">
        <f aca="false">I605+J605</f>
        <v>2</v>
      </c>
    </row>
    <row r="606" customFormat="false" ht="15" hidden="false" customHeight="false" outlineLevel="0" collapsed="false">
      <c r="A606" s="4" t="s">
        <v>58</v>
      </c>
      <c r="B606" s="4" t="s">
        <v>471</v>
      </c>
      <c r="C606" s="4" t="s">
        <v>367</v>
      </c>
      <c r="D606" s="4" t="n">
        <f aca="false">IFERROR(INDEX(Positions!$D$2:$D$6912,MATCH($A606&amp;"|49",Positions!$A$2:$A$6912,0)),"-")</f>
        <v>49</v>
      </c>
      <c r="E606" s="4" t="n">
        <f aca="false">IFERROR(INDEX(Positions!$D$2:$D$6912,MATCH($A606&amp;"|65",Positions!$A$2:$A$6912,0)),"-")</f>
        <v>65</v>
      </c>
      <c r="F606" s="4" t="str">
        <f aca="false">IFERROR(INDEX(Positions!$E$2:$E$6912,MATCH($A606&amp;"|49",Positions!$A$2:$A$6912,0)),"-")</f>
        <v>C</v>
      </c>
      <c r="G606" s="4" t="str">
        <f aca="false">IFERROR(INDEX(Positions!$E$2:$E$6912,MATCH($A606&amp;"|65",Positions!$A$2:$A$6912,0)),"-")</f>
        <v>G</v>
      </c>
      <c r="H606" s="3" t="str">
        <f aca="false">F606&amp;"-"&amp;G606</f>
        <v>C-G</v>
      </c>
      <c r="I606" s="4" t="n">
        <f aca="false">(F606="G")+(G606="G")</f>
        <v>1</v>
      </c>
      <c r="J606" s="4" t="n">
        <f aca="false">(F606="C")+(G606="C")</f>
        <v>1</v>
      </c>
      <c r="K606" s="3" t="n">
        <f aca="false">I606+J606</f>
        <v>2</v>
      </c>
    </row>
    <row r="607" customFormat="false" ht="15" hidden="false" customHeight="false" outlineLevel="0" collapsed="false">
      <c r="A607" s="4" t="s">
        <v>58</v>
      </c>
      <c r="B607" s="4" t="s">
        <v>471</v>
      </c>
      <c r="C607" s="4" t="s">
        <v>233</v>
      </c>
      <c r="D607" s="4" t="n">
        <f aca="false">IFERROR(INDEX(Positions!$D$2:$D$6912,MATCH($A607&amp;"|50",Positions!$A$2:$A$6912,0)),"-")</f>
        <v>50</v>
      </c>
      <c r="E607" s="4" t="n">
        <f aca="false">IFERROR(INDEX(Positions!$D$2:$D$6912,MATCH($A607&amp;"|64",Positions!$A$2:$A$6912,0)),"-")</f>
        <v>64</v>
      </c>
      <c r="F607" s="4" t="str">
        <f aca="false">IFERROR(INDEX(Positions!$E$2:$E$6912,MATCH($A607&amp;"|50",Positions!$A$2:$A$6912,0)),"-")</f>
        <v>C</v>
      </c>
      <c r="G607" s="4" t="str">
        <f aca="false">IFERROR(INDEX(Positions!$E$2:$E$6912,MATCH($A607&amp;"|64",Positions!$A$2:$A$6912,0)),"-")</f>
        <v>G</v>
      </c>
      <c r="H607" s="3" t="str">
        <f aca="false">F607&amp;"-"&amp;G607</f>
        <v>C-G</v>
      </c>
      <c r="I607" s="4" t="n">
        <f aca="false">(F607="G")+(G607="G")</f>
        <v>1</v>
      </c>
      <c r="J607" s="4" t="n">
        <f aca="false">(F607="C")+(G607="C")</f>
        <v>1</v>
      </c>
      <c r="K607" s="3" t="n">
        <f aca="false">I607+J607</f>
        <v>2</v>
      </c>
    </row>
    <row r="608" customFormat="false" ht="15" hidden="false" customHeight="false" outlineLevel="0" collapsed="false">
      <c r="A608" s="4" t="s">
        <v>58</v>
      </c>
      <c r="B608" s="4" t="s">
        <v>471</v>
      </c>
      <c r="C608" s="4" t="s">
        <v>527</v>
      </c>
      <c r="D608" s="4" t="n">
        <f aca="false">IFERROR(INDEX(Positions!$D$2:$D$6912,MATCH($A608&amp;"|51",Positions!$A$2:$A$6912,0)),"-")</f>
        <v>51</v>
      </c>
      <c r="E608" s="4" t="n">
        <f aca="false">IFERROR(INDEX(Positions!$D$2:$D$6912,MATCH($A608&amp;"|63",Positions!$A$2:$A$6912,0)),"-")</f>
        <v>63</v>
      </c>
      <c r="F608" s="4" t="str">
        <f aca="false">IFERROR(INDEX(Positions!$E$2:$E$6912,MATCH($A608&amp;"|51",Positions!$A$2:$A$6912,0)),"-")</f>
        <v>G</v>
      </c>
      <c r="G608" s="4" t="str">
        <f aca="false">IFERROR(INDEX(Positions!$E$2:$E$6912,MATCH($A608&amp;"|63",Positions!$A$2:$A$6912,0)),"-")</f>
        <v>C</v>
      </c>
      <c r="H608" s="3" t="str">
        <f aca="false">F608&amp;"-"&amp;G608</f>
        <v>G-C</v>
      </c>
      <c r="I608" s="4" t="n">
        <f aca="false">(F608="G")+(G608="G")</f>
        <v>1</v>
      </c>
      <c r="J608" s="4" t="n">
        <f aca="false">(F608="C")+(G608="C")</f>
        <v>1</v>
      </c>
      <c r="K608" s="3" t="n">
        <f aca="false">I608+J608</f>
        <v>2</v>
      </c>
    </row>
    <row r="609" customFormat="false" ht="15" hidden="false" customHeight="false" outlineLevel="0" collapsed="false">
      <c r="A609" s="4" t="s">
        <v>58</v>
      </c>
      <c r="B609" s="4" t="s">
        <v>471</v>
      </c>
      <c r="C609" s="4" t="s">
        <v>528</v>
      </c>
      <c r="D609" s="4" t="n">
        <f aca="false">IFERROR(INDEX(Positions!$D$2:$D$6912,MATCH($A609&amp;"|52",Positions!$A$2:$A$6912,0)),"-")</f>
        <v>52</v>
      </c>
      <c r="E609" s="4" t="n">
        <f aca="false">IFERROR(INDEX(Positions!$D$2:$D$6912,MATCH($A609&amp;"|62",Positions!$A$2:$A$6912,0)),"-")</f>
        <v>62</v>
      </c>
      <c r="F609" s="4" t="str">
        <f aca="false">IFERROR(INDEX(Positions!$E$2:$E$6912,MATCH($A609&amp;"|52",Positions!$A$2:$A$6912,0)),"-")</f>
        <v>G</v>
      </c>
      <c r="G609" s="4" t="str">
        <f aca="false">IFERROR(INDEX(Positions!$E$2:$E$6912,MATCH($A609&amp;"|62",Positions!$A$2:$A$6912,0)),"-")</f>
        <v>C</v>
      </c>
      <c r="H609" s="3" t="str">
        <f aca="false">F609&amp;"-"&amp;G609</f>
        <v>G-C</v>
      </c>
      <c r="I609" s="4" t="n">
        <f aca="false">(F609="G")+(G609="G")</f>
        <v>1</v>
      </c>
      <c r="J609" s="4" t="n">
        <f aca="false">(F609="C")+(G609="C")</f>
        <v>1</v>
      </c>
      <c r="K609" s="3" t="n">
        <f aca="false">I609+J609</f>
        <v>2</v>
      </c>
    </row>
    <row r="610" customFormat="false" ht="15" hidden="false" customHeight="false" outlineLevel="0" collapsed="false">
      <c r="A610" s="4" t="s">
        <v>58</v>
      </c>
      <c r="B610" s="4" t="s">
        <v>471</v>
      </c>
      <c r="C610" s="4" t="s">
        <v>529</v>
      </c>
      <c r="D610" s="4" t="n">
        <f aca="false">IFERROR(INDEX(Positions!$D$2:$D$6912,MATCH($A610&amp;"|53",Positions!$A$2:$A$6912,0)),"-")</f>
        <v>53</v>
      </c>
      <c r="E610" s="4" t="n">
        <f aca="false">IFERROR(INDEX(Positions!$D$2:$D$6912,MATCH($A610&amp;"|61",Positions!$A$2:$A$6912,0)),"-")</f>
        <v>61</v>
      </c>
      <c r="F610" s="4" t="str">
        <f aca="false">IFERROR(INDEX(Positions!$E$2:$E$6912,MATCH($A610&amp;"|53",Positions!$A$2:$A$6912,0)),"-")</f>
        <v>G</v>
      </c>
      <c r="G610" s="4" t="str">
        <f aca="false">IFERROR(INDEX(Positions!$E$2:$E$6912,MATCH($A610&amp;"|61",Positions!$A$2:$A$6912,0)),"-")</f>
        <v>C</v>
      </c>
      <c r="H610" s="3" t="str">
        <f aca="false">F610&amp;"-"&amp;G610</f>
        <v>G-C</v>
      </c>
      <c r="I610" s="4" t="n">
        <f aca="false">(F610="G")+(G610="G")</f>
        <v>1</v>
      </c>
      <c r="J610" s="4" t="n">
        <f aca="false">(F610="C")+(G610="C")</f>
        <v>1</v>
      </c>
      <c r="K610" s="3" t="n">
        <f aca="false">I610+J610</f>
        <v>2</v>
      </c>
    </row>
    <row r="611" customFormat="false" ht="15" hidden="false" customHeight="false" outlineLevel="0" collapsed="false">
      <c r="A611" s="24" t="s">
        <v>58</v>
      </c>
      <c r="B611" s="24" t="s">
        <v>530</v>
      </c>
      <c r="C611" s="24" t="s">
        <v>531</v>
      </c>
      <c r="D611" s="24" t="n">
        <f aca="false">IFERROR(INDEX(Positions!$D$2:$D$6912,MATCH($A611&amp;"|8",Positions!$A$2:$A$6912,0)),"-")</f>
        <v>8</v>
      </c>
      <c r="E611" s="24" t="n">
        <f aca="false">IFERROR(INDEX(Positions!$D$2:$D$6912,MATCH($A611&amp;"|14",Positions!$A$2:$A$6912,0)),"-")</f>
        <v>14</v>
      </c>
      <c r="F611" s="24" t="str">
        <f aca="false">IFERROR(INDEX(Positions!$E$2:$E$6912,MATCH($A611&amp;"|8",Positions!$A$2:$A$6912,0)),"-")</f>
        <v>U</v>
      </c>
      <c r="G611" s="24" t="str">
        <f aca="false">IFERROR(INDEX(Positions!$E$2:$E$6912,MATCH($A611&amp;"|14",Positions!$A$2:$A$6912,0)),"-")</f>
        <v>A</v>
      </c>
      <c r="H611" s="25" t="str">
        <f aca="false">F611&amp;"-"&amp;G611</f>
        <v>U-A</v>
      </c>
      <c r="I611" s="24" t="n">
        <f aca="false">(F611="G")+(G611="G")</f>
        <v>0</v>
      </c>
      <c r="J611" s="24" t="n">
        <f aca="false">(F611="C")+(G611="C")</f>
        <v>0</v>
      </c>
      <c r="K611" s="25" t="n">
        <f aca="false">I611+J611</f>
        <v>0</v>
      </c>
    </row>
    <row r="612" customFormat="false" ht="15" hidden="false" customHeight="false" outlineLevel="0" collapsed="false">
      <c r="A612" s="24" t="s">
        <v>58</v>
      </c>
      <c r="B612" s="24" t="s">
        <v>530</v>
      </c>
      <c r="C612" s="24" t="s">
        <v>532</v>
      </c>
      <c r="D612" s="24" t="n">
        <f aca="false">IFERROR(INDEX(Positions!$D$2:$D$6912,MATCH($A612&amp;"|15",Positions!$A$2:$A$6912,0)),"-")</f>
        <v>15</v>
      </c>
      <c r="E612" s="24" t="n">
        <f aca="false">IFERROR(INDEX(Positions!$D$2:$D$6912,MATCH($A612&amp;"|48",Positions!$A$2:$A$6912,0)),"-")</f>
        <v>48</v>
      </c>
      <c r="F612" s="24" t="str">
        <f aca="false">IFERROR(INDEX(Positions!$E$2:$E$6912,MATCH($A612&amp;"|15",Positions!$A$2:$A$6912,0)),"-")</f>
        <v>G</v>
      </c>
      <c r="G612" s="24" t="str">
        <f aca="false">IFERROR(INDEX(Positions!$E$2:$E$6912,MATCH($A612&amp;"|48",Positions!$A$2:$A$6912,0)),"-")</f>
        <v>A</v>
      </c>
      <c r="H612" s="25" t="str">
        <f aca="false">F612&amp;"-"&amp;G612</f>
        <v>G-A</v>
      </c>
      <c r="I612" s="24" t="n">
        <f aca="false">(F612="G")+(G612="G")</f>
        <v>1</v>
      </c>
      <c r="J612" s="24" t="n">
        <f aca="false">(F612="C")+(G612="C")</f>
        <v>0</v>
      </c>
      <c r="K612" s="25" t="n">
        <f aca="false">I612+J612</f>
        <v>1</v>
      </c>
    </row>
    <row r="613" customFormat="false" ht="15" hidden="false" customHeight="false" outlineLevel="0" collapsed="false">
      <c r="A613" s="24" t="s">
        <v>58</v>
      </c>
      <c r="B613" s="24" t="s">
        <v>530</v>
      </c>
      <c r="C613" s="24" t="s">
        <v>533</v>
      </c>
      <c r="D613" s="24" t="n">
        <f aca="false">IFERROR(INDEX(Positions!$D$2:$D$6912,MATCH($A613&amp;"|18",Positions!$A$2:$A$6912,0)),"-")</f>
        <v>18</v>
      </c>
      <c r="E613" s="24" t="n">
        <f aca="false">IFERROR(INDEX(Positions!$D$2:$D$6912,MATCH($A613&amp;"|55",Positions!$A$2:$A$6912,0)),"-")</f>
        <v>55</v>
      </c>
      <c r="F613" s="24" t="str">
        <f aca="false">IFERROR(INDEX(Positions!$E$2:$E$6912,MATCH($A613&amp;"|18",Positions!$A$2:$A$6912,0)),"-")</f>
        <v>G</v>
      </c>
      <c r="G613" s="24" t="str">
        <f aca="false">IFERROR(INDEX(Positions!$E$2:$E$6912,MATCH($A613&amp;"|55",Positions!$A$2:$A$6912,0)),"-")</f>
        <v>U</v>
      </c>
      <c r="H613" s="25" t="str">
        <f aca="false">F613&amp;"-"&amp;G613</f>
        <v>G-U</v>
      </c>
      <c r="I613" s="24" t="n">
        <f aca="false">(F613="G")+(G613="G")</f>
        <v>1</v>
      </c>
      <c r="J613" s="24" t="n">
        <f aca="false">(F613="C")+(G613="C")</f>
        <v>0</v>
      </c>
      <c r="K613" s="25" t="n">
        <f aca="false">I613+J613</f>
        <v>1</v>
      </c>
    </row>
    <row r="614" customFormat="false" ht="15" hidden="false" customHeight="false" outlineLevel="0" collapsed="false">
      <c r="A614" s="24" t="s">
        <v>58</v>
      </c>
      <c r="B614" s="24" t="s">
        <v>530</v>
      </c>
      <c r="C614" s="24" t="s">
        <v>534</v>
      </c>
      <c r="D614" s="24" t="n">
        <f aca="false">IFERROR(INDEX(Positions!$D$2:$D$6912,MATCH($A614&amp;"|19",Positions!$A$2:$A$6912,0)),"-")</f>
        <v>19</v>
      </c>
      <c r="E614" s="24" t="n">
        <f aca="false">IFERROR(INDEX(Positions!$D$2:$D$6912,MATCH($A614&amp;"|56",Positions!$A$2:$A$6912,0)),"-")</f>
        <v>56</v>
      </c>
      <c r="F614" s="24" t="str">
        <f aca="false">IFERROR(INDEX(Positions!$E$2:$E$6912,MATCH($A614&amp;"|19",Positions!$A$2:$A$6912,0)),"-")</f>
        <v>G</v>
      </c>
      <c r="G614" s="24" t="str">
        <f aca="false">IFERROR(INDEX(Positions!$E$2:$E$6912,MATCH($A614&amp;"|56",Positions!$A$2:$A$6912,0)),"-")</f>
        <v>C</v>
      </c>
      <c r="H614" s="25" t="str">
        <f aca="false">F614&amp;"-"&amp;G614</f>
        <v>G-C</v>
      </c>
      <c r="I614" s="24" t="n">
        <f aca="false">(F614="G")+(G614="G")</f>
        <v>1</v>
      </c>
      <c r="J614" s="24" t="n">
        <f aca="false">(F614="C")+(G614="C")</f>
        <v>1</v>
      </c>
      <c r="K614" s="25" t="n">
        <f aca="false">I614+J614</f>
        <v>2</v>
      </c>
    </row>
    <row r="615" customFormat="false" ht="15" hidden="false" customHeight="false" outlineLevel="0" collapsed="false">
      <c r="A615" s="24" t="s">
        <v>58</v>
      </c>
      <c r="B615" s="24" t="s">
        <v>530</v>
      </c>
      <c r="C615" s="24" t="s">
        <v>535</v>
      </c>
      <c r="D615" s="24" t="n">
        <f aca="false">IFERROR(INDEX(Positions!$D$2:$D$6912,MATCH($A615&amp;"|26",Positions!$A$2:$A$6912,0)),"-")</f>
        <v>26</v>
      </c>
      <c r="E615" s="24" t="n">
        <f aca="false">IFERROR(INDEX(Positions!$D$2:$D$6912,MATCH($A615&amp;"|44",Positions!$A$2:$A$6912,0)),"-")</f>
        <v>44</v>
      </c>
      <c r="F615" s="24" t="str">
        <f aca="false">IFERROR(INDEX(Positions!$E$2:$E$6912,MATCH($A615&amp;"|26",Positions!$A$2:$A$6912,0)),"-")</f>
        <v>G</v>
      </c>
      <c r="G615" s="24" t="str">
        <f aca="false">IFERROR(INDEX(Positions!$E$2:$E$6912,MATCH($A615&amp;"|44",Positions!$A$2:$A$6912,0)),"-")</f>
        <v>A</v>
      </c>
      <c r="H615" s="25" t="str">
        <f aca="false">F615&amp;"-"&amp;G615</f>
        <v>G-A</v>
      </c>
      <c r="I615" s="24" t="n">
        <f aca="false">(F615="G")+(G615="G")</f>
        <v>1</v>
      </c>
      <c r="J615" s="24" t="n">
        <f aca="false">(F615="C")+(G615="C")</f>
        <v>0</v>
      </c>
      <c r="K615" s="25" t="n">
        <f aca="false">I615+J615</f>
        <v>1</v>
      </c>
    </row>
    <row r="616" customFormat="false" ht="15" hidden="false" customHeight="false" outlineLevel="0" collapsed="false">
      <c r="A616" s="24" t="s">
        <v>58</v>
      </c>
      <c r="B616" s="24" t="s">
        <v>530</v>
      </c>
      <c r="C616" s="24" t="s">
        <v>536</v>
      </c>
      <c r="D616" s="24" t="n">
        <f aca="false">IFERROR(INDEX(Positions!$D$2:$D$6912,MATCH($A616&amp;"|32",Positions!$A$2:$A$6912,0)),"-")</f>
        <v>32</v>
      </c>
      <c r="E616" s="24" t="n">
        <f aca="false">IFERROR(INDEX(Positions!$D$2:$D$6912,MATCH($A616&amp;"|38",Positions!$A$2:$A$6912,0)),"-")</f>
        <v>38</v>
      </c>
      <c r="F616" s="24" t="str">
        <f aca="false">IFERROR(INDEX(Positions!$E$2:$E$6912,MATCH($A616&amp;"|32",Positions!$A$2:$A$6912,0)),"-")</f>
        <v>U</v>
      </c>
      <c r="G616" s="24" t="str">
        <f aca="false">IFERROR(INDEX(Positions!$E$2:$E$6912,MATCH($A616&amp;"|38",Positions!$A$2:$A$6912,0)),"-")</f>
        <v>U</v>
      </c>
      <c r="H616" s="25" t="str">
        <f aca="false">F616&amp;"-"&amp;G616</f>
        <v>U-U</v>
      </c>
      <c r="I616" s="24" t="n">
        <f aca="false">(F616="G")+(G616="G")</f>
        <v>0</v>
      </c>
      <c r="J616" s="24" t="n">
        <f aca="false">(F616="C")+(G616="C")</f>
        <v>0</v>
      </c>
      <c r="K616" s="25" t="n">
        <f aca="false">I616+J616</f>
        <v>0</v>
      </c>
    </row>
    <row r="617" customFormat="false" ht="15" hidden="false" customHeight="false" outlineLevel="0" collapsed="false">
      <c r="A617" s="24" t="s">
        <v>58</v>
      </c>
      <c r="B617" s="24" t="s">
        <v>530</v>
      </c>
      <c r="C617" s="24" t="s">
        <v>537</v>
      </c>
      <c r="D617" s="24" t="n">
        <f aca="false">IFERROR(INDEX(Positions!$D$2:$D$6912,MATCH($A617&amp;"|54",Positions!$A$2:$A$6912,0)),"-")</f>
        <v>54</v>
      </c>
      <c r="E617" s="24" t="n">
        <f aca="false">IFERROR(INDEX(Positions!$D$2:$D$6912,MATCH($A617&amp;"|58",Positions!$A$2:$A$6912,0)),"-")</f>
        <v>58</v>
      </c>
      <c r="F617" s="24" t="str">
        <f aca="false">IFERROR(INDEX(Positions!$E$2:$E$6912,MATCH($A617&amp;"|54",Positions!$A$2:$A$6912,0)),"-")</f>
        <v>A</v>
      </c>
      <c r="G617" s="24" t="str">
        <f aca="false">IFERROR(INDEX(Positions!$E$2:$E$6912,MATCH($A617&amp;"|58",Positions!$A$2:$A$6912,0)),"-")</f>
        <v>A</v>
      </c>
      <c r="H617" s="25" t="str">
        <f aca="false">F617&amp;"-"&amp;G617</f>
        <v>A-A</v>
      </c>
      <c r="I617" s="24" t="n">
        <f aca="false">(F617="G")+(G617="G")</f>
        <v>0</v>
      </c>
      <c r="J617" s="24" t="n">
        <f aca="false">(F617="C")+(G617="C")</f>
        <v>0</v>
      </c>
      <c r="K617" s="25" t="n">
        <f aca="false">I617+J617</f>
        <v>0</v>
      </c>
    </row>
    <row r="618" customFormat="false" ht="15" hidden="false" customHeight="false" outlineLevel="0" collapsed="false">
      <c r="A618" s="4" t="s">
        <v>59</v>
      </c>
      <c r="B618" s="4" t="s">
        <v>412</v>
      </c>
      <c r="C618" s="4" t="s">
        <v>517</v>
      </c>
      <c r="D618" s="4" t="n">
        <f aca="false">IFERROR(INDEX(Positions!$D$2:$D$6912,MATCH($A618&amp;"|1",Positions!$A$2:$A$6912,0)),"-")</f>
        <v>1</v>
      </c>
      <c r="E618" s="4" t="n">
        <f aca="false">IFERROR(INDEX(Positions!$D$2:$D$6912,MATCH($A618&amp;"|72",Positions!$A$2:$A$6912,0)),"-")</f>
        <v>73</v>
      </c>
      <c r="F618" s="4" t="str">
        <f aca="false">IFERROR(INDEX(Positions!$E$2:$E$6912,MATCH($A618&amp;"|1",Positions!$A$2:$A$6912,0)),"-")</f>
        <v>G</v>
      </c>
      <c r="G618" s="4" t="str">
        <f aca="false">IFERROR(INDEX(Positions!$E$2:$E$6912,MATCH($A618&amp;"|72",Positions!$A$2:$A$6912,0)),"-")</f>
        <v>C</v>
      </c>
      <c r="H618" s="3" t="str">
        <f aca="false">F618&amp;"-"&amp;G618</f>
        <v>G-C</v>
      </c>
      <c r="I618" s="4" t="n">
        <f aca="false">(F618="G")+(G618="G")</f>
        <v>1</v>
      </c>
      <c r="J618" s="4" t="n">
        <f aca="false">(F618="C")+(G618="C")</f>
        <v>1</v>
      </c>
      <c r="K618" s="3" t="n">
        <f aca="false">I618+J618</f>
        <v>2</v>
      </c>
    </row>
    <row r="619" customFormat="false" ht="15" hidden="false" customHeight="false" outlineLevel="0" collapsed="false">
      <c r="A619" s="4" t="s">
        <v>59</v>
      </c>
      <c r="B619" s="4" t="s">
        <v>412</v>
      </c>
      <c r="C619" s="4" t="s">
        <v>518</v>
      </c>
      <c r="D619" s="4" t="n">
        <f aca="false">IFERROR(INDEX(Positions!$D$2:$D$6912,MATCH($A619&amp;"|2",Positions!$A$2:$A$6912,0)),"-")</f>
        <v>2</v>
      </c>
      <c r="E619" s="4" t="n">
        <f aca="false">IFERROR(INDEX(Positions!$D$2:$D$6912,MATCH($A619&amp;"|71",Positions!$A$2:$A$6912,0)),"-")</f>
        <v>72</v>
      </c>
      <c r="F619" s="4" t="str">
        <f aca="false">IFERROR(INDEX(Positions!$E$2:$E$6912,MATCH($A619&amp;"|2",Positions!$A$2:$A$6912,0)),"-")</f>
        <v>G</v>
      </c>
      <c r="G619" s="4" t="str">
        <f aca="false">IFERROR(INDEX(Positions!$E$2:$E$6912,MATCH($A619&amp;"|71",Positions!$A$2:$A$6912,0)),"-")</f>
        <v>C</v>
      </c>
      <c r="H619" s="3" t="str">
        <f aca="false">F619&amp;"-"&amp;G619</f>
        <v>G-C</v>
      </c>
      <c r="I619" s="4" t="n">
        <f aca="false">(F619="G")+(G619="G")</f>
        <v>1</v>
      </c>
      <c r="J619" s="4" t="n">
        <f aca="false">(F619="C")+(G619="C")</f>
        <v>1</v>
      </c>
      <c r="K619" s="3" t="n">
        <f aca="false">I619+J619</f>
        <v>2</v>
      </c>
    </row>
    <row r="620" customFormat="false" ht="15" hidden="false" customHeight="false" outlineLevel="0" collapsed="false">
      <c r="A620" s="4" t="s">
        <v>59</v>
      </c>
      <c r="B620" s="4" t="s">
        <v>412</v>
      </c>
      <c r="C620" s="4" t="s">
        <v>386</v>
      </c>
      <c r="D620" s="4" t="n">
        <f aca="false">IFERROR(INDEX(Positions!$D$2:$D$6912,MATCH($A620&amp;"|3",Positions!$A$2:$A$6912,0)),"-")</f>
        <v>3</v>
      </c>
      <c r="E620" s="4" t="n">
        <f aca="false">IFERROR(INDEX(Positions!$D$2:$D$6912,MATCH($A620&amp;"|70",Positions!$A$2:$A$6912,0)),"-")</f>
        <v>71</v>
      </c>
      <c r="F620" s="4" t="str">
        <f aca="false">IFERROR(INDEX(Positions!$E$2:$E$6912,MATCH($A620&amp;"|3",Positions!$A$2:$A$6912,0)),"-")</f>
        <v>C</v>
      </c>
      <c r="G620" s="4" t="str">
        <f aca="false">IFERROR(INDEX(Positions!$E$2:$E$6912,MATCH($A620&amp;"|70",Positions!$A$2:$A$6912,0)),"-")</f>
        <v>G</v>
      </c>
      <c r="H620" s="3" t="str">
        <f aca="false">F620&amp;"-"&amp;G620</f>
        <v>C-G</v>
      </c>
      <c r="I620" s="4" t="n">
        <f aca="false">(F620="G")+(G620="G")</f>
        <v>1</v>
      </c>
      <c r="J620" s="4" t="n">
        <f aca="false">(F620="C")+(G620="C")</f>
        <v>1</v>
      </c>
      <c r="K620" s="3" t="n">
        <f aca="false">I620+J620</f>
        <v>2</v>
      </c>
    </row>
    <row r="621" customFormat="false" ht="15" hidden="false" customHeight="false" outlineLevel="0" collapsed="false">
      <c r="A621" s="4" t="s">
        <v>59</v>
      </c>
      <c r="B621" s="4" t="s">
        <v>412</v>
      </c>
      <c r="C621" s="4" t="s">
        <v>519</v>
      </c>
      <c r="D621" s="4" t="n">
        <f aca="false">IFERROR(INDEX(Positions!$D$2:$D$6912,MATCH($A621&amp;"|4",Positions!$A$2:$A$6912,0)),"-")</f>
        <v>4</v>
      </c>
      <c r="E621" s="4" t="n">
        <f aca="false">IFERROR(INDEX(Positions!$D$2:$D$6912,MATCH($A621&amp;"|69",Positions!$A$2:$A$6912,0)),"-")</f>
        <v>70</v>
      </c>
      <c r="F621" s="4" t="str">
        <f aca="false">IFERROR(INDEX(Positions!$E$2:$E$6912,MATCH($A621&amp;"|4",Positions!$A$2:$A$6912,0)),"-")</f>
        <v>C</v>
      </c>
      <c r="G621" s="4" t="str">
        <f aca="false">IFERROR(INDEX(Positions!$E$2:$E$6912,MATCH($A621&amp;"|69",Positions!$A$2:$A$6912,0)),"-")</f>
        <v>G</v>
      </c>
      <c r="H621" s="3" t="str">
        <f aca="false">F621&amp;"-"&amp;G621</f>
        <v>C-G</v>
      </c>
      <c r="I621" s="4" t="n">
        <f aca="false">(F621="G")+(G621="G")</f>
        <v>1</v>
      </c>
      <c r="J621" s="4" t="n">
        <f aca="false">(F621="C")+(G621="C")</f>
        <v>1</v>
      </c>
      <c r="K621" s="3" t="n">
        <f aca="false">I621+J621</f>
        <v>2</v>
      </c>
    </row>
    <row r="622" customFormat="false" ht="15" hidden="false" customHeight="false" outlineLevel="0" collapsed="false">
      <c r="A622" s="4" t="s">
        <v>59</v>
      </c>
      <c r="B622" s="4" t="s">
        <v>412</v>
      </c>
      <c r="C622" s="4" t="s">
        <v>283</v>
      </c>
      <c r="D622" s="4" t="n">
        <f aca="false">IFERROR(INDEX(Positions!$D$2:$D$6912,MATCH($A622&amp;"|5",Positions!$A$2:$A$6912,0)),"-")</f>
        <v>5</v>
      </c>
      <c r="E622" s="4" t="n">
        <f aca="false">IFERROR(INDEX(Positions!$D$2:$D$6912,MATCH($A622&amp;"|68",Positions!$A$2:$A$6912,0)),"-")</f>
        <v>69</v>
      </c>
      <c r="F622" s="4" t="str">
        <f aca="false">IFERROR(INDEX(Positions!$E$2:$E$6912,MATCH($A622&amp;"|5",Positions!$A$2:$A$6912,0)),"-")</f>
        <v>C</v>
      </c>
      <c r="G622" s="4" t="str">
        <f aca="false">IFERROR(INDEX(Positions!$E$2:$E$6912,MATCH($A622&amp;"|68",Positions!$A$2:$A$6912,0)),"-")</f>
        <v>G</v>
      </c>
      <c r="H622" s="3" t="str">
        <f aca="false">F622&amp;"-"&amp;G622</f>
        <v>C-G</v>
      </c>
      <c r="I622" s="4" t="n">
        <f aca="false">(F622="G")+(G622="G")</f>
        <v>1</v>
      </c>
      <c r="J622" s="4" t="n">
        <f aca="false">(F622="C")+(G622="C")</f>
        <v>1</v>
      </c>
      <c r="K622" s="3" t="n">
        <f aca="false">I622+J622</f>
        <v>2</v>
      </c>
    </row>
    <row r="623" customFormat="false" ht="15" hidden="false" customHeight="false" outlineLevel="0" collapsed="false">
      <c r="A623" s="4" t="s">
        <v>59</v>
      </c>
      <c r="B623" s="4" t="s">
        <v>412</v>
      </c>
      <c r="C623" s="4" t="s">
        <v>520</v>
      </c>
      <c r="D623" s="4" t="n">
        <f aca="false">IFERROR(INDEX(Positions!$D$2:$D$6912,MATCH($A623&amp;"|6",Positions!$A$2:$A$6912,0)),"-")</f>
        <v>6</v>
      </c>
      <c r="E623" s="4" t="n">
        <f aca="false">IFERROR(INDEX(Positions!$D$2:$D$6912,MATCH($A623&amp;"|67",Positions!$A$2:$A$6912,0)),"-")</f>
        <v>68</v>
      </c>
      <c r="F623" s="4" t="str">
        <f aca="false">IFERROR(INDEX(Positions!$E$2:$E$6912,MATCH($A623&amp;"|6",Positions!$A$2:$A$6912,0)),"-")</f>
        <v>A</v>
      </c>
      <c r="G623" s="4" t="str">
        <f aca="false">IFERROR(INDEX(Positions!$E$2:$E$6912,MATCH($A623&amp;"|67",Positions!$A$2:$A$6912,0)),"-")</f>
        <v>U</v>
      </c>
      <c r="H623" s="3" t="str">
        <f aca="false">F623&amp;"-"&amp;G623</f>
        <v>A-U</v>
      </c>
      <c r="I623" s="4" t="n">
        <f aca="false">(F623="G")+(G623="G")</f>
        <v>0</v>
      </c>
      <c r="J623" s="4" t="n">
        <f aca="false">(F623="C")+(G623="C")</f>
        <v>0</v>
      </c>
      <c r="K623" s="3" t="n">
        <f aca="false">I623+J623</f>
        <v>0</v>
      </c>
    </row>
    <row r="624" customFormat="false" ht="15" hidden="false" customHeight="false" outlineLevel="0" collapsed="false">
      <c r="A624" s="4" t="s">
        <v>59</v>
      </c>
      <c r="B624" s="4" t="s">
        <v>412</v>
      </c>
      <c r="C624" s="4" t="s">
        <v>521</v>
      </c>
      <c r="D624" s="4" t="n">
        <f aca="false">IFERROR(INDEX(Positions!$D$2:$D$6912,MATCH($A624&amp;"|7",Positions!$A$2:$A$6912,0)),"-")</f>
        <v>7</v>
      </c>
      <c r="E624" s="4" t="n">
        <f aca="false">IFERROR(INDEX(Positions!$D$2:$D$6912,MATCH($A624&amp;"|66",Positions!$A$2:$A$6912,0)),"-")</f>
        <v>67</v>
      </c>
      <c r="F624" s="4" t="str">
        <f aca="false">IFERROR(INDEX(Positions!$E$2:$E$6912,MATCH($A624&amp;"|7",Positions!$A$2:$A$6912,0)),"-")</f>
        <v>U</v>
      </c>
      <c r="G624" s="4" t="str">
        <f aca="false">IFERROR(INDEX(Positions!$E$2:$E$6912,MATCH($A624&amp;"|66",Positions!$A$2:$A$6912,0)),"-")</f>
        <v>A</v>
      </c>
      <c r="H624" s="3" t="str">
        <f aca="false">F624&amp;"-"&amp;G624</f>
        <v>U-A</v>
      </c>
      <c r="I624" s="4" t="n">
        <f aca="false">(F624="G")+(G624="G")</f>
        <v>0</v>
      </c>
      <c r="J624" s="4" t="n">
        <f aca="false">(F624="C")+(G624="C")</f>
        <v>0</v>
      </c>
      <c r="K624" s="3" t="n">
        <f aca="false">I624+J624</f>
        <v>0</v>
      </c>
    </row>
    <row r="625" customFormat="false" ht="15" hidden="false" customHeight="false" outlineLevel="0" collapsed="false">
      <c r="A625" s="4" t="s">
        <v>59</v>
      </c>
      <c r="B625" s="4" t="s">
        <v>425</v>
      </c>
      <c r="C625" s="4" t="s">
        <v>522</v>
      </c>
      <c r="D625" s="4" t="n">
        <f aca="false">IFERROR(INDEX(Positions!$D$2:$D$6912,MATCH($A625&amp;"|10",Positions!$A$2:$A$6912,0)),"-")</f>
        <v>10</v>
      </c>
      <c r="E625" s="4" t="n">
        <f aca="false">IFERROR(INDEX(Positions!$D$2:$D$6912,MATCH($A625&amp;"|25",Positions!$A$2:$A$6912,0)),"-")</f>
        <v>26</v>
      </c>
      <c r="F625" s="4" t="str">
        <f aca="false">IFERROR(INDEX(Positions!$E$2:$E$6912,MATCH($A625&amp;"|10",Positions!$A$2:$A$6912,0)),"-")</f>
        <v>G</v>
      </c>
      <c r="G625" s="4" t="str">
        <f aca="false">IFERROR(INDEX(Positions!$E$2:$E$6912,MATCH($A625&amp;"|25",Positions!$A$2:$A$6912,0)),"-")</f>
        <v>C</v>
      </c>
      <c r="H625" s="3" t="str">
        <f aca="false">F625&amp;"-"&amp;G625</f>
        <v>G-C</v>
      </c>
      <c r="I625" s="4" t="n">
        <f aca="false">(F625="G")+(G625="G")</f>
        <v>1</v>
      </c>
      <c r="J625" s="4" t="n">
        <f aca="false">(F625="C")+(G625="C")</f>
        <v>1</v>
      </c>
      <c r="K625" s="3" t="n">
        <f aca="false">I625+J625</f>
        <v>2</v>
      </c>
    </row>
    <row r="626" customFormat="false" ht="15" hidden="false" customHeight="false" outlineLevel="0" collapsed="false">
      <c r="A626" s="4" t="s">
        <v>59</v>
      </c>
      <c r="B626" s="4" t="s">
        <v>425</v>
      </c>
      <c r="C626" s="4" t="s">
        <v>523</v>
      </c>
      <c r="D626" s="4" t="n">
        <f aca="false">IFERROR(INDEX(Positions!$D$2:$D$6912,MATCH($A626&amp;"|11",Positions!$A$2:$A$6912,0)),"-")</f>
        <v>11</v>
      </c>
      <c r="E626" s="4" t="n">
        <f aca="false">IFERROR(INDEX(Positions!$D$2:$D$6912,MATCH($A626&amp;"|24",Positions!$A$2:$A$6912,0)),"-")</f>
        <v>25</v>
      </c>
      <c r="F626" s="4" t="str">
        <f aca="false">IFERROR(INDEX(Positions!$E$2:$E$6912,MATCH($A626&amp;"|11",Positions!$A$2:$A$6912,0)),"-")</f>
        <v>C</v>
      </c>
      <c r="G626" s="4" t="str">
        <f aca="false">IFERROR(INDEX(Positions!$E$2:$E$6912,MATCH($A626&amp;"|24",Positions!$A$2:$A$6912,0)),"-")</f>
        <v>G</v>
      </c>
      <c r="H626" s="3" t="str">
        <f aca="false">F626&amp;"-"&amp;G626</f>
        <v>C-G</v>
      </c>
      <c r="I626" s="4" t="n">
        <f aca="false">(F626="G")+(G626="G")</f>
        <v>1</v>
      </c>
      <c r="J626" s="4" t="n">
        <f aca="false">(F626="C")+(G626="C")</f>
        <v>1</v>
      </c>
      <c r="K626" s="3" t="n">
        <f aca="false">I626+J626</f>
        <v>2</v>
      </c>
    </row>
    <row r="627" customFormat="false" ht="15" hidden="false" customHeight="false" outlineLevel="0" collapsed="false">
      <c r="A627" s="4" t="s">
        <v>59</v>
      </c>
      <c r="B627" s="4" t="s">
        <v>425</v>
      </c>
      <c r="C627" s="4" t="s">
        <v>250</v>
      </c>
      <c r="D627" s="4" t="n">
        <f aca="false">IFERROR(INDEX(Positions!$D$2:$D$6912,MATCH($A627&amp;"|12",Positions!$A$2:$A$6912,0)),"-")</f>
        <v>12</v>
      </c>
      <c r="E627" s="4" t="n">
        <f aca="false">IFERROR(INDEX(Positions!$D$2:$D$6912,MATCH($A627&amp;"|23",Positions!$A$2:$A$6912,0)),"-")</f>
        <v>24</v>
      </c>
      <c r="F627" s="4" t="str">
        <f aca="false">IFERROR(INDEX(Positions!$E$2:$E$6912,MATCH($A627&amp;"|12",Positions!$A$2:$A$6912,0)),"-")</f>
        <v>U</v>
      </c>
      <c r="G627" s="4" t="str">
        <f aca="false">IFERROR(INDEX(Positions!$E$2:$E$6912,MATCH($A627&amp;"|23",Positions!$A$2:$A$6912,0)),"-")</f>
        <v>A</v>
      </c>
      <c r="H627" s="3" t="str">
        <f aca="false">F627&amp;"-"&amp;G627</f>
        <v>U-A</v>
      </c>
      <c r="I627" s="4" t="n">
        <f aca="false">(F627="G")+(G627="G")</f>
        <v>0</v>
      </c>
      <c r="J627" s="4" t="n">
        <f aca="false">(F627="C")+(G627="C")</f>
        <v>0</v>
      </c>
      <c r="K627" s="3" t="n">
        <f aca="false">I627+J627</f>
        <v>0</v>
      </c>
    </row>
    <row r="628" customFormat="false" ht="15" hidden="false" customHeight="false" outlineLevel="0" collapsed="false">
      <c r="A628" s="4" t="s">
        <v>59</v>
      </c>
      <c r="B628" s="4" t="s">
        <v>425</v>
      </c>
      <c r="C628" s="4" t="s">
        <v>154</v>
      </c>
      <c r="D628" s="4" t="n">
        <f aca="false">IFERROR(INDEX(Positions!$D$2:$D$6912,MATCH($A628&amp;"|13",Positions!$A$2:$A$6912,0)),"-")</f>
        <v>13</v>
      </c>
      <c r="E628" s="4" t="n">
        <f aca="false">IFERROR(INDEX(Positions!$D$2:$D$6912,MATCH($A628&amp;"|22",Positions!$A$2:$A$6912,0)),"-")</f>
        <v>23</v>
      </c>
      <c r="F628" s="4" t="str">
        <f aca="false">IFERROR(INDEX(Positions!$E$2:$E$6912,MATCH($A628&amp;"|13",Positions!$A$2:$A$6912,0)),"-")</f>
        <v>C</v>
      </c>
      <c r="G628" s="4" t="str">
        <f aca="false">IFERROR(INDEX(Positions!$E$2:$E$6912,MATCH($A628&amp;"|22",Positions!$A$2:$A$6912,0)),"-")</f>
        <v>G</v>
      </c>
      <c r="H628" s="3" t="str">
        <f aca="false">F628&amp;"-"&amp;G628</f>
        <v>C-G</v>
      </c>
      <c r="I628" s="4" t="n">
        <f aca="false">(F628="G")+(G628="G")</f>
        <v>1</v>
      </c>
      <c r="J628" s="4" t="n">
        <f aca="false">(F628="C")+(G628="C")</f>
        <v>1</v>
      </c>
      <c r="K628" s="3" t="n">
        <f aca="false">I628+J628</f>
        <v>2</v>
      </c>
    </row>
    <row r="629" customFormat="false" ht="15" hidden="false" customHeight="false" outlineLevel="0" collapsed="false">
      <c r="A629" s="4" t="s">
        <v>59</v>
      </c>
      <c r="B629" s="4" t="s">
        <v>446</v>
      </c>
      <c r="C629" s="4" t="s">
        <v>524</v>
      </c>
      <c r="D629" s="4" t="n">
        <f aca="false">IFERROR(INDEX(Positions!$D$2:$D$6912,MATCH($A629&amp;"|27",Positions!$A$2:$A$6912,0)),"-")</f>
        <v>28</v>
      </c>
      <c r="E629" s="4" t="n">
        <f aca="false">IFERROR(INDEX(Positions!$D$2:$D$6912,MATCH($A629&amp;"|43",Positions!$A$2:$A$6912,0)),"-")</f>
        <v>44</v>
      </c>
      <c r="F629" s="4" t="str">
        <f aca="false">IFERROR(INDEX(Positions!$E$2:$E$6912,MATCH($A629&amp;"|27",Positions!$A$2:$A$6912,0)),"-")</f>
        <v>U</v>
      </c>
      <c r="G629" s="4" t="str">
        <f aca="false">IFERROR(INDEX(Positions!$E$2:$E$6912,MATCH($A629&amp;"|43",Positions!$A$2:$A$6912,0)),"-")</f>
        <v>A</v>
      </c>
      <c r="H629" s="3" t="str">
        <f aca="false">F629&amp;"-"&amp;G629</f>
        <v>U-A</v>
      </c>
      <c r="I629" s="4" t="n">
        <f aca="false">(F629="G")+(G629="G")</f>
        <v>0</v>
      </c>
      <c r="J629" s="4" t="n">
        <f aca="false">(F629="C")+(G629="C")</f>
        <v>0</v>
      </c>
      <c r="K629" s="3" t="n">
        <f aca="false">I629+J629</f>
        <v>0</v>
      </c>
    </row>
    <row r="630" customFormat="false" ht="15" hidden="false" customHeight="false" outlineLevel="0" collapsed="false">
      <c r="A630" s="4" t="s">
        <v>59</v>
      </c>
      <c r="B630" s="4" t="s">
        <v>446</v>
      </c>
      <c r="C630" s="4" t="s">
        <v>525</v>
      </c>
      <c r="D630" s="4" t="n">
        <f aca="false">IFERROR(INDEX(Positions!$D$2:$D$6912,MATCH($A630&amp;"|28",Positions!$A$2:$A$6912,0)),"-")</f>
        <v>29</v>
      </c>
      <c r="E630" s="4" t="n">
        <f aca="false">IFERROR(INDEX(Positions!$D$2:$D$6912,MATCH($A630&amp;"|42",Positions!$A$2:$A$6912,0)),"-")</f>
        <v>43</v>
      </c>
      <c r="F630" s="4" t="str">
        <f aca="false">IFERROR(INDEX(Positions!$E$2:$E$6912,MATCH($A630&amp;"|28",Positions!$A$2:$A$6912,0)),"-")</f>
        <v>C</v>
      </c>
      <c r="G630" s="4" t="str">
        <f aca="false">IFERROR(INDEX(Positions!$E$2:$E$6912,MATCH($A630&amp;"|42",Positions!$A$2:$A$6912,0)),"-")</f>
        <v>G</v>
      </c>
      <c r="H630" s="3" t="str">
        <f aca="false">F630&amp;"-"&amp;G630</f>
        <v>C-G</v>
      </c>
      <c r="I630" s="4" t="n">
        <f aca="false">(F630="G")+(G630="G")</f>
        <v>1</v>
      </c>
      <c r="J630" s="4" t="n">
        <f aca="false">(F630="C")+(G630="C")</f>
        <v>1</v>
      </c>
      <c r="K630" s="3" t="n">
        <f aca="false">I630+J630</f>
        <v>2</v>
      </c>
    </row>
    <row r="631" customFormat="false" ht="15" hidden="false" customHeight="false" outlineLevel="0" collapsed="false">
      <c r="A631" s="4" t="s">
        <v>59</v>
      </c>
      <c r="B631" s="4" t="s">
        <v>446</v>
      </c>
      <c r="C631" s="4" t="s">
        <v>256</v>
      </c>
      <c r="D631" s="4" t="n">
        <f aca="false">IFERROR(INDEX(Positions!$D$2:$D$6912,MATCH($A631&amp;"|29",Positions!$A$2:$A$6912,0)),"-")</f>
        <v>30</v>
      </c>
      <c r="E631" s="4" t="n">
        <f aca="false">IFERROR(INDEX(Positions!$D$2:$D$6912,MATCH($A631&amp;"|41",Positions!$A$2:$A$6912,0)),"-")</f>
        <v>42</v>
      </c>
      <c r="F631" s="4" t="str">
        <f aca="false">IFERROR(INDEX(Positions!$E$2:$E$6912,MATCH($A631&amp;"|29",Positions!$A$2:$A$6912,0)),"-")</f>
        <v>G</v>
      </c>
      <c r="G631" s="4" t="str">
        <f aca="false">IFERROR(INDEX(Positions!$E$2:$E$6912,MATCH($A631&amp;"|41",Positions!$A$2:$A$6912,0)),"-")</f>
        <v>C</v>
      </c>
      <c r="H631" s="3" t="str">
        <f aca="false">F631&amp;"-"&amp;G631</f>
        <v>G-C</v>
      </c>
      <c r="I631" s="4" t="n">
        <f aca="false">(F631="G")+(G631="G")</f>
        <v>1</v>
      </c>
      <c r="J631" s="4" t="n">
        <f aca="false">(F631="C")+(G631="C")</f>
        <v>1</v>
      </c>
      <c r="K631" s="3" t="n">
        <f aca="false">I631+J631</f>
        <v>2</v>
      </c>
    </row>
    <row r="632" customFormat="false" ht="15" hidden="false" customHeight="false" outlineLevel="0" collapsed="false">
      <c r="A632" s="4" t="s">
        <v>59</v>
      </c>
      <c r="B632" s="4" t="s">
        <v>446</v>
      </c>
      <c r="C632" s="4" t="s">
        <v>526</v>
      </c>
      <c r="D632" s="4" t="n">
        <f aca="false">IFERROR(INDEX(Positions!$D$2:$D$6912,MATCH($A632&amp;"|30",Positions!$A$2:$A$6912,0)),"-")</f>
        <v>31</v>
      </c>
      <c r="E632" s="4" t="n">
        <f aca="false">IFERROR(INDEX(Positions!$D$2:$D$6912,MATCH($A632&amp;"|40",Positions!$A$2:$A$6912,0)),"-")</f>
        <v>41</v>
      </c>
      <c r="F632" s="4" t="str">
        <f aca="false">IFERROR(INDEX(Positions!$E$2:$E$6912,MATCH($A632&amp;"|30",Positions!$A$2:$A$6912,0)),"-")</f>
        <v>U</v>
      </c>
      <c r="G632" s="4" t="str">
        <f aca="false">IFERROR(INDEX(Positions!$E$2:$E$6912,MATCH($A632&amp;"|40",Positions!$A$2:$A$6912,0)),"-")</f>
        <v>G</v>
      </c>
      <c r="H632" s="3" t="str">
        <f aca="false">F632&amp;"-"&amp;G632</f>
        <v>U-G</v>
      </c>
      <c r="I632" s="4" t="n">
        <f aca="false">(F632="G")+(G632="G")</f>
        <v>1</v>
      </c>
      <c r="J632" s="4" t="n">
        <f aca="false">(F632="C")+(G632="C")</f>
        <v>0</v>
      </c>
      <c r="K632" s="3" t="n">
        <f aca="false">I632+J632</f>
        <v>1</v>
      </c>
    </row>
    <row r="633" customFormat="false" ht="15" hidden="false" customHeight="false" outlineLevel="0" collapsed="false">
      <c r="A633" s="4" t="s">
        <v>59</v>
      </c>
      <c r="B633" s="4" t="s">
        <v>446</v>
      </c>
      <c r="C633" s="4" t="s">
        <v>273</v>
      </c>
      <c r="D633" s="4" t="n">
        <f aca="false">IFERROR(INDEX(Positions!$D$2:$D$6912,MATCH($A633&amp;"|31",Positions!$A$2:$A$6912,0)),"-")</f>
        <v>32</v>
      </c>
      <c r="E633" s="4" t="n">
        <f aca="false">IFERROR(INDEX(Positions!$D$2:$D$6912,MATCH($A633&amp;"|39",Positions!$A$2:$A$6912,0)),"-")</f>
        <v>40</v>
      </c>
      <c r="F633" s="4" t="str">
        <f aca="false">IFERROR(INDEX(Positions!$E$2:$E$6912,MATCH($A633&amp;"|31",Positions!$A$2:$A$6912,0)),"-")</f>
        <v>G</v>
      </c>
      <c r="G633" s="4" t="str">
        <f aca="false">IFERROR(INDEX(Positions!$E$2:$E$6912,MATCH($A633&amp;"|39",Positions!$A$2:$A$6912,0)),"-")</f>
        <v>C</v>
      </c>
      <c r="H633" s="3" t="str">
        <f aca="false">F633&amp;"-"&amp;G633</f>
        <v>G-C</v>
      </c>
      <c r="I633" s="4" t="n">
        <f aca="false">(F633="G")+(G633="G")</f>
        <v>1</v>
      </c>
      <c r="J633" s="4" t="n">
        <f aca="false">(F633="C")+(G633="C")</f>
        <v>1</v>
      </c>
      <c r="K633" s="3" t="n">
        <f aca="false">I633+J633</f>
        <v>2</v>
      </c>
    </row>
    <row r="634" customFormat="false" ht="15" hidden="false" customHeight="false" outlineLevel="0" collapsed="false">
      <c r="A634" s="4" t="s">
        <v>59</v>
      </c>
      <c r="B634" s="4" t="s">
        <v>471</v>
      </c>
      <c r="C634" s="4" t="s">
        <v>367</v>
      </c>
      <c r="D634" s="4" t="n">
        <f aca="false">IFERROR(INDEX(Positions!$D$2:$D$6912,MATCH($A634&amp;"|49",Positions!$A$2:$A$6912,0)),"-")</f>
        <v>50</v>
      </c>
      <c r="E634" s="4" t="n">
        <f aca="false">IFERROR(INDEX(Positions!$D$2:$D$6912,MATCH($A634&amp;"|65",Positions!$A$2:$A$6912,0)),"-")</f>
        <v>66</v>
      </c>
      <c r="F634" s="4" t="str">
        <f aca="false">IFERROR(INDEX(Positions!$E$2:$E$6912,MATCH($A634&amp;"|49",Positions!$A$2:$A$6912,0)),"-")</f>
        <v>G</v>
      </c>
      <c r="G634" s="4" t="str">
        <f aca="false">IFERROR(INDEX(Positions!$E$2:$E$6912,MATCH($A634&amp;"|65",Positions!$A$2:$A$6912,0)),"-")</f>
        <v>C</v>
      </c>
      <c r="H634" s="3" t="str">
        <f aca="false">F634&amp;"-"&amp;G634</f>
        <v>G-C</v>
      </c>
      <c r="I634" s="4" t="n">
        <f aca="false">(F634="G")+(G634="G")</f>
        <v>1</v>
      </c>
      <c r="J634" s="4" t="n">
        <f aca="false">(F634="C")+(G634="C")</f>
        <v>1</v>
      </c>
      <c r="K634" s="3" t="n">
        <f aca="false">I634+J634</f>
        <v>2</v>
      </c>
    </row>
    <row r="635" customFormat="false" ht="15" hidden="false" customHeight="false" outlineLevel="0" collapsed="false">
      <c r="A635" s="4" t="s">
        <v>59</v>
      </c>
      <c r="B635" s="4" t="s">
        <v>471</v>
      </c>
      <c r="C635" s="4" t="s">
        <v>233</v>
      </c>
      <c r="D635" s="4" t="n">
        <f aca="false">IFERROR(INDEX(Positions!$D$2:$D$6912,MATCH($A635&amp;"|50",Positions!$A$2:$A$6912,0)),"-")</f>
        <v>51</v>
      </c>
      <c r="E635" s="4" t="n">
        <f aca="false">IFERROR(INDEX(Positions!$D$2:$D$6912,MATCH($A635&amp;"|64",Positions!$A$2:$A$6912,0)),"-")</f>
        <v>65</v>
      </c>
      <c r="F635" s="4" t="str">
        <f aca="false">IFERROR(INDEX(Positions!$E$2:$E$6912,MATCH($A635&amp;"|50",Positions!$A$2:$A$6912,0)),"-")</f>
        <v>C</v>
      </c>
      <c r="G635" s="4" t="str">
        <f aca="false">IFERROR(INDEX(Positions!$E$2:$E$6912,MATCH($A635&amp;"|64",Positions!$A$2:$A$6912,0)),"-")</f>
        <v>U</v>
      </c>
      <c r="H635" s="3" t="str">
        <f aca="false">F635&amp;"-"&amp;G635</f>
        <v>C-U</v>
      </c>
      <c r="I635" s="4" t="n">
        <f aca="false">(F635="G")+(G635="G")</f>
        <v>0</v>
      </c>
      <c r="J635" s="4" t="n">
        <f aca="false">(F635="C")+(G635="C")</f>
        <v>1</v>
      </c>
      <c r="K635" s="3" t="n">
        <f aca="false">I635+J635</f>
        <v>1</v>
      </c>
    </row>
    <row r="636" customFormat="false" ht="15" hidden="false" customHeight="false" outlineLevel="0" collapsed="false">
      <c r="A636" s="4" t="s">
        <v>59</v>
      </c>
      <c r="B636" s="4" t="s">
        <v>471</v>
      </c>
      <c r="C636" s="4" t="s">
        <v>527</v>
      </c>
      <c r="D636" s="4" t="n">
        <f aca="false">IFERROR(INDEX(Positions!$D$2:$D$6912,MATCH($A636&amp;"|51",Positions!$A$2:$A$6912,0)),"-")</f>
        <v>52</v>
      </c>
      <c r="E636" s="4" t="n">
        <f aca="false">IFERROR(INDEX(Positions!$D$2:$D$6912,MATCH($A636&amp;"|63",Positions!$A$2:$A$6912,0)),"-")</f>
        <v>64</v>
      </c>
      <c r="F636" s="4" t="str">
        <f aca="false">IFERROR(INDEX(Positions!$E$2:$E$6912,MATCH($A636&amp;"|51",Positions!$A$2:$A$6912,0)),"-")</f>
        <v>G</v>
      </c>
      <c r="G636" s="4" t="str">
        <f aca="false">IFERROR(INDEX(Positions!$E$2:$E$6912,MATCH($A636&amp;"|63",Positions!$A$2:$A$6912,0)),"-")</f>
        <v>C</v>
      </c>
      <c r="H636" s="3" t="str">
        <f aca="false">F636&amp;"-"&amp;G636</f>
        <v>G-C</v>
      </c>
      <c r="I636" s="4" t="n">
        <f aca="false">(F636="G")+(G636="G")</f>
        <v>1</v>
      </c>
      <c r="J636" s="4" t="n">
        <f aca="false">(F636="C")+(G636="C")</f>
        <v>1</v>
      </c>
      <c r="K636" s="3" t="n">
        <f aca="false">I636+J636</f>
        <v>2</v>
      </c>
    </row>
    <row r="637" customFormat="false" ht="15" hidden="false" customHeight="false" outlineLevel="0" collapsed="false">
      <c r="A637" s="4" t="s">
        <v>59</v>
      </c>
      <c r="B637" s="4" t="s">
        <v>471</v>
      </c>
      <c r="C637" s="4" t="s">
        <v>528</v>
      </c>
      <c r="D637" s="4" t="n">
        <f aca="false">IFERROR(INDEX(Positions!$D$2:$D$6912,MATCH($A637&amp;"|52",Positions!$A$2:$A$6912,0)),"-")</f>
        <v>53</v>
      </c>
      <c r="E637" s="4" t="n">
        <f aca="false">IFERROR(INDEX(Positions!$D$2:$D$6912,MATCH($A637&amp;"|62",Positions!$A$2:$A$6912,0)),"-")</f>
        <v>63</v>
      </c>
      <c r="F637" s="4" t="str">
        <f aca="false">IFERROR(INDEX(Positions!$E$2:$E$6912,MATCH($A637&amp;"|52",Positions!$A$2:$A$6912,0)),"-")</f>
        <v>G</v>
      </c>
      <c r="G637" s="4" t="str">
        <f aca="false">IFERROR(INDEX(Positions!$E$2:$E$6912,MATCH($A637&amp;"|62",Positions!$A$2:$A$6912,0)),"-")</f>
        <v>C</v>
      </c>
      <c r="H637" s="3" t="str">
        <f aca="false">F637&amp;"-"&amp;G637</f>
        <v>G-C</v>
      </c>
      <c r="I637" s="4" t="n">
        <f aca="false">(F637="G")+(G637="G")</f>
        <v>1</v>
      </c>
      <c r="J637" s="4" t="n">
        <f aca="false">(F637="C")+(G637="C")</f>
        <v>1</v>
      </c>
      <c r="K637" s="3" t="n">
        <f aca="false">I637+J637</f>
        <v>2</v>
      </c>
    </row>
    <row r="638" customFormat="false" ht="15" hidden="false" customHeight="false" outlineLevel="0" collapsed="false">
      <c r="A638" s="4" t="s">
        <v>59</v>
      </c>
      <c r="B638" s="4" t="s">
        <v>471</v>
      </c>
      <c r="C638" s="4" t="s">
        <v>529</v>
      </c>
      <c r="D638" s="4" t="n">
        <f aca="false">IFERROR(INDEX(Positions!$D$2:$D$6912,MATCH($A638&amp;"|53",Positions!$A$2:$A$6912,0)),"-")</f>
        <v>54</v>
      </c>
      <c r="E638" s="4" t="n">
        <f aca="false">IFERROR(INDEX(Positions!$D$2:$D$6912,MATCH($A638&amp;"|61",Positions!$A$2:$A$6912,0)),"-")</f>
        <v>62</v>
      </c>
      <c r="F638" s="4" t="str">
        <f aca="false">IFERROR(INDEX(Positions!$E$2:$E$6912,MATCH($A638&amp;"|53",Positions!$A$2:$A$6912,0)),"-")</f>
        <v>G</v>
      </c>
      <c r="G638" s="4" t="str">
        <f aca="false">IFERROR(INDEX(Positions!$E$2:$E$6912,MATCH($A638&amp;"|61",Positions!$A$2:$A$6912,0)),"-")</f>
        <v>C</v>
      </c>
      <c r="H638" s="3" t="str">
        <f aca="false">F638&amp;"-"&amp;G638</f>
        <v>G-C</v>
      </c>
      <c r="I638" s="4" t="n">
        <f aca="false">(F638="G")+(G638="G")</f>
        <v>1</v>
      </c>
      <c r="J638" s="4" t="n">
        <f aca="false">(F638="C")+(G638="C")</f>
        <v>1</v>
      </c>
      <c r="K638" s="3" t="n">
        <f aca="false">I638+J638</f>
        <v>2</v>
      </c>
    </row>
    <row r="639" customFormat="false" ht="15" hidden="false" customHeight="false" outlineLevel="0" collapsed="false">
      <c r="A639" s="24" t="s">
        <v>59</v>
      </c>
      <c r="B639" s="24" t="s">
        <v>530</v>
      </c>
      <c r="C639" s="24" t="s">
        <v>531</v>
      </c>
      <c r="D639" s="24" t="n">
        <f aca="false">IFERROR(INDEX(Positions!$D$2:$D$6912,MATCH($A639&amp;"|8",Positions!$A$2:$A$6912,0)),"-")</f>
        <v>8</v>
      </c>
      <c r="E639" s="24" t="n">
        <f aca="false">IFERROR(INDEX(Positions!$D$2:$D$6912,MATCH($A639&amp;"|14",Positions!$A$2:$A$6912,0)),"-")</f>
        <v>14</v>
      </c>
      <c r="F639" s="24" t="str">
        <f aca="false">IFERROR(INDEX(Positions!$E$2:$E$6912,MATCH($A639&amp;"|8",Positions!$A$2:$A$6912,0)),"-")</f>
        <v>U</v>
      </c>
      <c r="G639" s="24" t="str">
        <f aca="false">IFERROR(INDEX(Positions!$E$2:$E$6912,MATCH($A639&amp;"|14",Positions!$A$2:$A$6912,0)),"-")</f>
        <v>A</v>
      </c>
      <c r="H639" s="25" t="str">
        <f aca="false">F639&amp;"-"&amp;G639</f>
        <v>U-A</v>
      </c>
      <c r="I639" s="24" t="n">
        <f aca="false">(F639="G")+(G639="G")</f>
        <v>0</v>
      </c>
      <c r="J639" s="24" t="n">
        <f aca="false">(F639="C")+(G639="C")</f>
        <v>0</v>
      </c>
      <c r="K639" s="25" t="n">
        <f aca="false">I639+J639</f>
        <v>0</v>
      </c>
    </row>
    <row r="640" customFormat="false" ht="15" hidden="false" customHeight="false" outlineLevel="0" collapsed="false">
      <c r="A640" s="24" t="s">
        <v>59</v>
      </c>
      <c r="B640" s="24" t="s">
        <v>530</v>
      </c>
      <c r="C640" s="24" t="s">
        <v>532</v>
      </c>
      <c r="D640" s="24" t="n">
        <f aca="false">IFERROR(INDEX(Positions!$D$2:$D$6912,MATCH($A640&amp;"|15",Positions!$A$2:$A$6912,0)),"-")</f>
        <v>15</v>
      </c>
      <c r="E640" s="24" t="n">
        <f aca="false">IFERROR(INDEX(Positions!$D$2:$D$6912,MATCH($A640&amp;"|48",Positions!$A$2:$A$6912,0)),"-")</f>
        <v>49</v>
      </c>
      <c r="F640" s="24" t="str">
        <f aca="false">IFERROR(INDEX(Positions!$E$2:$E$6912,MATCH($A640&amp;"|15",Positions!$A$2:$A$6912,0)),"-")</f>
        <v>G</v>
      </c>
      <c r="G640" s="24" t="str">
        <f aca="false">IFERROR(INDEX(Positions!$E$2:$E$6912,MATCH($A640&amp;"|48",Positions!$A$2:$A$6912,0)),"-")</f>
        <v>C</v>
      </c>
      <c r="H640" s="25" t="str">
        <f aca="false">F640&amp;"-"&amp;G640</f>
        <v>G-C</v>
      </c>
      <c r="I640" s="24" t="n">
        <f aca="false">(F640="G")+(G640="G")</f>
        <v>1</v>
      </c>
      <c r="J640" s="24" t="n">
        <f aca="false">(F640="C")+(G640="C")</f>
        <v>1</v>
      </c>
      <c r="K640" s="25" t="n">
        <f aca="false">I640+J640</f>
        <v>2</v>
      </c>
    </row>
    <row r="641" customFormat="false" ht="15" hidden="false" customHeight="false" outlineLevel="0" collapsed="false">
      <c r="A641" s="24" t="s">
        <v>59</v>
      </c>
      <c r="B641" s="24" t="s">
        <v>530</v>
      </c>
      <c r="C641" s="24" t="s">
        <v>533</v>
      </c>
      <c r="D641" s="24" t="n">
        <f aca="false">IFERROR(INDEX(Positions!$D$2:$D$6912,MATCH($A641&amp;"|18",Positions!$A$2:$A$6912,0)),"-")</f>
        <v>18</v>
      </c>
      <c r="E641" s="24" t="n">
        <f aca="false">IFERROR(INDEX(Positions!$D$2:$D$6912,MATCH($A641&amp;"|55",Positions!$A$2:$A$6912,0)),"-")</f>
        <v>56</v>
      </c>
      <c r="F641" s="24" t="str">
        <f aca="false">IFERROR(INDEX(Positions!$E$2:$E$6912,MATCH($A641&amp;"|18",Positions!$A$2:$A$6912,0)),"-")</f>
        <v>G</v>
      </c>
      <c r="G641" s="24" t="str">
        <f aca="false">IFERROR(INDEX(Positions!$E$2:$E$6912,MATCH($A641&amp;"|55",Positions!$A$2:$A$6912,0)),"-")</f>
        <v>U</v>
      </c>
      <c r="H641" s="25" t="str">
        <f aca="false">F641&amp;"-"&amp;G641</f>
        <v>G-U</v>
      </c>
      <c r="I641" s="24" t="n">
        <f aca="false">(F641="G")+(G641="G")</f>
        <v>1</v>
      </c>
      <c r="J641" s="24" t="n">
        <f aca="false">(F641="C")+(G641="C")</f>
        <v>0</v>
      </c>
      <c r="K641" s="25" t="n">
        <f aca="false">I641+J641</f>
        <v>1</v>
      </c>
    </row>
    <row r="642" customFormat="false" ht="15" hidden="false" customHeight="false" outlineLevel="0" collapsed="false">
      <c r="A642" s="24" t="s">
        <v>59</v>
      </c>
      <c r="B642" s="24" t="s">
        <v>530</v>
      </c>
      <c r="C642" s="24" t="s">
        <v>534</v>
      </c>
      <c r="D642" s="24" t="n">
        <f aca="false">IFERROR(INDEX(Positions!$D$2:$D$6912,MATCH($A642&amp;"|19",Positions!$A$2:$A$6912,0)),"-")</f>
        <v>19</v>
      </c>
      <c r="E642" s="24" t="n">
        <f aca="false">IFERROR(INDEX(Positions!$D$2:$D$6912,MATCH($A642&amp;"|56",Positions!$A$2:$A$6912,0)),"-")</f>
        <v>57</v>
      </c>
      <c r="F642" s="24" t="str">
        <f aca="false">IFERROR(INDEX(Positions!$E$2:$E$6912,MATCH($A642&amp;"|19",Positions!$A$2:$A$6912,0)),"-")</f>
        <v>G</v>
      </c>
      <c r="G642" s="24" t="str">
        <f aca="false">IFERROR(INDEX(Positions!$E$2:$E$6912,MATCH($A642&amp;"|56",Positions!$A$2:$A$6912,0)),"-")</f>
        <v>C</v>
      </c>
      <c r="H642" s="25" t="str">
        <f aca="false">F642&amp;"-"&amp;G642</f>
        <v>G-C</v>
      </c>
      <c r="I642" s="24" t="n">
        <f aca="false">(F642="G")+(G642="G")</f>
        <v>1</v>
      </c>
      <c r="J642" s="24" t="n">
        <f aca="false">(F642="C")+(G642="C")</f>
        <v>1</v>
      </c>
      <c r="K642" s="25" t="n">
        <f aca="false">I642+J642</f>
        <v>2</v>
      </c>
    </row>
    <row r="643" customFormat="false" ht="15" hidden="false" customHeight="false" outlineLevel="0" collapsed="false">
      <c r="A643" s="24" t="s">
        <v>59</v>
      </c>
      <c r="B643" s="24" t="s">
        <v>530</v>
      </c>
      <c r="C643" s="24" t="s">
        <v>535</v>
      </c>
      <c r="D643" s="24" t="n">
        <f aca="false">IFERROR(INDEX(Positions!$D$2:$D$6912,MATCH($A643&amp;"|26",Positions!$A$2:$A$6912,0)),"-")</f>
        <v>27</v>
      </c>
      <c r="E643" s="24" t="n">
        <f aca="false">IFERROR(INDEX(Positions!$D$2:$D$6912,MATCH($A643&amp;"|44",Positions!$A$2:$A$6912,0)),"-")</f>
        <v>45</v>
      </c>
      <c r="F643" s="24" t="str">
        <f aca="false">IFERROR(INDEX(Positions!$E$2:$E$6912,MATCH($A643&amp;"|26",Positions!$A$2:$A$6912,0)),"-")</f>
        <v>G</v>
      </c>
      <c r="G643" s="24" t="str">
        <f aca="false">IFERROR(INDEX(Positions!$E$2:$E$6912,MATCH($A643&amp;"|44",Positions!$A$2:$A$6912,0)),"-")</f>
        <v>A</v>
      </c>
      <c r="H643" s="25" t="str">
        <f aca="false">F643&amp;"-"&amp;G643</f>
        <v>G-A</v>
      </c>
      <c r="I643" s="24" t="n">
        <f aca="false">(F643="G")+(G643="G")</f>
        <v>1</v>
      </c>
      <c r="J643" s="24" t="n">
        <f aca="false">(F643="C")+(G643="C")</f>
        <v>0</v>
      </c>
      <c r="K643" s="25" t="n">
        <f aca="false">I643+J643</f>
        <v>1</v>
      </c>
    </row>
    <row r="644" customFormat="false" ht="15" hidden="false" customHeight="false" outlineLevel="0" collapsed="false">
      <c r="A644" s="24" t="s">
        <v>59</v>
      </c>
      <c r="B644" s="24" t="s">
        <v>530</v>
      </c>
      <c r="C644" s="24" t="s">
        <v>536</v>
      </c>
      <c r="D644" s="24" t="n">
        <f aca="false">IFERROR(INDEX(Positions!$D$2:$D$6912,MATCH($A644&amp;"|32",Positions!$A$2:$A$6912,0)),"-")</f>
        <v>33</v>
      </c>
      <c r="E644" s="24" t="n">
        <f aca="false">IFERROR(INDEX(Positions!$D$2:$D$6912,MATCH($A644&amp;"|38",Positions!$A$2:$A$6912,0)),"-")</f>
        <v>39</v>
      </c>
      <c r="F644" s="24" t="str">
        <f aca="false">IFERROR(INDEX(Positions!$E$2:$E$6912,MATCH($A644&amp;"|32",Positions!$A$2:$A$6912,0)),"-")</f>
        <v>C</v>
      </c>
      <c r="G644" s="24" t="str">
        <f aca="false">IFERROR(INDEX(Positions!$E$2:$E$6912,MATCH($A644&amp;"|38",Positions!$A$2:$A$6912,0)),"-")</f>
        <v>A</v>
      </c>
      <c r="H644" s="25" t="str">
        <f aca="false">F644&amp;"-"&amp;G644</f>
        <v>C-A</v>
      </c>
      <c r="I644" s="24" t="n">
        <f aca="false">(F644="G")+(G644="G")</f>
        <v>0</v>
      </c>
      <c r="J644" s="24" t="n">
        <f aca="false">(F644="C")+(G644="C")</f>
        <v>1</v>
      </c>
      <c r="K644" s="25" t="n">
        <f aca="false">I644+J644</f>
        <v>1</v>
      </c>
    </row>
    <row r="645" customFormat="false" ht="15" hidden="false" customHeight="false" outlineLevel="0" collapsed="false">
      <c r="A645" s="24" t="s">
        <v>59</v>
      </c>
      <c r="B645" s="24" t="s">
        <v>530</v>
      </c>
      <c r="C645" s="24" t="s">
        <v>537</v>
      </c>
      <c r="D645" s="24" t="n">
        <f aca="false">IFERROR(INDEX(Positions!$D$2:$D$6912,MATCH($A645&amp;"|54",Positions!$A$2:$A$6912,0)),"-")</f>
        <v>55</v>
      </c>
      <c r="E645" s="24" t="n">
        <f aca="false">IFERROR(INDEX(Positions!$D$2:$D$6912,MATCH($A645&amp;"|58",Positions!$A$2:$A$6912,0)),"-")</f>
        <v>59</v>
      </c>
      <c r="F645" s="24" t="str">
        <f aca="false">IFERROR(INDEX(Positions!$E$2:$E$6912,MATCH($A645&amp;"|54",Positions!$A$2:$A$6912,0)),"-")</f>
        <v>U</v>
      </c>
      <c r="G645" s="24" t="str">
        <f aca="false">IFERROR(INDEX(Positions!$E$2:$E$6912,MATCH($A645&amp;"|58",Positions!$A$2:$A$6912,0)),"-")</f>
        <v>A</v>
      </c>
      <c r="H645" s="25" t="str">
        <f aca="false">F645&amp;"-"&amp;G645</f>
        <v>U-A</v>
      </c>
      <c r="I645" s="24" t="n">
        <f aca="false">(F645="G")+(G645="G")</f>
        <v>0</v>
      </c>
      <c r="J645" s="24" t="n">
        <f aca="false">(F645="C")+(G645="C")</f>
        <v>0</v>
      </c>
      <c r="K645" s="25" t="n">
        <f aca="false">I645+J645</f>
        <v>0</v>
      </c>
    </row>
    <row r="646" customFormat="false" ht="15" hidden="false" customHeight="false" outlineLevel="0" collapsed="false">
      <c r="A646" s="4" t="s">
        <v>60</v>
      </c>
      <c r="B646" s="4" t="s">
        <v>412</v>
      </c>
      <c r="C646" s="4" t="s">
        <v>517</v>
      </c>
      <c r="D646" s="4" t="n">
        <f aca="false">IFERROR(INDEX(Positions!$D$2:$D$6912,MATCH($A646&amp;"|1",Positions!$A$2:$A$6912,0)),"-")</f>
        <v>1</v>
      </c>
      <c r="E646" s="4" t="n">
        <f aca="false">IFERROR(INDEX(Positions!$D$2:$D$6912,MATCH($A646&amp;"|72",Positions!$A$2:$A$6912,0)),"-")</f>
        <v>72</v>
      </c>
      <c r="F646" s="4" t="str">
        <f aca="false">IFERROR(INDEX(Positions!$E$2:$E$6912,MATCH($A646&amp;"|1",Positions!$A$2:$A$6912,0)),"-")</f>
        <v>G</v>
      </c>
      <c r="G646" s="4" t="str">
        <f aca="false">IFERROR(INDEX(Positions!$E$2:$E$6912,MATCH($A646&amp;"|72",Positions!$A$2:$A$6912,0)),"-")</f>
        <v>C</v>
      </c>
      <c r="H646" s="3" t="str">
        <f aca="false">F646&amp;"-"&amp;G646</f>
        <v>G-C</v>
      </c>
      <c r="I646" s="4" t="n">
        <f aca="false">(F646="G")+(G646="G")</f>
        <v>1</v>
      </c>
      <c r="J646" s="4" t="n">
        <f aca="false">(F646="C")+(G646="C")</f>
        <v>1</v>
      </c>
      <c r="K646" s="3" t="n">
        <f aca="false">I646+J646</f>
        <v>2</v>
      </c>
    </row>
    <row r="647" customFormat="false" ht="15" hidden="false" customHeight="false" outlineLevel="0" collapsed="false">
      <c r="A647" s="4" t="s">
        <v>60</v>
      </c>
      <c r="B647" s="4" t="s">
        <v>412</v>
      </c>
      <c r="C647" s="4" t="s">
        <v>518</v>
      </c>
      <c r="D647" s="4" t="n">
        <f aca="false">IFERROR(INDEX(Positions!$D$2:$D$6912,MATCH($A647&amp;"|2",Positions!$A$2:$A$6912,0)),"-")</f>
        <v>2</v>
      </c>
      <c r="E647" s="4" t="n">
        <f aca="false">IFERROR(INDEX(Positions!$D$2:$D$6912,MATCH($A647&amp;"|71",Positions!$A$2:$A$6912,0)),"-")</f>
        <v>71</v>
      </c>
      <c r="F647" s="4" t="str">
        <f aca="false">IFERROR(INDEX(Positions!$E$2:$E$6912,MATCH($A647&amp;"|2",Positions!$A$2:$A$6912,0)),"-")</f>
        <v>C</v>
      </c>
      <c r="G647" s="4" t="str">
        <f aca="false">IFERROR(INDEX(Positions!$E$2:$E$6912,MATCH($A647&amp;"|71",Positions!$A$2:$A$6912,0)),"-")</f>
        <v>G</v>
      </c>
      <c r="H647" s="3" t="str">
        <f aca="false">F647&amp;"-"&amp;G647</f>
        <v>C-G</v>
      </c>
      <c r="I647" s="4" t="n">
        <f aca="false">(F647="G")+(G647="G")</f>
        <v>1</v>
      </c>
      <c r="J647" s="4" t="n">
        <f aca="false">(F647="C")+(G647="C")</f>
        <v>1</v>
      </c>
      <c r="K647" s="3" t="n">
        <f aca="false">I647+J647</f>
        <v>2</v>
      </c>
    </row>
    <row r="648" customFormat="false" ht="15" hidden="false" customHeight="false" outlineLevel="0" collapsed="false">
      <c r="A648" s="4" t="s">
        <v>60</v>
      </c>
      <c r="B648" s="4" t="s">
        <v>412</v>
      </c>
      <c r="C648" s="4" t="s">
        <v>386</v>
      </c>
      <c r="D648" s="4" t="n">
        <f aca="false">IFERROR(INDEX(Positions!$D$2:$D$6912,MATCH($A648&amp;"|3",Positions!$A$2:$A$6912,0)),"-")</f>
        <v>3</v>
      </c>
      <c r="E648" s="4" t="n">
        <f aca="false">IFERROR(INDEX(Positions!$D$2:$D$6912,MATCH($A648&amp;"|70",Positions!$A$2:$A$6912,0)),"-")</f>
        <v>70</v>
      </c>
      <c r="F648" s="4" t="str">
        <f aca="false">IFERROR(INDEX(Positions!$E$2:$E$6912,MATCH($A648&amp;"|3",Positions!$A$2:$A$6912,0)),"-")</f>
        <v>C</v>
      </c>
      <c r="G648" s="4" t="str">
        <f aca="false">IFERROR(INDEX(Positions!$E$2:$E$6912,MATCH($A648&amp;"|70",Positions!$A$2:$A$6912,0)),"-")</f>
        <v>G</v>
      </c>
      <c r="H648" s="3" t="str">
        <f aca="false">F648&amp;"-"&amp;G648</f>
        <v>C-G</v>
      </c>
      <c r="I648" s="4" t="n">
        <f aca="false">(F648="G")+(G648="G")</f>
        <v>1</v>
      </c>
      <c r="J648" s="4" t="n">
        <f aca="false">(F648="C")+(G648="C")</f>
        <v>1</v>
      </c>
      <c r="K648" s="3" t="n">
        <f aca="false">I648+J648</f>
        <v>2</v>
      </c>
    </row>
    <row r="649" customFormat="false" ht="15" hidden="false" customHeight="false" outlineLevel="0" collapsed="false">
      <c r="A649" s="4" t="s">
        <v>60</v>
      </c>
      <c r="B649" s="4" t="s">
        <v>412</v>
      </c>
      <c r="C649" s="4" t="s">
        <v>519</v>
      </c>
      <c r="D649" s="4" t="n">
        <f aca="false">IFERROR(INDEX(Positions!$D$2:$D$6912,MATCH($A649&amp;"|4",Positions!$A$2:$A$6912,0)),"-")</f>
        <v>4</v>
      </c>
      <c r="E649" s="4" t="n">
        <f aca="false">IFERROR(INDEX(Positions!$D$2:$D$6912,MATCH($A649&amp;"|69",Positions!$A$2:$A$6912,0)),"-")</f>
        <v>69</v>
      </c>
      <c r="F649" s="4" t="str">
        <f aca="false">IFERROR(INDEX(Positions!$E$2:$E$6912,MATCH($A649&amp;"|4",Positions!$A$2:$A$6912,0)),"-")</f>
        <v>G</v>
      </c>
      <c r="G649" s="4" t="str">
        <f aca="false">IFERROR(INDEX(Positions!$E$2:$E$6912,MATCH($A649&amp;"|69",Positions!$A$2:$A$6912,0)),"-")</f>
        <v>C</v>
      </c>
      <c r="H649" s="3" t="str">
        <f aca="false">F649&amp;"-"&amp;G649</f>
        <v>G-C</v>
      </c>
      <c r="I649" s="4" t="n">
        <f aca="false">(F649="G")+(G649="G")</f>
        <v>1</v>
      </c>
      <c r="J649" s="4" t="n">
        <f aca="false">(F649="C")+(G649="C")</f>
        <v>1</v>
      </c>
      <c r="K649" s="3" t="n">
        <f aca="false">I649+J649</f>
        <v>2</v>
      </c>
    </row>
    <row r="650" customFormat="false" ht="15" hidden="false" customHeight="false" outlineLevel="0" collapsed="false">
      <c r="A650" s="4" t="s">
        <v>60</v>
      </c>
      <c r="B650" s="4" t="s">
        <v>412</v>
      </c>
      <c r="C650" s="4" t="s">
        <v>283</v>
      </c>
      <c r="D650" s="4" t="n">
        <f aca="false">IFERROR(INDEX(Positions!$D$2:$D$6912,MATCH($A650&amp;"|5",Positions!$A$2:$A$6912,0)),"-")</f>
        <v>5</v>
      </c>
      <c r="E650" s="4" t="n">
        <f aca="false">IFERROR(INDEX(Positions!$D$2:$D$6912,MATCH($A650&amp;"|68",Positions!$A$2:$A$6912,0)),"-")</f>
        <v>68</v>
      </c>
      <c r="F650" s="4" t="str">
        <f aca="false">IFERROR(INDEX(Positions!$E$2:$E$6912,MATCH($A650&amp;"|5",Positions!$A$2:$A$6912,0)),"-")</f>
        <v>A</v>
      </c>
      <c r="G650" s="4" t="str">
        <f aca="false">IFERROR(INDEX(Positions!$E$2:$E$6912,MATCH($A650&amp;"|68",Positions!$A$2:$A$6912,0)),"-")</f>
        <v>U</v>
      </c>
      <c r="H650" s="3" t="str">
        <f aca="false">F650&amp;"-"&amp;G650</f>
        <v>A-U</v>
      </c>
      <c r="I650" s="4" t="n">
        <f aca="false">(F650="G")+(G650="G")</f>
        <v>0</v>
      </c>
      <c r="J650" s="4" t="n">
        <f aca="false">(F650="C")+(G650="C")</f>
        <v>0</v>
      </c>
      <c r="K650" s="3" t="n">
        <f aca="false">I650+J650</f>
        <v>0</v>
      </c>
    </row>
    <row r="651" customFormat="false" ht="15" hidden="false" customHeight="false" outlineLevel="0" collapsed="false">
      <c r="A651" s="4" t="s">
        <v>60</v>
      </c>
      <c r="B651" s="4" t="s">
        <v>412</v>
      </c>
      <c r="C651" s="4" t="s">
        <v>520</v>
      </c>
      <c r="D651" s="4" t="n">
        <f aca="false">IFERROR(INDEX(Positions!$D$2:$D$6912,MATCH($A651&amp;"|6",Positions!$A$2:$A$6912,0)),"-")</f>
        <v>6</v>
      </c>
      <c r="E651" s="4" t="n">
        <f aca="false">IFERROR(INDEX(Positions!$D$2:$D$6912,MATCH($A651&amp;"|67",Positions!$A$2:$A$6912,0)),"-")</f>
        <v>67</v>
      </c>
      <c r="F651" s="4" t="str">
        <f aca="false">IFERROR(INDEX(Positions!$E$2:$E$6912,MATCH($A651&amp;"|6",Positions!$A$2:$A$6912,0)),"-")</f>
        <v>A</v>
      </c>
      <c r="G651" s="4" t="str">
        <f aca="false">IFERROR(INDEX(Positions!$E$2:$E$6912,MATCH($A651&amp;"|67",Positions!$A$2:$A$6912,0)),"-")</f>
        <v>U</v>
      </c>
      <c r="H651" s="3" t="str">
        <f aca="false">F651&amp;"-"&amp;G651</f>
        <v>A-U</v>
      </c>
      <c r="I651" s="4" t="n">
        <f aca="false">(F651="G")+(G651="G")</f>
        <v>0</v>
      </c>
      <c r="J651" s="4" t="n">
        <f aca="false">(F651="C")+(G651="C")</f>
        <v>0</v>
      </c>
      <c r="K651" s="3" t="n">
        <f aca="false">I651+J651</f>
        <v>0</v>
      </c>
    </row>
    <row r="652" customFormat="false" ht="15" hidden="false" customHeight="false" outlineLevel="0" collapsed="false">
      <c r="A652" s="4" t="s">
        <v>60</v>
      </c>
      <c r="B652" s="4" t="s">
        <v>412</v>
      </c>
      <c r="C652" s="4" t="s">
        <v>521</v>
      </c>
      <c r="D652" s="4" t="n">
        <f aca="false">IFERROR(INDEX(Positions!$D$2:$D$6912,MATCH($A652&amp;"|7",Positions!$A$2:$A$6912,0)),"-")</f>
        <v>7</v>
      </c>
      <c r="E652" s="4" t="n">
        <f aca="false">IFERROR(INDEX(Positions!$D$2:$D$6912,MATCH($A652&amp;"|66",Positions!$A$2:$A$6912,0)),"-")</f>
        <v>66</v>
      </c>
      <c r="F652" s="4" t="str">
        <f aca="false">IFERROR(INDEX(Positions!$E$2:$E$6912,MATCH($A652&amp;"|7",Positions!$A$2:$A$6912,0)),"-")</f>
        <v>A</v>
      </c>
      <c r="G652" s="4" t="str">
        <f aca="false">IFERROR(INDEX(Positions!$E$2:$E$6912,MATCH($A652&amp;"|66",Positions!$A$2:$A$6912,0)),"-")</f>
        <v>U</v>
      </c>
      <c r="H652" s="3" t="str">
        <f aca="false">F652&amp;"-"&amp;G652</f>
        <v>A-U</v>
      </c>
      <c r="I652" s="4" t="n">
        <f aca="false">(F652="G")+(G652="G")</f>
        <v>0</v>
      </c>
      <c r="J652" s="4" t="n">
        <f aca="false">(F652="C")+(G652="C")</f>
        <v>0</v>
      </c>
      <c r="K652" s="3" t="n">
        <f aca="false">I652+J652</f>
        <v>0</v>
      </c>
    </row>
    <row r="653" customFormat="false" ht="15" hidden="false" customHeight="false" outlineLevel="0" collapsed="false">
      <c r="A653" s="4" t="s">
        <v>60</v>
      </c>
      <c r="B653" s="4" t="s">
        <v>425</v>
      </c>
      <c r="C653" s="4" t="s">
        <v>522</v>
      </c>
      <c r="D653" s="4" t="n">
        <f aca="false">IFERROR(INDEX(Positions!$D$2:$D$6912,MATCH($A653&amp;"|10",Positions!$A$2:$A$6912,0)),"-")</f>
        <v>10</v>
      </c>
      <c r="E653" s="4" t="n">
        <f aca="false">IFERROR(INDEX(Positions!$D$2:$D$6912,MATCH($A653&amp;"|25",Positions!$A$2:$A$6912,0)),"-")</f>
        <v>25</v>
      </c>
      <c r="F653" s="4" t="str">
        <f aca="false">IFERROR(INDEX(Positions!$E$2:$E$6912,MATCH($A653&amp;"|10",Positions!$A$2:$A$6912,0)),"-")</f>
        <v>G</v>
      </c>
      <c r="G653" s="4" t="str">
        <f aca="false">IFERROR(INDEX(Positions!$E$2:$E$6912,MATCH($A653&amp;"|25",Positions!$A$2:$A$6912,0)),"-")</f>
        <v>C</v>
      </c>
      <c r="H653" s="3" t="str">
        <f aca="false">F653&amp;"-"&amp;G653</f>
        <v>G-C</v>
      </c>
      <c r="I653" s="4" t="n">
        <f aca="false">(F653="G")+(G653="G")</f>
        <v>1</v>
      </c>
      <c r="J653" s="4" t="n">
        <f aca="false">(F653="C")+(G653="C")</f>
        <v>1</v>
      </c>
      <c r="K653" s="3" t="n">
        <f aca="false">I653+J653</f>
        <v>2</v>
      </c>
    </row>
    <row r="654" customFormat="false" ht="15" hidden="false" customHeight="false" outlineLevel="0" collapsed="false">
      <c r="A654" s="4" t="s">
        <v>60</v>
      </c>
      <c r="B654" s="4" t="s">
        <v>425</v>
      </c>
      <c r="C654" s="4" t="s">
        <v>523</v>
      </c>
      <c r="D654" s="4" t="n">
        <f aca="false">IFERROR(INDEX(Positions!$D$2:$D$6912,MATCH($A654&amp;"|11",Positions!$A$2:$A$6912,0)),"-")</f>
        <v>11</v>
      </c>
      <c r="E654" s="4" t="n">
        <f aca="false">IFERROR(INDEX(Positions!$D$2:$D$6912,MATCH($A654&amp;"|24",Positions!$A$2:$A$6912,0)),"-")</f>
        <v>24</v>
      </c>
      <c r="F654" s="4" t="str">
        <f aca="false">IFERROR(INDEX(Positions!$E$2:$E$6912,MATCH($A654&amp;"|11",Positions!$A$2:$A$6912,0)),"-")</f>
        <v>C</v>
      </c>
      <c r="G654" s="4" t="str">
        <f aca="false">IFERROR(INDEX(Positions!$E$2:$E$6912,MATCH($A654&amp;"|24",Positions!$A$2:$A$6912,0)),"-")</f>
        <v>G</v>
      </c>
      <c r="H654" s="3" t="str">
        <f aca="false">F654&amp;"-"&amp;G654</f>
        <v>C-G</v>
      </c>
      <c r="I654" s="4" t="n">
        <f aca="false">(F654="G")+(G654="G")</f>
        <v>1</v>
      </c>
      <c r="J654" s="4" t="n">
        <f aca="false">(F654="C")+(G654="C")</f>
        <v>1</v>
      </c>
      <c r="K654" s="3" t="n">
        <f aca="false">I654+J654</f>
        <v>2</v>
      </c>
    </row>
    <row r="655" customFormat="false" ht="15" hidden="false" customHeight="false" outlineLevel="0" collapsed="false">
      <c r="A655" s="4" t="s">
        <v>60</v>
      </c>
      <c r="B655" s="4" t="s">
        <v>425</v>
      </c>
      <c r="C655" s="4" t="s">
        <v>250</v>
      </c>
      <c r="D655" s="4" t="n">
        <f aca="false">IFERROR(INDEX(Positions!$D$2:$D$6912,MATCH($A655&amp;"|12",Positions!$A$2:$A$6912,0)),"-")</f>
        <v>12</v>
      </c>
      <c r="E655" s="4" t="n">
        <f aca="false">IFERROR(INDEX(Positions!$D$2:$D$6912,MATCH($A655&amp;"|23",Positions!$A$2:$A$6912,0)),"-")</f>
        <v>23</v>
      </c>
      <c r="F655" s="4" t="str">
        <f aca="false">IFERROR(INDEX(Positions!$E$2:$E$6912,MATCH($A655&amp;"|12",Positions!$A$2:$A$6912,0)),"-")</f>
        <v>U</v>
      </c>
      <c r="G655" s="4" t="str">
        <f aca="false">IFERROR(INDEX(Positions!$E$2:$E$6912,MATCH($A655&amp;"|23",Positions!$A$2:$A$6912,0)),"-")</f>
        <v>A</v>
      </c>
      <c r="H655" s="3" t="str">
        <f aca="false">F655&amp;"-"&amp;G655</f>
        <v>U-A</v>
      </c>
      <c r="I655" s="4" t="n">
        <f aca="false">(F655="G")+(G655="G")</f>
        <v>0</v>
      </c>
      <c r="J655" s="4" t="n">
        <f aca="false">(F655="C")+(G655="C")</f>
        <v>0</v>
      </c>
      <c r="K655" s="3" t="n">
        <f aca="false">I655+J655</f>
        <v>0</v>
      </c>
    </row>
    <row r="656" customFormat="false" ht="15" hidden="false" customHeight="false" outlineLevel="0" collapsed="false">
      <c r="A656" s="4" t="s">
        <v>60</v>
      </c>
      <c r="B656" s="4" t="s">
        <v>425</v>
      </c>
      <c r="C656" s="4" t="s">
        <v>154</v>
      </c>
      <c r="D656" s="4" t="n">
        <f aca="false">IFERROR(INDEX(Positions!$D$2:$D$6912,MATCH($A656&amp;"|13",Positions!$A$2:$A$6912,0)),"-")</f>
        <v>13</v>
      </c>
      <c r="E656" s="4" t="n">
        <f aca="false">IFERROR(INDEX(Positions!$D$2:$D$6912,MATCH($A656&amp;"|22",Positions!$A$2:$A$6912,0)),"-")</f>
        <v>22</v>
      </c>
      <c r="F656" s="4" t="str">
        <f aca="false">IFERROR(INDEX(Positions!$E$2:$E$6912,MATCH($A656&amp;"|13",Positions!$A$2:$A$6912,0)),"-")</f>
        <v>C</v>
      </c>
      <c r="G656" s="4" t="str">
        <f aca="false">IFERROR(INDEX(Positions!$E$2:$E$6912,MATCH($A656&amp;"|22",Positions!$A$2:$A$6912,0)),"-")</f>
        <v>G</v>
      </c>
      <c r="H656" s="3" t="str">
        <f aca="false">F656&amp;"-"&amp;G656</f>
        <v>C-G</v>
      </c>
      <c r="I656" s="4" t="n">
        <f aca="false">(F656="G")+(G656="G")</f>
        <v>1</v>
      </c>
      <c r="J656" s="4" t="n">
        <f aca="false">(F656="C")+(G656="C")</f>
        <v>1</v>
      </c>
      <c r="K656" s="3" t="n">
        <f aca="false">I656+J656</f>
        <v>2</v>
      </c>
    </row>
    <row r="657" customFormat="false" ht="15" hidden="false" customHeight="false" outlineLevel="0" collapsed="false">
      <c r="A657" s="4" t="s">
        <v>60</v>
      </c>
      <c r="B657" s="4" t="s">
        <v>446</v>
      </c>
      <c r="C657" s="4" t="s">
        <v>524</v>
      </c>
      <c r="D657" s="4" t="n">
        <f aca="false">IFERROR(INDEX(Positions!$D$2:$D$6912,MATCH($A657&amp;"|27",Positions!$A$2:$A$6912,0)),"-")</f>
        <v>27</v>
      </c>
      <c r="E657" s="4" t="n">
        <f aca="false">IFERROR(INDEX(Positions!$D$2:$D$6912,MATCH($A657&amp;"|43",Positions!$A$2:$A$6912,0)),"-")</f>
        <v>43</v>
      </c>
      <c r="F657" s="4" t="str">
        <f aca="false">IFERROR(INDEX(Positions!$E$2:$E$6912,MATCH($A657&amp;"|27",Positions!$A$2:$A$6912,0)),"-")</f>
        <v>U</v>
      </c>
      <c r="G657" s="4" t="str">
        <f aca="false">IFERROR(INDEX(Positions!$E$2:$E$6912,MATCH($A657&amp;"|43",Positions!$A$2:$A$6912,0)),"-")</f>
        <v>A</v>
      </c>
      <c r="H657" s="3" t="str">
        <f aca="false">F657&amp;"-"&amp;G657</f>
        <v>U-A</v>
      </c>
      <c r="I657" s="4" t="n">
        <f aca="false">(F657="G")+(G657="G")</f>
        <v>0</v>
      </c>
      <c r="J657" s="4" t="n">
        <f aca="false">(F657="C")+(G657="C")</f>
        <v>0</v>
      </c>
      <c r="K657" s="3" t="n">
        <f aca="false">I657+J657</f>
        <v>0</v>
      </c>
    </row>
    <row r="658" customFormat="false" ht="15" hidden="false" customHeight="false" outlineLevel="0" collapsed="false">
      <c r="A658" s="4" t="s">
        <v>60</v>
      </c>
      <c r="B658" s="4" t="s">
        <v>446</v>
      </c>
      <c r="C658" s="4" t="s">
        <v>525</v>
      </c>
      <c r="D658" s="4" t="n">
        <f aca="false">IFERROR(INDEX(Positions!$D$2:$D$6912,MATCH($A658&amp;"|28",Positions!$A$2:$A$6912,0)),"-")</f>
        <v>28</v>
      </c>
      <c r="E658" s="4" t="n">
        <f aca="false">IFERROR(INDEX(Positions!$D$2:$D$6912,MATCH($A658&amp;"|42",Positions!$A$2:$A$6912,0)),"-")</f>
        <v>42</v>
      </c>
      <c r="F658" s="4" t="str">
        <f aca="false">IFERROR(INDEX(Positions!$E$2:$E$6912,MATCH($A658&amp;"|28",Positions!$A$2:$A$6912,0)),"-")</f>
        <v>U</v>
      </c>
      <c r="G658" s="4" t="str">
        <f aca="false">IFERROR(INDEX(Positions!$E$2:$E$6912,MATCH($A658&amp;"|42",Positions!$A$2:$A$6912,0)),"-")</f>
        <v>A</v>
      </c>
      <c r="H658" s="3" t="str">
        <f aca="false">F658&amp;"-"&amp;G658</f>
        <v>U-A</v>
      </c>
      <c r="I658" s="4" t="n">
        <f aca="false">(F658="G")+(G658="G")</f>
        <v>0</v>
      </c>
      <c r="J658" s="4" t="n">
        <f aca="false">(F658="C")+(G658="C")</f>
        <v>0</v>
      </c>
      <c r="K658" s="3" t="n">
        <f aca="false">I658+J658</f>
        <v>0</v>
      </c>
    </row>
    <row r="659" customFormat="false" ht="15" hidden="false" customHeight="false" outlineLevel="0" collapsed="false">
      <c r="A659" s="4" t="s">
        <v>60</v>
      </c>
      <c r="B659" s="4" t="s">
        <v>446</v>
      </c>
      <c r="C659" s="4" t="s">
        <v>256</v>
      </c>
      <c r="D659" s="4" t="n">
        <f aca="false">IFERROR(INDEX(Positions!$D$2:$D$6912,MATCH($A659&amp;"|29",Positions!$A$2:$A$6912,0)),"-")</f>
        <v>29</v>
      </c>
      <c r="E659" s="4" t="n">
        <f aca="false">IFERROR(INDEX(Positions!$D$2:$D$6912,MATCH($A659&amp;"|41",Positions!$A$2:$A$6912,0)),"-")</f>
        <v>41</v>
      </c>
      <c r="F659" s="4" t="str">
        <f aca="false">IFERROR(INDEX(Positions!$E$2:$E$6912,MATCH($A659&amp;"|29",Positions!$A$2:$A$6912,0)),"-")</f>
        <v>A</v>
      </c>
      <c r="G659" s="4" t="str">
        <f aca="false">IFERROR(INDEX(Positions!$E$2:$E$6912,MATCH($A659&amp;"|41",Positions!$A$2:$A$6912,0)),"-")</f>
        <v>U</v>
      </c>
      <c r="H659" s="3" t="str">
        <f aca="false">F659&amp;"-"&amp;G659</f>
        <v>A-U</v>
      </c>
      <c r="I659" s="4" t="n">
        <f aca="false">(F659="G")+(G659="G")</f>
        <v>0</v>
      </c>
      <c r="J659" s="4" t="n">
        <f aca="false">(F659="C")+(G659="C")</f>
        <v>0</v>
      </c>
      <c r="K659" s="3" t="n">
        <f aca="false">I659+J659</f>
        <v>0</v>
      </c>
    </row>
    <row r="660" customFormat="false" ht="15" hidden="false" customHeight="false" outlineLevel="0" collapsed="false">
      <c r="A660" s="4" t="s">
        <v>60</v>
      </c>
      <c r="B660" s="4" t="s">
        <v>446</v>
      </c>
      <c r="C660" s="4" t="s">
        <v>526</v>
      </c>
      <c r="D660" s="4" t="n">
        <f aca="false">IFERROR(INDEX(Positions!$D$2:$D$6912,MATCH($A660&amp;"|30",Positions!$A$2:$A$6912,0)),"-")</f>
        <v>30</v>
      </c>
      <c r="E660" s="4" t="n">
        <f aca="false">IFERROR(INDEX(Positions!$D$2:$D$6912,MATCH($A660&amp;"|40",Positions!$A$2:$A$6912,0)),"-")</f>
        <v>40</v>
      </c>
      <c r="F660" s="4" t="str">
        <f aca="false">IFERROR(INDEX(Positions!$E$2:$E$6912,MATCH($A660&amp;"|30",Positions!$A$2:$A$6912,0)),"-")</f>
        <v>G</v>
      </c>
      <c r="G660" s="4" t="str">
        <f aca="false">IFERROR(INDEX(Positions!$E$2:$E$6912,MATCH($A660&amp;"|40",Positions!$A$2:$A$6912,0)),"-")</f>
        <v>C</v>
      </c>
      <c r="H660" s="3" t="str">
        <f aca="false">F660&amp;"-"&amp;G660</f>
        <v>G-C</v>
      </c>
      <c r="I660" s="4" t="n">
        <f aca="false">(F660="G")+(G660="G")</f>
        <v>1</v>
      </c>
      <c r="J660" s="4" t="n">
        <f aca="false">(F660="C")+(G660="C")</f>
        <v>1</v>
      </c>
      <c r="K660" s="3" t="n">
        <f aca="false">I660+J660</f>
        <v>2</v>
      </c>
    </row>
    <row r="661" customFormat="false" ht="15" hidden="false" customHeight="false" outlineLevel="0" collapsed="false">
      <c r="A661" s="4" t="s">
        <v>60</v>
      </c>
      <c r="B661" s="4" t="s">
        <v>446</v>
      </c>
      <c r="C661" s="4" t="s">
        <v>273</v>
      </c>
      <c r="D661" s="4" t="n">
        <f aca="false">IFERROR(INDEX(Positions!$D$2:$D$6912,MATCH($A661&amp;"|31",Positions!$A$2:$A$6912,0)),"-")</f>
        <v>31</v>
      </c>
      <c r="E661" s="4" t="n">
        <f aca="false">IFERROR(INDEX(Positions!$D$2:$D$6912,MATCH($A661&amp;"|39",Positions!$A$2:$A$6912,0)),"-")</f>
        <v>39</v>
      </c>
      <c r="F661" s="4" t="str">
        <f aca="false">IFERROR(INDEX(Positions!$E$2:$E$6912,MATCH($A661&amp;"|31",Positions!$A$2:$A$6912,0)),"-")</f>
        <v>A</v>
      </c>
      <c r="G661" s="4" t="str">
        <f aca="false">IFERROR(INDEX(Positions!$E$2:$E$6912,MATCH($A661&amp;"|39",Positions!$A$2:$A$6912,0)),"-")</f>
        <v>U</v>
      </c>
      <c r="H661" s="3" t="str">
        <f aca="false">F661&amp;"-"&amp;G661</f>
        <v>A-U</v>
      </c>
      <c r="I661" s="4" t="n">
        <f aca="false">(F661="G")+(G661="G")</f>
        <v>0</v>
      </c>
      <c r="J661" s="4" t="n">
        <f aca="false">(F661="C")+(G661="C")</f>
        <v>0</v>
      </c>
      <c r="K661" s="3" t="n">
        <f aca="false">I661+J661</f>
        <v>0</v>
      </c>
    </row>
    <row r="662" customFormat="false" ht="15" hidden="false" customHeight="false" outlineLevel="0" collapsed="false">
      <c r="A662" s="4" t="s">
        <v>60</v>
      </c>
      <c r="B662" s="4" t="s">
        <v>471</v>
      </c>
      <c r="C662" s="4" t="s">
        <v>367</v>
      </c>
      <c r="D662" s="4" t="n">
        <f aca="false">IFERROR(INDEX(Positions!$D$2:$D$6912,MATCH($A662&amp;"|49",Positions!$A$2:$A$6912,0)),"-")</f>
        <v>49</v>
      </c>
      <c r="E662" s="4" t="n">
        <f aca="false">IFERROR(INDEX(Positions!$D$2:$D$6912,MATCH($A662&amp;"|65",Positions!$A$2:$A$6912,0)),"-")</f>
        <v>65</v>
      </c>
      <c r="F662" s="4" t="str">
        <f aca="false">IFERROR(INDEX(Positions!$E$2:$E$6912,MATCH($A662&amp;"|49",Positions!$A$2:$A$6912,0)),"-")</f>
        <v>C</v>
      </c>
      <c r="G662" s="4" t="str">
        <f aca="false">IFERROR(INDEX(Positions!$E$2:$E$6912,MATCH($A662&amp;"|65",Positions!$A$2:$A$6912,0)),"-")</f>
        <v>G</v>
      </c>
      <c r="H662" s="3" t="str">
        <f aca="false">F662&amp;"-"&amp;G662</f>
        <v>C-G</v>
      </c>
      <c r="I662" s="4" t="n">
        <f aca="false">(F662="G")+(G662="G")</f>
        <v>1</v>
      </c>
      <c r="J662" s="4" t="n">
        <f aca="false">(F662="C")+(G662="C")</f>
        <v>1</v>
      </c>
      <c r="K662" s="3" t="n">
        <f aca="false">I662+J662</f>
        <v>2</v>
      </c>
    </row>
    <row r="663" customFormat="false" ht="15" hidden="false" customHeight="false" outlineLevel="0" collapsed="false">
      <c r="A663" s="4" t="s">
        <v>60</v>
      </c>
      <c r="B663" s="4" t="s">
        <v>471</v>
      </c>
      <c r="C663" s="4" t="s">
        <v>233</v>
      </c>
      <c r="D663" s="4" t="n">
        <f aca="false">IFERROR(INDEX(Positions!$D$2:$D$6912,MATCH($A663&amp;"|50",Positions!$A$2:$A$6912,0)),"-")</f>
        <v>50</v>
      </c>
      <c r="E663" s="4" t="n">
        <f aca="false">IFERROR(INDEX(Positions!$D$2:$D$6912,MATCH($A663&amp;"|64",Positions!$A$2:$A$6912,0)),"-")</f>
        <v>64</v>
      </c>
      <c r="F663" s="4" t="str">
        <f aca="false">IFERROR(INDEX(Positions!$E$2:$E$6912,MATCH($A663&amp;"|50",Positions!$A$2:$A$6912,0)),"-")</f>
        <v>C</v>
      </c>
      <c r="G663" s="4" t="str">
        <f aca="false">IFERROR(INDEX(Positions!$E$2:$E$6912,MATCH($A663&amp;"|64",Positions!$A$2:$A$6912,0)),"-")</f>
        <v>G</v>
      </c>
      <c r="H663" s="3" t="str">
        <f aca="false">F663&amp;"-"&amp;G663</f>
        <v>C-G</v>
      </c>
      <c r="I663" s="4" t="n">
        <f aca="false">(F663="G")+(G663="G")</f>
        <v>1</v>
      </c>
      <c r="J663" s="4" t="n">
        <f aca="false">(F663="C")+(G663="C")</f>
        <v>1</v>
      </c>
      <c r="K663" s="3" t="n">
        <f aca="false">I663+J663</f>
        <v>2</v>
      </c>
    </row>
    <row r="664" customFormat="false" ht="15" hidden="false" customHeight="false" outlineLevel="0" collapsed="false">
      <c r="A664" s="4" t="s">
        <v>60</v>
      </c>
      <c r="B664" s="4" t="s">
        <v>471</v>
      </c>
      <c r="C664" s="4" t="s">
        <v>527</v>
      </c>
      <c r="D664" s="4" t="n">
        <f aca="false">IFERROR(INDEX(Positions!$D$2:$D$6912,MATCH($A664&amp;"|51",Positions!$A$2:$A$6912,0)),"-")</f>
        <v>51</v>
      </c>
      <c r="E664" s="4" t="n">
        <f aca="false">IFERROR(INDEX(Positions!$D$2:$D$6912,MATCH($A664&amp;"|63",Positions!$A$2:$A$6912,0)),"-")</f>
        <v>63</v>
      </c>
      <c r="F664" s="4" t="str">
        <f aca="false">IFERROR(INDEX(Positions!$E$2:$E$6912,MATCH($A664&amp;"|51",Positions!$A$2:$A$6912,0)),"-")</f>
        <v>U</v>
      </c>
      <c r="G664" s="4" t="str">
        <f aca="false">IFERROR(INDEX(Positions!$E$2:$E$6912,MATCH($A664&amp;"|63",Positions!$A$2:$A$6912,0)),"-")</f>
        <v>G</v>
      </c>
      <c r="H664" s="3" t="str">
        <f aca="false">F664&amp;"-"&amp;G664</f>
        <v>U-G</v>
      </c>
      <c r="I664" s="4" t="n">
        <f aca="false">(F664="G")+(G664="G")</f>
        <v>1</v>
      </c>
      <c r="J664" s="4" t="n">
        <f aca="false">(F664="C")+(G664="C")</f>
        <v>0</v>
      </c>
      <c r="K664" s="3" t="n">
        <f aca="false">I664+J664</f>
        <v>1</v>
      </c>
    </row>
    <row r="665" customFormat="false" ht="15" hidden="false" customHeight="false" outlineLevel="0" collapsed="false">
      <c r="A665" s="4" t="s">
        <v>60</v>
      </c>
      <c r="B665" s="4" t="s">
        <v>471</v>
      </c>
      <c r="C665" s="4" t="s">
        <v>528</v>
      </c>
      <c r="D665" s="4" t="n">
        <f aca="false">IFERROR(INDEX(Positions!$D$2:$D$6912,MATCH($A665&amp;"|52",Positions!$A$2:$A$6912,0)),"-")</f>
        <v>52</v>
      </c>
      <c r="E665" s="4" t="n">
        <f aca="false">IFERROR(INDEX(Positions!$D$2:$D$6912,MATCH($A665&amp;"|62",Positions!$A$2:$A$6912,0)),"-")</f>
        <v>62</v>
      </c>
      <c r="F665" s="4" t="str">
        <f aca="false">IFERROR(INDEX(Positions!$E$2:$E$6912,MATCH($A665&amp;"|52",Positions!$A$2:$A$6912,0)),"-")</f>
        <v>G</v>
      </c>
      <c r="G665" s="4" t="str">
        <f aca="false">IFERROR(INDEX(Positions!$E$2:$E$6912,MATCH($A665&amp;"|62",Positions!$A$2:$A$6912,0)),"-")</f>
        <v>C</v>
      </c>
      <c r="H665" s="3" t="str">
        <f aca="false">F665&amp;"-"&amp;G665</f>
        <v>G-C</v>
      </c>
      <c r="I665" s="4" t="n">
        <f aca="false">(F665="G")+(G665="G")</f>
        <v>1</v>
      </c>
      <c r="J665" s="4" t="n">
        <f aca="false">(F665="C")+(G665="C")</f>
        <v>1</v>
      </c>
      <c r="K665" s="3" t="n">
        <f aca="false">I665+J665</f>
        <v>2</v>
      </c>
    </row>
    <row r="666" customFormat="false" ht="15" hidden="false" customHeight="false" outlineLevel="0" collapsed="false">
      <c r="A666" s="4" t="s">
        <v>60</v>
      </c>
      <c r="B666" s="4" t="s">
        <v>471</v>
      </c>
      <c r="C666" s="4" t="s">
        <v>529</v>
      </c>
      <c r="D666" s="4" t="n">
        <f aca="false">IFERROR(INDEX(Positions!$D$2:$D$6912,MATCH($A666&amp;"|53",Positions!$A$2:$A$6912,0)),"-")</f>
        <v>53</v>
      </c>
      <c r="E666" s="4" t="n">
        <f aca="false">IFERROR(INDEX(Positions!$D$2:$D$6912,MATCH($A666&amp;"|61",Positions!$A$2:$A$6912,0)),"-")</f>
        <v>61</v>
      </c>
      <c r="F666" s="4" t="str">
        <f aca="false">IFERROR(INDEX(Positions!$E$2:$E$6912,MATCH($A666&amp;"|53",Positions!$A$2:$A$6912,0)),"-")</f>
        <v>G</v>
      </c>
      <c r="G666" s="4" t="str">
        <f aca="false">IFERROR(INDEX(Positions!$E$2:$E$6912,MATCH($A666&amp;"|61",Positions!$A$2:$A$6912,0)),"-")</f>
        <v>C</v>
      </c>
      <c r="H666" s="3" t="str">
        <f aca="false">F666&amp;"-"&amp;G666</f>
        <v>G-C</v>
      </c>
      <c r="I666" s="4" t="n">
        <f aca="false">(F666="G")+(G666="G")</f>
        <v>1</v>
      </c>
      <c r="J666" s="4" t="n">
        <f aca="false">(F666="C")+(G666="C")</f>
        <v>1</v>
      </c>
      <c r="K666" s="3" t="n">
        <f aca="false">I666+J666</f>
        <v>2</v>
      </c>
    </row>
    <row r="667" customFormat="false" ht="15" hidden="false" customHeight="false" outlineLevel="0" collapsed="false">
      <c r="A667" s="24" t="s">
        <v>60</v>
      </c>
      <c r="B667" s="24" t="s">
        <v>530</v>
      </c>
      <c r="C667" s="24" t="s">
        <v>531</v>
      </c>
      <c r="D667" s="24" t="n">
        <f aca="false">IFERROR(INDEX(Positions!$D$2:$D$6912,MATCH($A667&amp;"|8",Positions!$A$2:$A$6912,0)),"-")</f>
        <v>8</v>
      </c>
      <c r="E667" s="24" t="n">
        <f aca="false">IFERROR(INDEX(Positions!$D$2:$D$6912,MATCH($A667&amp;"|14",Positions!$A$2:$A$6912,0)),"-")</f>
        <v>14</v>
      </c>
      <c r="F667" s="24" t="str">
        <f aca="false">IFERROR(INDEX(Positions!$E$2:$E$6912,MATCH($A667&amp;"|8",Positions!$A$2:$A$6912,0)),"-")</f>
        <v>U</v>
      </c>
      <c r="G667" s="24" t="str">
        <f aca="false">IFERROR(INDEX(Positions!$E$2:$E$6912,MATCH($A667&amp;"|14",Positions!$A$2:$A$6912,0)),"-")</f>
        <v>A</v>
      </c>
      <c r="H667" s="25" t="str">
        <f aca="false">F667&amp;"-"&amp;G667</f>
        <v>U-A</v>
      </c>
      <c r="I667" s="24" t="n">
        <f aca="false">(F667="G")+(G667="G")</f>
        <v>0</v>
      </c>
      <c r="J667" s="24" t="n">
        <f aca="false">(F667="C")+(G667="C")</f>
        <v>0</v>
      </c>
      <c r="K667" s="25" t="n">
        <f aca="false">I667+J667</f>
        <v>0</v>
      </c>
    </row>
    <row r="668" customFormat="false" ht="15" hidden="false" customHeight="false" outlineLevel="0" collapsed="false">
      <c r="A668" s="24" t="s">
        <v>60</v>
      </c>
      <c r="B668" s="24" t="s">
        <v>530</v>
      </c>
      <c r="C668" s="24" t="s">
        <v>532</v>
      </c>
      <c r="D668" s="24" t="n">
        <f aca="false">IFERROR(INDEX(Positions!$D$2:$D$6912,MATCH($A668&amp;"|15",Positions!$A$2:$A$6912,0)),"-")</f>
        <v>15</v>
      </c>
      <c r="E668" s="24" t="n">
        <f aca="false">IFERROR(INDEX(Positions!$D$2:$D$6912,MATCH($A668&amp;"|48",Positions!$A$2:$A$6912,0)),"-")</f>
        <v>48</v>
      </c>
      <c r="F668" s="24" t="str">
        <f aca="false">IFERROR(INDEX(Positions!$E$2:$E$6912,MATCH($A668&amp;"|15",Positions!$A$2:$A$6912,0)),"-")</f>
        <v>G</v>
      </c>
      <c r="G668" s="24" t="str">
        <f aca="false">IFERROR(INDEX(Positions!$E$2:$E$6912,MATCH($A668&amp;"|48",Positions!$A$2:$A$6912,0)),"-")</f>
        <v>C</v>
      </c>
      <c r="H668" s="25" t="str">
        <f aca="false">F668&amp;"-"&amp;G668</f>
        <v>G-C</v>
      </c>
      <c r="I668" s="24" t="n">
        <f aca="false">(F668="G")+(G668="G")</f>
        <v>1</v>
      </c>
      <c r="J668" s="24" t="n">
        <f aca="false">(F668="C")+(G668="C")</f>
        <v>1</v>
      </c>
      <c r="K668" s="25" t="n">
        <f aca="false">I668+J668</f>
        <v>2</v>
      </c>
    </row>
    <row r="669" customFormat="false" ht="15" hidden="false" customHeight="false" outlineLevel="0" collapsed="false">
      <c r="A669" s="24" t="s">
        <v>60</v>
      </c>
      <c r="B669" s="24" t="s">
        <v>530</v>
      </c>
      <c r="C669" s="24" t="s">
        <v>533</v>
      </c>
      <c r="D669" s="24" t="n">
        <f aca="false">IFERROR(INDEX(Positions!$D$2:$D$6912,MATCH($A669&amp;"|18",Positions!$A$2:$A$6912,0)),"-")</f>
        <v>18</v>
      </c>
      <c r="E669" s="24" t="n">
        <f aca="false">IFERROR(INDEX(Positions!$D$2:$D$6912,MATCH($A669&amp;"|55",Positions!$A$2:$A$6912,0)),"-")</f>
        <v>55</v>
      </c>
      <c r="F669" s="24" t="str">
        <f aca="false">IFERROR(INDEX(Positions!$E$2:$E$6912,MATCH($A669&amp;"|18",Positions!$A$2:$A$6912,0)),"-")</f>
        <v>G</v>
      </c>
      <c r="G669" s="24" t="str">
        <f aca="false">IFERROR(INDEX(Positions!$E$2:$E$6912,MATCH($A669&amp;"|55",Positions!$A$2:$A$6912,0)),"-")</f>
        <v>U</v>
      </c>
      <c r="H669" s="25" t="str">
        <f aca="false">F669&amp;"-"&amp;G669</f>
        <v>G-U</v>
      </c>
      <c r="I669" s="24" t="n">
        <f aca="false">(F669="G")+(G669="G")</f>
        <v>1</v>
      </c>
      <c r="J669" s="24" t="n">
        <f aca="false">(F669="C")+(G669="C")</f>
        <v>0</v>
      </c>
      <c r="K669" s="25" t="n">
        <f aca="false">I669+J669</f>
        <v>1</v>
      </c>
    </row>
    <row r="670" customFormat="false" ht="15" hidden="false" customHeight="false" outlineLevel="0" collapsed="false">
      <c r="A670" s="24" t="s">
        <v>60</v>
      </c>
      <c r="B670" s="24" t="s">
        <v>530</v>
      </c>
      <c r="C670" s="24" t="s">
        <v>534</v>
      </c>
      <c r="D670" s="24" t="n">
        <f aca="false">IFERROR(INDEX(Positions!$D$2:$D$6912,MATCH($A670&amp;"|19",Positions!$A$2:$A$6912,0)),"-")</f>
        <v>19</v>
      </c>
      <c r="E670" s="24" t="n">
        <f aca="false">IFERROR(INDEX(Positions!$D$2:$D$6912,MATCH($A670&amp;"|56",Positions!$A$2:$A$6912,0)),"-")</f>
        <v>56</v>
      </c>
      <c r="F670" s="24" t="str">
        <f aca="false">IFERROR(INDEX(Positions!$E$2:$E$6912,MATCH($A670&amp;"|19",Positions!$A$2:$A$6912,0)),"-")</f>
        <v>G</v>
      </c>
      <c r="G670" s="24" t="str">
        <f aca="false">IFERROR(INDEX(Positions!$E$2:$E$6912,MATCH($A670&amp;"|56",Positions!$A$2:$A$6912,0)),"-")</f>
        <v>C</v>
      </c>
      <c r="H670" s="25" t="str">
        <f aca="false">F670&amp;"-"&amp;G670</f>
        <v>G-C</v>
      </c>
      <c r="I670" s="24" t="n">
        <f aca="false">(F670="G")+(G670="G")</f>
        <v>1</v>
      </c>
      <c r="J670" s="24" t="n">
        <f aca="false">(F670="C")+(G670="C")</f>
        <v>1</v>
      </c>
      <c r="K670" s="25" t="n">
        <f aca="false">I670+J670</f>
        <v>2</v>
      </c>
    </row>
    <row r="671" customFormat="false" ht="15" hidden="false" customHeight="false" outlineLevel="0" collapsed="false">
      <c r="A671" s="24" t="s">
        <v>60</v>
      </c>
      <c r="B671" s="24" t="s">
        <v>530</v>
      </c>
      <c r="C671" s="24" t="s">
        <v>535</v>
      </c>
      <c r="D671" s="24" t="n">
        <f aca="false">IFERROR(INDEX(Positions!$D$2:$D$6912,MATCH($A671&amp;"|26",Positions!$A$2:$A$6912,0)),"-")</f>
        <v>26</v>
      </c>
      <c r="E671" s="24" t="n">
        <f aca="false">IFERROR(INDEX(Positions!$D$2:$D$6912,MATCH($A671&amp;"|44",Positions!$A$2:$A$6912,0)),"-")</f>
        <v>44</v>
      </c>
      <c r="F671" s="24" t="str">
        <f aca="false">IFERROR(INDEX(Positions!$E$2:$E$6912,MATCH($A671&amp;"|26",Positions!$A$2:$A$6912,0)),"-")</f>
        <v>G</v>
      </c>
      <c r="G671" s="24" t="str">
        <f aca="false">IFERROR(INDEX(Positions!$E$2:$E$6912,MATCH($A671&amp;"|44",Positions!$A$2:$A$6912,0)),"-")</f>
        <v>A</v>
      </c>
      <c r="H671" s="25" t="str">
        <f aca="false">F671&amp;"-"&amp;G671</f>
        <v>G-A</v>
      </c>
      <c r="I671" s="24" t="n">
        <f aca="false">(F671="G")+(G671="G")</f>
        <v>1</v>
      </c>
      <c r="J671" s="24" t="n">
        <f aca="false">(F671="C")+(G671="C")</f>
        <v>0</v>
      </c>
      <c r="K671" s="25" t="n">
        <f aca="false">I671+J671</f>
        <v>1</v>
      </c>
    </row>
    <row r="672" customFormat="false" ht="15" hidden="false" customHeight="false" outlineLevel="0" collapsed="false">
      <c r="A672" s="24" t="s">
        <v>60</v>
      </c>
      <c r="B672" s="24" t="s">
        <v>530</v>
      </c>
      <c r="C672" s="24" t="s">
        <v>536</v>
      </c>
      <c r="D672" s="24" t="n">
        <f aca="false">IFERROR(INDEX(Positions!$D$2:$D$6912,MATCH($A672&amp;"|32",Positions!$A$2:$A$6912,0)),"-")</f>
        <v>32</v>
      </c>
      <c r="E672" s="24" t="n">
        <f aca="false">IFERROR(INDEX(Positions!$D$2:$D$6912,MATCH($A672&amp;"|38",Positions!$A$2:$A$6912,0)),"-")</f>
        <v>38</v>
      </c>
      <c r="F672" s="24" t="str">
        <f aca="false">IFERROR(INDEX(Positions!$E$2:$E$6912,MATCH($A672&amp;"|32",Positions!$A$2:$A$6912,0)),"-")</f>
        <v>C</v>
      </c>
      <c r="G672" s="24" t="str">
        <f aca="false">IFERROR(INDEX(Positions!$E$2:$E$6912,MATCH($A672&amp;"|38",Positions!$A$2:$A$6912,0)),"-")</f>
        <v>A</v>
      </c>
      <c r="H672" s="25" t="str">
        <f aca="false">F672&amp;"-"&amp;G672</f>
        <v>C-A</v>
      </c>
      <c r="I672" s="24" t="n">
        <f aca="false">(F672="G")+(G672="G")</f>
        <v>0</v>
      </c>
      <c r="J672" s="24" t="n">
        <f aca="false">(F672="C")+(G672="C")</f>
        <v>1</v>
      </c>
      <c r="K672" s="25" t="n">
        <f aca="false">I672+J672</f>
        <v>1</v>
      </c>
    </row>
    <row r="673" customFormat="false" ht="15" hidden="false" customHeight="false" outlineLevel="0" collapsed="false">
      <c r="A673" s="24" t="s">
        <v>60</v>
      </c>
      <c r="B673" s="24" t="s">
        <v>530</v>
      </c>
      <c r="C673" s="24" t="s">
        <v>537</v>
      </c>
      <c r="D673" s="24" t="n">
        <f aca="false">IFERROR(INDEX(Positions!$D$2:$D$6912,MATCH($A673&amp;"|54",Positions!$A$2:$A$6912,0)),"-")</f>
        <v>54</v>
      </c>
      <c r="E673" s="24" t="n">
        <f aca="false">IFERROR(INDEX(Positions!$D$2:$D$6912,MATCH($A673&amp;"|58",Positions!$A$2:$A$6912,0)),"-")</f>
        <v>58</v>
      </c>
      <c r="F673" s="24" t="str">
        <f aca="false">IFERROR(INDEX(Positions!$E$2:$E$6912,MATCH($A673&amp;"|54",Positions!$A$2:$A$6912,0)),"-")</f>
        <v>U</v>
      </c>
      <c r="G673" s="24" t="str">
        <f aca="false">IFERROR(INDEX(Positions!$E$2:$E$6912,MATCH($A673&amp;"|58",Positions!$A$2:$A$6912,0)),"-")</f>
        <v>A</v>
      </c>
      <c r="H673" s="25" t="str">
        <f aca="false">F673&amp;"-"&amp;G673</f>
        <v>U-A</v>
      </c>
      <c r="I673" s="24" t="n">
        <f aca="false">(F673="G")+(G673="G")</f>
        <v>0</v>
      </c>
      <c r="J673" s="24" t="n">
        <f aca="false">(F673="C")+(G673="C")</f>
        <v>0</v>
      </c>
      <c r="K673" s="25" t="n">
        <f aca="false">I673+J673</f>
        <v>0</v>
      </c>
    </row>
    <row r="674" customFormat="false" ht="15" hidden="false" customHeight="false" outlineLevel="0" collapsed="false">
      <c r="A674" s="4" t="s">
        <v>61</v>
      </c>
      <c r="B674" s="4" t="s">
        <v>412</v>
      </c>
      <c r="C674" s="4" t="s">
        <v>517</v>
      </c>
      <c r="D674" s="4" t="n">
        <f aca="false">IFERROR(INDEX(Positions!$D$2:$D$6912,MATCH($A674&amp;"|1",Positions!$A$2:$A$6912,0)),"-")</f>
        <v>1</v>
      </c>
      <c r="E674" s="4" t="n">
        <f aca="false">IFERROR(INDEX(Positions!$D$2:$D$6912,MATCH($A674&amp;"|72",Positions!$A$2:$A$6912,0)),"-")</f>
        <v>72</v>
      </c>
      <c r="F674" s="4" t="str">
        <f aca="false">IFERROR(INDEX(Positions!$E$2:$E$6912,MATCH($A674&amp;"|1",Positions!$A$2:$A$6912,0)),"-")</f>
        <v>G</v>
      </c>
      <c r="G674" s="4" t="str">
        <f aca="false">IFERROR(INDEX(Positions!$E$2:$E$6912,MATCH($A674&amp;"|72",Positions!$A$2:$A$6912,0)),"-")</f>
        <v>C</v>
      </c>
      <c r="H674" s="3" t="str">
        <f aca="false">F674&amp;"-"&amp;G674</f>
        <v>G-C</v>
      </c>
      <c r="I674" s="4" t="n">
        <f aca="false">(F674="G")+(G674="G")</f>
        <v>1</v>
      </c>
      <c r="J674" s="4" t="n">
        <f aca="false">(F674="C")+(G674="C")</f>
        <v>1</v>
      </c>
      <c r="K674" s="3" t="n">
        <f aca="false">I674+J674</f>
        <v>2</v>
      </c>
    </row>
    <row r="675" customFormat="false" ht="15" hidden="false" customHeight="false" outlineLevel="0" collapsed="false">
      <c r="A675" s="4" t="s">
        <v>61</v>
      </c>
      <c r="B675" s="4" t="s">
        <v>412</v>
      </c>
      <c r="C675" s="4" t="s">
        <v>518</v>
      </c>
      <c r="D675" s="4" t="n">
        <f aca="false">IFERROR(INDEX(Positions!$D$2:$D$6912,MATCH($A675&amp;"|2",Positions!$A$2:$A$6912,0)),"-")</f>
        <v>2</v>
      </c>
      <c r="E675" s="4" t="n">
        <f aca="false">IFERROR(INDEX(Positions!$D$2:$D$6912,MATCH($A675&amp;"|71",Positions!$A$2:$A$6912,0)),"-")</f>
        <v>71</v>
      </c>
      <c r="F675" s="4" t="str">
        <f aca="false">IFERROR(INDEX(Positions!$E$2:$E$6912,MATCH($A675&amp;"|2",Positions!$A$2:$A$6912,0)),"-")</f>
        <v>C</v>
      </c>
      <c r="G675" s="4" t="str">
        <f aca="false">IFERROR(INDEX(Positions!$E$2:$E$6912,MATCH($A675&amp;"|71",Positions!$A$2:$A$6912,0)),"-")</f>
        <v>G</v>
      </c>
      <c r="H675" s="3" t="str">
        <f aca="false">F675&amp;"-"&amp;G675</f>
        <v>C-G</v>
      </c>
      <c r="I675" s="4" t="n">
        <f aca="false">(F675="G")+(G675="G")</f>
        <v>1</v>
      </c>
      <c r="J675" s="4" t="n">
        <f aca="false">(F675="C")+(G675="C")</f>
        <v>1</v>
      </c>
      <c r="K675" s="3" t="n">
        <f aca="false">I675+J675</f>
        <v>2</v>
      </c>
    </row>
    <row r="676" customFormat="false" ht="15" hidden="false" customHeight="false" outlineLevel="0" collapsed="false">
      <c r="A676" s="4" t="s">
        <v>61</v>
      </c>
      <c r="B676" s="4" t="s">
        <v>412</v>
      </c>
      <c r="C676" s="4" t="s">
        <v>386</v>
      </c>
      <c r="D676" s="4" t="n">
        <f aca="false">IFERROR(INDEX(Positions!$D$2:$D$6912,MATCH($A676&amp;"|3",Positions!$A$2:$A$6912,0)),"-")</f>
        <v>3</v>
      </c>
      <c r="E676" s="4" t="n">
        <f aca="false">IFERROR(INDEX(Positions!$D$2:$D$6912,MATCH($A676&amp;"|70",Positions!$A$2:$A$6912,0)),"-")</f>
        <v>70</v>
      </c>
      <c r="F676" s="4" t="str">
        <f aca="false">IFERROR(INDEX(Positions!$E$2:$E$6912,MATCH($A676&amp;"|3",Positions!$A$2:$A$6912,0)),"-")</f>
        <v>C</v>
      </c>
      <c r="G676" s="4" t="str">
        <f aca="false">IFERROR(INDEX(Positions!$E$2:$E$6912,MATCH($A676&amp;"|70",Positions!$A$2:$A$6912,0)),"-")</f>
        <v>G</v>
      </c>
      <c r="H676" s="3" t="str">
        <f aca="false">F676&amp;"-"&amp;G676</f>
        <v>C-G</v>
      </c>
      <c r="I676" s="4" t="n">
        <f aca="false">(F676="G")+(G676="G")</f>
        <v>1</v>
      </c>
      <c r="J676" s="4" t="n">
        <f aca="false">(F676="C")+(G676="C")</f>
        <v>1</v>
      </c>
      <c r="K676" s="3" t="n">
        <f aca="false">I676+J676</f>
        <v>2</v>
      </c>
    </row>
    <row r="677" customFormat="false" ht="15" hidden="false" customHeight="false" outlineLevel="0" collapsed="false">
      <c r="A677" s="4" t="s">
        <v>61</v>
      </c>
      <c r="B677" s="4" t="s">
        <v>412</v>
      </c>
      <c r="C677" s="4" t="s">
        <v>519</v>
      </c>
      <c r="D677" s="4" t="n">
        <f aca="false">IFERROR(INDEX(Positions!$D$2:$D$6912,MATCH($A677&amp;"|4",Positions!$A$2:$A$6912,0)),"-")</f>
        <v>4</v>
      </c>
      <c r="E677" s="4" t="n">
        <f aca="false">IFERROR(INDEX(Positions!$D$2:$D$6912,MATCH($A677&amp;"|69",Positions!$A$2:$A$6912,0)),"-")</f>
        <v>69</v>
      </c>
      <c r="F677" s="4" t="str">
        <f aca="false">IFERROR(INDEX(Positions!$E$2:$E$6912,MATCH($A677&amp;"|4",Positions!$A$2:$A$6912,0)),"-")</f>
        <v>G</v>
      </c>
      <c r="G677" s="4" t="str">
        <f aca="false">IFERROR(INDEX(Positions!$E$2:$E$6912,MATCH($A677&amp;"|69",Positions!$A$2:$A$6912,0)),"-")</f>
        <v>C</v>
      </c>
      <c r="H677" s="3" t="str">
        <f aca="false">F677&amp;"-"&amp;G677</f>
        <v>G-C</v>
      </c>
      <c r="I677" s="4" t="n">
        <f aca="false">(F677="G")+(G677="G")</f>
        <v>1</v>
      </c>
      <c r="J677" s="4" t="n">
        <f aca="false">(F677="C")+(G677="C")</f>
        <v>1</v>
      </c>
      <c r="K677" s="3" t="n">
        <f aca="false">I677+J677</f>
        <v>2</v>
      </c>
    </row>
    <row r="678" customFormat="false" ht="15" hidden="false" customHeight="false" outlineLevel="0" collapsed="false">
      <c r="A678" s="4" t="s">
        <v>61</v>
      </c>
      <c r="B678" s="4" t="s">
        <v>412</v>
      </c>
      <c r="C678" s="4" t="s">
        <v>283</v>
      </c>
      <c r="D678" s="4" t="n">
        <f aca="false">IFERROR(INDEX(Positions!$D$2:$D$6912,MATCH($A678&amp;"|5",Positions!$A$2:$A$6912,0)),"-")</f>
        <v>5</v>
      </c>
      <c r="E678" s="4" t="n">
        <f aca="false">IFERROR(INDEX(Positions!$D$2:$D$6912,MATCH($A678&amp;"|68",Positions!$A$2:$A$6912,0)),"-")</f>
        <v>68</v>
      </c>
      <c r="F678" s="4" t="str">
        <f aca="false">IFERROR(INDEX(Positions!$E$2:$E$6912,MATCH($A678&amp;"|5",Positions!$A$2:$A$6912,0)),"-")</f>
        <v>A</v>
      </c>
      <c r="G678" s="4" t="str">
        <f aca="false">IFERROR(INDEX(Positions!$E$2:$E$6912,MATCH($A678&amp;"|68",Positions!$A$2:$A$6912,0)),"-")</f>
        <v>U</v>
      </c>
      <c r="H678" s="3" t="str">
        <f aca="false">F678&amp;"-"&amp;G678</f>
        <v>A-U</v>
      </c>
      <c r="I678" s="4" t="n">
        <f aca="false">(F678="G")+(G678="G")</f>
        <v>0</v>
      </c>
      <c r="J678" s="4" t="n">
        <f aca="false">(F678="C")+(G678="C")</f>
        <v>0</v>
      </c>
      <c r="K678" s="3" t="n">
        <f aca="false">I678+J678</f>
        <v>0</v>
      </c>
    </row>
    <row r="679" customFormat="false" ht="15" hidden="false" customHeight="false" outlineLevel="0" collapsed="false">
      <c r="A679" s="4" t="s">
        <v>61</v>
      </c>
      <c r="B679" s="4" t="s">
        <v>412</v>
      </c>
      <c r="C679" s="4" t="s">
        <v>520</v>
      </c>
      <c r="D679" s="4" t="n">
        <f aca="false">IFERROR(INDEX(Positions!$D$2:$D$6912,MATCH($A679&amp;"|6",Positions!$A$2:$A$6912,0)),"-")</f>
        <v>6</v>
      </c>
      <c r="E679" s="4" t="n">
        <f aca="false">IFERROR(INDEX(Positions!$D$2:$D$6912,MATCH($A679&amp;"|67",Positions!$A$2:$A$6912,0)),"-")</f>
        <v>67</v>
      </c>
      <c r="F679" s="4" t="str">
        <f aca="false">IFERROR(INDEX(Positions!$E$2:$E$6912,MATCH($A679&amp;"|6",Positions!$A$2:$A$6912,0)),"-")</f>
        <v>A</v>
      </c>
      <c r="G679" s="4" t="str">
        <f aca="false">IFERROR(INDEX(Positions!$E$2:$E$6912,MATCH($A679&amp;"|67",Positions!$A$2:$A$6912,0)),"-")</f>
        <v>U</v>
      </c>
      <c r="H679" s="3" t="str">
        <f aca="false">F679&amp;"-"&amp;G679</f>
        <v>A-U</v>
      </c>
      <c r="I679" s="4" t="n">
        <f aca="false">(F679="G")+(G679="G")</f>
        <v>0</v>
      </c>
      <c r="J679" s="4" t="n">
        <f aca="false">(F679="C")+(G679="C")</f>
        <v>0</v>
      </c>
      <c r="K679" s="3" t="n">
        <f aca="false">I679+J679</f>
        <v>0</v>
      </c>
    </row>
    <row r="680" customFormat="false" ht="15" hidden="false" customHeight="false" outlineLevel="0" collapsed="false">
      <c r="A680" s="4" t="s">
        <v>61</v>
      </c>
      <c r="B680" s="4" t="s">
        <v>412</v>
      </c>
      <c r="C680" s="4" t="s">
        <v>521</v>
      </c>
      <c r="D680" s="4" t="n">
        <f aca="false">IFERROR(INDEX(Positions!$D$2:$D$6912,MATCH($A680&amp;"|7",Positions!$A$2:$A$6912,0)),"-")</f>
        <v>7</v>
      </c>
      <c r="E680" s="4" t="n">
        <f aca="false">IFERROR(INDEX(Positions!$D$2:$D$6912,MATCH($A680&amp;"|66",Positions!$A$2:$A$6912,0)),"-")</f>
        <v>66</v>
      </c>
      <c r="F680" s="4" t="str">
        <f aca="false">IFERROR(INDEX(Positions!$E$2:$E$6912,MATCH($A680&amp;"|7",Positions!$A$2:$A$6912,0)),"-")</f>
        <v>A</v>
      </c>
      <c r="G680" s="4" t="str">
        <f aca="false">IFERROR(INDEX(Positions!$E$2:$E$6912,MATCH($A680&amp;"|66",Positions!$A$2:$A$6912,0)),"-")</f>
        <v>U</v>
      </c>
      <c r="H680" s="3" t="str">
        <f aca="false">F680&amp;"-"&amp;G680</f>
        <v>A-U</v>
      </c>
      <c r="I680" s="4" t="n">
        <f aca="false">(F680="G")+(G680="G")</f>
        <v>0</v>
      </c>
      <c r="J680" s="4" t="n">
        <f aca="false">(F680="C")+(G680="C")</f>
        <v>0</v>
      </c>
      <c r="K680" s="3" t="n">
        <f aca="false">I680+J680</f>
        <v>0</v>
      </c>
    </row>
    <row r="681" customFormat="false" ht="15" hidden="false" customHeight="false" outlineLevel="0" collapsed="false">
      <c r="A681" s="4" t="s">
        <v>61</v>
      </c>
      <c r="B681" s="4" t="s">
        <v>425</v>
      </c>
      <c r="C681" s="4" t="s">
        <v>522</v>
      </c>
      <c r="D681" s="4" t="n">
        <f aca="false">IFERROR(INDEX(Positions!$D$2:$D$6912,MATCH($A681&amp;"|10",Positions!$A$2:$A$6912,0)),"-")</f>
        <v>10</v>
      </c>
      <c r="E681" s="4" t="n">
        <f aca="false">IFERROR(INDEX(Positions!$D$2:$D$6912,MATCH($A681&amp;"|25",Positions!$A$2:$A$6912,0)),"-")</f>
        <v>25</v>
      </c>
      <c r="F681" s="4" t="str">
        <f aca="false">IFERROR(INDEX(Positions!$E$2:$E$6912,MATCH($A681&amp;"|10",Positions!$A$2:$A$6912,0)),"-")</f>
        <v>G</v>
      </c>
      <c r="G681" s="4" t="str">
        <f aca="false">IFERROR(INDEX(Positions!$E$2:$E$6912,MATCH($A681&amp;"|25",Positions!$A$2:$A$6912,0)),"-")</f>
        <v>C</v>
      </c>
      <c r="H681" s="3" t="str">
        <f aca="false">F681&amp;"-"&amp;G681</f>
        <v>G-C</v>
      </c>
      <c r="I681" s="4" t="n">
        <f aca="false">(F681="G")+(G681="G")</f>
        <v>1</v>
      </c>
      <c r="J681" s="4" t="n">
        <f aca="false">(F681="C")+(G681="C")</f>
        <v>1</v>
      </c>
      <c r="K681" s="3" t="n">
        <f aca="false">I681+J681</f>
        <v>2</v>
      </c>
    </row>
    <row r="682" customFormat="false" ht="15" hidden="false" customHeight="false" outlineLevel="0" collapsed="false">
      <c r="A682" s="4" t="s">
        <v>61</v>
      </c>
      <c r="B682" s="4" t="s">
        <v>425</v>
      </c>
      <c r="C682" s="4" t="s">
        <v>523</v>
      </c>
      <c r="D682" s="4" t="n">
        <f aca="false">IFERROR(INDEX(Positions!$D$2:$D$6912,MATCH($A682&amp;"|11",Positions!$A$2:$A$6912,0)),"-")</f>
        <v>11</v>
      </c>
      <c r="E682" s="4" t="n">
        <f aca="false">IFERROR(INDEX(Positions!$D$2:$D$6912,MATCH($A682&amp;"|24",Positions!$A$2:$A$6912,0)),"-")</f>
        <v>24</v>
      </c>
      <c r="F682" s="4" t="str">
        <f aca="false">IFERROR(INDEX(Positions!$E$2:$E$6912,MATCH($A682&amp;"|11",Positions!$A$2:$A$6912,0)),"-")</f>
        <v>C</v>
      </c>
      <c r="G682" s="4" t="str">
        <f aca="false">IFERROR(INDEX(Positions!$E$2:$E$6912,MATCH($A682&amp;"|24",Positions!$A$2:$A$6912,0)),"-")</f>
        <v>G</v>
      </c>
      <c r="H682" s="3" t="str">
        <f aca="false">F682&amp;"-"&amp;G682</f>
        <v>C-G</v>
      </c>
      <c r="I682" s="4" t="n">
        <f aca="false">(F682="G")+(G682="G")</f>
        <v>1</v>
      </c>
      <c r="J682" s="4" t="n">
        <f aca="false">(F682="C")+(G682="C")</f>
        <v>1</v>
      </c>
      <c r="K682" s="3" t="n">
        <f aca="false">I682+J682</f>
        <v>2</v>
      </c>
    </row>
    <row r="683" customFormat="false" ht="15" hidden="false" customHeight="false" outlineLevel="0" collapsed="false">
      <c r="A683" s="4" t="s">
        <v>61</v>
      </c>
      <c r="B683" s="4" t="s">
        <v>425</v>
      </c>
      <c r="C683" s="4" t="s">
        <v>250</v>
      </c>
      <c r="D683" s="4" t="n">
        <f aca="false">IFERROR(INDEX(Positions!$D$2:$D$6912,MATCH($A683&amp;"|12",Positions!$A$2:$A$6912,0)),"-")</f>
        <v>12</v>
      </c>
      <c r="E683" s="4" t="n">
        <f aca="false">IFERROR(INDEX(Positions!$D$2:$D$6912,MATCH($A683&amp;"|23",Positions!$A$2:$A$6912,0)),"-")</f>
        <v>23</v>
      </c>
      <c r="F683" s="4" t="str">
        <f aca="false">IFERROR(INDEX(Positions!$E$2:$E$6912,MATCH($A683&amp;"|12",Positions!$A$2:$A$6912,0)),"-")</f>
        <v>U</v>
      </c>
      <c r="G683" s="4" t="str">
        <f aca="false">IFERROR(INDEX(Positions!$E$2:$E$6912,MATCH($A683&amp;"|23",Positions!$A$2:$A$6912,0)),"-")</f>
        <v>A</v>
      </c>
      <c r="H683" s="3" t="str">
        <f aca="false">F683&amp;"-"&amp;G683</f>
        <v>U-A</v>
      </c>
      <c r="I683" s="4" t="n">
        <f aca="false">(F683="G")+(G683="G")</f>
        <v>0</v>
      </c>
      <c r="J683" s="4" t="n">
        <f aca="false">(F683="C")+(G683="C")</f>
        <v>0</v>
      </c>
      <c r="K683" s="3" t="n">
        <f aca="false">I683+J683</f>
        <v>0</v>
      </c>
    </row>
    <row r="684" customFormat="false" ht="15" hidden="false" customHeight="false" outlineLevel="0" collapsed="false">
      <c r="A684" s="4" t="s">
        <v>61</v>
      </c>
      <c r="B684" s="4" t="s">
        <v>425</v>
      </c>
      <c r="C684" s="4" t="s">
        <v>154</v>
      </c>
      <c r="D684" s="4" t="n">
        <f aca="false">IFERROR(INDEX(Positions!$D$2:$D$6912,MATCH($A684&amp;"|13",Positions!$A$2:$A$6912,0)),"-")</f>
        <v>13</v>
      </c>
      <c r="E684" s="4" t="n">
        <f aca="false">IFERROR(INDEX(Positions!$D$2:$D$6912,MATCH($A684&amp;"|22",Positions!$A$2:$A$6912,0)),"-")</f>
        <v>22</v>
      </c>
      <c r="F684" s="4" t="str">
        <f aca="false">IFERROR(INDEX(Positions!$E$2:$E$6912,MATCH($A684&amp;"|13",Positions!$A$2:$A$6912,0)),"-")</f>
        <v>C</v>
      </c>
      <c r="G684" s="4" t="str">
        <f aca="false">IFERROR(INDEX(Positions!$E$2:$E$6912,MATCH($A684&amp;"|22",Positions!$A$2:$A$6912,0)),"-")</f>
        <v>G</v>
      </c>
      <c r="H684" s="3" t="str">
        <f aca="false">F684&amp;"-"&amp;G684</f>
        <v>C-G</v>
      </c>
      <c r="I684" s="4" t="n">
        <f aca="false">(F684="G")+(G684="G")</f>
        <v>1</v>
      </c>
      <c r="J684" s="4" t="n">
        <f aca="false">(F684="C")+(G684="C")</f>
        <v>1</v>
      </c>
      <c r="K684" s="3" t="n">
        <f aca="false">I684+J684</f>
        <v>2</v>
      </c>
    </row>
    <row r="685" customFormat="false" ht="15" hidden="false" customHeight="false" outlineLevel="0" collapsed="false">
      <c r="A685" s="4" t="s">
        <v>61</v>
      </c>
      <c r="B685" s="4" t="s">
        <v>446</v>
      </c>
      <c r="C685" s="4" t="s">
        <v>524</v>
      </c>
      <c r="D685" s="4" t="n">
        <f aca="false">IFERROR(INDEX(Positions!$D$2:$D$6912,MATCH($A685&amp;"|27",Positions!$A$2:$A$6912,0)),"-")</f>
        <v>27</v>
      </c>
      <c r="E685" s="4" t="n">
        <f aca="false">IFERROR(INDEX(Positions!$D$2:$D$6912,MATCH($A685&amp;"|43",Positions!$A$2:$A$6912,0)),"-")</f>
        <v>43</v>
      </c>
      <c r="F685" s="4" t="str">
        <f aca="false">IFERROR(INDEX(Positions!$E$2:$E$6912,MATCH($A685&amp;"|27",Positions!$A$2:$A$6912,0)),"-")</f>
        <v>U</v>
      </c>
      <c r="G685" s="4" t="str">
        <f aca="false">IFERROR(INDEX(Positions!$E$2:$E$6912,MATCH($A685&amp;"|43",Positions!$A$2:$A$6912,0)),"-")</f>
        <v>A</v>
      </c>
      <c r="H685" s="3" t="str">
        <f aca="false">F685&amp;"-"&amp;G685</f>
        <v>U-A</v>
      </c>
      <c r="I685" s="4" t="n">
        <f aca="false">(F685="G")+(G685="G")</f>
        <v>0</v>
      </c>
      <c r="J685" s="4" t="n">
        <f aca="false">(F685="C")+(G685="C")</f>
        <v>0</v>
      </c>
      <c r="K685" s="3" t="n">
        <f aca="false">I685+J685</f>
        <v>0</v>
      </c>
    </row>
    <row r="686" customFormat="false" ht="15" hidden="false" customHeight="false" outlineLevel="0" collapsed="false">
      <c r="A686" s="4" t="s">
        <v>61</v>
      </c>
      <c r="B686" s="4" t="s">
        <v>446</v>
      </c>
      <c r="C686" s="4" t="s">
        <v>525</v>
      </c>
      <c r="D686" s="4" t="n">
        <f aca="false">IFERROR(INDEX(Positions!$D$2:$D$6912,MATCH($A686&amp;"|28",Positions!$A$2:$A$6912,0)),"-")</f>
        <v>28</v>
      </c>
      <c r="E686" s="4" t="n">
        <f aca="false">IFERROR(INDEX(Positions!$D$2:$D$6912,MATCH($A686&amp;"|42",Positions!$A$2:$A$6912,0)),"-")</f>
        <v>42</v>
      </c>
      <c r="F686" s="4" t="str">
        <f aca="false">IFERROR(INDEX(Positions!$E$2:$E$6912,MATCH($A686&amp;"|28",Positions!$A$2:$A$6912,0)),"-")</f>
        <v>U</v>
      </c>
      <c r="G686" s="4" t="str">
        <f aca="false">IFERROR(INDEX(Positions!$E$2:$E$6912,MATCH($A686&amp;"|42",Positions!$A$2:$A$6912,0)),"-")</f>
        <v>A</v>
      </c>
      <c r="H686" s="3" t="str">
        <f aca="false">F686&amp;"-"&amp;G686</f>
        <v>U-A</v>
      </c>
      <c r="I686" s="4" t="n">
        <f aca="false">(F686="G")+(G686="G")</f>
        <v>0</v>
      </c>
      <c r="J686" s="4" t="n">
        <f aca="false">(F686="C")+(G686="C")</f>
        <v>0</v>
      </c>
      <c r="K686" s="3" t="n">
        <f aca="false">I686+J686</f>
        <v>0</v>
      </c>
    </row>
    <row r="687" customFormat="false" ht="15" hidden="false" customHeight="false" outlineLevel="0" collapsed="false">
      <c r="A687" s="4" t="s">
        <v>61</v>
      </c>
      <c r="B687" s="4" t="s">
        <v>446</v>
      </c>
      <c r="C687" s="4" t="s">
        <v>256</v>
      </c>
      <c r="D687" s="4" t="n">
        <f aca="false">IFERROR(INDEX(Positions!$D$2:$D$6912,MATCH($A687&amp;"|29",Positions!$A$2:$A$6912,0)),"-")</f>
        <v>29</v>
      </c>
      <c r="E687" s="4" t="n">
        <f aca="false">IFERROR(INDEX(Positions!$D$2:$D$6912,MATCH($A687&amp;"|41",Positions!$A$2:$A$6912,0)),"-")</f>
        <v>41</v>
      </c>
      <c r="F687" s="4" t="str">
        <f aca="false">IFERROR(INDEX(Positions!$E$2:$E$6912,MATCH($A687&amp;"|29",Positions!$A$2:$A$6912,0)),"-")</f>
        <v>A</v>
      </c>
      <c r="G687" s="4" t="str">
        <f aca="false">IFERROR(INDEX(Positions!$E$2:$E$6912,MATCH($A687&amp;"|41",Positions!$A$2:$A$6912,0)),"-")</f>
        <v>U</v>
      </c>
      <c r="H687" s="3" t="str">
        <f aca="false">F687&amp;"-"&amp;G687</f>
        <v>A-U</v>
      </c>
      <c r="I687" s="4" t="n">
        <f aca="false">(F687="G")+(G687="G")</f>
        <v>0</v>
      </c>
      <c r="J687" s="4" t="n">
        <f aca="false">(F687="C")+(G687="C")</f>
        <v>0</v>
      </c>
      <c r="K687" s="3" t="n">
        <f aca="false">I687+J687</f>
        <v>0</v>
      </c>
    </row>
    <row r="688" customFormat="false" ht="15" hidden="false" customHeight="false" outlineLevel="0" collapsed="false">
      <c r="A688" s="4" t="s">
        <v>61</v>
      </c>
      <c r="B688" s="4" t="s">
        <v>446</v>
      </c>
      <c r="C688" s="4" t="s">
        <v>526</v>
      </c>
      <c r="D688" s="4" t="n">
        <f aca="false">IFERROR(INDEX(Positions!$D$2:$D$6912,MATCH($A688&amp;"|30",Positions!$A$2:$A$6912,0)),"-")</f>
        <v>30</v>
      </c>
      <c r="E688" s="4" t="n">
        <f aca="false">IFERROR(INDEX(Positions!$D$2:$D$6912,MATCH($A688&amp;"|40",Positions!$A$2:$A$6912,0)),"-")</f>
        <v>40</v>
      </c>
      <c r="F688" s="4" t="str">
        <f aca="false">IFERROR(INDEX(Positions!$E$2:$E$6912,MATCH($A688&amp;"|30",Positions!$A$2:$A$6912,0)),"-")</f>
        <v>G</v>
      </c>
      <c r="G688" s="4" t="str">
        <f aca="false">IFERROR(INDEX(Positions!$E$2:$E$6912,MATCH($A688&amp;"|40",Positions!$A$2:$A$6912,0)),"-")</f>
        <v>C</v>
      </c>
      <c r="H688" s="3" t="str">
        <f aca="false">F688&amp;"-"&amp;G688</f>
        <v>G-C</v>
      </c>
      <c r="I688" s="4" t="n">
        <f aca="false">(F688="G")+(G688="G")</f>
        <v>1</v>
      </c>
      <c r="J688" s="4" t="n">
        <f aca="false">(F688="C")+(G688="C")</f>
        <v>1</v>
      </c>
      <c r="K688" s="3" t="n">
        <f aca="false">I688+J688</f>
        <v>2</v>
      </c>
    </row>
    <row r="689" customFormat="false" ht="15" hidden="false" customHeight="false" outlineLevel="0" collapsed="false">
      <c r="A689" s="4" t="s">
        <v>61</v>
      </c>
      <c r="B689" s="4" t="s">
        <v>446</v>
      </c>
      <c r="C689" s="4" t="s">
        <v>273</v>
      </c>
      <c r="D689" s="4" t="n">
        <f aca="false">IFERROR(INDEX(Positions!$D$2:$D$6912,MATCH($A689&amp;"|31",Positions!$A$2:$A$6912,0)),"-")</f>
        <v>31</v>
      </c>
      <c r="E689" s="4" t="n">
        <f aca="false">IFERROR(INDEX(Positions!$D$2:$D$6912,MATCH($A689&amp;"|39",Positions!$A$2:$A$6912,0)),"-")</f>
        <v>39</v>
      </c>
      <c r="F689" s="4" t="str">
        <f aca="false">IFERROR(INDEX(Positions!$E$2:$E$6912,MATCH($A689&amp;"|31",Positions!$A$2:$A$6912,0)),"-")</f>
        <v>A</v>
      </c>
      <c r="G689" s="4" t="str">
        <f aca="false">IFERROR(INDEX(Positions!$E$2:$E$6912,MATCH($A689&amp;"|39",Positions!$A$2:$A$6912,0)),"-")</f>
        <v>U</v>
      </c>
      <c r="H689" s="3" t="str">
        <f aca="false">F689&amp;"-"&amp;G689</f>
        <v>A-U</v>
      </c>
      <c r="I689" s="4" t="n">
        <f aca="false">(F689="G")+(G689="G")</f>
        <v>0</v>
      </c>
      <c r="J689" s="4" t="n">
        <f aca="false">(F689="C")+(G689="C")</f>
        <v>0</v>
      </c>
      <c r="K689" s="3" t="n">
        <f aca="false">I689+J689</f>
        <v>0</v>
      </c>
    </row>
    <row r="690" customFormat="false" ht="15" hidden="false" customHeight="false" outlineLevel="0" collapsed="false">
      <c r="A690" s="4" t="s">
        <v>61</v>
      </c>
      <c r="B690" s="4" t="s">
        <v>471</v>
      </c>
      <c r="C690" s="4" t="s">
        <v>367</v>
      </c>
      <c r="D690" s="4" t="n">
        <f aca="false">IFERROR(INDEX(Positions!$D$2:$D$6912,MATCH($A690&amp;"|49",Positions!$A$2:$A$6912,0)),"-")</f>
        <v>49</v>
      </c>
      <c r="E690" s="4" t="n">
        <f aca="false">IFERROR(INDEX(Positions!$D$2:$D$6912,MATCH($A690&amp;"|65",Positions!$A$2:$A$6912,0)),"-")</f>
        <v>65</v>
      </c>
      <c r="F690" s="4" t="str">
        <f aca="false">IFERROR(INDEX(Positions!$E$2:$E$6912,MATCH($A690&amp;"|49",Positions!$A$2:$A$6912,0)),"-")</f>
        <v>C</v>
      </c>
      <c r="G690" s="4" t="str">
        <f aca="false">IFERROR(INDEX(Positions!$E$2:$E$6912,MATCH($A690&amp;"|65",Positions!$A$2:$A$6912,0)),"-")</f>
        <v>G</v>
      </c>
      <c r="H690" s="3" t="str">
        <f aca="false">F690&amp;"-"&amp;G690</f>
        <v>C-G</v>
      </c>
      <c r="I690" s="4" t="n">
        <f aca="false">(F690="G")+(G690="G")</f>
        <v>1</v>
      </c>
      <c r="J690" s="4" t="n">
        <f aca="false">(F690="C")+(G690="C")</f>
        <v>1</v>
      </c>
      <c r="K690" s="3" t="n">
        <f aca="false">I690+J690</f>
        <v>2</v>
      </c>
    </row>
    <row r="691" customFormat="false" ht="15" hidden="false" customHeight="false" outlineLevel="0" collapsed="false">
      <c r="A691" s="4" t="s">
        <v>61</v>
      </c>
      <c r="B691" s="4" t="s">
        <v>471</v>
      </c>
      <c r="C691" s="4" t="s">
        <v>233</v>
      </c>
      <c r="D691" s="4" t="n">
        <f aca="false">IFERROR(INDEX(Positions!$D$2:$D$6912,MATCH($A691&amp;"|50",Positions!$A$2:$A$6912,0)),"-")</f>
        <v>50</v>
      </c>
      <c r="E691" s="4" t="n">
        <f aca="false">IFERROR(INDEX(Positions!$D$2:$D$6912,MATCH($A691&amp;"|64",Positions!$A$2:$A$6912,0)),"-")</f>
        <v>64</v>
      </c>
      <c r="F691" s="4" t="str">
        <f aca="false">IFERROR(INDEX(Positions!$E$2:$E$6912,MATCH($A691&amp;"|50",Positions!$A$2:$A$6912,0)),"-")</f>
        <v>C</v>
      </c>
      <c r="G691" s="4" t="str">
        <f aca="false">IFERROR(INDEX(Positions!$E$2:$E$6912,MATCH($A691&amp;"|64",Positions!$A$2:$A$6912,0)),"-")</f>
        <v>G</v>
      </c>
      <c r="H691" s="3" t="str">
        <f aca="false">F691&amp;"-"&amp;G691</f>
        <v>C-G</v>
      </c>
      <c r="I691" s="4" t="n">
        <f aca="false">(F691="G")+(G691="G")</f>
        <v>1</v>
      </c>
      <c r="J691" s="4" t="n">
        <f aca="false">(F691="C")+(G691="C")</f>
        <v>1</v>
      </c>
      <c r="K691" s="3" t="n">
        <f aca="false">I691+J691</f>
        <v>2</v>
      </c>
    </row>
    <row r="692" customFormat="false" ht="15" hidden="false" customHeight="false" outlineLevel="0" collapsed="false">
      <c r="A692" s="4" t="s">
        <v>61</v>
      </c>
      <c r="B692" s="4" t="s">
        <v>471</v>
      </c>
      <c r="C692" s="4" t="s">
        <v>527</v>
      </c>
      <c r="D692" s="4" t="n">
        <f aca="false">IFERROR(INDEX(Positions!$D$2:$D$6912,MATCH($A692&amp;"|51",Positions!$A$2:$A$6912,0)),"-")</f>
        <v>51</v>
      </c>
      <c r="E692" s="4" t="n">
        <f aca="false">IFERROR(INDEX(Positions!$D$2:$D$6912,MATCH($A692&amp;"|63",Positions!$A$2:$A$6912,0)),"-")</f>
        <v>63</v>
      </c>
      <c r="F692" s="4" t="str">
        <f aca="false">IFERROR(INDEX(Positions!$E$2:$E$6912,MATCH($A692&amp;"|51",Positions!$A$2:$A$6912,0)),"-")</f>
        <v>U</v>
      </c>
      <c r="G692" s="4" t="str">
        <f aca="false">IFERROR(INDEX(Positions!$E$2:$E$6912,MATCH($A692&amp;"|63",Positions!$A$2:$A$6912,0)),"-")</f>
        <v>G</v>
      </c>
      <c r="H692" s="3" t="str">
        <f aca="false">F692&amp;"-"&amp;G692</f>
        <v>U-G</v>
      </c>
      <c r="I692" s="4" t="n">
        <f aca="false">(F692="G")+(G692="G")</f>
        <v>1</v>
      </c>
      <c r="J692" s="4" t="n">
        <f aca="false">(F692="C")+(G692="C")</f>
        <v>0</v>
      </c>
      <c r="K692" s="3" t="n">
        <f aca="false">I692+J692</f>
        <v>1</v>
      </c>
    </row>
    <row r="693" customFormat="false" ht="15" hidden="false" customHeight="false" outlineLevel="0" collapsed="false">
      <c r="A693" s="4" t="s">
        <v>61</v>
      </c>
      <c r="B693" s="4" t="s">
        <v>471</v>
      </c>
      <c r="C693" s="4" t="s">
        <v>528</v>
      </c>
      <c r="D693" s="4" t="n">
        <f aca="false">IFERROR(INDEX(Positions!$D$2:$D$6912,MATCH($A693&amp;"|52",Positions!$A$2:$A$6912,0)),"-")</f>
        <v>52</v>
      </c>
      <c r="E693" s="4" t="n">
        <f aca="false">IFERROR(INDEX(Positions!$D$2:$D$6912,MATCH($A693&amp;"|62",Positions!$A$2:$A$6912,0)),"-")</f>
        <v>62</v>
      </c>
      <c r="F693" s="4" t="str">
        <f aca="false">IFERROR(INDEX(Positions!$E$2:$E$6912,MATCH($A693&amp;"|52",Positions!$A$2:$A$6912,0)),"-")</f>
        <v>G</v>
      </c>
      <c r="G693" s="4" t="str">
        <f aca="false">IFERROR(INDEX(Positions!$E$2:$E$6912,MATCH($A693&amp;"|62",Positions!$A$2:$A$6912,0)),"-")</f>
        <v>C</v>
      </c>
      <c r="H693" s="3" t="str">
        <f aca="false">F693&amp;"-"&amp;G693</f>
        <v>G-C</v>
      </c>
      <c r="I693" s="4" t="n">
        <f aca="false">(F693="G")+(G693="G")</f>
        <v>1</v>
      </c>
      <c r="J693" s="4" t="n">
        <f aca="false">(F693="C")+(G693="C")</f>
        <v>1</v>
      </c>
      <c r="K693" s="3" t="n">
        <f aca="false">I693+J693</f>
        <v>2</v>
      </c>
    </row>
    <row r="694" customFormat="false" ht="15" hidden="false" customHeight="false" outlineLevel="0" collapsed="false">
      <c r="A694" s="4" t="s">
        <v>61</v>
      </c>
      <c r="B694" s="4" t="s">
        <v>471</v>
      </c>
      <c r="C694" s="4" t="s">
        <v>529</v>
      </c>
      <c r="D694" s="4" t="n">
        <f aca="false">IFERROR(INDEX(Positions!$D$2:$D$6912,MATCH($A694&amp;"|53",Positions!$A$2:$A$6912,0)),"-")</f>
        <v>53</v>
      </c>
      <c r="E694" s="4" t="n">
        <f aca="false">IFERROR(INDEX(Positions!$D$2:$D$6912,MATCH($A694&amp;"|61",Positions!$A$2:$A$6912,0)),"-")</f>
        <v>61</v>
      </c>
      <c r="F694" s="4" t="str">
        <f aca="false">IFERROR(INDEX(Positions!$E$2:$E$6912,MATCH($A694&amp;"|53",Positions!$A$2:$A$6912,0)),"-")</f>
        <v>G</v>
      </c>
      <c r="G694" s="4" t="str">
        <f aca="false">IFERROR(INDEX(Positions!$E$2:$E$6912,MATCH($A694&amp;"|61",Positions!$A$2:$A$6912,0)),"-")</f>
        <v>C</v>
      </c>
      <c r="H694" s="3" t="str">
        <f aca="false">F694&amp;"-"&amp;G694</f>
        <v>G-C</v>
      </c>
      <c r="I694" s="4" t="n">
        <f aca="false">(F694="G")+(G694="G")</f>
        <v>1</v>
      </c>
      <c r="J694" s="4" t="n">
        <f aca="false">(F694="C")+(G694="C")</f>
        <v>1</v>
      </c>
      <c r="K694" s="3" t="n">
        <f aca="false">I694+J694</f>
        <v>2</v>
      </c>
    </row>
    <row r="695" customFormat="false" ht="15" hidden="false" customHeight="false" outlineLevel="0" collapsed="false">
      <c r="A695" s="24" t="s">
        <v>61</v>
      </c>
      <c r="B695" s="24" t="s">
        <v>530</v>
      </c>
      <c r="C695" s="24" t="s">
        <v>531</v>
      </c>
      <c r="D695" s="24" t="n">
        <f aca="false">IFERROR(INDEX(Positions!$D$2:$D$6912,MATCH($A695&amp;"|8",Positions!$A$2:$A$6912,0)),"-")</f>
        <v>8</v>
      </c>
      <c r="E695" s="24" t="n">
        <f aca="false">IFERROR(INDEX(Positions!$D$2:$D$6912,MATCH($A695&amp;"|14",Positions!$A$2:$A$6912,0)),"-")</f>
        <v>14</v>
      </c>
      <c r="F695" s="24" t="str">
        <f aca="false">IFERROR(INDEX(Positions!$E$2:$E$6912,MATCH($A695&amp;"|8",Positions!$A$2:$A$6912,0)),"-")</f>
        <v>U</v>
      </c>
      <c r="G695" s="24" t="str">
        <f aca="false">IFERROR(INDEX(Positions!$E$2:$E$6912,MATCH($A695&amp;"|14",Positions!$A$2:$A$6912,0)),"-")</f>
        <v>A</v>
      </c>
      <c r="H695" s="25" t="str">
        <f aca="false">F695&amp;"-"&amp;G695</f>
        <v>U-A</v>
      </c>
      <c r="I695" s="24" t="n">
        <f aca="false">(F695="G")+(G695="G")</f>
        <v>0</v>
      </c>
      <c r="J695" s="24" t="n">
        <f aca="false">(F695="C")+(G695="C")</f>
        <v>0</v>
      </c>
      <c r="K695" s="25" t="n">
        <f aca="false">I695+J695</f>
        <v>0</v>
      </c>
    </row>
    <row r="696" customFormat="false" ht="15" hidden="false" customHeight="false" outlineLevel="0" collapsed="false">
      <c r="A696" s="24" t="s">
        <v>61</v>
      </c>
      <c r="B696" s="24" t="s">
        <v>530</v>
      </c>
      <c r="C696" s="24" t="s">
        <v>532</v>
      </c>
      <c r="D696" s="24" t="n">
        <f aca="false">IFERROR(INDEX(Positions!$D$2:$D$6912,MATCH($A696&amp;"|15",Positions!$A$2:$A$6912,0)),"-")</f>
        <v>15</v>
      </c>
      <c r="E696" s="24" t="n">
        <f aca="false">IFERROR(INDEX(Positions!$D$2:$D$6912,MATCH($A696&amp;"|48",Positions!$A$2:$A$6912,0)),"-")</f>
        <v>48</v>
      </c>
      <c r="F696" s="24" t="str">
        <f aca="false">IFERROR(INDEX(Positions!$E$2:$E$6912,MATCH($A696&amp;"|15",Positions!$A$2:$A$6912,0)),"-")</f>
        <v>G</v>
      </c>
      <c r="G696" s="24" t="str">
        <f aca="false">IFERROR(INDEX(Positions!$E$2:$E$6912,MATCH($A696&amp;"|48",Positions!$A$2:$A$6912,0)),"-")</f>
        <v>C</v>
      </c>
      <c r="H696" s="25" t="str">
        <f aca="false">F696&amp;"-"&amp;G696</f>
        <v>G-C</v>
      </c>
      <c r="I696" s="24" t="n">
        <f aca="false">(F696="G")+(G696="G")</f>
        <v>1</v>
      </c>
      <c r="J696" s="24" t="n">
        <f aca="false">(F696="C")+(G696="C")</f>
        <v>1</v>
      </c>
      <c r="K696" s="25" t="n">
        <f aca="false">I696+J696</f>
        <v>2</v>
      </c>
    </row>
    <row r="697" customFormat="false" ht="15" hidden="false" customHeight="false" outlineLevel="0" collapsed="false">
      <c r="A697" s="24" t="s">
        <v>61</v>
      </c>
      <c r="B697" s="24" t="s">
        <v>530</v>
      </c>
      <c r="C697" s="24" t="s">
        <v>533</v>
      </c>
      <c r="D697" s="24" t="n">
        <f aca="false">IFERROR(INDEX(Positions!$D$2:$D$6912,MATCH($A697&amp;"|18",Positions!$A$2:$A$6912,0)),"-")</f>
        <v>18</v>
      </c>
      <c r="E697" s="24" t="n">
        <f aca="false">IFERROR(INDEX(Positions!$D$2:$D$6912,MATCH($A697&amp;"|55",Positions!$A$2:$A$6912,0)),"-")</f>
        <v>55</v>
      </c>
      <c r="F697" s="24" t="str">
        <f aca="false">IFERROR(INDEX(Positions!$E$2:$E$6912,MATCH($A697&amp;"|18",Positions!$A$2:$A$6912,0)),"-")</f>
        <v>G</v>
      </c>
      <c r="G697" s="24" t="str">
        <f aca="false">IFERROR(INDEX(Positions!$E$2:$E$6912,MATCH($A697&amp;"|55",Positions!$A$2:$A$6912,0)),"-")</f>
        <v>U</v>
      </c>
      <c r="H697" s="25" t="str">
        <f aca="false">F697&amp;"-"&amp;G697</f>
        <v>G-U</v>
      </c>
      <c r="I697" s="24" t="n">
        <f aca="false">(F697="G")+(G697="G")</f>
        <v>1</v>
      </c>
      <c r="J697" s="24" t="n">
        <f aca="false">(F697="C")+(G697="C")</f>
        <v>0</v>
      </c>
      <c r="K697" s="25" t="n">
        <f aca="false">I697+J697</f>
        <v>1</v>
      </c>
    </row>
    <row r="698" customFormat="false" ht="15" hidden="false" customHeight="false" outlineLevel="0" collapsed="false">
      <c r="A698" s="24" t="s">
        <v>61</v>
      </c>
      <c r="B698" s="24" t="s">
        <v>530</v>
      </c>
      <c r="C698" s="24" t="s">
        <v>534</v>
      </c>
      <c r="D698" s="24" t="n">
        <f aca="false">IFERROR(INDEX(Positions!$D$2:$D$6912,MATCH($A698&amp;"|19",Positions!$A$2:$A$6912,0)),"-")</f>
        <v>19</v>
      </c>
      <c r="E698" s="24" t="n">
        <f aca="false">IFERROR(INDEX(Positions!$D$2:$D$6912,MATCH($A698&amp;"|56",Positions!$A$2:$A$6912,0)),"-")</f>
        <v>56</v>
      </c>
      <c r="F698" s="24" t="str">
        <f aca="false">IFERROR(INDEX(Positions!$E$2:$E$6912,MATCH($A698&amp;"|19",Positions!$A$2:$A$6912,0)),"-")</f>
        <v>G</v>
      </c>
      <c r="G698" s="24" t="str">
        <f aca="false">IFERROR(INDEX(Positions!$E$2:$E$6912,MATCH($A698&amp;"|56",Positions!$A$2:$A$6912,0)),"-")</f>
        <v>C</v>
      </c>
      <c r="H698" s="25" t="str">
        <f aca="false">F698&amp;"-"&amp;G698</f>
        <v>G-C</v>
      </c>
      <c r="I698" s="24" t="n">
        <f aca="false">(F698="G")+(G698="G")</f>
        <v>1</v>
      </c>
      <c r="J698" s="24" t="n">
        <f aca="false">(F698="C")+(G698="C")</f>
        <v>1</v>
      </c>
      <c r="K698" s="25" t="n">
        <f aca="false">I698+J698</f>
        <v>2</v>
      </c>
    </row>
    <row r="699" customFormat="false" ht="15" hidden="false" customHeight="false" outlineLevel="0" collapsed="false">
      <c r="A699" s="24" t="s">
        <v>61</v>
      </c>
      <c r="B699" s="24" t="s">
        <v>530</v>
      </c>
      <c r="C699" s="24" t="s">
        <v>535</v>
      </c>
      <c r="D699" s="24" t="n">
        <f aca="false">IFERROR(INDEX(Positions!$D$2:$D$6912,MATCH($A699&amp;"|26",Positions!$A$2:$A$6912,0)),"-")</f>
        <v>26</v>
      </c>
      <c r="E699" s="24" t="n">
        <f aca="false">IFERROR(INDEX(Positions!$D$2:$D$6912,MATCH($A699&amp;"|44",Positions!$A$2:$A$6912,0)),"-")</f>
        <v>44</v>
      </c>
      <c r="F699" s="24" t="str">
        <f aca="false">IFERROR(INDEX(Positions!$E$2:$E$6912,MATCH($A699&amp;"|26",Positions!$A$2:$A$6912,0)),"-")</f>
        <v>G</v>
      </c>
      <c r="G699" s="24" t="str">
        <f aca="false">IFERROR(INDEX(Positions!$E$2:$E$6912,MATCH($A699&amp;"|44",Positions!$A$2:$A$6912,0)),"-")</f>
        <v>A</v>
      </c>
      <c r="H699" s="25" t="str">
        <f aca="false">F699&amp;"-"&amp;G699</f>
        <v>G-A</v>
      </c>
      <c r="I699" s="24" t="n">
        <f aca="false">(F699="G")+(G699="G")</f>
        <v>1</v>
      </c>
      <c r="J699" s="24" t="n">
        <f aca="false">(F699="C")+(G699="C")</f>
        <v>0</v>
      </c>
      <c r="K699" s="25" t="n">
        <f aca="false">I699+J699</f>
        <v>1</v>
      </c>
    </row>
    <row r="700" customFormat="false" ht="15" hidden="false" customHeight="false" outlineLevel="0" collapsed="false">
      <c r="A700" s="24" t="s">
        <v>61</v>
      </c>
      <c r="B700" s="24" t="s">
        <v>530</v>
      </c>
      <c r="C700" s="24" t="s">
        <v>536</v>
      </c>
      <c r="D700" s="24" t="n">
        <f aca="false">IFERROR(INDEX(Positions!$D$2:$D$6912,MATCH($A700&amp;"|32",Positions!$A$2:$A$6912,0)),"-")</f>
        <v>32</v>
      </c>
      <c r="E700" s="24" t="n">
        <f aca="false">IFERROR(INDEX(Positions!$D$2:$D$6912,MATCH($A700&amp;"|38",Positions!$A$2:$A$6912,0)),"-")</f>
        <v>38</v>
      </c>
      <c r="F700" s="24" t="str">
        <f aca="false">IFERROR(INDEX(Positions!$E$2:$E$6912,MATCH($A700&amp;"|32",Positions!$A$2:$A$6912,0)),"-")</f>
        <v>C</v>
      </c>
      <c r="G700" s="24" t="str">
        <f aca="false">IFERROR(INDEX(Positions!$E$2:$E$6912,MATCH($A700&amp;"|38",Positions!$A$2:$A$6912,0)),"-")</f>
        <v>A</v>
      </c>
      <c r="H700" s="25" t="str">
        <f aca="false">F700&amp;"-"&amp;G700</f>
        <v>C-A</v>
      </c>
      <c r="I700" s="24" t="n">
        <f aca="false">(F700="G")+(G700="G")</f>
        <v>0</v>
      </c>
      <c r="J700" s="24" t="n">
        <f aca="false">(F700="C")+(G700="C")</f>
        <v>1</v>
      </c>
      <c r="K700" s="25" t="n">
        <f aca="false">I700+J700</f>
        <v>1</v>
      </c>
    </row>
    <row r="701" customFormat="false" ht="15" hidden="false" customHeight="false" outlineLevel="0" collapsed="false">
      <c r="A701" s="24" t="s">
        <v>61</v>
      </c>
      <c r="B701" s="24" t="s">
        <v>530</v>
      </c>
      <c r="C701" s="24" t="s">
        <v>537</v>
      </c>
      <c r="D701" s="24" t="n">
        <f aca="false">IFERROR(INDEX(Positions!$D$2:$D$6912,MATCH($A701&amp;"|54",Positions!$A$2:$A$6912,0)),"-")</f>
        <v>54</v>
      </c>
      <c r="E701" s="24" t="n">
        <f aca="false">IFERROR(INDEX(Positions!$D$2:$D$6912,MATCH($A701&amp;"|58",Positions!$A$2:$A$6912,0)),"-")</f>
        <v>58</v>
      </c>
      <c r="F701" s="24" t="str">
        <f aca="false">IFERROR(INDEX(Positions!$E$2:$E$6912,MATCH($A701&amp;"|54",Positions!$A$2:$A$6912,0)),"-")</f>
        <v>U</v>
      </c>
      <c r="G701" s="24" t="str">
        <f aca="false">IFERROR(INDEX(Positions!$E$2:$E$6912,MATCH($A701&amp;"|58",Positions!$A$2:$A$6912,0)),"-")</f>
        <v>A</v>
      </c>
      <c r="H701" s="25" t="str">
        <f aca="false">F701&amp;"-"&amp;G701</f>
        <v>U-A</v>
      </c>
      <c r="I701" s="24" t="n">
        <f aca="false">(F701="G")+(G701="G")</f>
        <v>0</v>
      </c>
      <c r="J701" s="24" t="n">
        <f aca="false">(F701="C")+(G701="C")</f>
        <v>0</v>
      </c>
      <c r="K701" s="25" t="n">
        <f aca="false">I701+J701</f>
        <v>0</v>
      </c>
    </row>
    <row r="702" customFormat="false" ht="15" hidden="false" customHeight="false" outlineLevel="0" collapsed="false">
      <c r="A702" s="4" t="s">
        <v>62</v>
      </c>
      <c r="B702" s="4" t="s">
        <v>412</v>
      </c>
      <c r="C702" s="4" t="s">
        <v>517</v>
      </c>
      <c r="D702" s="4" t="n">
        <f aca="false">IFERROR(INDEX(Positions!$D$2:$D$6912,MATCH($A702&amp;"|1",Positions!$A$2:$A$6912,0)),"-")</f>
        <v>1</v>
      </c>
      <c r="E702" s="4" t="n">
        <f aca="false">IFERROR(INDEX(Positions!$D$2:$D$6912,MATCH($A702&amp;"|72",Positions!$A$2:$A$6912,0)),"-")</f>
        <v>71</v>
      </c>
      <c r="F702" s="4" t="str">
        <f aca="false">IFERROR(INDEX(Positions!$E$2:$E$6912,MATCH($A702&amp;"|1",Positions!$A$2:$A$6912,0)),"-")</f>
        <v>U</v>
      </c>
      <c r="G702" s="4" t="str">
        <f aca="false">IFERROR(INDEX(Positions!$E$2:$E$6912,MATCH($A702&amp;"|72",Positions!$A$2:$A$6912,0)),"-")</f>
        <v>A</v>
      </c>
      <c r="H702" s="3" t="str">
        <f aca="false">F702&amp;"-"&amp;G702</f>
        <v>U-A</v>
      </c>
      <c r="I702" s="4" t="n">
        <f aca="false">(F702="G")+(G702="G")</f>
        <v>0</v>
      </c>
      <c r="J702" s="4" t="n">
        <f aca="false">(F702="C")+(G702="C")</f>
        <v>0</v>
      </c>
      <c r="K702" s="3" t="n">
        <f aca="false">I702+J702</f>
        <v>0</v>
      </c>
    </row>
    <row r="703" customFormat="false" ht="15" hidden="false" customHeight="false" outlineLevel="0" collapsed="false">
      <c r="A703" s="4" t="s">
        <v>62</v>
      </c>
      <c r="B703" s="4" t="s">
        <v>412</v>
      </c>
      <c r="C703" s="4" t="s">
        <v>518</v>
      </c>
      <c r="D703" s="4" t="n">
        <f aca="false">IFERROR(INDEX(Positions!$D$2:$D$6912,MATCH($A703&amp;"|2",Positions!$A$2:$A$6912,0)),"-")</f>
        <v>2</v>
      </c>
      <c r="E703" s="4" t="n">
        <f aca="false">IFERROR(INDEX(Positions!$D$2:$D$6912,MATCH($A703&amp;"|71",Positions!$A$2:$A$6912,0)),"-")</f>
        <v>70</v>
      </c>
      <c r="F703" s="4" t="str">
        <f aca="false">IFERROR(INDEX(Positions!$E$2:$E$6912,MATCH($A703&amp;"|2",Positions!$A$2:$A$6912,0)),"-")</f>
        <v>U</v>
      </c>
      <c r="G703" s="4" t="str">
        <f aca="false">IFERROR(INDEX(Positions!$E$2:$E$6912,MATCH($A703&amp;"|71",Positions!$A$2:$A$6912,0)),"-")</f>
        <v>A</v>
      </c>
      <c r="H703" s="3" t="str">
        <f aca="false">F703&amp;"-"&amp;G703</f>
        <v>U-A</v>
      </c>
      <c r="I703" s="4" t="n">
        <f aca="false">(F703="G")+(G703="G")</f>
        <v>0</v>
      </c>
      <c r="J703" s="4" t="n">
        <f aca="false">(F703="C")+(G703="C")</f>
        <v>0</v>
      </c>
      <c r="K703" s="3" t="n">
        <f aca="false">I703+J703</f>
        <v>0</v>
      </c>
    </row>
    <row r="704" customFormat="false" ht="15" hidden="false" customHeight="false" outlineLevel="0" collapsed="false">
      <c r="A704" s="4" t="s">
        <v>62</v>
      </c>
      <c r="B704" s="4" t="s">
        <v>412</v>
      </c>
      <c r="C704" s="4" t="s">
        <v>386</v>
      </c>
      <c r="D704" s="4" t="n">
        <f aca="false">IFERROR(INDEX(Positions!$D$2:$D$6912,MATCH($A704&amp;"|3",Positions!$A$2:$A$6912,0)),"-")</f>
        <v>3</v>
      </c>
      <c r="E704" s="4" t="n">
        <f aca="false">IFERROR(INDEX(Positions!$D$2:$D$6912,MATCH($A704&amp;"|70",Positions!$A$2:$A$6912,0)),"-")</f>
        <v>69</v>
      </c>
      <c r="F704" s="4" t="str">
        <f aca="false">IFERROR(INDEX(Positions!$E$2:$E$6912,MATCH($A704&amp;"|3",Positions!$A$2:$A$6912,0)),"-")</f>
        <v>C</v>
      </c>
      <c r="G704" s="4" t="str">
        <f aca="false">IFERROR(INDEX(Positions!$E$2:$E$6912,MATCH($A704&amp;"|70",Positions!$A$2:$A$6912,0)),"-")</f>
        <v>G</v>
      </c>
      <c r="H704" s="3" t="str">
        <f aca="false">F704&amp;"-"&amp;G704</f>
        <v>C-G</v>
      </c>
      <c r="I704" s="4" t="n">
        <f aca="false">(F704="G")+(G704="G")</f>
        <v>1</v>
      </c>
      <c r="J704" s="4" t="n">
        <f aca="false">(F704="C")+(G704="C")</f>
        <v>1</v>
      </c>
      <c r="K704" s="3" t="n">
        <f aca="false">I704+J704</f>
        <v>2</v>
      </c>
    </row>
    <row r="705" customFormat="false" ht="15" hidden="false" customHeight="false" outlineLevel="0" collapsed="false">
      <c r="A705" s="4" t="s">
        <v>62</v>
      </c>
      <c r="B705" s="4" t="s">
        <v>412</v>
      </c>
      <c r="C705" s="4" t="s">
        <v>519</v>
      </c>
      <c r="D705" s="4" t="n">
        <f aca="false">IFERROR(INDEX(Positions!$D$2:$D$6912,MATCH($A705&amp;"|4",Positions!$A$2:$A$6912,0)),"-")</f>
        <v>4</v>
      </c>
      <c r="E705" s="4" t="n">
        <f aca="false">IFERROR(INDEX(Positions!$D$2:$D$6912,MATCH($A705&amp;"|69",Positions!$A$2:$A$6912,0)),"-")</f>
        <v>68</v>
      </c>
      <c r="F705" s="4" t="str">
        <f aca="false">IFERROR(INDEX(Positions!$E$2:$E$6912,MATCH($A705&amp;"|4",Positions!$A$2:$A$6912,0)),"-")</f>
        <v>U</v>
      </c>
      <c r="G705" s="4" t="str">
        <f aca="false">IFERROR(INDEX(Positions!$E$2:$E$6912,MATCH($A705&amp;"|69",Positions!$A$2:$A$6912,0)),"-")</f>
        <v>G</v>
      </c>
      <c r="H705" s="3" t="str">
        <f aca="false">F705&amp;"-"&amp;G705</f>
        <v>U-G</v>
      </c>
      <c r="I705" s="4" t="n">
        <f aca="false">(F705="G")+(G705="G")</f>
        <v>1</v>
      </c>
      <c r="J705" s="4" t="n">
        <f aca="false">(F705="C")+(G705="C")</f>
        <v>0</v>
      </c>
      <c r="K705" s="3" t="n">
        <f aca="false">I705+J705</f>
        <v>1</v>
      </c>
    </row>
    <row r="706" customFormat="false" ht="15" hidden="false" customHeight="false" outlineLevel="0" collapsed="false">
      <c r="A706" s="4" t="s">
        <v>62</v>
      </c>
      <c r="B706" s="4" t="s">
        <v>412</v>
      </c>
      <c r="C706" s="4" t="s">
        <v>283</v>
      </c>
      <c r="D706" s="4" t="n">
        <f aca="false">IFERROR(INDEX(Positions!$D$2:$D$6912,MATCH($A706&amp;"|5",Positions!$A$2:$A$6912,0)),"-")</f>
        <v>5</v>
      </c>
      <c r="E706" s="4" t="n">
        <f aca="false">IFERROR(INDEX(Positions!$D$2:$D$6912,MATCH($A706&amp;"|68",Positions!$A$2:$A$6912,0)),"-")</f>
        <v>67</v>
      </c>
      <c r="F706" s="4" t="str">
        <f aca="false">IFERROR(INDEX(Positions!$E$2:$E$6912,MATCH($A706&amp;"|5",Positions!$A$2:$A$6912,0)),"-")</f>
        <v>C</v>
      </c>
      <c r="G706" s="4" t="str">
        <f aca="false">IFERROR(INDEX(Positions!$E$2:$E$6912,MATCH($A706&amp;"|68",Positions!$A$2:$A$6912,0)),"-")</f>
        <v>G</v>
      </c>
      <c r="H706" s="3" t="str">
        <f aca="false">F706&amp;"-"&amp;G706</f>
        <v>C-G</v>
      </c>
      <c r="I706" s="4" t="n">
        <f aca="false">(F706="G")+(G706="G")</f>
        <v>1</v>
      </c>
      <c r="J706" s="4" t="n">
        <f aca="false">(F706="C")+(G706="C")</f>
        <v>1</v>
      </c>
      <c r="K706" s="3" t="n">
        <f aca="false">I706+J706</f>
        <v>2</v>
      </c>
    </row>
    <row r="707" customFormat="false" ht="15" hidden="false" customHeight="false" outlineLevel="0" collapsed="false">
      <c r="A707" s="4" t="s">
        <v>62</v>
      </c>
      <c r="B707" s="4" t="s">
        <v>412</v>
      </c>
      <c r="C707" s="4" t="s">
        <v>520</v>
      </c>
      <c r="D707" s="4" t="n">
        <f aca="false">IFERROR(INDEX(Positions!$D$2:$D$6912,MATCH($A707&amp;"|6",Positions!$A$2:$A$6912,0)),"-")</f>
        <v>6</v>
      </c>
      <c r="E707" s="4" t="n">
        <f aca="false">IFERROR(INDEX(Positions!$D$2:$D$6912,MATCH($A707&amp;"|67",Positions!$A$2:$A$6912,0)),"-")</f>
        <v>66</v>
      </c>
      <c r="F707" s="4" t="str">
        <f aca="false">IFERROR(INDEX(Positions!$E$2:$E$6912,MATCH($A707&amp;"|6",Positions!$A$2:$A$6912,0)),"-")</f>
        <v>G</v>
      </c>
      <c r="G707" s="4" t="str">
        <f aca="false">IFERROR(INDEX(Positions!$E$2:$E$6912,MATCH($A707&amp;"|67",Positions!$A$2:$A$6912,0)),"-")</f>
        <v>C</v>
      </c>
      <c r="H707" s="3" t="str">
        <f aca="false">F707&amp;"-"&amp;G707</f>
        <v>G-C</v>
      </c>
      <c r="I707" s="4" t="n">
        <f aca="false">(F707="G")+(G707="G")</f>
        <v>1</v>
      </c>
      <c r="J707" s="4" t="n">
        <f aca="false">(F707="C")+(G707="C")</f>
        <v>1</v>
      </c>
      <c r="K707" s="3" t="n">
        <f aca="false">I707+J707</f>
        <v>2</v>
      </c>
    </row>
    <row r="708" customFormat="false" ht="15" hidden="false" customHeight="false" outlineLevel="0" collapsed="false">
      <c r="A708" s="4" t="s">
        <v>62</v>
      </c>
      <c r="B708" s="4" t="s">
        <v>412</v>
      </c>
      <c r="C708" s="4" t="s">
        <v>521</v>
      </c>
      <c r="D708" s="4" t="n">
        <f aca="false">IFERROR(INDEX(Positions!$D$2:$D$6912,MATCH($A708&amp;"|7",Positions!$A$2:$A$6912,0)),"-")</f>
        <v>7</v>
      </c>
      <c r="E708" s="4" t="n">
        <f aca="false">IFERROR(INDEX(Positions!$D$2:$D$6912,MATCH($A708&amp;"|66",Positions!$A$2:$A$6912,0)),"-")</f>
        <v>65</v>
      </c>
      <c r="F708" s="4" t="str">
        <f aca="false">IFERROR(INDEX(Positions!$E$2:$E$6912,MATCH($A708&amp;"|7",Positions!$A$2:$A$6912,0)),"-")</f>
        <v>G</v>
      </c>
      <c r="G708" s="4" t="str">
        <f aca="false">IFERROR(INDEX(Positions!$E$2:$E$6912,MATCH($A708&amp;"|66",Positions!$A$2:$A$6912,0)),"-")</f>
        <v>C</v>
      </c>
      <c r="H708" s="3" t="str">
        <f aca="false">F708&amp;"-"&amp;G708</f>
        <v>G-C</v>
      </c>
      <c r="I708" s="4" t="n">
        <f aca="false">(F708="G")+(G708="G")</f>
        <v>1</v>
      </c>
      <c r="J708" s="4" t="n">
        <f aca="false">(F708="C")+(G708="C")</f>
        <v>1</v>
      </c>
      <c r="K708" s="3" t="n">
        <f aca="false">I708+J708</f>
        <v>2</v>
      </c>
    </row>
    <row r="709" customFormat="false" ht="15" hidden="false" customHeight="false" outlineLevel="0" collapsed="false">
      <c r="A709" s="4" t="s">
        <v>62</v>
      </c>
      <c r="B709" s="4" t="s">
        <v>425</v>
      </c>
      <c r="C709" s="4" t="s">
        <v>522</v>
      </c>
      <c r="D709" s="4" t="n">
        <f aca="false">IFERROR(INDEX(Positions!$D$2:$D$6912,MATCH($A709&amp;"|10",Positions!$A$2:$A$6912,0)),"-")</f>
        <v>10</v>
      </c>
      <c r="E709" s="4" t="n">
        <f aca="false">IFERROR(INDEX(Positions!$D$2:$D$6912,MATCH($A709&amp;"|25",Positions!$A$2:$A$6912,0)),"-")</f>
        <v>25</v>
      </c>
      <c r="F709" s="4" t="str">
        <f aca="false">IFERROR(INDEX(Positions!$E$2:$E$6912,MATCH($A709&amp;"|10",Positions!$A$2:$A$6912,0)),"-")</f>
        <v>G</v>
      </c>
      <c r="G709" s="4" t="str">
        <f aca="false">IFERROR(INDEX(Positions!$E$2:$E$6912,MATCH($A709&amp;"|25",Positions!$A$2:$A$6912,0)),"-")</f>
        <v>U</v>
      </c>
      <c r="H709" s="3" t="str">
        <f aca="false">F709&amp;"-"&amp;G709</f>
        <v>G-U</v>
      </c>
      <c r="I709" s="4" t="n">
        <f aca="false">(F709="G")+(G709="G")</f>
        <v>1</v>
      </c>
      <c r="J709" s="4" t="n">
        <f aca="false">(F709="C")+(G709="C")</f>
        <v>0</v>
      </c>
      <c r="K709" s="3" t="n">
        <f aca="false">I709+J709</f>
        <v>1</v>
      </c>
    </row>
    <row r="710" customFormat="false" ht="15" hidden="false" customHeight="false" outlineLevel="0" collapsed="false">
      <c r="A710" s="4" t="s">
        <v>62</v>
      </c>
      <c r="B710" s="4" t="s">
        <v>425</v>
      </c>
      <c r="C710" s="4" t="s">
        <v>523</v>
      </c>
      <c r="D710" s="4" t="n">
        <f aca="false">IFERROR(INDEX(Positions!$D$2:$D$6912,MATCH($A710&amp;"|11",Positions!$A$2:$A$6912,0)),"-")</f>
        <v>11</v>
      </c>
      <c r="E710" s="4" t="n">
        <f aca="false">IFERROR(INDEX(Positions!$D$2:$D$6912,MATCH($A710&amp;"|24",Positions!$A$2:$A$6912,0)),"-")</f>
        <v>24</v>
      </c>
      <c r="F710" s="4" t="str">
        <f aca="false">IFERROR(INDEX(Positions!$E$2:$E$6912,MATCH($A710&amp;"|11",Positions!$A$2:$A$6912,0)),"-")</f>
        <v>U</v>
      </c>
      <c r="G710" s="4" t="str">
        <f aca="false">IFERROR(INDEX(Positions!$E$2:$E$6912,MATCH($A710&amp;"|24",Positions!$A$2:$A$6912,0)),"-")</f>
        <v>A</v>
      </c>
      <c r="H710" s="3" t="str">
        <f aca="false">F710&amp;"-"&amp;G710</f>
        <v>U-A</v>
      </c>
      <c r="I710" s="4" t="n">
        <f aca="false">(F710="G")+(G710="G")</f>
        <v>0</v>
      </c>
      <c r="J710" s="4" t="n">
        <f aca="false">(F710="C")+(G710="C")</f>
        <v>0</v>
      </c>
      <c r="K710" s="3" t="n">
        <f aca="false">I710+J710</f>
        <v>0</v>
      </c>
    </row>
    <row r="711" customFormat="false" ht="15" hidden="false" customHeight="false" outlineLevel="0" collapsed="false">
      <c r="A711" s="4" t="s">
        <v>62</v>
      </c>
      <c r="B711" s="4" t="s">
        <v>425</v>
      </c>
      <c r="C711" s="4" t="s">
        <v>250</v>
      </c>
      <c r="D711" s="4" t="n">
        <f aca="false">IFERROR(INDEX(Positions!$D$2:$D$6912,MATCH($A711&amp;"|12",Positions!$A$2:$A$6912,0)),"-")</f>
        <v>12</v>
      </c>
      <c r="E711" s="4" t="n">
        <f aca="false">IFERROR(INDEX(Positions!$D$2:$D$6912,MATCH($A711&amp;"|23",Positions!$A$2:$A$6912,0)),"-")</f>
        <v>23</v>
      </c>
      <c r="F711" s="4" t="str">
        <f aca="false">IFERROR(INDEX(Positions!$E$2:$E$6912,MATCH($A711&amp;"|12",Positions!$A$2:$A$6912,0)),"-")</f>
        <v>A</v>
      </c>
      <c r="G711" s="4" t="str">
        <f aca="false">IFERROR(INDEX(Positions!$E$2:$E$6912,MATCH($A711&amp;"|23",Positions!$A$2:$A$6912,0)),"-")</f>
        <v>U</v>
      </c>
      <c r="H711" s="3" t="str">
        <f aca="false">F711&amp;"-"&amp;G711</f>
        <v>A-U</v>
      </c>
      <c r="I711" s="4" t="n">
        <f aca="false">(F711="G")+(G711="G")</f>
        <v>0</v>
      </c>
      <c r="J711" s="4" t="n">
        <f aca="false">(F711="C")+(G711="C")</f>
        <v>0</v>
      </c>
      <c r="K711" s="3" t="n">
        <f aca="false">I711+J711</f>
        <v>0</v>
      </c>
    </row>
    <row r="712" customFormat="false" ht="15" hidden="false" customHeight="false" outlineLevel="0" collapsed="false">
      <c r="A712" s="4" t="s">
        <v>62</v>
      </c>
      <c r="B712" s="4" t="s">
        <v>425</v>
      </c>
      <c r="C712" s="4" t="s">
        <v>154</v>
      </c>
      <c r="D712" s="4" t="n">
        <f aca="false">IFERROR(INDEX(Positions!$D$2:$D$6912,MATCH($A712&amp;"|13",Positions!$A$2:$A$6912,0)),"-")</f>
        <v>13</v>
      </c>
      <c r="E712" s="4" t="n">
        <f aca="false">IFERROR(INDEX(Positions!$D$2:$D$6912,MATCH($A712&amp;"|22",Positions!$A$2:$A$6912,0)),"-")</f>
        <v>22</v>
      </c>
      <c r="F712" s="4" t="str">
        <f aca="false">IFERROR(INDEX(Positions!$E$2:$E$6912,MATCH($A712&amp;"|13",Positions!$A$2:$A$6912,0)),"-")</f>
        <v>U</v>
      </c>
      <c r="G712" s="4" t="str">
        <f aca="false">IFERROR(INDEX(Positions!$E$2:$E$6912,MATCH($A712&amp;"|22",Positions!$A$2:$A$6912,0)),"-")</f>
        <v>G</v>
      </c>
      <c r="H712" s="3" t="str">
        <f aca="false">F712&amp;"-"&amp;G712</f>
        <v>U-G</v>
      </c>
      <c r="I712" s="4" t="n">
        <f aca="false">(F712="G")+(G712="G")</f>
        <v>1</v>
      </c>
      <c r="J712" s="4" t="n">
        <f aca="false">(F712="C")+(G712="C")</f>
        <v>0</v>
      </c>
      <c r="K712" s="3" t="n">
        <f aca="false">I712+J712</f>
        <v>1</v>
      </c>
    </row>
    <row r="713" customFormat="false" ht="15" hidden="false" customHeight="false" outlineLevel="0" collapsed="false">
      <c r="A713" s="4" t="s">
        <v>62</v>
      </c>
      <c r="B713" s="4" t="s">
        <v>446</v>
      </c>
      <c r="C713" s="4" t="s">
        <v>524</v>
      </c>
      <c r="D713" s="4" t="n">
        <f aca="false">IFERROR(INDEX(Positions!$D$2:$D$6912,MATCH($A713&amp;"|27",Positions!$A$2:$A$6912,0)),"-")</f>
        <v>27</v>
      </c>
      <c r="E713" s="4" t="n">
        <f aca="false">IFERROR(INDEX(Positions!$D$2:$D$6912,MATCH($A713&amp;"|43",Positions!$A$2:$A$6912,0)),"-")</f>
        <v>43</v>
      </c>
      <c r="F713" s="4" t="str">
        <f aca="false">IFERROR(INDEX(Positions!$E$2:$E$6912,MATCH($A713&amp;"|27",Positions!$A$2:$A$6912,0)),"-")</f>
        <v>C</v>
      </c>
      <c r="G713" s="4" t="str">
        <f aca="false">IFERROR(INDEX(Positions!$E$2:$E$6912,MATCH($A713&amp;"|43",Positions!$A$2:$A$6912,0)),"-")</f>
        <v>G</v>
      </c>
      <c r="H713" s="3" t="str">
        <f aca="false">F713&amp;"-"&amp;G713</f>
        <v>C-G</v>
      </c>
      <c r="I713" s="4" t="n">
        <f aca="false">(F713="G")+(G713="G")</f>
        <v>1</v>
      </c>
      <c r="J713" s="4" t="n">
        <f aca="false">(F713="C")+(G713="C")</f>
        <v>1</v>
      </c>
      <c r="K713" s="3" t="n">
        <f aca="false">I713+J713</f>
        <v>2</v>
      </c>
    </row>
    <row r="714" customFormat="false" ht="15" hidden="false" customHeight="false" outlineLevel="0" collapsed="false">
      <c r="A714" s="4" t="s">
        <v>62</v>
      </c>
      <c r="B714" s="4" t="s">
        <v>446</v>
      </c>
      <c r="C714" s="4" t="s">
        <v>525</v>
      </c>
      <c r="D714" s="4" t="n">
        <f aca="false">IFERROR(INDEX(Positions!$D$2:$D$6912,MATCH($A714&amp;"|28",Positions!$A$2:$A$6912,0)),"-")</f>
        <v>28</v>
      </c>
      <c r="E714" s="4" t="n">
        <f aca="false">IFERROR(INDEX(Positions!$D$2:$D$6912,MATCH($A714&amp;"|42",Positions!$A$2:$A$6912,0)),"-")</f>
        <v>42</v>
      </c>
      <c r="F714" s="4" t="str">
        <f aca="false">IFERROR(INDEX(Positions!$E$2:$E$6912,MATCH($A714&amp;"|28",Positions!$A$2:$A$6912,0)),"-")</f>
        <v>C</v>
      </c>
      <c r="G714" s="4" t="str">
        <f aca="false">IFERROR(INDEX(Positions!$E$2:$E$6912,MATCH($A714&amp;"|42",Positions!$A$2:$A$6912,0)),"-")</f>
        <v>G</v>
      </c>
      <c r="H714" s="3" t="str">
        <f aca="false">F714&amp;"-"&amp;G714</f>
        <v>C-G</v>
      </c>
      <c r="I714" s="4" t="n">
        <f aca="false">(F714="G")+(G714="G")</f>
        <v>1</v>
      </c>
      <c r="J714" s="4" t="n">
        <f aca="false">(F714="C")+(G714="C")</f>
        <v>1</v>
      </c>
      <c r="K714" s="3" t="n">
        <f aca="false">I714+J714</f>
        <v>2</v>
      </c>
    </row>
    <row r="715" customFormat="false" ht="15" hidden="false" customHeight="false" outlineLevel="0" collapsed="false">
      <c r="A715" s="4" t="s">
        <v>62</v>
      </c>
      <c r="B715" s="4" t="s">
        <v>446</v>
      </c>
      <c r="C715" s="4" t="s">
        <v>256</v>
      </c>
      <c r="D715" s="4" t="n">
        <f aca="false">IFERROR(INDEX(Positions!$D$2:$D$6912,MATCH($A715&amp;"|29",Positions!$A$2:$A$6912,0)),"-")</f>
        <v>29</v>
      </c>
      <c r="E715" s="4" t="n">
        <f aca="false">IFERROR(INDEX(Positions!$D$2:$D$6912,MATCH($A715&amp;"|41",Positions!$A$2:$A$6912,0)),"-")</f>
        <v>41</v>
      </c>
      <c r="F715" s="4" t="str">
        <f aca="false">IFERROR(INDEX(Positions!$E$2:$E$6912,MATCH($A715&amp;"|29",Positions!$A$2:$A$6912,0)),"-")</f>
        <v>C</v>
      </c>
      <c r="G715" s="4" t="str">
        <f aca="false">IFERROR(INDEX(Positions!$E$2:$E$6912,MATCH($A715&amp;"|41",Positions!$A$2:$A$6912,0)),"-")</f>
        <v>G</v>
      </c>
      <c r="H715" s="3" t="str">
        <f aca="false">F715&amp;"-"&amp;G715</f>
        <v>C-G</v>
      </c>
      <c r="I715" s="4" t="n">
        <f aca="false">(F715="G")+(G715="G")</f>
        <v>1</v>
      </c>
      <c r="J715" s="4" t="n">
        <f aca="false">(F715="C")+(G715="C")</f>
        <v>1</v>
      </c>
      <c r="K715" s="3" t="n">
        <f aca="false">I715+J715</f>
        <v>2</v>
      </c>
    </row>
    <row r="716" customFormat="false" ht="15" hidden="false" customHeight="false" outlineLevel="0" collapsed="false">
      <c r="A716" s="4" t="s">
        <v>62</v>
      </c>
      <c r="B716" s="4" t="s">
        <v>446</v>
      </c>
      <c r="C716" s="4" t="s">
        <v>526</v>
      </c>
      <c r="D716" s="4" t="n">
        <f aca="false">IFERROR(INDEX(Positions!$D$2:$D$6912,MATCH($A716&amp;"|30",Positions!$A$2:$A$6912,0)),"-")</f>
        <v>30</v>
      </c>
      <c r="E716" s="4" t="n">
        <f aca="false">IFERROR(INDEX(Positions!$D$2:$D$6912,MATCH($A716&amp;"|40",Positions!$A$2:$A$6912,0)),"-")</f>
        <v>40</v>
      </c>
      <c r="F716" s="4" t="str">
        <f aca="false">IFERROR(INDEX(Positions!$E$2:$E$6912,MATCH($A716&amp;"|30",Positions!$A$2:$A$6912,0)),"-")</f>
        <v>G</v>
      </c>
      <c r="G716" s="4" t="str">
        <f aca="false">IFERROR(INDEX(Positions!$E$2:$E$6912,MATCH($A716&amp;"|40",Positions!$A$2:$A$6912,0)),"-")</f>
        <v>C</v>
      </c>
      <c r="H716" s="3" t="str">
        <f aca="false">F716&amp;"-"&amp;G716</f>
        <v>G-C</v>
      </c>
      <c r="I716" s="4" t="n">
        <f aca="false">(F716="G")+(G716="G")</f>
        <v>1</v>
      </c>
      <c r="J716" s="4" t="n">
        <f aca="false">(F716="C")+(G716="C")</f>
        <v>1</v>
      </c>
      <c r="K716" s="3" t="n">
        <f aca="false">I716+J716</f>
        <v>2</v>
      </c>
    </row>
    <row r="717" customFormat="false" ht="15" hidden="false" customHeight="false" outlineLevel="0" collapsed="false">
      <c r="A717" s="4" t="s">
        <v>62</v>
      </c>
      <c r="B717" s="4" t="s">
        <v>446</v>
      </c>
      <c r="C717" s="4" t="s">
        <v>273</v>
      </c>
      <c r="D717" s="4" t="n">
        <f aca="false">IFERROR(INDEX(Positions!$D$2:$D$6912,MATCH($A717&amp;"|31",Positions!$A$2:$A$6912,0)),"-")</f>
        <v>31</v>
      </c>
      <c r="E717" s="4" t="n">
        <f aca="false">IFERROR(INDEX(Positions!$D$2:$D$6912,MATCH($A717&amp;"|39",Positions!$A$2:$A$6912,0)),"-")</f>
        <v>39</v>
      </c>
      <c r="F717" s="4" t="str">
        <f aca="false">IFERROR(INDEX(Positions!$E$2:$E$6912,MATCH($A717&amp;"|31",Positions!$A$2:$A$6912,0)),"-")</f>
        <v>C</v>
      </c>
      <c r="G717" s="4" t="str">
        <f aca="false">IFERROR(INDEX(Positions!$E$2:$E$6912,MATCH($A717&amp;"|39",Positions!$A$2:$A$6912,0)),"-")</f>
        <v>G</v>
      </c>
      <c r="H717" s="3" t="str">
        <f aca="false">F717&amp;"-"&amp;G717</f>
        <v>C-G</v>
      </c>
      <c r="I717" s="4" t="n">
        <f aca="false">(F717="G")+(G717="G")</f>
        <v>1</v>
      </c>
      <c r="J717" s="4" t="n">
        <f aca="false">(F717="C")+(G717="C")</f>
        <v>1</v>
      </c>
      <c r="K717" s="3" t="n">
        <f aca="false">I717+J717</f>
        <v>2</v>
      </c>
    </row>
    <row r="718" customFormat="false" ht="15" hidden="false" customHeight="false" outlineLevel="0" collapsed="false">
      <c r="A718" s="4" t="s">
        <v>62</v>
      </c>
      <c r="B718" s="4" t="s">
        <v>471</v>
      </c>
      <c r="C718" s="4" t="s">
        <v>367</v>
      </c>
      <c r="D718" s="4" t="n">
        <f aca="false">IFERROR(INDEX(Positions!$D$2:$D$6912,MATCH($A718&amp;"|49",Positions!$A$2:$A$6912,0)),"-")</f>
        <v>48</v>
      </c>
      <c r="E718" s="4" t="n">
        <f aca="false">IFERROR(INDEX(Positions!$D$2:$D$6912,MATCH($A718&amp;"|65",Positions!$A$2:$A$6912,0)),"-")</f>
        <v>64</v>
      </c>
      <c r="F718" s="4" t="str">
        <f aca="false">IFERROR(INDEX(Positions!$E$2:$E$6912,MATCH($A718&amp;"|49",Positions!$A$2:$A$6912,0)),"-")</f>
        <v>C</v>
      </c>
      <c r="G718" s="4" t="str">
        <f aca="false">IFERROR(INDEX(Positions!$E$2:$E$6912,MATCH($A718&amp;"|65",Positions!$A$2:$A$6912,0)),"-")</f>
        <v>G</v>
      </c>
      <c r="H718" s="3" t="str">
        <f aca="false">F718&amp;"-"&amp;G718</f>
        <v>C-G</v>
      </c>
      <c r="I718" s="4" t="n">
        <f aca="false">(F718="G")+(G718="G")</f>
        <v>1</v>
      </c>
      <c r="J718" s="4" t="n">
        <f aca="false">(F718="C")+(G718="C")</f>
        <v>1</v>
      </c>
      <c r="K718" s="3" t="n">
        <f aca="false">I718+J718</f>
        <v>2</v>
      </c>
    </row>
    <row r="719" customFormat="false" ht="15" hidden="false" customHeight="false" outlineLevel="0" collapsed="false">
      <c r="A719" s="4" t="s">
        <v>62</v>
      </c>
      <c r="B719" s="4" t="s">
        <v>471</v>
      </c>
      <c r="C719" s="4" t="s">
        <v>233</v>
      </c>
      <c r="D719" s="4" t="n">
        <f aca="false">IFERROR(INDEX(Positions!$D$2:$D$6912,MATCH($A719&amp;"|50",Positions!$A$2:$A$6912,0)),"-")</f>
        <v>49</v>
      </c>
      <c r="E719" s="4" t="n">
        <f aca="false">IFERROR(INDEX(Positions!$D$2:$D$6912,MATCH($A719&amp;"|64",Positions!$A$2:$A$6912,0)),"-")</f>
        <v>63</v>
      </c>
      <c r="F719" s="4" t="str">
        <f aca="false">IFERROR(INDEX(Positions!$E$2:$E$6912,MATCH($A719&amp;"|50",Positions!$A$2:$A$6912,0)),"-")</f>
        <v>C</v>
      </c>
      <c r="G719" s="4" t="str">
        <f aca="false">IFERROR(INDEX(Positions!$E$2:$E$6912,MATCH($A719&amp;"|64",Positions!$A$2:$A$6912,0)),"-")</f>
        <v>G</v>
      </c>
      <c r="H719" s="3" t="str">
        <f aca="false">F719&amp;"-"&amp;G719</f>
        <v>C-G</v>
      </c>
      <c r="I719" s="4" t="n">
        <f aca="false">(F719="G")+(G719="G")</f>
        <v>1</v>
      </c>
      <c r="J719" s="4" t="n">
        <f aca="false">(F719="C")+(G719="C")</f>
        <v>1</v>
      </c>
      <c r="K719" s="3" t="n">
        <f aca="false">I719+J719</f>
        <v>2</v>
      </c>
    </row>
    <row r="720" customFormat="false" ht="15" hidden="false" customHeight="false" outlineLevel="0" collapsed="false">
      <c r="A720" s="4" t="s">
        <v>62</v>
      </c>
      <c r="B720" s="4" t="s">
        <v>471</v>
      </c>
      <c r="C720" s="4" t="s">
        <v>527</v>
      </c>
      <c r="D720" s="4" t="n">
        <f aca="false">IFERROR(INDEX(Positions!$D$2:$D$6912,MATCH($A720&amp;"|51",Positions!$A$2:$A$6912,0)),"-")</f>
        <v>50</v>
      </c>
      <c r="E720" s="4" t="n">
        <f aca="false">IFERROR(INDEX(Positions!$D$2:$D$6912,MATCH($A720&amp;"|63",Positions!$A$2:$A$6912,0)),"-")</f>
        <v>62</v>
      </c>
      <c r="F720" s="4" t="str">
        <f aca="false">IFERROR(INDEX(Positions!$E$2:$E$6912,MATCH($A720&amp;"|51",Positions!$A$2:$A$6912,0)),"-")</f>
        <v>G</v>
      </c>
      <c r="G720" s="4" t="str">
        <f aca="false">IFERROR(INDEX(Positions!$E$2:$E$6912,MATCH($A720&amp;"|63",Positions!$A$2:$A$6912,0)),"-")</f>
        <v>C</v>
      </c>
      <c r="H720" s="3" t="str">
        <f aca="false">F720&amp;"-"&amp;G720</f>
        <v>G-C</v>
      </c>
      <c r="I720" s="4" t="n">
        <f aca="false">(F720="G")+(G720="G")</f>
        <v>1</v>
      </c>
      <c r="J720" s="4" t="n">
        <f aca="false">(F720="C")+(G720="C")</f>
        <v>1</v>
      </c>
      <c r="K720" s="3" t="n">
        <f aca="false">I720+J720</f>
        <v>2</v>
      </c>
    </row>
    <row r="721" customFormat="false" ht="15" hidden="false" customHeight="false" outlineLevel="0" collapsed="false">
      <c r="A721" s="4" t="s">
        <v>62</v>
      </c>
      <c r="B721" s="4" t="s">
        <v>471</v>
      </c>
      <c r="C721" s="4" t="s">
        <v>528</v>
      </c>
      <c r="D721" s="4" t="n">
        <f aca="false">IFERROR(INDEX(Positions!$D$2:$D$6912,MATCH($A721&amp;"|52",Positions!$A$2:$A$6912,0)),"-")</f>
        <v>51</v>
      </c>
      <c r="E721" s="4" t="n">
        <f aca="false">IFERROR(INDEX(Positions!$D$2:$D$6912,MATCH($A721&amp;"|62",Positions!$A$2:$A$6912,0)),"-")</f>
        <v>61</v>
      </c>
      <c r="F721" s="4" t="str">
        <f aca="false">IFERROR(INDEX(Positions!$E$2:$E$6912,MATCH($A721&amp;"|52",Positions!$A$2:$A$6912,0)),"-")</f>
        <v>G</v>
      </c>
      <c r="G721" s="4" t="str">
        <f aca="false">IFERROR(INDEX(Positions!$E$2:$E$6912,MATCH($A721&amp;"|62",Positions!$A$2:$A$6912,0)),"-")</f>
        <v>C</v>
      </c>
      <c r="H721" s="3" t="str">
        <f aca="false">F721&amp;"-"&amp;G721</f>
        <v>G-C</v>
      </c>
      <c r="I721" s="4" t="n">
        <f aca="false">(F721="G")+(G721="G")</f>
        <v>1</v>
      </c>
      <c r="J721" s="4" t="n">
        <f aca="false">(F721="C")+(G721="C")</f>
        <v>1</v>
      </c>
      <c r="K721" s="3" t="n">
        <f aca="false">I721+J721</f>
        <v>2</v>
      </c>
    </row>
    <row r="722" customFormat="false" ht="15" hidden="false" customHeight="false" outlineLevel="0" collapsed="false">
      <c r="A722" s="4" t="s">
        <v>62</v>
      </c>
      <c r="B722" s="4" t="s">
        <v>471</v>
      </c>
      <c r="C722" s="4" t="s">
        <v>529</v>
      </c>
      <c r="D722" s="4" t="n">
        <f aca="false">IFERROR(INDEX(Positions!$D$2:$D$6912,MATCH($A722&amp;"|53",Positions!$A$2:$A$6912,0)),"-")</f>
        <v>52</v>
      </c>
      <c r="E722" s="4" t="n">
        <f aca="false">IFERROR(INDEX(Positions!$D$2:$D$6912,MATCH($A722&amp;"|61",Positions!$A$2:$A$6912,0)),"-")</f>
        <v>60</v>
      </c>
      <c r="F722" s="4" t="str">
        <f aca="false">IFERROR(INDEX(Positions!$E$2:$E$6912,MATCH($A722&amp;"|53",Positions!$A$2:$A$6912,0)),"-")</f>
        <v>G</v>
      </c>
      <c r="G722" s="4" t="str">
        <f aca="false">IFERROR(INDEX(Positions!$E$2:$E$6912,MATCH($A722&amp;"|61",Positions!$A$2:$A$6912,0)),"-")</f>
        <v>C</v>
      </c>
      <c r="H722" s="3" t="str">
        <f aca="false">F722&amp;"-"&amp;G722</f>
        <v>G-C</v>
      </c>
      <c r="I722" s="4" t="n">
        <f aca="false">(F722="G")+(G722="G")</f>
        <v>1</v>
      </c>
      <c r="J722" s="4" t="n">
        <f aca="false">(F722="C")+(G722="C")</f>
        <v>1</v>
      </c>
      <c r="K722" s="3" t="n">
        <f aca="false">I722+J722</f>
        <v>2</v>
      </c>
    </row>
    <row r="723" customFormat="false" ht="15" hidden="false" customHeight="false" outlineLevel="0" collapsed="false">
      <c r="A723" s="24" t="s">
        <v>62</v>
      </c>
      <c r="B723" s="24" t="s">
        <v>530</v>
      </c>
      <c r="C723" s="24" t="s">
        <v>531</v>
      </c>
      <c r="D723" s="24" t="n">
        <f aca="false">IFERROR(INDEX(Positions!$D$2:$D$6912,MATCH($A723&amp;"|8",Positions!$A$2:$A$6912,0)),"-")</f>
        <v>8</v>
      </c>
      <c r="E723" s="24" t="n">
        <f aca="false">IFERROR(INDEX(Positions!$D$2:$D$6912,MATCH($A723&amp;"|14",Positions!$A$2:$A$6912,0)),"-")</f>
        <v>14</v>
      </c>
      <c r="F723" s="24" t="str">
        <f aca="false">IFERROR(INDEX(Positions!$E$2:$E$6912,MATCH($A723&amp;"|8",Positions!$A$2:$A$6912,0)),"-")</f>
        <v>U</v>
      </c>
      <c r="G723" s="24" t="str">
        <f aca="false">IFERROR(INDEX(Positions!$E$2:$E$6912,MATCH($A723&amp;"|14",Positions!$A$2:$A$6912,0)),"-")</f>
        <v>A</v>
      </c>
      <c r="H723" s="25" t="str">
        <f aca="false">F723&amp;"-"&amp;G723</f>
        <v>U-A</v>
      </c>
      <c r="I723" s="24" t="n">
        <f aca="false">(F723="G")+(G723="G")</f>
        <v>0</v>
      </c>
      <c r="J723" s="24" t="n">
        <f aca="false">(F723="C")+(G723="C")</f>
        <v>0</v>
      </c>
      <c r="K723" s="25" t="n">
        <f aca="false">I723+J723</f>
        <v>0</v>
      </c>
    </row>
    <row r="724" customFormat="false" ht="15" hidden="false" customHeight="false" outlineLevel="0" collapsed="false">
      <c r="A724" s="24" t="s">
        <v>62</v>
      </c>
      <c r="B724" s="24" t="s">
        <v>530</v>
      </c>
      <c r="C724" s="24" t="s">
        <v>532</v>
      </c>
      <c r="D724" s="24" t="n">
        <f aca="false">IFERROR(INDEX(Positions!$D$2:$D$6912,MATCH($A724&amp;"|15",Positions!$A$2:$A$6912,0)),"-")</f>
        <v>15</v>
      </c>
      <c r="E724" s="24" t="n">
        <f aca="false">IFERROR(INDEX(Positions!$D$2:$D$6912,MATCH($A724&amp;"|48",Positions!$A$2:$A$6912,0)),"-")</f>
        <v>47</v>
      </c>
      <c r="F724" s="24" t="str">
        <f aca="false">IFERROR(INDEX(Positions!$E$2:$E$6912,MATCH($A724&amp;"|15",Positions!$A$2:$A$6912,0)),"-")</f>
        <v>G</v>
      </c>
      <c r="G724" s="24" t="str">
        <f aca="false">IFERROR(INDEX(Positions!$E$2:$E$6912,MATCH($A724&amp;"|48",Positions!$A$2:$A$6912,0)),"-")</f>
        <v>C</v>
      </c>
      <c r="H724" s="25" t="str">
        <f aca="false">F724&amp;"-"&amp;G724</f>
        <v>G-C</v>
      </c>
      <c r="I724" s="24" t="n">
        <f aca="false">(F724="G")+(G724="G")</f>
        <v>1</v>
      </c>
      <c r="J724" s="24" t="n">
        <f aca="false">(F724="C")+(G724="C")</f>
        <v>1</v>
      </c>
      <c r="K724" s="25" t="n">
        <f aca="false">I724+J724</f>
        <v>2</v>
      </c>
    </row>
    <row r="725" customFormat="false" ht="15" hidden="false" customHeight="false" outlineLevel="0" collapsed="false">
      <c r="A725" s="24" t="s">
        <v>62</v>
      </c>
      <c r="B725" s="24" t="s">
        <v>530</v>
      </c>
      <c r="C725" s="24" t="s">
        <v>533</v>
      </c>
      <c r="D725" s="24" t="n">
        <f aca="false">IFERROR(INDEX(Positions!$D$2:$D$6912,MATCH($A725&amp;"|18",Positions!$A$2:$A$6912,0)),"-")</f>
        <v>17</v>
      </c>
      <c r="E725" s="24" t="n">
        <f aca="false">IFERROR(INDEX(Positions!$D$2:$D$6912,MATCH($A725&amp;"|55",Positions!$A$2:$A$6912,0)),"-")</f>
        <v>54</v>
      </c>
      <c r="F725" s="24" t="str">
        <f aca="false">IFERROR(INDEX(Positions!$E$2:$E$6912,MATCH($A725&amp;"|18",Positions!$A$2:$A$6912,0)),"-")</f>
        <v>G</v>
      </c>
      <c r="G725" s="24" t="str">
        <f aca="false">IFERROR(INDEX(Positions!$E$2:$E$6912,MATCH($A725&amp;"|55",Positions!$A$2:$A$6912,0)),"-")</f>
        <v>U</v>
      </c>
      <c r="H725" s="25" t="str">
        <f aca="false">F725&amp;"-"&amp;G725</f>
        <v>G-U</v>
      </c>
      <c r="I725" s="24" t="n">
        <f aca="false">(F725="G")+(G725="G")</f>
        <v>1</v>
      </c>
      <c r="J725" s="24" t="n">
        <f aca="false">(F725="C")+(G725="C")</f>
        <v>0</v>
      </c>
      <c r="K725" s="25" t="n">
        <f aca="false">I725+J725</f>
        <v>1</v>
      </c>
    </row>
    <row r="726" customFormat="false" ht="15" hidden="false" customHeight="false" outlineLevel="0" collapsed="false">
      <c r="A726" s="24" t="s">
        <v>62</v>
      </c>
      <c r="B726" s="24" t="s">
        <v>530</v>
      </c>
      <c r="C726" s="24" t="s">
        <v>534</v>
      </c>
      <c r="D726" s="24" t="n">
        <f aca="false">IFERROR(INDEX(Positions!$D$2:$D$6912,MATCH($A726&amp;"|19",Positions!$A$2:$A$6912,0)),"-")</f>
        <v>18</v>
      </c>
      <c r="E726" s="24" t="n">
        <f aca="false">IFERROR(INDEX(Positions!$D$2:$D$6912,MATCH($A726&amp;"|56",Positions!$A$2:$A$6912,0)),"-")</f>
        <v>55</v>
      </c>
      <c r="F726" s="24" t="str">
        <f aca="false">IFERROR(INDEX(Positions!$E$2:$E$6912,MATCH($A726&amp;"|19",Positions!$A$2:$A$6912,0)),"-")</f>
        <v>G</v>
      </c>
      <c r="G726" s="24" t="str">
        <f aca="false">IFERROR(INDEX(Positions!$E$2:$E$6912,MATCH($A726&amp;"|56",Positions!$A$2:$A$6912,0)),"-")</f>
        <v>C</v>
      </c>
      <c r="H726" s="25" t="str">
        <f aca="false">F726&amp;"-"&amp;G726</f>
        <v>G-C</v>
      </c>
      <c r="I726" s="24" t="n">
        <f aca="false">(F726="G")+(G726="G")</f>
        <v>1</v>
      </c>
      <c r="J726" s="24" t="n">
        <f aca="false">(F726="C")+(G726="C")</f>
        <v>1</v>
      </c>
      <c r="K726" s="25" t="n">
        <f aca="false">I726+J726</f>
        <v>2</v>
      </c>
    </row>
    <row r="727" customFormat="false" ht="15" hidden="false" customHeight="false" outlineLevel="0" collapsed="false">
      <c r="A727" s="24" t="s">
        <v>62</v>
      </c>
      <c r="B727" s="24" t="s">
        <v>530</v>
      </c>
      <c r="C727" s="24" t="s">
        <v>535</v>
      </c>
      <c r="D727" s="24" t="n">
        <f aca="false">IFERROR(INDEX(Positions!$D$2:$D$6912,MATCH($A727&amp;"|26",Positions!$A$2:$A$6912,0)),"-")</f>
        <v>26</v>
      </c>
      <c r="E727" s="24" t="n">
        <f aca="false">IFERROR(INDEX(Positions!$D$2:$D$6912,MATCH($A727&amp;"|44",Positions!$A$2:$A$6912,0)),"-")</f>
        <v>44</v>
      </c>
      <c r="F727" s="24" t="str">
        <f aca="false">IFERROR(INDEX(Positions!$E$2:$E$6912,MATCH($A727&amp;"|26",Positions!$A$2:$A$6912,0)),"-")</f>
        <v>A</v>
      </c>
      <c r="G727" s="24" t="str">
        <f aca="false">IFERROR(INDEX(Positions!$E$2:$E$6912,MATCH($A727&amp;"|44",Positions!$A$2:$A$6912,0)),"-")</f>
        <v>U</v>
      </c>
      <c r="H727" s="25" t="str">
        <f aca="false">F727&amp;"-"&amp;G727</f>
        <v>A-U</v>
      </c>
      <c r="I727" s="24" t="n">
        <f aca="false">(F727="G")+(G727="G")</f>
        <v>0</v>
      </c>
      <c r="J727" s="24" t="n">
        <f aca="false">(F727="C")+(G727="C")</f>
        <v>0</v>
      </c>
      <c r="K727" s="25" t="n">
        <f aca="false">I727+J727</f>
        <v>0</v>
      </c>
    </row>
    <row r="728" customFormat="false" ht="15" hidden="false" customHeight="false" outlineLevel="0" collapsed="false">
      <c r="A728" s="24" t="s">
        <v>62</v>
      </c>
      <c r="B728" s="24" t="s">
        <v>530</v>
      </c>
      <c r="C728" s="24" t="s">
        <v>536</v>
      </c>
      <c r="D728" s="24" t="n">
        <f aca="false">IFERROR(INDEX(Positions!$D$2:$D$6912,MATCH($A728&amp;"|32",Positions!$A$2:$A$6912,0)),"-")</f>
        <v>32</v>
      </c>
      <c r="E728" s="24" t="n">
        <f aca="false">IFERROR(INDEX(Positions!$D$2:$D$6912,MATCH($A728&amp;"|38",Positions!$A$2:$A$6912,0)),"-")</f>
        <v>38</v>
      </c>
      <c r="F728" s="24" t="str">
        <f aca="false">IFERROR(INDEX(Positions!$E$2:$E$6912,MATCH($A728&amp;"|32",Positions!$A$2:$A$6912,0)),"-")</f>
        <v>C</v>
      </c>
      <c r="G728" s="24" t="str">
        <f aca="false">IFERROR(INDEX(Positions!$E$2:$E$6912,MATCH($A728&amp;"|38",Positions!$A$2:$A$6912,0)),"-")</f>
        <v>C</v>
      </c>
      <c r="H728" s="25" t="str">
        <f aca="false">F728&amp;"-"&amp;G728</f>
        <v>C-C</v>
      </c>
      <c r="I728" s="24" t="n">
        <f aca="false">(F728="G")+(G728="G")</f>
        <v>0</v>
      </c>
      <c r="J728" s="24" t="n">
        <f aca="false">(F728="C")+(G728="C")</f>
        <v>2</v>
      </c>
      <c r="K728" s="25" t="n">
        <f aca="false">I728+J728</f>
        <v>2</v>
      </c>
    </row>
    <row r="729" customFormat="false" ht="15" hidden="false" customHeight="false" outlineLevel="0" collapsed="false">
      <c r="A729" s="24" t="s">
        <v>62</v>
      </c>
      <c r="B729" s="24" t="s">
        <v>530</v>
      </c>
      <c r="C729" s="24" t="s">
        <v>537</v>
      </c>
      <c r="D729" s="24" t="n">
        <f aca="false">IFERROR(INDEX(Positions!$D$2:$D$6912,MATCH($A729&amp;"|54",Positions!$A$2:$A$6912,0)),"-")</f>
        <v>53</v>
      </c>
      <c r="E729" s="24" t="n">
        <f aca="false">IFERROR(INDEX(Positions!$D$2:$D$6912,MATCH($A729&amp;"|58",Positions!$A$2:$A$6912,0)),"-")</f>
        <v>57</v>
      </c>
      <c r="F729" s="24" t="str">
        <f aca="false">IFERROR(INDEX(Positions!$E$2:$E$6912,MATCH($A729&amp;"|54",Positions!$A$2:$A$6912,0)),"-")</f>
        <v>U</v>
      </c>
      <c r="G729" s="24" t="str">
        <f aca="false">IFERROR(INDEX(Positions!$E$2:$E$6912,MATCH($A729&amp;"|58",Positions!$A$2:$A$6912,0)),"-")</f>
        <v>U</v>
      </c>
      <c r="H729" s="25" t="str">
        <f aca="false">F729&amp;"-"&amp;G729</f>
        <v>U-U</v>
      </c>
      <c r="I729" s="24" t="n">
        <f aca="false">(F729="G")+(G729="G")</f>
        <v>0</v>
      </c>
      <c r="J729" s="24" t="n">
        <f aca="false">(F729="C")+(G729="C")</f>
        <v>0</v>
      </c>
      <c r="K729" s="25" t="n">
        <f aca="false">I729+J729</f>
        <v>0</v>
      </c>
    </row>
    <row r="730" customFormat="false" ht="15" hidden="false" customHeight="false" outlineLevel="0" collapsed="false">
      <c r="A730" s="4" t="s">
        <v>63</v>
      </c>
      <c r="B730" s="4" t="s">
        <v>412</v>
      </c>
      <c r="C730" s="4" t="s">
        <v>517</v>
      </c>
      <c r="D730" s="4" t="n">
        <f aca="false">IFERROR(INDEX(Positions!$D$2:$D$6912,MATCH($A730&amp;"|1",Positions!$A$2:$A$6912,0)),"-")</f>
        <v>1</v>
      </c>
      <c r="E730" s="4" t="n">
        <f aca="false">IFERROR(INDEX(Positions!$D$2:$D$6912,MATCH($A730&amp;"|72",Positions!$A$2:$A$6912,0)),"-")</f>
        <v>71</v>
      </c>
      <c r="F730" s="4" t="str">
        <f aca="false">IFERROR(INDEX(Positions!$E$2:$E$6912,MATCH($A730&amp;"|1",Positions!$A$2:$A$6912,0)),"-")</f>
        <v>G</v>
      </c>
      <c r="G730" s="4" t="str">
        <f aca="false">IFERROR(INDEX(Positions!$E$2:$E$6912,MATCH($A730&amp;"|72",Positions!$A$2:$A$6912,0)),"-")</f>
        <v>C</v>
      </c>
      <c r="H730" s="3" t="str">
        <f aca="false">F730&amp;"-"&amp;G730</f>
        <v>G-C</v>
      </c>
      <c r="I730" s="4" t="n">
        <f aca="false">(F730="G")+(G730="G")</f>
        <v>1</v>
      </c>
      <c r="J730" s="4" t="n">
        <f aca="false">(F730="C")+(G730="C")</f>
        <v>1</v>
      </c>
      <c r="K730" s="3" t="n">
        <f aca="false">I730+J730</f>
        <v>2</v>
      </c>
    </row>
    <row r="731" customFormat="false" ht="15" hidden="false" customHeight="false" outlineLevel="0" collapsed="false">
      <c r="A731" s="4" t="s">
        <v>63</v>
      </c>
      <c r="B731" s="4" t="s">
        <v>412</v>
      </c>
      <c r="C731" s="4" t="s">
        <v>518</v>
      </c>
      <c r="D731" s="4" t="n">
        <f aca="false">IFERROR(INDEX(Positions!$D$2:$D$6912,MATCH($A731&amp;"|2",Positions!$A$2:$A$6912,0)),"-")</f>
        <v>2</v>
      </c>
      <c r="E731" s="4" t="n">
        <f aca="false">IFERROR(INDEX(Positions!$D$2:$D$6912,MATCH($A731&amp;"|71",Positions!$A$2:$A$6912,0)),"-")</f>
        <v>70</v>
      </c>
      <c r="F731" s="4" t="str">
        <f aca="false">IFERROR(INDEX(Positions!$E$2:$E$6912,MATCH($A731&amp;"|2",Positions!$A$2:$A$6912,0)),"-")</f>
        <v>G</v>
      </c>
      <c r="G731" s="4" t="str">
        <f aca="false">IFERROR(INDEX(Positions!$E$2:$E$6912,MATCH($A731&amp;"|71",Positions!$A$2:$A$6912,0)),"-")</f>
        <v>C</v>
      </c>
      <c r="H731" s="3" t="str">
        <f aca="false">F731&amp;"-"&amp;G731</f>
        <v>G-C</v>
      </c>
      <c r="I731" s="4" t="n">
        <f aca="false">(F731="G")+(G731="G")</f>
        <v>1</v>
      </c>
      <c r="J731" s="4" t="n">
        <f aca="false">(F731="C")+(G731="C")</f>
        <v>1</v>
      </c>
      <c r="K731" s="3" t="n">
        <f aca="false">I731+J731</f>
        <v>2</v>
      </c>
    </row>
    <row r="732" customFormat="false" ht="15" hidden="false" customHeight="false" outlineLevel="0" collapsed="false">
      <c r="A732" s="4" t="s">
        <v>63</v>
      </c>
      <c r="B732" s="4" t="s">
        <v>412</v>
      </c>
      <c r="C732" s="4" t="s">
        <v>386</v>
      </c>
      <c r="D732" s="4" t="n">
        <f aca="false">IFERROR(INDEX(Positions!$D$2:$D$6912,MATCH($A732&amp;"|3",Positions!$A$2:$A$6912,0)),"-")</f>
        <v>3</v>
      </c>
      <c r="E732" s="4" t="n">
        <f aca="false">IFERROR(INDEX(Positions!$D$2:$D$6912,MATCH($A732&amp;"|70",Positions!$A$2:$A$6912,0)),"-")</f>
        <v>69</v>
      </c>
      <c r="F732" s="4" t="str">
        <f aca="false">IFERROR(INDEX(Positions!$E$2:$E$6912,MATCH($A732&amp;"|3",Positions!$A$2:$A$6912,0)),"-")</f>
        <v>U</v>
      </c>
      <c r="G732" s="4" t="str">
        <f aca="false">IFERROR(INDEX(Positions!$E$2:$E$6912,MATCH($A732&amp;"|70",Positions!$A$2:$A$6912,0)),"-")</f>
        <v>A</v>
      </c>
      <c r="H732" s="3" t="str">
        <f aca="false">F732&amp;"-"&amp;G732</f>
        <v>U-A</v>
      </c>
      <c r="I732" s="4" t="n">
        <f aca="false">(F732="G")+(G732="G")</f>
        <v>0</v>
      </c>
      <c r="J732" s="4" t="n">
        <f aca="false">(F732="C")+(G732="C")</f>
        <v>0</v>
      </c>
      <c r="K732" s="3" t="n">
        <f aca="false">I732+J732</f>
        <v>0</v>
      </c>
    </row>
    <row r="733" customFormat="false" ht="15" hidden="false" customHeight="false" outlineLevel="0" collapsed="false">
      <c r="A733" s="4" t="s">
        <v>63</v>
      </c>
      <c r="B733" s="4" t="s">
        <v>412</v>
      </c>
      <c r="C733" s="4" t="s">
        <v>519</v>
      </c>
      <c r="D733" s="4" t="n">
        <f aca="false">IFERROR(INDEX(Positions!$D$2:$D$6912,MATCH($A733&amp;"|4",Positions!$A$2:$A$6912,0)),"-")</f>
        <v>4</v>
      </c>
      <c r="E733" s="4" t="n">
        <f aca="false">IFERROR(INDEX(Positions!$D$2:$D$6912,MATCH($A733&amp;"|69",Positions!$A$2:$A$6912,0)),"-")</f>
        <v>68</v>
      </c>
      <c r="F733" s="4" t="str">
        <f aca="false">IFERROR(INDEX(Positions!$E$2:$E$6912,MATCH($A733&amp;"|4",Positions!$A$2:$A$6912,0)),"-")</f>
        <v>C</v>
      </c>
      <c r="G733" s="4" t="str">
        <f aca="false">IFERROR(INDEX(Positions!$E$2:$E$6912,MATCH($A733&amp;"|69",Positions!$A$2:$A$6912,0)),"-")</f>
        <v>G</v>
      </c>
      <c r="H733" s="3" t="str">
        <f aca="false">F733&amp;"-"&amp;G733</f>
        <v>C-G</v>
      </c>
      <c r="I733" s="4" t="n">
        <f aca="false">(F733="G")+(G733="G")</f>
        <v>1</v>
      </c>
      <c r="J733" s="4" t="n">
        <f aca="false">(F733="C")+(G733="C")</f>
        <v>1</v>
      </c>
      <c r="K733" s="3" t="n">
        <f aca="false">I733+J733</f>
        <v>2</v>
      </c>
    </row>
    <row r="734" customFormat="false" ht="15" hidden="false" customHeight="false" outlineLevel="0" collapsed="false">
      <c r="A734" s="4" t="s">
        <v>63</v>
      </c>
      <c r="B734" s="4" t="s">
        <v>412</v>
      </c>
      <c r="C734" s="4" t="s">
        <v>283</v>
      </c>
      <c r="D734" s="4" t="n">
        <f aca="false">IFERROR(INDEX(Positions!$D$2:$D$6912,MATCH($A734&amp;"|5",Positions!$A$2:$A$6912,0)),"-")</f>
        <v>5</v>
      </c>
      <c r="E734" s="4" t="n">
        <f aca="false">IFERROR(INDEX(Positions!$D$2:$D$6912,MATCH($A734&amp;"|68",Positions!$A$2:$A$6912,0)),"-")</f>
        <v>67</v>
      </c>
      <c r="F734" s="4" t="str">
        <f aca="false">IFERROR(INDEX(Positions!$E$2:$E$6912,MATCH($A734&amp;"|5",Positions!$A$2:$A$6912,0)),"-")</f>
        <v>C</v>
      </c>
      <c r="G734" s="4" t="str">
        <f aca="false">IFERROR(INDEX(Positions!$E$2:$E$6912,MATCH($A734&amp;"|68",Positions!$A$2:$A$6912,0)),"-")</f>
        <v>G</v>
      </c>
      <c r="H734" s="3" t="str">
        <f aca="false">F734&amp;"-"&amp;G734</f>
        <v>C-G</v>
      </c>
      <c r="I734" s="4" t="n">
        <f aca="false">(F734="G")+(G734="G")</f>
        <v>1</v>
      </c>
      <c r="J734" s="4" t="n">
        <f aca="false">(F734="C")+(G734="C")</f>
        <v>1</v>
      </c>
      <c r="K734" s="3" t="n">
        <f aca="false">I734+J734</f>
        <v>2</v>
      </c>
    </row>
    <row r="735" customFormat="false" ht="15" hidden="false" customHeight="false" outlineLevel="0" collapsed="false">
      <c r="A735" s="4" t="s">
        <v>63</v>
      </c>
      <c r="B735" s="4" t="s">
        <v>412</v>
      </c>
      <c r="C735" s="4" t="s">
        <v>520</v>
      </c>
      <c r="D735" s="4" t="n">
        <f aca="false">IFERROR(INDEX(Positions!$D$2:$D$6912,MATCH($A735&amp;"|6",Positions!$A$2:$A$6912,0)),"-")</f>
        <v>6</v>
      </c>
      <c r="E735" s="4" t="n">
        <f aca="false">IFERROR(INDEX(Positions!$D$2:$D$6912,MATCH($A735&amp;"|67",Positions!$A$2:$A$6912,0)),"-")</f>
        <v>66</v>
      </c>
      <c r="F735" s="4" t="str">
        <f aca="false">IFERROR(INDEX(Positions!$E$2:$E$6912,MATCH($A735&amp;"|6",Positions!$A$2:$A$6912,0)),"-")</f>
        <v>U</v>
      </c>
      <c r="G735" s="4" t="str">
        <f aca="false">IFERROR(INDEX(Positions!$E$2:$E$6912,MATCH($A735&amp;"|67",Positions!$A$2:$A$6912,0)),"-")</f>
        <v>A</v>
      </c>
      <c r="H735" s="3" t="str">
        <f aca="false">F735&amp;"-"&amp;G735</f>
        <v>U-A</v>
      </c>
      <c r="I735" s="4" t="n">
        <f aca="false">(F735="G")+(G735="G")</f>
        <v>0</v>
      </c>
      <c r="J735" s="4" t="n">
        <f aca="false">(F735="C")+(G735="C")</f>
        <v>0</v>
      </c>
      <c r="K735" s="3" t="n">
        <f aca="false">I735+J735</f>
        <v>0</v>
      </c>
    </row>
    <row r="736" customFormat="false" ht="15" hidden="false" customHeight="false" outlineLevel="0" collapsed="false">
      <c r="A736" s="4" t="s">
        <v>63</v>
      </c>
      <c r="B736" s="4" t="s">
        <v>412</v>
      </c>
      <c r="C736" s="4" t="s">
        <v>521</v>
      </c>
      <c r="D736" s="4" t="n">
        <f aca="false">IFERROR(INDEX(Positions!$D$2:$D$6912,MATCH($A736&amp;"|7",Positions!$A$2:$A$6912,0)),"-")</f>
        <v>7</v>
      </c>
      <c r="E736" s="4" t="n">
        <f aca="false">IFERROR(INDEX(Positions!$D$2:$D$6912,MATCH($A736&amp;"|66",Positions!$A$2:$A$6912,0)),"-")</f>
        <v>65</v>
      </c>
      <c r="F736" s="4" t="str">
        <f aca="false">IFERROR(INDEX(Positions!$E$2:$E$6912,MATCH($A736&amp;"|7",Positions!$A$2:$A$6912,0)),"-")</f>
        <v>A</v>
      </c>
      <c r="G736" s="4" t="str">
        <f aca="false">IFERROR(INDEX(Positions!$E$2:$E$6912,MATCH($A736&amp;"|66",Positions!$A$2:$A$6912,0)),"-")</f>
        <v>U</v>
      </c>
      <c r="H736" s="3" t="str">
        <f aca="false">F736&amp;"-"&amp;G736</f>
        <v>A-U</v>
      </c>
      <c r="I736" s="4" t="n">
        <f aca="false">(F736="G")+(G736="G")</f>
        <v>0</v>
      </c>
      <c r="J736" s="4" t="n">
        <f aca="false">(F736="C")+(G736="C")</f>
        <v>0</v>
      </c>
      <c r="K736" s="3" t="n">
        <f aca="false">I736+J736</f>
        <v>0</v>
      </c>
    </row>
    <row r="737" customFormat="false" ht="15" hidden="false" customHeight="false" outlineLevel="0" collapsed="false">
      <c r="A737" s="4" t="s">
        <v>63</v>
      </c>
      <c r="B737" s="4" t="s">
        <v>425</v>
      </c>
      <c r="C737" s="4" t="s">
        <v>522</v>
      </c>
      <c r="D737" s="4" t="n">
        <f aca="false">IFERROR(INDEX(Positions!$D$2:$D$6912,MATCH($A737&amp;"|10",Positions!$A$2:$A$6912,0)),"-")</f>
        <v>10</v>
      </c>
      <c r="E737" s="4" t="n">
        <f aca="false">IFERROR(INDEX(Positions!$D$2:$D$6912,MATCH($A737&amp;"|25",Positions!$A$2:$A$6912,0)),"-")</f>
        <v>25</v>
      </c>
      <c r="F737" s="4" t="str">
        <f aca="false">IFERROR(INDEX(Positions!$E$2:$E$6912,MATCH($A737&amp;"|10",Positions!$A$2:$A$6912,0)),"-")</f>
        <v>G</v>
      </c>
      <c r="G737" s="4" t="str">
        <f aca="false">IFERROR(INDEX(Positions!$E$2:$E$6912,MATCH($A737&amp;"|25",Positions!$A$2:$A$6912,0)),"-")</f>
        <v>C</v>
      </c>
      <c r="H737" s="3" t="str">
        <f aca="false">F737&amp;"-"&amp;G737</f>
        <v>G-C</v>
      </c>
      <c r="I737" s="4" t="n">
        <f aca="false">(F737="G")+(G737="G")</f>
        <v>1</v>
      </c>
      <c r="J737" s="4" t="n">
        <f aca="false">(F737="C")+(G737="C")</f>
        <v>1</v>
      </c>
      <c r="K737" s="3" t="n">
        <f aca="false">I737+J737</f>
        <v>2</v>
      </c>
    </row>
    <row r="738" customFormat="false" ht="15" hidden="false" customHeight="false" outlineLevel="0" collapsed="false">
      <c r="A738" s="4" t="s">
        <v>63</v>
      </c>
      <c r="B738" s="4" t="s">
        <v>425</v>
      </c>
      <c r="C738" s="4" t="s">
        <v>523</v>
      </c>
      <c r="D738" s="4" t="n">
        <f aca="false">IFERROR(INDEX(Positions!$D$2:$D$6912,MATCH($A738&amp;"|11",Positions!$A$2:$A$6912,0)),"-")</f>
        <v>11</v>
      </c>
      <c r="E738" s="4" t="n">
        <f aca="false">IFERROR(INDEX(Positions!$D$2:$D$6912,MATCH($A738&amp;"|24",Positions!$A$2:$A$6912,0)),"-")</f>
        <v>24</v>
      </c>
      <c r="F738" s="4" t="str">
        <f aca="false">IFERROR(INDEX(Positions!$E$2:$E$6912,MATCH($A738&amp;"|11",Positions!$A$2:$A$6912,0)),"-")</f>
        <v>U</v>
      </c>
      <c r="G738" s="4" t="str">
        <f aca="false">IFERROR(INDEX(Positions!$E$2:$E$6912,MATCH($A738&amp;"|24",Positions!$A$2:$A$6912,0)),"-")</f>
        <v>A</v>
      </c>
      <c r="H738" s="3" t="str">
        <f aca="false">F738&amp;"-"&amp;G738</f>
        <v>U-A</v>
      </c>
      <c r="I738" s="4" t="n">
        <f aca="false">(F738="G")+(G738="G")</f>
        <v>0</v>
      </c>
      <c r="J738" s="4" t="n">
        <f aca="false">(F738="C")+(G738="C")</f>
        <v>0</v>
      </c>
      <c r="K738" s="3" t="n">
        <f aca="false">I738+J738</f>
        <v>0</v>
      </c>
    </row>
    <row r="739" customFormat="false" ht="15" hidden="false" customHeight="false" outlineLevel="0" collapsed="false">
      <c r="A739" s="4" t="s">
        <v>63</v>
      </c>
      <c r="B739" s="4" t="s">
        <v>425</v>
      </c>
      <c r="C739" s="4" t="s">
        <v>250</v>
      </c>
      <c r="D739" s="4" t="n">
        <f aca="false">IFERROR(INDEX(Positions!$D$2:$D$6912,MATCH($A739&amp;"|12",Positions!$A$2:$A$6912,0)),"-")</f>
        <v>12</v>
      </c>
      <c r="E739" s="4" t="n">
        <f aca="false">IFERROR(INDEX(Positions!$D$2:$D$6912,MATCH($A739&amp;"|23",Positions!$A$2:$A$6912,0)),"-")</f>
        <v>23</v>
      </c>
      <c r="F739" s="4" t="str">
        <f aca="false">IFERROR(INDEX(Positions!$E$2:$E$6912,MATCH($A739&amp;"|12",Positions!$A$2:$A$6912,0)),"-")</f>
        <v>G</v>
      </c>
      <c r="G739" s="4" t="str">
        <f aca="false">IFERROR(INDEX(Positions!$E$2:$E$6912,MATCH($A739&amp;"|23",Positions!$A$2:$A$6912,0)),"-")</f>
        <v>C</v>
      </c>
      <c r="H739" s="3" t="str">
        <f aca="false">F739&amp;"-"&amp;G739</f>
        <v>G-C</v>
      </c>
      <c r="I739" s="4" t="n">
        <f aca="false">(F739="G")+(G739="G")</f>
        <v>1</v>
      </c>
      <c r="J739" s="4" t="n">
        <f aca="false">(F739="C")+(G739="C")</f>
        <v>1</v>
      </c>
      <c r="K739" s="3" t="n">
        <f aca="false">I739+J739</f>
        <v>2</v>
      </c>
    </row>
    <row r="740" customFormat="false" ht="15" hidden="false" customHeight="false" outlineLevel="0" collapsed="false">
      <c r="A740" s="4" t="s">
        <v>63</v>
      </c>
      <c r="B740" s="4" t="s">
        <v>425</v>
      </c>
      <c r="C740" s="4" t="s">
        <v>154</v>
      </c>
      <c r="D740" s="4" t="n">
        <f aca="false">IFERROR(INDEX(Positions!$D$2:$D$6912,MATCH($A740&amp;"|13",Positions!$A$2:$A$6912,0)),"-")</f>
        <v>13</v>
      </c>
      <c r="E740" s="4" t="n">
        <f aca="false">IFERROR(INDEX(Positions!$D$2:$D$6912,MATCH($A740&amp;"|22",Positions!$A$2:$A$6912,0)),"-")</f>
        <v>22</v>
      </c>
      <c r="F740" s="4" t="str">
        <f aca="false">IFERROR(INDEX(Positions!$E$2:$E$6912,MATCH($A740&amp;"|13",Positions!$A$2:$A$6912,0)),"-")</f>
        <v>U</v>
      </c>
      <c r="G740" s="4" t="str">
        <f aca="false">IFERROR(INDEX(Positions!$E$2:$E$6912,MATCH($A740&amp;"|22",Positions!$A$2:$A$6912,0)),"-")</f>
        <v>U</v>
      </c>
      <c r="H740" s="3" t="str">
        <f aca="false">F740&amp;"-"&amp;G740</f>
        <v>U-U</v>
      </c>
      <c r="I740" s="4" t="n">
        <f aca="false">(F740="G")+(G740="G")</f>
        <v>0</v>
      </c>
      <c r="J740" s="4" t="n">
        <f aca="false">(F740="C")+(G740="C")</f>
        <v>0</v>
      </c>
      <c r="K740" s="3" t="n">
        <f aca="false">I740+J740</f>
        <v>0</v>
      </c>
    </row>
    <row r="741" customFormat="false" ht="15" hidden="false" customHeight="false" outlineLevel="0" collapsed="false">
      <c r="A741" s="4" t="s">
        <v>63</v>
      </c>
      <c r="B741" s="4" t="s">
        <v>446</v>
      </c>
      <c r="C741" s="4" t="s">
        <v>524</v>
      </c>
      <c r="D741" s="4" t="n">
        <f aca="false">IFERROR(INDEX(Positions!$D$2:$D$6912,MATCH($A741&amp;"|27",Positions!$A$2:$A$6912,0)),"-")</f>
        <v>27</v>
      </c>
      <c r="E741" s="4" t="n">
        <f aca="false">IFERROR(INDEX(Positions!$D$2:$D$6912,MATCH($A741&amp;"|43",Positions!$A$2:$A$6912,0)),"-")</f>
        <v>43</v>
      </c>
      <c r="F741" s="4" t="str">
        <f aca="false">IFERROR(INDEX(Positions!$E$2:$E$6912,MATCH($A741&amp;"|27",Positions!$A$2:$A$6912,0)),"-")</f>
        <v>U</v>
      </c>
      <c r="G741" s="4" t="str">
        <f aca="false">IFERROR(INDEX(Positions!$E$2:$E$6912,MATCH($A741&amp;"|43",Positions!$A$2:$A$6912,0)),"-")</f>
        <v>A</v>
      </c>
      <c r="H741" s="3" t="str">
        <f aca="false">F741&amp;"-"&amp;G741</f>
        <v>U-A</v>
      </c>
      <c r="I741" s="4" t="n">
        <f aca="false">(F741="G")+(G741="G")</f>
        <v>0</v>
      </c>
      <c r="J741" s="4" t="n">
        <f aca="false">(F741="C")+(G741="C")</f>
        <v>0</v>
      </c>
      <c r="K741" s="3" t="n">
        <f aca="false">I741+J741</f>
        <v>0</v>
      </c>
    </row>
    <row r="742" customFormat="false" ht="15" hidden="false" customHeight="false" outlineLevel="0" collapsed="false">
      <c r="A742" s="4" t="s">
        <v>63</v>
      </c>
      <c r="B742" s="4" t="s">
        <v>446</v>
      </c>
      <c r="C742" s="4" t="s">
        <v>525</v>
      </c>
      <c r="D742" s="4" t="n">
        <f aca="false">IFERROR(INDEX(Positions!$D$2:$D$6912,MATCH($A742&amp;"|28",Positions!$A$2:$A$6912,0)),"-")</f>
        <v>28</v>
      </c>
      <c r="E742" s="4" t="n">
        <f aca="false">IFERROR(INDEX(Positions!$D$2:$D$6912,MATCH($A742&amp;"|42",Positions!$A$2:$A$6912,0)),"-")</f>
        <v>42</v>
      </c>
      <c r="F742" s="4" t="str">
        <f aca="false">IFERROR(INDEX(Positions!$E$2:$E$6912,MATCH($A742&amp;"|28",Positions!$A$2:$A$6912,0)),"-")</f>
        <v>C</v>
      </c>
      <c r="G742" s="4" t="str">
        <f aca="false">IFERROR(INDEX(Positions!$E$2:$E$6912,MATCH($A742&amp;"|42",Positions!$A$2:$A$6912,0)),"-")</f>
        <v>G</v>
      </c>
      <c r="H742" s="3" t="str">
        <f aca="false">F742&amp;"-"&amp;G742</f>
        <v>C-G</v>
      </c>
      <c r="I742" s="4" t="n">
        <f aca="false">(F742="G")+(G742="G")</f>
        <v>1</v>
      </c>
      <c r="J742" s="4" t="n">
        <f aca="false">(F742="C")+(G742="C")</f>
        <v>1</v>
      </c>
      <c r="K742" s="3" t="n">
        <f aca="false">I742+J742</f>
        <v>2</v>
      </c>
    </row>
    <row r="743" customFormat="false" ht="15" hidden="false" customHeight="false" outlineLevel="0" collapsed="false">
      <c r="A743" s="4" t="s">
        <v>63</v>
      </c>
      <c r="B743" s="4" t="s">
        <v>446</v>
      </c>
      <c r="C743" s="4" t="s">
        <v>256</v>
      </c>
      <c r="D743" s="4" t="n">
        <f aca="false">IFERROR(INDEX(Positions!$D$2:$D$6912,MATCH($A743&amp;"|29",Positions!$A$2:$A$6912,0)),"-")</f>
        <v>29</v>
      </c>
      <c r="E743" s="4" t="n">
        <f aca="false">IFERROR(INDEX(Positions!$D$2:$D$6912,MATCH($A743&amp;"|41",Positions!$A$2:$A$6912,0)),"-")</f>
        <v>41</v>
      </c>
      <c r="F743" s="4" t="str">
        <f aca="false">IFERROR(INDEX(Positions!$E$2:$E$6912,MATCH($A743&amp;"|29",Positions!$A$2:$A$6912,0)),"-")</f>
        <v>G</v>
      </c>
      <c r="G743" s="4" t="str">
        <f aca="false">IFERROR(INDEX(Positions!$E$2:$E$6912,MATCH($A743&amp;"|41",Positions!$A$2:$A$6912,0)),"-")</f>
        <v>C</v>
      </c>
      <c r="H743" s="3" t="str">
        <f aca="false">F743&amp;"-"&amp;G743</f>
        <v>G-C</v>
      </c>
      <c r="I743" s="4" t="n">
        <f aca="false">(F743="G")+(G743="G")</f>
        <v>1</v>
      </c>
      <c r="J743" s="4" t="n">
        <f aca="false">(F743="C")+(G743="C")</f>
        <v>1</v>
      </c>
      <c r="K743" s="3" t="n">
        <f aca="false">I743+J743</f>
        <v>2</v>
      </c>
    </row>
    <row r="744" customFormat="false" ht="15" hidden="false" customHeight="false" outlineLevel="0" collapsed="false">
      <c r="A744" s="4" t="s">
        <v>63</v>
      </c>
      <c r="B744" s="4" t="s">
        <v>446</v>
      </c>
      <c r="C744" s="4" t="s">
        <v>526</v>
      </c>
      <c r="D744" s="4" t="n">
        <f aca="false">IFERROR(INDEX(Positions!$D$2:$D$6912,MATCH($A744&amp;"|30",Positions!$A$2:$A$6912,0)),"-")</f>
        <v>30</v>
      </c>
      <c r="E744" s="4" t="n">
        <f aca="false">IFERROR(INDEX(Positions!$D$2:$D$6912,MATCH($A744&amp;"|40",Positions!$A$2:$A$6912,0)),"-")</f>
        <v>40</v>
      </c>
      <c r="F744" s="4" t="str">
        <f aca="false">IFERROR(INDEX(Positions!$E$2:$E$6912,MATCH($A744&amp;"|30",Positions!$A$2:$A$6912,0)),"-")</f>
        <v>G</v>
      </c>
      <c r="G744" s="4" t="str">
        <f aca="false">IFERROR(INDEX(Positions!$E$2:$E$6912,MATCH($A744&amp;"|40",Positions!$A$2:$A$6912,0)),"-")</f>
        <v>C</v>
      </c>
      <c r="H744" s="3" t="str">
        <f aca="false">F744&amp;"-"&amp;G744</f>
        <v>G-C</v>
      </c>
      <c r="I744" s="4" t="n">
        <f aca="false">(F744="G")+(G744="G")</f>
        <v>1</v>
      </c>
      <c r="J744" s="4" t="n">
        <f aca="false">(F744="C")+(G744="C")</f>
        <v>1</v>
      </c>
      <c r="K744" s="3" t="n">
        <f aca="false">I744+J744</f>
        <v>2</v>
      </c>
    </row>
    <row r="745" customFormat="false" ht="15" hidden="false" customHeight="false" outlineLevel="0" collapsed="false">
      <c r="A745" s="4" t="s">
        <v>63</v>
      </c>
      <c r="B745" s="4" t="s">
        <v>446</v>
      </c>
      <c r="C745" s="4" t="s">
        <v>273</v>
      </c>
      <c r="D745" s="4" t="n">
        <f aca="false">IFERROR(INDEX(Positions!$D$2:$D$6912,MATCH($A745&amp;"|31",Positions!$A$2:$A$6912,0)),"-")</f>
        <v>31</v>
      </c>
      <c r="E745" s="4" t="n">
        <f aca="false">IFERROR(INDEX(Positions!$D$2:$D$6912,MATCH($A745&amp;"|39",Positions!$A$2:$A$6912,0)),"-")</f>
        <v>39</v>
      </c>
      <c r="F745" s="4" t="str">
        <f aca="false">IFERROR(INDEX(Positions!$E$2:$E$6912,MATCH($A745&amp;"|31",Positions!$A$2:$A$6912,0)),"-")</f>
        <v>A</v>
      </c>
      <c r="G745" s="4" t="str">
        <f aca="false">IFERROR(INDEX(Positions!$E$2:$E$6912,MATCH($A745&amp;"|39",Positions!$A$2:$A$6912,0)),"-")</f>
        <v>U</v>
      </c>
      <c r="H745" s="3" t="str">
        <f aca="false">F745&amp;"-"&amp;G745</f>
        <v>A-U</v>
      </c>
      <c r="I745" s="4" t="n">
        <f aca="false">(F745="G")+(G745="G")</f>
        <v>0</v>
      </c>
      <c r="J745" s="4" t="n">
        <f aca="false">(F745="C")+(G745="C")</f>
        <v>0</v>
      </c>
      <c r="K745" s="3" t="n">
        <f aca="false">I745+J745</f>
        <v>0</v>
      </c>
    </row>
    <row r="746" customFormat="false" ht="15" hidden="false" customHeight="false" outlineLevel="0" collapsed="false">
      <c r="A746" s="4" t="s">
        <v>63</v>
      </c>
      <c r="B746" s="4" t="s">
        <v>471</v>
      </c>
      <c r="C746" s="4" t="s">
        <v>367</v>
      </c>
      <c r="D746" s="4" t="n">
        <f aca="false">IFERROR(INDEX(Positions!$D$2:$D$6912,MATCH($A746&amp;"|49",Positions!$A$2:$A$6912,0)),"-")</f>
        <v>48</v>
      </c>
      <c r="E746" s="4" t="n">
        <f aca="false">IFERROR(INDEX(Positions!$D$2:$D$6912,MATCH($A746&amp;"|65",Positions!$A$2:$A$6912,0)),"-")</f>
        <v>64</v>
      </c>
      <c r="F746" s="4" t="str">
        <f aca="false">IFERROR(INDEX(Positions!$E$2:$E$6912,MATCH($A746&amp;"|49",Positions!$A$2:$A$6912,0)),"-")</f>
        <v>C</v>
      </c>
      <c r="G746" s="4" t="str">
        <f aca="false">IFERROR(INDEX(Positions!$E$2:$E$6912,MATCH($A746&amp;"|65",Positions!$A$2:$A$6912,0)),"-")</f>
        <v>G</v>
      </c>
      <c r="H746" s="3" t="str">
        <f aca="false">F746&amp;"-"&amp;G746</f>
        <v>C-G</v>
      </c>
      <c r="I746" s="4" t="n">
        <f aca="false">(F746="G")+(G746="G")</f>
        <v>1</v>
      </c>
      <c r="J746" s="4" t="n">
        <f aca="false">(F746="C")+(G746="C")</f>
        <v>1</v>
      </c>
      <c r="K746" s="3" t="n">
        <f aca="false">I746+J746</f>
        <v>2</v>
      </c>
    </row>
    <row r="747" customFormat="false" ht="15" hidden="false" customHeight="false" outlineLevel="0" collapsed="false">
      <c r="A747" s="4" t="s">
        <v>63</v>
      </c>
      <c r="B747" s="4" t="s">
        <v>471</v>
      </c>
      <c r="C747" s="4" t="s">
        <v>233</v>
      </c>
      <c r="D747" s="4" t="n">
        <f aca="false">IFERROR(INDEX(Positions!$D$2:$D$6912,MATCH($A747&amp;"|50",Positions!$A$2:$A$6912,0)),"-")</f>
        <v>49</v>
      </c>
      <c r="E747" s="4" t="n">
        <f aca="false">IFERROR(INDEX(Positions!$D$2:$D$6912,MATCH($A747&amp;"|64",Positions!$A$2:$A$6912,0)),"-")</f>
        <v>63</v>
      </c>
      <c r="F747" s="4" t="str">
        <f aca="false">IFERROR(INDEX(Positions!$E$2:$E$6912,MATCH($A747&amp;"|50",Positions!$A$2:$A$6912,0)),"-")</f>
        <v>C</v>
      </c>
      <c r="G747" s="4" t="str">
        <f aca="false">IFERROR(INDEX(Positions!$E$2:$E$6912,MATCH($A747&amp;"|64",Positions!$A$2:$A$6912,0)),"-")</f>
        <v>G</v>
      </c>
      <c r="H747" s="3" t="str">
        <f aca="false">F747&amp;"-"&amp;G747</f>
        <v>C-G</v>
      </c>
      <c r="I747" s="4" t="n">
        <f aca="false">(F747="G")+(G747="G")</f>
        <v>1</v>
      </c>
      <c r="J747" s="4" t="n">
        <f aca="false">(F747="C")+(G747="C")</f>
        <v>1</v>
      </c>
      <c r="K747" s="3" t="n">
        <f aca="false">I747+J747</f>
        <v>2</v>
      </c>
    </row>
    <row r="748" customFormat="false" ht="15" hidden="false" customHeight="false" outlineLevel="0" collapsed="false">
      <c r="A748" s="4" t="s">
        <v>63</v>
      </c>
      <c r="B748" s="4" t="s">
        <v>471</v>
      </c>
      <c r="C748" s="4" t="s">
        <v>527</v>
      </c>
      <c r="D748" s="4" t="n">
        <f aca="false">IFERROR(INDEX(Positions!$D$2:$D$6912,MATCH($A748&amp;"|51",Positions!$A$2:$A$6912,0)),"-")</f>
        <v>50</v>
      </c>
      <c r="E748" s="4" t="n">
        <f aca="false">IFERROR(INDEX(Positions!$D$2:$D$6912,MATCH($A748&amp;"|63",Positions!$A$2:$A$6912,0)),"-")</f>
        <v>62</v>
      </c>
      <c r="F748" s="4" t="str">
        <f aca="false">IFERROR(INDEX(Positions!$E$2:$E$6912,MATCH($A748&amp;"|51",Positions!$A$2:$A$6912,0)),"-")</f>
        <v>A</v>
      </c>
      <c r="G748" s="4" t="str">
        <f aca="false">IFERROR(INDEX(Positions!$E$2:$E$6912,MATCH($A748&amp;"|63",Positions!$A$2:$A$6912,0)),"-")</f>
        <v>U</v>
      </c>
      <c r="H748" s="3" t="str">
        <f aca="false">F748&amp;"-"&amp;G748</f>
        <v>A-U</v>
      </c>
      <c r="I748" s="4" t="n">
        <f aca="false">(F748="G")+(G748="G")</f>
        <v>0</v>
      </c>
      <c r="J748" s="4" t="n">
        <f aca="false">(F748="C")+(G748="C")</f>
        <v>0</v>
      </c>
      <c r="K748" s="3" t="n">
        <f aca="false">I748+J748</f>
        <v>0</v>
      </c>
    </row>
    <row r="749" customFormat="false" ht="15" hidden="false" customHeight="false" outlineLevel="0" collapsed="false">
      <c r="A749" s="4" t="s">
        <v>63</v>
      </c>
      <c r="B749" s="4" t="s">
        <v>471</v>
      </c>
      <c r="C749" s="4" t="s">
        <v>528</v>
      </c>
      <c r="D749" s="4" t="n">
        <f aca="false">IFERROR(INDEX(Positions!$D$2:$D$6912,MATCH($A749&amp;"|52",Positions!$A$2:$A$6912,0)),"-")</f>
        <v>51</v>
      </c>
      <c r="E749" s="4" t="n">
        <f aca="false">IFERROR(INDEX(Positions!$D$2:$D$6912,MATCH($A749&amp;"|62",Positions!$A$2:$A$6912,0)),"-")</f>
        <v>61</v>
      </c>
      <c r="F749" s="4" t="str">
        <f aca="false">IFERROR(INDEX(Positions!$E$2:$E$6912,MATCH($A749&amp;"|52",Positions!$A$2:$A$6912,0)),"-")</f>
        <v>G</v>
      </c>
      <c r="G749" s="4" t="str">
        <f aca="false">IFERROR(INDEX(Positions!$E$2:$E$6912,MATCH($A749&amp;"|62",Positions!$A$2:$A$6912,0)),"-")</f>
        <v>C</v>
      </c>
      <c r="H749" s="3" t="str">
        <f aca="false">F749&amp;"-"&amp;G749</f>
        <v>G-C</v>
      </c>
      <c r="I749" s="4" t="n">
        <f aca="false">(F749="G")+(G749="G")</f>
        <v>1</v>
      </c>
      <c r="J749" s="4" t="n">
        <f aca="false">(F749="C")+(G749="C")</f>
        <v>1</v>
      </c>
      <c r="K749" s="3" t="n">
        <f aca="false">I749+J749</f>
        <v>2</v>
      </c>
    </row>
    <row r="750" customFormat="false" ht="15" hidden="false" customHeight="false" outlineLevel="0" collapsed="false">
      <c r="A750" s="4" t="s">
        <v>63</v>
      </c>
      <c r="B750" s="4" t="s">
        <v>471</v>
      </c>
      <c r="C750" s="4" t="s">
        <v>529</v>
      </c>
      <c r="D750" s="4" t="n">
        <f aca="false">IFERROR(INDEX(Positions!$D$2:$D$6912,MATCH($A750&amp;"|53",Positions!$A$2:$A$6912,0)),"-")</f>
        <v>52</v>
      </c>
      <c r="E750" s="4" t="n">
        <f aca="false">IFERROR(INDEX(Positions!$D$2:$D$6912,MATCH($A750&amp;"|61",Positions!$A$2:$A$6912,0)),"-")</f>
        <v>60</v>
      </c>
      <c r="F750" s="4" t="str">
        <f aca="false">IFERROR(INDEX(Positions!$E$2:$E$6912,MATCH($A750&amp;"|53",Positions!$A$2:$A$6912,0)),"-")</f>
        <v>G</v>
      </c>
      <c r="G750" s="4" t="str">
        <f aca="false">IFERROR(INDEX(Positions!$E$2:$E$6912,MATCH($A750&amp;"|61",Positions!$A$2:$A$6912,0)),"-")</f>
        <v>C</v>
      </c>
      <c r="H750" s="3" t="str">
        <f aca="false">F750&amp;"-"&amp;G750</f>
        <v>G-C</v>
      </c>
      <c r="I750" s="4" t="n">
        <f aca="false">(F750="G")+(G750="G")</f>
        <v>1</v>
      </c>
      <c r="J750" s="4" t="n">
        <f aca="false">(F750="C")+(G750="C")</f>
        <v>1</v>
      </c>
      <c r="K750" s="3" t="n">
        <f aca="false">I750+J750</f>
        <v>2</v>
      </c>
    </row>
    <row r="751" customFormat="false" ht="15" hidden="false" customHeight="false" outlineLevel="0" collapsed="false">
      <c r="A751" s="24" t="s">
        <v>63</v>
      </c>
      <c r="B751" s="24" t="s">
        <v>530</v>
      </c>
      <c r="C751" s="24" t="s">
        <v>531</v>
      </c>
      <c r="D751" s="24" t="n">
        <f aca="false">IFERROR(INDEX(Positions!$D$2:$D$6912,MATCH($A751&amp;"|8",Positions!$A$2:$A$6912,0)),"-")</f>
        <v>8</v>
      </c>
      <c r="E751" s="24" t="n">
        <f aca="false">IFERROR(INDEX(Positions!$D$2:$D$6912,MATCH($A751&amp;"|14",Positions!$A$2:$A$6912,0)),"-")</f>
        <v>14</v>
      </c>
      <c r="F751" s="24" t="str">
        <f aca="false">IFERROR(INDEX(Positions!$E$2:$E$6912,MATCH($A751&amp;"|8",Positions!$A$2:$A$6912,0)),"-")</f>
        <v>U</v>
      </c>
      <c r="G751" s="24" t="str">
        <f aca="false">IFERROR(INDEX(Positions!$E$2:$E$6912,MATCH($A751&amp;"|14",Positions!$A$2:$A$6912,0)),"-")</f>
        <v>A</v>
      </c>
      <c r="H751" s="25" t="str">
        <f aca="false">F751&amp;"-"&amp;G751</f>
        <v>U-A</v>
      </c>
      <c r="I751" s="24" t="n">
        <f aca="false">(F751="G")+(G751="G")</f>
        <v>0</v>
      </c>
      <c r="J751" s="24" t="n">
        <f aca="false">(F751="C")+(G751="C")</f>
        <v>0</v>
      </c>
      <c r="K751" s="25" t="n">
        <f aca="false">I751+J751</f>
        <v>0</v>
      </c>
    </row>
    <row r="752" customFormat="false" ht="15" hidden="false" customHeight="false" outlineLevel="0" collapsed="false">
      <c r="A752" s="24" t="s">
        <v>63</v>
      </c>
      <c r="B752" s="24" t="s">
        <v>530</v>
      </c>
      <c r="C752" s="24" t="s">
        <v>532</v>
      </c>
      <c r="D752" s="24" t="n">
        <f aca="false">IFERROR(INDEX(Positions!$D$2:$D$6912,MATCH($A752&amp;"|15",Positions!$A$2:$A$6912,0)),"-")</f>
        <v>15</v>
      </c>
      <c r="E752" s="24" t="n">
        <f aca="false">IFERROR(INDEX(Positions!$D$2:$D$6912,MATCH($A752&amp;"|48",Positions!$A$2:$A$6912,0)),"-")</f>
        <v>47</v>
      </c>
      <c r="F752" s="24" t="str">
        <f aca="false">IFERROR(INDEX(Positions!$E$2:$E$6912,MATCH($A752&amp;"|15",Positions!$A$2:$A$6912,0)),"-")</f>
        <v>G</v>
      </c>
      <c r="G752" s="24" t="str">
        <f aca="false">IFERROR(INDEX(Positions!$E$2:$E$6912,MATCH($A752&amp;"|48",Positions!$A$2:$A$6912,0)),"-")</f>
        <v>C</v>
      </c>
      <c r="H752" s="25" t="str">
        <f aca="false">F752&amp;"-"&amp;G752</f>
        <v>G-C</v>
      </c>
      <c r="I752" s="24" t="n">
        <f aca="false">(F752="G")+(G752="G")</f>
        <v>1</v>
      </c>
      <c r="J752" s="24" t="n">
        <f aca="false">(F752="C")+(G752="C")</f>
        <v>1</v>
      </c>
      <c r="K752" s="25" t="n">
        <f aca="false">I752+J752</f>
        <v>2</v>
      </c>
    </row>
    <row r="753" customFormat="false" ht="15" hidden="false" customHeight="false" outlineLevel="0" collapsed="false">
      <c r="A753" s="24" t="s">
        <v>63</v>
      </c>
      <c r="B753" s="24" t="s">
        <v>530</v>
      </c>
      <c r="C753" s="24" t="s">
        <v>533</v>
      </c>
      <c r="D753" s="24" t="n">
        <f aca="false">IFERROR(INDEX(Positions!$D$2:$D$6912,MATCH($A753&amp;"|18",Positions!$A$2:$A$6912,0)),"-")</f>
        <v>17</v>
      </c>
      <c r="E753" s="24" t="n">
        <f aca="false">IFERROR(INDEX(Positions!$D$2:$D$6912,MATCH($A753&amp;"|55",Positions!$A$2:$A$6912,0)),"-")</f>
        <v>54</v>
      </c>
      <c r="F753" s="24" t="str">
        <f aca="false">IFERROR(INDEX(Positions!$E$2:$E$6912,MATCH($A753&amp;"|18",Positions!$A$2:$A$6912,0)),"-")</f>
        <v>G</v>
      </c>
      <c r="G753" s="24" t="str">
        <f aca="false">IFERROR(INDEX(Positions!$E$2:$E$6912,MATCH($A753&amp;"|55",Positions!$A$2:$A$6912,0)),"-")</f>
        <v>U</v>
      </c>
      <c r="H753" s="25" t="str">
        <f aca="false">F753&amp;"-"&amp;G753</f>
        <v>G-U</v>
      </c>
      <c r="I753" s="24" t="n">
        <f aca="false">(F753="G")+(G753="G")</f>
        <v>1</v>
      </c>
      <c r="J753" s="24" t="n">
        <f aca="false">(F753="C")+(G753="C")</f>
        <v>0</v>
      </c>
      <c r="K753" s="25" t="n">
        <f aca="false">I753+J753</f>
        <v>1</v>
      </c>
    </row>
    <row r="754" customFormat="false" ht="15" hidden="false" customHeight="false" outlineLevel="0" collapsed="false">
      <c r="A754" s="24" t="s">
        <v>63</v>
      </c>
      <c r="B754" s="24" t="s">
        <v>530</v>
      </c>
      <c r="C754" s="24" t="s">
        <v>534</v>
      </c>
      <c r="D754" s="24" t="n">
        <f aca="false">IFERROR(INDEX(Positions!$D$2:$D$6912,MATCH($A754&amp;"|19",Positions!$A$2:$A$6912,0)),"-")</f>
        <v>18</v>
      </c>
      <c r="E754" s="24" t="n">
        <f aca="false">IFERROR(INDEX(Positions!$D$2:$D$6912,MATCH($A754&amp;"|56",Positions!$A$2:$A$6912,0)),"-")</f>
        <v>55</v>
      </c>
      <c r="F754" s="24" t="str">
        <f aca="false">IFERROR(INDEX(Positions!$E$2:$E$6912,MATCH($A754&amp;"|19",Positions!$A$2:$A$6912,0)),"-")</f>
        <v>G</v>
      </c>
      <c r="G754" s="24" t="str">
        <f aca="false">IFERROR(INDEX(Positions!$E$2:$E$6912,MATCH($A754&amp;"|56",Positions!$A$2:$A$6912,0)),"-")</f>
        <v>C</v>
      </c>
      <c r="H754" s="25" t="str">
        <f aca="false">F754&amp;"-"&amp;G754</f>
        <v>G-C</v>
      </c>
      <c r="I754" s="24" t="n">
        <f aca="false">(F754="G")+(G754="G")</f>
        <v>1</v>
      </c>
      <c r="J754" s="24" t="n">
        <f aca="false">(F754="C")+(G754="C")</f>
        <v>1</v>
      </c>
      <c r="K754" s="25" t="n">
        <f aca="false">I754+J754</f>
        <v>2</v>
      </c>
    </row>
    <row r="755" customFormat="false" ht="15" hidden="false" customHeight="false" outlineLevel="0" collapsed="false">
      <c r="A755" s="24" t="s">
        <v>63</v>
      </c>
      <c r="B755" s="24" t="s">
        <v>530</v>
      </c>
      <c r="C755" s="24" t="s">
        <v>535</v>
      </c>
      <c r="D755" s="24" t="n">
        <f aca="false">IFERROR(INDEX(Positions!$D$2:$D$6912,MATCH($A755&amp;"|26",Positions!$A$2:$A$6912,0)),"-")</f>
        <v>26</v>
      </c>
      <c r="E755" s="24" t="n">
        <f aca="false">IFERROR(INDEX(Positions!$D$2:$D$6912,MATCH($A755&amp;"|44",Positions!$A$2:$A$6912,0)),"-")</f>
        <v>44</v>
      </c>
      <c r="F755" s="24" t="str">
        <f aca="false">IFERROR(INDEX(Positions!$E$2:$E$6912,MATCH($A755&amp;"|26",Positions!$A$2:$A$6912,0)),"-")</f>
        <v>U</v>
      </c>
      <c r="G755" s="24" t="str">
        <f aca="false">IFERROR(INDEX(Positions!$E$2:$E$6912,MATCH($A755&amp;"|44",Positions!$A$2:$A$6912,0)),"-")</f>
        <v>A</v>
      </c>
      <c r="H755" s="25" t="str">
        <f aca="false">F755&amp;"-"&amp;G755</f>
        <v>U-A</v>
      </c>
      <c r="I755" s="24" t="n">
        <f aca="false">(F755="G")+(G755="G")</f>
        <v>0</v>
      </c>
      <c r="J755" s="24" t="n">
        <f aca="false">(F755="C")+(G755="C")</f>
        <v>0</v>
      </c>
      <c r="K755" s="25" t="n">
        <f aca="false">I755+J755</f>
        <v>0</v>
      </c>
    </row>
    <row r="756" customFormat="false" ht="15" hidden="false" customHeight="false" outlineLevel="0" collapsed="false">
      <c r="A756" s="24" t="s">
        <v>63</v>
      </c>
      <c r="B756" s="24" t="s">
        <v>530</v>
      </c>
      <c r="C756" s="24" t="s">
        <v>536</v>
      </c>
      <c r="D756" s="24" t="n">
        <f aca="false">IFERROR(INDEX(Positions!$D$2:$D$6912,MATCH($A756&amp;"|32",Positions!$A$2:$A$6912,0)),"-")</f>
        <v>32</v>
      </c>
      <c r="E756" s="24" t="n">
        <f aca="false">IFERROR(INDEX(Positions!$D$2:$D$6912,MATCH($A756&amp;"|38",Positions!$A$2:$A$6912,0)),"-")</f>
        <v>38</v>
      </c>
      <c r="F756" s="24" t="str">
        <f aca="false">IFERROR(INDEX(Positions!$E$2:$E$6912,MATCH($A756&amp;"|32",Positions!$A$2:$A$6912,0)),"-")</f>
        <v>C</v>
      </c>
      <c r="G756" s="24" t="str">
        <f aca="false">IFERROR(INDEX(Positions!$E$2:$E$6912,MATCH($A756&amp;"|38",Positions!$A$2:$A$6912,0)),"-")</f>
        <v>A</v>
      </c>
      <c r="H756" s="25" t="str">
        <f aca="false">F756&amp;"-"&amp;G756</f>
        <v>C-A</v>
      </c>
      <c r="I756" s="24" t="n">
        <f aca="false">(F756="G")+(G756="G")</f>
        <v>0</v>
      </c>
      <c r="J756" s="24" t="n">
        <f aca="false">(F756="C")+(G756="C")</f>
        <v>1</v>
      </c>
      <c r="K756" s="25" t="n">
        <f aca="false">I756+J756</f>
        <v>1</v>
      </c>
    </row>
    <row r="757" customFormat="false" ht="15" hidden="false" customHeight="false" outlineLevel="0" collapsed="false">
      <c r="A757" s="24" t="s">
        <v>63</v>
      </c>
      <c r="B757" s="24" t="s">
        <v>530</v>
      </c>
      <c r="C757" s="24" t="s">
        <v>537</v>
      </c>
      <c r="D757" s="24" t="n">
        <f aca="false">IFERROR(INDEX(Positions!$D$2:$D$6912,MATCH($A757&amp;"|54",Positions!$A$2:$A$6912,0)),"-")</f>
        <v>53</v>
      </c>
      <c r="E757" s="24" t="n">
        <f aca="false">IFERROR(INDEX(Positions!$D$2:$D$6912,MATCH($A757&amp;"|58",Positions!$A$2:$A$6912,0)),"-")</f>
        <v>57</v>
      </c>
      <c r="F757" s="24" t="str">
        <f aca="false">IFERROR(INDEX(Positions!$E$2:$E$6912,MATCH($A757&amp;"|54",Positions!$A$2:$A$6912,0)),"-")</f>
        <v>U</v>
      </c>
      <c r="G757" s="24" t="str">
        <f aca="false">IFERROR(INDEX(Positions!$E$2:$E$6912,MATCH($A757&amp;"|58",Positions!$A$2:$A$6912,0)),"-")</f>
        <v>A</v>
      </c>
      <c r="H757" s="25" t="str">
        <f aca="false">F757&amp;"-"&amp;G757</f>
        <v>U-A</v>
      </c>
      <c r="I757" s="24" t="n">
        <f aca="false">(F757="G")+(G757="G")</f>
        <v>0</v>
      </c>
      <c r="J757" s="24" t="n">
        <f aca="false">(F757="C")+(G757="C")</f>
        <v>0</v>
      </c>
      <c r="K757" s="25" t="n">
        <f aca="false">I757+J757</f>
        <v>0</v>
      </c>
    </row>
    <row r="758" customFormat="false" ht="15" hidden="false" customHeight="false" outlineLevel="0" collapsed="false">
      <c r="A758" s="4" t="s">
        <v>64</v>
      </c>
      <c r="B758" s="4" t="s">
        <v>412</v>
      </c>
      <c r="C758" s="4" t="s">
        <v>517</v>
      </c>
      <c r="D758" s="4" t="n">
        <f aca="false">IFERROR(INDEX(Positions!$D$2:$D$6912,MATCH($A758&amp;"|1",Positions!$A$2:$A$6912,0)),"-")</f>
        <v>1</v>
      </c>
      <c r="E758" s="4" t="n">
        <f aca="false">IFERROR(INDEX(Positions!$D$2:$D$6912,MATCH($A758&amp;"|72",Positions!$A$2:$A$6912,0)),"-")</f>
        <v>71</v>
      </c>
      <c r="F758" s="4" t="str">
        <f aca="false">IFERROR(INDEX(Positions!$E$2:$E$6912,MATCH($A758&amp;"|1",Positions!$A$2:$A$6912,0)),"-")</f>
        <v>U</v>
      </c>
      <c r="G758" s="4" t="str">
        <f aca="false">IFERROR(INDEX(Positions!$E$2:$E$6912,MATCH($A758&amp;"|72",Positions!$A$2:$A$6912,0)),"-")</f>
        <v>A</v>
      </c>
      <c r="H758" s="3" t="str">
        <f aca="false">F758&amp;"-"&amp;G758</f>
        <v>U-A</v>
      </c>
      <c r="I758" s="4" t="n">
        <f aca="false">(F758="G")+(G758="G")</f>
        <v>0</v>
      </c>
      <c r="J758" s="4" t="n">
        <f aca="false">(F758="C")+(G758="C")</f>
        <v>0</v>
      </c>
      <c r="K758" s="3" t="n">
        <f aca="false">I758+J758</f>
        <v>0</v>
      </c>
    </row>
    <row r="759" customFormat="false" ht="15" hidden="false" customHeight="false" outlineLevel="0" collapsed="false">
      <c r="A759" s="4" t="s">
        <v>64</v>
      </c>
      <c r="B759" s="4" t="s">
        <v>412</v>
      </c>
      <c r="C759" s="4" t="s">
        <v>518</v>
      </c>
      <c r="D759" s="4" t="n">
        <f aca="false">IFERROR(INDEX(Positions!$D$2:$D$6912,MATCH($A759&amp;"|2",Positions!$A$2:$A$6912,0)),"-")</f>
        <v>2</v>
      </c>
      <c r="E759" s="4" t="n">
        <f aca="false">IFERROR(INDEX(Positions!$D$2:$D$6912,MATCH($A759&amp;"|71",Positions!$A$2:$A$6912,0)),"-")</f>
        <v>70</v>
      </c>
      <c r="F759" s="4" t="str">
        <f aca="false">IFERROR(INDEX(Positions!$E$2:$E$6912,MATCH($A759&amp;"|2",Positions!$A$2:$A$6912,0)),"-")</f>
        <v>C</v>
      </c>
      <c r="G759" s="4" t="str">
        <f aca="false">IFERROR(INDEX(Positions!$E$2:$E$6912,MATCH($A759&amp;"|71",Positions!$A$2:$A$6912,0)),"-")</f>
        <v>G</v>
      </c>
      <c r="H759" s="3" t="str">
        <f aca="false">F759&amp;"-"&amp;G759</f>
        <v>C-G</v>
      </c>
      <c r="I759" s="4" t="n">
        <f aca="false">(F759="G")+(G759="G")</f>
        <v>1</v>
      </c>
      <c r="J759" s="4" t="n">
        <f aca="false">(F759="C")+(G759="C")</f>
        <v>1</v>
      </c>
      <c r="K759" s="3" t="n">
        <f aca="false">I759+J759</f>
        <v>2</v>
      </c>
    </row>
    <row r="760" customFormat="false" ht="15" hidden="false" customHeight="false" outlineLevel="0" collapsed="false">
      <c r="A760" s="4" t="s">
        <v>64</v>
      </c>
      <c r="B760" s="4" t="s">
        <v>412</v>
      </c>
      <c r="C760" s="4" t="s">
        <v>386</v>
      </c>
      <c r="D760" s="4" t="n">
        <f aca="false">IFERROR(INDEX(Positions!$D$2:$D$6912,MATCH($A760&amp;"|3",Positions!$A$2:$A$6912,0)),"-")</f>
        <v>3</v>
      </c>
      <c r="E760" s="4" t="n">
        <f aca="false">IFERROR(INDEX(Positions!$D$2:$D$6912,MATCH($A760&amp;"|70",Positions!$A$2:$A$6912,0)),"-")</f>
        <v>69</v>
      </c>
      <c r="F760" s="4" t="str">
        <f aca="false">IFERROR(INDEX(Positions!$E$2:$E$6912,MATCH($A760&amp;"|3",Positions!$A$2:$A$6912,0)),"-")</f>
        <v>C</v>
      </c>
      <c r="G760" s="4" t="str">
        <f aca="false">IFERROR(INDEX(Positions!$E$2:$E$6912,MATCH($A760&amp;"|70",Positions!$A$2:$A$6912,0)),"-")</f>
        <v>G</v>
      </c>
      <c r="H760" s="3" t="str">
        <f aca="false">F760&amp;"-"&amp;G760</f>
        <v>C-G</v>
      </c>
      <c r="I760" s="4" t="n">
        <f aca="false">(F760="G")+(G760="G")</f>
        <v>1</v>
      </c>
      <c r="J760" s="4" t="n">
        <f aca="false">(F760="C")+(G760="C")</f>
        <v>1</v>
      </c>
      <c r="K760" s="3" t="n">
        <f aca="false">I760+J760</f>
        <v>2</v>
      </c>
    </row>
    <row r="761" customFormat="false" ht="15" hidden="false" customHeight="false" outlineLevel="0" collapsed="false">
      <c r="A761" s="4" t="s">
        <v>64</v>
      </c>
      <c r="B761" s="4" t="s">
        <v>412</v>
      </c>
      <c r="C761" s="4" t="s">
        <v>519</v>
      </c>
      <c r="D761" s="4" t="n">
        <f aca="false">IFERROR(INDEX(Positions!$D$2:$D$6912,MATCH($A761&amp;"|4",Positions!$A$2:$A$6912,0)),"-")</f>
        <v>4</v>
      </c>
      <c r="E761" s="4" t="n">
        <f aca="false">IFERROR(INDEX(Positions!$D$2:$D$6912,MATCH($A761&amp;"|69",Positions!$A$2:$A$6912,0)),"-")</f>
        <v>68</v>
      </c>
      <c r="F761" s="4" t="str">
        <f aca="false">IFERROR(INDEX(Positions!$E$2:$E$6912,MATCH($A761&amp;"|4",Positions!$A$2:$A$6912,0)),"-")</f>
        <v>G</v>
      </c>
      <c r="G761" s="4" t="str">
        <f aca="false">IFERROR(INDEX(Positions!$E$2:$E$6912,MATCH($A761&amp;"|69",Positions!$A$2:$A$6912,0)),"-")</f>
        <v>C</v>
      </c>
      <c r="H761" s="3" t="str">
        <f aca="false">F761&amp;"-"&amp;G761</f>
        <v>G-C</v>
      </c>
      <c r="I761" s="4" t="n">
        <f aca="false">(F761="G")+(G761="G")</f>
        <v>1</v>
      </c>
      <c r="J761" s="4" t="n">
        <f aca="false">(F761="C")+(G761="C")</f>
        <v>1</v>
      </c>
      <c r="K761" s="3" t="n">
        <f aca="false">I761+J761</f>
        <v>2</v>
      </c>
    </row>
    <row r="762" customFormat="false" ht="15" hidden="false" customHeight="false" outlineLevel="0" collapsed="false">
      <c r="A762" s="4" t="s">
        <v>64</v>
      </c>
      <c r="B762" s="4" t="s">
        <v>412</v>
      </c>
      <c r="C762" s="4" t="s">
        <v>283</v>
      </c>
      <c r="D762" s="4" t="n">
        <f aca="false">IFERROR(INDEX(Positions!$D$2:$D$6912,MATCH($A762&amp;"|5",Positions!$A$2:$A$6912,0)),"-")</f>
        <v>5</v>
      </c>
      <c r="E762" s="4" t="n">
        <f aca="false">IFERROR(INDEX(Positions!$D$2:$D$6912,MATCH($A762&amp;"|68",Positions!$A$2:$A$6912,0)),"-")</f>
        <v>67</v>
      </c>
      <c r="F762" s="4" t="str">
        <f aca="false">IFERROR(INDEX(Positions!$E$2:$E$6912,MATCH($A762&amp;"|5",Positions!$A$2:$A$6912,0)),"-")</f>
        <v>A</v>
      </c>
      <c r="G762" s="4" t="str">
        <f aca="false">IFERROR(INDEX(Positions!$E$2:$E$6912,MATCH($A762&amp;"|68",Positions!$A$2:$A$6912,0)),"-")</f>
        <v>U</v>
      </c>
      <c r="H762" s="3" t="str">
        <f aca="false">F762&amp;"-"&amp;G762</f>
        <v>A-U</v>
      </c>
      <c r="I762" s="4" t="n">
        <f aca="false">(F762="G")+(G762="G")</f>
        <v>0</v>
      </c>
      <c r="J762" s="4" t="n">
        <f aca="false">(F762="C")+(G762="C")</f>
        <v>0</v>
      </c>
      <c r="K762" s="3" t="n">
        <f aca="false">I762+J762</f>
        <v>0</v>
      </c>
    </row>
    <row r="763" customFormat="false" ht="15" hidden="false" customHeight="false" outlineLevel="0" collapsed="false">
      <c r="A763" s="4" t="s">
        <v>64</v>
      </c>
      <c r="B763" s="4" t="s">
        <v>412</v>
      </c>
      <c r="C763" s="4" t="s">
        <v>520</v>
      </c>
      <c r="D763" s="4" t="n">
        <f aca="false">IFERROR(INDEX(Positions!$D$2:$D$6912,MATCH($A763&amp;"|6",Positions!$A$2:$A$6912,0)),"-")</f>
        <v>6</v>
      </c>
      <c r="E763" s="4" t="n">
        <f aca="false">IFERROR(INDEX(Positions!$D$2:$D$6912,MATCH($A763&amp;"|67",Positions!$A$2:$A$6912,0)),"-")</f>
        <v>66</v>
      </c>
      <c r="F763" s="4" t="str">
        <f aca="false">IFERROR(INDEX(Positions!$E$2:$E$6912,MATCH($A763&amp;"|6",Positions!$A$2:$A$6912,0)),"-")</f>
        <v>U</v>
      </c>
      <c r="G763" s="4" t="str">
        <f aca="false">IFERROR(INDEX(Positions!$E$2:$E$6912,MATCH($A763&amp;"|67",Positions!$A$2:$A$6912,0)),"-")</f>
        <v>A</v>
      </c>
      <c r="H763" s="3" t="str">
        <f aca="false">F763&amp;"-"&amp;G763</f>
        <v>U-A</v>
      </c>
      <c r="I763" s="4" t="n">
        <f aca="false">(F763="G")+(G763="G")</f>
        <v>0</v>
      </c>
      <c r="J763" s="4" t="n">
        <f aca="false">(F763="C")+(G763="C")</f>
        <v>0</v>
      </c>
      <c r="K763" s="3" t="n">
        <f aca="false">I763+J763</f>
        <v>0</v>
      </c>
    </row>
    <row r="764" customFormat="false" ht="15" hidden="false" customHeight="false" outlineLevel="0" collapsed="false">
      <c r="A764" s="4" t="s">
        <v>64</v>
      </c>
      <c r="B764" s="4" t="s">
        <v>412</v>
      </c>
      <c r="C764" s="4" t="s">
        <v>521</v>
      </c>
      <c r="D764" s="4" t="n">
        <f aca="false">IFERROR(INDEX(Positions!$D$2:$D$6912,MATCH($A764&amp;"|7",Positions!$A$2:$A$6912,0)),"-")</f>
        <v>7</v>
      </c>
      <c r="E764" s="4" t="n">
        <f aca="false">IFERROR(INDEX(Positions!$D$2:$D$6912,MATCH($A764&amp;"|66",Positions!$A$2:$A$6912,0)),"-")</f>
        <v>65</v>
      </c>
      <c r="F764" s="4" t="str">
        <f aca="false">IFERROR(INDEX(Positions!$E$2:$E$6912,MATCH($A764&amp;"|7",Positions!$A$2:$A$6912,0)),"-")</f>
        <v>G</v>
      </c>
      <c r="G764" s="4" t="str">
        <f aca="false">IFERROR(INDEX(Positions!$E$2:$E$6912,MATCH($A764&amp;"|66",Positions!$A$2:$A$6912,0)),"-")</f>
        <v>U</v>
      </c>
      <c r="H764" s="3" t="str">
        <f aca="false">F764&amp;"-"&amp;G764</f>
        <v>G-U</v>
      </c>
      <c r="I764" s="4" t="n">
        <f aca="false">(F764="G")+(G764="G")</f>
        <v>1</v>
      </c>
      <c r="J764" s="4" t="n">
        <f aca="false">(F764="C")+(G764="C")</f>
        <v>0</v>
      </c>
      <c r="K764" s="3" t="n">
        <f aca="false">I764+J764</f>
        <v>1</v>
      </c>
    </row>
    <row r="765" customFormat="false" ht="15" hidden="false" customHeight="false" outlineLevel="0" collapsed="false">
      <c r="A765" s="4" t="s">
        <v>64</v>
      </c>
      <c r="B765" s="4" t="s">
        <v>425</v>
      </c>
      <c r="C765" s="4" t="s">
        <v>522</v>
      </c>
      <c r="D765" s="4" t="n">
        <f aca="false">IFERROR(INDEX(Positions!$D$2:$D$6912,MATCH($A765&amp;"|10",Positions!$A$2:$A$6912,0)),"-")</f>
        <v>10</v>
      </c>
      <c r="E765" s="4" t="n">
        <f aca="false">IFERROR(INDEX(Positions!$D$2:$D$6912,MATCH($A765&amp;"|25",Positions!$A$2:$A$6912,0)),"-")</f>
        <v>25</v>
      </c>
      <c r="F765" s="4" t="str">
        <f aca="false">IFERROR(INDEX(Positions!$E$2:$E$6912,MATCH($A765&amp;"|10",Positions!$A$2:$A$6912,0)),"-")</f>
        <v>G</v>
      </c>
      <c r="G765" s="4" t="str">
        <f aca="false">IFERROR(INDEX(Positions!$E$2:$E$6912,MATCH($A765&amp;"|25",Positions!$A$2:$A$6912,0)),"-")</f>
        <v>C</v>
      </c>
      <c r="H765" s="3" t="str">
        <f aca="false">F765&amp;"-"&amp;G765</f>
        <v>G-C</v>
      </c>
      <c r="I765" s="4" t="n">
        <f aca="false">(F765="G")+(G765="G")</f>
        <v>1</v>
      </c>
      <c r="J765" s="4" t="n">
        <f aca="false">(F765="C")+(G765="C")</f>
        <v>1</v>
      </c>
      <c r="K765" s="3" t="n">
        <f aca="false">I765+J765</f>
        <v>2</v>
      </c>
    </row>
    <row r="766" customFormat="false" ht="15" hidden="false" customHeight="false" outlineLevel="0" collapsed="false">
      <c r="A766" s="4" t="s">
        <v>64</v>
      </c>
      <c r="B766" s="4" t="s">
        <v>425</v>
      </c>
      <c r="C766" s="4" t="s">
        <v>523</v>
      </c>
      <c r="D766" s="4" t="n">
        <f aca="false">IFERROR(INDEX(Positions!$D$2:$D$6912,MATCH($A766&amp;"|11",Positions!$A$2:$A$6912,0)),"-")</f>
        <v>11</v>
      </c>
      <c r="E766" s="4" t="n">
        <f aca="false">IFERROR(INDEX(Positions!$D$2:$D$6912,MATCH($A766&amp;"|24",Positions!$A$2:$A$6912,0)),"-")</f>
        <v>24</v>
      </c>
      <c r="F766" s="4" t="str">
        <f aca="false">IFERROR(INDEX(Positions!$E$2:$E$6912,MATCH($A766&amp;"|11",Positions!$A$2:$A$6912,0)),"-")</f>
        <v>U</v>
      </c>
      <c r="G766" s="4" t="str">
        <f aca="false">IFERROR(INDEX(Positions!$E$2:$E$6912,MATCH($A766&amp;"|24",Positions!$A$2:$A$6912,0)),"-")</f>
        <v>A</v>
      </c>
      <c r="H766" s="3" t="str">
        <f aca="false">F766&amp;"-"&amp;G766</f>
        <v>U-A</v>
      </c>
      <c r="I766" s="4" t="n">
        <f aca="false">(F766="G")+(G766="G")</f>
        <v>0</v>
      </c>
      <c r="J766" s="4" t="n">
        <f aca="false">(F766="C")+(G766="C")</f>
        <v>0</v>
      </c>
      <c r="K766" s="3" t="n">
        <f aca="false">I766+J766</f>
        <v>0</v>
      </c>
    </row>
    <row r="767" customFormat="false" ht="15" hidden="false" customHeight="false" outlineLevel="0" collapsed="false">
      <c r="A767" s="4" t="s">
        <v>64</v>
      </c>
      <c r="B767" s="4" t="s">
        <v>425</v>
      </c>
      <c r="C767" s="4" t="s">
        <v>250</v>
      </c>
      <c r="D767" s="4" t="n">
        <f aca="false">IFERROR(INDEX(Positions!$D$2:$D$6912,MATCH($A767&amp;"|12",Positions!$A$2:$A$6912,0)),"-")</f>
        <v>12</v>
      </c>
      <c r="E767" s="4" t="n">
        <f aca="false">IFERROR(INDEX(Positions!$D$2:$D$6912,MATCH($A767&amp;"|23",Positions!$A$2:$A$6912,0)),"-")</f>
        <v>23</v>
      </c>
      <c r="F767" s="4" t="str">
        <f aca="false">IFERROR(INDEX(Positions!$E$2:$E$6912,MATCH($A767&amp;"|12",Positions!$A$2:$A$6912,0)),"-")</f>
        <v>A</v>
      </c>
      <c r="G767" s="4" t="str">
        <f aca="false">IFERROR(INDEX(Positions!$E$2:$E$6912,MATCH($A767&amp;"|23",Positions!$A$2:$A$6912,0)),"-")</f>
        <v>A</v>
      </c>
      <c r="H767" s="3" t="str">
        <f aca="false">F767&amp;"-"&amp;G767</f>
        <v>A-A</v>
      </c>
      <c r="I767" s="4" t="n">
        <f aca="false">(F767="G")+(G767="G")</f>
        <v>0</v>
      </c>
      <c r="J767" s="4" t="n">
        <f aca="false">(F767="C")+(G767="C")</f>
        <v>0</v>
      </c>
      <c r="K767" s="3" t="n">
        <f aca="false">I767+J767</f>
        <v>0</v>
      </c>
    </row>
    <row r="768" customFormat="false" ht="15" hidden="false" customHeight="false" outlineLevel="0" collapsed="false">
      <c r="A768" s="4" t="s">
        <v>64</v>
      </c>
      <c r="B768" s="4" t="s">
        <v>425</v>
      </c>
      <c r="C768" s="4" t="s">
        <v>154</v>
      </c>
      <c r="D768" s="4" t="n">
        <f aca="false">IFERROR(INDEX(Positions!$D$2:$D$6912,MATCH($A768&amp;"|13",Positions!$A$2:$A$6912,0)),"-")</f>
        <v>13</v>
      </c>
      <c r="E768" s="4" t="n">
        <f aca="false">IFERROR(INDEX(Positions!$D$2:$D$6912,MATCH($A768&amp;"|22",Positions!$A$2:$A$6912,0)),"-")</f>
        <v>22</v>
      </c>
      <c r="F768" s="4" t="str">
        <f aca="false">IFERROR(INDEX(Positions!$E$2:$E$6912,MATCH($A768&amp;"|13",Positions!$A$2:$A$6912,0)),"-")</f>
        <v>U</v>
      </c>
      <c r="G768" s="4" t="str">
        <f aca="false">IFERROR(INDEX(Positions!$E$2:$E$6912,MATCH($A768&amp;"|22",Positions!$A$2:$A$6912,0)),"-")</f>
        <v>G</v>
      </c>
      <c r="H768" s="3" t="str">
        <f aca="false">F768&amp;"-"&amp;G768</f>
        <v>U-G</v>
      </c>
      <c r="I768" s="4" t="n">
        <f aca="false">(F768="G")+(G768="G")</f>
        <v>1</v>
      </c>
      <c r="J768" s="4" t="n">
        <f aca="false">(F768="C")+(G768="C")</f>
        <v>0</v>
      </c>
      <c r="K768" s="3" t="n">
        <f aca="false">I768+J768</f>
        <v>1</v>
      </c>
    </row>
    <row r="769" customFormat="false" ht="15" hidden="false" customHeight="false" outlineLevel="0" collapsed="false">
      <c r="A769" s="4" t="s">
        <v>64</v>
      </c>
      <c r="B769" s="4" t="s">
        <v>446</v>
      </c>
      <c r="C769" s="4" t="s">
        <v>524</v>
      </c>
      <c r="D769" s="4" t="n">
        <f aca="false">IFERROR(INDEX(Positions!$D$2:$D$6912,MATCH($A769&amp;"|27",Positions!$A$2:$A$6912,0)),"-")</f>
        <v>27</v>
      </c>
      <c r="E769" s="4" t="n">
        <f aca="false">IFERROR(INDEX(Positions!$D$2:$D$6912,MATCH($A769&amp;"|43",Positions!$A$2:$A$6912,0)),"-")</f>
        <v>43</v>
      </c>
      <c r="F769" s="4" t="str">
        <f aca="false">IFERROR(INDEX(Positions!$E$2:$E$6912,MATCH($A769&amp;"|27",Positions!$A$2:$A$6912,0)),"-")</f>
        <v>C</v>
      </c>
      <c r="G769" s="4" t="str">
        <f aca="false">IFERROR(INDEX(Positions!$E$2:$E$6912,MATCH($A769&amp;"|43",Positions!$A$2:$A$6912,0)),"-")</f>
        <v>G</v>
      </c>
      <c r="H769" s="3" t="str">
        <f aca="false">F769&amp;"-"&amp;G769</f>
        <v>C-G</v>
      </c>
      <c r="I769" s="4" t="n">
        <f aca="false">(F769="G")+(G769="G")</f>
        <v>1</v>
      </c>
      <c r="J769" s="4" t="n">
        <f aca="false">(F769="C")+(G769="C")</f>
        <v>1</v>
      </c>
      <c r="K769" s="3" t="n">
        <f aca="false">I769+J769</f>
        <v>2</v>
      </c>
    </row>
    <row r="770" customFormat="false" ht="15" hidden="false" customHeight="false" outlineLevel="0" collapsed="false">
      <c r="A770" s="4" t="s">
        <v>64</v>
      </c>
      <c r="B770" s="4" t="s">
        <v>446</v>
      </c>
      <c r="C770" s="4" t="s">
        <v>525</v>
      </c>
      <c r="D770" s="4" t="n">
        <f aca="false">IFERROR(INDEX(Positions!$D$2:$D$6912,MATCH($A770&amp;"|28",Positions!$A$2:$A$6912,0)),"-")</f>
        <v>28</v>
      </c>
      <c r="E770" s="4" t="n">
        <f aca="false">IFERROR(INDEX(Positions!$D$2:$D$6912,MATCH($A770&amp;"|42",Positions!$A$2:$A$6912,0)),"-")</f>
        <v>42</v>
      </c>
      <c r="F770" s="4" t="str">
        <f aca="false">IFERROR(INDEX(Positions!$E$2:$E$6912,MATCH($A770&amp;"|28",Positions!$A$2:$A$6912,0)),"-")</f>
        <v>C</v>
      </c>
      <c r="G770" s="4" t="str">
        <f aca="false">IFERROR(INDEX(Positions!$E$2:$E$6912,MATCH($A770&amp;"|42",Positions!$A$2:$A$6912,0)),"-")</f>
        <v>G</v>
      </c>
      <c r="H770" s="3" t="str">
        <f aca="false">F770&amp;"-"&amp;G770</f>
        <v>C-G</v>
      </c>
      <c r="I770" s="4" t="n">
        <f aca="false">(F770="G")+(G770="G")</f>
        <v>1</v>
      </c>
      <c r="J770" s="4" t="n">
        <f aca="false">(F770="C")+(G770="C")</f>
        <v>1</v>
      </c>
      <c r="K770" s="3" t="n">
        <f aca="false">I770+J770</f>
        <v>2</v>
      </c>
    </row>
    <row r="771" customFormat="false" ht="15" hidden="false" customHeight="false" outlineLevel="0" collapsed="false">
      <c r="A771" s="4" t="s">
        <v>64</v>
      </c>
      <c r="B771" s="4" t="s">
        <v>446</v>
      </c>
      <c r="C771" s="4" t="s">
        <v>256</v>
      </c>
      <c r="D771" s="4" t="n">
        <f aca="false">IFERROR(INDEX(Positions!$D$2:$D$6912,MATCH($A771&amp;"|29",Positions!$A$2:$A$6912,0)),"-")</f>
        <v>29</v>
      </c>
      <c r="E771" s="4" t="n">
        <f aca="false">IFERROR(INDEX(Positions!$D$2:$D$6912,MATCH($A771&amp;"|41",Positions!$A$2:$A$6912,0)),"-")</f>
        <v>41</v>
      </c>
      <c r="F771" s="4" t="str">
        <f aca="false">IFERROR(INDEX(Positions!$E$2:$E$6912,MATCH($A771&amp;"|29",Positions!$A$2:$A$6912,0)),"-")</f>
        <v>U</v>
      </c>
      <c r="G771" s="4" t="str">
        <f aca="false">IFERROR(INDEX(Positions!$E$2:$E$6912,MATCH($A771&amp;"|41",Positions!$A$2:$A$6912,0)),"-")</f>
        <v>A</v>
      </c>
      <c r="H771" s="3" t="str">
        <f aca="false">F771&amp;"-"&amp;G771</f>
        <v>U-A</v>
      </c>
      <c r="I771" s="4" t="n">
        <f aca="false">(F771="G")+(G771="G")</f>
        <v>0</v>
      </c>
      <c r="J771" s="4" t="n">
        <f aca="false">(F771="C")+(G771="C")</f>
        <v>0</v>
      </c>
      <c r="K771" s="3" t="n">
        <f aca="false">I771+J771</f>
        <v>0</v>
      </c>
    </row>
    <row r="772" customFormat="false" ht="15" hidden="false" customHeight="false" outlineLevel="0" collapsed="false">
      <c r="A772" s="4" t="s">
        <v>64</v>
      </c>
      <c r="B772" s="4" t="s">
        <v>446</v>
      </c>
      <c r="C772" s="4" t="s">
        <v>526</v>
      </c>
      <c r="D772" s="4" t="n">
        <f aca="false">IFERROR(INDEX(Positions!$D$2:$D$6912,MATCH($A772&amp;"|30",Positions!$A$2:$A$6912,0)),"-")</f>
        <v>30</v>
      </c>
      <c r="E772" s="4" t="n">
        <f aca="false">IFERROR(INDEX(Positions!$D$2:$D$6912,MATCH($A772&amp;"|40",Positions!$A$2:$A$6912,0)),"-")</f>
        <v>40</v>
      </c>
      <c r="F772" s="4" t="str">
        <f aca="false">IFERROR(INDEX(Positions!$E$2:$E$6912,MATCH($A772&amp;"|30",Positions!$A$2:$A$6912,0)),"-")</f>
        <v>G</v>
      </c>
      <c r="G772" s="4" t="str">
        <f aca="false">IFERROR(INDEX(Positions!$E$2:$E$6912,MATCH($A772&amp;"|40",Positions!$A$2:$A$6912,0)),"-")</f>
        <v>C</v>
      </c>
      <c r="H772" s="3" t="str">
        <f aca="false">F772&amp;"-"&amp;G772</f>
        <v>G-C</v>
      </c>
      <c r="I772" s="4" t="n">
        <f aca="false">(F772="G")+(G772="G")</f>
        <v>1</v>
      </c>
      <c r="J772" s="4" t="n">
        <f aca="false">(F772="C")+(G772="C")</f>
        <v>1</v>
      </c>
      <c r="K772" s="3" t="n">
        <f aca="false">I772+J772</f>
        <v>2</v>
      </c>
    </row>
    <row r="773" customFormat="false" ht="15" hidden="false" customHeight="false" outlineLevel="0" collapsed="false">
      <c r="A773" s="4" t="s">
        <v>64</v>
      </c>
      <c r="B773" s="4" t="s">
        <v>446</v>
      </c>
      <c r="C773" s="4" t="s">
        <v>273</v>
      </c>
      <c r="D773" s="4" t="n">
        <f aca="false">IFERROR(INDEX(Positions!$D$2:$D$6912,MATCH($A773&amp;"|31",Positions!$A$2:$A$6912,0)),"-")</f>
        <v>31</v>
      </c>
      <c r="E773" s="4" t="n">
        <f aca="false">IFERROR(INDEX(Positions!$D$2:$D$6912,MATCH($A773&amp;"|39",Positions!$A$2:$A$6912,0)),"-")</f>
        <v>39</v>
      </c>
      <c r="F773" s="4" t="str">
        <f aca="false">IFERROR(INDEX(Positions!$E$2:$E$6912,MATCH($A773&amp;"|31",Positions!$A$2:$A$6912,0)),"-")</f>
        <v>G</v>
      </c>
      <c r="G773" s="4" t="str">
        <f aca="false">IFERROR(INDEX(Positions!$E$2:$E$6912,MATCH($A773&amp;"|39",Positions!$A$2:$A$6912,0)),"-")</f>
        <v>C</v>
      </c>
      <c r="H773" s="3" t="str">
        <f aca="false">F773&amp;"-"&amp;G773</f>
        <v>G-C</v>
      </c>
      <c r="I773" s="4" t="n">
        <f aca="false">(F773="G")+(G773="G")</f>
        <v>1</v>
      </c>
      <c r="J773" s="4" t="n">
        <f aca="false">(F773="C")+(G773="C")</f>
        <v>1</v>
      </c>
      <c r="K773" s="3" t="n">
        <f aca="false">I773+J773</f>
        <v>2</v>
      </c>
    </row>
    <row r="774" customFormat="false" ht="15" hidden="false" customHeight="false" outlineLevel="0" collapsed="false">
      <c r="A774" s="4" t="s">
        <v>64</v>
      </c>
      <c r="B774" s="4" t="s">
        <v>471</v>
      </c>
      <c r="C774" s="4" t="s">
        <v>367</v>
      </c>
      <c r="D774" s="4" t="n">
        <f aca="false">IFERROR(INDEX(Positions!$D$2:$D$6912,MATCH($A774&amp;"|49",Positions!$A$2:$A$6912,0)),"-")</f>
        <v>48</v>
      </c>
      <c r="E774" s="4" t="n">
        <f aca="false">IFERROR(INDEX(Positions!$D$2:$D$6912,MATCH($A774&amp;"|65",Positions!$A$2:$A$6912,0)),"-")</f>
        <v>64</v>
      </c>
      <c r="F774" s="4" t="str">
        <f aca="false">IFERROR(INDEX(Positions!$E$2:$E$6912,MATCH($A774&amp;"|49",Positions!$A$2:$A$6912,0)),"-")</f>
        <v>C</v>
      </c>
      <c r="G774" s="4" t="str">
        <f aca="false">IFERROR(INDEX(Positions!$E$2:$E$6912,MATCH($A774&amp;"|65",Positions!$A$2:$A$6912,0)),"-")</f>
        <v>G</v>
      </c>
      <c r="H774" s="3" t="str">
        <f aca="false">F774&amp;"-"&amp;G774</f>
        <v>C-G</v>
      </c>
      <c r="I774" s="4" t="n">
        <f aca="false">(F774="G")+(G774="G")</f>
        <v>1</v>
      </c>
      <c r="J774" s="4" t="n">
        <f aca="false">(F774="C")+(G774="C")</f>
        <v>1</v>
      </c>
      <c r="K774" s="3" t="n">
        <f aca="false">I774+J774</f>
        <v>2</v>
      </c>
    </row>
    <row r="775" customFormat="false" ht="15" hidden="false" customHeight="false" outlineLevel="0" collapsed="false">
      <c r="A775" s="4" t="s">
        <v>64</v>
      </c>
      <c r="B775" s="4" t="s">
        <v>471</v>
      </c>
      <c r="C775" s="4" t="s">
        <v>233</v>
      </c>
      <c r="D775" s="4" t="n">
        <f aca="false">IFERROR(INDEX(Positions!$D$2:$D$6912,MATCH($A775&amp;"|50",Positions!$A$2:$A$6912,0)),"-")</f>
        <v>49</v>
      </c>
      <c r="E775" s="4" t="n">
        <f aca="false">IFERROR(INDEX(Positions!$D$2:$D$6912,MATCH($A775&amp;"|64",Positions!$A$2:$A$6912,0)),"-")</f>
        <v>63</v>
      </c>
      <c r="F775" s="4" t="str">
        <f aca="false">IFERROR(INDEX(Positions!$E$2:$E$6912,MATCH($A775&amp;"|50",Positions!$A$2:$A$6912,0)),"-")</f>
        <v>C</v>
      </c>
      <c r="G775" s="4" t="str">
        <f aca="false">IFERROR(INDEX(Positions!$E$2:$E$6912,MATCH($A775&amp;"|64",Positions!$A$2:$A$6912,0)),"-")</f>
        <v>G</v>
      </c>
      <c r="H775" s="3" t="str">
        <f aca="false">F775&amp;"-"&amp;G775</f>
        <v>C-G</v>
      </c>
      <c r="I775" s="4" t="n">
        <f aca="false">(F775="G")+(G775="G")</f>
        <v>1</v>
      </c>
      <c r="J775" s="4" t="n">
        <f aca="false">(F775="C")+(G775="C")</f>
        <v>1</v>
      </c>
      <c r="K775" s="3" t="n">
        <f aca="false">I775+J775</f>
        <v>2</v>
      </c>
    </row>
    <row r="776" customFormat="false" ht="15" hidden="false" customHeight="false" outlineLevel="0" collapsed="false">
      <c r="A776" s="4" t="s">
        <v>64</v>
      </c>
      <c r="B776" s="4" t="s">
        <v>471</v>
      </c>
      <c r="C776" s="4" t="s">
        <v>527</v>
      </c>
      <c r="D776" s="4" t="n">
        <f aca="false">IFERROR(INDEX(Positions!$D$2:$D$6912,MATCH($A776&amp;"|51",Positions!$A$2:$A$6912,0)),"-")</f>
        <v>50</v>
      </c>
      <c r="E776" s="4" t="n">
        <f aca="false">IFERROR(INDEX(Positions!$D$2:$D$6912,MATCH($A776&amp;"|63",Positions!$A$2:$A$6912,0)),"-")</f>
        <v>62</v>
      </c>
      <c r="F776" s="4" t="str">
        <f aca="false">IFERROR(INDEX(Positions!$E$2:$E$6912,MATCH($A776&amp;"|51",Positions!$A$2:$A$6912,0)),"-")</f>
        <v>G</v>
      </c>
      <c r="G776" s="4" t="str">
        <f aca="false">IFERROR(INDEX(Positions!$E$2:$E$6912,MATCH($A776&amp;"|63",Positions!$A$2:$A$6912,0)),"-")</f>
        <v>C</v>
      </c>
      <c r="H776" s="3" t="str">
        <f aca="false">F776&amp;"-"&amp;G776</f>
        <v>G-C</v>
      </c>
      <c r="I776" s="4" t="n">
        <f aca="false">(F776="G")+(G776="G")</f>
        <v>1</v>
      </c>
      <c r="J776" s="4" t="n">
        <f aca="false">(F776="C")+(G776="C")</f>
        <v>1</v>
      </c>
      <c r="K776" s="3" t="n">
        <f aca="false">I776+J776</f>
        <v>2</v>
      </c>
    </row>
    <row r="777" customFormat="false" ht="15" hidden="false" customHeight="false" outlineLevel="0" collapsed="false">
      <c r="A777" s="4" t="s">
        <v>64</v>
      </c>
      <c r="B777" s="4" t="s">
        <v>471</v>
      </c>
      <c r="C777" s="4" t="s">
        <v>528</v>
      </c>
      <c r="D777" s="4" t="n">
        <f aca="false">IFERROR(INDEX(Positions!$D$2:$D$6912,MATCH($A777&amp;"|52",Positions!$A$2:$A$6912,0)),"-")</f>
        <v>51</v>
      </c>
      <c r="E777" s="4" t="n">
        <f aca="false">IFERROR(INDEX(Positions!$D$2:$D$6912,MATCH($A777&amp;"|62",Positions!$A$2:$A$6912,0)),"-")</f>
        <v>61</v>
      </c>
      <c r="F777" s="4" t="str">
        <f aca="false">IFERROR(INDEX(Positions!$E$2:$E$6912,MATCH($A777&amp;"|52",Positions!$A$2:$A$6912,0)),"-")</f>
        <v>G</v>
      </c>
      <c r="G777" s="4" t="str">
        <f aca="false">IFERROR(INDEX(Positions!$E$2:$E$6912,MATCH($A777&amp;"|62",Positions!$A$2:$A$6912,0)),"-")</f>
        <v>C</v>
      </c>
      <c r="H777" s="3" t="str">
        <f aca="false">F777&amp;"-"&amp;G777</f>
        <v>G-C</v>
      </c>
      <c r="I777" s="4" t="n">
        <f aca="false">(F777="G")+(G777="G")</f>
        <v>1</v>
      </c>
      <c r="J777" s="4" t="n">
        <f aca="false">(F777="C")+(G777="C")</f>
        <v>1</v>
      </c>
      <c r="K777" s="3" t="n">
        <f aca="false">I777+J777</f>
        <v>2</v>
      </c>
    </row>
    <row r="778" customFormat="false" ht="15" hidden="false" customHeight="false" outlineLevel="0" collapsed="false">
      <c r="A778" s="4" t="s">
        <v>64</v>
      </c>
      <c r="B778" s="4" t="s">
        <v>471</v>
      </c>
      <c r="C778" s="4" t="s">
        <v>529</v>
      </c>
      <c r="D778" s="4" t="n">
        <f aca="false">IFERROR(INDEX(Positions!$D$2:$D$6912,MATCH($A778&amp;"|53",Positions!$A$2:$A$6912,0)),"-")</f>
        <v>52</v>
      </c>
      <c r="E778" s="4" t="n">
        <f aca="false">IFERROR(INDEX(Positions!$D$2:$D$6912,MATCH($A778&amp;"|61",Positions!$A$2:$A$6912,0)),"-")</f>
        <v>60</v>
      </c>
      <c r="F778" s="4" t="str">
        <f aca="false">IFERROR(INDEX(Positions!$E$2:$E$6912,MATCH($A778&amp;"|53",Positions!$A$2:$A$6912,0)),"-")</f>
        <v>G</v>
      </c>
      <c r="G778" s="4" t="str">
        <f aca="false">IFERROR(INDEX(Positions!$E$2:$E$6912,MATCH($A778&amp;"|61",Positions!$A$2:$A$6912,0)),"-")</f>
        <v>C</v>
      </c>
      <c r="H778" s="3" t="str">
        <f aca="false">F778&amp;"-"&amp;G778</f>
        <v>G-C</v>
      </c>
      <c r="I778" s="4" t="n">
        <f aca="false">(F778="G")+(G778="G")</f>
        <v>1</v>
      </c>
      <c r="J778" s="4" t="n">
        <f aca="false">(F778="C")+(G778="C")</f>
        <v>1</v>
      </c>
      <c r="K778" s="3" t="n">
        <f aca="false">I778+J778</f>
        <v>2</v>
      </c>
    </row>
    <row r="779" customFormat="false" ht="15" hidden="false" customHeight="false" outlineLevel="0" collapsed="false">
      <c r="A779" s="24" t="s">
        <v>64</v>
      </c>
      <c r="B779" s="24" t="s">
        <v>530</v>
      </c>
      <c r="C779" s="24" t="s">
        <v>531</v>
      </c>
      <c r="D779" s="24" t="n">
        <f aca="false">IFERROR(INDEX(Positions!$D$2:$D$6912,MATCH($A779&amp;"|8",Positions!$A$2:$A$6912,0)),"-")</f>
        <v>8</v>
      </c>
      <c r="E779" s="24" t="n">
        <f aca="false">IFERROR(INDEX(Positions!$D$2:$D$6912,MATCH($A779&amp;"|14",Positions!$A$2:$A$6912,0)),"-")</f>
        <v>14</v>
      </c>
      <c r="F779" s="24" t="str">
        <f aca="false">IFERROR(INDEX(Positions!$E$2:$E$6912,MATCH($A779&amp;"|8",Positions!$A$2:$A$6912,0)),"-")</f>
        <v>U</v>
      </c>
      <c r="G779" s="24" t="str">
        <f aca="false">IFERROR(INDEX(Positions!$E$2:$E$6912,MATCH($A779&amp;"|14",Positions!$A$2:$A$6912,0)),"-")</f>
        <v>A</v>
      </c>
      <c r="H779" s="25" t="str">
        <f aca="false">F779&amp;"-"&amp;G779</f>
        <v>U-A</v>
      </c>
      <c r="I779" s="24" t="n">
        <f aca="false">(F779="G")+(G779="G")</f>
        <v>0</v>
      </c>
      <c r="J779" s="24" t="n">
        <f aca="false">(F779="C")+(G779="C")</f>
        <v>0</v>
      </c>
      <c r="K779" s="25" t="n">
        <f aca="false">I779+J779</f>
        <v>0</v>
      </c>
    </row>
    <row r="780" customFormat="false" ht="15" hidden="false" customHeight="false" outlineLevel="0" collapsed="false">
      <c r="A780" s="24" t="s">
        <v>64</v>
      </c>
      <c r="B780" s="24" t="s">
        <v>530</v>
      </c>
      <c r="C780" s="24" t="s">
        <v>532</v>
      </c>
      <c r="D780" s="24" t="n">
        <f aca="false">IFERROR(INDEX(Positions!$D$2:$D$6912,MATCH($A780&amp;"|15",Positions!$A$2:$A$6912,0)),"-")</f>
        <v>15</v>
      </c>
      <c r="E780" s="24" t="n">
        <f aca="false">IFERROR(INDEX(Positions!$D$2:$D$6912,MATCH($A780&amp;"|48",Positions!$A$2:$A$6912,0)),"-")</f>
        <v>47</v>
      </c>
      <c r="F780" s="24" t="str">
        <f aca="false">IFERROR(INDEX(Positions!$E$2:$E$6912,MATCH($A780&amp;"|15",Positions!$A$2:$A$6912,0)),"-")</f>
        <v>A</v>
      </c>
      <c r="G780" s="24" t="str">
        <f aca="false">IFERROR(INDEX(Positions!$E$2:$E$6912,MATCH($A780&amp;"|48",Positions!$A$2:$A$6912,0)),"-")</f>
        <v>U</v>
      </c>
      <c r="H780" s="25" t="str">
        <f aca="false">F780&amp;"-"&amp;G780</f>
        <v>A-U</v>
      </c>
      <c r="I780" s="24" t="n">
        <f aca="false">(F780="G")+(G780="G")</f>
        <v>0</v>
      </c>
      <c r="J780" s="24" t="n">
        <f aca="false">(F780="C")+(G780="C")</f>
        <v>0</v>
      </c>
      <c r="K780" s="25" t="n">
        <f aca="false">I780+J780</f>
        <v>0</v>
      </c>
    </row>
    <row r="781" customFormat="false" ht="15" hidden="false" customHeight="false" outlineLevel="0" collapsed="false">
      <c r="A781" s="24" t="s">
        <v>64</v>
      </c>
      <c r="B781" s="24" t="s">
        <v>530</v>
      </c>
      <c r="C781" s="24" t="s">
        <v>533</v>
      </c>
      <c r="D781" s="24" t="n">
        <f aca="false">IFERROR(INDEX(Positions!$D$2:$D$6912,MATCH($A781&amp;"|18",Positions!$A$2:$A$6912,0)),"-")</f>
        <v>17</v>
      </c>
      <c r="E781" s="24" t="n">
        <f aca="false">IFERROR(INDEX(Positions!$D$2:$D$6912,MATCH($A781&amp;"|55",Positions!$A$2:$A$6912,0)),"-")</f>
        <v>54</v>
      </c>
      <c r="F781" s="24" t="str">
        <f aca="false">IFERROR(INDEX(Positions!$E$2:$E$6912,MATCH($A781&amp;"|18",Positions!$A$2:$A$6912,0)),"-")</f>
        <v>G</v>
      </c>
      <c r="G781" s="24" t="str">
        <f aca="false">IFERROR(INDEX(Positions!$E$2:$E$6912,MATCH($A781&amp;"|55",Positions!$A$2:$A$6912,0)),"-")</f>
        <v>U</v>
      </c>
      <c r="H781" s="25" t="str">
        <f aca="false">F781&amp;"-"&amp;G781</f>
        <v>G-U</v>
      </c>
      <c r="I781" s="24" t="n">
        <f aca="false">(F781="G")+(G781="G")</f>
        <v>1</v>
      </c>
      <c r="J781" s="24" t="n">
        <f aca="false">(F781="C")+(G781="C")</f>
        <v>0</v>
      </c>
      <c r="K781" s="25" t="n">
        <f aca="false">I781+J781</f>
        <v>1</v>
      </c>
    </row>
    <row r="782" customFormat="false" ht="15" hidden="false" customHeight="false" outlineLevel="0" collapsed="false">
      <c r="A782" s="24" t="s">
        <v>64</v>
      </c>
      <c r="B782" s="24" t="s">
        <v>530</v>
      </c>
      <c r="C782" s="24" t="s">
        <v>534</v>
      </c>
      <c r="D782" s="24" t="n">
        <f aca="false">IFERROR(INDEX(Positions!$D$2:$D$6912,MATCH($A782&amp;"|19",Positions!$A$2:$A$6912,0)),"-")</f>
        <v>18</v>
      </c>
      <c r="E782" s="24" t="n">
        <f aca="false">IFERROR(INDEX(Positions!$D$2:$D$6912,MATCH($A782&amp;"|56",Positions!$A$2:$A$6912,0)),"-")</f>
        <v>55</v>
      </c>
      <c r="F782" s="24" t="str">
        <f aca="false">IFERROR(INDEX(Positions!$E$2:$E$6912,MATCH($A782&amp;"|19",Positions!$A$2:$A$6912,0)),"-")</f>
        <v>G</v>
      </c>
      <c r="G782" s="24" t="str">
        <f aca="false">IFERROR(INDEX(Positions!$E$2:$E$6912,MATCH($A782&amp;"|56",Positions!$A$2:$A$6912,0)),"-")</f>
        <v>C</v>
      </c>
      <c r="H782" s="25" t="str">
        <f aca="false">F782&amp;"-"&amp;G782</f>
        <v>G-C</v>
      </c>
      <c r="I782" s="24" t="n">
        <f aca="false">(F782="G")+(G782="G")</f>
        <v>1</v>
      </c>
      <c r="J782" s="24" t="n">
        <f aca="false">(F782="C")+(G782="C")</f>
        <v>1</v>
      </c>
      <c r="K782" s="25" t="n">
        <f aca="false">I782+J782</f>
        <v>2</v>
      </c>
    </row>
    <row r="783" customFormat="false" ht="15" hidden="false" customHeight="false" outlineLevel="0" collapsed="false">
      <c r="A783" s="24" t="s">
        <v>64</v>
      </c>
      <c r="B783" s="24" t="s">
        <v>530</v>
      </c>
      <c r="C783" s="24" t="s">
        <v>535</v>
      </c>
      <c r="D783" s="24" t="n">
        <f aca="false">IFERROR(INDEX(Positions!$D$2:$D$6912,MATCH($A783&amp;"|26",Positions!$A$2:$A$6912,0)),"-")</f>
        <v>26</v>
      </c>
      <c r="E783" s="24" t="n">
        <f aca="false">IFERROR(INDEX(Positions!$D$2:$D$6912,MATCH($A783&amp;"|44",Positions!$A$2:$A$6912,0)),"-")</f>
        <v>44</v>
      </c>
      <c r="F783" s="24" t="str">
        <f aca="false">IFERROR(INDEX(Positions!$E$2:$E$6912,MATCH($A783&amp;"|26",Positions!$A$2:$A$6912,0)),"-")</f>
        <v>A</v>
      </c>
      <c r="G783" s="24" t="str">
        <f aca="false">IFERROR(INDEX(Positions!$E$2:$E$6912,MATCH($A783&amp;"|44",Positions!$A$2:$A$6912,0)),"-")</f>
        <v>A</v>
      </c>
      <c r="H783" s="25" t="str">
        <f aca="false">F783&amp;"-"&amp;G783</f>
        <v>A-A</v>
      </c>
      <c r="I783" s="24" t="n">
        <f aca="false">(F783="G")+(G783="G")</f>
        <v>0</v>
      </c>
      <c r="J783" s="24" t="n">
        <f aca="false">(F783="C")+(G783="C")</f>
        <v>0</v>
      </c>
      <c r="K783" s="25" t="n">
        <f aca="false">I783+J783</f>
        <v>0</v>
      </c>
    </row>
    <row r="784" customFormat="false" ht="15" hidden="false" customHeight="false" outlineLevel="0" collapsed="false">
      <c r="A784" s="24" t="s">
        <v>64</v>
      </c>
      <c r="B784" s="24" t="s">
        <v>530</v>
      </c>
      <c r="C784" s="24" t="s">
        <v>536</v>
      </c>
      <c r="D784" s="24" t="n">
        <f aca="false">IFERROR(INDEX(Positions!$D$2:$D$6912,MATCH($A784&amp;"|32",Positions!$A$2:$A$6912,0)),"-")</f>
        <v>32</v>
      </c>
      <c r="E784" s="24" t="n">
        <f aca="false">IFERROR(INDEX(Positions!$D$2:$D$6912,MATCH($A784&amp;"|38",Positions!$A$2:$A$6912,0)),"-")</f>
        <v>38</v>
      </c>
      <c r="F784" s="24" t="str">
        <f aca="false">IFERROR(INDEX(Positions!$E$2:$E$6912,MATCH($A784&amp;"|32",Positions!$A$2:$A$6912,0)),"-")</f>
        <v>C</v>
      </c>
      <c r="G784" s="24" t="str">
        <f aca="false">IFERROR(INDEX(Positions!$E$2:$E$6912,MATCH($A784&amp;"|38",Positions!$A$2:$A$6912,0)),"-")</f>
        <v>C</v>
      </c>
      <c r="H784" s="25" t="str">
        <f aca="false">F784&amp;"-"&amp;G784</f>
        <v>C-C</v>
      </c>
      <c r="I784" s="24" t="n">
        <f aca="false">(F784="G")+(G784="G")</f>
        <v>0</v>
      </c>
      <c r="J784" s="24" t="n">
        <f aca="false">(F784="C")+(G784="C")</f>
        <v>2</v>
      </c>
      <c r="K784" s="25" t="n">
        <f aca="false">I784+J784</f>
        <v>2</v>
      </c>
    </row>
    <row r="785" customFormat="false" ht="15" hidden="false" customHeight="false" outlineLevel="0" collapsed="false">
      <c r="A785" s="24" t="s">
        <v>64</v>
      </c>
      <c r="B785" s="24" t="s">
        <v>530</v>
      </c>
      <c r="C785" s="24" t="s">
        <v>537</v>
      </c>
      <c r="D785" s="24" t="n">
        <f aca="false">IFERROR(INDEX(Positions!$D$2:$D$6912,MATCH($A785&amp;"|54",Positions!$A$2:$A$6912,0)),"-")</f>
        <v>53</v>
      </c>
      <c r="E785" s="24" t="n">
        <f aca="false">IFERROR(INDEX(Positions!$D$2:$D$6912,MATCH($A785&amp;"|58",Positions!$A$2:$A$6912,0)),"-")</f>
        <v>57</v>
      </c>
      <c r="F785" s="24" t="str">
        <f aca="false">IFERROR(INDEX(Positions!$E$2:$E$6912,MATCH($A785&amp;"|54",Positions!$A$2:$A$6912,0)),"-")</f>
        <v>U</v>
      </c>
      <c r="G785" s="24" t="str">
        <f aca="false">IFERROR(INDEX(Positions!$E$2:$E$6912,MATCH($A785&amp;"|58",Positions!$A$2:$A$6912,0)),"-")</f>
        <v>A</v>
      </c>
      <c r="H785" s="25" t="str">
        <f aca="false">F785&amp;"-"&amp;G785</f>
        <v>U-A</v>
      </c>
      <c r="I785" s="24" t="n">
        <f aca="false">(F785="G")+(G785="G")</f>
        <v>0</v>
      </c>
      <c r="J785" s="24" t="n">
        <f aca="false">(F785="C")+(G785="C")</f>
        <v>0</v>
      </c>
      <c r="K785" s="25" t="n">
        <f aca="false">I785+J785</f>
        <v>0</v>
      </c>
    </row>
    <row r="786" customFormat="false" ht="15" hidden="false" customHeight="false" outlineLevel="0" collapsed="false">
      <c r="A786" s="4" t="s">
        <v>65</v>
      </c>
      <c r="B786" s="4" t="s">
        <v>412</v>
      </c>
      <c r="C786" s="4" t="s">
        <v>517</v>
      </c>
      <c r="D786" s="4" t="n">
        <f aca="false">IFERROR(INDEX(Positions!$D$2:$D$6912,MATCH($A786&amp;"|1",Positions!$A$2:$A$6912,0)),"-")</f>
        <v>1</v>
      </c>
      <c r="E786" s="4" t="n">
        <f aca="false">IFERROR(INDEX(Positions!$D$2:$D$6912,MATCH($A786&amp;"|72",Positions!$A$2:$A$6912,0)),"-")</f>
        <v>71</v>
      </c>
      <c r="F786" s="4" t="str">
        <f aca="false">IFERROR(INDEX(Positions!$E$2:$E$6912,MATCH($A786&amp;"|1",Positions!$A$2:$A$6912,0)),"-")</f>
        <v>U</v>
      </c>
      <c r="G786" s="4" t="str">
        <f aca="false">IFERROR(INDEX(Positions!$E$2:$E$6912,MATCH($A786&amp;"|72",Positions!$A$2:$A$6912,0)),"-")</f>
        <v>A</v>
      </c>
      <c r="H786" s="3" t="str">
        <f aca="false">F786&amp;"-"&amp;G786</f>
        <v>U-A</v>
      </c>
      <c r="I786" s="4" t="n">
        <f aca="false">(F786="G")+(G786="G")</f>
        <v>0</v>
      </c>
      <c r="J786" s="4" t="n">
        <f aca="false">(F786="C")+(G786="C")</f>
        <v>0</v>
      </c>
      <c r="K786" s="3" t="n">
        <f aca="false">I786+J786</f>
        <v>0</v>
      </c>
    </row>
    <row r="787" customFormat="false" ht="15" hidden="false" customHeight="false" outlineLevel="0" collapsed="false">
      <c r="A787" s="4" t="s">
        <v>65</v>
      </c>
      <c r="B787" s="4" t="s">
        <v>412</v>
      </c>
      <c r="C787" s="4" t="s">
        <v>518</v>
      </c>
      <c r="D787" s="4" t="n">
        <f aca="false">IFERROR(INDEX(Positions!$D$2:$D$6912,MATCH($A787&amp;"|2",Positions!$A$2:$A$6912,0)),"-")</f>
        <v>2</v>
      </c>
      <c r="E787" s="4" t="n">
        <f aca="false">IFERROR(INDEX(Positions!$D$2:$D$6912,MATCH($A787&amp;"|71",Positions!$A$2:$A$6912,0)),"-")</f>
        <v>70</v>
      </c>
      <c r="F787" s="4" t="str">
        <f aca="false">IFERROR(INDEX(Positions!$E$2:$E$6912,MATCH($A787&amp;"|2",Positions!$A$2:$A$6912,0)),"-")</f>
        <v>C</v>
      </c>
      <c r="G787" s="4" t="str">
        <f aca="false">IFERROR(INDEX(Positions!$E$2:$E$6912,MATCH($A787&amp;"|71",Positions!$A$2:$A$6912,0)),"-")</f>
        <v>G</v>
      </c>
      <c r="H787" s="3" t="str">
        <f aca="false">F787&amp;"-"&amp;G787</f>
        <v>C-G</v>
      </c>
      <c r="I787" s="4" t="n">
        <f aca="false">(F787="G")+(G787="G")</f>
        <v>1</v>
      </c>
      <c r="J787" s="4" t="n">
        <f aca="false">(F787="C")+(G787="C")</f>
        <v>1</v>
      </c>
      <c r="K787" s="3" t="n">
        <f aca="false">I787+J787</f>
        <v>2</v>
      </c>
    </row>
    <row r="788" customFormat="false" ht="15" hidden="false" customHeight="false" outlineLevel="0" collapsed="false">
      <c r="A788" s="4" t="s">
        <v>65</v>
      </c>
      <c r="B788" s="4" t="s">
        <v>412</v>
      </c>
      <c r="C788" s="4" t="s">
        <v>386</v>
      </c>
      <c r="D788" s="4" t="n">
        <f aca="false">IFERROR(INDEX(Positions!$D$2:$D$6912,MATCH($A788&amp;"|3",Positions!$A$2:$A$6912,0)),"-")</f>
        <v>3</v>
      </c>
      <c r="E788" s="4" t="n">
        <f aca="false">IFERROR(INDEX(Positions!$D$2:$D$6912,MATCH($A788&amp;"|70",Positions!$A$2:$A$6912,0)),"-")</f>
        <v>69</v>
      </c>
      <c r="F788" s="4" t="str">
        <f aca="false">IFERROR(INDEX(Positions!$E$2:$E$6912,MATCH($A788&amp;"|3",Positions!$A$2:$A$6912,0)),"-")</f>
        <v>C</v>
      </c>
      <c r="G788" s="4" t="str">
        <f aca="false">IFERROR(INDEX(Positions!$E$2:$E$6912,MATCH($A788&amp;"|70",Positions!$A$2:$A$6912,0)),"-")</f>
        <v>G</v>
      </c>
      <c r="H788" s="3" t="str">
        <f aca="false">F788&amp;"-"&amp;G788</f>
        <v>C-G</v>
      </c>
      <c r="I788" s="4" t="n">
        <f aca="false">(F788="G")+(G788="G")</f>
        <v>1</v>
      </c>
      <c r="J788" s="4" t="n">
        <f aca="false">(F788="C")+(G788="C")</f>
        <v>1</v>
      </c>
      <c r="K788" s="3" t="n">
        <f aca="false">I788+J788</f>
        <v>2</v>
      </c>
    </row>
    <row r="789" customFormat="false" ht="15" hidden="false" customHeight="false" outlineLevel="0" collapsed="false">
      <c r="A789" s="4" t="s">
        <v>65</v>
      </c>
      <c r="B789" s="4" t="s">
        <v>412</v>
      </c>
      <c r="C789" s="4" t="s">
        <v>519</v>
      </c>
      <c r="D789" s="4" t="n">
        <f aca="false">IFERROR(INDEX(Positions!$D$2:$D$6912,MATCH($A789&amp;"|4",Positions!$A$2:$A$6912,0)),"-")</f>
        <v>4</v>
      </c>
      <c r="E789" s="4" t="n">
        <f aca="false">IFERROR(INDEX(Positions!$D$2:$D$6912,MATCH($A789&amp;"|69",Positions!$A$2:$A$6912,0)),"-")</f>
        <v>68</v>
      </c>
      <c r="F789" s="4" t="str">
        <f aca="false">IFERROR(INDEX(Positions!$E$2:$E$6912,MATCH($A789&amp;"|4",Positions!$A$2:$A$6912,0)),"-")</f>
        <v>G</v>
      </c>
      <c r="G789" s="4" t="str">
        <f aca="false">IFERROR(INDEX(Positions!$E$2:$E$6912,MATCH($A789&amp;"|69",Positions!$A$2:$A$6912,0)),"-")</f>
        <v>C</v>
      </c>
      <c r="H789" s="3" t="str">
        <f aca="false">F789&amp;"-"&amp;G789</f>
        <v>G-C</v>
      </c>
      <c r="I789" s="4" t="n">
        <f aca="false">(F789="G")+(G789="G")</f>
        <v>1</v>
      </c>
      <c r="J789" s="4" t="n">
        <f aca="false">(F789="C")+(G789="C")</f>
        <v>1</v>
      </c>
      <c r="K789" s="3" t="n">
        <f aca="false">I789+J789</f>
        <v>2</v>
      </c>
    </row>
    <row r="790" customFormat="false" ht="15" hidden="false" customHeight="false" outlineLevel="0" collapsed="false">
      <c r="A790" s="4" t="s">
        <v>65</v>
      </c>
      <c r="B790" s="4" t="s">
        <v>412</v>
      </c>
      <c r="C790" s="4" t="s">
        <v>283</v>
      </c>
      <c r="D790" s="4" t="n">
        <f aca="false">IFERROR(INDEX(Positions!$D$2:$D$6912,MATCH($A790&amp;"|5",Positions!$A$2:$A$6912,0)),"-")</f>
        <v>5</v>
      </c>
      <c r="E790" s="4" t="n">
        <f aca="false">IFERROR(INDEX(Positions!$D$2:$D$6912,MATCH($A790&amp;"|68",Positions!$A$2:$A$6912,0)),"-")</f>
        <v>67</v>
      </c>
      <c r="F790" s="4" t="str">
        <f aca="false">IFERROR(INDEX(Positions!$E$2:$E$6912,MATCH($A790&amp;"|5",Positions!$A$2:$A$6912,0)),"-")</f>
        <v>A</v>
      </c>
      <c r="G790" s="4" t="str">
        <f aca="false">IFERROR(INDEX(Positions!$E$2:$E$6912,MATCH($A790&amp;"|68",Positions!$A$2:$A$6912,0)),"-")</f>
        <v>U</v>
      </c>
      <c r="H790" s="3" t="str">
        <f aca="false">F790&amp;"-"&amp;G790</f>
        <v>A-U</v>
      </c>
      <c r="I790" s="4" t="n">
        <f aca="false">(F790="G")+(G790="G")</f>
        <v>0</v>
      </c>
      <c r="J790" s="4" t="n">
        <f aca="false">(F790="C")+(G790="C")</f>
        <v>0</v>
      </c>
      <c r="K790" s="3" t="n">
        <f aca="false">I790+J790</f>
        <v>0</v>
      </c>
    </row>
    <row r="791" customFormat="false" ht="15" hidden="false" customHeight="false" outlineLevel="0" collapsed="false">
      <c r="A791" s="4" t="s">
        <v>65</v>
      </c>
      <c r="B791" s="4" t="s">
        <v>412</v>
      </c>
      <c r="C791" s="4" t="s">
        <v>520</v>
      </c>
      <c r="D791" s="4" t="n">
        <f aca="false">IFERROR(INDEX(Positions!$D$2:$D$6912,MATCH($A791&amp;"|6",Positions!$A$2:$A$6912,0)),"-")</f>
        <v>6</v>
      </c>
      <c r="E791" s="4" t="n">
        <f aca="false">IFERROR(INDEX(Positions!$D$2:$D$6912,MATCH($A791&amp;"|67",Positions!$A$2:$A$6912,0)),"-")</f>
        <v>66</v>
      </c>
      <c r="F791" s="4" t="str">
        <f aca="false">IFERROR(INDEX(Positions!$E$2:$E$6912,MATCH($A791&amp;"|6",Positions!$A$2:$A$6912,0)),"-")</f>
        <v>U</v>
      </c>
      <c r="G791" s="4" t="str">
        <f aca="false">IFERROR(INDEX(Positions!$E$2:$E$6912,MATCH($A791&amp;"|67",Positions!$A$2:$A$6912,0)),"-")</f>
        <v>A</v>
      </c>
      <c r="H791" s="3" t="str">
        <f aca="false">F791&amp;"-"&amp;G791</f>
        <v>U-A</v>
      </c>
      <c r="I791" s="4" t="n">
        <f aca="false">(F791="G")+(G791="G")</f>
        <v>0</v>
      </c>
      <c r="J791" s="4" t="n">
        <f aca="false">(F791="C")+(G791="C")</f>
        <v>0</v>
      </c>
      <c r="K791" s="3" t="n">
        <f aca="false">I791+J791</f>
        <v>0</v>
      </c>
    </row>
    <row r="792" customFormat="false" ht="15" hidden="false" customHeight="false" outlineLevel="0" collapsed="false">
      <c r="A792" s="4" t="s">
        <v>65</v>
      </c>
      <c r="B792" s="4" t="s">
        <v>412</v>
      </c>
      <c r="C792" s="4" t="s">
        <v>521</v>
      </c>
      <c r="D792" s="4" t="n">
        <f aca="false">IFERROR(INDEX(Positions!$D$2:$D$6912,MATCH($A792&amp;"|7",Positions!$A$2:$A$6912,0)),"-")</f>
        <v>7</v>
      </c>
      <c r="E792" s="4" t="n">
        <f aca="false">IFERROR(INDEX(Positions!$D$2:$D$6912,MATCH($A792&amp;"|66",Positions!$A$2:$A$6912,0)),"-")</f>
        <v>65</v>
      </c>
      <c r="F792" s="4" t="str">
        <f aca="false">IFERROR(INDEX(Positions!$E$2:$E$6912,MATCH($A792&amp;"|7",Positions!$A$2:$A$6912,0)),"-")</f>
        <v>G</v>
      </c>
      <c r="G792" s="4" t="str">
        <f aca="false">IFERROR(INDEX(Positions!$E$2:$E$6912,MATCH($A792&amp;"|66",Positions!$A$2:$A$6912,0)),"-")</f>
        <v>C</v>
      </c>
      <c r="H792" s="3" t="str">
        <f aca="false">F792&amp;"-"&amp;G792</f>
        <v>G-C</v>
      </c>
      <c r="I792" s="4" t="n">
        <f aca="false">(F792="G")+(G792="G")</f>
        <v>1</v>
      </c>
      <c r="J792" s="4" t="n">
        <f aca="false">(F792="C")+(G792="C")</f>
        <v>1</v>
      </c>
      <c r="K792" s="3" t="n">
        <f aca="false">I792+J792</f>
        <v>2</v>
      </c>
    </row>
    <row r="793" customFormat="false" ht="15" hidden="false" customHeight="false" outlineLevel="0" collapsed="false">
      <c r="A793" s="4" t="s">
        <v>65</v>
      </c>
      <c r="B793" s="4" t="s">
        <v>425</v>
      </c>
      <c r="C793" s="4" t="s">
        <v>522</v>
      </c>
      <c r="D793" s="4" t="n">
        <f aca="false">IFERROR(INDEX(Positions!$D$2:$D$6912,MATCH($A793&amp;"|10",Positions!$A$2:$A$6912,0)),"-")</f>
        <v>10</v>
      </c>
      <c r="E793" s="4" t="n">
        <f aca="false">IFERROR(INDEX(Positions!$D$2:$D$6912,MATCH($A793&amp;"|25",Positions!$A$2:$A$6912,0)),"-")</f>
        <v>25</v>
      </c>
      <c r="F793" s="4" t="str">
        <f aca="false">IFERROR(INDEX(Positions!$E$2:$E$6912,MATCH($A793&amp;"|10",Positions!$A$2:$A$6912,0)),"-")</f>
        <v>G</v>
      </c>
      <c r="G793" s="4" t="str">
        <f aca="false">IFERROR(INDEX(Positions!$E$2:$E$6912,MATCH($A793&amp;"|25",Positions!$A$2:$A$6912,0)),"-")</f>
        <v>C</v>
      </c>
      <c r="H793" s="3" t="str">
        <f aca="false">F793&amp;"-"&amp;G793</f>
        <v>G-C</v>
      </c>
      <c r="I793" s="4" t="n">
        <f aca="false">(F793="G")+(G793="G")</f>
        <v>1</v>
      </c>
      <c r="J793" s="4" t="n">
        <f aca="false">(F793="C")+(G793="C")</f>
        <v>1</v>
      </c>
      <c r="K793" s="3" t="n">
        <f aca="false">I793+J793</f>
        <v>2</v>
      </c>
    </row>
    <row r="794" customFormat="false" ht="15" hidden="false" customHeight="false" outlineLevel="0" collapsed="false">
      <c r="A794" s="4" t="s">
        <v>65</v>
      </c>
      <c r="B794" s="4" t="s">
        <v>425</v>
      </c>
      <c r="C794" s="4" t="s">
        <v>523</v>
      </c>
      <c r="D794" s="4" t="n">
        <f aca="false">IFERROR(INDEX(Positions!$D$2:$D$6912,MATCH($A794&amp;"|11",Positions!$A$2:$A$6912,0)),"-")</f>
        <v>11</v>
      </c>
      <c r="E794" s="4" t="n">
        <f aca="false">IFERROR(INDEX(Positions!$D$2:$D$6912,MATCH($A794&amp;"|24",Positions!$A$2:$A$6912,0)),"-")</f>
        <v>24</v>
      </c>
      <c r="F794" s="4" t="str">
        <f aca="false">IFERROR(INDEX(Positions!$E$2:$E$6912,MATCH($A794&amp;"|11",Positions!$A$2:$A$6912,0)),"-")</f>
        <v>U</v>
      </c>
      <c r="G794" s="4" t="str">
        <f aca="false">IFERROR(INDEX(Positions!$E$2:$E$6912,MATCH($A794&amp;"|24",Positions!$A$2:$A$6912,0)),"-")</f>
        <v>A</v>
      </c>
      <c r="H794" s="3" t="str">
        <f aca="false">F794&amp;"-"&amp;G794</f>
        <v>U-A</v>
      </c>
      <c r="I794" s="4" t="n">
        <f aca="false">(F794="G")+(G794="G")</f>
        <v>0</v>
      </c>
      <c r="J794" s="4" t="n">
        <f aca="false">(F794="C")+(G794="C")</f>
        <v>0</v>
      </c>
      <c r="K794" s="3" t="n">
        <f aca="false">I794+J794</f>
        <v>0</v>
      </c>
    </row>
    <row r="795" customFormat="false" ht="15" hidden="false" customHeight="false" outlineLevel="0" collapsed="false">
      <c r="A795" s="4" t="s">
        <v>65</v>
      </c>
      <c r="B795" s="4" t="s">
        <v>425</v>
      </c>
      <c r="C795" s="4" t="s">
        <v>250</v>
      </c>
      <c r="D795" s="4" t="n">
        <f aca="false">IFERROR(INDEX(Positions!$D$2:$D$6912,MATCH($A795&amp;"|12",Positions!$A$2:$A$6912,0)),"-")</f>
        <v>12</v>
      </c>
      <c r="E795" s="4" t="n">
        <f aca="false">IFERROR(INDEX(Positions!$D$2:$D$6912,MATCH($A795&amp;"|23",Positions!$A$2:$A$6912,0)),"-")</f>
        <v>23</v>
      </c>
      <c r="F795" s="4" t="str">
        <f aca="false">IFERROR(INDEX(Positions!$E$2:$E$6912,MATCH($A795&amp;"|12",Positions!$A$2:$A$6912,0)),"-")</f>
        <v>A</v>
      </c>
      <c r="G795" s="4" t="str">
        <f aca="false">IFERROR(INDEX(Positions!$E$2:$E$6912,MATCH($A795&amp;"|23",Positions!$A$2:$A$6912,0)),"-")</f>
        <v>A</v>
      </c>
      <c r="H795" s="3" t="str">
        <f aca="false">F795&amp;"-"&amp;G795</f>
        <v>A-A</v>
      </c>
      <c r="I795" s="4" t="n">
        <f aca="false">(F795="G")+(G795="G")</f>
        <v>0</v>
      </c>
      <c r="J795" s="4" t="n">
        <f aca="false">(F795="C")+(G795="C")</f>
        <v>0</v>
      </c>
      <c r="K795" s="3" t="n">
        <f aca="false">I795+J795</f>
        <v>0</v>
      </c>
    </row>
    <row r="796" customFormat="false" ht="15" hidden="false" customHeight="false" outlineLevel="0" collapsed="false">
      <c r="A796" s="4" t="s">
        <v>65</v>
      </c>
      <c r="B796" s="4" t="s">
        <v>425</v>
      </c>
      <c r="C796" s="4" t="s">
        <v>154</v>
      </c>
      <c r="D796" s="4" t="n">
        <f aca="false">IFERROR(INDEX(Positions!$D$2:$D$6912,MATCH($A796&amp;"|13",Positions!$A$2:$A$6912,0)),"-")</f>
        <v>13</v>
      </c>
      <c r="E796" s="4" t="n">
        <f aca="false">IFERROR(INDEX(Positions!$D$2:$D$6912,MATCH($A796&amp;"|22",Positions!$A$2:$A$6912,0)),"-")</f>
        <v>22</v>
      </c>
      <c r="F796" s="4" t="str">
        <f aca="false">IFERROR(INDEX(Positions!$E$2:$E$6912,MATCH($A796&amp;"|13",Positions!$A$2:$A$6912,0)),"-")</f>
        <v>U</v>
      </c>
      <c r="G796" s="4" t="str">
        <f aca="false">IFERROR(INDEX(Positions!$E$2:$E$6912,MATCH($A796&amp;"|22",Positions!$A$2:$A$6912,0)),"-")</f>
        <v>G</v>
      </c>
      <c r="H796" s="3" t="str">
        <f aca="false">F796&amp;"-"&amp;G796</f>
        <v>U-G</v>
      </c>
      <c r="I796" s="4" t="n">
        <f aca="false">(F796="G")+(G796="G")</f>
        <v>1</v>
      </c>
      <c r="J796" s="4" t="n">
        <f aca="false">(F796="C")+(G796="C")</f>
        <v>0</v>
      </c>
      <c r="K796" s="3" t="n">
        <f aca="false">I796+J796</f>
        <v>1</v>
      </c>
    </row>
    <row r="797" customFormat="false" ht="15" hidden="false" customHeight="false" outlineLevel="0" collapsed="false">
      <c r="A797" s="4" t="s">
        <v>65</v>
      </c>
      <c r="B797" s="4" t="s">
        <v>446</v>
      </c>
      <c r="C797" s="4" t="s">
        <v>524</v>
      </c>
      <c r="D797" s="4" t="n">
        <f aca="false">IFERROR(INDEX(Positions!$D$2:$D$6912,MATCH($A797&amp;"|27",Positions!$A$2:$A$6912,0)),"-")</f>
        <v>27</v>
      </c>
      <c r="E797" s="4" t="n">
        <f aca="false">IFERROR(INDEX(Positions!$D$2:$D$6912,MATCH($A797&amp;"|43",Positions!$A$2:$A$6912,0)),"-")</f>
        <v>43</v>
      </c>
      <c r="F797" s="4" t="str">
        <f aca="false">IFERROR(INDEX(Positions!$E$2:$E$6912,MATCH($A797&amp;"|27",Positions!$A$2:$A$6912,0)),"-")</f>
        <v>A</v>
      </c>
      <c r="G797" s="4" t="str">
        <f aca="false">IFERROR(INDEX(Positions!$E$2:$E$6912,MATCH($A797&amp;"|43",Positions!$A$2:$A$6912,0)),"-")</f>
        <v>U</v>
      </c>
      <c r="H797" s="3" t="str">
        <f aca="false">F797&amp;"-"&amp;G797</f>
        <v>A-U</v>
      </c>
      <c r="I797" s="4" t="n">
        <f aca="false">(F797="G")+(G797="G")</f>
        <v>0</v>
      </c>
      <c r="J797" s="4" t="n">
        <f aca="false">(F797="C")+(G797="C")</f>
        <v>0</v>
      </c>
      <c r="K797" s="3" t="n">
        <f aca="false">I797+J797</f>
        <v>0</v>
      </c>
    </row>
    <row r="798" customFormat="false" ht="15" hidden="false" customHeight="false" outlineLevel="0" collapsed="false">
      <c r="A798" s="4" t="s">
        <v>65</v>
      </c>
      <c r="B798" s="4" t="s">
        <v>446</v>
      </c>
      <c r="C798" s="4" t="s">
        <v>525</v>
      </c>
      <c r="D798" s="4" t="n">
        <f aca="false">IFERROR(INDEX(Positions!$D$2:$D$6912,MATCH($A798&amp;"|28",Positions!$A$2:$A$6912,0)),"-")</f>
        <v>28</v>
      </c>
      <c r="E798" s="4" t="n">
        <f aca="false">IFERROR(INDEX(Positions!$D$2:$D$6912,MATCH($A798&amp;"|42",Positions!$A$2:$A$6912,0)),"-")</f>
        <v>42</v>
      </c>
      <c r="F798" s="4" t="str">
        <f aca="false">IFERROR(INDEX(Positions!$E$2:$E$6912,MATCH($A798&amp;"|28",Positions!$A$2:$A$6912,0)),"-")</f>
        <v>G</v>
      </c>
      <c r="G798" s="4" t="str">
        <f aca="false">IFERROR(INDEX(Positions!$E$2:$E$6912,MATCH($A798&amp;"|42",Positions!$A$2:$A$6912,0)),"-")</f>
        <v>C</v>
      </c>
      <c r="H798" s="3" t="str">
        <f aca="false">F798&amp;"-"&amp;G798</f>
        <v>G-C</v>
      </c>
      <c r="I798" s="4" t="n">
        <f aca="false">(F798="G")+(G798="G")</f>
        <v>1</v>
      </c>
      <c r="J798" s="4" t="n">
        <f aca="false">(F798="C")+(G798="C")</f>
        <v>1</v>
      </c>
      <c r="K798" s="3" t="n">
        <f aca="false">I798+J798</f>
        <v>2</v>
      </c>
    </row>
    <row r="799" customFormat="false" ht="15" hidden="false" customHeight="false" outlineLevel="0" collapsed="false">
      <c r="A799" s="4" t="s">
        <v>65</v>
      </c>
      <c r="B799" s="4" t="s">
        <v>446</v>
      </c>
      <c r="C799" s="4" t="s">
        <v>256</v>
      </c>
      <c r="D799" s="4" t="n">
        <f aca="false">IFERROR(INDEX(Positions!$D$2:$D$6912,MATCH($A799&amp;"|29",Positions!$A$2:$A$6912,0)),"-")</f>
        <v>29</v>
      </c>
      <c r="E799" s="4" t="n">
        <f aca="false">IFERROR(INDEX(Positions!$D$2:$D$6912,MATCH($A799&amp;"|41",Positions!$A$2:$A$6912,0)),"-")</f>
        <v>41</v>
      </c>
      <c r="F799" s="4" t="str">
        <f aca="false">IFERROR(INDEX(Positions!$E$2:$E$6912,MATCH($A799&amp;"|29",Positions!$A$2:$A$6912,0)),"-")</f>
        <v>C</v>
      </c>
      <c r="G799" s="4" t="str">
        <f aca="false">IFERROR(INDEX(Positions!$E$2:$E$6912,MATCH($A799&amp;"|41",Positions!$A$2:$A$6912,0)),"-")</f>
        <v>G</v>
      </c>
      <c r="H799" s="3" t="str">
        <f aca="false">F799&amp;"-"&amp;G799</f>
        <v>C-G</v>
      </c>
      <c r="I799" s="4" t="n">
        <f aca="false">(F799="G")+(G799="G")</f>
        <v>1</v>
      </c>
      <c r="J799" s="4" t="n">
        <f aca="false">(F799="C")+(G799="C")</f>
        <v>1</v>
      </c>
      <c r="K799" s="3" t="n">
        <f aca="false">I799+J799</f>
        <v>2</v>
      </c>
    </row>
    <row r="800" customFormat="false" ht="15" hidden="false" customHeight="false" outlineLevel="0" collapsed="false">
      <c r="A800" s="4" t="s">
        <v>65</v>
      </c>
      <c r="B800" s="4" t="s">
        <v>446</v>
      </c>
      <c r="C800" s="4" t="s">
        <v>526</v>
      </c>
      <c r="D800" s="4" t="n">
        <f aca="false">IFERROR(INDEX(Positions!$D$2:$D$6912,MATCH($A800&amp;"|30",Positions!$A$2:$A$6912,0)),"-")</f>
        <v>30</v>
      </c>
      <c r="E800" s="4" t="n">
        <f aca="false">IFERROR(INDEX(Positions!$D$2:$D$6912,MATCH($A800&amp;"|40",Positions!$A$2:$A$6912,0)),"-")</f>
        <v>40</v>
      </c>
      <c r="F800" s="4" t="str">
        <f aca="false">IFERROR(INDEX(Positions!$E$2:$E$6912,MATCH($A800&amp;"|30",Positions!$A$2:$A$6912,0)),"-")</f>
        <v>G</v>
      </c>
      <c r="G800" s="4" t="str">
        <f aca="false">IFERROR(INDEX(Positions!$E$2:$E$6912,MATCH($A800&amp;"|40",Positions!$A$2:$A$6912,0)),"-")</f>
        <v>C</v>
      </c>
      <c r="H800" s="3" t="str">
        <f aca="false">F800&amp;"-"&amp;G800</f>
        <v>G-C</v>
      </c>
      <c r="I800" s="4" t="n">
        <f aca="false">(F800="G")+(G800="G")</f>
        <v>1</v>
      </c>
      <c r="J800" s="4" t="n">
        <f aca="false">(F800="C")+(G800="C")</f>
        <v>1</v>
      </c>
      <c r="K800" s="3" t="n">
        <f aca="false">I800+J800</f>
        <v>2</v>
      </c>
    </row>
    <row r="801" customFormat="false" ht="15" hidden="false" customHeight="false" outlineLevel="0" collapsed="false">
      <c r="A801" s="4" t="s">
        <v>65</v>
      </c>
      <c r="B801" s="4" t="s">
        <v>446</v>
      </c>
      <c r="C801" s="4" t="s">
        <v>273</v>
      </c>
      <c r="D801" s="4" t="n">
        <f aca="false">IFERROR(INDEX(Positions!$D$2:$D$6912,MATCH($A801&amp;"|31",Positions!$A$2:$A$6912,0)),"-")</f>
        <v>31</v>
      </c>
      <c r="E801" s="4" t="n">
        <f aca="false">IFERROR(INDEX(Positions!$D$2:$D$6912,MATCH($A801&amp;"|39",Positions!$A$2:$A$6912,0)),"-")</f>
        <v>39</v>
      </c>
      <c r="F801" s="4" t="str">
        <f aca="false">IFERROR(INDEX(Positions!$E$2:$E$6912,MATCH($A801&amp;"|31",Positions!$A$2:$A$6912,0)),"-")</f>
        <v>G</v>
      </c>
      <c r="G801" s="4" t="str">
        <f aca="false">IFERROR(INDEX(Positions!$E$2:$E$6912,MATCH($A801&amp;"|39",Positions!$A$2:$A$6912,0)),"-")</f>
        <v>C</v>
      </c>
      <c r="H801" s="3" t="str">
        <f aca="false">F801&amp;"-"&amp;G801</f>
        <v>G-C</v>
      </c>
      <c r="I801" s="4" t="n">
        <f aca="false">(F801="G")+(G801="G")</f>
        <v>1</v>
      </c>
      <c r="J801" s="4" t="n">
        <f aca="false">(F801="C")+(G801="C")</f>
        <v>1</v>
      </c>
      <c r="K801" s="3" t="n">
        <f aca="false">I801+J801</f>
        <v>2</v>
      </c>
    </row>
    <row r="802" customFormat="false" ht="15" hidden="false" customHeight="false" outlineLevel="0" collapsed="false">
      <c r="A802" s="4" t="s">
        <v>65</v>
      </c>
      <c r="B802" s="4" t="s">
        <v>471</v>
      </c>
      <c r="C802" s="4" t="s">
        <v>367</v>
      </c>
      <c r="D802" s="4" t="n">
        <f aca="false">IFERROR(INDEX(Positions!$D$2:$D$6912,MATCH($A802&amp;"|49",Positions!$A$2:$A$6912,0)),"-")</f>
        <v>48</v>
      </c>
      <c r="E802" s="4" t="n">
        <f aca="false">IFERROR(INDEX(Positions!$D$2:$D$6912,MATCH($A802&amp;"|65",Positions!$A$2:$A$6912,0)),"-")</f>
        <v>64</v>
      </c>
      <c r="F802" s="4" t="str">
        <f aca="false">IFERROR(INDEX(Positions!$E$2:$E$6912,MATCH($A802&amp;"|49",Positions!$A$2:$A$6912,0)),"-")</f>
        <v>C</v>
      </c>
      <c r="G802" s="4" t="str">
        <f aca="false">IFERROR(INDEX(Positions!$E$2:$E$6912,MATCH($A802&amp;"|65",Positions!$A$2:$A$6912,0)),"-")</f>
        <v>G</v>
      </c>
      <c r="H802" s="3" t="str">
        <f aca="false">F802&amp;"-"&amp;G802</f>
        <v>C-G</v>
      </c>
      <c r="I802" s="4" t="n">
        <f aca="false">(F802="G")+(G802="G")</f>
        <v>1</v>
      </c>
      <c r="J802" s="4" t="n">
        <f aca="false">(F802="C")+(G802="C")</f>
        <v>1</v>
      </c>
      <c r="K802" s="3" t="n">
        <f aca="false">I802+J802</f>
        <v>2</v>
      </c>
    </row>
    <row r="803" customFormat="false" ht="15" hidden="false" customHeight="false" outlineLevel="0" collapsed="false">
      <c r="A803" s="4" t="s">
        <v>65</v>
      </c>
      <c r="B803" s="4" t="s">
        <v>471</v>
      </c>
      <c r="C803" s="4" t="s">
        <v>233</v>
      </c>
      <c r="D803" s="4" t="n">
        <f aca="false">IFERROR(INDEX(Positions!$D$2:$D$6912,MATCH($A803&amp;"|50",Positions!$A$2:$A$6912,0)),"-")</f>
        <v>49</v>
      </c>
      <c r="E803" s="4" t="n">
        <f aca="false">IFERROR(INDEX(Positions!$D$2:$D$6912,MATCH($A803&amp;"|64",Positions!$A$2:$A$6912,0)),"-")</f>
        <v>63</v>
      </c>
      <c r="F803" s="4" t="str">
        <f aca="false">IFERROR(INDEX(Positions!$E$2:$E$6912,MATCH($A803&amp;"|50",Positions!$A$2:$A$6912,0)),"-")</f>
        <v>C</v>
      </c>
      <c r="G803" s="4" t="str">
        <f aca="false">IFERROR(INDEX(Positions!$E$2:$E$6912,MATCH($A803&amp;"|64",Positions!$A$2:$A$6912,0)),"-")</f>
        <v>G</v>
      </c>
      <c r="H803" s="3" t="str">
        <f aca="false">F803&amp;"-"&amp;G803</f>
        <v>C-G</v>
      </c>
      <c r="I803" s="4" t="n">
        <f aca="false">(F803="G")+(G803="G")</f>
        <v>1</v>
      </c>
      <c r="J803" s="4" t="n">
        <f aca="false">(F803="C")+(G803="C")</f>
        <v>1</v>
      </c>
      <c r="K803" s="3" t="n">
        <f aca="false">I803+J803</f>
        <v>2</v>
      </c>
    </row>
    <row r="804" customFormat="false" ht="15" hidden="false" customHeight="false" outlineLevel="0" collapsed="false">
      <c r="A804" s="4" t="s">
        <v>65</v>
      </c>
      <c r="B804" s="4" t="s">
        <v>471</v>
      </c>
      <c r="C804" s="4" t="s">
        <v>527</v>
      </c>
      <c r="D804" s="4" t="n">
        <f aca="false">IFERROR(INDEX(Positions!$D$2:$D$6912,MATCH($A804&amp;"|51",Positions!$A$2:$A$6912,0)),"-")</f>
        <v>50</v>
      </c>
      <c r="E804" s="4" t="n">
        <f aca="false">IFERROR(INDEX(Positions!$D$2:$D$6912,MATCH($A804&amp;"|63",Positions!$A$2:$A$6912,0)),"-")</f>
        <v>62</v>
      </c>
      <c r="F804" s="4" t="str">
        <f aca="false">IFERROR(INDEX(Positions!$E$2:$E$6912,MATCH($A804&amp;"|51",Positions!$A$2:$A$6912,0)),"-")</f>
        <v>G</v>
      </c>
      <c r="G804" s="4" t="str">
        <f aca="false">IFERROR(INDEX(Positions!$E$2:$E$6912,MATCH($A804&amp;"|63",Positions!$A$2:$A$6912,0)),"-")</f>
        <v>C</v>
      </c>
      <c r="H804" s="3" t="str">
        <f aca="false">F804&amp;"-"&amp;G804</f>
        <v>G-C</v>
      </c>
      <c r="I804" s="4" t="n">
        <f aca="false">(F804="G")+(G804="G")</f>
        <v>1</v>
      </c>
      <c r="J804" s="4" t="n">
        <f aca="false">(F804="C")+(G804="C")</f>
        <v>1</v>
      </c>
      <c r="K804" s="3" t="n">
        <f aca="false">I804+J804</f>
        <v>2</v>
      </c>
    </row>
    <row r="805" customFormat="false" ht="15" hidden="false" customHeight="false" outlineLevel="0" collapsed="false">
      <c r="A805" s="4" t="s">
        <v>65</v>
      </c>
      <c r="B805" s="4" t="s">
        <v>471</v>
      </c>
      <c r="C805" s="4" t="s">
        <v>528</v>
      </c>
      <c r="D805" s="4" t="n">
        <f aca="false">IFERROR(INDEX(Positions!$D$2:$D$6912,MATCH($A805&amp;"|52",Positions!$A$2:$A$6912,0)),"-")</f>
        <v>51</v>
      </c>
      <c r="E805" s="4" t="n">
        <f aca="false">IFERROR(INDEX(Positions!$D$2:$D$6912,MATCH($A805&amp;"|62",Positions!$A$2:$A$6912,0)),"-")</f>
        <v>61</v>
      </c>
      <c r="F805" s="4" t="str">
        <f aca="false">IFERROR(INDEX(Positions!$E$2:$E$6912,MATCH($A805&amp;"|52",Positions!$A$2:$A$6912,0)),"-")</f>
        <v>G</v>
      </c>
      <c r="G805" s="4" t="str">
        <f aca="false">IFERROR(INDEX(Positions!$E$2:$E$6912,MATCH($A805&amp;"|62",Positions!$A$2:$A$6912,0)),"-")</f>
        <v>C</v>
      </c>
      <c r="H805" s="3" t="str">
        <f aca="false">F805&amp;"-"&amp;G805</f>
        <v>G-C</v>
      </c>
      <c r="I805" s="4" t="n">
        <f aca="false">(F805="G")+(G805="G")</f>
        <v>1</v>
      </c>
      <c r="J805" s="4" t="n">
        <f aca="false">(F805="C")+(G805="C")</f>
        <v>1</v>
      </c>
      <c r="K805" s="3" t="n">
        <f aca="false">I805+J805</f>
        <v>2</v>
      </c>
    </row>
    <row r="806" customFormat="false" ht="15" hidden="false" customHeight="false" outlineLevel="0" collapsed="false">
      <c r="A806" s="4" t="s">
        <v>65</v>
      </c>
      <c r="B806" s="4" t="s">
        <v>471</v>
      </c>
      <c r="C806" s="4" t="s">
        <v>529</v>
      </c>
      <c r="D806" s="4" t="n">
        <f aca="false">IFERROR(INDEX(Positions!$D$2:$D$6912,MATCH($A806&amp;"|53",Positions!$A$2:$A$6912,0)),"-")</f>
        <v>52</v>
      </c>
      <c r="E806" s="4" t="n">
        <f aca="false">IFERROR(INDEX(Positions!$D$2:$D$6912,MATCH($A806&amp;"|61",Positions!$A$2:$A$6912,0)),"-")</f>
        <v>60</v>
      </c>
      <c r="F806" s="4" t="str">
        <f aca="false">IFERROR(INDEX(Positions!$E$2:$E$6912,MATCH($A806&amp;"|53",Positions!$A$2:$A$6912,0)),"-")</f>
        <v>G</v>
      </c>
      <c r="G806" s="4" t="str">
        <f aca="false">IFERROR(INDEX(Positions!$E$2:$E$6912,MATCH($A806&amp;"|61",Positions!$A$2:$A$6912,0)),"-")</f>
        <v>C</v>
      </c>
      <c r="H806" s="3" t="str">
        <f aca="false">F806&amp;"-"&amp;G806</f>
        <v>G-C</v>
      </c>
      <c r="I806" s="4" t="n">
        <f aca="false">(F806="G")+(G806="G")</f>
        <v>1</v>
      </c>
      <c r="J806" s="4" t="n">
        <f aca="false">(F806="C")+(G806="C")</f>
        <v>1</v>
      </c>
      <c r="K806" s="3" t="n">
        <f aca="false">I806+J806</f>
        <v>2</v>
      </c>
    </row>
    <row r="807" customFormat="false" ht="15" hidden="false" customHeight="false" outlineLevel="0" collapsed="false">
      <c r="A807" s="24" t="s">
        <v>65</v>
      </c>
      <c r="B807" s="24" t="s">
        <v>530</v>
      </c>
      <c r="C807" s="24" t="s">
        <v>531</v>
      </c>
      <c r="D807" s="24" t="n">
        <f aca="false">IFERROR(INDEX(Positions!$D$2:$D$6912,MATCH($A807&amp;"|8",Positions!$A$2:$A$6912,0)),"-")</f>
        <v>8</v>
      </c>
      <c r="E807" s="24" t="n">
        <f aca="false">IFERROR(INDEX(Positions!$D$2:$D$6912,MATCH($A807&amp;"|14",Positions!$A$2:$A$6912,0)),"-")</f>
        <v>14</v>
      </c>
      <c r="F807" s="24" t="str">
        <f aca="false">IFERROR(INDEX(Positions!$E$2:$E$6912,MATCH($A807&amp;"|8",Positions!$A$2:$A$6912,0)),"-")</f>
        <v>U</v>
      </c>
      <c r="G807" s="24" t="str">
        <f aca="false">IFERROR(INDEX(Positions!$E$2:$E$6912,MATCH($A807&amp;"|14",Positions!$A$2:$A$6912,0)),"-")</f>
        <v>A</v>
      </c>
      <c r="H807" s="25" t="str">
        <f aca="false">F807&amp;"-"&amp;G807</f>
        <v>U-A</v>
      </c>
      <c r="I807" s="24" t="n">
        <f aca="false">(F807="G")+(G807="G")</f>
        <v>0</v>
      </c>
      <c r="J807" s="24" t="n">
        <f aca="false">(F807="C")+(G807="C")</f>
        <v>0</v>
      </c>
      <c r="K807" s="25" t="n">
        <f aca="false">I807+J807</f>
        <v>0</v>
      </c>
    </row>
    <row r="808" customFormat="false" ht="15" hidden="false" customHeight="false" outlineLevel="0" collapsed="false">
      <c r="A808" s="24" t="s">
        <v>65</v>
      </c>
      <c r="B808" s="24" t="s">
        <v>530</v>
      </c>
      <c r="C808" s="24" t="s">
        <v>532</v>
      </c>
      <c r="D808" s="24" t="n">
        <f aca="false">IFERROR(INDEX(Positions!$D$2:$D$6912,MATCH($A808&amp;"|15",Positions!$A$2:$A$6912,0)),"-")</f>
        <v>15</v>
      </c>
      <c r="E808" s="24" t="n">
        <f aca="false">IFERROR(INDEX(Positions!$D$2:$D$6912,MATCH($A808&amp;"|48",Positions!$A$2:$A$6912,0)),"-")</f>
        <v>47</v>
      </c>
      <c r="F808" s="24" t="str">
        <f aca="false">IFERROR(INDEX(Positions!$E$2:$E$6912,MATCH($A808&amp;"|15",Positions!$A$2:$A$6912,0)),"-")</f>
        <v>G</v>
      </c>
      <c r="G808" s="24" t="str">
        <f aca="false">IFERROR(INDEX(Positions!$E$2:$E$6912,MATCH($A808&amp;"|48",Positions!$A$2:$A$6912,0)),"-")</f>
        <v>C</v>
      </c>
      <c r="H808" s="25" t="str">
        <f aca="false">F808&amp;"-"&amp;G808</f>
        <v>G-C</v>
      </c>
      <c r="I808" s="24" t="n">
        <f aca="false">(F808="G")+(G808="G")</f>
        <v>1</v>
      </c>
      <c r="J808" s="24" t="n">
        <f aca="false">(F808="C")+(G808="C")</f>
        <v>1</v>
      </c>
      <c r="K808" s="25" t="n">
        <f aca="false">I808+J808</f>
        <v>2</v>
      </c>
    </row>
    <row r="809" customFormat="false" ht="15" hidden="false" customHeight="false" outlineLevel="0" collapsed="false">
      <c r="A809" s="24" t="s">
        <v>65</v>
      </c>
      <c r="B809" s="24" t="s">
        <v>530</v>
      </c>
      <c r="C809" s="24" t="s">
        <v>533</v>
      </c>
      <c r="D809" s="24" t="n">
        <f aca="false">IFERROR(INDEX(Positions!$D$2:$D$6912,MATCH($A809&amp;"|18",Positions!$A$2:$A$6912,0)),"-")</f>
        <v>17</v>
      </c>
      <c r="E809" s="24" t="n">
        <f aca="false">IFERROR(INDEX(Positions!$D$2:$D$6912,MATCH($A809&amp;"|55",Positions!$A$2:$A$6912,0)),"-")</f>
        <v>54</v>
      </c>
      <c r="F809" s="24" t="str">
        <f aca="false">IFERROR(INDEX(Positions!$E$2:$E$6912,MATCH($A809&amp;"|18",Positions!$A$2:$A$6912,0)),"-")</f>
        <v>G</v>
      </c>
      <c r="G809" s="24" t="str">
        <f aca="false">IFERROR(INDEX(Positions!$E$2:$E$6912,MATCH($A809&amp;"|55",Positions!$A$2:$A$6912,0)),"-")</f>
        <v>U</v>
      </c>
      <c r="H809" s="25" t="str">
        <f aca="false">F809&amp;"-"&amp;G809</f>
        <v>G-U</v>
      </c>
      <c r="I809" s="24" t="n">
        <f aca="false">(F809="G")+(G809="G")</f>
        <v>1</v>
      </c>
      <c r="J809" s="24" t="n">
        <f aca="false">(F809="C")+(G809="C")</f>
        <v>0</v>
      </c>
      <c r="K809" s="25" t="n">
        <f aca="false">I809+J809</f>
        <v>1</v>
      </c>
    </row>
    <row r="810" customFormat="false" ht="15" hidden="false" customHeight="false" outlineLevel="0" collapsed="false">
      <c r="A810" s="24" t="s">
        <v>65</v>
      </c>
      <c r="B810" s="24" t="s">
        <v>530</v>
      </c>
      <c r="C810" s="24" t="s">
        <v>534</v>
      </c>
      <c r="D810" s="24" t="n">
        <f aca="false">IFERROR(INDEX(Positions!$D$2:$D$6912,MATCH($A810&amp;"|19",Positions!$A$2:$A$6912,0)),"-")</f>
        <v>18</v>
      </c>
      <c r="E810" s="24" t="n">
        <f aca="false">IFERROR(INDEX(Positions!$D$2:$D$6912,MATCH($A810&amp;"|56",Positions!$A$2:$A$6912,0)),"-")</f>
        <v>55</v>
      </c>
      <c r="F810" s="24" t="str">
        <f aca="false">IFERROR(INDEX(Positions!$E$2:$E$6912,MATCH($A810&amp;"|19",Positions!$A$2:$A$6912,0)),"-")</f>
        <v>G</v>
      </c>
      <c r="G810" s="24" t="str">
        <f aca="false">IFERROR(INDEX(Positions!$E$2:$E$6912,MATCH($A810&amp;"|56",Positions!$A$2:$A$6912,0)),"-")</f>
        <v>C</v>
      </c>
      <c r="H810" s="25" t="str">
        <f aca="false">F810&amp;"-"&amp;G810</f>
        <v>G-C</v>
      </c>
      <c r="I810" s="24" t="n">
        <f aca="false">(F810="G")+(G810="G")</f>
        <v>1</v>
      </c>
      <c r="J810" s="24" t="n">
        <f aca="false">(F810="C")+(G810="C")</f>
        <v>1</v>
      </c>
      <c r="K810" s="25" t="n">
        <f aca="false">I810+J810</f>
        <v>2</v>
      </c>
    </row>
    <row r="811" customFormat="false" ht="15" hidden="false" customHeight="false" outlineLevel="0" collapsed="false">
      <c r="A811" s="24" t="s">
        <v>65</v>
      </c>
      <c r="B811" s="24" t="s">
        <v>530</v>
      </c>
      <c r="C811" s="24" t="s">
        <v>535</v>
      </c>
      <c r="D811" s="24" t="n">
        <f aca="false">IFERROR(INDEX(Positions!$D$2:$D$6912,MATCH($A811&amp;"|26",Positions!$A$2:$A$6912,0)),"-")</f>
        <v>26</v>
      </c>
      <c r="E811" s="24" t="n">
        <f aca="false">IFERROR(INDEX(Positions!$D$2:$D$6912,MATCH($A811&amp;"|44",Positions!$A$2:$A$6912,0)),"-")</f>
        <v>44</v>
      </c>
      <c r="F811" s="24" t="str">
        <f aca="false">IFERROR(INDEX(Positions!$E$2:$E$6912,MATCH($A811&amp;"|26",Positions!$A$2:$A$6912,0)),"-")</f>
        <v>A</v>
      </c>
      <c r="G811" s="24" t="str">
        <f aca="false">IFERROR(INDEX(Positions!$E$2:$E$6912,MATCH($A811&amp;"|44",Positions!$A$2:$A$6912,0)),"-")</f>
        <v>A</v>
      </c>
      <c r="H811" s="25" t="str">
        <f aca="false">F811&amp;"-"&amp;G811</f>
        <v>A-A</v>
      </c>
      <c r="I811" s="24" t="n">
        <f aca="false">(F811="G")+(G811="G")</f>
        <v>0</v>
      </c>
      <c r="J811" s="24" t="n">
        <f aca="false">(F811="C")+(G811="C")</f>
        <v>0</v>
      </c>
      <c r="K811" s="25" t="n">
        <f aca="false">I811+J811</f>
        <v>0</v>
      </c>
    </row>
    <row r="812" customFormat="false" ht="15" hidden="false" customHeight="false" outlineLevel="0" collapsed="false">
      <c r="A812" s="24" t="s">
        <v>65</v>
      </c>
      <c r="B812" s="24" t="s">
        <v>530</v>
      </c>
      <c r="C812" s="24" t="s">
        <v>536</v>
      </c>
      <c r="D812" s="24" t="n">
        <f aca="false">IFERROR(INDEX(Positions!$D$2:$D$6912,MATCH($A812&amp;"|32",Positions!$A$2:$A$6912,0)),"-")</f>
        <v>32</v>
      </c>
      <c r="E812" s="24" t="n">
        <f aca="false">IFERROR(INDEX(Positions!$D$2:$D$6912,MATCH($A812&amp;"|38",Positions!$A$2:$A$6912,0)),"-")</f>
        <v>38</v>
      </c>
      <c r="F812" s="24" t="str">
        <f aca="false">IFERROR(INDEX(Positions!$E$2:$E$6912,MATCH($A812&amp;"|32",Positions!$A$2:$A$6912,0)),"-")</f>
        <v>C</v>
      </c>
      <c r="G812" s="24" t="str">
        <f aca="false">IFERROR(INDEX(Positions!$E$2:$E$6912,MATCH($A812&amp;"|38",Positions!$A$2:$A$6912,0)),"-")</f>
        <v>C</v>
      </c>
      <c r="H812" s="25" t="str">
        <f aca="false">F812&amp;"-"&amp;G812</f>
        <v>C-C</v>
      </c>
      <c r="I812" s="24" t="n">
        <f aca="false">(F812="G")+(G812="G")</f>
        <v>0</v>
      </c>
      <c r="J812" s="24" t="n">
        <f aca="false">(F812="C")+(G812="C")</f>
        <v>2</v>
      </c>
      <c r="K812" s="25" t="n">
        <f aca="false">I812+J812</f>
        <v>2</v>
      </c>
    </row>
    <row r="813" customFormat="false" ht="15" hidden="false" customHeight="false" outlineLevel="0" collapsed="false">
      <c r="A813" s="24" t="s">
        <v>65</v>
      </c>
      <c r="B813" s="24" t="s">
        <v>530</v>
      </c>
      <c r="C813" s="24" t="s">
        <v>537</v>
      </c>
      <c r="D813" s="24" t="n">
        <f aca="false">IFERROR(INDEX(Positions!$D$2:$D$6912,MATCH($A813&amp;"|54",Positions!$A$2:$A$6912,0)),"-")</f>
        <v>53</v>
      </c>
      <c r="E813" s="24" t="n">
        <f aca="false">IFERROR(INDEX(Positions!$D$2:$D$6912,MATCH($A813&amp;"|58",Positions!$A$2:$A$6912,0)),"-")</f>
        <v>57</v>
      </c>
      <c r="F813" s="24" t="str">
        <f aca="false">IFERROR(INDEX(Positions!$E$2:$E$6912,MATCH($A813&amp;"|54",Positions!$A$2:$A$6912,0)),"-")</f>
        <v>U</v>
      </c>
      <c r="G813" s="24" t="str">
        <f aca="false">IFERROR(INDEX(Positions!$E$2:$E$6912,MATCH($A813&amp;"|58",Positions!$A$2:$A$6912,0)),"-")</f>
        <v>A</v>
      </c>
      <c r="H813" s="25" t="str">
        <f aca="false">F813&amp;"-"&amp;G813</f>
        <v>U-A</v>
      </c>
      <c r="I813" s="24" t="n">
        <f aca="false">(F813="G")+(G813="G")</f>
        <v>0</v>
      </c>
      <c r="J813" s="24" t="n">
        <f aca="false">(F813="C")+(G813="C")</f>
        <v>0</v>
      </c>
      <c r="K813" s="25" t="n">
        <f aca="false">I813+J813</f>
        <v>0</v>
      </c>
    </row>
    <row r="814" customFormat="false" ht="15" hidden="false" customHeight="false" outlineLevel="0" collapsed="false">
      <c r="A814" s="4" t="s">
        <v>66</v>
      </c>
      <c r="B814" s="4" t="s">
        <v>412</v>
      </c>
      <c r="C814" s="4" t="s">
        <v>517</v>
      </c>
      <c r="D814" s="4" t="n">
        <f aca="false">IFERROR(INDEX(Positions!$D$2:$D$6912,MATCH($A814&amp;"|1",Positions!$A$2:$A$6912,0)),"-")</f>
        <v>1</v>
      </c>
      <c r="E814" s="4" t="n">
        <f aca="false">IFERROR(INDEX(Positions!$D$2:$D$6912,MATCH($A814&amp;"|72",Positions!$A$2:$A$6912,0)),"-")</f>
        <v>72</v>
      </c>
      <c r="F814" s="4" t="str">
        <f aca="false">IFERROR(INDEX(Positions!$E$2:$E$6912,MATCH($A814&amp;"|1",Positions!$A$2:$A$6912,0)),"-")</f>
        <v>G</v>
      </c>
      <c r="G814" s="4" t="str">
        <f aca="false">IFERROR(INDEX(Positions!$E$2:$E$6912,MATCH($A814&amp;"|72",Positions!$A$2:$A$6912,0)),"-")</f>
        <v>C</v>
      </c>
      <c r="H814" s="3" t="str">
        <f aca="false">F814&amp;"-"&amp;G814</f>
        <v>G-C</v>
      </c>
      <c r="I814" s="4" t="n">
        <f aca="false">(F814="G")+(G814="G")</f>
        <v>1</v>
      </c>
      <c r="J814" s="4" t="n">
        <f aca="false">(F814="C")+(G814="C")</f>
        <v>1</v>
      </c>
      <c r="K814" s="3" t="n">
        <f aca="false">I814+J814</f>
        <v>2</v>
      </c>
    </row>
    <row r="815" customFormat="false" ht="15" hidden="false" customHeight="false" outlineLevel="0" collapsed="false">
      <c r="A815" s="4" t="s">
        <v>66</v>
      </c>
      <c r="B815" s="4" t="s">
        <v>412</v>
      </c>
      <c r="C815" s="4" t="s">
        <v>518</v>
      </c>
      <c r="D815" s="4" t="n">
        <f aca="false">IFERROR(INDEX(Positions!$D$2:$D$6912,MATCH($A815&amp;"|2",Positions!$A$2:$A$6912,0)),"-")</f>
        <v>2</v>
      </c>
      <c r="E815" s="4" t="n">
        <f aca="false">IFERROR(INDEX(Positions!$D$2:$D$6912,MATCH($A815&amp;"|71",Positions!$A$2:$A$6912,0)),"-")</f>
        <v>71</v>
      </c>
      <c r="F815" s="4" t="str">
        <f aca="false">IFERROR(INDEX(Positions!$E$2:$E$6912,MATCH($A815&amp;"|2",Positions!$A$2:$A$6912,0)),"-")</f>
        <v>C</v>
      </c>
      <c r="G815" s="4" t="str">
        <f aca="false">IFERROR(INDEX(Positions!$E$2:$E$6912,MATCH($A815&amp;"|71",Positions!$A$2:$A$6912,0)),"-")</f>
        <v>G</v>
      </c>
      <c r="H815" s="3" t="str">
        <f aca="false">F815&amp;"-"&amp;G815</f>
        <v>C-G</v>
      </c>
      <c r="I815" s="4" t="n">
        <f aca="false">(F815="G")+(G815="G")</f>
        <v>1</v>
      </c>
      <c r="J815" s="4" t="n">
        <f aca="false">(F815="C")+(G815="C")</f>
        <v>1</v>
      </c>
      <c r="K815" s="3" t="n">
        <f aca="false">I815+J815</f>
        <v>2</v>
      </c>
    </row>
    <row r="816" customFormat="false" ht="15" hidden="false" customHeight="false" outlineLevel="0" collapsed="false">
      <c r="A816" s="4" t="s">
        <v>66</v>
      </c>
      <c r="B816" s="4" t="s">
        <v>412</v>
      </c>
      <c r="C816" s="4" t="s">
        <v>386</v>
      </c>
      <c r="D816" s="4" t="n">
        <f aca="false">IFERROR(INDEX(Positions!$D$2:$D$6912,MATCH($A816&amp;"|3",Positions!$A$2:$A$6912,0)),"-")</f>
        <v>3</v>
      </c>
      <c r="E816" s="4" t="n">
        <f aca="false">IFERROR(INDEX(Positions!$D$2:$D$6912,MATCH($A816&amp;"|70",Positions!$A$2:$A$6912,0)),"-")</f>
        <v>70</v>
      </c>
      <c r="F816" s="4" t="str">
        <f aca="false">IFERROR(INDEX(Positions!$E$2:$E$6912,MATCH($A816&amp;"|3",Positions!$A$2:$A$6912,0)),"-")</f>
        <v>A</v>
      </c>
      <c r="G816" s="4" t="str">
        <f aca="false">IFERROR(INDEX(Positions!$E$2:$E$6912,MATCH($A816&amp;"|70",Positions!$A$2:$A$6912,0)),"-")</f>
        <v>U</v>
      </c>
      <c r="H816" s="3" t="str">
        <f aca="false">F816&amp;"-"&amp;G816</f>
        <v>A-U</v>
      </c>
      <c r="I816" s="4" t="n">
        <f aca="false">(F816="G")+(G816="G")</f>
        <v>0</v>
      </c>
      <c r="J816" s="4" t="n">
        <f aca="false">(F816="C")+(G816="C")</f>
        <v>0</v>
      </c>
      <c r="K816" s="3" t="n">
        <f aca="false">I816+J816</f>
        <v>0</v>
      </c>
    </row>
    <row r="817" customFormat="false" ht="15" hidden="false" customHeight="false" outlineLevel="0" collapsed="false">
      <c r="A817" s="4" t="s">
        <v>66</v>
      </c>
      <c r="B817" s="4" t="s">
        <v>412</v>
      </c>
      <c r="C817" s="4" t="s">
        <v>519</v>
      </c>
      <c r="D817" s="4" t="n">
        <f aca="false">IFERROR(INDEX(Positions!$D$2:$D$6912,MATCH($A817&amp;"|4",Positions!$A$2:$A$6912,0)),"-")</f>
        <v>4</v>
      </c>
      <c r="E817" s="4" t="n">
        <f aca="false">IFERROR(INDEX(Positions!$D$2:$D$6912,MATCH($A817&amp;"|69",Positions!$A$2:$A$6912,0)),"-")</f>
        <v>69</v>
      </c>
      <c r="F817" s="4" t="str">
        <f aca="false">IFERROR(INDEX(Positions!$E$2:$E$6912,MATCH($A817&amp;"|4",Positions!$A$2:$A$6912,0)),"-")</f>
        <v>C</v>
      </c>
      <c r="G817" s="4" t="str">
        <f aca="false">IFERROR(INDEX(Positions!$E$2:$E$6912,MATCH($A817&amp;"|69",Positions!$A$2:$A$6912,0)),"-")</f>
        <v>G</v>
      </c>
      <c r="H817" s="3" t="str">
        <f aca="false">F817&amp;"-"&amp;G817</f>
        <v>C-G</v>
      </c>
      <c r="I817" s="4" t="n">
        <f aca="false">(F817="G")+(G817="G")</f>
        <v>1</v>
      </c>
      <c r="J817" s="4" t="n">
        <f aca="false">(F817="C")+(G817="C")</f>
        <v>1</v>
      </c>
      <c r="K817" s="3" t="n">
        <f aca="false">I817+J817</f>
        <v>2</v>
      </c>
    </row>
    <row r="818" customFormat="false" ht="15" hidden="false" customHeight="false" outlineLevel="0" collapsed="false">
      <c r="A818" s="4" t="s">
        <v>66</v>
      </c>
      <c r="B818" s="4" t="s">
        <v>412</v>
      </c>
      <c r="C818" s="4" t="s">
        <v>283</v>
      </c>
      <c r="D818" s="4" t="n">
        <f aca="false">IFERROR(INDEX(Positions!$D$2:$D$6912,MATCH($A818&amp;"|5",Positions!$A$2:$A$6912,0)),"-")</f>
        <v>5</v>
      </c>
      <c r="E818" s="4" t="n">
        <f aca="false">IFERROR(INDEX(Positions!$D$2:$D$6912,MATCH($A818&amp;"|68",Positions!$A$2:$A$6912,0)),"-")</f>
        <v>68</v>
      </c>
      <c r="F818" s="4" t="str">
        <f aca="false">IFERROR(INDEX(Positions!$E$2:$E$6912,MATCH($A818&amp;"|5",Positions!$A$2:$A$6912,0)),"-")</f>
        <v>U</v>
      </c>
      <c r="G818" s="4" t="str">
        <f aca="false">IFERROR(INDEX(Positions!$E$2:$E$6912,MATCH($A818&amp;"|68",Positions!$A$2:$A$6912,0)),"-")</f>
        <v>A</v>
      </c>
      <c r="H818" s="3" t="str">
        <f aca="false">F818&amp;"-"&amp;G818</f>
        <v>U-A</v>
      </c>
      <c r="I818" s="4" t="n">
        <f aca="false">(F818="G")+(G818="G")</f>
        <v>0</v>
      </c>
      <c r="J818" s="4" t="n">
        <f aca="false">(F818="C")+(G818="C")</f>
        <v>0</v>
      </c>
      <c r="K818" s="3" t="n">
        <f aca="false">I818+J818</f>
        <v>0</v>
      </c>
    </row>
    <row r="819" customFormat="false" ht="15" hidden="false" customHeight="false" outlineLevel="0" collapsed="false">
      <c r="A819" s="4" t="s">
        <v>66</v>
      </c>
      <c r="B819" s="4" t="s">
        <v>412</v>
      </c>
      <c r="C819" s="4" t="s">
        <v>520</v>
      </c>
      <c r="D819" s="4" t="n">
        <f aca="false">IFERROR(INDEX(Positions!$D$2:$D$6912,MATCH($A819&amp;"|6",Positions!$A$2:$A$6912,0)),"-")</f>
        <v>6</v>
      </c>
      <c r="E819" s="4" t="n">
        <f aca="false">IFERROR(INDEX(Positions!$D$2:$D$6912,MATCH($A819&amp;"|67",Positions!$A$2:$A$6912,0)),"-")</f>
        <v>67</v>
      </c>
      <c r="F819" s="4" t="str">
        <f aca="false">IFERROR(INDEX(Positions!$E$2:$E$6912,MATCH($A819&amp;"|6",Positions!$A$2:$A$6912,0)),"-")</f>
        <v>U</v>
      </c>
      <c r="G819" s="4" t="str">
        <f aca="false">IFERROR(INDEX(Positions!$E$2:$E$6912,MATCH($A819&amp;"|67",Positions!$A$2:$A$6912,0)),"-")</f>
        <v>G</v>
      </c>
      <c r="H819" s="3" t="str">
        <f aca="false">F819&amp;"-"&amp;G819</f>
        <v>U-G</v>
      </c>
      <c r="I819" s="4" t="n">
        <f aca="false">(F819="G")+(G819="G")</f>
        <v>1</v>
      </c>
      <c r="J819" s="4" t="n">
        <f aca="false">(F819="C")+(G819="C")</f>
        <v>0</v>
      </c>
      <c r="K819" s="3" t="n">
        <f aca="false">I819+J819</f>
        <v>1</v>
      </c>
    </row>
    <row r="820" customFormat="false" ht="15" hidden="false" customHeight="false" outlineLevel="0" collapsed="false">
      <c r="A820" s="4" t="s">
        <v>66</v>
      </c>
      <c r="B820" s="4" t="s">
        <v>412</v>
      </c>
      <c r="C820" s="4" t="s">
        <v>521</v>
      </c>
      <c r="D820" s="4" t="n">
        <f aca="false">IFERROR(INDEX(Positions!$D$2:$D$6912,MATCH($A820&amp;"|7",Positions!$A$2:$A$6912,0)),"-")</f>
        <v>7</v>
      </c>
      <c r="E820" s="4" t="n">
        <f aca="false">IFERROR(INDEX(Positions!$D$2:$D$6912,MATCH($A820&amp;"|66",Positions!$A$2:$A$6912,0)),"-")</f>
        <v>66</v>
      </c>
      <c r="F820" s="4" t="str">
        <f aca="false">IFERROR(INDEX(Positions!$E$2:$E$6912,MATCH($A820&amp;"|7",Positions!$A$2:$A$6912,0)),"-")</f>
        <v>C</v>
      </c>
      <c r="G820" s="4" t="str">
        <f aca="false">IFERROR(INDEX(Positions!$E$2:$E$6912,MATCH($A820&amp;"|66",Positions!$A$2:$A$6912,0)),"-")</f>
        <v>G</v>
      </c>
      <c r="H820" s="3" t="str">
        <f aca="false">F820&amp;"-"&amp;G820</f>
        <v>C-G</v>
      </c>
      <c r="I820" s="4" t="n">
        <f aca="false">(F820="G")+(G820="G")</f>
        <v>1</v>
      </c>
      <c r="J820" s="4" t="n">
        <f aca="false">(F820="C")+(G820="C")</f>
        <v>1</v>
      </c>
      <c r="K820" s="3" t="n">
        <f aca="false">I820+J820</f>
        <v>2</v>
      </c>
    </row>
    <row r="821" customFormat="false" ht="15" hidden="false" customHeight="false" outlineLevel="0" collapsed="false">
      <c r="A821" s="4" t="s">
        <v>66</v>
      </c>
      <c r="B821" s="4" t="s">
        <v>425</v>
      </c>
      <c r="C821" s="4" t="s">
        <v>522</v>
      </c>
      <c r="D821" s="4" t="n">
        <f aca="false">IFERROR(INDEX(Positions!$D$2:$D$6912,MATCH($A821&amp;"|10",Positions!$A$2:$A$6912,0)),"-")</f>
        <v>10</v>
      </c>
      <c r="E821" s="4" t="n">
        <f aca="false">IFERROR(INDEX(Positions!$D$2:$D$6912,MATCH($A821&amp;"|25",Positions!$A$2:$A$6912,0)),"-")</f>
        <v>25</v>
      </c>
      <c r="F821" s="4" t="str">
        <f aca="false">IFERROR(INDEX(Positions!$E$2:$E$6912,MATCH($A821&amp;"|10",Positions!$A$2:$A$6912,0)),"-")</f>
        <v>G</v>
      </c>
      <c r="G821" s="4" t="str">
        <f aca="false">IFERROR(INDEX(Positions!$E$2:$E$6912,MATCH($A821&amp;"|25",Positions!$A$2:$A$6912,0)),"-")</f>
        <v>C</v>
      </c>
      <c r="H821" s="3" t="str">
        <f aca="false">F821&amp;"-"&amp;G821</f>
        <v>G-C</v>
      </c>
      <c r="I821" s="4" t="n">
        <f aca="false">(F821="G")+(G821="G")</f>
        <v>1</v>
      </c>
      <c r="J821" s="4" t="n">
        <f aca="false">(F821="C")+(G821="C")</f>
        <v>1</v>
      </c>
      <c r="K821" s="3" t="n">
        <f aca="false">I821+J821</f>
        <v>2</v>
      </c>
    </row>
    <row r="822" customFormat="false" ht="15" hidden="false" customHeight="false" outlineLevel="0" collapsed="false">
      <c r="A822" s="4" t="s">
        <v>66</v>
      </c>
      <c r="B822" s="4" t="s">
        <v>425</v>
      </c>
      <c r="C822" s="4" t="s">
        <v>523</v>
      </c>
      <c r="D822" s="4" t="n">
        <f aca="false">IFERROR(INDEX(Positions!$D$2:$D$6912,MATCH($A822&amp;"|11",Positions!$A$2:$A$6912,0)),"-")</f>
        <v>11</v>
      </c>
      <c r="E822" s="4" t="n">
        <f aca="false">IFERROR(INDEX(Positions!$D$2:$D$6912,MATCH($A822&amp;"|24",Positions!$A$2:$A$6912,0)),"-")</f>
        <v>24</v>
      </c>
      <c r="F822" s="4" t="str">
        <f aca="false">IFERROR(INDEX(Positions!$E$2:$E$6912,MATCH($A822&amp;"|11",Positions!$A$2:$A$6912,0)),"-")</f>
        <v>C</v>
      </c>
      <c r="G822" s="4" t="str">
        <f aca="false">IFERROR(INDEX(Positions!$E$2:$E$6912,MATCH($A822&amp;"|24",Positions!$A$2:$A$6912,0)),"-")</f>
        <v>G</v>
      </c>
      <c r="H822" s="3" t="str">
        <f aca="false">F822&amp;"-"&amp;G822</f>
        <v>C-G</v>
      </c>
      <c r="I822" s="4" t="n">
        <f aca="false">(F822="G")+(G822="G")</f>
        <v>1</v>
      </c>
      <c r="J822" s="4" t="n">
        <f aca="false">(F822="C")+(G822="C")</f>
        <v>1</v>
      </c>
      <c r="K822" s="3" t="n">
        <f aca="false">I822+J822</f>
        <v>2</v>
      </c>
    </row>
    <row r="823" customFormat="false" ht="15" hidden="false" customHeight="false" outlineLevel="0" collapsed="false">
      <c r="A823" s="4" t="s">
        <v>66</v>
      </c>
      <c r="B823" s="4" t="s">
        <v>425</v>
      </c>
      <c r="C823" s="4" t="s">
        <v>250</v>
      </c>
      <c r="D823" s="4" t="n">
        <f aca="false">IFERROR(INDEX(Positions!$D$2:$D$6912,MATCH($A823&amp;"|12",Positions!$A$2:$A$6912,0)),"-")</f>
        <v>12</v>
      </c>
      <c r="E823" s="4" t="n">
        <f aca="false">IFERROR(INDEX(Positions!$D$2:$D$6912,MATCH($A823&amp;"|23",Positions!$A$2:$A$6912,0)),"-")</f>
        <v>23</v>
      </c>
      <c r="F823" s="4" t="str">
        <f aca="false">IFERROR(INDEX(Positions!$E$2:$E$6912,MATCH($A823&amp;"|12",Positions!$A$2:$A$6912,0)),"-")</f>
        <v>U</v>
      </c>
      <c r="G823" s="4" t="str">
        <f aca="false">IFERROR(INDEX(Positions!$E$2:$E$6912,MATCH($A823&amp;"|23",Positions!$A$2:$A$6912,0)),"-")</f>
        <v>A</v>
      </c>
      <c r="H823" s="3" t="str">
        <f aca="false">F823&amp;"-"&amp;G823</f>
        <v>U-A</v>
      </c>
      <c r="I823" s="4" t="n">
        <f aca="false">(F823="G")+(G823="G")</f>
        <v>0</v>
      </c>
      <c r="J823" s="4" t="n">
        <f aca="false">(F823="C")+(G823="C")</f>
        <v>0</v>
      </c>
      <c r="K823" s="3" t="n">
        <f aca="false">I823+J823</f>
        <v>0</v>
      </c>
    </row>
    <row r="824" customFormat="false" ht="15" hidden="false" customHeight="false" outlineLevel="0" collapsed="false">
      <c r="A824" s="4" t="s">
        <v>66</v>
      </c>
      <c r="B824" s="4" t="s">
        <v>425</v>
      </c>
      <c r="C824" s="4" t="s">
        <v>154</v>
      </c>
      <c r="D824" s="4" t="n">
        <f aca="false">IFERROR(INDEX(Positions!$D$2:$D$6912,MATCH($A824&amp;"|13",Positions!$A$2:$A$6912,0)),"-")</f>
        <v>13</v>
      </c>
      <c r="E824" s="4" t="n">
        <f aca="false">IFERROR(INDEX(Positions!$D$2:$D$6912,MATCH($A824&amp;"|22",Positions!$A$2:$A$6912,0)),"-")</f>
        <v>22</v>
      </c>
      <c r="F824" s="4" t="str">
        <f aca="false">IFERROR(INDEX(Positions!$E$2:$E$6912,MATCH($A824&amp;"|13",Positions!$A$2:$A$6912,0)),"-")</f>
        <v>C</v>
      </c>
      <c r="G824" s="4" t="str">
        <f aca="false">IFERROR(INDEX(Positions!$E$2:$E$6912,MATCH($A824&amp;"|22",Positions!$A$2:$A$6912,0)),"-")</f>
        <v>G</v>
      </c>
      <c r="H824" s="3" t="str">
        <f aca="false">F824&amp;"-"&amp;G824</f>
        <v>C-G</v>
      </c>
      <c r="I824" s="4" t="n">
        <f aca="false">(F824="G")+(G824="G")</f>
        <v>1</v>
      </c>
      <c r="J824" s="4" t="n">
        <f aca="false">(F824="C")+(G824="C")</f>
        <v>1</v>
      </c>
      <c r="K824" s="3" t="n">
        <f aca="false">I824+J824</f>
        <v>2</v>
      </c>
    </row>
    <row r="825" customFormat="false" ht="15" hidden="false" customHeight="false" outlineLevel="0" collapsed="false">
      <c r="A825" s="4" t="s">
        <v>66</v>
      </c>
      <c r="B825" s="4" t="s">
        <v>446</v>
      </c>
      <c r="C825" s="4" t="s">
        <v>524</v>
      </c>
      <c r="D825" s="4" t="n">
        <f aca="false">IFERROR(INDEX(Positions!$D$2:$D$6912,MATCH($A825&amp;"|27",Positions!$A$2:$A$6912,0)),"-")</f>
        <v>27</v>
      </c>
      <c r="E825" s="4" t="n">
        <f aca="false">IFERROR(INDEX(Positions!$D$2:$D$6912,MATCH($A825&amp;"|43",Positions!$A$2:$A$6912,0)),"-")</f>
        <v>43</v>
      </c>
      <c r="F825" s="4" t="str">
        <f aca="false">IFERROR(INDEX(Positions!$E$2:$E$6912,MATCH($A825&amp;"|27",Positions!$A$2:$A$6912,0)),"-")</f>
        <v>C</v>
      </c>
      <c r="G825" s="4" t="str">
        <f aca="false">IFERROR(INDEX(Positions!$E$2:$E$6912,MATCH($A825&amp;"|43",Positions!$A$2:$A$6912,0)),"-")</f>
        <v>G</v>
      </c>
      <c r="H825" s="3" t="str">
        <f aca="false">F825&amp;"-"&amp;G825</f>
        <v>C-G</v>
      </c>
      <c r="I825" s="4" t="n">
        <f aca="false">(F825="G")+(G825="G")</f>
        <v>1</v>
      </c>
      <c r="J825" s="4" t="n">
        <f aca="false">(F825="C")+(G825="C")</f>
        <v>1</v>
      </c>
      <c r="K825" s="3" t="n">
        <f aca="false">I825+J825</f>
        <v>2</v>
      </c>
    </row>
    <row r="826" customFormat="false" ht="15" hidden="false" customHeight="false" outlineLevel="0" collapsed="false">
      <c r="A826" s="4" t="s">
        <v>66</v>
      </c>
      <c r="B826" s="4" t="s">
        <v>446</v>
      </c>
      <c r="C826" s="4" t="s">
        <v>525</v>
      </c>
      <c r="D826" s="4" t="n">
        <f aca="false">IFERROR(INDEX(Positions!$D$2:$D$6912,MATCH($A826&amp;"|28",Positions!$A$2:$A$6912,0)),"-")</f>
        <v>28</v>
      </c>
      <c r="E826" s="4" t="n">
        <f aca="false">IFERROR(INDEX(Positions!$D$2:$D$6912,MATCH($A826&amp;"|42",Positions!$A$2:$A$6912,0)),"-")</f>
        <v>42</v>
      </c>
      <c r="F826" s="4" t="str">
        <f aca="false">IFERROR(INDEX(Positions!$E$2:$E$6912,MATCH($A826&amp;"|28",Positions!$A$2:$A$6912,0)),"-")</f>
        <v>G</v>
      </c>
      <c r="G826" s="4" t="str">
        <f aca="false">IFERROR(INDEX(Positions!$E$2:$E$6912,MATCH($A826&amp;"|42",Positions!$A$2:$A$6912,0)),"-")</f>
        <v>C</v>
      </c>
      <c r="H826" s="3" t="str">
        <f aca="false">F826&amp;"-"&amp;G826</f>
        <v>G-C</v>
      </c>
      <c r="I826" s="4" t="n">
        <f aca="false">(F826="G")+(G826="G")</f>
        <v>1</v>
      </c>
      <c r="J826" s="4" t="n">
        <f aca="false">(F826="C")+(G826="C")</f>
        <v>1</v>
      </c>
      <c r="K826" s="3" t="n">
        <f aca="false">I826+J826</f>
        <v>2</v>
      </c>
    </row>
    <row r="827" customFormat="false" ht="15" hidden="false" customHeight="false" outlineLevel="0" collapsed="false">
      <c r="A827" s="4" t="s">
        <v>66</v>
      </c>
      <c r="B827" s="4" t="s">
        <v>446</v>
      </c>
      <c r="C827" s="4" t="s">
        <v>256</v>
      </c>
      <c r="D827" s="4" t="n">
        <f aca="false">IFERROR(INDEX(Positions!$D$2:$D$6912,MATCH($A827&amp;"|29",Positions!$A$2:$A$6912,0)),"-")</f>
        <v>29</v>
      </c>
      <c r="E827" s="4" t="n">
        <f aca="false">IFERROR(INDEX(Positions!$D$2:$D$6912,MATCH($A827&amp;"|41",Positions!$A$2:$A$6912,0)),"-")</f>
        <v>41</v>
      </c>
      <c r="F827" s="4" t="str">
        <f aca="false">IFERROR(INDEX(Positions!$E$2:$E$6912,MATCH($A827&amp;"|29",Positions!$A$2:$A$6912,0)),"-")</f>
        <v>U</v>
      </c>
      <c r="G827" s="4" t="str">
        <f aca="false">IFERROR(INDEX(Positions!$E$2:$E$6912,MATCH($A827&amp;"|41",Positions!$A$2:$A$6912,0)),"-")</f>
        <v>U</v>
      </c>
      <c r="H827" s="3" t="str">
        <f aca="false">F827&amp;"-"&amp;G827</f>
        <v>U-U</v>
      </c>
      <c r="I827" s="4" t="n">
        <f aca="false">(F827="G")+(G827="G")</f>
        <v>0</v>
      </c>
      <c r="J827" s="4" t="n">
        <f aca="false">(F827="C")+(G827="C")</f>
        <v>0</v>
      </c>
      <c r="K827" s="3" t="n">
        <f aca="false">I827+J827</f>
        <v>0</v>
      </c>
    </row>
    <row r="828" customFormat="false" ht="15" hidden="false" customHeight="false" outlineLevel="0" collapsed="false">
      <c r="A828" s="4" t="s">
        <v>66</v>
      </c>
      <c r="B828" s="4" t="s">
        <v>446</v>
      </c>
      <c r="C828" s="4" t="s">
        <v>526</v>
      </c>
      <c r="D828" s="4" t="n">
        <f aca="false">IFERROR(INDEX(Positions!$D$2:$D$6912,MATCH($A828&amp;"|30",Positions!$A$2:$A$6912,0)),"-")</f>
        <v>30</v>
      </c>
      <c r="E828" s="4" t="n">
        <f aca="false">IFERROR(INDEX(Positions!$D$2:$D$6912,MATCH($A828&amp;"|40",Positions!$A$2:$A$6912,0)),"-")</f>
        <v>40</v>
      </c>
      <c r="F828" s="4" t="str">
        <f aca="false">IFERROR(INDEX(Positions!$E$2:$E$6912,MATCH($A828&amp;"|30",Positions!$A$2:$A$6912,0)),"-")</f>
        <v>G</v>
      </c>
      <c r="G828" s="4" t="str">
        <f aca="false">IFERROR(INDEX(Positions!$E$2:$E$6912,MATCH($A828&amp;"|40",Positions!$A$2:$A$6912,0)),"-")</f>
        <v>C</v>
      </c>
      <c r="H828" s="3" t="str">
        <f aca="false">F828&amp;"-"&amp;G828</f>
        <v>G-C</v>
      </c>
      <c r="I828" s="4" t="n">
        <f aca="false">(F828="G")+(G828="G")</f>
        <v>1</v>
      </c>
      <c r="J828" s="4" t="n">
        <f aca="false">(F828="C")+(G828="C")</f>
        <v>1</v>
      </c>
      <c r="K828" s="3" t="n">
        <f aca="false">I828+J828</f>
        <v>2</v>
      </c>
    </row>
    <row r="829" customFormat="false" ht="15" hidden="false" customHeight="false" outlineLevel="0" collapsed="false">
      <c r="A829" s="4" t="s">
        <v>66</v>
      </c>
      <c r="B829" s="4" t="s">
        <v>446</v>
      </c>
      <c r="C829" s="4" t="s">
        <v>273</v>
      </c>
      <c r="D829" s="4" t="n">
        <f aca="false">IFERROR(INDEX(Positions!$D$2:$D$6912,MATCH($A829&amp;"|31",Positions!$A$2:$A$6912,0)),"-")</f>
        <v>31</v>
      </c>
      <c r="E829" s="4" t="n">
        <f aca="false">IFERROR(INDEX(Positions!$D$2:$D$6912,MATCH($A829&amp;"|39",Positions!$A$2:$A$6912,0)),"-")</f>
        <v>39</v>
      </c>
      <c r="F829" s="4" t="str">
        <f aca="false">IFERROR(INDEX(Positions!$E$2:$E$6912,MATCH($A829&amp;"|31",Positions!$A$2:$A$6912,0)),"-")</f>
        <v>G</v>
      </c>
      <c r="G829" s="4" t="str">
        <f aca="false">IFERROR(INDEX(Positions!$E$2:$E$6912,MATCH($A829&amp;"|39",Positions!$A$2:$A$6912,0)),"-")</f>
        <v>C</v>
      </c>
      <c r="H829" s="3" t="str">
        <f aca="false">F829&amp;"-"&amp;G829</f>
        <v>G-C</v>
      </c>
      <c r="I829" s="4" t="n">
        <f aca="false">(F829="G")+(G829="G")</f>
        <v>1</v>
      </c>
      <c r="J829" s="4" t="n">
        <f aca="false">(F829="C")+(G829="C")</f>
        <v>1</v>
      </c>
      <c r="K829" s="3" t="n">
        <f aca="false">I829+J829</f>
        <v>2</v>
      </c>
    </row>
    <row r="830" customFormat="false" ht="15" hidden="false" customHeight="false" outlineLevel="0" collapsed="false">
      <c r="A830" s="4" t="s">
        <v>66</v>
      </c>
      <c r="B830" s="4" t="s">
        <v>471</v>
      </c>
      <c r="C830" s="4" t="s">
        <v>367</v>
      </c>
      <c r="D830" s="4" t="n">
        <f aca="false">IFERROR(INDEX(Positions!$D$2:$D$6912,MATCH($A830&amp;"|49",Positions!$A$2:$A$6912,0)),"-")</f>
        <v>49</v>
      </c>
      <c r="E830" s="4" t="n">
        <f aca="false">IFERROR(INDEX(Positions!$D$2:$D$6912,MATCH($A830&amp;"|65",Positions!$A$2:$A$6912,0)),"-")</f>
        <v>65</v>
      </c>
      <c r="F830" s="4" t="str">
        <f aca="false">IFERROR(INDEX(Positions!$E$2:$E$6912,MATCH($A830&amp;"|49",Positions!$A$2:$A$6912,0)),"-")</f>
        <v>G</v>
      </c>
      <c r="G830" s="4" t="str">
        <f aca="false">IFERROR(INDEX(Positions!$E$2:$E$6912,MATCH($A830&amp;"|65",Positions!$A$2:$A$6912,0)),"-")</f>
        <v>C</v>
      </c>
      <c r="H830" s="3" t="str">
        <f aca="false">F830&amp;"-"&amp;G830</f>
        <v>G-C</v>
      </c>
      <c r="I830" s="4" t="n">
        <f aca="false">(F830="G")+(G830="G")</f>
        <v>1</v>
      </c>
      <c r="J830" s="4" t="n">
        <f aca="false">(F830="C")+(G830="C")</f>
        <v>1</v>
      </c>
      <c r="K830" s="3" t="n">
        <f aca="false">I830+J830</f>
        <v>2</v>
      </c>
    </row>
    <row r="831" customFormat="false" ht="15" hidden="false" customHeight="false" outlineLevel="0" collapsed="false">
      <c r="A831" s="4" t="s">
        <v>66</v>
      </c>
      <c r="B831" s="4" t="s">
        <v>471</v>
      </c>
      <c r="C831" s="4" t="s">
        <v>233</v>
      </c>
      <c r="D831" s="4" t="n">
        <f aca="false">IFERROR(INDEX(Positions!$D$2:$D$6912,MATCH($A831&amp;"|50",Positions!$A$2:$A$6912,0)),"-")</f>
        <v>50</v>
      </c>
      <c r="E831" s="4" t="n">
        <f aca="false">IFERROR(INDEX(Positions!$D$2:$D$6912,MATCH($A831&amp;"|64",Positions!$A$2:$A$6912,0)),"-")</f>
        <v>64</v>
      </c>
      <c r="F831" s="4" t="str">
        <f aca="false">IFERROR(INDEX(Positions!$E$2:$E$6912,MATCH($A831&amp;"|50",Positions!$A$2:$A$6912,0)),"-")</f>
        <v>U</v>
      </c>
      <c r="G831" s="4" t="str">
        <f aca="false">IFERROR(INDEX(Positions!$E$2:$E$6912,MATCH($A831&amp;"|64",Positions!$A$2:$A$6912,0)),"-")</f>
        <v>A</v>
      </c>
      <c r="H831" s="3" t="str">
        <f aca="false">F831&amp;"-"&amp;G831</f>
        <v>U-A</v>
      </c>
      <c r="I831" s="4" t="n">
        <f aca="false">(F831="G")+(G831="G")</f>
        <v>0</v>
      </c>
      <c r="J831" s="4" t="n">
        <f aca="false">(F831="C")+(G831="C")</f>
        <v>0</v>
      </c>
      <c r="K831" s="3" t="n">
        <f aca="false">I831+J831</f>
        <v>0</v>
      </c>
    </row>
    <row r="832" customFormat="false" ht="15" hidden="false" customHeight="false" outlineLevel="0" collapsed="false">
      <c r="A832" s="4" t="s">
        <v>66</v>
      </c>
      <c r="B832" s="4" t="s">
        <v>471</v>
      </c>
      <c r="C832" s="4" t="s">
        <v>527</v>
      </c>
      <c r="D832" s="4" t="n">
        <f aca="false">IFERROR(INDEX(Positions!$D$2:$D$6912,MATCH($A832&amp;"|51",Positions!$A$2:$A$6912,0)),"-")</f>
        <v>51</v>
      </c>
      <c r="E832" s="4" t="n">
        <f aca="false">IFERROR(INDEX(Positions!$D$2:$D$6912,MATCH($A832&amp;"|63",Positions!$A$2:$A$6912,0)),"-")</f>
        <v>63</v>
      </c>
      <c r="F832" s="4" t="str">
        <f aca="false">IFERROR(INDEX(Positions!$E$2:$E$6912,MATCH($A832&amp;"|51",Positions!$A$2:$A$6912,0)),"-")</f>
        <v>G</v>
      </c>
      <c r="G832" s="4" t="str">
        <f aca="false">IFERROR(INDEX(Positions!$E$2:$E$6912,MATCH($A832&amp;"|63",Positions!$A$2:$A$6912,0)),"-")</f>
        <v>C</v>
      </c>
      <c r="H832" s="3" t="str">
        <f aca="false">F832&amp;"-"&amp;G832</f>
        <v>G-C</v>
      </c>
      <c r="I832" s="4" t="n">
        <f aca="false">(F832="G")+(G832="G")</f>
        <v>1</v>
      </c>
      <c r="J832" s="4" t="n">
        <f aca="false">(F832="C")+(G832="C")</f>
        <v>1</v>
      </c>
      <c r="K832" s="3" t="n">
        <f aca="false">I832+J832</f>
        <v>2</v>
      </c>
    </row>
    <row r="833" customFormat="false" ht="15" hidden="false" customHeight="false" outlineLevel="0" collapsed="false">
      <c r="A833" s="4" t="s">
        <v>66</v>
      </c>
      <c r="B833" s="4" t="s">
        <v>471</v>
      </c>
      <c r="C833" s="4" t="s">
        <v>528</v>
      </c>
      <c r="D833" s="4" t="n">
        <f aca="false">IFERROR(INDEX(Positions!$D$2:$D$6912,MATCH($A833&amp;"|52",Positions!$A$2:$A$6912,0)),"-")</f>
        <v>52</v>
      </c>
      <c r="E833" s="4" t="n">
        <f aca="false">IFERROR(INDEX(Positions!$D$2:$D$6912,MATCH($A833&amp;"|62",Positions!$A$2:$A$6912,0)),"-")</f>
        <v>62</v>
      </c>
      <c r="F833" s="4" t="str">
        <f aca="false">IFERROR(INDEX(Positions!$E$2:$E$6912,MATCH($A833&amp;"|52",Positions!$A$2:$A$6912,0)),"-")</f>
        <v>G</v>
      </c>
      <c r="G833" s="4" t="str">
        <f aca="false">IFERROR(INDEX(Positions!$E$2:$E$6912,MATCH($A833&amp;"|62",Positions!$A$2:$A$6912,0)),"-")</f>
        <v>C</v>
      </c>
      <c r="H833" s="3" t="str">
        <f aca="false">F833&amp;"-"&amp;G833</f>
        <v>G-C</v>
      </c>
      <c r="I833" s="4" t="n">
        <f aca="false">(F833="G")+(G833="G")</f>
        <v>1</v>
      </c>
      <c r="J833" s="4" t="n">
        <f aca="false">(F833="C")+(G833="C")</f>
        <v>1</v>
      </c>
      <c r="K833" s="3" t="n">
        <f aca="false">I833+J833</f>
        <v>2</v>
      </c>
    </row>
    <row r="834" customFormat="false" ht="15" hidden="false" customHeight="false" outlineLevel="0" collapsed="false">
      <c r="A834" s="4" t="s">
        <v>66</v>
      </c>
      <c r="B834" s="4" t="s">
        <v>471</v>
      </c>
      <c r="C834" s="4" t="s">
        <v>529</v>
      </c>
      <c r="D834" s="4" t="n">
        <f aca="false">IFERROR(INDEX(Positions!$D$2:$D$6912,MATCH($A834&amp;"|53",Positions!$A$2:$A$6912,0)),"-")</f>
        <v>53</v>
      </c>
      <c r="E834" s="4" t="n">
        <f aca="false">IFERROR(INDEX(Positions!$D$2:$D$6912,MATCH($A834&amp;"|61",Positions!$A$2:$A$6912,0)),"-")</f>
        <v>61</v>
      </c>
      <c r="F834" s="4" t="str">
        <f aca="false">IFERROR(INDEX(Positions!$E$2:$E$6912,MATCH($A834&amp;"|53",Positions!$A$2:$A$6912,0)),"-")</f>
        <v>G</v>
      </c>
      <c r="G834" s="4" t="str">
        <f aca="false">IFERROR(INDEX(Positions!$E$2:$E$6912,MATCH($A834&amp;"|61",Positions!$A$2:$A$6912,0)),"-")</f>
        <v>C</v>
      </c>
      <c r="H834" s="3" t="str">
        <f aca="false">F834&amp;"-"&amp;G834</f>
        <v>G-C</v>
      </c>
      <c r="I834" s="4" t="n">
        <f aca="false">(F834="G")+(G834="G")</f>
        <v>1</v>
      </c>
      <c r="J834" s="4" t="n">
        <f aca="false">(F834="C")+(G834="C")</f>
        <v>1</v>
      </c>
      <c r="K834" s="3" t="n">
        <f aca="false">I834+J834</f>
        <v>2</v>
      </c>
    </row>
    <row r="835" customFormat="false" ht="15" hidden="false" customHeight="false" outlineLevel="0" collapsed="false">
      <c r="A835" s="24" t="s">
        <v>66</v>
      </c>
      <c r="B835" s="24" t="s">
        <v>530</v>
      </c>
      <c r="C835" s="24" t="s">
        <v>531</v>
      </c>
      <c r="D835" s="24" t="n">
        <f aca="false">IFERROR(INDEX(Positions!$D$2:$D$6912,MATCH($A835&amp;"|8",Positions!$A$2:$A$6912,0)),"-")</f>
        <v>8</v>
      </c>
      <c r="E835" s="24" t="n">
        <f aca="false">IFERROR(INDEX(Positions!$D$2:$D$6912,MATCH($A835&amp;"|14",Positions!$A$2:$A$6912,0)),"-")</f>
        <v>14</v>
      </c>
      <c r="F835" s="24" t="str">
        <f aca="false">IFERROR(INDEX(Positions!$E$2:$E$6912,MATCH($A835&amp;"|8",Positions!$A$2:$A$6912,0)),"-")</f>
        <v>U</v>
      </c>
      <c r="G835" s="24" t="str">
        <f aca="false">IFERROR(INDEX(Positions!$E$2:$E$6912,MATCH($A835&amp;"|14",Positions!$A$2:$A$6912,0)),"-")</f>
        <v>A</v>
      </c>
      <c r="H835" s="25" t="str">
        <f aca="false">F835&amp;"-"&amp;G835</f>
        <v>U-A</v>
      </c>
      <c r="I835" s="24" t="n">
        <f aca="false">(F835="G")+(G835="G")</f>
        <v>0</v>
      </c>
      <c r="J835" s="24" t="n">
        <f aca="false">(F835="C")+(G835="C")</f>
        <v>0</v>
      </c>
      <c r="K835" s="25" t="n">
        <f aca="false">I835+J835</f>
        <v>0</v>
      </c>
    </row>
    <row r="836" customFormat="false" ht="15" hidden="false" customHeight="false" outlineLevel="0" collapsed="false">
      <c r="A836" s="24" t="s">
        <v>66</v>
      </c>
      <c r="B836" s="24" t="s">
        <v>530</v>
      </c>
      <c r="C836" s="24" t="s">
        <v>532</v>
      </c>
      <c r="D836" s="24" t="n">
        <f aca="false">IFERROR(INDEX(Positions!$D$2:$D$6912,MATCH($A836&amp;"|15",Positions!$A$2:$A$6912,0)),"-")</f>
        <v>15</v>
      </c>
      <c r="E836" s="24" t="n">
        <f aca="false">IFERROR(INDEX(Positions!$D$2:$D$6912,MATCH($A836&amp;"|48",Positions!$A$2:$A$6912,0)),"-")</f>
        <v>48</v>
      </c>
      <c r="F836" s="24" t="str">
        <f aca="false">IFERROR(INDEX(Positions!$E$2:$E$6912,MATCH($A836&amp;"|15",Positions!$A$2:$A$6912,0)),"-")</f>
        <v>G</v>
      </c>
      <c r="G836" s="24" t="str">
        <f aca="false">IFERROR(INDEX(Positions!$E$2:$E$6912,MATCH($A836&amp;"|48",Positions!$A$2:$A$6912,0)),"-")</f>
        <v>C</v>
      </c>
      <c r="H836" s="25" t="str">
        <f aca="false">F836&amp;"-"&amp;G836</f>
        <v>G-C</v>
      </c>
      <c r="I836" s="24" t="n">
        <f aca="false">(F836="G")+(G836="G")</f>
        <v>1</v>
      </c>
      <c r="J836" s="24" t="n">
        <f aca="false">(F836="C")+(G836="C")</f>
        <v>1</v>
      </c>
      <c r="K836" s="25" t="n">
        <f aca="false">I836+J836</f>
        <v>2</v>
      </c>
    </row>
    <row r="837" customFormat="false" ht="15" hidden="false" customHeight="false" outlineLevel="0" collapsed="false">
      <c r="A837" s="24" t="s">
        <v>66</v>
      </c>
      <c r="B837" s="24" t="s">
        <v>530</v>
      </c>
      <c r="C837" s="24" t="s">
        <v>533</v>
      </c>
      <c r="D837" s="24" t="n">
        <f aca="false">IFERROR(INDEX(Positions!$D$2:$D$6912,MATCH($A837&amp;"|18",Positions!$A$2:$A$6912,0)),"-")</f>
        <v>18</v>
      </c>
      <c r="E837" s="24" t="n">
        <f aca="false">IFERROR(INDEX(Positions!$D$2:$D$6912,MATCH($A837&amp;"|55",Positions!$A$2:$A$6912,0)),"-")</f>
        <v>55</v>
      </c>
      <c r="F837" s="24" t="str">
        <f aca="false">IFERROR(INDEX(Positions!$E$2:$E$6912,MATCH($A837&amp;"|18",Positions!$A$2:$A$6912,0)),"-")</f>
        <v>G</v>
      </c>
      <c r="G837" s="24" t="str">
        <f aca="false">IFERROR(INDEX(Positions!$E$2:$E$6912,MATCH($A837&amp;"|55",Positions!$A$2:$A$6912,0)),"-")</f>
        <v>U</v>
      </c>
      <c r="H837" s="25" t="str">
        <f aca="false">F837&amp;"-"&amp;G837</f>
        <v>G-U</v>
      </c>
      <c r="I837" s="24" t="n">
        <f aca="false">(F837="G")+(G837="G")</f>
        <v>1</v>
      </c>
      <c r="J837" s="24" t="n">
        <f aca="false">(F837="C")+(G837="C")</f>
        <v>0</v>
      </c>
      <c r="K837" s="25" t="n">
        <f aca="false">I837+J837</f>
        <v>1</v>
      </c>
    </row>
    <row r="838" customFormat="false" ht="15" hidden="false" customHeight="false" outlineLevel="0" collapsed="false">
      <c r="A838" s="24" t="s">
        <v>66</v>
      </c>
      <c r="B838" s="24" t="s">
        <v>530</v>
      </c>
      <c r="C838" s="24" t="s">
        <v>534</v>
      </c>
      <c r="D838" s="24" t="n">
        <f aca="false">IFERROR(INDEX(Positions!$D$2:$D$6912,MATCH($A838&amp;"|19",Positions!$A$2:$A$6912,0)),"-")</f>
        <v>19</v>
      </c>
      <c r="E838" s="24" t="n">
        <f aca="false">IFERROR(INDEX(Positions!$D$2:$D$6912,MATCH($A838&amp;"|56",Positions!$A$2:$A$6912,0)),"-")</f>
        <v>56</v>
      </c>
      <c r="F838" s="24" t="str">
        <f aca="false">IFERROR(INDEX(Positions!$E$2:$E$6912,MATCH($A838&amp;"|19",Positions!$A$2:$A$6912,0)),"-")</f>
        <v>G</v>
      </c>
      <c r="G838" s="24" t="str">
        <f aca="false">IFERROR(INDEX(Positions!$E$2:$E$6912,MATCH($A838&amp;"|56",Positions!$A$2:$A$6912,0)),"-")</f>
        <v>C</v>
      </c>
      <c r="H838" s="25" t="str">
        <f aca="false">F838&amp;"-"&amp;G838</f>
        <v>G-C</v>
      </c>
      <c r="I838" s="24" t="n">
        <f aca="false">(F838="G")+(G838="G")</f>
        <v>1</v>
      </c>
      <c r="J838" s="24" t="n">
        <f aca="false">(F838="C")+(G838="C")</f>
        <v>1</v>
      </c>
      <c r="K838" s="25" t="n">
        <f aca="false">I838+J838</f>
        <v>2</v>
      </c>
    </row>
    <row r="839" customFormat="false" ht="15" hidden="false" customHeight="false" outlineLevel="0" collapsed="false">
      <c r="A839" s="24" t="s">
        <v>66</v>
      </c>
      <c r="B839" s="24" t="s">
        <v>530</v>
      </c>
      <c r="C839" s="24" t="s">
        <v>535</v>
      </c>
      <c r="D839" s="24" t="n">
        <f aca="false">IFERROR(INDEX(Positions!$D$2:$D$6912,MATCH($A839&amp;"|26",Positions!$A$2:$A$6912,0)),"-")</f>
        <v>26</v>
      </c>
      <c r="E839" s="24" t="n">
        <f aca="false">IFERROR(INDEX(Positions!$D$2:$D$6912,MATCH($A839&amp;"|44",Positions!$A$2:$A$6912,0)),"-")</f>
        <v>44</v>
      </c>
      <c r="F839" s="24" t="str">
        <f aca="false">IFERROR(INDEX(Positions!$E$2:$E$6912,MATCH($A839&amp;"|26",Positions!$A$2:$A$6912,0)),"-")</f>
        <v>G</v>
      </c>
      <c r="G839" s="24" t="str">
        <f aca="false">IFERROR(INDEX(Positions!$E$2:$E$6912,MATCH($A839&amp;"|44",Positions!$A$2:$A$6912,0)),"-")</f>
        <v>U</v>
      </c>
      <c r="H839" s="25" t="str">
        <f aca="false">F839&amp;"-"&amp;G839</f>
        <v>G-U</v>
      </c>
      <c r="I839" s="24" t="n">
        <f aca="false">(F839="G")+(G839="G")</f>
        <v>1</v>
      </c>
      <c r="J839" s="24" t="n">
        <f aca="false">(F839="C")+(G839="C")</f>
        <v>0</v>
      </c>
      <c r="K839" s="25" t="n">
        <f aca="false">I839+J839</f>
        <v>1</v>
      </c>
    </row>
    <row r="840" customFormat="false" ht="15" hidden="false" customHeight="false" outlineLevel="0" collapsed="false">
      <c r="A840" s="24" t="s">
        <v>66</v>
      </c>
      <c r="B840" s="24" t="s">
        <v>530</v>
      </c>
      <c r="C840" s="24" t="s">
        <v>536</v>
      </c>
      <c r="D840" s="24" t="n">
        <f aca="false">IFERROR(INDEX(Positions!$D$2:$D$6912,MATCH($A840&amp;"|32",Positions!$A$2:$A$6912,0)),"-")</f>
        <v>32</v>
      </c>
      <c r="E840" s="24" t="n">
        <f aca="false">IFERROR(INDEX(Positions!$D$2:$D$6912,MATCH($A840&amp;"|38",Positions!$A$2:$A$6912,0)),"-")</f>
        <v>38</v>
      </c>
      <c r="F840" s="24" t="str">
        <f aca="false">IFERROR(INDEX(Positions!$E$2:$E$6912,MATCH($A840&amp;"|32",Positions!$A$2:$A$6912,0)),"-")</f>
        <v>C</v>
      </c>
      <c r="G840" s="24" t="str">
        <f aca="false">IFERROR(INDEX(Positions!$E$2:$E$6912,MATCH($A840&amp;"|38",Positions!$A$2:$A$6912,0)),"-")</f>
        <v>A</v>
      </c>
      <c r="H840" s="25" t="str">
        <f aca="false">F840&amp;"-"&amp;G840</f>
        <v>C-A</v>
      </c>
      <c r="I840" s="24" t="n">
        <f aca="false">(F840="G")+(G840="G")</f>
        <v>0</v>
      </c>
      <c r="J840" s="24" t="n">
        <f aca="false">(F840="C")+(G840="C")</f>
        <v>1</v>
      </c>
      <c r="K840" s="25" t="n">
        <f aca="false">I840+J840</f>
        <v>1</v>
      </c>
    </row>
    <row r="841" customFormat="false" ht="15" hidden="false" customHeight="false" outlineLevel="0" collapsed="false">
      <c r="A841" s="24" t="s">
        <v>66</v>
      </c>
      <c r="B841" s="24" t="s">
        <v>530</v>
      </c>
      <c r="C841" s="24" t="s">
        <v>537</v>
      </c>
      <c r="D841" s="24" t="n">
        <f aca="false">IFERROR(INDEX(Positions!$D$2:$D$6912,MATCH($A841&amp;"|54",Positions!$A$2:$A$6912,0)),"-")</f>
        <v>54</v>
      </c>
      <c r="E841" s="24" t="n">
        <f aca="false">IFERROR(INDEX(Positions!$D$2:$D$6912,MATCH($A841&amp;"|58",Positions!$A$2:$A$6912,0)),"-")</f>
        <v>58</v>
      </c>
      <c r="F841" s="24" t="str">
        <f aca="false">IFERROR(INDEX(Positions!$E$2:$E$6912,MATCH($A841&amp;"|54",Positions!$A$2:$A$6912,0)),"-")</f>
        <v>U</v>
      </c>
      <c r="G841" s="24" t="str">
        <f aca="false">IFERROR(INDEX(Positions!$E$2:$E$6912,MATCH($A841&amp;"|58",Positions!$A$2:$A$6912,0)),"-")</f>
        <v>A</v>
      </c>
      <c r="H841" s="25" t="str">
        <f aca="false">F841&amp;"-"&amp;G841</f>
        <v>U-A</v>
      </c>
      <c r="I841" s="24" t="n">
        <f aca="false">(F841="G")+(G841="G")</f>
        <v>0</v>
      </c>
      <c r="J841" s="24" t="n">
        <f aca="false">(F841="C")+(G841="C")</f>
        <v>0</v>
      </c>
      <c r="K841" s="25" t="n">
        <f aca="false">I841+J841</f>
        <v>0</v>
      </c>
    </row>
    <row r="842" customFormat="false" ht="15" hidden="false" customHeight="false" outlineLevel="0" collapsed="false">
      <c r="A842" s="4" t="s">
        <v>67</v>
      </c>
      <c r="B842" s="4" t="s">
        <v>412</v>
      </c>
      <c r="C842" s="4" t="s">
        <v>517</v>
      </c>
      <c r="D842" s="4" t="n">
        <f aca="false">IFERROR(INDEX(Positions!$D$2:$D$6912,MATCH($A842&amp;"|1",Positions!$A$2:$A$6912,0)),"-")</f>
        <v>1</v>
      </c>
      <c r="E842" s="4" t="n">
        <f aca="false">IFERROR(INDEX(Positions!$D$2:$D$6912,MATCH($A842&amp;"|72",Positions!$A$2:$A$6912,0)),"-")</f>
        <v>71</v>
      </c>
      <c r="F842" s="4" t="str">
        <f aca="false">IFERROR(INDEX(Positions!$E$2:$E$6912,MATCH($A842&amp;"|1",Positions!$A$2:$A$6912,0)),"-")</f>
        <v>G</v>
      </c>
      <c r="G842" s="4" t="str">
        <f aca="false">IFERROR(INDEX(Positions!$E$2:$E$6912,MATCH($A842&amp;"|72",Positions!$A$2:$A$6912,0)),"-")</f>
        <v>C</v>
      </c>
      <c r="H842" s="3" t="str">
        <f aca="false">F842&amp;"-"&amp;G842</f>
        <v>G-C</v>
      </c>
      <c r="I842" s="4" t="n">
        <f aca="false">(F842="G")+(G842="G")</f>
        <v>1</v>
      </c>
      <c r="J842" s="4" t="n">
        <f aca="false">(F842="C")+(G842="C")</f>
        <v>1</v>
      </c>
      <c r="K842" s="3" t="n">
        <f aca="false">I842+J842</f>
        <v>2</v>
      </c>
    </row>
    <row r="843" customFormat="false" ht="15" hidden="false" customHeight="false" outlineLevel="0" collapsed="false">
      <c r="A843" s="4" t="s">
        <v>67</v>
      </c>
      <c r="B843" s="4" t="s">
        <v>412</v>
      </c>
      <c r="C843" s="4" t="s">
        <v>518</v>
      </c>
      <c r="D843" s="4" t="n">
        <f aca="false">IFERROR(INDEX(Positions!$D$2:$D$6912,MATCH($A843&amp;"|2",Positions!$A$2:$A$6912,0)),"-")</f>
        <v>2</v>
      </c>
      <c r="E843" s="4" t="n">
        <f aca="false">IFERROR(INDEX(Positions!$D$2:$D$6912,MATCH($A843&amp;"|71",Positions!$A$2:$A$6912,0)),"-")</f>
        <v>70</v>
      </c>
      <c r="F843" s="4" t="str">
        <f aca="false">IFERROR(INDEX(Positions!$E$2:$E$6912,MATCH($A843&amp;"|2",Positions!$A$2:$A$6912,0)),"-")</f>
        <v>G</v>
      </c>
      <c r="G843" s="4" t="str">
        <f aca="false">IFERROR(INDEX(Positions!$E$2:$E$6912,MATCH($A843&amp;"|71",Positions!$A$2:$A$6912,0)),"-")</f>
        <v>C</v>
      </c>
      <c r="H843" s="3" t="str">
        <f aca="false">F843&amp;"-"&amp;G843</f>
        <v>G-C</v>
      </c>
      <c r="I843" s="4" t="n">
        <f aca="false">(F843="G")+(G843="G")</f>
        <v>1</v>
      </c>
      <c r="J843" s="4" t="n">
        <f aca="false">(F843="C")+(G843="C")</f>
        <v>1</v>
      </c>
      <c r="K843" s="3" t="n">
        <f aca="false">I843+J843</f>
        <v>2</v>
      </c>
    </row>
    <row r="844" customFormat="false" ht="15" hidden="false" customHeight="false" outlineLevel="0" collapsed="false">
      <c r="A844" s="4" t="s">
        <v>67</v>
      </c>
      <c r="B844" s="4" t="s">
        <v>412</v>
      </c>
      <c r="C844" s="4" t="s">
        <v>386</v>
      </c>
      <c r="D844" s="4" t="n">
        <f aca="false">IFERROR(INDEX(Positions!$D$2:$D$6912,MATCH($A844&amp;"|3",Positions!$A$2:$A$6912,0)),"-")</f>
        <v>3</v>
      </c>
      <c r="E844" s="4" t="n">
        <f aca="false">IFERROR(INDEX(Positions!$D$2:$D$6912,MATCH($A844&amp;"|70",Positions!$A$2:$A$6912,0)),"-")</f>
        <v>69</v>
      </c>
      <c r="F844" s="4" t="str">
        <f aca="false">IFERROR(INDEX(Positions!$E$2:$E$6912,MATCH($A844&amp;"|3",Positions!$A$2:$A$6912,0)),"-")</f>
        <v>C</v>
      </c>
      <c r="G844" s="4" t="str">
        <f aca="false">IFERROR(INDEX(Positions!$E$2:$E$6912,MATCH($A844&amp;"|70",Positions!$A$2:$A$6912,0)),"-")</f>
        <v>G</v>
      </c>
      <c r="H844" s="3" t="str">
        <f aca="false">F844&amp;"-"&amp;G844</f>
        <v>C-G</v>
      </c>
      <c r="I844" s="4" t="n">
        <f aca="false">(F844="G")+(G844="G")</f>
        <v>1</v>
      </c>
      <c r="J844" s="4" t="n">
        <f aca="false">(F844="C")+(G844="C")</f>
        <v>1</v>
      </c>
      <c r="K844" s="3" t="n">
        <f aca="false">I844+J844</f>
        <v>2</v>
      </c>
    </row>
    <row r="845" customFormat="false" ht="15" hidden="false" customHeight="false" outlineLevel="0" collapsed="false">
      <c r="A845" s="4" t="s">
        <v>67</v>
      </c>
      <c r="B845" s="4" t="s">
        <v>412</v>
      </c>
      <c r="C845" s="4" t="s">
        <v>519</v>
      </c>
      <c r="D845" s="4" t="n">
        <f aca="false">IFERROR(INDEX(Positions!$D$2:$D$6912,MATCH($A845&amp;"|4",Positions!$A$2:$A$6912,0)),"-")</f>
        <v>4</v>
      </c>
      <c r="E845" s="4" t="n">
        <f aca="false">IFERROR(INDEX(Positions!$D$2:$D$6912,MATCH($A845&amp;"|69",Positions!$A$2:$A$6912,0)),"-")</f>
        <v>68</v>
      </c>
      <c r="F845" s="4" t="str">
        <f aca="false">IFERROR(INDEX(Positions!$E$2:$E$6912,MATCH($A845&amp;"|4",Positions!$A$2:$A$6912,0)),"-")</f>
        <v>C</v>
      </c>
      <c r="G845" s="4" t="str">
        <f aca="false">IFERROR(INDEX(Positions!$E$2:$E$6912,MATCH($A845&amp;"|69",Positions!$A$2:$A$6912,0)),"-")</f>
        <v>G</v>
      </c>
      <c r="H845" s="3" t="str">
        <f aca="false">F845&amp;"-"&amp;G845</f>
        <v>C-G</v>
      </c>
      <c r="I845" s="4" t="n">
        <f aca="false">(F845="G")+(G845="G")</f>
        <v>1</v>
      </c>
      <c r="J845" s="4" t="n">
        <f aca="false">(F845="C")+(G845="C")</f>
        <v>1</v>
      </c>
      <c r="K845" s="3" t="n">
        <f aca="false">I845+J845</f>
        <v>2</v>
      </c>
    </row>
    <row r="846" customFormat="false" ht="15" hidden="false" customHeight="false" outlineLevel="0" collapsed="false">
      <c r="A846" s="4" t="s">
        <v>67</v>
      </c>
      <c r="B846" s="4" t="s">
        <v>412</v>
      </c>
      <c r="C846" s="4" t="s">
        <v>283</v>
      </c>
      <c r="D846" s="4" t="n">
        <f aca="false">IFERROR(INDEX(Positions!$D$2:$D$6912,MATCH($A846&amp;"|5",Positions!$A$2:$A$6912,0)),"-")</f>
        <v>5</v>
      </c>
      <c r="E846" s="4" t="n">
        <f aca="false">IFERROR(INDEX(Positions!$D$2:$D$6912,MATCH($A846&amp;"|68",Positions!$A$2:$A$6912,0)),"-")</f>
        <v>67</v>
      </c>
      <c r="F846" s="4" t="str">
        <f aca="false">IFERROR(INDEX(Positions!$E$2:$E$6912,MATCH($A846&amp;"|5",Positions!$A$2:$A$6912,0)),"-")</f>
        <v>G</v>
      </c>
      <c r="G846" s="4" t="str">
        <f aca="false">IFERROR(INDEX(Positions!$E$2:$E$6912,MATCH($A846&amp;"|68",Positions!$A$2:$A$6912,0)),"-")</f>
        <v>U</v>
      </c>
      <c r="H846" s="3" t="str">
        <f aca="false">F846&amp;"-"&amp;G846</f>
        <v>G-U</v>
      </c>
      <c r="I846" s="4" t="n">
        <f aca="false">(F846="G")+(G846="G")</f>
        <v>1</v>
      </c>
      <c r="J846" s="4" t="n">
        <f aca="false">(F846="C")+(G846="C")</f>
        <v>0</v>
      </c>
      <c r="K846" s="3" t="n">
        <f aca="false">I846+J846</f>
        <v>1</v>
      </c>
    </row>
    <row r="847" customFormat="false" ht="15" hidden="false" customHeight="false" outlineLevel="0" collapsed="false">
      <c r="A847" s="4" t="s">
        <v>67</v>
      </c>
      <c r="B847" s="4" t="s">
        <v>412</v>
      </c>
      <c r="C847" s="4" t="s">
        <v>520</v>
      </c>
      <c r="D847" s="4" t="n">
        <f aca="false">IFERROR(INDEX(Positions!$D$2:$D$6912,MATCH($A847&amp;"|6",Positions!$A$2:$A$6912,0)),"-")</f>
        <v>6</v>
      </c>
      <c r="E847" s="4" t="n">
        <f aca="false">IFERROR(INDEX(Positions!$D$2:$D$6912,MATCH($A847&amp;"|67",Positions!$A$2:$A$6912,0)),"-")</f>
        <v>66</v>
      </c>
      <c r="F847" s="4" t="str">
        <f aca="false">IFERROR(INDEX(Positions!$E$2:$E$6912,MATCH($A847&amp;"|6",Positions!$A$2:$A$6912,0)),"-")</f>
        <v>C</v>
      </c>
      <c r="G847" s="4" t="str">
        <f aca="false">IFERROR(INDEX(Positions!$E$2:$E$6912,MATCH($A847&amp;"|67",Positions!$A$2:$A$6912,0)),"-")</f>
        <v>G</v>
      </c>
      <c r="H847" s="3" t="str">
        <f aca="false">F847&amp;"-"&amp;G847</f>
        <v>C-G</v>
      </c>
      <c r="I847" s="4" t="n">
        <f aca="false">(F847="G")+(G847="G")</f>
        <v>1</v>
      </c>
      <c r="J847" s="4" t="n">
        <f aca="false">(F847="C")+(G847="C")</f>
        <v>1</v>
      </c>
      <c r="K847" s="3" t="n">
        <f aca="false">I847+J847</f>
        <v>2</v>
      </c>
    </row>
    <row r="848" customFormat="false" ht="15" hidden="false" customHeight="false" outlineLevel="0" collapsed="false">
      <c r="A848" s="4" t="s">
        <v>67</v>
      </c>
      <c r="B848" s="4" t="s">
        <v>412</v>
      </c>
      <c r="C848" s="4" t="s">
        <v>521</v>
      </c>
      <c r="D848" s="4" t="n">
        <f aca="false">IFERROR(INDEX(Positions!$D$2:$D$6912,MATCH($A848&amp;"|7",Positions!$A$2:$A$6912,0)),"-")</f>
        <v>7</v>
      </c>
      <c r="E848" s="4" t="n">
        <f aca="false">IFERROR(INDEX(Positions!$D$2:$D$6912,MATCH($A848&amp;"|66",Positions!$A$2:$A$6912,0)),"-")</f>
        <v>65</v>
      </c>
      <c r="F848" s="4" t="str">
        <f aca="false">IFERROR(INDEX(Positions!$E$2:$E$6912,MATCH($A848&amp;"|7",Positions!$A$2:$A$6912,0)),"-")</f>
        <v>U</v>
      </c>
      <c r="G848" s="4" t="str">
        <f aca="false">IFERROR(INDEX(Positions!$E$2:$E$6912,MATCH($A848&amp;"|66",Positions!$A$2:$A$6912,0)),"-")</f>
        <v>A</v>
      </c>
      <c r="H848" s="3" t="str">
        <f aca="false">F848&amp;"-"&amp;G848</f>
        <v>U-A</v>
      </c>
      <c r="I848" s="4" t="n">
        <f aca="false">(F848="G")+(G848="G")</f>
        <v>0</v>
      </c>
      <c r="J848" s="4" t="n">
        <f aca="false">(F848="C")+(G848="C")</f>
        <v>0</v>
      </c>
      <c r="K848" s="3" t="n">
        <f aca="false">I848+J848</f>
        <v>0</v>
      </c>
    </row>
    <row r="849" customFormat="false" ht="15" hidden="false" customHeight="false" outlineLevel="0" collapsed="false">
      <c r="A849" s="4" t="s">
        <v>67</v>
      </c>
      <c r="B849" s="4" t="s">
        <v>425</v>
      </c>
      <c r="C849" s="4" t="s">
        <v>522</v>
      </c>
      <c r="D849" s="4" t="n">
        <f aca="false">IFERROR(INDEX(Positions!$D$2:$D$6912,MATCH($A849&amp;"|10",Positions!$A$2:$A$6912,0)),"-")</f>
        <v>10</v>
      </c>
      <c r="E849" s="4" t="n">
        <f aca="false">IFERROR(INDEX(Positions!$D$2:$D$6912,MATCH($A849&amp;"|25",Positions!$A$2:$A$6912,0)),"-")</f>
        <v>24</v>
      </c>
      <c r="F849" s="4" t="str">
        <f aca="false">IFERROR(INDEX(Positions!$E$2:$E$6912,MATCH($A849&amp;"|10",Positions!$A$2:$A$6912,0)),"-")</f>
        <v>G</v>
      </c>
      <c r="G849" s="4" t="str">
        <f aca="false">IFERROR(INDEX(Positions!$E$2:$E$6912,MATCH($A849&amp;"|25",Positions!$A$2:$A$6912,0)),"-")</f>
        <v>C</v>
      </c>
      <c r="H849" s="3" t="str">
        <f aca="false">F849&amp;"-"&amp;G849</f>
        <v>G-C</v>
      </c>
      <c r="I849" s="4" t="n">
        <f aca="false">(F849="G")+(G849="G")</f>
        <v>1</v>
      </c>
      <c r="J849" s="4" t="n">
        <f aca="false">(F849="C")+(G849="C")</f>
        <v>1</v>
      </c>
      <c r="K849" s="3" t="n">
        <f aca="false">I849+J849</f>
        <v>2</v>
      </c>
    </row>
    <row r="850" customFormat="false" ht="15" hidden="false" customHeight="false" outlineLevel="0" collapsed="false">
      <c r="A850" s="4" t="s">
        <v>67</v>
      </c>
      <c r="B850" s="4" t="s">
        <v>425</v>
      </c>
      <c r="C850" s="4" t="s">
        <v>523</v>
      </c>
      <c r="D850" s="4" t="n">
        <f aca="false">IFERROR(INDEX(Positions!$D$2:$D$6912,MATCH($A850&amp;"|11",Positions!$A$2:$A$6912,0)),"-")</f>
        <v>11</v>
      </c>
      <c r="E850" s="4" t="n">
        <f aca="false">IFERROR(INDEX(Positions!$D$2:$D$6912,MATCH($A850&amp;"|24",Positions!$A$2:$A$6912,0)),"-")</f>
        <v>23</v>
      </c>
      <c r="F850" s="4" t="str">
        <f aca="false">IFERROR(INDEX(Positions!$E$2:$E$6912,MATCH($A850&amp;"|11",Positions!$A$2:$A$6912,0)),"-")</f>
        <v>C</v>
      </c>
      <c r="G850" s="4" t="str">
        <f aca="false">IFERROR(INDEX(Positions!$E$2:$E$6912,MATCH($A850&amp;"|24",Positions!$A$2:$A$6912,0)),"-")</f>
        <v>G</v>
      </c>
      <c r="H850" s="3" t="str">
        <f aca="false">F850&amp;"-"&amp;G850</f>
        <v>C-G</v>
      </c>
      <c r="I850" s="4" t="n">
        <f aca="false">(F850="G")+(G850="G")</f>
        <v>1</v>
      </c>
      <c r="J850" s="4" t="n">
        <f aca="false">(F850="C")+(G850="C")</f>
        <v>1</v>
      </c>
      <c r="K850" s="3" t="n">
        <f aca="false">I850+J850</f>
        <v>2</v>
      </c>
    </row>
    <row r="851" customFormat="false" ht="15" hidden="false" customHeight="false" outlineLevel="0" collapsed="false">
      <c r="A851" s="4" t="s">
        <v>67</v>
      </c>
      <c r="B851" s="4" t="s">
        <v>425</v>
      </c>
      <c r="C851" s="4" t="s">
        <v>250</v>
      </c>
      <c r="D851" s="4" t="n">
        <f aca="false">IFERROR(INDEX(Positions!$D$2:$D$6912,MATCH($A851&amp;"|12",Positions!$A$2:$A$6912,0)),"-")</f>
        <v>12</v>
      </c>
      <c r="E851" s="4" t="n">
        <f aca="false">IFERROR(INDEX(Positions!$D$2:$D$6912,MATCH($A851&amp;"|23",Positions!$A$2:$A$6912,0)),"-")</f>
        <v>22</v>
      </c>
      <c r="F851" s="4" t="str">
        <f aca="false">IFERROR(INDEX(Positions!$E$2:$E$6912,MATCH($A851&amp;"|12",Positions!$A$2:$A$6912,0)),"-")</f>
        <v>A</v>
      </c>
      <c r="G851" s="4" t="str">
        <f aca="false">IFERROR(INDEX(Positions!$E$2:$E$6912,MATCH($A851&amp;"|23",Positions!$A$2:$A$6912,0)),"-")</f>
        <v>U</v>
      </c>
      <c r="H851" s="3" t="str">
        <f aca="false">F851&amp;"-"&amp;G851</f>
        <v>A-U</v>
      </c>
      <c r="I851" s="4" t="n">
        <f aca="false">(F851="G")+(G851="G")</f>
        <v>0</v>
      </c>
      <c r="J851" s="4" t="n">
        <f aca="false">(F851="C")+(G851="C")</f>
        <v>0</v>
      </c>
      <c r="K851" s="3" t="n">
        <f aca="false">I851+J851</f>
        <v>0</v>
      </c>
    </row>
    <row r="852" customFormat="false" ht="15" hidden="false" customHeight="false" outlineLevel="0" collapsed="false">
      <c r="A852" s="4" t="s">
        <v>67</v>
      </c>
      <c r="B852" s="4" t="s">
        <v>425</v>
      </c>
      <c r="C852" s="4" t="s">
        <v>154</v>
      </c>
      <c r="D852" s="4" t="n">
        <f aca="false">IFERROR(INDEX(Positions!$D$2:$D$6912,MATCH($A852&amp;"|13",Positions!$A$2:$A$6912,0)),"-")</f>
        <v>13</v>
      </c>
      <c r="E852" s="4" t="n">
        <f aca="false">IFERROR(INDEX(Positions!$D$2:$D$6912,MATCH($A852&amp;"|22",Positions!$A$2:$A$6912,0)),"-")</f>
        <v>21</v>
      </c>
      <c r="F852" s="4" t="str">
        <f aca="false">IFERROR(INDEX(Positions!$E$2:$E$6912,MATCH($A852&amp;"|13",Positions!$A$2:$A$6912,0)),"-")</f>
        <v>C</v>
      </c>
      <c r="G852" s="4" t="str">
        <f aca="false">IFERROR(INDEX(Positions!$E$2:$E$6912,MATCH($A852&amp;"|22",Positions!$A$2:$A$6912,0)),"-")</f>
        <v>G</v>
      </c>
      <c r="H852" s="3" t="str">
        <f aca="false">F852&amp;"-"&amp;G852</f>
        <v>C-G</v>
      </c>
      <c r="I852" s="4" t="n">
        <f aca="false">(F852="G")+(G852="G")</f>
        <v>1</v>
      </c>
      <c r="J852" s="4" t="n">
        <f aca="false">(F852="C")+(G852="C")</f>
        <v>1</v>
      </c>
      <c r="K852" s="3" t="n">
        <f aca="false">I852+J852</f>
        <v>2</v>
      </c>
    </row>
    <row r="853" customFormat="false" ht="15" hidden="false" customHeight="false" outlineLevel="0" collapsed="false">
      <c r="A853" s="4" t="s">
        <v>67</v>
      </c>
      <c r="B853" s="4" t="s">
        <v>446</v>
      </c>
      <c r="C853" s="4" t="s">
        <v>524</v>
      </c>
      <c r="D853" s="4" t="n">
        <f aca="false">IFERROR(INDEX(Positions!$D$2:$D$6912,MATCH($A853&amp;"|27",Positions!$A$2:$A$6912,0)),"-")</f>
        <v>26</v>
      </c>
      <c r="E853" s="4" t="n">
        <f aca="false">IFERROR(INDEX(Positions!$D$2:$D$6912,MATCH($A853&amp;"|43",Positions!$A$2:$A$6912,0)),"-")</f>
        <v>42</v>
      </c>
      <c r="F853" s="4" t="str">
        <f aca="false">IFERROR(INDEX(Positions!$E$2:$E$6912,MATCH($A853&amp;"|27",Positions!$A$2:$A$6912,0)),"-")</f>
        <v>C</v>
      </c>
      <c r="G853" s="4" t="str">
        <f aca="false">IFERROR(INDEX(Positions!$E$2:$E$6912,MATCH($A853&amp;"|43",Positions!$A$2:$A$6912,0)),"-")</f>
        <v>G</v>
      </c>
      <c r="H853" s="3" t="str">
        <f aca="false">F853&amp;"-"&amp;G853</f>
        <v>C-G</v>
      </c>
      <c r="I853" s="4" t="n">
        <f aca="false">(F853="G")+(G853="G")</f>
        <v>1</v>
      </c>
      <c r="J853" s="4" t="n">
        <f aca="false">(F853="C")+(G853="C")</f>
        <v>1</v>
      </c>
      <c r="K853" s="3" t="n">
        <f aca="false">I853+J853</f>
        <v>2</v>
      </c>
    </row>
    <row r="854" customFormat="false" ht="15" hidden="false" customHeight="false" outlineLevel="0" collapsed="false">
      <c r="A854" s="4" t="s">
        <v>67</v>
      </c>
      <c r="B854" s="4" t="s">
        <v>446</v>
      </c>
      <c r="C854" s="4" t="s">
        <v>525</v>
      </c>
      <c r="D854" s="4" t="n">
        <f aca="false">IFERROR(INDEX(Positions!$D$2:$D$6912,MATCH($A854&amp;"|28",Positions!$A$2:$A$6912,0)),"-")</f>
        <v>27</v>
      </c>
      <c r="E854" s="4" t="n">
        <f aca="false">IFERROR(INDEX(Positions!$D$2:$D$6912,MATCH($A854&amp;"|42",Positions!$A$2:$A$6912,0)),"-")</f>
        <v>41</v>
      </c>
      <c r="F854" s="4" t="str">
        <f aca="false">IFERROR(INDEX(Positions!$E$2:$E$6912,MATCH($A854&amp;"|28",Positions!$A$2:$A$6912,0)),"-")</f>
        <v>C</v>
      </c>
      <c r="G854" s="4" t="str">
        <f aca="false">IFERROR(INDEX(Positions!$E$2:$E$6912,MATCH($A854&amp;"|42",Positions!$A$2:$A$6912,0)),"-")</f>
        <v>G</v>
      </c>
      <c r="H854" s="3" t="str">
        <f aca="false">F854&amp;"-"&amp;G854</f>
        <v>C-G</v>
      </c>
      <c r="I854" s="4" t="n">
        <f aca="false">(F854="G")+(G854="G")</f>
        <v>1</v>
      </c>
      <c r="J854" s="4" t="n">
        <f aca="false">(F854="C")+(G854="C")</f>
        <v>1</v>
      </c>
      <c r="K854" s="3" t="n">
        <f aca="false">I854+J854</f>
        <v>2</v>
      </c>
    </row>
    <row r="855" customFormat="false" ht="15" hidden="false" customHeight="false" outlineLevel="0" collapsed="false">
      <c r="A855" s="4" t="s">
        <v>67</v>
      </c>
      <c r="B855" s="4" t="s">
        <v>446</v>
      </c>
      <c r="C855" s="4" t="s">
        <v>256</v>
      </c>
      <c r="D855" s="4" t="n">
        <f aca="false">IFERROR(INDEX(Positions!$D$2:$D$6912,MATCH($A855&amp;"|29",Positions!$A$2:$A$6912,0)),"-")</f>
        <v>28</v>
      </c>
      <c r="E855" s="4" t="n">
        <f aca="false">IFERROR(INDEX(Positions!$D$2:$D$6912,MATCH($A855&amp;"|41",Positions!$A$2:$A$6912,0)),"-")</f>
        <v>40</v>
      </c>
      <c r="F855" s="4" t="str">
        <f aca="false">IFERROR(INDEX(Positions!$E$2:$E$6912,MATCH($A855&amp;"|29",Positions!$A$2:$A$6912,0)),"-")</f>
        <v>A</v>
      </c>
      <c r="G855" s="4" t="str">
        <f aca="false">IFERROR(INDEX(Positions!$E$2:$E$6912,MATCH($A855&amp;"|41",Positions!$A$2:$A$6912,0)),"-")</f>
        <v>U</v>
      </c>
      <c r="H855" s="3" t="str">
        <f aca="false">F855&amp;"-"&amp;G855</f>
        <v>A-U</v>
      </c>
      <c r="I855" s="4" t="n">
        <f aca="false">(F855="G")+(G855="G")</f>
        <v>0</v>
      </c>
      <c r="J855" s="4" t="n">
        <f aca="false">(F855="C")+(G855="C")</f>
        <v>0</v>
      </c>
      <c r="K855" s="3" t="n">
        <f aca="false">I855+J855</f>
        <v>0</v>
      </c>
    </row>
    <row r="856" customFormat="false" ht="15" hidden="false" customHeight="false" outlineLevel="0" collapsed="false">
      <c r="A856" s="4" t="s">
        <v>67</v>
      </c>
      <c r="B856" s="4" t="s">
        <v>446</v>
      </c>
      <c r="C856" s="4" t="s">
        <v>526</v>
      </c>
      <c r="D856" s="4" t="n">
        <f aca="false">IFERROR(INDEX(Positions!$D$2:$D$6912,MATCH($A856&amp;"|30",Positions!$A$2:$A$6912,0)),"-")</f>
        <v>29</v>
      </c>
      <c r="E856" s="4" t="n">
        <f aca="false">IFERROR(INDEX(Positions!$D$2:$D$6912,MATCH($A856&amp;"|40",Positions!$A$2:$A$6912,0)),"-")</f>
        <v>39</v>
      </c>
      <c r="F856" s="4" t="str">
        <f aca="false">IFERROR(INDEX(Positions!$E$2:$E$6912,MATCH($A856&amp;"|30",Positions!$A$2:$A$6912,0)),"-")</f>
        <v>C</v>
      </c>
      <c r="G856" s="4" t="str">
        <f aca="false">IFERROR(INDEX(Positions!$E$2:$E$6912,MATCH($A856&amp;"|40",Positions!$A$2:$A$6912,0)),"-")</f>
        <v>G</v>
      </c>
      <c r="H856" s="3" t="str">
        <f aca="false">F856&amp;"-"&amp;G856</f>
        <v>C-G</v>
      </c>
      <c r="I856" s="4" t="n">
        <f aca="false">(F856="G")+(G856="G")</f>
        <v>1</v>
      </c>
      <c r="J856" s="4" t="n">
        <f aca="false">(F856="C")+(G856="C")</f>
        <v>1</v>
      </c>
      <c r="K856" s="3" t="n">
        <f aca="false">I856+J856</f>
        <v>2</v>
      </c>
    </row>
    <row r="857" customFormat="false" ht="15" hidden="false" customHeight="false" outlineLevel="0" collapsed="false">
      <c r="A857" s="4" t="s">
        <v>67</v>
      </c>
      <c r="B857" s="4" t="s">
        <v>446</v>
      </c>
      <c r="C857" s="4" t="s">
        <v>273</v>
      </c>
      <c r="D857" s="4" t="n">
        <f aca="false">IFERROR(INDEX(Positions!$D$2:$D$6912,MATCH($A857&amp;"|31",Positions!$A$2:$A$6912,0)),"-")</f>
        <v>30</v>
      </c>
      <c r="E857" s="4" t="n">
        <f aca="false">IFERROR(INDEX(Positions!$D$2:$D$6912,MATCH($A857&amp;"|39",Positions!$A$2:$A$6912,0)),"-")</f>
        <v>38</v>
      </c>
      <c r="F857" s="4" t="str">
        <f aca="false">IFERROR(INDEX(Positions!$E$2:$E$6912,MATCH($A857&amp;"|31",Positions!$A$2:$A$6912,0)),"-")</f>
        <v>U</v>
      </c>
      <c r="G857" s="4" t="str">
        <f aca="false">IFERROR(INDEX(Positions!$E$2:$E$6912,MATCH($A857&amp;"|39",Positions!$A$2:$A$6912,0)),"-")</f>
        <v>A</v>
      </c>
      <c r="H857" s="3" t="str">
        <f aca="false">F857&amp;"-"&amp;G857</f>
        <v>U-A</v>
      </c>
      <c r="I857" s="4" t="n">
        <f aca="false">(F857="G")+(G857="G")</f>
        <v>0</v>
      </c>
      <c r="J857" s="4" t="n">
        <f aca="false">(F857="C")+(G857="C")</f>
        <v>0</v>
      </c>
      <c r="K857" s="3" t="n">
        <f aca="false">I857+J857</f>
        <v>0</v>
      </c>
    </row>
    <row r="858" customFormat="false" ht="15" hidden="false" customHeight="false" outlineLevel="0" collapsed="false">
      <c r="A858" s="4" t="s">
        <v>67</v>
      </c>
      <c r="B858" s="4" t="s">
        <v>471</v>
      </c>
      <c r="C858" s="4" t="s">
        <v>367</v>
      </c>
      <c r="D858" s="4" t="n">
        <f aca="false">IFERROR(INDEX(Positions!$D$2:$D$6912,MATCH($A858&amp;"|49",Positions!$A$2:$A$6912,0)),"-")</f>
        <v>48</v>
      </c>
      <c r="E858" s="4" t="n">
        <f aca="false">IFERROR(INDEX(Positions!$D$2:$D$6912,MATCH($A858&amp;"|65",Positions!$A$2:$A$6912,0)),"-")</f>
        <v>64</v>
      </c>
      <c r="F858" s="4" t="str">
        <f aca="false">IFERROR(INDEX(Positions!$E$2:$E$6912,MATCH($A858&amp;"|49",Positions!$A$2:$A$6912,0)),"-")</f>
        <v>G</v>
      </c>
      <c r="G858" s="4" t="str">
        <f aca="false">IFERROR(INDEX(Positions!$E$2:$E$6912,MATCH($A858&amp;"|65",Positions!$A$2:$A$6912,0)),"-")</f>
        <v>C</v>
      </c>
      <c r="H858" s="3" t="str">
        <f aca="false">F858&amp;"-"&amp;G858</f>
        <v>G-C</v>
      </c>
      <c r="I858" s="4" t="n">
        <f aca="false">(F858="G")+(G858="G")</f>
        <v>1</v>
      </c>
      <c r="J858" s="4" t="n">
        <f aca="false">(F858="C")+(G858="C")</f>
        <v>1</v>
      </c>
      <c r="K858" s="3" t="n">
        <f aca="false">I858+J858</f>
        <v>2</v>
      </c>
    </row>
    <row r="859" customFormat="false" ht="15" hidden="false" customHeight="false" outlineLevel="0" collapsed="false">
      <c r="A859" s="4" t="s">
        <v>67</v>
      </c>
      <c r="B859" s="4" t="s">
        <v>471</v>
      </c>
      <c r="C859" s="4" t="s">
        <v>233</v>
      </c>
      <c r="D859" s="4" t="n">
        <f aca="false">IFERROR(INDEX(Positions!$D$2:$D$6912,MATCH($A859&amp;"|50",Positions!$A$2:$A$6912,0)),"-")</f>
        <v>49</v>
      </c>
      <c r="E859" s="4" t="n">
        <f aca="false">IFERROR(INDEX(Positions!$D$2:$D$6912,MATCH($A859&amp;"|64",Positions!$A$2:$A$6912,0)),"-")</f>
        <v>63</v>
      </c>
      <c r="F859" s="4" t="str">
        <f aca="false">IFERROR(INDEX(Positions!$E$2:$E$6912,MATCH($A859&amp;"|50",Positions!$A$2:$A$6912,0)),"-")</f>
        <v>C</v>
      </c>
      <c r="G859" s="4" t="str">
        <f aca="false">IFERROR(INDEX(Positions!$E$2:$E$6912,MATCH($A859&amp;"|64",Positions!$A$2:$A$6912,0)),"-")</f>
        <v>G</v>
      </c>
      <c r="H859" s="3" t="str">
        <f aca="false">F859&amp;"-"&amp;G859</f>
        <v>C-G</v>
      </c>
      <c r="I859" s="4" t="n">
        <f aca="false">(F859="G")+(G859="G")</f>
        <v>1</v>
      </c>
      <c r="J859" s="4" t="n">
        <f aca="false">(F859="C")+(G859="C")</f>
        <v>1</v>
      </c>
      <c r="K859" s="3" t="n">
        <f aca="false">I859+J859</f>
        <v>2</v>
      </c>
    </row>
    <row r="860" customFormat="false" ht="15" hidden="false" customHeight="false" outlineLevel="0" collapsed="false">
      <c r="A860" s="4" t="s">
        <v>67</v>
      </c>
      <c r="B860" s="4" t="s">
        <v>471</v>
      </c>
      <c r="C860" s="4" t="s">
        <v>527</v>
      </c>
      <c r="D860" s="4" t="n">
        <f aca="false">IFERROR(INDEX(Positions!$D$2:$D$6912,MATCH($A860&amp;"|51",Positions!$A$2:$A$6912,0)),"-")</f>
        <v>50</v>
      </c>
      <c r="E860" s="4" t="n">
        <f aca="false">IFERROR(INDEX(Positions!$D$2:$D$6912,MATCH($A860&amp;"|63",Positions!$A$2:$A$6912,0)),"-")</f>
        <v>62</v>
      </c>
      <c r="F860" s="4" t="str">
        <f aca="false">IFERROR(INDEX(Positions!$E$2:$E$6912,MATCH($A860&amp;"|51",Positions!$A$2:$A$6912,0)),"-")</f>
        <v>G</v>
      </c>
      <c r="G860" s="4" t="str">
        <f aca="false">IFERROR(INDEX(Positions!$E$2:$E$6912,MATCH($A860&amp;"|63",Positions!$A$2:$A$6912,0)),"-")</f>
        <v>C</v>
      </c>
      <c r="H860" s="3" t="str">
        <f aca="false">F860&amp;"-"&amp;G860</f>
        <v>G-C</v>
      </c>
      <c r="I860" s="4" t="n">
        <f aca="false">(F860="G")+(G860="G")</f>
        <v>1</v>
      </c>
      <c r="J860" s="4" t="n">
        <f aca="false">(F860="C")+(G860="C")</f>
        <v>1</v>
      </c>
      <c r="K860" s="3" t="n">
        <f aca="false">I860+J860</f>
        <v>2</v>
      </c>
    </row>
    <row r="861" customFormat="false" ht="15" hidden="false" customHeight="false" outlineLevel="0" collapsed="false">
      <c r="A861" s="4" t="s">
        <v>67</v>
      </c>
      <c r="B861" s="4" t="s">
        <v>471</v>
      </c>
      <c r="C861" s="4" t="s">
        <v>528</v>
      </c>
      <c r="D861" s="4" t="n">
        <f aca="false">IFERROR(INDEX(Positions!$D$2:$D$6912,MATCH($A861&amp;"|52",Positions!$A$2:$A$6912,0)),"-")</f>
        <v>51</v>
      </c>
      <c r="E861" s="4" t="n">
        <f aca="false">IFERROR(INDEX(Positions!$D$2:$D$6912,MATCH($A861&amp;"|62",Positions!$A$2:$A$6912,0)),"-")</f>
        <v>61</v>
      </c>
      <c r="F861" s="4" t="str">
        <f aca="false">IFERROR(INDEX(Positions!$E$2:$E$6912,MATCH($A861&amp;"|52",Positions!$A$2:$A$6912,0)),"-")</f>
        <v>A</v>
      </c>
      <c r="G861" s="4" t="str">
        <f aca="false">IFERROR(INDEX(Positions!$E$2:$E$6912,MATCH($A861&amp;"|62",Positions!$A$2:$A$6912,0)),"-")</f>
        <v>U</v>
      </c>
      <c r="H861" s="3" t="str">
        <f aca="false">F861&amp;"-"&amp;G861</f>
        <v>A-U</v>
      </c>
      <c r="I861" s="4" t="n">
        <f aca="false">(F861="G")+(G861="G")</f>
        <v>0</v>
      </c>
      <c r="J861" s="4" t="n">
        <f aca="false">(F861="C")+(G861="C")</f>
        <v>0</v>
      </c>
      <c r="K861" s="3" t="n">
        <f aca="false">I861+J861</f>
        <v>0</v>
      </c>
    </row>
    <row r="862" customFormat="false" ht="15" hidden="false" customHeight="false" outlineLevel="0" collapsed="false">
      <c r="A862" s="4" t="s">
        <v>67</v>
      </c>
      <c r="B862" s="4" t="s">
        <v>471</v>
      </c>
      <c r="C862" s="4" t="s">
        <v>529</v>
      </c>
      <c r="D862" s="4" t="n">
        <f aca="false">IFERROR(INDEX(Positions!$D$2:$D$6912,MATCH($A862&amp;"|53",Positions!$A$2:$A$6912,0)),"-")</f>
        <v>52</v>
      </c>
      <c r="E862" s="4" t="n">
        <f aca="false">IFERROR(INDEX(Positions!$D$2:$D$6912,MATCH($A862&amp;"|61",Positions!$A$2:$A$6912,0)),"-")</f>
        <v>60</v>
      </c>
      <c r="F862" s="4" t="str">
        <f aca="false">IFERROR(INDEX(Positions!$E$2:$E$6912,MATCH($A862&amp;"|53",Positions!$A$2:$A$6912,0)),"-")</f>
        <v>G</v>
      </c>
      <c r="G862" s="4" t="str">
        <f aca="false">IFERROR(INDEX(Positions!$E$2:$E$6912,MATCH($A862&amp;"|61",Positions!$A$2:$A$6912,0)),"-")</f>
        <v>C</v>
      </c>
      <c r="H862" s="3" t="str">
        <f aca="false">F862&amp;"-"&amp;G862</f>
        <v>G-C</v>
      </c>
      <c r="I862" s="4" t="n">
        <f aca="false">(F862="G")+(G862="G")</f>
        <v>1</v>
      </c>
      <c r="J862" s="4" t="n">
        <f aca="false">(F862="C")+(G862="C")</f>
        <v>1</v>
      </c>
      <c r="K862" s="3" t="n">
        <f aca="false">I862+J862</f>
        <v>2</v>
      </c>
    </row>
    <row r="863" customFormat="false" ht="15" hidden="false" customHeight="false" outlineLevel="0" collapsed="false">
      <c r="A863" s="24" t="s">
        <v>67</v>
      </c>
      <c r="B863" s="24" t="s">
        <v>530</v>
      </c>
      <c r="C863" s="24" t="s">
        <v>531</v>
      </c>
      <c r="D863" s="24" t="n">
        <f aca="false">IFERROR(INDEX(Positions!$D$2:$D$6912,MATCH($A863&amp;"|8",Positions!$A$2:$A$6912,0)),"-")</f>
        <v>8</v>
      </c>
      <c r="E863" s="24" t="n">
        <f aca="false">IFERROR(INDEX(Positions!$D$2:$D$6912,MATCH($A863&amp;"|14",Positions!$A$2:$A$6912,0)),"-")</f>
        <v>14</v>
      </c>
      <c r="F863" s="24" t="str">
        <f aca="false">IFERROR(INDEX(Positions!$E$2:$E$6912,MATCH($A863&amp;"|8",Positions!$A$2:$A$6912,0)),"-")</f>
        <v>U</v>
      </c>
      <c r="G863" s="24" t="str">
        <f aca="false">IFERROR(INDEX(Positions!$E$2:$E$6912,MATCH($A863&amp;"|14",Positions!$A$2:$A$6912,0)),"-")</f>
        <v>A</v>
      </c>
      <c r="H863" s="25" t="str">
        <f aca="false">F863&amp;"-"&amp;G863</f>
        <v>U-A</v>
      </c>
      <c r="I863" s="24" t="n">
        <f aca="false">(F863="G")+(G863="G")</f>
        <v>0</v>
      </c>
      <c r="J863" s="24" t="n">
        <f aca="false">(F863="C")+(G863="C")</f>
        <v>0</v>
      </c>
      <c r="K863" s="25" t="n">
        <f aca="false">I863+J863</f>
        <v>0</v>
      </c>
    </row>
    <row r="864" customFormat="false" ht="15" hidden="false" customHeight="false" outlineLevel="0" collapsed="false">
      <c r="A864" s="24" t="s">
        <v>67</v>
      </c>
      <c r="B864" s="24" t="s">
        <v>530</v>
      </c>
      <c r="C864" s="24" t="s">
        <v>532</v>
      </c>
      <c r="D864" s="24" t="n">
        <f aca="false">IFERROR(INDEX(Positions!$D$2:$D$6912,MATCH($A864&amp;"|15",Positions!$A$2:$A$6912,0)),"-")</f>
        <v>15</v>
      </c>
      <c r="E864" s="24" t="n">
        <f aca="false">IFERROR(INDEX(Positions!$D$2:$D$6912,MATCH($A864&amp;"|48",Positions!$A$2:$A$6912,0)),"-")</f>
        <v>47</v>
      </c>
      <c r="F864" s="24" t="str">
        <f aca="false">IFERROR(INDEX(Positions!$E$2:$E$6912,MATCH($A864&amp;"|15",Positions!$A$2:$A$6912,0)),"-")</f>
        <v>G</v>
      </c>
      <c r="G864" s="24" t="str">
        <f aca="false">IFERROR(INDEX(Positions!$E$2:$E$6912,MATCH($A864&amp;"|48",Positions!$A$2:$A$6912,0)),"-")</f>
        <v>C</v>
      </c>
      <c r="H864" s="25" t="str">
        <f aca="false">F864&amp;"-"&amp;G864</f>
        <v>G-C</v>
      </c>
      <c r="I864" s="24" t="n">
        <f aca="false">(F864="G")+(G864="G")</f>
        <v>1</v>
      </c>
      <c r="J864" s="24" t="n">
        <f aca="false">(F864="C")+(G864="C")</f>
        <v>1</v>
      </c>
      <c r="K864" s="25" t="n">
        <f aca="false">I864+J864</f>
        <v>2</v>
      </c>
    </row>
    <row r="865" customFormat="false" ht="15" hidden="false" customHeight="false" outlineLevel="0" collapsed="false">
      <c r="A865" s="24" t="s">
        <v>67</v>
      </c>
      <c r="B865" s="24" t="s">
        <v>530</v>
      </c>
      <c r="C865" s="24" t="s">
        <v>533</v>
      </c>
      <c r="D865" s="24" t="n">
        <f aca="false">IFERROR(INDEX(Positions!$D$2:$D$6912,MATCH($A865&amp;"|18",Positions!$A$2:$A$6912,0)),"-")</f>
        <v>17</v>
      </c>
      <c r="E865" s="24" t="n">
        <f aca="false">IFERROR(INDEX(Positions!$D$2:$D$6912,MATCH($A865&amp;"|55",Positions!$A$2:$A$6912,0)),"-")</f>
        <v>54</v>
      </c>
      <c r="F865" s="24" t="str">
        <f aca="false">IFERROR(INDEX(Positions!$E$2:$E$6912,MATCH($A865&amp;"|18",Positions!$A$2:$A$6912,0)),"-")</f>
        <v>G</v>
      </c>
      <c r="G865" s="24" t="str">
        <f aca="false">IFERROR(INDEX(Positions!$E$2:$E$6912,MATCH($A865&amp;"|55",Positions!$A$2:$A$6912,0)),"-")</f>
        <v>U</v>
      </c>
      <c r="H865" s="25" t="str">
        <f aca="false">F865&amp;"-"&amp;G865</f>
        <v>G-U</v>
      </c>
      <c r="I865" s="24" t="n">
        <f aca="false">(F865="G")+(G865="G")</f>
        <v>1</v>
      </c>
      <c r="J865" s="24" t="n">
        <f aca="false">(F865="C")+(G865="C")</f>
        <v>0</v>
      </c>
      <c r="K865" s="25" t="n">
        <f aca="false">I865+J865</f>
        <v>1</v>
      </c>
    </row>
    <row r="866" customFormat="false" ht="15" hidden="false" customHeight="false" outlineLevel="0" collapsed="false">
      <c r="A866" s="24" t="s">
        <v>67</v>
      </c>
      <c r="B866" s="24" t="s">
        <v>530</v>
      </c>
      <c r="C866" s="24" t="s">
        <v>534</v>
      </c>
      <c r="D866" s="24" t="n">
        <f aca="false">IFERROR(INDEX(Positions!$D$2:$D$6912,MATCH($A866&amp;"|19",Positions!$A$2:$A$6912,0)),"-")</f>
        <v>18</v>
      </c>
      <c r="E866" s="24" t="n">
        <f aca="false">IFERROR(INDEX(Positions!$D$2:$D$6912,MATCH($A866&amp;"|56",Positions!$A$2:$A$6912,0)),"-")</f>
        <v>55</v>
      </c>
      <c r="F866" s="24" t="str">
        <f aca="false">IFERROR(INDEX(Positions!$E$2:$E$6912,MATCH($A866&amp;"|19",Positions!$A$2:$A$6912,0)),"-")</f>
        <v>G</v>
      </c>
      <c r="G866" s="24" t="str">
        <f aca="false">IFERROR(INDEX(Positions!$E$2:$E$6912,MATCH($A866&amp;"|56",Positions!$A$2:$A$6912,0)),"-")</f>
        <v>C</v>
      </c>
      <c r="H866" s="25" t="str">
        <f aca="false">F866&amp;"-"&amp;G866</f>
        <v>G-C</v>
      </c>
      <c r="I866" s="24" t="n">
        <f aca="false">(F866="G")+(G866="G")</f>
        <v>1</v>
      </c>
      <c r="J866" s="24" t="n">
        <f aca="false">(F866="C")+(G866="C")</f>
        <v>1</v>
      </c>
      <c r="K866" s="25" t="n">
        <f aca="false">I866+J866</f>
        <v>2</v>
      </c>
    </row>
    <row r="867" customFormat="false" ht="15" hidden="false" customHeight="false" outlineLevel="0" collapsed="false">
      <c r="A867" s="24" t="s">
        <v>67</v>
      </c>
      <c r="B867" s="24" t="s">
        <v>530</v>
      </c>
      <c r="C867" s="24" t="s">
        <v>535</v>
      </c>
      <c r="D867" s="24" t="n">
        <f aca="false">IFERROR(INDEX(Positions!$D$2:$D$6912,MATCH($A867&amp;"|26",Positions!$A$2:$A$6912,0)),"-")</f>
        <v>25</v>
      </c>
      <c r="E867" s="24" t="n">
        <f aca="false">IFERROR(INDEX(Positions!$D$2:$D$6912,MATCH($A867&amp;"|44",Positions!$A$2:$A$6912,0)),"-")</f>
        <v>43</v>
      </c>
      <c r="F867" s="24" t="str">
        <f aca="false">IFERROR(INDEX(Positions!$E$2:$E$6912,MATCH($A867&amp;"|26",Positions!$A$2:$A$6912,0)),"-")</f>
        <v>A</v>
      </c>
      <c r="G867" s="24" t="str">
        <f aca="false">IFERROR(INDEX(Positions!$E$2:$E$6912,MATCH($A867&amp;"|44",Positions!$A$2:$A$6912,0)),"-")</f>
        <v>G</v>
      </c>
      <c r="H867" s="25" t="str">
        <f aca="false">F867&amp;"-"&amp;G867</f>
        <v>A-G</v>
      </c>
      <c r="I867" s="24" t="n">
        <f aca="false">(F867="G")+(G867="G")</f>
        <v>1</v>
      </c>
      <c r="J867" s="24" t="n">
        <f aca="false">(F867="C")+(G867="C")</f>
        <v>0</v>
      </c>
      <c r="K867" s="25" t="n">
        <f aca="false">I867+J867</f>
        <v>1</v>
      </c>
    </row>
    <row r="868" customFormat="false" ht="15" hidden="false" customHeight="false" outlineLevel="0" collapsed="false">
      <c r="A868" s="24" t="s">
        <v>67</v>
      </c>
      <c r="B868" s="24" t="s">
        <v>530</v>
      </c>
      <c r="C868" s="24" t="s">
        <v>536</v>
      </c>
      <c r="D868" s="24" t="n">
        <f aca="false">IFERROR(INDEX(Positions!$D$2:$D$6912,MATCH($A868&amp;"|32",Positions!$A$2:$A$6912,0)),"-")</f>
        <v>31</v>
      </c>
      <c r="E868" s="24" t="n">
        <f aca="false">IFERROR(INDEX(Positions!$D$2:$D$6912,MATCH($A868&amp;"|38",Positions!$A$2:$A$6912,0)),"-")</f>
        <v>37</v>
      </c>
      <c r="F868" s="24" t="str">
        <f aca="false">IFERROR(INDEX(Positions!$E$2:$E$6912,MATCH($A868&amp;"|32",Positions!$A$2:$A$6912,0)),"-")</f>
        <v>C</v>
      </c>
      <c r="G868" s="24" t="str">
        <f aca="false">IFERROR(INDEX(Positions!$E$2:$E$6912,MATCH($A868&amp;"|38",Positions!$A$2:$A$6912,0)),"-")</f>
        <v>A</v>
      </c>
      <c r="H868" s="25" t="str">
        <f aca="false">F868&amp;"-"&amp;G868</f>
        <v>C-A</v>
      </c>
      <c r="I868" s="24" t="n">
        <f aca="false">(F868="G")+(G868="G")</f>
        <v>0</v>
      </c>
      <c r="J868" s="24" t="n">
        <f aca="false">(F868="C")+(G868="C")</f>
        <v>1</v>
      </c>
      <c r="K868" s="25" t="n">
        <f aca="false">I868+J868</f>
        <v>1</v>
      </c>
    </row>
    <row r="869" customFormat="false" ht="15" hidden="false" customHeight="false" outlineLevel="0" collapsed="false">
      <c r="A869" s="24" t="s">
        <v>67</v>
      </c>
      <c r="B869" s="24" t="s">
        <v>530</v>
      </c>
      <c r="C869" s="24" t="s">
        <v>537</v>
      </c>
      <c r="D869" s="24" t="n">
        <f aca="false">IFERROR(INDEX(Positions!$D$2:$D$6912,MATCH($A869&amp;"|54",Positions!$A$2:$A$6912,0)),"-")</f>
        <v>53</v>
      </c>
      <c r="E869" s="24" t="n">
        <f aca="false">IFERROR(INDEX(Positions!$D$2:$D$6912,MATCH($A869&amp;"|58",Positions!$A$2:$A$6912,0)),"-")</f>
        <v>57</v>
      </c>
      <c r="F869" s="24" t="str">
        <f aca="false">IFERROR(INDEX(Positions!$E$2:$E$6912,MATCH($A869&amp;"|54",Positions!$A$2:$A$6912,0)),"-")</f>
        <v>U</v>
      </c>
      <c r="G869" s="24" t="str">
        <f aca="false">IFERROR(INDEX(Positions!$E$2:$E$6912,MATCH($A869&amp;"|58",Positions!$A$2:$A$6912,0)),"-")</f>
        <v>A</v>
      </c>
      <c r="H869" s="25" t="str">
        <f aca="false">F869&amp;"-"&amp;G869</f>
        <v>U-A</v>
      </c>
      <c r="I869" s="24" t="n">
        <f aca="false">(F869="G")+(G869="G")</f>
        <v>0</v>
      </c>
      <c r="J869" s="24" t="n">
        <f aca="false">(F869="C")+(G869="C")</f>
        <v>0</v>
      </c>
      <c r="K869" s="25" t="n">
        <f aca="false">I869+J869</f>
        <v>0</v>
      </c>
    </row>
    <row r="870" customFormat="false" ht="15" hidden="false" customHeight="false" outlineLevel="0" collapsed="false">
      <c r="A870" s="4" t="s">
        <v>68</v>
      </c>
      <c r="B870" s="4" t="s">
        <v>412</v>
      </c>
      <c r="C870" s="4" t="s">
        <v>517</v>
      </c>
      <c r="D870" s="4" t="n">
        <f aca="false">IFERROR(INDEX(Positions!$D$2:$D$6912,MATCH($A870&amp;"|1",Positions!$A$2:$A$6912,0)),"-")</f>
        <v>1</v>
      </c>
      <c r="E870" s="4" t="n">
        <f aca="false">IFERROR(INDEX(Positions!$D$2:$D$6912,MATCH($A870&amp;"|72",Positions!$A$2:$A$6912,0)),"-")</f>
        <v>71</v>
      </c>
      <c r="F870" s="4" t="str">
        <f aca="false">IFERROR(INDEX(Positions!$E$2:$E$6912,MATCH($A870&amp;"|1",Positions!$A$2:$A$6912,0)),"-")</f>
        <v>G</v>
      </c>
      <c r="G870" s="4" t="str">
        <f aca="false">IFERROR(INDEX(Positions!$E$2:$E$6912,MATCH($A870&amp;"|72",Positions!$A$2:$A$6912,0)),"-")</f>
        <v>C</v>
      </c>
      <c r="H870" s="3" t="str">
        <f aca="false">F870&amp;"-"&amp;G870</f>
        <v>G-C</v>
      </c>
      <c r="I870" s="4" t="n">
        <f aca="false">(F870="G")+(G870="G")</f>
        <v>1</v>
      </c>
      <c r="J870" s="4" t="n">
        <f aca="false">(F870="C")+(G870="C")</f>
        <v>1</v>
      </c>
      <c r="K870" s="3" t="n">
        <f aca="false">I870+J870</f>
        <v>2</v>
      </c>
    </row>
    <row r="871" customFormat="false" ht="15" hidden="false" customHeight="false" outlineLevel="0" collapsed="false">
      <c r="A871" s="4" t="s">
        <v>68</v>
      </c>
      <c r="B871" s="4" t="s">
        <v>412</v>
      </c>
      <c r="C871" s="4" t="s">
        <v>518</v>
      </c>
      <c r="D871" s="4" t="n">
        <f aca="false">IFERROR(INDEX(Positions!$D$2:$D$6912,MATCH($A871&amp;"|2",Positions!$A$2:$A$6912,0)),"-")</f>
        <v>2</v>
      </c>
      <c r="E871" s="4" t="n">
        <f aca="false">IFERROR(INDEX(Positions!$D$2:$D$6912,MATCH($A871&amp;"|71",Positions!$A$2:$A$6912,0)),"-")</f>
        <v>70</v>
      </c>
      <c r="F871" s="4" t="str">
        <f aca="false">IFERROR(INDEX(Positions!$E$2:$E$6912,MATCH($A871&amp;"|2",Positions!$A$2:$A$6912,0)),"-")</f>
        <v>G</v>
      </c>
      <c r="G871" s="4" t="str">
        <f aca="false">IFERROR(INDEX(Positions!$E$2:$E$6912,MATCH($A871&amp;"|71",Positions!$A$2:$A$6912,0)),"-")</f>
        <v>U</v>
      </c>
      <c r="H871" s="3" t="str">
        <f aca="false">F871&amp;"-"&amp;G871</f>
        <v>G-U</v>
      </c>
      <c r="I871" s="4" t="n">
        <f aca="false">(F871="G")+(G871="G")</f>
        <v>1</v>
      </c>
      <c r="J871" s="4" t="n">
        <f aca="false">(F871="C")+(G871="C")</f>
        <v>0</v>
      </c>
      <c r="K871" s="3" t="n">
        <f aca="false">I871+J871</f>
        <v>1</v>
      </c>
    </row>
    <row r="872" customFormat="false" ht="15" hidden="false" customHeight="false" outlineLevel="0" collapsed="false">
      <c r="A872" s="4" t="s">
        <v>68</v>
      </c>
      <c r="B872" s="4" t="s">
        <v>412</v>
      </c>
      <c r="C872" s="4" t="s">
        <v>386</v>
      </c>
      <c r="D872" s="4" t="n">
        <f aca="false">IFERROR(INDEX(Positions!$D$2:$D$6912,MATCH($A872&amp;"|3",Positions!$A$2:$A$6912,0)),"-")</f>
        <v>3</v>
      </c>
      <c r="E872" s="4" t="n">
        <f aca="false">IFERROR(INDEX(Positions!$D$2:$D$6912,MATCH($A872&amp;"|70",Positions!$A$2:$A$6912,0)),"-")</f>
        <v>69</v>
      </c>
      <c r="F872" s="4" t="str">
        <f aca="false">IFERROR(INDEX(Positions!$E$2:$E$6912,MATCH($A872&amp;"|3",Positions!$A$2:$A$6912,0)),"-")</f>
        <v>G</v>
      </c>
      <c r="G872" s="4" t="str">
        <f aca="false">IFERROR(INDEX(Positions!$E$2:$E$6912,MATCH($A872&amp;"|70",Positions!$A$2:$A$6912,0)),"-")</f>
        <v>C</v>
      </c>
      <c r="H872" s="3" t="str">
        <f aca="false">F872&amp;"-"&amp;G872</f>
        <v>G-C</v>
      </c>
      <c r="I872" s="4" t="n">
        <f aca="false">(F872="G")+(G872="G")</f>
        <v>1</v>
      </c>
      <c r="J872" s="4" t="n">
        <f aca="false">(F872="C")+(G872="C")</f>
        <v>1</v>
      </c>
      <c r="K872" s="3" t="n">
        <f aca="false">I872+J872</f>
        <v>2</v>
      </c>
    </row>
    <row r="873" customFormat="false" ht="15" hidden="false" customHeight="false" outlineLevel="0" collapsed="false">
      <c r="A873" s="4" t="s">
        <v>68</v>
      </c>
      <c r="B873" s="4" t="s">
        <v>412</v>
      </c>
      <c r="C873" s="4" t="s">
        <v>519</v>
      </c>
      <c r="D873" s="4" t="n">
        <f aca="false">IFERROR(INDEX(Positions!$D$2:$D$6912,MATCH($A873&amp;"|4",Positions!$A$2:$A$6912,0)),"-")</f>
        <v>4</v>
      </c>
      <c r="E873" s="4" t="n">
        <f aca="false">IFERROR(INDEX(Positions!$D$2:$D$6912,MATCH($A873&amp;"|69",Positions!$A$2:$A$6912,0)),"-")</f>
        <v>68</v>
      </c>
      <c r="F873" s="4" t="str">
        <f aca="false">IFERROR(INDEX(Positions!$E$2:$E$6912,MATCH($A873&amp;"|4",Positions!$A$2:$A$6912,0)),"-")</f>
        <v>G</v>
      </c>
      <c r="G873" s="4" t="str">
        <f aca="false">IFERROR(INDEX(Positions!$E$2:$E$6912,MATCH($A873&amp;"|69",Positions!$A$2:$A$6912,0)),"-")</f>
        <v>U</v>
      </c>
      <c r="H873" s="3" t="str">
        <f aca="false">F873&amp;"-"&amp;G873</f>
        <v>G-U</v>
      </c>
      <c r="I873" s="4" t="n">
        <f aca="false">(F873="G")+(G873="G")</f>
        <v>1</v>
      </c>
      <c r="J873" s="4" t="n">
        <f aca="false">(F873="C")+(G873="C")</f>
        <v>0</v>
      </c>
      <c r="K873" s="3" t="n">
        <f aca="false">I873+J873</f>
        <v>1</v>
      </c>
    </row>
    <row r="874" customFormat="false" ht="15" hidden="false" customHeight="false" outlineLevel="0" collapsed="false">
      <c r="A874" s="4" t="s">
        <v>68</v>
      </c>
      <c r="B874" s="4" t="s">
        <v>412</v>
      </c>
      <c r="C874" s="4" t="s">
        <v>283</v>
      </c>
      <c r="D874" s="4" t="n">
        <f aca="false">IFERROR(INDEX(Positions!$D$2:$D$6912,MATCH($A874&amp;"|5",Positions!$A$2:$A$6912,0)),"-")</f>
        <v>5</v>
      </c>
      <c r="E874" s="4" t="n">
        <f aca="false">IFERROR(INDEX(Positions!$D$2:$D$6912,MATCH($A874&amp;"|68",Positions!$A$2:$A$6912,0)),"-")</f>
        <v>67</v>
      </c>
      <c r="F874" s="4" t="str">
        <f aca="false">IFERROR(INDEX(Positions!$E$2:$E$6912,MATCH($A874&amp;"|5",Positions!$A$2:$A$6912,0)),"-")</f>
        <v>G</v>
      </c>
      <c r="G874" s="4" t="str">
        <f aca="false">IFERROR(INDEX(Positions!$E$2:$E$6912,MATCH($A874&amp;"|68",Positions!$A$2:$A$6912,0)),"-")</f>
        <v>C</v>
      </c>
      <c r="H874" s="3" t="str">
        <f aca="false">F874&amp;"-"&amp;G874</f>
        <v>G-C</v>
      </c>
      <c r="I874" s="4" t="n">
        <f aca="false">(F874="G")+(G874="G")</f>
        <v>1</v>
      </c>
      <c r="J874" s="4" t="n">
        <f aca="false">(F874="C")+(G874="C")</f>
        <v>1</v>
      </c>
      <c r="K874" s="3" t="n">
        <f aca="false">I874+J874</f>
        <v>2</v>
      </c>
    </row>
    <row r="875" customFormat="false" ht="15" hidden="false" customHeight="false" outlineLevel="0" collapsed="false">
      <c r="A875" s="4" t="s">
        <v>68</v>
      </c>
      <c r="B875" s="4" t="s">
        <v>412</v>
      </c>
      <c r="C875" s="4" t="s">
        <v>520</v>
      </c>
      <c r="D875" s="4" t="n">
        <f aca="false">IFERROR(INDEX(Positions!$D$2:$D$6912,MATCH($A875&amp;"|6",Positions!$A$2:$A$6912,0)),"-")</f>
        <v>6</v>
      </c>
      <c r="E875" s="4" t="n">
        <f aca="false">IFERROR(INDEX(Positions!$D$2:$D$6912,MATCH($A875&amp;"|67",Positions!$A$2:$A$6912,0)),"-")</f>
        <v>66</v>
      </c>
      <c r="F875" s="4" t="str">
        <f aca="false">IFERROR(INDEX(Positions!$E$2:$E$6912,MATCH($A875&amp;"|6",Positions!$A$2:$A$6912,0)),"-")</f>
        <v>C</v>
      </c>
      <c r="G875" s="4" t="str">
        <f aca="false">IFERROR(INDEX(Positions!$E$2:$E$6912,MATCH($A875&amp;"|67",Positions!$A$2:$A$6912,0)),"-")</f>
        <v>G</v>
      </c>
      <c r="H875" s="3" t="str">
        <f aca="false">F875&amp;"-"&amp;G875</f>
        <v>C-G</v>
      </c>
      <c r="I875" s="4" t="n">
        <f aca="false">(F875="G")+(G875="G")</f>
        <v>1</v>
      </c>
      <c r="J875" s="4" t="n">
        <f aca="false">(F875="C")+(G875="C")</f>
        <v>1</v>
      </c>
      <c r="K875" s="3" t="n">
        <f aca="false">I875+J875</f>
        <v>2</v>
      </c>
    </row>
    <row r="876" customFormat="false" ht="15" hidden="false" customHeight="false" outlineLevel="0" collapsed="false">
      <c r="A876" s="4" t="s">
        <v>68</v>
      </c>
      <c r="B876" s="4" t="s">
        <v>412</v>
      </c>
      <c r="C876" s="4" t="s">
        <v>521</v>
      </c>
      <c r="D876" s="4" t="n">
        <f aca="false">IFERROR(INDEX(Positions!$D$2:$D$6912,MATCH($A876&amp;"|7",Positions!$A$2:$A$6912,0)),"-")</f>
        <v>7</v>
      </c>
      <c r="E876" s="4" t="n">
        <f aca="false">IFERROR(INDEX(Positions!$D$2:$D$6912,MATCH($A876&amp;"|66",Positions!$A$2:$A$6912,0)),"-")</f>
        <v>65</v>
      </c>
      <c r="F876" s="4" t="str">
        <f aca="false">IFERROR(INDEX(Positions!$E$2:$E$6912,MATCH($A876&amp;"|7",Positions!$A$2:$A$6912,0)),"-")</f>
        <v>U</v>
      </c>
      <c r="G876" s="4" t="str">
        <f aca="false">IFERROR(INDEX(Positions!$E$2:$E$6912,MATCH($A876&amp;"|66",Positions!$A$2:$A$6912,0)),"-")</f>
        <v>A</v>
      </c>
      <c r="H876" s="3" t="str">
        <f aca="false">F876&amp;"-"&amp;G876</f>
        <v>U-A</v>
      </c>
      <c r="I876" s="4" t="n">
        <f aca="false">(F876="G")+(G876="G")</f>
        <v>0</v>
      </c>
      <c r="J876" s="4" t="n">
        <f aca="false">(F876="C")+(G876="C")</f>
        <v>0</v>
      </c>
      <c r="K876" s="3" t="n">
        <f aca="false">I876+J876</f>
        <v>0</v>
      </c>
    </row>
    <row r="877" customFormat="false" ht="15" hidden="false" customHeight="false" outlineLevel="0" collapsed="false">
      <c r="A877" s="4" t="s">
        <v>68</v>
      </c>
      <c r="B877" s="4" t="s">
        <v>425</v>
      </c>
      <c r="C877" s="4" t="s">
        <v>522</v>
      </c>
      <c r="D877" s="4" t="n">
        <f aca="false">IFERROR(INDEX(Positions!$D$2:$D$6912,MATCH($A877&amp;"|10",Positions!$A$2:$A$6912,0)),"-")</f>
        <v>10</v>
      </c>
      <c r="E877" s="4" t="n">
        <f aca="false">IFERROR(INDEX(Positions!$D$2:$D$6912,MATCH($A877&amp;"|25",Positions!$A$2:$A$6912,0)),"-")</f>
        <v>24</v>
      </c>
      <c r="F877" s="4" t="str">
        <f aca="false">IFERROR(INDEX(Positions!$E$2:$E$6912,MATCH($A877&amp;"|10",Positions!$A$2:$A$6912,0)),"-")</f>
        <v>G</v>
      </c>
      <c r="G877" s="4" t="str">
        <f aca="false">IFERROR(INDEX(Positions!$E$2:$E$6912,MATCH($A877&amp;"|25",Positions!$A$2:$A$6912,0)),"-")</f>
        <v>C</v>
      </c>
      <c r="H877" s="3" t="str">
        <f aca="false">F877&amp;"-"&amp;G877</f>
        <v>G-C</v>
      </c>
      <c r="I877" s="4" t="n">
        <f aca="false">(F877="G")+(G877="G")</f>
        <v>1</v>
      </c>
      <c r="J877" s="4" t="n">
        <f aca="false">(F877="C")+(G877="C")</f>
        <v>1</v>
      </c>
      <c r="K877" s="3" t="n">
        <f aca="false">I877+J877</f>
        <v>2</v>
      </c>
    </row>
    <row r="878" customFormat="false" ht="15" hidden="false" customHeight="false" outlineLevel="0" collapsed="false">
      <c r="A878" s="4" t="s">
        <v>68</v>
      </c>
      <c r="B878" s="4" t="s">
        <v>425</v>
      </c>
      <c r="C878" s="4" t="s">
        <v>523</v>
      </c>
      <c r="D878" s="4" t="n">
        <f aca="false">IFERROR(INDEX(Positions!$D$2:$D$6912,MATCH($A878&amp;"|11",Positions!$A$2:$A$6912,0)),"-")</f>
        <v>11</v>
      </c>
      <c r="E878" s="4" t="n">
        <f aca="false">IFERROR(INDEX(Positions!$D$2:$D$6912,MATCH($A878&amp;"|24",Positions!$A$2:$A$6912,0)),"-")</f>
        <v>23</v>
      </c>
      <c r="F878" s="4" t="str">
        <f aca="false">IFERROR(INDEX(Positions!$E$2:$E$6912,MATCH($A878&amp;"|11",Positions!$A$2:$A$6912,0)),"-")</f>
        <v>C</v>
      </c>
      <c r="G878" s="4" t="str">
        <f aca="false">IFERROR(INDEX(Positions!$E$2:$E$6912,MATCH($A878&amp;"|24",Positions!$A$2:$A$6912,0)),"-")</f>
        <v>G</v>
      </c>
      <c r="H878" s="3" t="str">
        <f aca="false">F878&amp;"-"&amp;G878</f>
        <v>C-G</v>
      </c>
      <c r="I878" s="4" t="n">
        <f aca="false">(F878="G")+(G878="G")</f>
        <v>1</v>
      </c>
      <c r="J878" s="4" t="n">
        <f aca="false">(F878="C")+(G878="C")</f>
        <v>1</v>
      </c>
      <c r="K878" s="3" t="n">
        <f aca="false">I878+J878</f>
        <v>2</v>
      </c>
    </row>
    <row r="879" customFormat="false" ht="15" hidden="false" customHeight="false" outlineLevel="0" collapsed="false">
      <c r="A879" s="4" t="s">
        <v>68</v>
      </c>
      <c r="B879" s="4" t="s">
        <v>425</v>
      </c>
      <c r="C879" s="4" t="s">
        <v>250</v>
      </c>
      <c r="D879" s="4" t="n">
        <f aca="false">IFERROR(INDEX(Positions!$D$2:$D$6912,MATCH($A879&amp;"|12",Positions!$A$2:$A$6912,0)),"-")</f>
        <v>12</v>
      </c>
      <c r="E879" s="4" t="n">
        <f aca="false">IFERROR(INDEX(Positions!$D$2:$D$6912,MATCH($A879&amp;"|23",Positions!$A$2:$A$6912,0)),"-")</f>
        <v>22</v>
      </c>
      <c r="F879" s="4" t="str">
        <f aca="false">IFERROR(INDEX(Positions!$E$2:$E$6912,MATCH($A879&amp;"|12",Positions!$A$2:$A$6912,0)),"-")</f>
        <v>U</v>
      </c>
      <c r="G879" s="4" t="str">
        <f aca="false">IFERROR(INDEX(Positions!$E$2:$E$6912,MATCH($A879&amp;"|23",Positions!$A$2:$A$6912,0)),"-")</f>
        <v>A</v>
      </c>
      <c r="H879" s="3" t="str">
        <f aca="false">F879&amp;"-"&amp;G879</f>
        <v>U-A</v>
      </c>
      <c r="I879" s="4" t="n">
        <f aca="false">(F879="G")+(G879="G")</f>
        <v>0</v>
      </c>
      <c r="J879" s="4" t="n">
        <f aca="false">(F879="C")+(G879="C")</f>
        <v>0</v>
      </c>
      <c r="K879" s="3" t="n">
        <f aca="false">I879+J879</f>
        <v>0</v>
      </c>
    </row>
    <row r="880" customFormat="false" ht="15" hidden="false" customHeight="false" outlineLevel="0" collapsed="false">
      <c r="A880" s="4" t="s">
        <v>68</v>
      </c>
      <c r="B880" s="4" t="s">
        <v>425</v>
      </c>
      <c r="C880" s="4" t="s">
        <v>154</v>
      </c>
      <c r="D880" s="4" t="n">
        <f aca="false">IFERROR(INDEX(Positions!$D$2:$D$6912,MATCH($A880&amp;"|13",Positions!$A$2:$A$6912,0)),"-")</f>
        <v>13</v>
      </c>
      <c r="E880" s="4" t="n">
        <f aca="false">IFERROR(INDEX(Positions!$D$2:$D$6912,MATCH($A880&amp;"|22",Positions!$A$2:$A$6912,0)),"-")</f>
        <v>21</v>
      </c>
      <c r="F880" s="4" t="str">
        <f aca="false">IFERROR(INDEX(Positions!$E$2:$E$6912,MATCH($A880&amp;"|13",Positions!$A$2:$A$6912,0)),"-")</f>
        <v>C</v>
      </c>
      <c r="G880" s="4" t="str">
        <f aca="false">IFERROR(INDEX(Positions!$E$2:$E$6912,MATCH($A880&amp;"|22",Positions!$A$2:$A$6912,0)),"-")</f>
        <v>G</v>
      </c>
      <c r="H880" s="3" t="str">
        <f aca="false">F880&amp;"-"&amp;G880</f>
        <v>C-G</v>
      </c>
      <c r="I880" s="4" t="n">
        <f aca="false">(F880="G")+(G880="G")</f>
        <v>1</v>
      </c>
      <c r="J880" s="4" t="n">
        <f aca="false">(F880="C")+(G880="C")</f>
        <v>1</v>
      </c>
      <c r="K880" s="3" t="n">
        <f aca="false">I880+J880</f>
        <v>2</v>
      </c>
    </row>
    <row r="881" customFormat="false" ht="15" hidden="false" customHeight="false" outlineLevel="0" collapsed="false">
      <c r="A881" s="4" t="s">
        <v>68</v>
      </c>
      <c r="B881" s="4" t="s">
        <v>446</v>
      </c>
      <c r="C881" s="4" t="s">
        <v>524</v>
      </c>
      <c r="D881" s="4" t="n">
        <f aca="false">IFERROR(INDEX(Positions!$D$2:$D$6912,MATCH($A881&amp;"|27",Positions!$A$2:$A$6912,0)),"-")</f>
        <v>26</v>
      </c>
      <c r="E881" s="4" t="n">
        <f aca="false">IFERROR(INDEX(Positions!$D$2:$D$6912,MATCH($A881&amp;"|43",Positions!$A$2:$A$6912,0)),"-")</f>
        <v>42</v>
      </c>
      <c r="F881" s="4" t="str">
        <f aca="false">IFERROR(INDEX(Positions!$E$2:$E$6912,MATCH($A881&amp;"|27",Positions!$A$2:$A$6912,0)),"-")</f>
        <v>U</v>
      </c>
      <c r="G881" s="4" t="str">
        <f aca="false">IFERROR(INDEX(Positions!$E$2:$E$6912,MATCH($A881&amp;"|43",Positions!$A$2:$A$6912,0)),"-")</f>
        <v>G</v>
      </c>
      <c r="H881" s="3" t="str">
        <f aca="false">F881&amp;"-"&amp;G881</f>
        <v>U-G</v>
      </c>
      <c r="I881" s="4" t="n">
        <f aca="false">(F881="G")+(G881="G")</f>
        <v>1</v>
      </c>
      <c r="J881" s="4" t="n">
        <f aca="false">(F881="C")+(G881="C")</f>
        <v>0</v>
      </c>
      <c r="K881" s="3" t="n">
        <f aca="false">I881+J881</f>
        <v>1</v>
      </c>
    </row>
    <row r="882" customFormat="false" ht="15" hidden="false" customHeight="false" outlineLevel="0" collapsed="false">
      <c r="A882" s="4" t="s">
        <v>68</v>
      </c>
      <c r="B882" s="4" t="s">
        <v>446</v>
      </c>
      <c r="C882" s="4" t="s">
        <v>525</v>
      </c>
      <c r="D882" s="4" t="n">
        <f aca="false">IFERROR(INDEX(Positions!$D$2:$D$6912,MATCH($A882&amp;"|28",Positions!$A$2:$A$6912,0)),"-")</f>
        <v>27</v>
      </c>
      <c r="E882" s="4" t="n">
        <f aca="false">IFERROR(INDEX(Positions!$D$2:$D$6912,MATCH($A882&amp;"|42",Positions!$A$2:$A$6912,0)),"-")</f>
        <v>41</v>
      </c>
      <c r="F882" s="4" t="str">
        <f aca="false">IFERROR(INDEX(Positions!$E$2:$E$6912,MATCH($A882&amp;"|28",Positions!$A$2:$A$6912,0)),"-")</f>
        <v>U</v>
      </c>
      <c r="G882" s="4" t="str">
        <f aca="false">IFERROR(INDEX(Positions!$E$2:$E$6912,MATCH($A882&amp;"|42",Positions!$A$2:$A$6912,0)),"-")</f>
        <v>A</v>
      </c>
      <c r="H882" s="3" t="str">
        <f aca="false">F882&amp;"-"&amp;G882</f>
        <v>U-A</v>
      </c>
      <c r="I882" s="4" t="n">
        <f aca="false">(F882="G")+(G882="G")</f>
        <v>0</v>
      </c>
      <c r="J882" s="4" t="n">
        <f aca="false">(F882="C")+(G882="C")</f>
        <v>0</v>
      </c>
      <c r="K882" s="3" t="n">
        <f aca="false">I882+J882</f>
        <v>0</v>
      </c>
    </row>
    <row r="883" customFormat="false" ht="15" hidden="false" customHeight="false" outlineLevel="0" collapsed="false">
      <c r="A883" s="4" t="s">
        <v>68</v>
      </c>
      <c r="B883" s="4" t="s">
        <v>446</v>
      </c>
      <c r="C883" s="4" t="s">
        <v>256</v>
      </c>
      <c r="D883" s="4" t="n">
        <f aca="false">IFERROR(INDEX(Positions!$D$2:$D$6912,MATCH($A883&amp;"|29",Positions!$A$2:$A$6912,0)),"-")</f>
        <v>28</v>
      </c>
      <c r="E883" s="4" t="n">
        <f aca="false">IFERROR(INDEX(Positions!$D$2:$D$6912,MATCH($A883&amp;"|41",Positions!$A$2:$A$6912,0)),"-")</f>
        <v>40</v>
      </c>
      <c r="F883" s="4" t="str">
        <f aca="false">IFERROR(INDEX(Positions!$E$2:$E$6912,MATCH($A883&amp;"|29",Positions!$A$2:$A$6912,0)),"-")</f>
        <v>G</v>
      </c>
      <c r="G883" s="4" t="str">
        <f aca="false">IFERROR(INDEX(Positions!$E$2:$E$6912,MATCH($A883&amp;"|41",Positions!$A$2:$A$6912,0)),"-")</f>
        <v>C</v>
      </c>
      <c r="H883" s="3" t="str">
        <f aca="false">F883&amp;"-"&amp;G883</f>
        <v>G-C</v>
      </c>
      <c r="I883" s="4" t="n">
        <f aca="false">(F883="G")+(G883="G")</f>
        <v>1</v>
      </c>
      <c r="J883" s="4" t="n">
        <f aca="false">(F883="C")+(G883="C")</f>
        <v>1</v>
      </c>
      <c r="K883" s="3" t="n">
        <f aca="false">I883+J883</f>
        <v>2</v>
      </c>
    </row>
    <row r="884" customFormat="false" ht="15" hidden="false" customHeight="false" outlineLevel="0" collapsed="false">
      <c r="A884" s="4" t="s">
        <v>68</v>
      </c>
      <c r="B884" s="4" t="s">
        <v>446</v>
      </c>
      <c r="C884" s="4" t="s">
        <v>526</v>
      </c>
      <c r="D884" s="4" t="n">
        <f aca="false">IFERROR(INDEX(Positions!$D$2:$D$6912,MATCH($A884&amp;"|30",Positions!$A$2:$A$6912,0)),"-")</f>
        <v>29</v>
      </c>
      <c r="E884" s="4" t="n">
        <f aca="false">IFERROR(INDEX(Positions!$D$2:$D$6912,MATCH($A884&amp;"|40",Positions!$A$2:$A$6912,0)),"-")</f>
        <v>39</v>
      </c>
      <c r="F884" s="4" t="str">
        <f aca="false">IFERROR(INDEX(Positions!$E$2:$E$6912,MATCH($A884&amp;"|30",Positions!$A$2:$A$6912,0)),"-")</f>
        <v>G</v>
      </c>
      <c r="G884" s="4" t="str">
        <f aca="false">IFERROR(INDEX(Positions!$E$2:$E$6912,MATCH($A884&amp;"|40",Positions!$A$2:$A$6912,0)),"-")</f>
        <v>C</v>
      </c>
      <c r="H884" s="3" t="str">
        <f aca="false">F884&amp;"-"&amp;G884</f>
        <v>G-C</v>
      </c>
      <c r="I884" s="4" t="n">
        <f aca="false">(F884="G")+(G884="G")</f>
        <v>1</v>
      </c>
      <c r="J884" s="4" t="n">
        <f aca="false">(F884="C")+(G884="C")</f>
        <v>1</v>
      </c>
      <c r="K884" s="3" t="n">
        <f aca="false">I884+J884</f>
        <v>2</v>
      </c>
    </row>
    <row r="885" customFormat="false" ht="15" hidden="false" customHeight="false" outlineLevel="0" collapsed="false">
      <c r="A885" s="4" t="s">
        <v>68</v>
      </c>
      <c r="B885" s="4" t="s">
        <v>446</v>
      </c>
      <c r="C885" s="4" t="s">
        <v>273</v>
      </c>
      <c r="D885" s="4" t="n">
        <f aca="false">IFERROR(INDEX(Positions!$D$2:$D$6912,MATCH($A885&amp;"|31",Positions!$A$2:$A$6912,0)),"-")</f>
        <v>30</v>
      </c>
      <c r="E885" s="4" t="n">
        <f aca="false">IFERROR(INDEX(Positions!$D$2:$D$6912,MATCH($A885&amp;"|39",Positions!$A$2:$A$6912,0)),"-")</f>
        <v>38</v>
      </c>
      <c r="F885" s="4" t="str">
        <f aca="false">IFERROR(INDEX(Positions!$E$2:$E$6912,MATCH($A885&amp;"|31",Positions!$A$2:$A$6912,0)),"-")</f>
        <v>A</v>
      </c>
      <c r="G885" s="4" t="str">
        <f aca="false">IFERROR(INDEX(Positions!$E$2:$E$6912,MATCH($A885&amp;"|39",Positions!$A$2:$A$6912,0)),"-")</f>
        <v>U</v>
      </c>
      <c r="H885" s="3" t="str">
        <f aca="false">F885&amp;"-"&amp;G885</f>
        <v>A-U</v>
      </c>
      <c r="I885" s="4" t="n">
        <f aca="false">(F885="G")+(G885="G")</f>
        <v>0</v>
      </c>
      <c r="J885" s="4" t="n">
        <f aca="false">(F885="C")+(G885="C")</f>
        <v>0</v>
      </c>
      <c r="K885" s="3" t="n">
        <f aca="false">I885+J885</f>
        <v>0</v>
      </c>
    </row>
    <row r="886" customFormat="false" ht="15" hidden="false" customHeight="false" outlineLevel="0" collapsed="false">
      <c r="A886" s="4" t="s">
        <v>68</v>
      </c>
      <c r="B886" s="4" t="s">
        <v>471</v>
      </c>
      <c r="C886" s="4" t="s">
        <v>367</v>
      </c>
      <c r="D886" s="4" t="n">
        <f aca="false">IFERROR(INDEX(Positions!$D$2:$D$6912,MATCH($A886&amp;"|49",Positions!$A$2:$A$6912,0)),"-")</f>
        <v>48</v>
      </c>
      <c r="E886" s="4" t="n">
        <f aca="false">IFERROR(INDEX(Positions!$D$2:$D$6912,MATCH($A886&amp;"|65",Positions!$A$2:$A$6912,0)),"-")</f>
        <v>64</v>
      </c>
      <c r="F886" s="4" t="str">
        <f aca="false">IFERROR(INDEX(Positions!$E$2:$E$6912,MATCH($A886&amp;"|49",Positions!$A$2:$A$6912,0)),"-")</f>
        <v>G</v>
      </c>
      <c r="G886" s="4" t="str">
        <f aca="false">IFERROR(INDEX(Positions!$E$2:$E$6912,MATCH($A886&amp;"|65",Positions!$A$2:$A$6912,0)),"-")</f>
        <v>C</v>
      </c>
      <c r="H886" s="3" t="str">
        <f aca="false">F886&amp;"-"&amp;G886</f>
        <v>G-C</v>
      </c>
      <c r="I886" s="4" t="n">
        <f aca="false">(F886="G")+(G886="G")</f>
        <v>1</v>
      </c>
      <c r="J886" s="4" t="n">
        <f aca="false">(F886="C")+(G886="C")</f>
        <v>1</v>
      </c>
      <c r="K886" s="3" t="n">
        <f aca="false">I886+J886</f>
        <v>2</v>
      </c>
    </row>
    <row r="887" customFormat="false" ht="15" hidden="false" customHeight="false" outlineLevel="0" collapsed="false">
      <c r="A887" s="4" t="s">
        <v>68</v>
      </c>
      <c r="B887" s="4" t="s">
        <v>471</v>
      </c>
      <c r="C887" s="4" t="s">
        <v>233</v>
      </c>
      <c r="D887" s="4" t="n">
        <f aca="false">IFERROR(INDEX(Positions!$D$2:$D$6912,MATCH($A887&amp;"|50",Positions!$A$2:$A$6912,0)),"-")</f>
        <v>49</v>
      </c>
      <c r="E887" s="4" t="n">
        <f aca="false">IFERROR(INDEX(Positions!$D$2:$D$6912,MATCH($A887&amp;"|64",Positions!$A$2:$A$6912,0)),"-")</f>
        <v>63</v>
      </c>
      <c r="F887" s="4" t="str">
        <f aca="false">IFERROR(INDEX(Positions!$E$2:$E$6912,MATCH($A887&amp;"|50",Positions!$A$2:$A$6912,0)),"-")</f>
        <v>U</v>
      </c>
      <c r="G887" s="4" t="str">
        <f aca="false">IFERROR(INDEX(Positions!$E$2:$E$6912,MATCH($A887&amp;"|64",Positions!$A$2:$A$6912,0)),"-")</f>
        <v>G</v>
      </c>
      <c r="H887" s="3" t="str">
        <f aca="false">F887&amp;"-"&amp;G887</f>
        <v>U-G</v>
      </c>
      <c r="I887" s="4" t="n">
        <f aca="false">(F887="G")+(G887="G")</f>
        <v>1</v>
      </c>
      <c r="J887" s="4" t="n">
        <f aca="false">(F887="C")+(G887="C")</f>
        <v>0</v>
      </c>
      <c r="K887" s="3" t="n">
        <f aca="false">I887+J887</f>
        <v>1</v>
      </c>
    </row>
    <row r="888" customFormat="false" ht="15" hidden="false" customHeight="false" outlineLevel="0" collapsed="false">
      <c r="A888" s="4" t="s">
        <v>68</v>
      </c>
      <c r="B888" s="4" t="s">
        <v>471</v>
      </c>
      <c r="C888" s="4" t="s">
        <v>527</v>
      </c>
      <c r="D888" s="4" t="n">
        <f aca="false">IFERROR(INDEX(Positions!$D$2:$D$6912,MATCH($A888&amp;"|51",Positions!$A$2:$A$6912,0)),"-")</f>
        <v>50</v>
      </c>
      <c r="E888" s="4" t="n">
        <f aca="false">IFERROR(INDEX(Positions!$D$2:$D$6912,MATCH($A888&amp;"|63",Positions!$A$2:$A$6912,0)),"-")</f>
        <v>62</v>
      </c>
      <c r="F888" s="4" t="str">
        <f aca="false">IFERROR(INDEX(Positions!$E$2:$E$6912,MATCH($A888&amp;"|51",Positions!$A$2:$A$6912,0)),"-")</f>
        <v>A</v>
      </c>
      <c r="G888" s="4" t="str">
        <f aca="false">IFERROR(INDEX(Positions!$E$2:$E$6912,MATCH($A888&amp;"|63",Positions!$A$2:$A$6912,0)),"-")</f>
        <v>U</v>
      </c>
      <c r="H888" s="3" t="str">
        <f aca="false">F888&amp;"-"&amp;G888</f>
        <v>A-U</v>
      </c>
      <c r="I888" s="4" t="n">
        <f aca="false">(F888="G")+(G888="G")</f>
        <v>0</v>
      </c>
      <c r="J888" s="4" t="n">
        <f aca="false">(F888="C")+(G888="C")</f>
        <v>0</v>
      </c>
      <c r="K888" s="3" t="n">
        <f aca="false">I888+J888</f>
        <v>0</v>
      </c>
    </row>
    <row r="889" customFormat="false" ht="15" hidden="false" customHeight="false" outlineLevel="0" collapsed="false">
      <c r="A889" s="4" t="s">
        <v>68</v>
      </c>
      <c r="B889" s="4" t="s">
        <v>471</v>
      </c>
      <c r="C889" s="4" t="s">
        <v>528</v>
      </c>
      <c r="D889" s="4" t="n">
        <f aca="false">IFERROR(INDEX(Positions!$D$2:$D$6912,MATCH($A889&amp;"|52",Positions!$A$2:$A$6912,0)),"-")</f>
        <v>51</v>
      </c>
      <c r="E889" s="4" t="n">
        <f aca="false">IFERROR(INDEX(Positions!$D$2:$D$6912,MATCH($A889&amp;"|62",Positions!$A$2:$A$6912,0)),"-")</f>
        <v>61</v>
      </c>
      <c r="F889" s="4" t="str">
        <f aca="false">IFERROR(INDEX(Positions!$E$2:$E$6912,MATCH($A889&amp;"|52",Positions!$A$2:$A$6912,0)),"-")</f>
        <v>G</v>
      </c>
      <c r="G889" s="4" t="str">
        <f aca="false">IFERROR(INDEX(Positions!$E$2:$E$6912,MATCH($A889&amp;"|62",Positions!$A$2:$A$6912,0)),"-")</f>
        <v>C</v>
      </c>
      <c r="H889" s="3" t="str">
        <f aca="false">F889&amp;"-"&amp;G889</f>
        <v>G-C</v>
      </c>
      <c r="I889" s="4" t="n">
        <f aca="false">(F889="G")+(G889="G")</f>
        <v>1</v>
      </c>
      <c r="J889" s="4" t="n">
        <f aca="false">(F889="C")+(G889="C")</f>
        <v>1</v>
      </c>
      <c r="K889" s="3" t="n">
        <f aca="false">I889+J889</f>
        <v>2</v>
      </c>
    </row>
    <row r="890" customFormat="false" ht="15" hidden="false" customHeight="false" outlineLevel="0" collapsed="false">
      <c r="A890" s="4" t="s">
        <v>68</v>
      </c>
      <c r="B890" s="4" t="s">
        <v>471</v>
      </c>
      <c r="C890" s="4" t="s">
        <v>529</v>
      </c>
      <c r="D890" s="4" t="n">
        <f aca="false">IFERROR(INDEX(Positions!$D$2:$D$6912,MATCH($A890&amp;"|53",Positions!$A$2:$A$6912,0)),"-")</f>
        <v>52</v>
      </c>
      <c r="E890" s="4" t="n">
        <f aca="false">IFERROR(INDEX(Positions!$D$2:$D$6912,MATCH($A890&amp;"|61",Positions!$A$2:$A$6912,0)),"-")</f>
        <v>60</v>
      </c>
      <c r="F890" s="4" t="str">
        <f aca="false">IFERROR(INDEX(Positions!$E$2:$E$6912,MATCH($A890&amp;"|53",Positions!$A$2:$A$6912,0)),"-")</f>
        <v>G</v>
      </c>
      <c r="G890" s="4" t="str">
        <f aca="false">IFERROR(INDEX(Positions!$E$2:$E$6912,MATCH($A890&amp;"|61",Positions!$A$2:$A$6912,0)),"-")</f>
        <v>C</v>
      </c>
      <c r="H890" s="3" t="str">
        <f aca="false">F890&amp;"-"&amp;G890</f>
        <v>G-C</v>
      </c>
      <c r="I890" s="4" t="n">
        <f aca="false">(F890="G")+(G890="G")</f>
        <v>1</v>
      </c>
      <c r="J890" s="4" t="n">
        <f aca="false">(F890="C")+(G890="C")</f>
        <v>1</v>
      </c>
      <c r="K890" s="3" t="n">
        <f aca="false">I890+J890</f>
        <v>2</v>
      </c>
    </row>
    <row r="891" customFormat="false" ht="15" hidden="false" customHeight="false" outlineLevel="0" collapsed="false">
      <c r="A891" s="24" t="s">
        <v>68</v>
      </c>
      <c r="B891" s="24" t="s">
        <v>530</v>
      </c>
      <c r="C891" s="24" t="s">
        <v>531</v>
      </c>
      <c r="D891" s="24" t="n">
        <f aca="false">IFERROR(INDEX(Positions!$D$2:$D$6912,MATCH($A891&amp;"|8",Positions!$A$2:$A$6912,0)),"-")</f>
        <v>8</v>
      </c>
      <c r="E891" s="24" t="n">
        <f aca="false">IFERROR(INDEX(Positions!$D$2:$D$6912,MATCH($A891&amp;"|14",Positions!$A$2:$A$6912,0)),"-")</f>
        <v>14</v>
      </c>
      <c r="F891" s="24" t="str">
        <f aca="false">IFERROR(INDEX(Positions!$E$2:$E$6912,MATCH($A891&amp;"|8",Positions!$A$2:$A$6912,0)),"-")</f>
        <v>U</v>
      </c>
      <c r="G891" s="24" t="str">
        <f aca="false">IFERROR(INDEX(Positions!$E$2:$E$6912,MATCH($A891&amp;"|14",Positions!$A$2:$A$6912,0)),"-")</f>
        <v>A</v>
      </c>
      <c r="H891" s="25" t="str">
        <f aca="false">F891&amp;"-"&amp;G891</f>
        <v>U-A</v>
      </c>
      <c r="I891" s="24" t="n">
        <f aca="false">(F891="G")+(G891="G")</f>
        <v>0</v>
      </c>
      <c r="J891" s="24" t="n">
        <f aca="false">(F891="C")+(G891="C")</f>
        <v>0</v>
      </c>
      <c r="K891" s="25" t="n">
        <f aca="false">I891+J891</f>
        <v>0</v>
      </c>
    </row>
    <row r="892" customFormat="false" ht="15" hidden="false" customHeight="false" outlineLevel="0" collapsed="false">
      <c r="A892" s="24" t="s">
        <v>68</v>
      </c>
      <c r="B892" s="24" t="s">
        <v>530</v>
      </c>
      <c r="C892" s="24" t="s">
        <v>532</v>
      </c>
      <c r="D892" s="24" t="n">
        <f aca="false">IFERROR(INDEX(Positions!$D$2:$D$6912,MATCH($A892&amp;"|15",Positions!$A$2:$A$6912,0)),"-")</f>
        <v>15</v>
      </c>
      <c r="E892" s="24" t="n">
        <f aca="false">IFERROR(INDEX(Positions!$D$2:$D$6912,MATCH($A892&amp;"|48",Positions!$A$2:$A$6912,0)),"-")</f>
        <v>47</v>
      </c>
      <c r="F892" s="24" t="str">
        <f aca="false">IFERROR(INDEX(Positions!$E$2:$E$6912,MATCH($A892&amp;"|15",Positions!$A$2:$A$6912,0)),"-")</f>
        <v>G</v>
      </c>
      <c r="G892" s="24" t="str">
        <f aca="false">IFERROR(INDEX(Positions!$E$2:$E$6912,MATCH($A892&amp;"|48",Positions!$A$2:$A$6912,0)),"-")</f>
        <v>C</v>
      </c>
      <c r="H892" s="25" t="str">
        <f aca="false">F892&amp;"-"&amp;G892</f>
        <v>G-C</v>
      </c>
      <c r="I892" s="24" t="n">
        <f aca="false">(F892="G")+(G892="G")</f>
        <v>1</v>
      </c>
      <c r="J892" s="24" t="n">
        <f aca="false">(F892="C")+(G892="C")</f>
        <v>1</v>
      </c>
      <c r="K892" s="25" t="n">
        <f aca="false">I892+J892</f>
        <v>2</v>
      </c>
    </row>
    <row r="893" customFormat="false" ht="15" hidden="false" customHeight="false" outlineLevel="0" collapsed="false">
      <c r="A893" s="24" t="s">
        <v>68</v>
      </c>
      <c r="B893" s="24" t="s">
        <v>530</v>
      </c>
      <c r="C893" s="24" t="s">
        <v>533</v>
      </c>
      <c r="D893" s="24" t="n">
        <f aca="false">IFERROR(INDEX(Positions!$D$2:$D$6912,MATCH($A893&amp;"|18",Positions!$A$2:$A$6912,0)),"-")</f>
        <v>17</v>
      </c>
      <c r="E893" s="24" t="n">
        <f aca="false">IFERROR(INDEX(Positions!$D$2:$D$6912,MATCH($A893&amp;"|55",Positions!$A$2:$A$6912,0)),"-")</f>
        <v>54</v>
      </c>
      <c r="F893" s="24" t="str">
        <f aca="false">IFERROR(INDEX(Positions!$E$2:$E$6912,MATCH($A893&amp;"|18",Positions!$A$2:$A$6912,0)),"-")</f>
        <v>G</v>
      </c>
      <c r="G893" s="24" t="str">
        <f aca="false">IFERROR(INDEX(Positions!$E$2:$E$6912,MATCH($A893&amp;"|55",Positions!$A$2:$A$6912,0)),"-")</f>
        <v>U</v>
      </c>
      <c r="H893" s="25" t="str">
        <f aca="false">F893&amp;"-"&amp;G893</f>
        <v>G-U</v>
      </c>
      <c r="I893" s="24" t="n">
        <f aca="false">(F893="G")+(G893="G")</f>
        <v>1</v>
      </c>
      <c r="J893" s="24" t="n">
        <f aca="false">(F893="C")+(G893="C")</f>
        <v>0</v>
      </c>
      <c r="K893" s="25" t="n">
        <f aca="false">I893+J893</f>
        <v>1</v>
      </c>
    </row>
    <row r="894" customFormat="false" ht="15" hidden="false" customHeight="false" outlineLevel="0" collapsed="false">
      <c r="A894" s="24" t="s">
        <v>68</v>
      </c>
      <c r="B894" s="24" t="s">
        <v>530</v>
      </c>
      <c r="C894" s="24" t="s">
        <v>534</v>
      </c>
      <c r="D894" s="24" t="n">
        <f aca="false">IFERROR(INDEX(Positions!$D$2:$D$6912,MATCH($A894&amp;"|19",Positions!$A$2:$A$6912,0)),"-")</f>
        <v>18</v>
      </c>
      <c r="E894" s="24" t="n">
        <f aca="false">IFERROR(INDEX(Positions!$D$2:$D$6912,MATCH($A894&amp;"|56",Positions!$A$2:$A$6912,0)),"-")</f>
        <v>55</v>
      </c>
      <c r="F894" s="24" t="str">
        <f aca="false">IFERROR(INDEX(Positions!$E$2:$E$6912,MATCH($A894&amp;"|19",Positions!$A$2:$A$6912,0)),"-")</f>
        <v>G</v>
      </c>
      <c r="G894" s="24" t="str">
        <f aca="false">IFERROR(INDEX(Positions!$E$2:$E$6912,MATCH($A894&amp;"|56",Positions!$A$2:$A$6912,0)),"-")</f>
        <v>C</v>
      </c>
      <c r="H894" s="25" t="str">
        <f aca="false">F894&amp;"-"&amp;G894</f>
        <v>G-C</v>
      </c>
      <c r="I894" s="24" t="n">
        <f aca="false">(F894="G")+(G894="G")</f>
        <v>1</v>
      </c>
      <c r="J894" s="24" t="n">
        <f aca="false">(F894="C")+(G894="C")</f>
        <v>1</v>
      </c>
      <c r="K894" s="25" t="n">
        <f aca="false">I894+J894</f>
        <v>2</v>
      </c>
    </row>
    <row r="895" customFormat="false" ht="15" hidden="false" customHeight="false" outlineLevel="0" collapsed="false">
      <c r="A895" s="24" t="s">
        <v>68</v>
      </c>
      <c r="B895" s="24" t="s">
        <v>530</v>
      </c>
      <c r="C895" s="24" t="s">
        <v>535</v>
      </c>
      <c r="D895" s="24" t="n">
        <f aca="false">IFERROR(INDEX(Positions!$D$2:$D$6912,MATCH($A895&amp;"|26",Positions!$A$2:$A$6912,0)),"-")</f>
        <v>25</v>
      </c>
      <c r="E895" s="24" t="n">
        <f aca="false">IFERROR(INDEX(Positions!$D$2:$D$6912,MATCH($A895&amp;"|44",Positions!$A$2:$A$6912,0)),"-")</f>
        <v>43</v>
      </c>
      <c r="F895" s="24" t="str">
        <f aca="false">IFERROR(INDEX(Positions!$E$2:$E$6912,MATCH($A895&amp;"|26",Positions!$A$2:$A$6912,0)),"-")</f>
        <v>A</v>
      </c>
      <c r="G895" s="24" t="str">
        <f aca="false">IFERROR(INDEX(Positions!$E$2:$E$6912,MATCH($A895&amp;"|44",Positions!$A$2:$A$6912,0)),"-")</f>
        <v>G</v>
      </c>
      <c r="H895" s="25" t="str">
        <f aca="false">F895&amp;"-"&amp;G895</f>
        <v>A-G</v>
      </c>
      <c r="I895" s="24" t="n">
        <f aca="false">(F895="G")+(G895="G")</f>
        <v>1</v>
      </c>
      <c r="J895" s="24" t="n">
        <f aca="false">(F895="C")+(G895="C")</f>
        <v>0</v>
      </c>
      <c r="K895" s="25" t="n">
        <f aca="false">I895+J895</f>
        <v>1</v>
      </c>
    </row>
    <row r="896" customFormat="false" ht="15" hidden="false" customHeight="false" outlineLevel="0" collapsed="false">
      <c r="A896" s="24" t="s">
        <v>68</v>
      </c>
      <c r="B896" s="24" t="s">
        <v>530</v>
      </c>
      <c r="C896" s="24" t="s">
        <v>536</v>
      </c>
      <c r="D896" s="24" t="n">
        <f aca="false">IFERROR(INDEX(Positions!$D$2:$D$6912,MATCH($A896&amp;"|32",Positions!$A$2:$A$6912,0)),"-")</f>
        <v>31</v>
      </c>
      <c r="E896" s="24" t="n">
        <f aca="false">IFERROR(INDEX(Positions!$D$2:$D$6912,MATCH($A896&amp;"|38",Positions!$A$2:$A$6912,0)),"-")</f>
        <v>37</v>
      </c>
      <c r="F896" s="24" t="str">
        <f aca="false">IFERROR(INDEX(Positions!$E$2:$E$6912,MATCH($A896&amp;"|32",Positions!$A$2:$A$6912,0)),"-")</f>
        <v>U</v>
      </c>
      <c r="G896" s="24" t="str">
        <f aca="false">IFERROR(INDEX(Positions!$E$2:$E$6912,MATCH($A896&amp;"|38",Positions!$A$2:$A$6912,0)),"-")</f>
        <v>A</v>
      </c>
      <c r="H896" s="25" t="str">
        <f aca="false">F896&amp;"-"&amp;G896</f>
        <v>U-A</v>
      </c>
      <c r="I896" s="24" t="n">
        <f aca="false">(F896="G")+(G896="G")</f>
        <v>0</v>
      </c>
      <c r="J896" s="24" t="n">
        <f aca="false">(F896="C")+(G896="C")</f>
        <v>0</v>
      </c>
      <c r="K896" s="25" t="n">
        <f aca="false">I896+J896</f>
        <v>0</v>
      </c>
    </row>
    <row r="897" customFormat="false" ht="15" hidden="false" customHeight="false" outlineLevel="0" collapsed="false">
      <c r="A897" s="24" t="s">
        <v>68</v>
      </c>
      <c r="B897" s="24" t="s">
        <v>530</v>
      </c>
      <c r="C897" s="24" t="s">
        <v>537</v>
      </c>
      <c r="D897" s="24" t="n">
        <f aca="false">IFERROR(INDEX(Positions!$D$2:$D$6912,MATCH($A897&amp;"|54",Positions!$A$2:$A$6912,0)),"-")</f>
        <v>53</v>
      </c>
      <c r="E897" s="24" t="n">
        <f aca="false">IFERROR(INDEX(Positions!$D$2:$D$6912,MATCH($A897&amp;"|58",Positions!$A$2:$A$6912,0)),"-")</f>
        <v>57</v>
      </c>
      <c r="F897" s="24" t="str">
        <f aca="false">IFERROR(INDEX(Positions!$E$2:$E$6912,MATCH($A897&amp;"|54",Positions!$A$2:$A$6912,0)),"-")</f>
        <v>U</v>
      </c>
      <c r="G897" s="24" t="str">
        <f aca="false">IFERROR(INDEX(Positions!$E$2:$E$6912,MATCH($A897&amp;"|58",Positions!$A$2:$A$6912,0)),"-")</f>
        <v>A</v>
      </c>
      <c r="H897" s="25" t="str">
        <f aca="false">F897&amp;"-"&amp;G897</f>
        <v>U-A</v>
      </c>
      <c r="I897" s="24" t="n">
        <f aca="false">(F897="G")+(G897="G")</f>
        <v>0</v>
      </c>
      <c r="J897" s="24" t="n">
        <f aca="false">(F897="C")+(G897="C")</f>
        <v>0</v>
      </c>
      <c r="K897" s="25" t="n">
        <f aca="false">I897+J897</f>
        <v>0</v>
      </c>
    </row>
    <row r="898" customFormat="false" ht="15" hidden="false" customHeight="false" outlineLevel="0" collapsed="false">
      <c r="A898" s="4" t="s">
        <v>69</v>
      </c>
      <c r="B898" s="4" t="s">
        <v>412</v>
      </c>
      <c r="C898" s="4" t="s">
        <v>517</v>
      </c>
      <c r="D898" s="4" t="n">
        <f aca="false">IFERROR(INDEX(Positions!$D$2:$D$6912,MATCH($A898&amp;"|1",Positions!$A$2:$A$6912,0)),"-")</f>
        <v>1</v>
      </c>
      <c r="E898" s="4" t="n">
        <f aca="false">IFERROR(INDEX(Positions!$D$2:$D$6912,MATCH($A898&amp;"|72",Positions!$A$2:$A$6912,0)),"-")</f>
        <v>72</v>
      </c>
      <c r="F898" s="4" t="str">
        <f aca="false">IFERROR(INDEX(Positions!$E$2:$E$6912,MATCH($A898&amp;"|1",Positions!$A$2:$A$6912,0)),"-")</f>
        <v>U</v>
      </c>
      <c r="G898" s="4" t="str">
        <f aca="false">IFERROR(INDEX(Positions!$E$2:$E$6912,MATCH($A898&amp;"|72",Positions!$A$2:$A$6912,0)),"-")</f>
        <v>A</v>
      </c>
      <c r="H898" s="3" t="str">
        <f aca="false">F898&amp;"-"&amp;G898</f>
        <v>U-A</v>
      </c>
      <c r="I898" s="4" t="n">
        <f aca="false">(F898="G")+(G898="G")</f>
        <v>0</v>
      </c>
      <c r="J898" s="4" t="n">
        <f aca="false">(F898="C")+(G898="C")</f>
        <v>0</v>
      </c>
      <c r="K898" s="3" t="n">
        <f aca="false">I898+J898</f>
        <v>0</v>
      </c>
    </row>
    <row r="899" customFormat="false" ht="15" hidden="false" customHeight="false" outlineLevel="0" collapsed="false">
      <c r="A899" s="4" t="s">
        <v>69</v>
      </c>
      <c r="B899" s="4" t="s">
        <v>412</v>
      </c>
      <c r="C899" s="4" t="s">
        <v>518</v>
      </c>
      <c r="D899" s="4" t="n">
        <f aca="false">IFERROR(INDEX(Positions!$D$2:$D$6912,MATCH($A899&amp;"|2",Positions!$A$2:$A$6912,0)),"-")</f>
        <v>2</v>
      </c>
      <c r="E899" s="4" t="n">
        <f aca="false">IFERROR(INDEX(Positions!$D$2:$D$6912,MATCH($A899&amp;"|71",Positions!$A$2:$A$6912,0)),"-")</f>
        <v>71</v>
      </c>
      <c r="F899" s="4" t="str">
        <f aca="false">IFERROR(INDEX(Positions!$E$2:$E$6912,MATCH($A899&amp;"|2",Positions!$A$2:$A$6912,0)),"-")</f>
        <v>C</v>
      </c>
      <c r="G899" s="4" t="str">
        <f aca="false">IFERROR(INDEX(Positions!$E$2:$E$6912,MATCH($A899&amp;"|71",Positions!$A$2:$A$6912,0)),"-")</f>
        <v>G</v>
      </c>
      <c r="H899" s="3" t="str">
        <f aca="false">F899&amp;"-"&amp;G899</f>
        <v>C-G</v>
      </c>
      <c r="I899" s="4" t="n">
        <f aca="false">(F899="G")+(G899="G")</f>
        <v>1</v>
      </c>
      <c r="J899" s="4" t="n">
        <f aca="false">(F899="C")+(G899="C")</f>
        <v>1</v>
      </c>
      <c r="K899" s="3" t="n">
        <f aca="false">I899+J899</f>
        <v>2</v>
      </c>
    </row>
    <row r="900" customFormat="false" ht="15" hidden="false" customHeight="false" outlineLevel="0" collapsed="false">
      <c r="A900" s="4" t="s">
        <v>69</v>
      </c>
      <c r="B900" s="4" t="s">
        <v>412</v>
      </c>
      <c r="C900" s="4" t="s">
        <v>386</v>
      </c>
      <c r="D900" s="4" t="n">
        <f aca="false">IFERROR(INDEX(Positions!$D$2:$D$6912,MATCH($A900&amp;"|3",Positions!$A$2:$A$6912,0)),"-")</f>
        <v>3</v>
      </c>
      <c r="E900" s="4" t="n">
        <f aca="false">IFERROR(INDEX(Positions!$D$2:$D$6912,MATCH($A900&amp;"|70",Positions!$A$2:$A$6912,0)),"-")</f>
        <v>70</v>
      </c>
      <c r="F900" s="4" t="str">
        <f aca="false">IFERROR(INDEX(Positions!$E$2:$E$6912,MATCH($A900&amp;"|3",Positions!$A$2:$A$6912,0)),"-")</f>
        <v>C</v>
      </c>
      <c r="G900" s="4" t="str">
        <f aca="false">IFERROR(INDEX(Positions!$E$2:$E$6912,MATCH($A900&amp;"|70",Positions!$A$2:$A$6912,0)),"-")</f>
        <v>G</v>
      </c>
      <c r="H900" s="3" t="str">
        <f aca="false">F900&amp;"-"&amp;G900</f>
        <v>C-G</v>
      </c>
      <c r="I900" s="4" t="n">
        <f aca="false">(F900="G")+(G900="G")</f>
        <v>1</v>
      </c>
      <c r="J900" s="4" t="n">
        <f aca="false">(F900="C")+(G900="C")</f>
        <v>1</v>
      </c>
      <c r="K900" s="3" t="n">
        <f aca="false">I900+J900</f>
        <v>2</v>
      </c>
    </row>
    <row r="901" customFormat="false" ht="15" hidden="false" customHeight="false" outlineLevel="0" collapsed="false">
      <c r="A901" s="4" t="s">
        <v>69</v>
      </c>
      <c r="B901" s="4" t="s">
        <v>412</v>
      </c>
      <c r="C901" s="4" t="s">
        <v>519</v>
      </c>
      <c r="D901" s="4" t="n">
        <f aca="false">IFERROR(INDEX(Positions!$D$2:$D$6912,MATCH($A901&amp;"|4",Positions!$A$2:$A$6912,0)),"-")</f>
        <v>4</v>
      </c>
      <c r="E901" s="4" t="n">
        <f aca="false">IFERROR(INDEX(Positions!$D$2:$D$6912,MATCH($A901&amp;"|69",Positions!$A$2:$A$6912,0)),"-")</f>
        <v>69</v>
      </c>
      <c r="F901" s="4" t="str">
        <f aca="false">IFERROR(INDEX(Positions!$E$2:$E$6912,MATCH($A901&amp;"|4",Positions!$A$2:$A$6912,0)),"-")</f>
        <v>C</v>
      </c>
      <c r="G901" s="4" t="str">
        <f aca="false">IFERROR(INDEX(Positions!$E$2:$E$6912,MATCH($A901&amp;"|69",Positions!$A$2:$A$6912,0)),"-")</f>
        <v>G</v>
      </c>
      <c r="H901" s="3" t="str">
        <f aca="false">F901&amp;"-"&amp;G901</f>
        <v>C-G</v>
      </c>
      <c r="I901" s="4" t="n">
        <f aca="false">(F901="G")+(G901="G")</f>
        <v>1</v>
      </c>
      <c r="J901" s="4" t="n">
        <f aca="false">(F901="C")+(G901="C")</f>
        <v>1</v>
      </c>
      <c r="K901" s="3" t="n">
        <f aca="false">I901+J901</f>
        <v>2</v>
      </c>
    </row>
    <row r="902" customFormat="false" ht="15" hidden="false" customHeight="false" outlineLevel="0" collapsed="false">
      <c r="A902" s="4" t="s">
        <v>69</v>
      </c>
      <c r="B902" s="4" t="s">
        <v>412</v>
      </c>
      <c r="C902" s="4" t="s">
        <v>283</v>
      </c>
      <c r="D902" s="4" t="n">
        <f aca="false">IFERROR(INDEX(Positions!$D$2:$D$6912,MATCH($A902&amp;"|5",Positions!$A$2:$A$6912,0)),"-")</f>
        <v>5</v>
      </c>
      <c r="E902" s="4" t="n">
        <f aca="false">IFERROR(INDEX(Positions!$D$2:$D$6912,MATCH($A902&amp;"|68",Positions!$A$2:$A$6912,0)),"-")</f>
        <v>68</v>
      </c>
      <c r="F902" s="4" t="str">
        <f aca="false">IFERROR(INDEX(Positions!$E$2:$E$6912,MATCH($A902&amp;"|5",Positions!$A$2:$A$6912,0)),"-")</f>
        <v>G</v>
      </c>
      <c r="G902" s="4" t="str">
        <f aca="false">IFERROR(INDEX(Positions!$E$2:$E$6912,MATCH($A902&amp;"|68",Positions!$A$2:$A$6912,0)),"-")</f>
        <v>U</v>
      </c>
      <c r="H902" s="3" t="str">
        <f aca="false">F902&amp;"-"&amp;G902</f>
        <v>G-U</v>
      </c>
      <c r="I902" s="4" t="n">
        <f aca="false">(F902="G")+(G902="G")</f>
        <v>1</v>
      </c>
      <c r="J902" s="4" t="n">
        <f aca="false">(F902="C")+(G902="C")</f>
        <v>0</v>
      </c>
      <c r="K902" s="3" t="n">
        <f aca="false">I902+J902</f>
        <v>1</v>
      </c>
    </row>
    <row r="903" customFormat="false" ht="15" hidden="false" customHeight="false" outlineLevel="0" collapsed="false">
      <c r="A903" s="4" t="s">
        <v>69</v>
      </c>
      <c r="B903" s="4" t="s">
        <v>412</v>
      </c>
      <c r="C903" s="4" t="s">
        <v>520</v>
      </c>
      <c r="D903" s="4" t="n">
        <f aca="false">IFERROR(INDEX(Positions!$D$2:$D$6912,MATCH($A903&amp;"|6",Positions!$A$2:$A$6912,0)),"-")</f>
        <v>6</v>
      </c>
      <c r="E903" s="4" t="n">
        <f aca="false">IFERROR(INDEX(Positions!$D$2:$D$6912,MATCH($A903&amp;"|67",Positions!$A$2:$A$6912,0)),"-")</f>
        <v>67</v>
      </c>
      <c r="F903" s="4" t="str">
        <f aca="false">IFERROR(INDEX(Positions!$E$2:$E$6912,MATCH($A903&amp;"|6",Positions!$A$2:$A$6912,0)),"-")</f>
        <v>G</v>
      </c>
      <c r="G903" s="4" t="str">
        <f aca="false">IFERROR(INDEX(Positions!$E$2:$E$6912,MATCH($A903&amp;"|67",Positions!$A$2:$A$6912,0)),"-")</f>
        <v>U</v>
      </c>
      <c r="H903" s="3" t="str">
        <f aca="false">F903&amp;"-"&amp;G903</f>
        <v>G-U</v>
      </c>
      <c r="I903" s="4" t="n">
        <f aca="false">(F903="G")+(G903="G")</f>
        <v>1</v>
      </c>
      <c r="J903" s="4" t="n">
        <f aca="false">(F903="C")+(G903="C")</f>
        <v>0</v>
      </c>
      <c r="K903" s="3" t="n">
        <f aca="false">I903+J903</f>
        <v>1</v>
      </c>
    </row>
    <row r="904" customFormat="false" ht="15" hidden="false" customHeight="false" outlineLevel="0" collapsed="false">
      <c r="A904" s="4" t="s">
        <v>69</v>
      </c>
      <c r="B904" s="4" t="s">
        <v>412</v>
      </c>
      <c r="C904" s="4" t="s">
        <v>521</v>
      </c>
      <c r="D904" s="4" t="n">
        <f aca="false">IFERROR(INDEX(Positions!$D$2:$D$6912,MATCH($A904&amp;"|7",Positions!$A$2:$A$6912,0)),"-")</f>
        <v>7</v>
      </c>
      <c r="E904" s="4" t="n">
        <f aca="false">IFERROR(INDEX(Positions!$D$2:$D$6912,MATCH($A904&amp;"|66",Positions!$A$2:$A$6912,0)),"-")</f>
        <v>66</v>
      </c>
      <c r="F904" s="4" t="str">
        <f aca="false">IFERROR(INDEX(Positions!$E$2:$E$6912,MATCH($A904&amp;"|7",Positions!$A$2:$A$6912,0)),"-")</f>
        <v>C</v>
      </c>
      <c r="G904" s="4" t="str">
        <f aca="false">IFERROR(INDEX(Positions!$E$2:$E$6912,MATCH($A904&amp;"|66",Positions!$A$2:$A$6912,0)),"-")</f>
        <v>G</v>
      </c>
      <c r="H904" s="3" t="str">
        <f aca="false">F904&amp;"-"&amp;G904</f>
        <v>C-G</v>
      </c>
      <c r="I904" s="4" t="n">
        <f aca="false">(F904="G")+(G904="G")</f>
        <v>1</v>
      </c>
      <c r="J904" s="4" t="n">
        <f aca="false">(F904="C")+(G904="C")</f>
        <v>1</v>
      </c>
      <c r="K904" s="3" t="n">
        <f aca="false">I904+J904</f>
        <v>2</v>
      </c>
    </row>
    <row r="905" customFormat="false" ht="15" hidden="false" customHeight="false" outlineLevel="0" collapsed="false">
      <c r="A905" s="4" t="s">
        <v>69</v>
      </c>
      <c r="B905" s="4" t="s">
        <v>425</v>
      </c>
      <c r="C905" s="4" t="s">
        <v>522</v>
      </c>
      <c r="D905" s="4" t="n">
        <f aca="false">IFERROR(INDEX(Positions!$D$2:$D$6912,MATCH($A905&amp;"|10",Positions!$A$2:$A$6912,0)),"-")</f>
        <v>10</v>
      </c>
      <c r="E905" s="4" t="n">
        <f aca="false">IFERROR(INDEX(Positions!$D$2:$D$6912,MATCH($A905&amp;"|25",Positions!$A$2:$A$6912,0)),"-")</f>
        <v>25</v>
      </c>
      <c r="F905" s="4" t="str">
        <f aca="false">IFERROR(INDEX(Positions!$E$2:$E$6912,MATCH($A905&amp;"|10",Positions!$A$2:$A$6912,0)),"-")</f>
        <v>G</v>
      </c>
      <c r="G905" s="4" t="str">
        <f aca="false">IFERROR(INDEX(Positions!$E$2:$E$6912,MATCH($A905&amp;"|25",Positions!$A$2:$A$6912,0)),"-")</f>
        <v>C</v>
      </c>
      <c r="H905" s="3" t="str">
        <f aca="false">F905&amp;"-"&amp;G905</f>
        <v>G-C</v>
      </c>
      <c r="I905" s="4" t="n">
        <f aca="false">(F905="G")+(G905="G")</f>
        <v>1</v>
      </c>
      <c r="J905" s="4" t="n">
        <f aca="false">(F905="C")+(G905="C")</f>
        <v>1</v>
      </c>
      <c r="K905" s="3" t="n">
        <f aca="false">I905+J905</f>
        <v>2</v>
      </c>
    </row>
    <row r="906" customFormat="false" ht="15" hidden="false" customHeight="false" outlineLevel="0" collapsed="false">
      <c r="A906" s="4" t="s">
        <v>69</v>
      </c>
      <c r="B906" s="4" t="s">
        <v>425</v>
      </c>
      <c r="C906" s="4" t="s">
        <v>523</v>
      </c>
      <c r="D906" s="4" t="n">
        <f aca="false">IFERROR(INDEX(Positions!$D$2:$D$6912,MATCH($A906&amp;"|11",Positions!$A$2:$A$6912,0)),"-")</f>
        <v>11</v>
      </c>
      <c r="E906" s="4" t="n">
        <f aca="false">IFERROR(INDEX(Positions!$D$2:$D$6912,MATCH($A906&amp;"|24",Positions!$A$2:$A$6912,0)),"-")</f>
        <v>24</v>
      </c>
      <c r="F906" s="4" t="str">
        <f aca="false">IFERROR(INDEX(Positions!$E$2:$E$6912,MATCH($A906&amp;"|11",Positions!$A$2:$A$6912,0)),"-")</f>
        <v>C</v>
      </c>
      <c r="G906" s="4" t="str">
        <f aca="false">IFERROR(INDEX(Positions!$E$2:$E$6912,MATCH($A906&amp;"|24",Positions!$A$2:$A$6912,0)),"-")</f>
        <v>G</v>
      </c>
      <c r="H906" s="3" t="str">
        <f aca="false">F906&amp;"-"&amp;G906</f>
        <v>C-G</v>
      </c>
      <c r="I906" s="4" t="n">
        <f aca="false">(F906="G")+(G906="G")</f>
        <v>1</v>
      </c>
      <c r="J906" s="4" t="n">
        <f aca="false">(F906="C")+(G906="C")</f>
        <v>1</v>
      </c>
      <c r="K906" s="3" t="n">
        <f aca="false">I906+J906</f>
        <v>2</v>
      </c>
    </row>
    <row r="907" customFormat="false" ht="15" hidden="false" customHeight="false" outlineLevel="0" collapsed="false">
      <c r="A907" s="4" t="s">
        <v>69</v>
      </c>
      <c r="B907" s="4" t="s">
        <v>425</v>
      </c>
      <c r="C907" s="4" t="s">
        <v>250</v>
      </c>
      <c r="D907" s="4" t="n">
        <f aca="false">IFERROR(INDEX(Positions!$D$2:$D$6912,MATCH($A907&amp;"|12",Positions!$A$2:$A$6912,0)),"-")</f>
        <v>12</v>
      </c>
      <c r="E907" s="4" t="n">
        <f aca="false">IFERROR(INDEX(Positions!$D$2:$D$6912,MATCH($A907&amp;"|23",Positions!$A$2:$A$6912,0)),"-")</f>
        <v>23</v>
      </c>
      <c r="F907" s="4" t="str">
        <f aca="false">IFERROR(INDEX(Positions!$E$2:$E$6912,MATCH($A907&amp;"|12",Positions!$A$2:$A$6912,0)),"-")</f>
        <v>U</v>
      </c>
      <c r="G907" s="4" t="str">
        <f aca="false">IFERROR(INDEX(Positions!$E$2:$E$6912,MATCH($A907&amp;"|23",Positions!$A$2:$A$6912,0)),"-")</f>
        <v>A</v>
      </c>
      <c r="H907" s="3" t="str">
        <f aca="false">F907&amp;"-"&amp;G907</f>
        <v>U-A</v>
      </c>
      <c r="I907" s="4" t="n">
        <f aca="false">(F907="G")+(G907="G")</f>
        <v>0</v>
      </c>
      <c r="J907" s="4" t="n">
        <f aca="false">(F907="C")+(G907="C")</f>
        <v>0</v>
      </c>
      <c r="K907" s="3" t="n">
        <f aca="false">I907+J907</f>
        <v>0</v>
      </c>
    </row>
    <row r="908" customFormat="false" ht="15" hidden="false" customHeight="false" outlineLevel="0" collapsed="false">
      <c r="A908" s="4" t="s">
        <v>69</v>
      </c>
      <c r="B908" s="4" t="s">
        <v>425</v>
      </c>
      <c r="C908" s="4" t="s">
        <v>154</v>
      </c>
      <c r="D908" s="4" t="n">
        <f aca="false">IFERROR(INDEX(Positions!$D$2:$D$6912,MATCH($A908&amp;"|13",Positions!$A$2:$A$6912,0)),"-")</f>
        <v>13</v>
      </c>
      <c r="E908" s="4" t="n">
        <f aca="false">IFERROR(INDEX(Positions!$D$2:$D$6912,MATCH($A908&amp;"|22",Positions!$A$2:$A$6912,0)),"-")</f>
        <v>22</v>
      </c>
      <c r="F908" s="4" t="str">
        <f aca="false">IFERROR(INDEX(Positions!$E$2:$E$6912,MATCH($A908&amp;"|13",Positions!$A$2:$A$6912,0)),"-")</f>
        <v>C</v>
      </c>
      <c r="G908" s="4" t="str">
        <f aca="false">IFERROR(INDEX(Positions!$E$2:$E$6912,MATCH($A908&amp;"|22",Positions!$A$2:$A$6912,0)),"-")</f>
        <v>G</v>
      </c>
      <c r="H908" s="3" t="str">
        <f aca="false">F908&amp;"-"&amp;G908</f>
        <v>C-G</v>
      </c>
      <c r="I908" s="4" t="n">
        <f aca="false">(F908="G")+(G908="G")</f>
        <v>1</v>
      </c>
      <c r="J908" s="4" t="n">
        <f aca="false">(F908="C")+(G908="C")</f>
        <v>1</v>
      </c>
      <c r="K908" s="3" t="n">
        <f aca="false">I908+J908</f>
        <v>2</v>
      </c>
    </row>
    <row r="909" customFormat="false" ht="15" hidden="false" customHeight="false" outlineLevel="0" collapsed="false">
      <c r="A909" s="4" t="s">
        <v>69</v>
      </c>
      <c r="B909" s="4" t="s">
        <v>446</v>
      </c>
      <c r="C909" s="4" t="s">
        <v>524</v>
      </c>
      <c r="D909" s="4" t="n">
        <f aca="false">IFERROR(INDEX(Positions!$D$2:$D$6912,MATCH($A909&amp;"|27",Positions!$A$2:$A$6912,0)),"-")</f>
        <v>27</v>
      </c>
      <c r="E909" s="4" t="n">
        <f aca="false">IFERROR(INDEX(Positions!$D$2:$D$6912,MATCH($A909&amp;"|43",Positions!$A$2:$A$6912,0)),"-")</f>
        <v>43</v>
      </c>
      <c r="F909" s="4" t="str">
        <f aca="false">IFERROR(INDEX(Positions!$E$2:$E$6912,MATCH($A909&amp;"|27",Positions!$A$2:$A$6912,0)),"-")</f>
        <v>C</v>
      </c>
      <c r="G909" s="4" t="str">
        <f aca="false">IFERROR(INDEX(Positions!$E$2:$E$6912,MATCH($A909&amp;"|43",Positions!$A$2:$A$6912,0)),"-")</f>
        <v>G</v>
      </c>
      <c r="H909" s="3" t="str">
        <f aca="false">F909&amp;"-"&amp;G909</f>
        <v>C-G</v>
      </c>
      <c r="I909" s="4" t="n">
        <f aca="false">(F909="G")+(G909="G")</f>
        <v>1</v>
      </c>
      <c r="J909" s="4" t="n">
        <f aca="false">(F909="C")+(G909="C")</f>
        <v>1</v>
      </c>
      <c r="K909" s="3" t="n">
        <f aca="false">I909+J909</f>
        <v>2</v>
      </c>
    </row>
    <row r="910" customFormat="false" ht="15" hidden="false" customHeight="false" outlineLevel="0" collapsed="false">
      <c r="A910" s="4" t="s">
        <v>69</v>
      </c>
      <c r="B910" s="4" t="s">
        <v>446</v>
      </c>
      <c r="C910" s="4" t="s">
        <v>525</v>
      </c>
      <c r="D910" s="4" t="n">
        <f aca="false">IFERROR(INDEX(Positions!$D$2:$D$6912,MATCH($A910&amp;"|28",Positions!$A$2:$A$6912,0)),"-")</f>
        <v>28</v>
      </c>
      <c r="E910" s="4" t="n">
        <f aca="false">IFERROR(INDEX(Positions!$D$2:$D$6912,MATCH($A910&amp;"|42",Positions!$A$2:$A$6912,0)),"-")</f>
        <v>42</v>
      </c>
      <c r="F910" s="4" t="str">
        <f aca="false">IFERROR(INDEX(Positions!$E$2:$E$6912,MATCH($A910&amp;"|28",Positions!$A$2:$A$6912,0)),"-")</f>
        <v>G</v>
      </c>
      <c r="G910" s="4" t="str">
        <f aca="false">IFERROR(INDEX(Positions!$E$2:$E$6912,MATCH($A910&amp;"|42",Positions!$A$2:$A$6912,0)),"-")</f>
        <v>C</v>
      </c>
      <c r="H910" s="3" t="str">
        <f aca="false">F910&amp;"-"&amp;G910</f>
        <v>G-C</v>
      </c>
      <c r="I910" s="4" t="n">
        <f aca="false">(F910="G")+(G910="G")</f>
        <v>1</v>
      </c>
      <c r="J910" s="4" t="n">
        <f aca="false">(F910="C")+(G910="C")</f>
        <v>1</v>
      </c>
      <c r="K910" s="3" t="n">
        <f aca="false">I910+J910</f>
        <v>2</v>
      </c>
    </row>
    <row r="911" customFormat="false" ht="15" hidden="false" customHeight="false" outlineLevel="0" collapsed="false">
      <c r="A911" s="4" t="s">
        <v>69</v>
      </c>
      <c r="B911" s="4" t="s">
        <v>446</v>
      </c>
      <c r="C911" s="4" t="s">
        <v>256</v>
      </c>
      <c r="D911" s="4" t="n">
        <f aca="false">IFERROR(INDEX(Positions!$D$2:$D$6912,MATCH($A911&amp;"|29",Positions!$A$2:$A$6912,0)),"-")</f>
        <v>29</v>
      </c>
      <c r="E911" s="4" t="n">
        <f aca="false">IFERROR(INDEX(Positions!$D$2:$D$6912,MATCH($A911&amp;"|41",Positions!$A$2:$A$6912,0)),"-")</f>
        <v>41</v>
      </c>
      <c r="F911" s="4" t="str">
        <f aca="false">IFERROR(INDEX(Positions!$E$2:$E$6912,MATCH($A911&amp;"|29",Positions!$A$2:$A$6912,0)),"-")</f>
        <v>A</v>
      </c>
      <c r="G911" s="4" t="str">
        <f aca="false">IFERROR(INDEX(Positions!$E$2:$E$6912,MATCH($A911&amp;"|41",Positions!$A$2:$A$6912,0)),"-")</f>
        <v>U</v>
      </c>
      <c r="H911" s="3" t="str">
        <f aca="false">F911&amp;"-"&amp;G911</f>
        <v>A-U</v>
      </c>
      <c r="I911" s="4" t="n">
        <f aca="false">(F911="G")+(G911="G")</f>
        <v>0</v>
      </c>
      <c r="J911" s="4" t="n">
        <f aca="false">(F911="C")+(G911="C")</f>
        <v>0</v>
      </c>
      <c r="K911" s="3" t="n">
        <f aca="false">I911+J911</f>
        <v>0</v>
      </c>
    </row>
    <row r="912" customFormat="false" ht="15" hidden="false" customHeight="false" outlineLevel="0" collapsed="false">
      <c r="A912" s="4" t="s">
        <v>69</v>
      </c>
      <c r="B912" s="4" t="s">
        <v>446</v>
      </c>
      <c r="C912" s="4" t="s">
        <v>526</v>
      </c>
      <c r="D912" s="4" t="n">
        <f aca="false">IFERROR(INDEX(Positions!$D$2:$D$6912,MATCH($A912&amp;"|30",Positions!$A$2:$A$6912,0)),"-")</f>
        <v>30</v>
      </c>
      <c r="E912" s="4" t="n">
        <f aca="false">IFERROR(INDEX(Positions!$D$2:$D$6912,MATCH($A912&amp;"|40",Positions!$A$2:$A$6912,0)),"-")</f>
        <v>40</v>
      </c>
      <c r="F912" s="4" t="str">
        <f aca="false">IFERROR(INDEX(Positions!$E$2:$E$6912,MATCH($A912&amp;"|30",Positions!$A$2:$A$6912,0)),"-")</f>
        <v>G</v>
      </c>
      <c r="G912" s="4" t="str">
        <f aca="false">IFERROR(INDEX(Positions!$E$2:$E$6912,MATCH($A912&amp;"|40",Positions!$A$2:$A$6912,0)),"-")</f>
        <v>C</v>
      </c>
      <c r="H912" s="3" t="str">
        <f aca="false">F912&amp;"-"&amp;G912</f>
        <v>G-C</v>
      </c>
      <c r="I912" s="4" t="n">
        <f aca="false">(F912="G")+(G912="G")</f>
        <v>1</v>
      </c>
      <c r="J912" s="4" t="n">
        <f aca="false">(F912="C")+(G912="C")</f>
        <v>1</v>
      </c>
      <c r="K912" s="3" t="n">
        <f aca="false">I912+J912</f>
        <v>2</v>
      </c>
    </row>
    <row r="913" customFormat="false" ht="15" hidden="false" customHeight="false" outlineLevel="0" collapsed="false">
      <c r="A913" s="4" t="s">
        <v>69</v>
      </c>
      <c r="B913" s="4" t="s">
        <v>446</v>
      </c>
      <c r="C913" s="4" t="s">
        <v>273</v>
      </c>
      <c r="D913" s="4" t="n">
        <f aca="false">IFERROR(INDEX(Positions!$D$2:$D$6912,MATCH($A913&amp;"|31",Positions!$A$2:$A$6912,0)),"-")</f>
        <v>31</v>
      </c>
      <c r="E913" s="4" t="n">
        <f aca="false">IFERROR(INDEX(Positions!$D$2:$D$6912,MATCH($A913&amp;"|39",Positions!$A$2:$A$6912,0)),"-")</f>
        <v>39</v>
      </c>
      <c r="F913" s="4" t="str">
        <f aca="false">IFERROR(INDEX(Positions!$E$2:$E$6912,MATCH($A913&amp;"|31",Positions!$A$2:$A$6912,0)),"-")</f>
        <v>A</v>
      </c>
      <c r="G913" s="4" t="str">
        <f aca="false">IFERROR(INDEX(Positions!$E$2:$E$6912,MATCH($A913&amp;"|39",Positions!$A$2:$A$6912,0)),"-")</f>
        <v>U</v>
      </c>
      <c r="H913" s="3" t="str">
        <f aca="false">F913&amp;"-"&amp;G913</f>
        <v>A-U</v>
      </c>
      <c r="I913" s="4" t="n">
        <f aca="false">(F913="G")+(G913="G")</f>
        <v>0</v>
      </c>
      <c r="J913" s="4" t="n">
        <f aca="false">(F913="C")+(G913="C")</f>
        <v>0</v>
      </c>
      <c r="K913" s="3" t="n">
        <f aca="false">I913+J913</f>
        <v>0</v>
      </c>
    </row>
    <row r="914" customFormat="false" ht="15" hidden="false" customHeight="false" outlineLevel="0" collapsed="false">
      <c r="A914" s="4" t="s">
        <v>69</v>
      </c>
      <c r="B914" s="4" t="s">
        <v>471</v>
      </c>
      <c r="C914" s="4" t="s">
        <v>367</v>
      </c>
      <c r="D914" s="4" t="n">
        <f aca="false">IFERROR(INDEX(Positions!$D$2:$D$6912,MATCH($A914&amp;"|49",Positions!$A$2:$A$6912,0)),"-")</f>
        <v>49</v>
      </c>
      <c r="E914" s="4" t="n">
        <f aca="false">IFERROR(INDEX(Positions!$D$2:$D$6912,MATCH($A914&amp;"|65",Positions!$A$2:$A$6912,0)),"-")</f>
        <v>65</v>
      </c>
      <c r="F914" s="4" t="str">
        <f aca="false">IFERROR(INDEX(Positions!$E$2:$E$6912,MATCH($A914&amp;"|49",Positions!$A$2:$A$6912,0)),"-")</f>
        <v>G</v>
      </c>
      <c r="G914" s="4" t="str">
        <f aca="false">IFERROR(INDEX(Positions!$E$2:$E$6912,MATCH($A914&amp;"|65",Positions!$A$2:$A$6912,0)),"-")</f>
        <v>C</v>
      </c>
      <c r="H914" s="3" t="str">
        <f aca="false">F914&amp;"-"&amp;G914</f>
        <v>G-C</v>
      </c>
      <c r="I914" s="4" t="n">
        <f aca="false">(F914="G")+(G914="G")</f>
        <v>1</v>
      </c>
      <c r="J914" s="4" t="n">
        <f aca="false">(F914="C")+(G914="C")</f>
        <v>1</v>
      </c>
      <c r="K914" s="3" t="n">
        <f aca="false">I914+J914</f>
        <v>2</v>
      </c>
    </row>
    <row r="915" customFormat="false" ht="15" hidden="false" customHeight="false" outlineLevel="0" collapsed="false">
      <c r="A915" s="4" t="s">
        <v>69</v>
      </c>
      <c r="B915" s="4" t="s">
        <v>471</v>
      </c>
      <c r="C915" s="4" t="s">
        <v>233</v>
      </c>
      <c r="D915" s="4" t="n">
        <f aca="false">IFERROR(INDEX(Positions!$D$2:$D$6912,MATCH($A915&amp;"|50",Positions!$A$2:$A$6912,0)),"-")</f>
        <v>50</v>
      </c>
      <c r="E915" s="4" t="n">
        <f aca="false">IFERROR(INDEX(Positions!$D$2:$D$6912,MATCH($A915&amp;"|64",Positions!$A$2:$A$6912,0)),"-")</f>
        <v>64</v>
      </c>
      <c r="F915" s="4" t="str">
        <f aca="false">IFERROR(INDEX(Positions!$E$2:$E$6912,MATCH($A915&amp;"|50",Positions!$A$2:$A$6912,0)),"-")</f>
        <v>U</v>
      </c>
      <c r="G915" s="4" t="str">
        <f aca="false">IFERROR(INDEX(Positions!$E$2:$E$6912,MATCH($A915&amp;"|64",Positions!$A$2:$A$6912,0)),"-")</f>
        <v>A</v>
      </c>
      <c r="H915" s="3" t="str">
        <f aca="false">F915&amp;"-"&amp;G915</f>
        <v>U-A</v>
      </c>
      <c r="I915" s="4" t="n">
        <f aca="false">(F915="G")+(G915="G")</f>
        <v>0</v>
      </c>
      <c r="J915" s="4" t="n">
        <f aca="false">(F915="C")+(G915="C")</f>
        <v>0</v>
      </c>
      <c r="K915" s="3" t="n">
        <f aca="false">I915+J915</f>
        <v>0</v>
      </c>
    </row>
    <row r="916" customFormat="false" ht="15" hidden="false" customHeight="false" outlineLevel="0" collapsed="false">
      <c r="A916" s="4" t="s">
        <v>69</v>
      </c>
      <c r="B916" s="4" t="s">
        <v>471</v>
      </c>
      <c r="C916" s="4" t="s">
        <v>527</v>
      </c>
      <c r="D916" s="4" t="n">
        <f aca="false">IFERROR(INDEX(Positions!$D$2:$D$6912,MATCH($A916&amp;"|51",Positions!$A$2:$A$6912,0)),"-")</f>
        <v>51</v>
      </c>
      <c r="E916" s="4" t="n">
        <f aca="false">IFERROR(INDEX(Positions!$D$2:$D$6912,MATCH($A916&amp;"|63",Positions!$A$2:$A$6912,0)),"-")</f>
        <v>63</v>
      </c>
      <c r="F916" s="4" t="str">
        <f aca="false">IFERROR(INDEX(Positions!$E$2:$E$6912,MATCH($A916&amp;"|51",Positions!$A$2:$A$6912,0)),"-")</f>
        <v>G</v>
      </c>
      <c r="G916" s="4" t="str">
        <f aca="false">IFERROR(INDEX(Positions!$E$2:$E$6912,MATCH($A916&amp;"|63",Positions!$A$2:$A$6912,0)),"-")</f>
        <v>C</v>
      </c>
      <c r="H916" s="3" t="str">
        <f aca="false">F916&amp;"-"&amp;G916</f>
        <v>G-C</v>
      </c>
      <c r="I916" s="4" t="n">
        <f aca="false">(F916="G")+(G916="G")</f>
        <v>1</v>
      </c>
      <c r="J916" s="4" t="n">
        <f aca="false">(F916="C")+(G916="C")</f>
        <v>1</v>
      </c>
      <c r="K916" s="3" t="n">
        <f aca="false">I916+J916</f>
        <v>2</v>
      </c>
    </row>
    <row r="917" customFormat="false" ht="15" hidden="false" customHeight="false" outlineLevel="0" collapsed="false">
      <c r="A917" s="4" t="s">
        <v>69</v>
      </c>
      <c r="B917" s="4" t="s">
        <v>471</v>
      </c>
      <c r="C917" s="4" t="s">
        <v>528</v>
      </c>
      <c r="D917" s="4" t="n">
        <f aca="false">IFERROR(INDEX(Positions!$D$2:$D$6912,MATCH($A917&amp;"|52",Positions!$A$2:$A$6912,0)),"-")</f>
        <v>52</v>
      </c>
      <c r="E917" s="4" t="n">
        <f aca="false">IFERROR(INDEX(Positions!$D$2:$D$6912,MATCH($A917&amp;"|62",Positions!$A$2:$A$6912,0)),"-")</f>
        <v>62</v>
      </c>
      <c r="F917" s="4" t="str">
        <f aca="false">IFERROR(INDEX(Positions!$E$2:$E$6912,MATCH($A917&amp;"|52",Positions!$A$2:$A$6912,0)),"-")</f>
        <v>G</v>
      </c>
      <c r="G917" s="4" t="str">
        <f aca="false">IFERROR(INDEX(Positions!$E$2:$E$6912,MATCH($A917&amp;"|62",Positions!$A$2:$A$6912,0)),"-")</f>
        <v>C</v>
      </c>
      <c r="H917" s="3" t="str">
        <f aca="false">F917&amp;"-"&amp;G917</f>
        <v>G-C</v>
      </c>
      <c r="I917" s="4" t="n">
        <f aca="false">(F917="G")+(G917="G")</f>
        <v>1</v>
      </c>
      <c r="J917" s="4" t="n">
        <f aca="false">(F917="C")+(G917="C")</f>
        <v>1</v>
      </c>
      <c r="K917" s="3" t="n">
        <f aca="false">I917+J917</f>
        <v>2</v>
      </c>
    </row>
    <row r="918" customFormat="false" ht="15" hidden="false" customHeight="false" outlineLevel="0" collapsed="false">
      <c r="A918" s="4" t="s">
        <v>69</v>
      </c>
      <c r="B918" s="4" t="s">
        <v>471</v>
      </c>
      <c r="C918" s="4" t="s">
        <v>529</v>
      </c>
      <c r="D918" s="4" t="n">
        <f aca="false">IFERROR(INDEX(Positions!$D$2:$D$6912,MATCH($A918&amp;"|53",Positions!$A$2:$A$6912,0)),"-")</f>
        <v>53</v>
      </c>
      <c r="E918" s="4" t="n">
        <f aca="false">IFERROR(INDEX(Positions!$D$2:$D$6912,MATCH($A918&amp;"|61",Positions!$A$2:$A$6912,0)),"-")</f>
        <v>61</v>
      </c>
      <c r="F918" s="4" t="str">
        <f aca="false">IFERROR(INDEX(Positions!$E$2:$E$6912,MATCH($A918&amp;"|53",Positions!$A$2:$A$6912,0)),"-")</f>
        <v>G</v>
      </c>
      <c r="G918" s="4" t="str">
        <f aca="false">IFERROR(INDEX(Positions!$E$2:$E$6912,MATCH($A918&amp;"|61",Positions!$A$2:$A$6912,0)),"-")</f>
        <v>C</v>
      </c>
      <c r="H918" s="3" t="str">
        <f aca="false">F918&amp;"-"&amp;G918</f>
        <v>G-C</v>
      </c>
      <c r="I918" s="4" t="n">
        <f aca="false">(F918="G")+(G918="G")</f>
        <v>1</v>
      </c>
      <c r="J918" s="4" t="n">
        <f aca="false">(F918="C")+(G918="C")</f>
        <v>1</v>
      </c>
      <c r="K918" s="3" t="n">
        <f aca="false">I918+J918</f>
        <v>2</v>
      </c>
    </row>
    <row r="919" customFormat="false" ht="15" hidden="false" customHeight="false" outlineLevel="0" collapsed="false">
      <c r="A919" s="24" t="s">
        <v>69</v>
      </c>
      <c r="B919" s="24" t="s">
        <v>530</v>
      </c>
      <c r="C919" s="24" t="s">
        <v>531</v>
      </c>
      <c r="D919" s="24" t="n">
        <f aca="false">IFERROR(INDEX(Positions!$D$2:$D$6912,MATCH($A919&amp;"|8",Positions!$A$2:$A$6912,0)),"-")</f>
        <v>8</v>
      </c>
      <c r="E919" s="24" t="n">
        <f aca="false">IFERROR(INDEX(Positions!$D$2:$D$6912,MATCH($A919&amp;"|14",Positions!$A$2:$A$6912,0)),"-")</f>
        <v>14</v>
      </c>
      <c r="F919" s="24" t="str">
        <f aca="false">IFERROR(INDEX(Positions!$E$2:$E$6912,MATCH($A919&amp;"|8",Positions!$A$2:$A$6912,0)),"-")</f>
        <v>U</v>
      </c>
      <c r="G919" s="24" t="str">
        <f aca="false">IFERROR(INDEX(Positions!$E$2:$E$6912,MATCH($A919&amp;"|14",Positions!$A$2:$A$6912,0)),"-")</f>
        <v>A</v>
      </c>
      <c r="H919" s="25" t="str">
        <f aca="false">F919&amp;"-"&amp;G919</f>
        <v>U-A</v>
      </c>
      <c r="I919" s="24" t="n">
        <f aca="false">(F919="G")+(G919="G")</f>
        <v>0</v>
      </c>
      <c r="J919" s="24" t="n">
        <f aca="false">(F919="C")+(G919="C")</f>
        <v>0</v>
      </c>
      <c r="K919" s="25" t="n">
        <f aca="false">I919+J919</f>
        <v>0</v>
      </c>
    </row>
    <row r="920" customFormat="false" ht="15" hidden="false" customHeight="false" outlineLevel="0" collapsed="false">
      <c r="A920" s="24" t="s">
        <v>69</v>
      </c>
      <c r="B920" s="24" t="s">
        <v>530</v>
      </c>
      <c r="C920" s="24" t="s">
        <v>532</v>
      </c>
      <c r="D920" s="24" t="n">
        <f aca="false">IFERROR(INDEX(Positions!$D$2:$D$6912,MATCH($A920&amp;"|15",Positions!$A$2:$A$6912,0)),"-")</f>
        <v>15</v>
      </c>
      <c r="E920" s="24" t="n">
        <f aca="false">IFERROR(INDEX(Positions!$D$2:$D$6912,MATCH($A920&amp;"|48",Positions!$A$2:$A$6912,0)),"-")</f>
        <v>48</v>
      </c>
      <c r="F920" s="24" t="str">
        <f aca="false">IFERROR(INDEX(Positions!$E$2:$E$6912,MATCH($A920&amp;"|15",Positions!$A$2:$A$6912,0)),"-")</f>
        <v>G</v>
      </c>
      <c r="G920" s="24" t="str">
        <f aca="false">IFERROR(INDEX(Positions!$E$2:$E$6912,MATCH($A920&amp;"|48",Positions!$A$2:$A$6912,0)),"-")</f>
        <v>C</v>
      </c>
      <c r="H920" s="25" t="str">
        <f aca="false">F920&amp;"-"&amp;G920</f>
        <v>G-C</v>
      </c>
      <c r="I920" s="24" t="n">
        <f aca="false">(F920="G")+(G920="G")</f>
        <v>1</v>
      </c>
      <c r="J920" s="24" t="n">
        <f aca="false">(F920="C")+(G920="C")</f>
        <v>1</v>
      </c>
      <c r="K920" s="25" t="n">
        <f aca="false">I920+J920</f>
        <v>2</v>
      </c>
    </row>
    <row r="921" customFormat="false" ht="15" hidden="false" customHeight="false" outlineLevel="0" collapsed="false">
      <c r="A921" s="24" t="s">
        <v>69</v>
      </c>
      <c r="B921" s="24" t="s">
        <v>530</v>
      </c>
      <c r="C921" s="24" t="s">
        <v>533</v>
      </c>
      <c r="D921" s="24" t="n">
        <f aca="false">IFERROR(INDEX(Positions!$D$2:$D$6912,MATCH($A921&amp;"|18",Positions!$A$2:$A$6912,0)),"-")</f>
        <v>18</v>
      </c>
      <c r="E921" s="24" t="n">
        <f aca="false">IFERROR(INDEX(Positions!$D$2:$D$6912,MATCH($A921&amp;"|55",Positions!$A$2:$A$6912,0)),"-")</f>
        <v>55</v>
      </c>
      <c r="F921" s="24" t="str">
        <f aca="false">IFERROR(INDEX(Positions!$E$2:$E$6912,MATCH($A921&amp;"|18",Positions!$A$2:$A$6912,0)),"-")</f>
        <v>G</v>
      </c>
      <c r="G921" s="24" t="str">
        <f aca="false">IFERROR(INDEX(Positions!$E$2:$E$6912,MATCH($A921&amp;"|55",Positions!$A$2:$A$6912,0)),"-")</f>
        <v>U</v>
      </c>
      <c r="H921" s="25" t="str">
        <f aca="false">F921&amp;"-"&amp;G921</f>
        <v>G-U</v>
      </c>
      <c r="I921" s="24" t="n">
        <f aca="false">(F921="G")+(G921="G")</f>
        <v>1</v>
      </c>
      <c r="J921" s="24" t="n">
        <f aca="false">(F921="C")+(G921="C")</f>
        <v>0</v>
      </c>
      <c r="K921" s="25" t="n">
        <f aca="false">I921+J921</f>
        <v>1</v>
      </c>
    </row>
    <row r="922" customFormat="false" ht="15" hidden="false" customHeight="false" outlineLevel="0" collapsed="false">
      <c r="A922" s="24" t="s">
        <v>69</v>
      </c>
      <c r="B922" s="24" t="s">
        <v>530</v>
      </c>
      <c r="C922" s="24" t="s">
        <v>534</v>
      </c>
      <c r="D922" s="24" t="n">
        <f aca="false">IFERROR(INDEX(Positions!$D$2:$D$6912,MATCH($A922&amp;"|19",Positions!$A$2:$A$6912,0)),"-")</f>
        <v>19</v>
      </c>
      <c r="E922" s="24" t="n">
        <f aca="false">IFERROR(INDEX(Positions!$D$2:$D$6912,MATCH($A922&amp;"|56",Positions!$A$2:$A$6912,0)),"-")</f>
        <v>56</v>
      </c>
      <c r="F922" s="24" t="str">
        <f aca="false">IFERROR(INDEX(Positions!$E$2:$E$6912,MATCH($A922&amp;"|19",Positions!$A$2:$A$6912,0)),"-")</f>
        <v>G</v>
      </c>
      <c r="G922" s="24" t="str">
        <f aca="false">IFERROR(INDEX(Positions!$E$2:$E$6912,MATCH($A922&amp;"|56",Positions!$A$2:$A$6912,0)),"-")</f>
        <v>C</v>
      </c>
      <c r="H922" s="25" t="str">
        <f aca="false">F922&amp;"-"&amp;G922</f>
        <v>G-C</v>
      </c>
      <c r="I922" s="24" t="n">
        <f aca="false">(F922="G")+(G922="G")</f>
        <v>1</v>
      </c>
      <c r="J922" s="24" t="n">
        <f aca="false">(F922="C")+(G922="C")</f>
        <v>1</v>
      </c>
      <c r="K922" s="25" t="n">
        <f aca="false">I922+J922</f>
        <v>2</v>
      </c>
    </row>
    <row r="923" customFormat="false" ht="15" hidden="false" customHeight="false" outlineLevel="0" collapsed="false">
      <c r="A923" s="24" t="s">
        <v>69</v>
      </c>
      <c r="B923" s="24" t="s">
        <v>530</v>
      </c>
      <c r="C923" s="24" t="s">
        <v>535</v>
      </c>
      <c r="D923" s="24" t="n">
        <f aca="false">IFERROR(INDEX(Positions!$D$2:$D$6912,MATCH($A923&amp;"|26",Positions!$A$2:$A$6912,0)),"-")</f>
        <v>26</v>
      </c>
      <c r="E923" s="24" t="n">
        <f aca="false">IFERROR(INDEX(Positions!$D$2:$D$6912,MATCH($A923&amp;"|44",Positions!$A$2:$A$6912,0)),"-")</f>
        <v>44</v>
      </c>
      <c r="F923" s="24" t="str">
        <f aca="false">IFERROR(INDEX(Positions!$E$2:$E$6912,MATCH($A923&amp;"|26",Positions!$A$2:$A$6912,0)),"-")</f>
        <v>A</v>
      </c>
      <c r="G923" s="24" t="str">
        <f aca="false">IFERROR(INDEX(Positions!$E$2:$E$6912,MATCH($A923&amp;"|44",Positions!$A$2:$A$6912,0)),"-")</f>
        <v>G</v>
      </c>
      <c r="H923" s="25" t="str">
        <f aca="false">F923&amp;"-"&amp;G923</f>
        <v>A-G</v>
      </c>
      <c r="I923" s="24" t="n">
        <f aca="false">(F923="G")+(G923="G")</f>
        <v>1</v>
      </c>
      <c r="J923" s="24" t="n">
        <f aca="false">(F923="C")+(G923="C")</f>
        <v>0</v>
      </c>
      <c r="K923" s="25" t="n">
        <f aca="false">I923+J923</f>
        <v>1</v>
      </c>
    </row>
    <row r="924" customFormat="false" ht="15" hidden="false" customHeight="false" outlineLevel="0" collapsed="false">
      <c r="A924" s="24" t="s">
        <v>69</v>
      </c>
      <c r="B924" s="24" t="s">
        <v>530</v>
      </c>
      <c r="C924" s="24" t="s">
        <v>536</v>
      </c>
      <c r="D924" s="24" t="n">
        <f aca="false">IFERROR(INDEX(Positions!$D$2:$D$6912,MATCH($A924&amp;"|32",Positions!$A$2:$A$6912,0)),"-")</f>
        <v>32</v>
      </c>
      <c r="E924" s="24" t="n">
        <f aca="false">IFERROR(INDEX(Positions!$D$2:$D$6912,MATCH($A924&amp;"|38",Positions!$A$2:$A$6912,0)),"-")</f>
        <v>38</v>
      </c>
      <c r="F924" s="24" t="str">
        <f aca="false">IFERROR(INDEX(Positions!$E$2:$E$6912,MATCH($A924&amp;"|32",Positions!$A$2:$A$6912,0)),"-")</f>
        <v>U</v>
      </c>
      <c r="G924" s="24" t="str">
        <f aca="false">IFERROR(INDEX(Positions!$E$2:$E$6912,MATCH($A924&amp;"|38",Positions!$A$2:$A$6912,0)),"-")</f>
        <v>A</v>
      </c>
      <c r="H924" s="25" t="str">
        <f aca="false">F924&amp;"-"&amp;G924</f>
        <v>U-A</v>
      </c>
      <c r="I924" s="24" t="n">
        <f aca="false">(F924="G")+(G924="G")</f>
        <v>0</v>
      </c>
      <c r="J924" s="24" t="n">
        <f aca="false">(F924="C")+(G924="C")</f>
        <v>0</v>
      </c>
      <c r="K924" s="25" t="n">
        <f aca="false">I924+J924</f>
        <v>0</v>
      </c>
    </row>
    <row r="925" customFormat="false" ht="15" hidden="false" customHeight="false" outlineLevel="0" collapsed="false">
      <c r="A925" s="24" t="s">
        <v>69</v>
      </c>
      <c r="B925" s="24" t="s">
        <v>530</v>
      </c>
      <c r="C925" s="24" t="s">
        <v>537</v>
      </c>
      <c r="D925" s="24" t="n">
        <f aca="false">IFERROR(INDEX(Positions!$D$2:$D$6912,MATCH($A925&amp;"|54",Positions!$A$2:$A$6912,0)),"-")</f>
        <v>54</v>
      </c>
      <c r="E925" s="24" t="n">
        <f aca="false">IFERROR(INDEX(Positions!$D$2:$D$6912,MATCH($A925&amp;"|58",Positions!$A$2:$A$6912,0)),"-")</f>
        <v>58</v>
      </c>
      <c r="F925" s="24" t="str">
        <f aca="false">IFERROR(INDEX(Positions!$E$2:$E$6912,MATCH($A925&amp;"|54",Positions!$A$2:$A$6912,0)),"-")</f>
        <v>U</v>
      </c>
      <c r="G925" s="24" t="str">
        <f aca="false">IFERROR(INDEX(Positions!$E$2:$E$6912,MATCH($A925&amp;"|58",Positions!$A$2:$A$6912,0)),"-")</f>
        <v>A</v>
      </c>
      <c r="H925" s="25" t="str">
        <f aca="false">F925&amp;"-"&amp;G925</f>
        <v>U-A</v>
      </c>
      <c r="I925" s="24" t="n">
        <f aca="false">(F925="G")+(G925="G")</f>
        <v>0</v>
      </c>
      <c r="J925" s="24" t="n">
        <f aca="false">(F925="C")+(G925="C")</f>
        <v>0</v>
      </c>
      <c r="K925" s="25" t="n">
        <f aca="false">I925+J925</f>
        <v>0</v>
      </c>
    </row>
    <row r="926" customFormat="false" ht="15" hidden="false" customHeight="false" outlineLevel="0" collapsed="false">
      <c r="A926" s="4" t="s">
        <v>70</v>
      </c>
      <c r="B926" s="4" t="s">
        <v>412</v>
      </c>
      <c r="C926" s="4" t="s">
        <v>517</v>
      </c>
      <c r="D926" s="4" t="n">
        <f aca="false">IFERROR(INDEX(Positions!$D$2:$D$6912,MATCH($A926&amp;"|1",Positions!$A$2:$A$6912,0)),"-")</f>
        <v>1</v>
      </c>
      <c r="E926" s="4" t="n">
        <f aca="false">IFERROR(INDEX(Positions!$D$2:$D$6912,MATCH($A926&amp;"|72",Positions!$A$2:$A$6912,0)),"-")</f>
        <v>72</v>
      </c>
      <c r="F926" s="4" t="str">
        <f aca="false">IFERROR(INDEX(Positions!$E$2:$E$6912,MATCH($A926&amp;"|1",Positions!$A$2:$A$6912,0)),"-")</f>
        <v>G</v>
      </c>
      <c r="G926" s="4" t="str">
        <f aca="false">IFERROR(INDEX(Positions!$E$2:$E$6912,MATCH($A926&amp;"|72",Positions!$A$2:$A$6912,0)),"-")</f>
        <v>C</v>
      </c>
      <c r="H926" s="3" t="str">
        <f aca="false">F926&amp;"-"&amp;G926</f>
        <v>G-C</v>
      </c>
      <c r="I926" s="4" t="n">
        <f aca="false">(F926="G")+(G926="G")</f>
        <v>1</v>
      </c>
      <c r="J926" s="4" t="n">
        <f aca="false">(F926="C")+(G926="C")</f>
        <v>1</v>
      </c>
      <c r="K926" s="3" t="n">
        <f aca="false">I926+J926</f>
        <v>2</v>
      </c>
    </row>
    <row r="927" customFormat="false" ht="15" hidden="false" customHeight="false" outlineLevel="0" collapsed="false">
      <c r="A927" s="4" t="s">
        <v>70</v>
      </c>
      <c r="B927" s="4" t="s">
        <v>412</v>
      </c>
      <c r="C927" s="4" t="s">
        <v>518</v>
      </c>
      <c r="D927" s="4" t="n">
        <f aca="false">IFERROR(INDEX(Positions!$D$2:$D$6912,MATCH($A927&amp;"|2",Positions!$A$2:$A$6912,0)),"-")</f>
        <v>2</v>
      </c>
      <c r="E927" s="4" t="n">
        <f aca="false">IFERROR(INDEX(Positions!$D$2:$D$6912,MATCH($A927&amp;"|71",Positions!$A$2:$A$6912,0)),"-")</f>
        <v>71</v>
      </c>
      <c r="F927" s="4" t="str">
        <f aca="false">IFERROR(INDEX(Positions!$E$2:$E$6912,MATCH($A927&amp;"|2",Positions!$A$2:$A$6912,0)),"-")</f>
        <v>C</v>
      </c>
      <c r="G927" s="4" t="str">
        <f aca="false">IFERROR(INDEX(Positions!$E$2:$E$6912,MATCH($A927&amp;"|71",Positions!$A$2:$A$6912,0)),"-")</f>
        <v>G</v>
      </c>
      <c r="H927" s="3" t="str">
        <f aca="false">F927&amp;"-"&amp;G927</f>
        <v>C-G</v>
      </c>
      <c r="I927" s="4" t="n">
        <f aca="false">(F927="G")+(G927="G")</f>
        <v>1</v>
      </c>
      <c r="J927" s="4" t="n">
        <f aca="false">(F927="C")+(G927="C")</f>
        <v>1</v>
      </c>
      <c r="K927" s="3" t="n">
        <f aca="false">I927+J927</f>
        <v>2</v>
      </c>
    </row>
    <row r="928" customFormat="false" ht="15" hidden="false" customHeight="false" outlineLevel="0" collapsed="false">
      <c r="A928" s="4" t="s">
        <v>70</v>
      </c>
      <c r="B928" s="4" t="s">
        <v>412</v>
      </c>
      <c r="C928" s="4" t="s">
        <v>386</v>
      </c>
      <c r="D928" s="4" t="n">
        <f aca="false">IFERROR(INDEX(Positions!$D$2:$D$6912,MATCH($A928&amp;"|3",Positions!$A$2:$A$6912,0)),"-")</f>
        <v>3</v>
      </c>
      <c r="E928" s="4" t="n">
        <f aca="false">IFERROR(INDEX(Positions!$D$2:$D$6912,MATCH($A928&amp;"|70",Positions!$A$2:$A$6912,0)),"-")</f>
        <v>70</v>
      </c>
      <c r="F928" s="4" t="str">
        <f aca="false">IFERROR(INDEX(Positions!$E$2:$E$6912,MATCH($A928&amp;"|3",Positions!$A$2:$A$6912,0)),"-")</f>
        <v>C</v>
      </c>
      <c r="G928" s="4" t="str">
        <f aca="false">IFERROR(INDEX(Positions!$E$2:$E$6912,MATCH($A928&amp;"|70",Positions!$A$2:$A$6912,0)),"-")</f>
        <v>G</v>
      </c>
      <c r="H928" s="3" t="str">
        <f aca="false">F928&amp;"-"&amp;G928</f>
        <v>C-G</v>
      </c>
      <c r="I928" s="4" t="n">
        <f aca="false">(F928="G")+(G928="G")</f>
        <v>1</v>
      </c>
      <c r="J928" s="4" t="n">
        <f aca="false">(F928="C")+(G928="C")</f>
        <v>1</v>
      </c>
      <c r="K928" s="3" t="n">
        <f aca="false">I928+J928</f>
        <v>2</v>
      </c>
    </row>
    <row r="929" customFormat="false" ht="15" hidden="false" customHeight="false" outlineLevel="0" collapsed="false">
      <c r="A929" s="4" t="s">
        <v>70</v>
      </c>
      <c r="B929" s="4" t="s">
        <v>412</v>
      </c>
      <c r="C929" s="4" t="s">
        <v>519</v>
      </c>
      <c r="D929" s="4" t="n">
        <f aca="false">IFERROR(INDEX(Positions!$D$2:$D$6912,MATCH($A929&amp;"|4",Positions!$A$2:$A$6912,0)),"-")</f>
        <v>4</v>
      </c>
      <c r="E929" s="4" t="n">
        <f aca="false">IFERROR(INDEX(Positions!$D$2:$D$6912,MATCH($A929&amp;"|69",Positions!$A$2:$A$6912,0)),"-")</f>
        <v>69</v>
      </c>
      <c r="F929" s="4" t="str">
        <f aca="false">IFERROR(INDEX(Positions!$E$2:$E$6912,MATCH($A929&amp;"|4",Positions!$A$2:$A$6912,0)),"-")</f>
        <v>U</v>
      </c>
      <c r="G929" s="4" t="str">
        <f aca="false">IFERROR(INDEX(Positions!$E$2:$E$6912,MATCH($A929&amp;"|69",Positions!$A$2:$A$6912,0)),"-")</f>
        <v>G</v>
      </c>
      <c r="H929" s="3" t="str">
        <f aca="false">F929&amp;"-"&amp;G929</f>
        <v>U-G</v>
      </c>
      <c r="I929" s="4" t="n">
        <f aca="false">(F929="G")+(G929="G")</f>
        <v>1</v>
      </c>
      <c r="J929" s="4" t="n">
        <f aca="false">(F929="C")+(G929="C")</f>
        <v>0</v>
      </c>
      <c r="K929" s="3" t="n">
        <f aca="false">I929+J929</f>
        <v>1</v>
      </c>
    </row>
    <row r="930" customFormat="false" ht="15" hidden="false" customHeight="false" outlineLevel="0" collapsed="false">
      <c r="A930" s="4" t="s">
        <v>70</v>
      </c>
      <c r="B930" s="4" t="s">
        <v>412</v>
      </c>
      <c r="C930" s="4" t="s">
        <v>283</v>
      </c>
      <c r="D930" s="4" t="n">
        <f aca="false">IFERROR(INDEX(Positions!$D$2:$D$6912,MATCH($A930&amp;"|5",Positions!$A$2:$A$6912,0)),"-")</f>
        <v>5</v>
      </c>
      <c r="E930" s="4" t="n">
        <f aca="false">IFERROR(INDEX(Positions!$D$2:$D$6912,MATCH($A930&amp;"|68",Positions!$A$2:$A$6912,0)),"-")</f>
        <v>68</v>
      </c>
      <c r="F930" s="4" t="str">
        <f aca="false">IFERROR(INDEX(Positions!$E$2:$E$6912,MATCH($A930&amp;"|5",Positions!$A$2:$A$6912,0)),"-")</f>
        <v>C</v>
      </c>
      <c r="G930" s="4" t="str">
        <f aca="false">IFERROR(INDEX(Positions!$E$2:$E$6912,MATCH($A930&amp;"|68",Positions!$A$2:$A$6912,0)),"-")</f>
        <v>U</v>
      </c>
      <c r="H930" s="3" t="str">
        <f aca="false">F930&amp;"-"&amp;G930</f>
        <v>C-U</v>
      </c>
      <c r="I930" s="4" t="n">
        <f aca="false">(F930="G")+(G930="G")</f>
        <v>0</v>
      </c>
      <c r="J930" s="4" t="n">
        <f aca="false">(F930="C")+(G930="C")</f>
        <v>1</v>
      </c>
      <c r="K930" s="3" t="n">
        <f aca="false">I930+J930</f>
        <v>1</v>
      </c>
    </row>
    <row r="931" customFormat="false" ht="15" hidden="false" customHeight="false" outlineLevel="0" collapsed="false">
      <c r="A931" s="4" t="s">
        <v>70</v>
      </c>
      <c r="B931" s="4" t="s">
        <v>412</v>
      </c>
      <c r="C931" s="4" t="s">
        <v>520</v>
      </c>
      <c r="D931" s="4" t="n">
        <f aca="false">IFERROR(INDEX(Positions!$D$2:$D$6912,MATCH($A931&amp;"|6",Positions!$A$2:$A$6912,0)),"-")</f>
        <v>6</v>
      </c>
      <c r="E931" s="4" t="n">
        <f aca="false">IFERROR(INDEX(Positions!$D$2:$D$6912,MATCH($A931&amp;"|67",Positions!$A$2:$A$6912,0)),"-")</f>
        <v>67</v>
      </c>
      <c r="F931" s="4" t="str">
        <f aca="false">IFERROR(INDEX(Positions!$E$2:$E$6912,MATCH($A931&amp;"|6",Positions!$A$2:$A$6912,0)),"-")</f>
        <v>C</v>
      </c>
      <c r="G931" s="4" t="str">
        <f aca="false">IFERROR(INDEX(Positions!$E$2:$E$6912,MATCH($A931&amp;"|67",Positions!$A$2:$A$6912,0)),"-")</f>
        <v>G</v>
      </c>
      <c r="H931" s="3" t="str">
        <f aca="false">F931&amp;"-"&amp;G931</f>
        <v>C-G</v>
      </c>
      <c r="I931" s="4" t="n">
        <f aca="false">(F931="G")+(G931="G")</f>
        <v>1</v>
      </c>
      <c r="J931" s="4" t="n">
        <f aca="false">(F931="C")+(G931="C")</f>
        <v>1</v>
      </c>
      <c r="K931" s="3" t="n">
        <f aca="false">I931+J931</f>
        <v>2</v>
      </c>
    </row>
    <row r="932" customFormat="false" ht="15" hidden="false" customHeight="false" outlineLevel="0" collapsed="false">
      <c r="A932" s="4" t="s">
        <v>70</v>
      </c>
      <c r="B932" s="4" t="s">
        <v>412</v>
      </c>
      <c r="C932" s="4" t="s">
        <v>521</v>
      </c>
      <c r="D932" s="4" t="n">
        <f aca="false">IFERROR(INDEX(Positions!$D$2:$D$6912,MATCH($A932&amp;"|7",Positions!$A$2:$A$6912,0)),"-")</f>
        <v>7</v>
      </c>
      <c r="E932" s="4" t="n">
        <f aca="false">IFERROR(INDEX(Positions!$D$2:$D$6912,MATCH($A932&amp;"|66",Positions!$A$2:$A$6912,0)),"-")</f>
        <v>66</v>
      </c>
      <c r="F932" s="4" t="str">
        <f aca="false">IFERROR(INDEX(Positions!$E$2:$E$6912,MATCH($A932&amp;"|7",Positions!$A$2:$A$6912,0)),"-")</f>
        <v>A</v>
      </c>
      <c r="G932" s="4" t="str">
        <f aca="false">IFERROR(INDEX(Positions!$E$2:$E$6912,MATCH($A932&amp;"|66",Positions!$A$2:$A$6912,0)),"-")</f>
        <v>U</v>
      </c>
      <c r="H932" s="3" t="str">
        <f aca="false">F932&amp;"-"&amp;G932</f>
        <v>A-U</v>
      </c>
      <c r="I932" s="4" t="n">
        <f aca="false">(F932="G")+(G932="G")</f>
        <v>0</v>
      </c>
      <c r="J932" s="4" t="n">
        <f aca="false">(F932="C")+(G932="C")</f>
        <v>0</v>
      </c>
      <c r="K932" s="3" t="n">
        <f aca="false">I932+J932</f>
        <v>0</v>
      </c>
    </row>
    <row r="933" customFormat="false" ht="15" hidden="false" customHeight="false" outlineLevel="0" collapsed="false">
      <c r="A933" s="4" t="s">
        <v>70</v>
      </c>
      <c r="B933" s="4" t="s">
        <v>425</v>
      </c>
      <c r="C933" s="4" t="s">
        <v>522</v>
      </c>
      <c r="D933" s="4" t="n">
        <f aca="false">IFERROR(INDEX(Positions!$D$2:$D$6912,MATCH($A933&amp;"|10",Positions!$A$2:$A$6912,0)),"-")</f>
        <v>10</v>
      </c>
      <c r="E933" s="4" t="n">
        <f aca="false">IFERROR(INDEX(Positions!$D$2:$D$6912,MATCH($A933&amp;"|25",Positions!$A$2:$A$6912,0)),"-")</f>
        <v>25</v>
      </c>
      <c r="F933" s="4" t="str">
        <f aca="false">IFERROR(INDEX(Positions!$E$2:$E$6912,MATCH($A933&amp;"|10",Positions!$A$2:$A$6912,0)),"-")</f>
        <v>G</v>
      </c>
      <c r="G933" s="4" t="str">
        <f aca="false">IFERROR(INDEX(Positions!$E$2:$E$6912,MATCH($A933&amp;"|25",Positions!$A$2:$A$6912,0)),"-")</f>
        <v>C</v>
      </c>
      <c r="H933" s="3" t="str">
        <f aca="false">F933&amp;"-"&amp;G933</f>
        <v>G-C</v>
      </c>
      <c r="I933" s="4" t="n">
        <f aca="false">(F933="G")+(G933="G")</f>
        <v>1</v>
      </c>
      <c r="J933" s="4" t="n">
        <f aca="false">(F933="C")+(G933="C")</f>
        <v>1</v>
      </c>
      <c r="K933" s="3" t="n">
        <f aca="false">I933+J933</f>
        <v>2</v>
      </c>
    </row>
    <row r="934" customFormat="false" ht="15" hidden="false" customHeight="false" outlineLevel="0" collapsed="false">
      <c r="A934" s="4" t="s">
        <v>70</v>
      </c>
      <c r="B934" s="4" t="s">
        <v>425</v>
      </c>
      <c r="C934" s="4" t="s">
        <v>523</v>
      </c>
      <c r="D934" s="4" t="n">
        <f aca="false">IFERROR(INDEX(Positions!$D$2:$D$6912,MATCH($A934&amp;"|11",Positions!$A$2:$A$6912,0)),"-")</f>
        <v>11</v>
      </c>
      <c r="E934" s="4" t="n">
        <f aca="false">IFERROR(INDEX(Positions!$D$2:$D$6912,MATCH($A934&amp;"|24",Positions!$A$2:$A$6912,0)),"-")</f>
        <v>24</v>
      </c>
      <c r="F934" s="4" t="str">
        <f aca="false">IFERROR(INDEX(Positions!$E$2:$E$6912,MATCH($A934&amp;"|11",Positions!$A$2:$A$6912,0)),"-")</f>
        <v>C</v>
      </c>
      <c r="G934" s="4" t="str">
        <f aca="false">IFERROR(INDEX(Positions!$E$2:$E$6912,MATCH($A934&amp;"|24",Positions!$A$2:$A$6912,0)),"-")</f>
        <v>G</v>
      </c>
      <c r="H934" s="3" t="str">
        <f aca="false">F934&amp;"-"&amp;G934</f>
        <v>C-G</v>
      </c>
      <c r="I934" s="4" t="n">
        <f aca="false">(F934="G")+(G934="G")</f>
        <v>1</v>
      </c>
      <c r="J934" s="4" t="n">
        <f aca="false">(F934="C")+(G934="C")</f>
        <v>1</v>
      </c>
      <c r="K934" s="3" t="n">
        <f aca="false">I934+J934</f>
        <v>2</v>
      </c>
    </row>
    <row r="935" customFormat="false" ht="15" hidden="false" customHeight="false" outlineLevel="0" collapsed="false">
      <c r="A935" s="4" t="s">
        <v>70</v>
      </c>
      <c r="B935" s="4" t="s">
        <v>425</v>
      </c>
      <c r="C935" s="4" t="s">
        <v>250</v>
      </c>
      <c r="D935" s="4" t="n">
        <f aca="false">IFERROR(INDEX(Positions!$D$2:$D$6912,MATCH($A935&amp;"|12",Positions!$A$2:$A$6912,0)),"-")</f>
        <v>12</v>
      </c>
      <c r="E935" s="4" t="n">
        <f aca="false">IFERROR(INDEX(Positions!$D$2:$D$6912,MATCH($A935&amp;"|23",Positions!$A$2:$A$6912,0)),"-")</f>
        <v>23</v>
      </c>
      <c r="F935" s="4" t="str">
        <f aca="false">IFERROR(INDEX(Positions!$E$2:$E$6912,MATCH($A935&amp;"|12",Positions!$A$2:$A$6912,0)),"-")</f>
        <v>U</v>
      </c>
      <c r="G935" s="4" t="str">
        <f aca="false">IFERROR(INDEX(Positions!$E$2:$E$6912,MATCH($A935&amp;"|23",Positions!$A$2:$A$6912,0)),"-")</f>
        <v>A</v>
      </c>
      <c r="H935" s="3" t="str">
        <f aca="false">F935&amp;"-"&amp;G935</f>
        <v>U-A</v>
      </c>
      <c r="I935" s="4" t="n">
        <f aca="false">(F935="G")+(G935="G")</f>
        <v>0</v>
      </c>
      <c r="J935" s="4" t="n">
        <f aca="false">(F935="C")+(G935="C")</f>
        <v>0</v>
      </c>
      <c r="K935" s="3" t="n">
        <f aca="false">I935+J935</f>
        <v>0</v>
      </c>
    </row>
    <row r="936" customFormat="false" ht="15" hidden="false" customHeight="false" outlineLevel="0" collapsed="false">
      <c r="A936" s="4" t="s">
        <v>70</v>
      </c>
      <c r="B936" s="4" t="s">
        <v>425</v>
      </c>
      <c r="C936" s="4" t="s">
        <v>154</v>
      </c>
      <c r="D936" s="4" t="n">
        <f aca="false">IFERROR(INDEX(Positions!$D$2:$D$6912,MATCH($A936&amp;"|13",Positions!$A$2:$A$6912,0)),"-")</f>
        <v>13</v>
      </c>
      <c r="E936" s="4" t="n">
        <f aca="false">IFERROR(INDEX(Positions!$D$2:$D$6912,MATCH($A936&amp;"|22",Positions!$A$2:$A$6912,0)),"-")</f>
        <v>22</v>
      </c>
      <c r="F936" s="4" t="str">
        <f aca="false">IFERROR(INDEX(Positions!$E$2:$E$6912,MATCH($A936&amp;"|13",Positions!$A$2:$A$6912,0)),"-")</f>
        <v>C</v>
      </c>
      <c r="G936" s="4" t="str">
        <f aca="false">IFERROR(INDEX(Positions!$E$2:$E$6912,MATCH($A936&amp;"|22",Positions!$A$2:$A$6912,0)),"-")</f>
        <v>G</v>
      </c>
      <c r="H936" s="3" t="str">
        <f aca="false">F936&amp;"-"&amp;G936</f>
        <v>C-G</v>
      </c>
      <c r="I936" s="4" t="n">
        <f aca="false">(F936="G")+(G936="G")</f>
        <v>1</v>
      </c>
      <c r="J936" s="4" t="n">
        <f aca="false">(F936="C")+(G936="C")</f>
        <v>1</v>
      </c>
      <c r="K936" s="3" t="n">
        <f aca="false">I936+J936</f>
        <v>2</v>
      </c>
    </row>
    <row r="937" customFormat="false" ht="15" hidden="false" customHeight="false" outlineLevel="0" collapsed="false">
      <c r="A937" s="4" t="s">
        <v>70</v>
      </c>
      <c r="B937" s="4" t="s">
        <v>446</v>
      </c>
      <c r="C937" s="4" t="s">
        <v>524</v>
      </c>
      <c r="D937" s="4" t="n">
        <f aca="false">IFERROR(INDEX(Positions!$D$2:$D$6912,MATCH($A937&amp;"|27",Positions!$A$2:$A$6912,0)),"-")</f>
        <v>27</v>
      </c>
      <c r="E937" s="4" t="n">
        <f aca="false">IFERROR(INDEX(Positions!$D$2:$D$6912,MATCH($A937&amp;"|43",Positions!$A$2:$A$6912,0)),"-")</f>
        <v>43</v>
      </c>
      <c r="F937" s="4" t="str">
        <f aca="false">IFERROR(INDEX(Positions!$E$2:$E$6912,MATCH($A937&amp;"|27",Positions!$A$2:$A$6912,0)),"-")</f>
        <v>U</v>
      </c>
      <c r="G937" s="4" t="str">
        <f aca="false">IFERROR(INDEX(Positions!$E$2:$E$6912,MATCH($A937&amp;"|43",Positions!$A$2:$A$6912,0)),"-")</f>
        <v>A</v>
      </c>
      <c r="H937" s="3" t="str">
        <f aca="false">F937&amp;"-"&amp;G937</f>
        <v>U-A</v>
      </c>
      <c r="I937" s="4" t="n">
        <f aca="false">(F937="G")+(G937="G")</f>
        <v>0</v>
      </c>
      <c r="J937" s="4" t="n">
        <f aca="false">(F937="C")+(G937="C")</f>
        <v>0</v>
      </c>
      <c r="K937" s="3" t="n">
        <f aca="false">I937+J937</f>
        <v>0</v>
      </c>
    </row>
    <row r="938" customFormat="false" ht="15" hidden="false" customHeight="false" outlineLevel="0" collapsed="false">
      <c r="A938" s="4" t="s">
        <v>70</v>
      </c>
      <c r="B938" s="4" t="s">
        <v>446</v>
      </c>
      <c r="C938" s="4" t="s">
        <v>525</v>
      </c>
      <c r="D938" s="4" t="n">
        <f aca="false">IFERROR(INDEX(Positions!$D$2:$D$6912,MATCH($A938&amp;"|28",Positions!$A$2:$A$6912,0)),"-")</f>
        <v>28</v>
      </c>
      <c r="E938" s="4" t="n">
        <f aca="false">IFERROR(INDEX(Positions!$D$2:$D$6912,MATCH($A938&amp;"|42",Positions!$A$2:$A$6912,0)),"-")</f>
        <v>42</v>
      </c>
      <c r="F938" s="4" t="str">
        <f aca="false">IFERROR(INDEX(Positions!$E$2:$E$6912,MATCH($A938&amp;"|28",Positions!$A$2:$A$6912,0)),"-")</f>
        <v>C</v>
      </c>
      <c r="G938" s="4" t="str">
        <f aca="false">IFERROR(INDEX(Positions!$E$2:$E$6912,MATCH($A938&amp;"|42",Positions!$A$2:$A$6912,0)),"-")</f>
        <v>G</v>
      </c>
      <c r="H938" s="3" t="str">
        <f aca="false">F938&amp;"-"&amp;G938</f>
        <v>C-G</v>
      </c>
      <c r="I938" s="4" t="n">
        <f aca="false">(F938="G")+(G938="G")</f>
        <v>1</v>
      </c>
      <c r="J938" s="4" t="n">
        <f aca="false">(F938="C")+(G938="C")</f>
        <v>1</v>
      </c>
      <c r="K938" s="3" t="n">
        <f aca="false">I938+J938</f>
        <v>2</v>
      </c>
    </row>
    <row r="939" customFormat="false" ht="15" hidden="false" customHeight="false" outlineLevel="0" collapsed="false">
      <c r="A939" s="4" t="s">
        <v>70</v>
      </c>
      <c r="B939" s="4" t="s">
        <v>446</v>
      </c>
      <c r="C939" s="4" t="s">
        <v>256</v>
      </c>
      <c r="D939" s="4" t="n">
        <f aca="false">IFERROR(INDEX(Positions!$D$2:$D$6912,MATCH($A939&amp;"|29",Positions!$A$2:$A$6912,0)),"-")</f>
        <v>29</v>
      </c>
      <c r="E939" s="4" t="n">
        <f aca="false">IFERROR(INDEX(Positions!$D$2:$D$6912,MATCH($A939&amp;"|41",Positions!$A$2:$A$6912,0)),"-")</f>
        <v>41</v>
      </c>
      <c r="F939" s="4" t="str">
        <f aca="false">IFERROR(INDEX(Positions!$E$2:$E$6912,MATCH($A939&amp;"|29",Positions!$A$2:$A$6912,0)),"-")</f>
        <v>A</v>
      </c>
      <c r="G939" s="4" t="str">
        <f aca="false">IFERROR(INDEX(Positions!$E$2:$E$6912,MATCH($A939&amp;"|41",Positions!$A$2:$A$6912,0)),"-")</f>
        <v>U</v>
      </c>
      <c r="H939" s="3" t="str">
        <f aca="false">F939&amp;"-"&amp;G939</f>
        <v>A-U</v>
      </c>
      <c r="I939" s="4" t="n">
        <f aca="false">(F939="G")+(G939="G")</f>
        <v>0</v>
      </c>
      <c r="J939" s="4" t="n">
        <f aca="false">(F939="C")+(G939="C")</f>
        <v>0</v>
      </c>
      <c r="K939" s="3" t="n">
        <f aca="false">I939+J939</f>
        <v>0</v>
      </c>
    </row>
    <row r="940" customFormat="false" ht="15" hidden="false" customHeight="false" outlineLevel="0" collapsed="false">
      <c r="A940" s="4" t="s">
        <v>70</v>
      </c>
      <c r="B940" s="4" t="s">
        <v>446</v>
      </c>
      <c r="C940" s="4" t="s">
        <v>526</v>
      </c>
      <c r="D940" s="4" t="n">
        <f aca="false">IFERROR(INDEX(Positions!$D$2:$D$6912,MATCH($A940&amp;"|30",Positions!$A$2:$A$6912,0)),"-")</f>
        <v>30</v>
      </c>
      <c r="E940" s="4" t="n">
        <f aca="false">IFERROR(INDEX(Positions!$D$2:$D$6912,MATCH($A940&amp;"|40",Positions!$A$2:$A$6912,0)),"-")</f>
        <v>40</v>
      </c>
      <c r="F940" s="4" t="str">
        <f aca="false">IFERROR(INDEX(Positions!$E$2:$E$6912,MATCH($A940&amp;"|30",Positions!$A$2:$A$6912,0)),"-")</f>
        <v>G</v>
      </c>
      <c r="G940" s="4" t="str">
        <f aca="false">IFERROR(INDEX(Positions!$E$2:$E$6912,MATCH($A940&amp;"|40",Positions!$A$2:$A$6912,0)),"-")</f>
        <v>C</v>
      </c>
      <c r="H940" s="3" t="str">
        <f aca="false">F940&amp;"-"&amp;G940</f>
        <v>G-C</v>
      </c>
      <c r="I940" s="4" t="n">
        <f aca="false">(F940="G")+(G940="G")</f>
        <v>1</v>
      </c>
      <c r="J940" s="4" t="n">
        <f aca="false">(F940="C")+(G940="C")</f>
        <v>1</v>
      </c>
      <c r="K940" s="3" t="n">
        <f aca="false">I940+J940</f>
        <v>2</v>
      </c>
    </row>
    <row r="941" customFormat="false" ht="15" hidden="false" customHeight="false" outlineLevel="0" collapsed="false">
      <c r="A941" s="4" t="s">
        <v>70</v>
      </c>
      <c r="B941" s="4" t="s">
        <v>446</v>
      </c>
      <c r="C941" s="4" t="s">
        <v>273</v>
      </c>
      <c r="D941" s="4" t="n">
        <f aca="false">IFERROR(INDEX(Positions!$D$2:$D$6912,MATCH($A941&amp;"|31",Positions!$A$2:$A$6912,0)),"-")</f>
        <v>31</v>
      </c>
      <c r="E941" s="4" t="n">
        <f aca="false">IFERROR(INDEX(Positions!$D$2:$D$6912,MATCH($A941&amp;"|39",Positions!$A$2:$A$6912,0)),"-")</f>
        <v>39</v>
      </c>
      <c r="F941" s="4" t="str">
        <f aca="false">IFERROR(INDEX(Positions!$E$2:$E$6912,MATCH($A941&amp;"|31",Positions!$A$2:$A$6912,0)),"-")</f>
        <v>A</v>
      </c>
      <c r="G941" s="4" t="str">
        <f aca="false">IFERROR(INDEX(Positions!$E$2:$E$6912,MATCH($A941&amp;"|39",Positions!$A$2:$A$6912,0)),"-")</f>
        <v>U</v>
      </c>
      <c r="H941" s="3" t="str">
        <f aca="false">F941&amp;"-"&amp;G941</f>
        <v>A-U</v>
      </c>
      <c r="I941" s="4" t="n">
        <f aca="false">(F941="G")+(G941="G")</f>
        <v>0</v>
      </c>
      <c r="J941" s="4" t="n">
        <f aca="false">(F941="C")+(G941="C")</f>
        <v>0</v>
      </c>
      <c r="K941" s="3" t="n">
        <f aca="false">I941+J941</f>
        <v>0</v>
      </c>
    </row>
    <row r="942" customFormat="false" ht="15" hidden="false" customHeight="false" outlineLevel="0" collapsed="false">
      <c r="A942" s="4" t="s">
        <v>70</v>
      </c>
      <c r="B942" s="4" t="s">
        <v>471</v>
      </c>
      <c r="C942" s="4" t="s">
        <v>367</v>
      </c>
      <c r="D942" s="4" t="n">
        <f aca="false">IFERROR(INDEX(Positions!$D$2:$D$6912,MATCH($A942&amp;"|49",Positions!$A$2:$A$6912,0)),"-")</f>
        <v>49</v>
      </c>
      <c r="E942" s="4" t="n">
        <f aca="false">IFERROR(INDEX(Positions!$D$2:$D$6912,MATCH($A942&amp;"|65",Positions!$A$2:$A$6912,0)),"-")</f>
        <v>65</v>
      </c>
      <c r="F942" s="4" t="str">
        <f aca="false">IFERROR(INDEX(Positions!$E$2:$E$6912,MATCH($A942&amp;"|49",Positions!$A$2:$A$6912,0)),"-")</f>
        <v>U</v>
      </c>
      <c r="G942" s="4" t="str">
        <f aca="false">IFERROR(INDEX(Positions!$E$2:$E$6912,MATCH($A942&amp;"|65",Positions!$A$2:$A$6912,0)),"-")</f>
        <v>A</v>
      </c>
      <c r="H942" s="3" t="str">
        <f aca="false">F942&amp;"-"&amp;G942</f>
        <v>U-A</v>
      </c>
      <c r="I942" s="4" t="n">
        <f aca="false">(F942="G")+(G942="G")</f>
        <v>0</v>
      </c>
      <c r="J942" s="4" t="n">
        <f aca="false">(F942="C")+(G942="C")</f>
        <v>0</v>
      </c>
      <c r="K942" s="3" t="n">
        <f aca="false">I942+J942</f>
        <v>0</v>
      </c>
    </row>
    <row r="943" customFormat="false" ht="15" hidden="false" customHeight="false" outlineLevel="0" collapsed="false">
      <c r="A943" s="4" t="s">
        <v>70</v>
      </c>
      <c r="B943" s="4" t="s">
        <v>471</v>
      </c>
      <c r="C943" s="4" t="s">
        <v>233</v>
      </c>
      <c r="D943" s="4" t="n">
        <f aca="false">IFERROR(INDEX(Positions!$D$2:$D$6912,MATCH($A943&amp;"|50",Positions!$A$2:$A$6912,0)),"-")</f>
        <v>50</v>
      </c>
      <c r="E943" s="4" t="n">
        <f aca="false">IFERROR(INDEX(Positions!$D$2:$D$6912,MATCH($A943&amp;"|64",Positions!$A$2:$A$6912,0)),"-")</f>
        <v>64</v>
      </c>
      <c r="F943" s="4" t="str">
        <f aca="false">IFERROR(INDEX(Positions!$E$2:$E$6912,MATCH($A943&amp;"|50",Positions!$A$2:$A$6912,0)),"-")</f>
        <v>G</v>
      </c>
      <c r="G943" s="4" t="str">
        <f aca="false">IFERROR(INDEX(Positions!$E$2:$E$6912,MATCH($A943&amp;"|64",Positions!$A$2:$A$6912,0)),"-")</f>
        <v>C</v>
      </c>
      <c r="H943" s="3" t="str">
        <f aca="false">F943&amp;"-"&amp;G943</f>
        <v>G-C</v>
      </c>
      <c r="I943" s="4" t="n">
        <f aca="false">(F943="G")+(G943="G")</f>
        <v>1</v>
      </c>
      <c r="J943" s="4" t="n">
        <f aca="false">(F943="C")+(G943="C")</f>
        <v>1</v>
      </c>
      <c r="K943" s="3" t="n">
        <f aca="false">I943+J943</f>
        <v>2</v>
      </c>
    </row>
    <row r="944" customFormat="false" ht="15" hidden="false" customHeight="false" outlineLevel="0" collapsed="false">
      <c r="A944" s="4" t="s">
        <v>70</v>
      </c>
      <c r="B944" s="4" t="s">
        <v>471</v>
      </c>
      <c r="C944" s="4" t="s">
        <v>527</v>
      </c>
      <c r="D944" s="4" t="n">
        <f aca="false">IFERROR(INDEX(Positions!$D$2:$D$6912,MATCH($A944&amp;"|51",Positions!$A$2:$A$6912,0)),"-")</f>
        <v>51</v>
      </c>
      <c r="E944" s="4" t="n">
        <f aca="false">IFERROR(INDEX(Positions!$D$2:$D$6912,MATCH($A944&amp;"|63",Positions!$A$2:$A$6912,0)),"-")</f>
        <v>63</v>
      </c>
      <c r="F944" s="4" t="str">
        <f aca="false">IFERROR(INDEX(Positions!$E$2:$E$6912,MATCH($A944&amp;"|51",Positions!$A$2:$A$6912,0)),"-")</f>
        <v>G</v>
      </c>
      <c r="G944" s="4" t="str">
        <f aca="false">IFERROR(INDEX(Positions!$E$2:$E$6912,MATCH($A944&amp;"|63",Positions!$A$2:$A$6912,0)),"-")</f>
        <v>C</v>
      </c>
      <c r="H944" s="3" t="str">
        <f aca="false">F944&amp;"-"&amp;G944</f>
        <v>G-C</v>
      </c>
      <c r="I944" s="4" t="n">
        <f aca="false">(F944="G")+(G944="G")</f>
        <v>1</v>
      </c>
      <c r="J944" s="4" t="n">
        <f aca="false">(F944="C")+(G944="C")</f>
        <v>1</v>
      </c>
      <c r="K944" s="3" t="n">
        <f aca="false">I944+J944</f>
        <v>2</v>
      </c>
    </row>
    <row r="945" customFormat="false" ht="15" hidden="false" customHeight="false" outlineLevel="0" collapsed="false">
      <c r="A945" s="4" t="s">
        <v>70</v>
      </c>
      <c r="B945" s="4" t="s">
        <v>471</v>
      </c>
      <c r="C945" s="4" t="s">
        <v>528</v>
      </c>
      <c r="D945" s="4" t="n">
        <f aca="false">IFERROR(INDEX(Positions!$D$2:$D$6912,MATCH($A945&amp;"|52",Positions!$A$2:$A$6912,0)),"-")</f>
        <v>52</v>
      </c>
      <c r="E945" s="4" t="n">
        <f aca="false">IFERROR(INDEX(Positions!$D$2:$D$6912,MATCH($A945&amp;"|62",Positions!$A$2:$A$6912,0)),"-")</f>
        <v>62</v>
      </c>
      <c r="F945" s="4" t="str">
        <f aca="false">IFERROR(INDEX(Positions!$E$2:$E$6912,MATCH($A945&amp;"|52",Positions!$A$2:$A$6912,0)),"-")</f>
        <v>G</v>
      </c>
      <c r="G945" s="4" t="str">
        <f aca="false">IFERROR(INDEX(Positions!$E$2:$E$6912,MATCH($A945&amp;"|62",Positions!$A$2:$A$6912,0)),"-")</f>
        <v>C</v>
      </c>
      <c r="H945" s="3" t="str">
        <f aca="false">F945&amp;"-"&amp;G945</f>
        <v>G-C</v>
      </c>
      <c r="I945" s="4" t="n">
        <f aca="false">(F945="G")+(G945="G")</f>
        <v>1</v>
      </c>
      <c r="J945" s="4" t="n">
        <f aca="false">(F945="C")+(G945="C")</f>
        <v>1</v>
      </c>
      <c r="K945" s="3" t="n">
        <f aca="false">I945+J945</f>
        <v>2</v>
      </c>
    </row>
    <row r="946" customFormat="false" ht="15" hidden="false" customHeight="false" outlineLevel="0" collapsed="false">
      <c r="A946" s="4" t="s">
        <v>70</v>
      </c>
      <c r="B946" s="4" t="s">
        <v>471</v>
      </c>
      <c r="C946" s="4" t="s">
        <v>529</v>
      </c>
      <c r="D946" s="4" t="n">
        <f aca="false">IFERROR(INDEX(Positions!$D$2:$D$6912,MATCH($A946&amp;"|53",Positions!$A$2:$A$6912,0)),"-")</f>
        <v>53</v>
      </c>
      <c r="E946" s="4" t="n">
        <f aca="false">IFERROR(INDEX(Positions!$D$2:$D$6912,MATCH($A946&amp;"|61",Positions!$A$2:$A$6912,0)),"-")</f>
        <v>61</v>
      </c>
      <c r="F946" s="4" t="str">
        <f aca="false">IFERROR(INDEX(Positions!$E$2:$E$6912,MATCH($A946&amp;"|53",Positions!$A$2:$A$6912,0)),"-")</f>
        <v>G</v>
      </c>
      <c r="G946" s="4" t="str">
        <f aca="false">IFERROR(INDEX(Positions!$E$2:$E$6912,MATCH($A946&amp;"|61",Positions!$A$2:$A$6912,0)),"-")</f>
        <v>C</v>
      </c>
      <c r="H946" s="3" t="str">
        <f aca="false">F946&amp;"-"&amp;G946</f>
        <v>G-C</v>
      </c>
      <c r="I946" s="4" t="n">
        <f aca="false">(F946="G")+(G946="G")</f>
        <v>1</v>
      </c>
      <c r="J946" s="4" t="n">
        <f aca="false">(F946="C")+(G946="C")</f>
        <v>1</v>
      </c>
      <c r="K946" s="3" t="n">
        <f aca="false">I946+J946</f>
        <v>2</v>
      </c>
    </row>
    <row r="947" customFormat="false" ht="15" hidden="false" customHeight="false" outlineLevel="0" collapsed="false">
      <c r="A947" s="24" t="s">
        <v>70</v>
      </c>
      <c r="B947" s="24" t="s">
        <v>530</v>
      </c>
      <c r="C947" s="24" t="s">
        <v>531</v>
      </c>
      <c r="D947" s="24" t="n">
        <f aca="false">IFERROR(INDEX(Positions!$D$2:$D$6912,MATCH($A947&amp;"|8",Positions!$A$2:$A$6912,0)),"-")</f>
        <v>8</v>
      </c>
      <c r="E947" s="24" t="n">
        <f aca="false">IFERROR(INDEX(Positions!$D$2:$D$6912,MATCH($A947&amp;"|14",Positions!$A$2:$A$6912,0)),"-")</f>
        <v>14</v>
      </c>
      <c r="F947" s="24" t="str">
        <f aca="false">IFERROR(INDEX(Positions!$E$2:$E$6912,MATCH($A947&amp;"|8",Positions!$A$2:$A$6912,0)),"-")</f>
        <v>U</v>
      </c>
      <c r="G947" s="24" t="str">
        <f aca="false">IFERROR(INDEX(Positions!$E$2:$E$6912,MATCH($A947&amp;"|14",Positions!$A$2:$A$6912,0)),"-")</f>
        <v>A</v>
      </c>
      <c r="H947" s="25" t="str">
        <f aca="false">F947&amp;"-"&amp;G947</f>
        <v>U-A</v>
      </c>
      <c r="I947" s="24" t="n">
        <f aca="false">(F947="G")+(G947="G")</f>
        <v>0</v>
      </c>
      <c r="J947" s="24" t="n">
        <f aca="false">(F947="C")+(G947="C")</f>
        <v>0</v>
      </c>
      <c r="K947" s="25" t="n">
        <f aca="false">I947+J947</f>
        <v>0</v>
      </c>
    </row>
    <row r="948" customFormat="false" ht="15" hidden="false" customHeight="false" outlineLevel="0" collapsed="false">
      <c r="A948" s="24" t="s">
        <v>70</v>
      </c>
      <c r="B948" s="24" t="s">
        <v>530</v>
      </c>
      <c r="C948" s="24" t="s">
        <v>532</v>
      </c>
      <c r="D948" s="24" t="n">
        <f aca="false">IFERROR(INDEX(Positions!$D$2:$D$6912,MATCH($A948&amp;"|15",Positions!$A$2:$A$6912,0)),"-")</f>
        <v>15</v>
      </c>
      <c r="E948" s="24" t="n">
        <f aca="false">IFERROR(INDEX(Positions!$D$2:$D$6912,MATCH($A948&amp;"|48",Positions!$A$2:$A$6912,0)),"-")</f>
        <v>48</v>
      </c>
      <c r="F948" s="24" t="str">
        <f aca="false">IFERROR(INDEX(Positions!$E$2:$E$6912,MATCH($A948&amp;"|15",Positions!$A$2:$A$6912,0)),"-")</f>
        <v>G</v>
      </c>
      <c r="G948" s="24" t="str">
        <f aca="false">IFERROR(INDEX(Positions!$E$2:$E$6912,MATCH($A948&amp;"|48",Positions!$A$2:$A$6912,0)),"-")</f>
        <v>C</v>
      </c>
      <c r="H948" s="25" t="str">
        <f aca="false">F948&amp;"-"&amp;G948</f>
        <v>G-C</v>
      </c>
      <c r="I948" s="24" t="n">
        <f aca="false">(F948="G")+(G948="G")</f>
        <v>1</v>
      </c>
      <c r="J948" s="24" t="n">
        <f aca="false">(F948="C")+(G948="C")</f>
        <v>1</v>
      </c>
      <c r="K948" s="25" t="n">
        <f aca="false">I948+J948</f>
        <v>2</v>
      </c>
    </row>
    <row r="949" customFormat="false" ht="15" hidden="false" customHeight="false" outlineLevel="0" collapsed="false">
      <c r="A949" s="24" t="s">
        <v>70</v>
      </c>
      <c r="B949" s="24" t="s">
        <v>530</v>
      </c>
      <c r="C949" s="24" t="s">
        <v>533</v>
      </c>
      <c r="D949" s="24" t="n">
        <f aca="false">IFERROR(INDEX(Positions!$D$2:$D$6912,MATCH($A949&amp;"|18",Positions!$A$2:$A$6912,0)),"-")</f>
        <v>18</v>
      </c>
      <c r="E949" s="24" t="n">
        <f aca="false">IFERROR(INDEX(Positions!$D$2:$D$6912,MATCH($A949&amp;"|55",Positions!$A$2:$A$6912,0)),"-")</f>
        <v>55</v>
      </c>
      <c r="F949" s="24" t="str">
        <f aca="false">IFERROR(INDEX(Positions!$E$2:$E$6912,MATCH($A949&amp;"|18",Positions!$A$2:$A$6912,0)),"-")</f>
        <v>G</v>
      </c>
      <c r="G949" s="24" t="str">
        <f aca="false">IFERROR(INDEX(Positions!$E$2:$E$6912,MATCH($A949&amp;"|55",Positions!$A$2:$A$6912,0)),"-")</f>
        <v>U</v>
      </c>
      <c r="H949" s="25" t="str">
        <f aca="false">F949&amp;"-"&amp;G949</f>
        <v>G-U</v>
      </c>
      <c r="I949" s="24" t="n">
        <f aca="false">(F949="G")+(G949="G")</f>
        <v>1</v>
      </c>
      <c r="J949" s="24" t="n">
        <f aca="false">(F949="C")+(G949="C")</f>
        <v>0</v>
      </c>
      <c r="K949" s="25" t="n">
        <f aca="false">I949+J949</f>
        <v>1</v>
      </c>
    </row>
    <row r="950" customFormat="false" ht="15" hidden="false" customHeight="false" outlineLevel="0" collapsed="false">
      <c r="A950" s="24" t="s">
        <v>70</v>
      </c>
      <c r="B950" s="24" t="s">
        <v>530</v>
      </c>
      <c r="C950" s="24" t="s">
        <v>534</v>
      </c>
      <c r="D950" s="24" t="n">
        <f aca="false">IFERROR(INDEX(Positions!$D$2:$D$6912,MATCH($A950&amp;"|19",Positions!$A$2:$A$6912,0)),"-")</f>
        <v>19</v>
      </c>
      <c r="E950" s="24" t="n">
        <f aca="false">IFERROR(INDEX(Positions!$D$2:$D$6912,MATCH($A950&amp;"|56",Positions!$A$2:$A$6912,0)),"-")</f>
        <v>56</v>
      </c>
      <c r="F950" s="24" t="str">
        <f aca="false">IFERROR(INDEX(Positions!$E$2:$E$6912,MATCH($A950&amp;"|19",Positions!$A$2:$A$6912,0)),"-")</f>
        <v>G</v>
      </c>
      <c r="G950" s="24" t="str">
        <f aca="false">IFERROR(INDEX(Positions!$E$2:$E$6912,MATCH($A950&amp;"|56",Positions!$A$2:$A$6912,0)),"-")</f>
        <v>C</v>
      </c>
      <c r="H950" s="25" t="str">
        <f aca="false">F950&amp;"-"&amp;G950</f>
        <v>G-C</v>
      </c>
      <c r="I950" s="24" t="n">
        <f aca="false">(F950="G")+(G950="G")</f>
        <v>1</v>
      </c>
      <c r="J950" s="24" t="n">
        <f aca="false">(F950="C")+(G950="C")</f>
        <v>1</v>
      </c>
      <c r="K950" s="25" t="n">
        <f aca="false">I950+J950</f>
        <v>2</v>
      </c>
    </row>
    <row r="951" customFormat="false" ht="15" hidden="false" customHeight="false" outlineLevel="0" collapsed="false">
      <c r="A951" s="24" t="s">
        <v>70</v>
      </c>
      <c r="B951" s="24" t="s">
        <v>530</v>
      </c>
      <c r="C951" s="24" t="s">
        <v>535</v>
      </c>
      <c r="D951" s="24" t="n">
        <f aca="false">IFERROR(INDEX(Positions!$D$2:$D$6912,MATCH($A951&amp;"|26",Positions!$A$2:$A$6912,0)),"-")</f>
        <v>26</v>
      </c>
      <c r="E951" s="24" t="n">
        <f aca="false">IFERROR(INDEX(Positions!$D$2:$D$6912,MATCH($A951&amp;"|44",Positions!$A$2:$A$6912,0)),"-")</f>
        <v>44</v>
      </c>
      <c r="F951" s="24" t="str">
        <f aca="false">IFERROR(INDEX(Positions!$E$2:$E$6912,MATCH($A951&amp;"|26",Positions!$A$2:$A$6912,0)),"-")</f>
        <v>A</v>
      </c>
      <c r="G951" s="24" t="str">
        <f aca="false">IFERROR(INDEX(Positions!$E$2:$E$6912,MATCH($A951&amp;"|44",Positions!$A$2:$A$6912,0)),"-")</f>
        <v>G</v>
      </c>
      <c r="H951" s="25" t="str">
        <f aca="false">F951&amp;"-"&amp;G951</f>
        <v>A-G</v>
      </c>
      <c r="I951" s="24" t="n">
        <f aca="false">(F951="G")+(G951="G")</f>
        <v>1</v>
      </c>
      <c r="J951" s="24" t="n">
        <f aca="false">(F951="C")+(G951="C")</f>
        <v>0</v>
      </c>
      <c r="K951" s="25" t="n">
        <f aca="false">I951+J951</f>
        <v>1</v>
      </c>
    </row>
    <row r="952" customFormat="false" ht="15" hidden="false" customHeight="false" outlineLevel="0" collapsed="false">
      <c r="A952" s="24" t="s">
        <v>70</v>
      </c>
      <c r="B952" s="24" t="s">
        <v>530</v>
      </c>
      <c r="C952" s="24" t="s">
        <v>536</v>
      </c>
      <c r="D952" s="24" t="n">
        <f aca="false">IFERROR(INDEX(Positions!$D$2:$D$6912,MATCH($A952&amp;"|32",Positions!$A$2:$A$6912,0)),"-")</f>
        <v>32</v>
      </c>
      <c r="E952" s="24" t="n">
        <f aca="false">IFERROR(INDEX(Positions!$D$2:$D$6912,MATCH($A952&amp;"|38",Positions!$A$2:$A$6912,0)),"-")</f>
        <v>38</v>
      </c>
      <c r="F952" s="24" t="str">
        <f aca="false">IFERROR(INDEX(Positions!$E$2:$E$6912,MATCH($A952&amp;"|32",Positions!$A$2:$A$6912,0)),"-")</f>
        <v>C</v>
      </c>
      <c r="G952" s="24" t="str">
        <f aca="false">IFERROR(INDEX(Positions!$E$2:$E$6912,MATCH($A952&amp;"|38",Positions!$A$2:$A$6912,0)),"-")</f>
        <v>A</v>
      </c>
      <c r="H952" s="25" t="str">
        <f aca="false">F952&amp;"-"&amp;G952</f>
        <v>C-A</v>
      </c>
      <c r="I952" s="24" t="n">
        <f aca="false">(F952="G")+(G952="G")</f>
        <v>0</v>
      </c>
      <c r="J952" s="24" t="n">
        <f aca="false">(F952="C")+(G952="C")</f>
        <v>1</v>
      </c>
      <c r="K952" s="25" t="n">
        <f aca="false">I952+J952</f>
        <v>1</v>
      </c>
    </row>
    <row r="953" customFormat="false" ht="15" hidden="false" customHeight="false" outlineLevel="0" collapsed="false">
      <c r="A953" s="24" t="s">
        <v>70</v>
      </c>
      <c r="B953" s="24" t="s">
        <v>530</v>
      </c>
      <c r="C953" s="24" t="s">
        <v>537</v>
      </c>
      <c r="D953" s="24" t="n">
        <f aca="false">IFERROR(INDEX(Positions!$D$2:$D$6912,MATCH($A953&amp;"|54",Positions!$A$2:$A$6912,0)),"-")</f>
        <v>54</v>
      </c>
      <c r="E953" s="24" t="n">
        <f aca="false">IFERROR(INDEX(Positions!$D$2:$D$6912,MATCH($A953&amp;"|58",Positions!$A$2:$A$6912,0)),"-")</f>
        <v>58</v>
      </c>
      <c r="F953" s="24" t="str">
        <f aca="false">IFERROR(INDEX(Positions!$E$2:$E$6912,MATCH($A953&amp;"|54",Positions!$A$2:$A$6912,0)),"-")</f>
        <v>U</v>
      </c>
      <c r="G953" s="24" t="str">
        <f aca="false">IFERROR(INDEX(Positions!$E$2:$E$6912,MATCH($A953&amp;"|58",Positions!$A$2:$A$6912,0)),"-")</f>
        <v>A</v>
      </c>
      <c r="H953" s="25" t="str">
        <f aca="false">F953&amp;"-"&amp;G953</f>
        <v>U-A</v>
      </c>
      <c r="I953" s="24" t="n">
        <f aca="false">(F953="G")+(G953="G")</f>
        <v>0</v>
      </c>
      <c r="J953" s="24" t="n">
        <f aca="false">(F953="C")+(G953="C")</f>
        <v>0</v>
      </c>
      <c r="K953" s="25" t="n">
        <f aca="false">I953+J953</f>
        <v>0</v>
      </c>
    </row>
    <row r="954" customFormat="false" ht="15" hidden="false" customHeight="false" outlineLevel="0" collapsed="false">
      <c r="A954" s="4" t="s">
        <v>71</v>
      </c>
      <c r="B954" s="4" t="s">
        <v>412</v>
      </c>
      <c r="C954" s="4" t="s">
        <v>517</v>
      </c>
      <c r="D954" s="4" t="n">
        <f aca="false">IFERROR(INDEX(Positions!$D$2:$D$6912,MATCH($A954&amp;"|1",Positions!$A$2:$A$6912,0)),"-")</f>
        <v>1</v>
      </c>
      <c r="E954" s="4" t="n">
        <f aca="false">IFERROR(INDEX(Positions!$D$2:$D$6912,MATCH($A954&amp;"|72",Positions!$A$2:$A$6912,0)),"-")</f>
        <v>72</v>
      </c>
      <c r="F954" s="4" t="str">
        <f aca="false">IFERROR(INDEX(Positions!$E$2:$E$6912,MATCH($A954&amp;"|1",Positions!$A$2:$A$6912,0)),"-")</f>
        <v>G</v>
      </c>
      <c r="G954" s="4" t="str">
        <f aca="false">IFERROR(INDEX(Positions!$E$2:$E$6912,MATCH($A954&amp;"|72",Positions!$A$2:$A$6912,0)),"-")</f>
        <v>C</v>
      </c>
      <c r="H954" s="3" t="str">
        <f aca="false">F954&amp;"-"&amp;G954</f>
        <v>G-C</v>
      </c>
      <c r="I954" s="4" t="n">
        <f aca="false">(F954="G")+(G954="G")</f>
        <v>1</v>
      </c>
      <c r="J954" s="4" t="n">
        <f aca="false">(F954="C")+(G954="C")</f>
        <v>1</v>
      </c>
      <c r="K954" s="3" t="n">
        <f aca="false">I954+J954</f>
        <v>2</v>
      </c>
    </row>
    <row r="955" customFormat="false" ht="15" hidden="false" customHeight="false" outlineLevel="0" collapsed="false">
      <c r="A955" s="4" t="s">
        <v>71</v>
      </c>
      <c r="B955" s="4" t="s">
        <v>412</v>
      </c>
      <c r="C955" s="4" t="s">
        <v>518</v>
      </c>
      <c r="D955" s="4" t="n">
        <f aca="false">IFERROR(INDEX(Positions!$D$2:$D$6912,MATCH($A955&amp;"|2",Positions!$A$2:$A$6912,0)),"-")</f>
        <v>2</v>
      </c>
      <c r="E955" s="4" t="n">
        <f aca="false">IFERROR(INDEX(Positions!$D$2:$D$6912,MATCH($A955&amp;"|71",Positions!$A$2:$A$6912,0)),"-")</f>
        <v>71</v>
      </c>
      <c r="F955" s="4" t="str">
        <f aca="false">IFERROR(INDEX(Positions!$E$2:$E$6912,MATCH($A955&amp;"|2",Positions!$A$2:$A$6912,0)),"-")</f>
        <v>C</v>
      </c>
      <c r="G955" s="4" t="str">
        <f aca="false">IFERROR(INDEX(Positions!$E$2:$E$6912,MATCH($A955&amp;"|71",Positions!$A$2:$A$6912,0)),"-")</f>
        <v>G</v>
      </c>
      <c r="H955" s="3" t="str">
        <f aca="false">F955&amp;"-"&amp;G955</f>
        <v>C-G</v>
      </c>
      <c r="I955" s="4" t="n">
        <f aca="false">(F955="G")+(G955="G")</f>
        <v>1</v>
      </c>
      <c r="J955" s="4" t="n">
        <f aca="false">(F955="C")+(G955="C")</f>
        <v>1</v>
      </c>
      <c r="K955" s="3" t="n">
        <f aca="false">I955+J955</f>
        <v>2</v>
      </c>
    </row>
    <row r="956" customFormat="false" ht="15" hidden="false" customHeight="false" outlineLevel="0" collapsed="false">
      <c r="A956" s="4" t="s">
        <v>71</v>
      </c>
      <c r="B956" s="4" t="s">
        <v>412</v>
      </c>
      <c r="C956" s="4" t="s">
        <v>386</v>
      </c>
      <c r="D956" s="4" t="n">
        <f aca="false">IFERROR(INDEX(Positions!$D$2:$D$6912,MATCH($A956&amp;"|3",Positions!$A$2:$A$6912,0)),"-")</f>
        <v>3</v>
      </c>
      <c r="E956" s="4" t="n">
        <f aca="false">IFERROR(INDEX(Positions!$D$2:$D$6912,MATCH($A956&amp;"|70",Positions!$A$2:$A$6912,0)),"-")</f>
        <v>70</v>
      </c>
      <c r="F956" s="4" t="str">
        <f aca="false">IFERROR(INDEX(Positions!$E$2:$E$6912,MATCH($A956&amp;"|3",Positions!$A$2:$A$6912,0)),"-")</f>
        <v>C</v>
      </c>
      <c r="G956" s="4" t="str">
        <f aca="false">IFERROR(INDEX(Positions!$E$2:$E$6912,MATCH($A956&amp;"|70",Positions!$A$2:$A$6912,0)),"-")</f>
        <v>G</v>
      </c>
      <c r="H956" s="3" t="str">
        <f aca="false">F956&amp;"-"&amp;G956</f>
        <v>C-G</v>
      </c>
      <c r="I956" s="4" t="n">
        <f aca="false">(F956="G")+(G956="G")</f>
        <v>1</v>
      </c>
      <c r="J956" s="4" t="n">
        <f aca="false">(F956="C")+(G956="C")</f>
        <v>1</v>
      </c>
      <c r="K956" s="3" t="n">
        <f aca="false">I956+J956</f>
        <v>2</v>
      </c>
    </row>
    <row r="957" customFormat="false" ht="15" hidden="false" customHeight="false" outlineLevel="0" collapsed="false">
      <c r="A957" s="4" t="s">
        <v>71</v>
      </c>
      <c r="B957" s="4" t="s">
        <v>412</v>
      </c>
      <c r="C957" s="4" t="s">
        <v>519</v>
      </c>
      <c r="D957" s="4" t="n">
        <f aca="false">IFERROR(INDEX(Positions!$D$2:$D$6912,MATCH($A957&amp;"|4",Positions!$A$2:$A$6912,0)),"-")</f>
        <v>4</v>
      </c>
      <c r="E957" s="4" t="n">
        <f aca="false">IFERROR(INDEX(Positions!$D$2:$D$6912,MATCH($A957&amp;"|69",Positions!$A$2:$A$6912,0)),"-")</f>
        <v>69</v>
      </c>
      <c r="F957" s="4" t="str">
        <f aca="false">IFERROR(INDEX(Positions!$E$2:$E$6912,MATCH($A957&amp;"|4",Positions!$A$2:$A$6912,0)),"-")</f>
        <v>U</v>
      </c>
      <c r="G957" s="4" t="str">
        <f aca="false">IFERROR(INDEX(Positions!$E$2:$E$6912,MATCH($A957&amp;"|69",Positions!$A$2:$A$6912,0)),"-")</f>
        <v>G</v>
      </c>
      <c r="H957" s="3" t="str">
        <f aca="false">F957&amp;"-"&amp;G957</f>
        <v>U-G</v>
      </c>
      <c r="I957" s="4" t="n">
        <f aca="false">(F957="G")+(G957="G")</f>
        <v>1</v>
      </c>
      <c r="J957" s="4" t="n">
        <f aca="false">(F957="C")+(G957="C")</f>
        <v>0</v>
      </c>
      <c r="K957" s="3" t="n">
        <f aca="false">I957+J957</f>
        <v>1</v>
      </c>
    </row>
    <row r="958" customFormat="false" ht="15" hidden="false" customHeight="false" outlineLevel="0" collapsed="false">
      <c r="A958" s="4" t="s">
        <v>71</v>
      </c>
      <c r="B958" s="4" t="s">
        <v>412</v>
      </c>
      <c r="C958" s="4" t="s">
        <v>283</v>
      </c>
      <c r="D958" s="4" t="n">
        <f aca="false">IFERROR(INDEX(Positions!$D$2:$D$6912,MATCH($A958&amp;"|5",Positions!$A$2:$A$6912,0)),"-")</f>
        <v>5</v>
      </c>
      <c r="E958" s="4" t="n">
        <f aca="false">IFERROR(INDEX(Positions!$D$2:$D$6912,MATCH($A958&amp;"|68",Positions!$A$2:$A$6912,0)),"-")</f>
        <v>68</v>
      </c>
      <c r="F958" s="4" t="str">
        <f aca="false">IFERROR(INDEX(Positions!$E$2:$E$6912,MATCH($A958&amp;"|5",Positions!$A$2:$A$6912,0)),"-")</f>
        <v>U</v>
      </c>
      <c r="G958" s="4" t="str">
        <f aca="false">IFERROR(INDEX(Positions!$E$2:$E$6912,MATCH($A958&amp;"|68",Positions!$A$2:$A$6912,0)),"-")</f>
        <v>C</v>
      </c>
      <c r="H958" s="3" t="str">
        <f aca="false">F958&amp;"-"&amp;G958</f>
        <v>U-C</v>
      </c>
      <c r="I958" s="4" t="n">
        <f aca="false">(F958="G")+(G958="G")</f>
        <v>0</v>
      </c>
      <c r="J958" s="4" t="n">
        <f aca="false">(F958="C")+(G958="C")</f>
        <v>1</v>
      </c>
      <c r="K958" s="3" t="n">
        <f aca="false">I958+J958</f>
        <v>1</v>
      </c>
    </row>
    <row r="959" customFormat="false" ht="15" hidden="false" customHeight="false" outlineLevel="0" collapsed="false">
      <c r="A959" s="4" t="s">
        <v>71</v>
      </c>
      <c r="B959" s="4" t="s">
        <v>412</v>
      </c>
      <c r="C959" s="4" t="s">
        <v>520</v>
      </c>
      <c r="D959" s="4" t="n">
        <f aca="false">IFERROR(INDEX(Positions!$D$2:$D$6912,MATCH($A959&amp;"|6",Positions!$A$2:$A$6912,0)),"-")</f>
        <v>6</v>
      </c>
      <c r="E959" s="4" t="n">
        <f aca="false">IFERROR(INDEX(Positions!$D$2:$D$6912,MATCH($A959&amp;"|67",Positions!$A$2:$A$6912,0)),"-")</f>
        <v>67</v>
      </c>
      <c r="F959" s="4" t="str">
        <f aca="false">IFERROR(INDEX(Positions!$E$2:$E$6912,MATCH($A959&amp;"|6",Positions!$A$2:$A$6912,0)),"-")</f>
        <v>C</v>
      </c>
      <c r="G959" s="4" t="str">
        <f aca="false">IFERROR(INDEX(Positions!$E$2:$E$6912,MATCH($A959&amp;"|67",Positions!$A$2:$A$6912,0)),"-")</f>
        <v>G</v>
      </c>
      <c r="H959" s="3" t="str">
        <f aca="false">F959&amp;"-"&amp;G959</f>
        <v>C-G</v>
      </c>
      <c r="I959" s="4" t="n">
        <f aca="false">(F959="G")+(G959="G")</f>
        <v>1</v>
      </c>
      <c r="J959" s="4" t="n">
        <f aca="false">(F959="C")+(G959="C")</f>
        <v>1</v>
      </c>
      <c r="K959" s="3" t="n">
        <f aca="false">I959+J959</f>
        <v>2</v>
      </c>
    </row>
    <row r="960" customFormat="false" ht="15" hidden="false" customHeight="false" outlineLevel="0" collapsed="false">
      <c r="A960" s="4" t="s">
        <v>71</v>
      </c>
      <c r="B960" s="4" t="s">
        <v>412</v>
      </c>
      <c r="C960" s="4" t="s">
        <v>521</v>
      </c>
      <c r="D960" s="4" t="n">
        <f aca="false">IFERROR(INDEX(Positions!$D$2:$D$6912,MATCH($A960&amp;"|7",Positions!$A$2:$A$6912,0)),"-")</f>
        <v>7</v>
      </c>
      <c r="E960" s="4" t="n">
        <f aca="false">IFERROR(INDEX(Positions!$D$2:$D$6912,MATCH($A960&amp;"|66",Positions!$A$2:$A$6912,0)),"-")</f>
        <v>66</v>
      </c>
      <c r="F960" s="4" t="str">
        <f aca="false">IFERROR(INDEX(Positions!$E$2:$E$6912,MATCH($A960&amp;"|7",Positions!$A$2:$A$6912,0)),"-")</f>
        <v>A</v>
      </c>
      <c r="G960" s="4" t="str">
        <f aca="false">IFERROR(INDEX(Positions!$E$2:$E$6912,MATCH($A960&amp;"|66",Positions!$A$2:$A$6912,0)),"-")</f>
        <v>U</v>
      </c>
      <c r="H960" s="3" t="str">
        <f aca="false">F960&amp;"-"&amp;G960</f>
        <v>A-U</v>
      </c>
      <c r="I960" s="4" t="n">
        <f aca="false">(F960="G")+(G960="G")</f>
        <v>0</v>
      </c>
      <c r="J960" s="4" t="n">
        <f aca="false">(F960="C")+(G960="C")</f>
        <v>0</v>
      </c>
      <c r="K960" s="3" t="n">
        <f aca="false">I960+J960</f>
        <v>0</v>
      </c>
    </row>
    <row r="961" customFormat="false" ht="15" hidden="false" customHeight="false" outlineLevel="0" collapsed="false">
      <c r="A961" s="4" t="s">
        <v>71</v>
      </c>
      <c r="B961" s="4" t="s">
        <v>425</v>
      </c>
      <c r="C961" s="4" t="s">
        <v>522</v>
      </c>
      <c r="D961" s="4" t="n">
        <f aca="false">IFERROR(INDEX(Positions!$D$2:$D$6912,MATCH($A961&amp;"|10",Positions!$A$2:$A$6912,0)),"-")</f>
        <v>10</v>
      </c>
      <c r="E961" s="4" t="n">
        <f aca="false">IFERROR(INDEX(Positions!$D$2:$D$6912,MATCH($A961&amp;"|25",Positions!$A$2:$A$6912,0)),"-")</f>
        <v>25</v>
      </c>
      <c r="F961" s="4" t="str">
        <f aca="false">IFERROR(INDEX(Positions!$E$2:$E$6912,MATCH($A961&amp;"|10",Positions!$A$2:$A$6912,0)),"-")</f>
        <v>G</v>
      </c>
      <c r="G961" s="4" t="str">
        <f aca="false">IFERROR(INDEX(Positions!$E$2:$E$6912,MATCH($A961&amp;"|25",Positions!$A$2:$A$6912,0)),"-")</f>
        <v>C</v>
      </c>
      <c r="H961" s="3" t="str">
        <f aca="false">F961&amp;"-"&amp;G961</f>
        <v>G-C</v>
      </c>
      <c r="I961" s="4" t="n">
        <f aca="false">(F961="G")+(G961="G")</f>
        <v>1</v>
      </c>
      <c r="J961" s="4" t="n">
        <f aca="false">(F961="C")+(G961="C")</f>
        <v>1</v>
      </c>
      <c r="K961" s="3" t="n">
        <f aca="false">I961+J961</f>
        <v>2</v>
      </c>
    </row>
    <row r="962" customFormat="false" ht="15" hidden="false" customHeight="false" outlineLevel="0" collapsed="false">
      <c r="A962" s="4" t="s">
        <v>71</v>
      </c>
      <c r="B962" s="4" t="s">
        <v>425</v>
      </c>
      <c r="C962" s="4" t="s">
        <v>523</v>
      </c>
      <c r="D962" s="4" t="n">
        <f aca="false">IFERROR(INDEX(Positions!$D$2:$D$6912,MATCH($A962&amp;"|11",Positions!$A$2:$A$6912,0)),"-")</f>
        <v>11</v>
      </c>
      <c r="E962" s="4" t="n">
        <f aca="false">IFERROR(INDEX(Positions!$D$2:$D$6912,MATCH($A962&amp;"|24",Positions!$A$2:$A$6912,0)),"-")</f>
        <v>24</v>
      </c>
      <c r="F962" s="4" t="str">
        <f aca="false">IFERROR(INDEX(Positions!$E$2:$E$6912,MATCH($A962&amp;"|11",Positions!$A$2:$A$6912,0)),"-")</f>
        <v>C</v>
      </c>
      <c r="G962" s="4" t="str">
        <f aca="false">IFERROR(INDEX(Positions!$E$2:$E$6912,MATCH($A962&amp;"|24",Positions!$A$2:$A$6912,0)),"-")</f>
        <v>G</v>
      </c>
      <c r="H962" s="3" t="str">
        <f aca="false">F962&amp;"-"&amp;G962</f>
        <v>C-G</v>
      </c>
      <c r="I962" s="4" t="n">
        <f aca="false">(F962="G")+(G962="G")</f>
        <v>1</v>
      </c>
      <c r="J962" s="4" t="n">
        <f aca="false">(F962="C")+(G962="C")</f>
        <v>1</v>
      </c>
      <c r="K962" s="3" t="n">
        <f aca="false">I962+J962</f>
        <v>2</v>
      </c>
    </row>
    <row r="963" customFormat="false" ht="15" hidden="false" customHeight="false" outlineLevel="0" collapsed="false">
      <c r="A963" s="4" t="s">
        <v>71</v>
      </c>
      <c r="B963" s="4" t="s">
        <v>425</v>
      </c>
      <c r="C963" s="4" t="s">
        <v>250</v>
      </c>
      <c r="D963" s="4" t="n">
        <f aca="false">IFERROR(INDEX(Positions!$D$2:$D$6912,MATCH($A963&amp;"|12",Positions!$A$2:$A$6912,0)),"-")</f>
        <v>12</v>
      </c>
      <c r="E963" s="4" t="n">
        <f aca="false">IFERROR(INDEX(Positions!$D$2:$D$6912,MATCH($A963&amp;"|23",Positions!$A$2:$A$6912,0)),"-")</f>
        <v>23</v>
      </c>
      <c r="F963" s="4" t="str">
        <f aca="false">IFERROR(INDEX(Positions!$E$2:$E$6912,MATCH($A963&amp;"|12",Positions!$A$2:$A$6912,0)),"-")</f>
        <v>U</v>
      </c>
      <c r="G963" s="4" t="str">
        <f aca="false">IFERROR(INDEX(Positions!$E$2:$E$6912,MATCH($A963&amp;"|23",Positions!$A$2:$A$6912,0)),"-")</f>
        <v>A</v>
      </c>
      <c r="H963" s="3" t="str">
        <f aca="false">F963&amp;"-"&amp;G963</f>
        <v>U-A</v>
      </c>
      <c r="I963" s="4" t="n">
        <f aca="false">(F963="G")+(G963="G")</f>
        <v>0</v>
      </c>
      <c r="J963" s="4" t="n">
        <f aca="false">(F963="C")+(G963="C")</f>
        <v>0</v>
      </c>
      <c r="K963" s="3" t="n">
        <f aca="false">I963+J963</f>
        <v>0</v>
      </c>
    </row>
    <row r="964" customFormat="false" ht="15" hidden="false" customHeight="false" outlineLevel="0" collapsed="false">
      <c r="A964" s="4" t="s">
        <v>71</v>
      </c>
      <c r="B964" s="4" t="s">
        <v>425</v>
      </c>
      <c r="C964" s="4" t="s">
        <v>154</v>
      </c>
      <c r="D964" s="4" t="n">
        <f aca="false">IFERROR(INDEX(Positions!$D$2:$D$6912,MATCH($A964&amp;"|13",Positions!$A$2:$A$6912,0)),"-")</f>
        <v>13</v>
      </c>
      <c r="E964" s="4" t="n">
        <f aca="false">IFERROR(INDEX(Positions!$D$2:$D$6912,MATCH($A964&amp;"|22",Positions!$A$2:$A$6912,0)),"-")</f>
        <v>22</v>
      </c>
      <c r="F964" s="4" t="str">
        <f aca="false">IFERROR(INDEX(Positions!$E$2:$E$6912,MATCH($A964&amp;"|13",Positions!$A$2:$A$6912,0)),"-")</f>
        <v>C</v>
      </c>
      <c r="G964" s="4" t="str">
        <f aca="false">IFERROR(INDEX(Positions!$E$2:$E$6912,MATCH($A964&amp;"|22",Positions!$A$2:$A$6912,0)),"-")</f>
        <v>G</v>
      </c>
      <c r="H964" s="3" t="str">
        <f aca="false">F964&amp;"-"&amp;G964</f>
        <v>C-G</v>
      </c>
      <c r="I964" s="4" t="n">
        <f aca="false">(F964="G")+(G964="G")</f>
        <v>1</v>
      </c>
      <c r="J964" s="4" t="n">
        <f aca="false">(F964="C")+(G964="C")</f>
        <v>1</v>
      </c>
      <c r="K964" s="3" t="n">
        <f aca="false">I964+J964</f>
        <v>2</v>
      </c>
    </row>
    <row r="965" customFormat="false" ht="15" hidden="false" customHeight="false" outlineLevel="0" collapsed="false">
      <c r="A965" s="4" t="s">
        <v>71</v>
      </c>
      <c r="B965" s="4" t="s">
        <v>446</v>
      </c>
      <c r="C965" s="4" t="s">
        <v>524</v>
      </c>
      <c r="D965" s="4" t="n">
        <f aca="false">IFERROR(INDEX(Positions!$D$2:$D$6912,MATCH($A965&amp;"|27",Positions!$A$2:$A$6912,0)),"-")</f>
        <v>27</v>
      </c>
      <c r="E965" s="4" t="n">
        <f aca="false">IFERROR(INDEX(Positions!$D$2:$D$6912,MATCH($A965&amp;"|43",Positions!$A$2:$A$6912,0)),"-")</f>
        <v>43</v>
      </c>
      <c r="F965" s="4" t="str">
        <f aca="false">IFERROR(INDEX(Positions!$E$2:$E$6912,MATCH($A965&amp;"|27",Positions!$A$2:$A$6912,0)),"-")</f>
        <v>U</v>
      </c>
      <c r="G965" s="4" t="str">
        <f aca="false">IFERROR(INDEX(Positions!$E$2:$E$6912,MATCH($A965&amp;"|43",Positions!$A$2:$A$6912,0)),"-")</f>
        <v>A</v>
      </c>
      <c r="H965" s="3" t="str">
        <f aca="false">F965&amp;"-"&amp;G965</f>
        <v>U-A</v>
      </c>
      <c r="I965" s="4" t="n">
        <f aca="false">(F965="G")+(G965="G")</f>
        <v>0</v>
      </c>
      <c r="J965" s="4" t="n">
        <f aca="false">(F965="C")+(G965="C")</f>
        <v>0</v>
      </c>
      <c r="K965" s="3" t="n">
        <f aca="false">I965+J965</f>
        <v>0</v>
      </c>
    </row>
    <row r="966" customFormat="false" ht="15" hidden="false" customHeight="false" outlineLevel="0" collapsed="false">
      <c r="A966" s="4" t="s">
        <v>71</v>
      </c>
      <c r="B966" s="4" t="s">
        <v>446</v>
      </c>
      <c r="C966" s="4" t="s">
        <v>525</v>
      </c>
      <c r="D966" s="4" t="n">
        <f aca="false">IFERROR(INDEX(Positions!$D$2:$D$6912,MATCH($A966&amp;"|28",Positions!$A$2:$A$6912,0)),"-")</f>
        <v>28</v>
      </c>
      <c r="E966" s="4" t="n">
        <f aca="false">IFERROR(INDEX(Positions!$D$2:$D$6912,MATCH($A966&amp;"|42",Positions!$A$2:$A$6912,0)),"-")</f>
        <v>42</v>
      </c>
      <c r="F966" s="4" t="str">
        <f aca="false">IFERROR(INDEX(Positions!$E$2:$E$6912,MATCH($A966&amp;"|28",Positions!$A$2:$A$6912,0)),"-")</f>
        <v>C</v>
      </c>
      <c r="G966" s="4" t="str">
        <f aca="false">IFERROR(INDEX(Positions!$E$2:$E$6912,MATCH($A966&amp;"|42",Positions!$A$2:$A$6912,0)),"-")</f>
        <v>G</v>
      </c>
      <c r="H966" s="3" t="str">
        <f aca="false">F966&amp;"-"&amp;G966</f>
        <v>C-G</v>
      </c>
      <c r="I966" s="4" t="n">
        <f aca="false">(F966="G")+(G966="G")</f>
        <v>1</v>
      </c>
      <c r="J966" s="4" t="n">
        <f aca="false">(F966="C")+(G966="C")</f>
        <v>1</v>
      </c>
      <c r="K966" s="3" t="n">
        <f aca="false">I966+J966</f>
        <v>2</v>
      </c>
    </row>
    <row r="967" customFormat="false" ht="15" hidden="false" customHeight="false" outlineLevel="0" collapsed="false">
      <c r="A967" s="4" t="s">
        <v>71</v>
      </c>
      <c r="B967" s="4" t="s">
        <v>446</v>
      </c>
      <c r="C967" s="4" t="s">
        <v>256</v>
      </c>
      <c r="D967" s="4" t="n">
        <f aca="false">IFERROR(INDEX(Positions!$D$2:$D$6912,MATCH($A967&amp;"|29",Positions!$A$2:$A$6912,0)),"-")</f>
        <v>29</v>
      </c>
      <c r="E967" s="4" t="n">
        <f aca="false">IFERROR(INDEX(Positions!$D$2:$D$6912,MATCH($A967&amp;"|41",Positions!$A$2:$A$6912,0)),"-")</f>
        <v>41</v>
      </c>
      <c r="F967" s="4" t="str">
        <f aca="false">IFERROR(INDEX(Positions!$E$2:$E$6912,MATCH($A967&amp;"|29",Positions!$A$2:$A$6912,0)),"-")</f>
        <v>A</v>
      </c>
      <c r="G967" s="4" t="str">
        <f aca="false">IFERROR(INDEX(Positions!$E$2:$E$6912,MATCH($A967&amp;"|41",Positions!$A$2:$A$6912,0)),"-")</f>
        <v>U</v>
      </c>
      <c r="H967" s="3" t="str">
        <f aca="false">F967&amp;"-"&amp;G967</f>
        <v>A-U</v>
      </c>
      <c r="I967" s="4" t="n">
        <f aca="false">(F967="G")+(G967="G")</f>
        <v>0</v>
      </c>
      <c r="J967" s="4" t="n">
        <f aca="false">(F967="C")+(G967="C")</f>
        <v>0</v>
      </c>
      <c r="K967" s="3" t="n">
        <f aca="false">I967+J967</f>
        <v>0</v>
      </c>
    </row>
    <row r="968" customFormat="false" ht="15" hidden="false" customHeight="false" outlineLevel="0" collapsed="false">
      <c r="A968" s="4" t="s">
        <v>71</v>
      </c>
      <c r="B968" s="4" t="s">
        <v>446</v>
      </c>
      <c r="C968" s="4" t="s">
        <v>526</v>
      </c>
      <c r="D968" s="4" t="n">
        <f aca="false">IFERROR(INDEX(Positions!$D$2:$D$6912,MATCH($A968&amp;"|30",Positions!$A$2:$A$6912,0)),"-")</f>
        <v>30</v>
      </c>
      <c r="E968" s="4" t="n">
        <f aca="false">IFERROR(INDEX(Positions!$D$2:$D$6912,MATCH($A968&amp;"|40",Positions!$A$2:$A$6912,0)),"-")</f>
        <v>40</v>
      </c>
      <c r="F968" s="4" t="str">
        <f aca="false">IFERROR(INDEX(Positions!$E$2:$E$6912,MATCH($A968&amp;"|30",Positions!$A$2:$A$6912,0)),"-")</f>
        <v>G</v>
      </c>
      <c r="G968" s="4" t="str">
        <f aca="false">IFERROR(INDEX(Positions!$E$2:$E$6912,MATCH($A968&amp;"|40",Positions!$A$2:$A$6912,0)),"-")</f>
        <v>C</v>
      </c>
      <c r="H968" s="3" t="str">
        <f aca="false">F968&amp;"-"&amp;G968</f>
        <v>G-C</v>
      </c>
      <c r="I968" s="4" t="n">
        <f aca="false">(F968="G")+(G968="G")</f>
        <v>1</v>
      </c>
      <c r="J968" s="4" t="n">
        <f aca="false">(F968="C")+(G968="C")</f>
        <v>1</v>
      </c>
      <c r="K968" s="3" t="n">
        <f aca="false">I968+J968</f>
        <v>2</v>
      </c>
    </row>
    <row r="969" customFormat="false" ht="15" hidden="false" customHeight="false" outlineLevel="0" collapsed="false">
      <c r="A969" s="4" t="s">
        <v>71</v>
      </c>
      <c r="B969" s="4" t="s">
        <v>446</v>
      </c>
      <c r="C969" s="4" t="s">
        <v>273</v>
      </c>
      <c r="D969" s="4" t="n">
        <f aca="false">IFERROR(INDEX(Positions!$D$2:$D$6912,MATCH($A969&amp;"|31",Positions!$A$2:$A$6912,0)),"-")</f>
        <v>31</v>
      </c>
      <c r="E969" s="4" t="n">
        <f aca="false">IFERROR(INDEX(Positions!$D$2:$D$6912,MATCH($A969&amp;"|39",Positions!$A$2:$A$6912,0)),"-")</f>
        <v>39</v>
      </c>
      <c r="F969" s="4" t="str">
        <f aca="false">IFERROR(INDEX(Positions!$E$2:$E$6912,MATCH($A969&amp;"|31",Positions!$A$2:$A$6912,0)),"-")</f>
        <v>A</v>
      </c>
      <c r="G969" s="4" t="str">
        <f aca="false">IFERROR(INDEX(Positions!$E$2:$E$6912,MATCH($A969&amp;"|39",Positions!$A$2:$A$6912,0)),"-")</f>
        <v>U</v>
      </c>
      <c r="H969" s="3" t="str">
        <f aca="false">F969&amp;"-"&amp;G969</f>
        <v>A-U</v>
      </c>
      <c r="I969" s="4" t="n">
        <f aca="false">(F969="G")+(G969="G")</f>
        <v>0</v>
      </c>
      <c r="J969" s="4" t="n">
        <f aca="false">(F969="C")+(G969="C")</f>
        <v>0</v>
      </c>
      <c r="K969" s="3" t="n">
        <f aca="false">I969+J969</f>
        <v>0</v>
      </c>
    </row>
    <row r="970" customFormat="false" ht="15" hidden="false" customHeight="false" outlineLevel="0" collapsed="false">
      <c r="A970" s="4" t="s">
        <v>71</v>
      </c>
      <c r="B970" s="4" t="s">
        <v>471</v>
      </c>
      <c r="C970" s="4" t="s">
        <v>367</v>
      </c>
      <c r="D970" s="4" t="n">
        <f aca="false">IFERROR(INDEX(Positions!$D$2:$D$6912,MATCH($A970&amp;"|49",Positions!$A$2:$A$6912,0)),"-")</f>
        <v>49</v>
      </c>
      <c r="E970" s="4" t="n">
        <f aca="false">IFERROR(INDEX(Positions!$D$2:$D$6912,MATCH($A970&amp;"|65",Positions!$A$2:$A$6912,0)),"-")</f>
        <v>65</v>
      </c>
      <c r="F970" s="4" t="str">
        <f aca="false">IFERROR(INDEX(Positions!$E$2:$E$6912,MATCH($A970&amp;"|49",Positions!$A$2:$A$6912,0)),"-")</f>
        <v>U</v>
      </c>
      <c r="G970" s="4" t="str">
        <f aca="false">IFERROR(INDEX(Positions!$E$2:$E$6912,MATCH($A970&amp;"|65",Positions!$A$2:$A$6912,0)),"-")</f>
        <v>A</v>
      </c>
      <c r="H970" s="3" t="str">
        <f aca="false">F970&amp;"-"&amp;G970</f>
        <v>U-A</v>
      </c>
      <c r="I970" s="4" t="n">
        <f aca="false">(F970="G")+(G970="G")</f>
        <v>0</v>
      </c>
      <c r="J970" s="4" t="n">
        <f aca="false">(F970="C")+(G970="C")</f>
        <v>0</v>
      </c>
      <c r="K970" s="3" t="n">
        <f aca="false">I970+J970</f>
        <v>0</v>
      </c>
    </row>
    <row r="971" customFormat="false" ht="15" hidden="false" customHeight="false" outlineLevel="0" collapsed="false">
      <c r="A971" s="4" t="s">
        <v>71</v>
      </c>
      <c r="B971" s="4" t="s">
        <v>471</v>
      </c>
      <c r="C971" s="4" t="s">
        <v>233</v>
      </c>
      <c r="D971" s="4" t="n">
        <f aca="false">IFERROR(INDEX(Positions!$D$2:$D$6912,MATCH($A971&amp;"|50",Positions!$A$2:$A$6912,0)),"-")</f>
        <v>50</v>
      </c>
      <c r="E971" s="4" t="n">
        <f aca="false">IFERROR(INDEX(Positions!$D$2:$D$6912,MATCH($A971&amp;"|64",Positions!$A$2:$A$6912,0)),"-")</f>
        <v>64</v>
      </c>
      <c r="F971" s="4" t="str">
        <f aca="false">IFERROR(INDEX(Positions!$E$2:$E$6912,MATCH($A971&amp;"|50",Positions!$A$2:$A$6912,0)),"-")</f>
        <v>G</v>
      </c>
      <c r="G971" s="4" t="str">
        <f aca="false">IFERROR(INDEX(Positions!$E$2:$E$6912,MATCH($A971&amp;"|64",Positions!$A$2:$A$6912,0)),"-")</f>
        <v>C</v>
      </c>
      <c r="H971" s="3" t="str">
        <f aca="false">F971&amp;"-"&amp;G971</f>
        <v>G-C</v>
      </c>
      <c r="I971" s="4" t="n">
        <f aca="false">(F971="G")+(G971="G")</f>
        <v>1</v>
      </c>
      <c r="J971" s="4" t="n">
        <f aca="false">(F971="C")+(G971="C")</f>
        <v>1</v>
      </c>
      <c r="K971" s="3" t="n">
        <f aca="false">I971+J971</f>
        <v>2</v>
      </c>
    </row>
    <row r="972" customFormat="false" ht="15" hidden="false" customHeight="false" outlineLevel="0" collapsed="false">
      <c r="A972" s="4" t="s">
        <v>71</v>
      </c>
      <c r="B972" s="4" t="s">
        <v>471</v>
      </c>
      <c r="C972" s="4" t="s">
        <v>527</v>
      </c>
      <c r="D972" s="4" t="n">
        <f aca="false">IFERROR(INDEX(Positions!$D$2:$D$6912,MATCH($A972&amp;"|51",Positions!$A$2:$A$6912,0)),"-")</f>
        <v>51</v>
      </c>
      <c r="E972" s="4" t="n">
        <f aca="false">IFERROR(INDEX(Positions!$D$2:$D$6912,MATCH($A972&amp;"|63",Positions!$A$2:$A$6912,0)),"-")</f>
        <v>63</v>
      </c>
      <c r="F972" s="4" t="str">
        <f aca="false">IFERROR(INDEX(Positions!$E$2:$E$6912,MATCH($A972&amp;"|51",Positions!$A$2:$A$6912,0)),"-")</f>
        <v>G</v>
      </c>
      <c r="G972" s="4" t="str">
        <f aca="false">IFERROR(INDEX(Positions!$E$2:$E$6912,MATCH($A972&amp;"|63",Positions!$A$2:$A$6912,0)),"-")</f>
        <v>C</v>
      </c>
      <c r="H972" s="3" t="str">
        <f aca="false">F972&amp;"-"&amp;G972</f>
        <v>G-C</v>
      </c>
      <c r="I972" s="4" t="n">
        <f aca="false">(F972="G")+(G972="G")</f>
        <v>1</v>
      </c>
      <c r="J972" s="4" t="n">
        <f aca="false">(F972="C")+(G972="C")</f>
        <v>1</v>
      </c>
      <c r="K972" s="3" t="n">
        <f aca="false">I972+J972</f>
        <v>2</v>
      </c>
    </row>
    <row r="973" customFormat="false" ht="15" hidden="false" customHeight="false" outlineLevel="0" collapsed="false">
      <c r="A973" s="4" t="s">
        <v>71</v>
      </c>
      <c r="B973" s="4" t="s">
        <v>471</v>
      </c>
      <c r="C973" s="4" t="s">
        <v>528</v>
      </c>
      <c r="D973" s="4" t="n">
        <f aca="false">IFERROR(INDEX(Positions!$D$2:$D$6912,MATCH($A973&amp;"|52",Positions!$A$2:$A$6912,0)),"-")</f>
        <v>52</v>
      </c>
      <c r="E973" s="4" t="n">
        <f aca="false">IFERROR(INDEX(Positions!$D$2:$D$6912,MATCH($A973&amp;"|62",Positions!$A$2:$A$6912,0)),"-")</f>
        <v>62</v>
      </c>
      <c r="F973" s="4" t="str">
        <f aca="false">IFERROR(INDEX(Positions!$E$2:$E$6912,MATCH($A973&amp;"|52",Positions!$A$2:$A$6912,0)),"-")</f>
        <v>G</v>
      </c>
      <c r="G973" s="4" t="str">
        <f aca="false">IFERROR(INDEX(Positions!$E$2:$E$6912,MATCH($A973&amp;"|62",Positions!$A$2:$A$6912,0)),"-")</f>
        <v>C</v>
      </c>
      <c r="H973" s="3" t="str">
        <f aca="false">F973&amp;"-"&amp;G973</f>
        <v>G-C</v>
      </c>
      <c r="I973" s="4" t="n">
        <f aca="false">(F973="G")+(G973="G")</f>
        <v>1</v>
      </c>
      <c r="J973" s="4" t="n">
        <f aca="false">(F973="C")+(G973="C")</f>
        <v>1</v>
      </c>
      <c r="K973" s="3" t="n">
        <f aca="false">I973+J973</f>
        <v>2</v>
      </c>
    </row>
    <row r="974" customFormat="false" ht="15" hidden="false" customHeight="false" outlineLevel="0" collapsed="false">
      <c r="A974" s="4" t="s">
        <v>71</v>
      </c>
      <c r="B974" s="4" t="s">
        <v>471</v>
      </c>
      <c r="C974" s="4" t="s">
        <v>529</v>
      </c>
      <c r="D974" s="4" t="n">
        <f aca="false">IFERROR(INDEX(Positions!$D$2:$D$6912,MATCH($A974&amp;"|53",Positions!$A$2:$A$6912,0)),"-")</f>
        <v>53</v>
      </c>
      <c r="E974" s="4" t="n">
        <f aca="false">IFERROR(INDEX(Positions!$D$2:$D$6912,MATCH($A974&amp;"|61",Positions!$A$2:$A$6912,0)),"-")</f>
        <v>61</v>
      </c>
      <c r="F974" s="4" t="str">
        <f aca="false">IFERROR(INDEX(Positions!$E$2:$E$6912,MATCH($A974&amp;"|53",Positions!$A$2:$A$6912,0)),"-")</f>
        <v>G</v>
      </c>
      <c r="G974" s="4" t="str">
        <f aca="false">IFERROR(INDEX(Positions!$E$2:$E$6912,MATCH($A974&amp;"|61",Positions!$A$2:$A$6912,0)),"-")</f>
        <v>C</v>
      </c>
      <c r="H974" s="3" t="str">
        <f aca="false">F974&amp;"-"&amp;G974</f>
        <v>G-C</v>
      </c>
      <c r="I974" s="4" t="n">
        <f aca="false">(F974="G")+(G974="G")</f>
        <v>1</v>
      </c>
      <c r="J974" s="4" t="n">
        <f aca="false">(F974="C")+(G974="C")</f>
        <v>1</v>
      </c>
      <c r="K974" s="3" t="n">
        <f aca="false">I974+J974</f>
        <v>2</v>
      </c>
    </row>
    <row r="975" customFormat="false" ht="15" hidden="false" customHeight="false" outlineLevel="0" collapsed="false">
      <c r="A975" s="24" t="s">
        <v>71</v>
      </c>
      <c r="B975" s="24" t="s">
        <v>530</v>
      </c>
      <c r="C975" s="24" t="s">
        <v>531</v>
      </c>
      <c r="D975" s="24" t="n">
        <f aca="false">IFERROR(INDEX(Positions!$D$2:$D$6912,MATCH($A975&amp;"|8",Positions!$A$2:$A$6912,0)),"-")</f>
        <v>8</v>
      </c>
      <c r="E975" s="24" t="n">
        <f aca="false">IFERROR(INDEX(Positions!$D$2:$D$6912,MATCH($A975&amp;"|14",Positions!$A$2:$A$6912,0)),"-")</f>
        <v>14</v>
      </c>
      <c r="F975" s="24" t="str">
        <f aca="false">IFERROR(INDEX(Positions!$E$2:$E$6912,MATCH($A975&amp;"|8",Positions!$A$2:$A$6912,0)),"-")</f>
        <v>U</v>
      </c>
      <c r="G975" s="24" t="str">
        <f aca="false">IFERROR(INDEX(Positions!$E$2:$E$6912,MATCH($A975&amp;"|14",Positions!$A$2:$A$6912,0)),"-")</f>
        <v>A</v>
      </c>
      <c r="H975" s="25" t="str">
        <f aca="false">F975&amp;"-"&amp;G975</f>
        <v>U-A</v>
      </c>
      <c r="I975" s="24" t="n">
        <f aca="false">(F975="G")+(G975="G")</f>
        <v>0</v>
      </c>
      <c r="J975" s="24" t="n">
        <f aca="false">(F975="C")+(G975="C")</f>
        <v>0</v>
      </c>
      <c r="K975" s="25" t="n">
        <f aca="false">I975+J975</f>
        <v>0</v>
      </c>
    </row>
    <row r="976" customFormat="false" ht="15" hidden="false" customHeight="false" outlineLevel="0" collapsed="false">
      <c r="A976" s="24" t="s">
        <v>71</v>
      </c>
      <c r="B976" s="24" t="s">
        <v>530</v>
      </c>
      <c r="C976" s="24" t="s">
        <v>532</v>
      </c>
      <c r="D976" s="24" t="n">
        <f aca="false">IFERROR(INDEX(Positions!$D$2:$D$6912,MATCH($A976&amp;"|15",Positions!$A$2:$A$6912,0)),"-")</f>
        <v>15</v>
      </c>
      <c r="E976" s="24" t="n">
        <f aca="false">IFERROR(INDEX(Positions!$D$2:$D$6912,MATCH($A976&amp;"|48",Positions!$A$2:$A$6912,0)),"-")</f>
        <v>48</v>
      </c>
      <c r="F976" s="24" t="str">
        <f aca="false">IFERROR(INDEX(Positions!$E$2:$E$6912,MATCH($A976&amp;"|15",Positions!$A$2:$A$6912,0)),"-")</f>
        <v>G</v>
      </c>
      <c r="G976" s="24" t="str">
        <f aca="false">IFERROR(INDEX(Positions!$E$2:$E$6912,MATCH($A976&amp;"|48",Positions!$A$2:$A$6912,0)),"-")</f>
        <v>C</v>
      </c>
      <c r="H976" s="25" t="str">
        <f aca="false">F976&amp;"-"&amp;G976</f>
        <v>G-C</v>
      </c>
      <c r="I976" s="24" t="n">
        <f aca="false">(F976="G")+(G976="G")</f>
        <v>1</v>
      </c>
      <c r="J976" s="24" t="n">
        <f aca="false">(F976="C")+(G976="C")</f>
        <v>1</v>
      </c>
      <c r="K976" s="25" t="n">
        <f aca="false">I976+J976</f>
        <v>2</v>
      </c>
    </row>
    <row r="977" customFormat="false" ht="15" hidden="false" customHeight="false" outlineLevel="0" collapsed="false">
      <c r="A977" s="24" t="s">
        <v>71</v>
      </c>
      <c r="B977" s="24" t="s">
        <v>530</v>
      </c>
      <c r="C977" s="24" t="s">
        <v>533</v>
      </c>
      <c r="D977" s="24" t="n">
        <f aca="false">IFERROR(INDEX(Positions!$D$2:$D$6912,MATCH($A977&amp;"|18",Positions!$A$2:$A$6912,0)),"-")</f>
        <v>18</v>
      </c>
      <c r="E977" s="24" t="n">
        <f aca="false">IFERROR(INDEX(Positions!$D$2:$D$6912,MATCH($A977&amp;"|55",Positions!$A$2:$A$6912,0)),"-")</f>
        <v>55</v>
      </c>
      <c r="F977" s="24" t="str">
        <f aca="false">IFERROR(INDEX(Positions!$E$2:$E$6912,MATCH($A977&amp;"|18",Positions!$A$2:$A$6912,0)),"-")</f>
        <v>G</v>
      </c>
      <c r="G977" s="24" t="str">
        <f aca="false">IFERROR(INDEX(Positions!$E$2:$E$6912,MATCH($A977&amp;"|55",Positions!$A$2:$A$6912,0)),"-")</f>
        <v>U</v>
      </c>
      <c r="H977" s="25" t="str">
        <f aca="false">F977&amp;"-"&amp;G977</f>
        <v>G-U</v>
      </c>
      <c r="I977" s="24" t="n">
        <f aca="false">(F977="G")+(G977="G")</f>
        <v>1</v>
      </c>
      <c r="J977" s="24" t="n">
        <f aca="false">(F977="C")+(G977="C")</f>
        <v>0</v>
      </c>
      <c r="K977" s="25" t="n">
        <f aca="false">I977+J977</f>
        <v>1</v>
      </c>
    </row>
    <row r="978" customFormat="false" ht="15" hidden="false" customHeight="false" outlineLevel="0" collapsed="false">
      <c r="A978" s="24" t="s">
        <v>71</v>
      </c>
      <c r="B978" s="24" t="s">
        <v>530</v>
      </c>
      <c r="C978" s="24" t="s">
        <v>534</v>
      </c>
      <c r="D978" s="24" t="n">
        <f aca="false">IFERROR(INDEX(Positions!$D$2:$D$6912,MATCH($A978&amp;"|19",Positions!$A$2:$A$6912,0)),"-")</f>
        <v>19</v>
      </c>
      <c r="E978" s="24" t="n">
        <f aca="false">IFERROR(INDEX(Positions!$D$2:$D$6912,MATCH($A978&amp;"|56",Positions!$A$2:$A$6912,0)),"-")</f>
        <v>56</v>
      </c>
      <c r="F978" s="24" t="str">
        <f aca="false">IFERROR(INDEX(Positions!$E$2:$E$6912,MATCH($A978&amp;"|19",Positions!$A$2:$A$6912,0)),"-")</f>
        <v>G</v>
      </c>
      <c r="G978" s="24" t="str">
        <f aca="false">IFERROR(INDEX(Positions!$E$2:$E$6912,MATCH($A978&amp;"|56",Positions!$A$2:$A$6912,0)),"-")</f>
        <v>C</v>
      </c>
      <c r="H978" s="25" t="str">
        <f aca="false">F978&amp;"-"&amp;G978</f>
        <v>G-C</v>
      </c>
      <c r="I978" s="24" t="n">
        <f aca="false">(F978="G")+(G978="G")</f>
        <v>1</v>
      </c>
      <c r="J978" s="24" t="n">
        <f aca="false">(F978="C")+(G978="C")</f>
        <v>1</v>
      </c>
      <c r="K978" s="25" t="n">
        <f aca="false">I978+J978</f>
        <v>2</v>
      </c>
    </row>
    <row r="979" customFormat="false" ht="15" hidden="false" customHeight="false" outlineLevel="0" collapsed="false">
      <c r="A979" s="24" t="s">
        <v>71</v>
      </c>
      <c r="B979" s="24" t="s">
        <v>530</v>
      </c>
      <c r="C979" s="24" t="s">
        <v>535</v>
      </c>
      <c r="D979" s="24" t="n">
        <f aca="false">IFERROR(INDEX(Positions!$D$2:$D$6912,MATCH($A979&amp;"|26",Positions!$A$2:$A$6912,0)),"-")</f>
        <v>26</v>
      </c>
      <c r="E979" s="24" t="n">
        <f aca="false">IFERROR(INDEX(Positions!$D$2:$D$6912,MATCH($A979&amp;"|44",Positions!$A$2:$A$6912,0)),"-")</f>
        <v>44</v>
      </c>
      <c r="F979" s="24" t="str">
        <f aca="false">IFERROR(INDEX(Positions!$E$2:$E$6912,MATCH($A979&amp;"|26",Positions!$A$2:$A$6912,0)),"-")</f>
        <v>A</v>
      </c>
      <c r="G979" s="24" t="str">
        <f aca="false">IFERROR(INDEX(Positions!$E$2:$E$6912,MATCH($A979&amp;"|44",Positions!$A$2:$A$6912,0)),"-")</f>
        <v>G</v>
      </c>
      <c r="H979" s="25" t="str">
        <f aca="false">F979&amp;"-"&amp;G979</f>
        <v>A-G</v>
      </c>
      <c r="I979" s="24" t="n">
        <f aca="false">(F979="G")+(G979="G")</f>
        <v>1</v>
      </c>
      <c r="J979" s="24" t="n">
        <f aca="false">(F979="C")+(G979="C")</f>
        <v>0</v>
      </c>
      <c r="K979" s="25" t="n">
        <f aca="false">I979+J979</f>
        <v>1</v>
      </c>
    </row>
    <row r="980" customFormat="false" ht="15" hidden="false" customHeight="false" outlineLevel="0" collapsed="false">
      <c r="A980" s="24" t="s">
        <v>71</v>
      </c>
      <c r="B980" s="24" t="s">
        <v>530</v>
      </c>
      <c r="C980" s="24" t="s">
        <v>536</v>
      </c>
      <c r="D980" s="24" t="n">
        <f aca="false">IFERROR(INDEX(Positions!$D$2:$D$6912,MATCH($A980&amp;"|32",Positions!$A$2:$A$6912,0)),"-")</f>
        <v>32</v>
      </c>
      <c r="E980" s="24" t="n">
        <f aca="false">IFERROR(INDEX(Positions!$D$2:$D$6912,MATCH($A980&amp;"|38",Positions!$A$2:$A$6912,0)),"-")</f>
        <v>38</v>
      </c>
      <c r="F980" s="24" t="str">
        <f aca="false">IFERROR(INDEX(Positions!$E$2:$E$6912,MATCH($A980&amp;"|32",Positions!$A$2:$A$6912,0)),"-")</f>
        <v>C</v>
      </c>
      <c r="G980" s="24" t="str">
        <f aca="false">IFERROR(INDEX(Positions!$E$2:$E$6912,MATCH($A980&amp;"|38",Positions!$A$2:$A$6912,0)),"-")</f>
        <v>A</v>
      </c>
      <c r="H980" s="25" t="str">
        <f aca="false">F980&amp;"-"&amp;G980</f>
        <v>C-A</v>
      </c>
      <c r="I980" s="24" t="n">
        <f aca="false">(F980="G")+(G980="G")</f>
        <v>0</v>
      </c>
      <c r="J980" s="24" t="n">
        <f aca="false">(F980="C")+(G980="C")</f>
        <v>1</v>
      </c>
      <c r="K980" s="25" t="n">
        <f aca="false">I980+J980</f>
        <v>1</v>
      </c>
    </row>
    <row r="981" customFormat="false" ht="15" hidden="false" customHeight="false" outlineLevel="0" collapsed="false">
      <c r="A981" s="24" t="s">
        <v>71</v>
      </c>
      <c r="B981" s="24" t="s">
        <v>530</v>
      </c>
      <c r="C981" s="24" t="s">
        <v>537</v>
      </c>
      <c r="D981" s="24" t="n">
        <f aca="false">IFERROR(INDEX(Positions!$D$2:$D$6912,MATCH($A981&amp;"|54",Positions!$A$2:$A$6912,0)),"-")</f>
        <v>54</v>
      </c>
      <c r="E981" s="24" t="n">
        <f aca="false">IFERROR(INDEX(Positions!$D$2:$D$6912,MATCH($A981&amp;"|58",Positions!$A$2:$A$6912,0)),"-")</f>
        <v>58</v>
      </c>
      <c r="F981" s="24" t="str">
        <f aca="false">IFERROR(INDEX(Positions!$E$2:$E$6912,MATCH($A981&amp;"|54",Positions!$A$2:$A$6912,0)),"-")</f>
        <v>U</v>
      </c>
      <c r="G981" s="24" t="str">
        <f aca="false">IFERROR(INDEX(Positions!$E$2:$E$6912,MATCH($A981&amp;"|58",Positions!$A$2:$A$6912,0)),"-")</f>
        <v>A</v>
      </c>
      <c r="H981" s="25" t="str">
        <f aca="false">F981&amp;"-"&amp;G981</f>
        <v>U-A</v>
      </c>
      <c r="I981" s="24" t="n">
        <f aca="false">(F981="G")+(G981="G")</f>
        <v>0</v>
      </c>
      <c r="J981" s="24" t="n">
        <f aca="false">(F981="C")+(G981="C")</f>
        <v>0</v>
      </c>
      <c r="K981" s="25" t="n">
        <f aca="false">I981+J981</f>
        <v>0</v>
      </c>
    </row>
    <row r="982" customFormat="false" ht="15" hidden="false" customHeight="false" outlineLevel="0" collapsed="false">
      <c r="A982" s="4" t="s">
        <v>72</v>
      </c>
      <c r="B982" s="4" t="s">
        <v>412</v>
      </c>
      <c r="C982" s="4" t="s">
        <v>517</v>
      </c>
      <c r="D982" s="4" t="n">
        <f aca="false">IFERROR(INDEX(Positions!$D$2:$D$6912,MATCH($A982&amp;"|1",Positions!$A$2:$A$6912,0)),"-")</f>
        <v>1</v>
      </c>
      <c r="E982" s="4" t="n">
        <f aca="false">IFERROR(INDEX(Positions!$D$2:$D$6912,MATCH($A982&amp;"|72",Positions!$A$2:$A$6912,0)),"-")</f>
        <v>72</v>
      </c>
      <c r="F982" s="4" t="str">
        <f aca="false">IFERROR(INDEX(Positions!$E$2:$E$6912,MATCH($A982&amp;"|1",Positions!$A$2:$A$6912,0)),"-")</f>
        <v>G</v>
      </c>
      <c r="G982" s="4" t="str">
        <f aca="false">IFERROR(INDEX(Positions!$E$2:$E$6912,MATCH($A982&amp;"|72",Positions!$A$2:$A$6912,0)),"-")</f>
        <v>C</v>
      </c>
      <c r="H982" s="3" t="str">
        <f aca="false">F982&amp;"-"&amp;G982</f>
        <v>G-C</v>
      </c>
      <c r="I982" s="4" t="n">
        <f aca="false">(F982="G")+(G982="G")</f>
        <v>1</v>
      </c>
      <c r="J982" s="4" t="n">
        <f aca="false">(F982="C")+(G982="C")</f>
        <v>1</v>
      </c>
      <c r="K982" s="3" t="n">
        <f aca="false">I982+J982</f>
        <v>2</v>
      </c>
    </row>
    <row r="983" customFormat="false" ht="15" hidden="false" customHeight="false" outlineLevel="0" collapsed="false">
      <c r="A983" s="4" t="s">
        <v>72</v>
      </c>
      <c r="B983" s="4" t="s">
        <v>412</v>
      </c>
      <c r="C983" s="4" t="s">
        <v>518</v>
      </c>
      <c r="D983" s="4" t="n">
        <f aca="false">IFERROR(INDEX(Positions!$D$2:$D$6912,MATCH($A983&amp;"|2",Positions!$A$2:$A$6912,0)),"-")</f>
        <v>2</v>
      </c>
      <c r="E983" s="4" t="n">
        <f aca="false">IFERROR(INDEX(Positions!$D$2:$D$6912,MATCH($A983&amp;"|71",Positions!$A$2:$A$6912,0)),"-")</f>
        <v>71</v>
      </c>
      <c r="F983" s="4" t="str">
        <f aca="false">IFERROR(INDEX(Positions!$E$2:$E$6912,MATCH($A983&amp;"|2",Positions!$A$2:$A$6912,0)),"-")</f>
        <v>C</v>
      </c>
      <c r="G983" s="4" t="str">
        <f aca="false">IFERROR(INDEX(Positions!$E$2:$E$6912,MATCH($A983&amp;"|71",Positions!$A$2:$A$6912,0)),"-")</f>
        <v>G</v>
      </c>
      <c r="H983" s="3" t="str">
        <f aca="false">F983&amp;"-"&amp;G983</f>
        <v>C-G</v>
      </c>
      <c r="I983" s="4" t="n">
        <f aca="false">(F983="G")+(G983="G")</f>
        <v>1</v>
      </c>
      <c r="J983" s="4" t="n">
        <f aca="false">(F983="C")+(G983="C")</f>
        <v>1</v>
      </c>
      <c r="K983" s="3" t="n">
        <f aca="false">I983+J983</f>
        <v>2</v>
      </c>
    </row>
    <row r="984" customFormat="false" ht="15" hidden="false" customHeight="false" outlineLevel="0" collapsed="false">
      <c r="A984" s="4" t="s">
        <v>72</v>
      </c>
      <c r="B984" s="4" t="s">
        <v>412</v>
      </c>
      <c r="C984" s="4" t="s">
        <v>386</v>
      </c>
      <c r="D984" s="4" t="n">
        <f aca="false">IFERROR(INDEX(Positions!$D$2:$D$6912,MATCH($A984&amp;"|3",Positions!$A$2:$A$6912,0)),"-")</f>
        <v>3</v>
      </c>
      <c r="E984" s="4" t="n">
        <f aca="false">IFERROR(INDEX(Positions!$D$2:$D$6912,MATCH($A984&amp;"|70",Positions!$A$2:$A$6912,0)),"-")</f>
        <v>70</v>
      </c>
      <c r="F984" s="4" t="str">
        <f aca="false">IFERROR(INDEX(Positions!$E$2:$E$6912,MATCH($A984&amp;"|3",Positions!$A$2:$A$6912,0)),"-")</f>
        <v>C</v>
      </c>
      <c r="G984" s="4" t="str">
        <f aca="false">IFERROR(INDEX(Positions!$E$2:$E$6912,MATCH($A984&amp;"|70",Positions!$A$2:$A$6912,0)),"-")</f>
        <v>G</v>
      </c>
      <c r="H984" s="3" t="str">
        <f aca="false">F984&amp;"-"&amp;G984</f>
        <v>C-G</v>
      </c>
      <c r="I984" s="4" t="n">
        <f aca="false">(F984="G")+(G984="G")</f>
        <v>1</v>
      </c>
      <c r="J984" s="4" t="n">
        <f aca="false">(F984="C")+(G984="C")</f>
        <v>1</v>
      </c>
      <c r="K984" s="3" t="n">
        <f aca="false">I984+J984</f>
        <v>2</v>
      </c>
    </row>
    <row r="985" customFormat="false" ht="15" hidden="false" customHeight="false" outlineLevel="0" collapsed="false">
      <c r="A985" s="4" t="s">
        <v>72</v>
      </c>
      <c r="B985" s="4" t="s">
        <v>412</v>
      </c>
      <c r="C985" s="4" t="s">
        <v>519</v>
      </c>
      <c r="D985" s="4" t="n">
        <f aca="false">IFERROR(INDEX(Positions!$D$2:$D$6912,MATCH($A985&amp;"|4",Positions!$A$2:$A$6912,0)),"-")</f>
        <v>4</v>
      </c>
      <c r="E985" s="4" t="n">
        <f aca="false">IFERROR(INDEX(Positions!$D$2:$D$6912,MATCH($A985&amp;"|69",Positions!$A$2:$A$6912,0)),"-")</f>
        <v>69</v>
      </c>
      <c r="F985" s="4" t="str">
        <f aca="false">IFERROR(INDEX(Positions!$E$2:$E$6912,MATCH($A985&amp;"|4",Positions!$A$2:$A$6912,0)),"-")</f>
        <v>U</v>
      </c>
      <c r="G985" s="4" t="str">
        <f aca="false">IFERROR(INDEX(Positions!$E$2:$E$6912,MATCH($A985&amp;"|69",Positions!$A$2:$A$6912,0)),"-")</f>
        <v>G</v>
      </c>
      <c r="H985" s="3" t="str">
        <f aca="false">F985&amp;"-"&amp;G985</f>
        <v>U-G</v>
      </c>
      <c r="I985" s="4" t="n">
        <f aca="false">(F985="G")+(G985="G")</f>
        <v>1</v>
      </c>
      <c r="J985" s="4" t="n">
        <f aca="false">(F985="C")+(G985="C")</f>
        <v>0</v>
      </c>
      <c r="K985" s="3" t="n">
        <f aca="false">I985+J985</f>
        <v>1</v>
      </c>
    </row>
    <row r="986" customFormat="false" ht="15" hidden="false" customHeight="false" outlineLevel="0" collapsed="false">
      <c r="A986" s="4" t="s">
        <v>72</v>
      </c>
      <c r="B986" s="4" t="s">
        <v>412</v>
      </c>
      <c r="C986" s="4" t="s">
        <v>283</v>
      </c>
      <c r="D986" s="4" t="n">
        <f aca="false">IFERROR(INDEX(Positions!$D$2:$D$6912,MATCH($A986&amp;"|5",Positions!$A$2:$A$6912,0)),"-")</f>
        <v>5</v>
      </c>
      <c r="E986" s="4" t="n">
        <f aca="false">IFERROR(INDEX(Positions!$D$2:$D$6912,MATCH($A986&amp;"|68",Positions!$A$2:$A$6912,0)),"-")</f>
        <v>68</v>
      </c>
      <c r="F986" s="4" t="str">
        <f aca="false">IFERROR(INDEX(Positions!$E$2:$E$6912,MATCH($A986&amp;"|5",Positions!$A$2:$A$6912,0)),"-")</f>
        <v>C</v>
      </c>
      <c r="G986" s="4" t="str">
        <f aca="false">IFERROR(INDEX(Positions!$E$2:$E$6912,MATCH($A986&amp;"|68",Positions!$A$2:$A$6912,0)),"-")</f>
        <v>U</v>
      </c>
      <c r="H986" s="3" t="str">
        <f aca="false">F986&amp;"-"&amp;G986</f>
        <v>C-U</v>
      </c>
      <c r="I986" s="4" t="n">
        <f aca="false">(F986="G")+(G986="G")</f>
        <v>0</v>
      </c>
      <c r="J986" s="4" t="n">
        <f aca="false">(F986="C")+(G986="C")</f>
        <v>1</v>
      </c>
      <c r="K986" s="3" t="n">
        <f aca="false">I986+J986</f>
        <v>1</v>
      </c>
    </row>
    <row r="987" customFormat="false" ht="15" hidden="false" customHeight="false" outlineLevel="0" collapsed="false">
      <c r="A987" s="4" t="s">
        <v>72</v>
      </c>
      <c r="B987" s="4" t="s">
        <v>412</v>
      </c>
      <c r="C987" s="4" t="s">
        <v>520</v>
      </c>
      <c r="D987" s="4" t="n">
        <f aca="false">IFERROR(INDEX(Positions!$D$2:$D$6912,MATCH($A987&amp;"|6",Positions!$A$2:$A$6912,0)),"-")</f>
        <v>6</v>
      </c>
      <c r="E987" s="4" t="n">
        <f aca="false">IFERROR(INDEX(Positions!$D$2:$D$6912,MATCH($A987&amp;"|67",Positions!$A$2:$A$6912,0)),"-")</f>
        <v>67</v>
      </c>
      <c r="F987" s="4" t="str">
        <f aca="false">IFERROR(INDEX(Positions!$E$2:$E$6912,MATCH($A987&amp;"|6",Positions!$A$2:$A$6912,0)),"-")</f>
        <v>C</v>
      </c>
      <c r="G987" s="4" t="str">
        <f aca="false">IFERROR(INDEX(Positions!$E$2:$E$6912,MATCH($A987&amp;"|67",Positions!$A$2:$A$6912,0)),"-")</f>
        <v>G</v>
      </c>
      <c r="H987" s="3" t="str">
        <f aca="false">F987&amp;"-"&amp;G987</f>
        <v>C-G</v>
      </c>
      <c r="I987" s="4" t="n">
        <f aca="false">(F987="G")+(G987="G")</f>
        <v>1</v>
      </c>
      <c r="J987" s="4" t="n">
        <f aca="false">(F987="C")+(G987="C")</f>
        <v>1</v>
      </c>
      <c r="K987" s="3" t="n">
        <f aca="false">I987+J987</f>
        <v>2</v>
      </c>
    </row>
    <row r="988" customFormat="false" ht="15" hidden="false" customHeight="false" outlineLevel="0" collapsed="false">
      <c r="A988" s="4" t="s">
        <v>72</v>
      </c>
      <c r="B988" s="4" t="s">
        <v>412</v>
      </c>
      <c r="C988" s="4" t="s">
        <v>521</v>
      </c>
      <c r="D988" s="4" t="n">
        <f aca="false">IFERROR(INDEX(Positions!$D$2:$D$6912,MATCH($A988&amp;"|7",Positions!$A$2:$A$6912,0)),"-")</f>
        <v>7</v>
      </c>
      <c r="E988" s="4" t="n">
        <f aca="false">IFERROR(INDEX(Positions!$D$2:$D$6912,MATCH($A988&amp;"|66",Positions!$A$2:$A$6912,0)),"-")</f>
        <v>66</v>
      </c>
      <c r="F988" s="4" t="str">
        <f aca="false">IFERROR(INDEX(Positions!$E$2:$E$6912,MATCH($A988&amp;"|7",Positions!$A$2:$A$6912,0)),"-")</f>
        <v>A</v>
      </c>
      <c r="G988" s="4" t="str">
        <f aca="false">IFERROR(INDEX(Positions!$E$2:$E$6912,MATCH($A988&amp;"|66",Positions!$A$2:$A$6912,0)),"-")</f>
        <v>U</v>
      </c>
      <c r="H988" s="3" t="str">
        <f aca="false">F988&amp;"-"&amp;G988</f>
        <v>A-U</v>
      </c>
      <c r="I988" s="4" t="n">
        <f aca="false">(F988="G")+(G988="G")</f>
        <v>0</v>
      </c>
      <c r="J988" s="4" t="n">
        <f aca="false">(F988="C")+(G988="C")</f>
        <v>0</v>
      </c>
      <c r="K988" s="3" t="n">
        <f aca="false">I988+J988</f>
        <v>0</v>
      </c>
    </row>
    <row r="989" customFormat="false" ht="15" hidden="false" customHeight="false" outlineLevel="0" collapsed="false">
      <c r="A989" s="4" t="s">
        <v>72</v>
      </c>
      <c r="B989" s="4" t="s">
        <v>425</v>
      </c>
      <c r="C989" s="4" t="s">
        <v>522</v>
      </c>
      <c r="D989" s="4" t="n">
        <f aca="false">IFERROR(INDEX(Positions!$D$2:$D$6912,MATCH($A989&amp;"|10",Positions!$A$2:$A$6912,0)),"-")</f>
        <v>10</v>
      </c>
      <c r="E989" s="4" t="n">
        <f aca="false">IFERROR(INDEX(Positions!$D$2:$D$6912,MATCH($A989&amp;"|25",Positions!$A$2:$A$6912,0)),"-")</f>
        <v>25</v>
      </c>
      <c r="F989" s="4" t="str">
        <f aca="false">IFERROR(INDEX(Positions!$E$2:$E$6912,MATCH($A989&amp;"|10",Positions!$A$2:$A$6912,0)),"-")</f>
        <v>G</v>
      </c>
      <c r="G989" s="4" t="str">
        <f aca="false">IFERROR(INDEX(Positions!$E$2:$E$6912,MATCH($A989&amp;"|25",Positions!$A$2:$A$6912,0)),"-")</f>
        <v>C</v>
      </c>
      <c r="H989" s="3" t="str">
        <f aca="false">F989&amp;"-"&amp;G989</f>
        <v>G-C</v>
      </c>
      <c r="I989" s="4" t="n">
        <f aca="false">(F989="G")+(G989="G")</f>
        <v>1</v>
      </c>
      <c r="J989" s="4" t="n">
        <f aca="false">(F989="C")+(G989="C")</f>
        <v>1</v>
      </c>
      <c r="K989" s="3" t="n">
        <f aca="false">I989+J989</f>
        <v>2</v>
      </c>
    </row>
    <row r="990" customFormat="false" ht="15" hidden="false" customHeight="false" outlineLevel="0" collapsed="false">
      <c r="A990" s="4" t="s">
        <v>72</v>
      </c>
      <c r="B990" s="4" t="s">
        <v>425</v>
      </c>
      <c r="C990" s="4" t="s">
        <v>523</v>
      </c>
      <c r="D990" s="4" t="n">
        <f aca="false">IFERROR(INDEX(Positions!$D$2:$D$6912,MATCH($A990&amp;"|11",Positions!$A$2:$A$6912,0)),"-")</f>
        <v>11</v>
      </c>
      <c r="E990" s="4" t="n">
        <f aca="false">IFERROR(INDEX(Positions!$D$2:$D$6912,MATCH($A990&amp;"|24",Positions!$A$2:$A$6912,0)),"-")</f>
        <v>24</v>
      </c>
      <c r="F990" s="4" t="str">
        <f aca="false">IFERROR(INDEX(Positions!$E$2:$E$6912,MATCH($A990&amp;"|11",Positions!$A$2:$A$6912,0)),"-")</f>
        <v>C</v>
      </c>
      <c r="G990" s="4" t="str">
        <f aca="false">IFERROR(INDEX(Positions!$E$2:$E$6912,MATCH($A990&amp;"|24",Positions!$A$2:$A$6912,0)),"-")</f>
        <v>G</v>
      </c>
      <c r="H990" s="3" t="str">
        <f aca="false">F990&amp;"-"&amp;G990</f>
        <v>C-G</v>
      </c>
      <c r="I990" s="4" t="n">
        <f aca="false">(F990="G")+(G990="G")</f>
        <v>1</v>
      </c>
      <c r="J990" s="4" t="n">
        <f aca="false">(F990="C")+(G990="C")</f>
        <v>1</v>
      </c>
      <c r="K990" s="3" t="n">
        <f aca="false">I990+J990</f>
        <v>2</v>
      </c>
    </row>
    <row r="991" customFormat="false" ht="15" hidden="false" customHeight="false" outlineLevel="0" collapsed="false">
      <c r="A991" s="4" t="s">
        <v>72</v>
      </c>
      <c r="B991" s="4" t="s">
        <v>425</v>
      </c>
      <c r="C991" s="4" t="s">
        <v>250</v>
      </c>
      <c r="D991" s="4" t="n">
        <f aca="false">IFERROR(INDEX(Positions!$D$2:$D$6912,MATCH($A991&amp;"|12",Positions!$A$2:$A$6912,0)),"-")</f>
        <v>12</v>
      </c>
      <c r="E991" s="4" t="n">
        <f aca="false">IFERROR(INDEX(Positions!$D$2:$D$6912,MATCH($A991&amp;"|23",Positions!$A$2:$A$6912,0)),"-")</f>
        <v>23</v>
      </c>
      <c r="F991" s="4" t="str">
        <f aca="false">IFERROR(INDEX(Positions!$E$2:$E$6912,MATCH($A991&amp;"|12",Positions!$A$2:$A$6912,0)),"-")</f>
        <v>U</v>
      </c>
      <c r="G991" s="4" t="str">
        <f aca="false">IFERROR(INDEX(Positions!$E$2:$E$6912,MATCH($A991&amp;"|23",Positions!$A$2:$A$6912,0)),"-")</f>
        <v>A</v>
      </c>
      <c r="H991" s="3" t="str">
        <f aca="false">F991&amp;"-"&amp;G991</f>
        <v>U-A</v>
      </c>
      <c r="I991" s="4" t="n">
        <f aca="false">(F991="G")+(G991="G")</f>
        <v>0</v>
      </c>
      <c r="J991" s="4" t="n">
        <f aca="false">(F991="C")+(G991="C")</f>
        <v>0</v>
      </c>
      <c r="K991" s="3" t="n">
        <f aca="false">I991+J991</f>
        <v>0</v>
      </c>
    </row>
    <row r="992" customFormat="false" ht="15" hidden="false" customHeight="false" outlineLevel="0" collapsed="false">
      <c r="A992" s="4" t="s">
        <v>72</v>
      </c>
      <c r="B992" s="4" t="s">
        <v>425</v>
      </c>
      <c r="C992" s="4" t="s">
        <v>154</v>
      </c>
      <c r="D992" s="4" t="n">
        <f aca="false">IFERROR(INDEX(Positions!$D$2:$D$6912,MATCH($A992&amp;"|13",Positions!$A$2:$A$6912,0)),"-")</f>
        <v>13</v>
      </c>
      <c r="E992" s="4" t="n">
        <f aca="false">IFERROR(INDEX(Positions!$D$2:$D$6912,MATCH($A992&amp;"|22",Positions!$A$2:$A$6912,0)),"-")</f>
        <v>22</v>
      </c>
      <c r="F992" s="4" t="str">
        <f aca="false">IFERROR(INDEX(Positions!$E$2:$E$6912,MATCH($A992&amp;"|13",Positions!$A$2:$A$6912,0)),"-")</f>
        <v>C</v>
      </c>
      <c r="G992" s="4" t="str">
        <f aca="false">IFERROR(INDEX(Positions!$E$2:$E$6912,MATCH($A992&amp;"|22",Positions!$A$2:$A$6912,0)),"-")</f>
        <v>G</v>
      </c>
      <c r="H992" s="3" t="str">
        <f aca="false">F992&amp;"-"&amp;G992</f>
        <v>C-G</v>
      </c>
      <c r="I992" s="4" t="n">
        <f aca="false">(F992="G")+(G992="G")</f>
        <v>1</v>
      </c>
      <c r="J992" s="4" t="n">
        <f aca="false">(F992="C")+(G992="C")</f>
        <v>1</v>
      </c>
      <c r="K992" s="3" t="n">
        <f aca="false">I992+J992</f>
        <v>2</v>
      </c>
    </row>
    <row r="993" customFormat="false" ht="15" hidden="false" customHeight="false" outlineLevel="0" collapsed="false">
      <c r="A993" s="4" t="s">
        <v>72</v>
      </c>
      <c r="B993" s="4" t="s">
        <v>446</v>
      </c>
      <c r="C993" s="4" t="s">
        <v>524</v>
      </c>
      <c r="D993" s="4" t="n">
        <f aca="false">IFERROR(INDEX(Positions!$D$2:$D$6912,MATCH($A993&amp;"|27",Positions!$A$2:$A$6912,0)),"-")</f>
        <v>27</v>
      </c>
      <c r="E993" s="4" t="n">
        <f aca="false">IFERROR(INDEX(Positions!$D$2:$D$6912,MATCH($A993&amp;"|43",Positions!$A$2:$A$6912,0)),"-")</f>
        <v>43</v>
      </c>
      <c r="F993" s="4" t="str">
        <f aca="false">IFERROR(INDEX(Positions!$E$2:$E$6912,MATCH($A993&amp;"|27",Positions!$A$2:$A$6912,0)),"-")</f>
        <v>U</v>
      </c>
      <c r="G993" s="4" t="str">
        <f aca="false">IFERROR(INDEX(Positions!$E$2:$E$6912,MATCH($A993&amp;"|43",Positions!$A$2:$A$6912,0)),"-")</f>
        <v>A</v>
      </c>
      <c r="H993" s="3" t="str">
        <f aca="false">F993&amp;"-"&amp;G993</f>
        <v>U-A</v>
      </c>
      <c r="I993" s="4" t="n">
        <f aca="false">(F993="G")+(G993="G")</f>
        <v>0</v>
      </c>
      <c r="J993" s="4" t="n">
        <f aca="false">(F993="C")+(G993="C")</f>
        <v>0</v>
      </c>
      <c r="K993" s="3" t="n">
        <f aca="false">I993+J993</f>
        <v>0</v>
      </c>
    </row>
    <row r="994" customFormat="false" ht="15" hidden="false" customHeight="false" outlineLevel="0" collapsed="false">
      <c r="A994" s="4" t="s">
        <v>72</v>
      </c>
      <c r="B994" s="4" t="s">
        <v>446</v>
      </c>
      <c r="C994" s="4" t="s">
        <v>525</v>
      </c>
      <c r="D994" s="4" t="n">
        <f aca="false">IFERROR(INDEX(Positions!$D$2:$D$6912,MATCH($A994&amp;"|28",Positions!$A$2:$A$6912,0)),"-")</f>
        <v>28</v>
      </c>
      <c r="E994" s="4" t="n">
        <f aca="false">IFERROR(INDEX(Positions!$D$2:$D$6912,MATCH($A994&amp;"|42",Positions!$A$2:$A$6912,0)),"-")</f>
        <v>42</v>
      </c>
      <c r="F994" s="4" t="str">
        <f aca="false">IFERROR(INDEX(Positions!$E$2:$E$6912,MATCH($A994&amp;"|28",Positions!$A$2:$A$6912,0)),"-")</f>
        <v>C</v>
      </c>
      <c r="G994" s="4" t="str">
        <f aca="false">IFERROR(INDEX(Positions!$E$2:$E$6912,MATCH($A994&amp;"|42",Positions!$A$2:$A$6912,0)),"-")</f>
        <v>G</v>
      </c>
      <c r="H994" s="3" t="str">
        <f aca="false">F994&amp;"-"&amp;G994</f>
        <v>C-G</v>
      </c>
      <c r="I994" s="4" t="n">
        <f aca="false">(F994="G")+(G994="G")</f>
        <v>1</v>
      </c>
      <c r="J994" s="4" t="n">
        <f aca="false">(F994="C")+(G994="C")</f>
        <v>1</v>
      </c>
      <c r="K994" s="3" t="n">
        <f aca="false">I994+J994</f>
        <v>2</v>
      </c>
    </row>
    <row r="995" customFormat="false" ht="15" hidden="false" customHeight="false" outlineLevel="0" collapsed="false">
      <c r="A995" s="4" t="s">
        <v>72</v>
      </c>
      <c r="B995" s="4" t="s">
        <v>446</v>
      </c>
      <c r="C995" s="4" t="s">
        <v>256</v>
      </c>
      <c r="D995" s="4" t="n">
        <f aca="false">IFERROR(INDEX(Positions!$D$2:$D$6912,MATCH($A995&amp;"|29",Positions!$A$2:$A$6912,0)),"-")</f>
        <v>29</v>
      </c>
      <c r="E995" s="4" t="n">
        <f aca="false">IFERROR(INDEX(Positions!$D$2:$D$6912,MATCH($A995&amp;"|41",Positions!$A$2:$A$6912,0)),"-")</f>
        <v>41</v>
      </c>
      <c r="F995" s="4" t="str">
        <f aca="false">IFERROR(INDEX(Positions!$E$2:$E$6912,MATCH($A995&amp;"|29",Positions!$A$2:$A$6912,0)),"-")</f>
        <v>A</v>
      </c>
      <c r="G995" s="4" t="str">
        <f aca="false">IFERROR(INDEX(Positions!$E$2:$E$6912,MATCH($A995&amp;"|41",Positions!$A$2:$A$6912,0)),"-")</f>
        <v>U</v>
      </c>
      <c r="H995" s="3" t="str">
        <f aca="false">F995&amp;"-"&amp;G995</f>
        <v>A-U</v>
      </c>
      <c r="I995" s="4" t="n">
        <f aca="false">(F995="G")+(G995="G")</f>
        <v>0</v>
      </c>
      <c r="J995" s="4" t="n">
        <f aca="false">(F995="C")+(G995="C")</f>
        <v>0</v>
      </c>
      <c r="K995" s="3" t="n">
        <f aca="false">I995+J995</f>
        <v>0</v>
      </c>
    </row>
    <row r="996" customFormat="false" ht="15" hidden="false" customHeight="false" outlineLevel="0" collapsed="false">
      <c r="A996" s="4" t="s">
        <v>72</v>
      </c>
      <c r="B996" s="4" t="s">
        <v>446</v>
      </c>
      <c r="C996" s="4" t="s">
        <v>526</v>
      </c>
      <c r="D996" s="4" t="n">
        <f aca="false">IFERROR(INDEX(Positions!$D$2:$D$6912,MATCH($A996&amp;"|30",Positions!$A$2:$A$6912,0)),"-")</f>
        <v>30</v>
      </c>
      <c r="E996" s="4" t="n">
        <f aca="false">IFERROR(INDEX(Positions!$D$2:$D$6912,MATCH($A996&amp;"|40",Positions!$A$2:$A$6912,0)),"-")</f>
        <v>40</v>
      </c>
      <c r="F996" s="4" t="str">
        <f aca="false">IFERROR(INDEX(Positions!$E$2:$E$6912,MATCH($A996&amp;"|30",Positions!$A$2:$A$6912,0)),"-")</f>
        <v>G</v>
      </c>
      <c r="G996" s="4" t="str">
        <f aca="false">IFERROR(INDEX(Positions!$E$2:$E$6912,MATCH($A996&amp;"|40",Positions!$A$2:$A$6912,0)),"-")</f>
        <v>C</v>
      </c>
      <c r="H996" s="3" t="str">
        <f aca="false">F996&amp;"-"&amp;G996</f>
        <v>G-C</v>
      </c>
      <c r="I996" s="4" t="n">
        <f aca="false">(F996="G")+(G996="G")</f>
        <v>1</v>
      </c>
      <c r="J996" s="4" t="n">
        <f aca="false">(F996="C")+(G996="C")</f>
        <v>1</v>
      </c>
      <c r="K996" s="3" t="n">
        <f aca="false">I996+J996</f>
        <v>2</v>
      </c>
    </row>
    <row r="997" customFormat="false" ht="15" hidden="false" customHeight="false" outlineLevel="0" collapsed="false">
      <c r="A997" s="4" t="s">
        <v>72</v>
      </c>
      <c r="B997" s="4" t="s">
        <v>446</v>
      </c>
      <c r="C997" s="4" t="s">
        <v>273</v>
      </c>
      <c r="D997" s="4" t="n">
        <f aca="false">IFERROR(INDEX(Positions!$D$2:$D$6912,MATCH($A997&amp;"|31",Positions!$A$2:$A$6912,0)),"-")</f>
        <v>31</v>
      </c>
      <c r="E997" s="4" t="n">
        <f aca="false">IFERROR(INDEX(Positions!$D$2:$D$6912,MATCH($A997&amp;"|39",Positions!$A$2:$A$6912,0)),"-")</f>
        <v>39</v>
      </c>
      <c r="F997" s="4" t="str">
        <f aca="false">IFERROR(INDEX(Positions!$E$2:$E$6912,MATCH($A997&amp;"|31",Positions!$A$2:$A$6912,0)),"-")</f>
        <v>A</v>
      </c>
      <c r="G997" s="4" t="str">
        <f aca="false">IFERROR(INDEX(Positions!$E$2:$E$6912,MATCH($A997&amp;"|39",Positions!$A$2:$A$6912,0)),"-")</f>
        <v>U</v>
      </c>
      <c r="H997" s="3" t="str">
        <f aca="false">F997&amp;"-"&amp;G997</f>
        <v>A-U</v>
      </c>
      <c r="I997" s="4" t="n">
        <f aca="false">(F997="G")+(G997="G")</f>
        <v>0</v>
      </c>
      <c r="J997" s="4" t="n">
        <f aca="false">(F997="C")+(G997="C")</f>
        <v>0</v>
      </c>
      <c r="K997" s="3" t="n">
        <f aca="false">I997+J997</f>
        <v>0</v>
      </c>
    </row>
    <row r="998" customFormat="false" ht="15" hidden="false" customHeight="false" outlineLevel="0" collapsed="false">
      <c r="A998" s="4" t="s">
        <v>72</v>
      </c>
      <c r="B998" s="4" t="s">
        <v>471</v>
      </c>
      <c r="C998" s="4" t="s">
        <v>367</v>
      </c>
      <c r="D998" s="4" t="n">
        <f aca="false">IFERROR(INDEX(Positions!$D$2:$D$6912,MATCH($A998&amp;"|49",Positions!$A$2:$A$6912,0)),"-")</f>
        <v>49</v>
      </c>
      <c r="E998" s="4" t="n">
        <f aca="false">IFERROR(INDEX(Positions!$D$2:$D$6912,MATCH($A998&amp;"|65",Positions!$A$2:$A$6912,0)),"-")</f>
        <v>65</v>
      </c>
      <c r="F998" s="4" t="str">
        <f aca="false">IFERROR(INDEX(Positions!$E$2:$E$6912,MATCH($A998&amp;"|49",Positions!$A$2:$A$6912,0)),"-")</f>
        <v>U</v>
      </c>
      <c r="G998" s="4" t="str">
        <f aca="false">IFERROR(INDEX(Positions!$E$2:$E$6912,MATCH($A998&amp;"|65",Positions!$A$2:$A$6912,0)),"-")</f>
        <v>A</v>
      </c>
      <c r="H998" s="3" t="str">
        <f aca="false">F998&amp;"-"&amp;G998</f>
        <v>U-A</v>
      </c>
      <c r="I998" s="4" t="n">
        <f aca="false">(F998="G")+(G998="G")</f>
        <v>0</v>
      </c>
      <c r="J998" s="4" t="n">
        <f aca="false">(F998="C")+(G998="C")</f>
        <v>0</v>
      </c>
      <c r="K998" s="3" t="n">
        <f aca="false">I998+J998</f>
        <v>0</v>
      </c>
    </row>
    <row r="999" customFormat="false" ht="15" hidden="false" customHeight="false" outlineLevel="0" collapsed="false">
      <c r="A999" s="4" t="s">
        <v>72</v>
      </c>
      <c r="B999" s="4" t="s">
        <v>471</v>
      </c>
      <c r="C999" s="4" t="s">
        <v>233</v>
      </c>
      <c r="D999" s="4" t="n">
        <f aca="false">IFERROR(INDEX(Positions!$D$2:$D$6912,MATCH($A999&amp;"|50",Positions!$A$2:$A$6912,0)),"-")</f>
        <v>50</v>
      </c>
      <c r="E999" s="4" t="n">
        <f aca="false">IFERROR(INDEX(Positions!$D$2:$D$6912,MATCH($A999&amp;"|64",Positions!$A$2:$A$6912,0)),"-")</f>
        <v>64</v>
      </c>
      <c r="F999" s="4" t="str">
        <f aca="false">IFERROR(INDEX(Positions!$E$2:$E$6912,MATCH($A999&amp;"|50",Positions!$A$2:$A$6912,0)),"-")</f>
        <v>G</v>
      </c>
      <c r="G999" s="4" t="str">
        <f aca="false">IFERROR(INDEX(Positions!$E$2:$E$6912,MATCH($A999&amp;"|64",Positions!$A$2:$A$6912,0)),"-")</f>
        <v>C</v>
      </c>
      <c r="H999" s="3" t="str">
        <f aca="false">F999&amp;"-"&amp;G999</f>
        <v>G-C</v>
      </c>
      <c r="I999" s="4" t="n">
        <f aca="false">(F999="G")+(G999="G")</f>
        <v>1</v>
      </c>
      <c r="J999" s="4" t="n">
        <f aca="false">(F999="C")+(G999="C")</f>
        <v>1</v>
      </c>
      <c r="K999" s="3" t="n">
        <f aca="false">I999+J999</f>
        <v>2</v>
      </c>
    </row>
    <row r="1000" customFormat="false" ht="15" hidden="false" customHeight="false" outlineLevel="0" collapsed="false">
      <c r="A1000" s="4" t="s">
        <v>72</v>
      </c>
      <c r="B1000" s="4" t="s">
        <v>471</v>
      </c>
      <c r="C1000" s="4" t="s">
        <v>527</v>
      </c>
      <c r="D1000" s="4" t="n">
        <f aca="false">IFERROR(INDEX(Positions!$D$2:$D$6912,MATCH($A1000&amp;"|51",Positions!$A$2:$A$6912,0)),"-")</f>
        <v>51</v>
      </c>
      <c r="E1000" s="4" t="n">
        <f aca="false">IFERROR(INDEX(Positions!$D$2:$D$6912,MATCH($A1000&amp;"|63",Positions!$A$2:$A$6912,0)),"-")</f>
        <v>63</v>
      </c>
      <c r="F1000" s="4" t="str">
        <f aca="false">IFERROR(INDEX(Positions!$E$2:$E$6912,MATCH($A1000&amp;"|51",Positions!$A$2:$A$6912,0)),"-")</f>
        <v>G</v>
      </c>
      <c r="G1000" s="4" t="str">
        <f aca="false">IFERROR(INDEX(Positions!$E$2:$E$6912,MATCH($A1000&amp;"|63",Positions!$A$2:$A$6912,0)),"-")</f>
        <v>C</v>
      </c>
      <c r="H1000" s="3" t="str">
        <f aca="false">F1000&amp;"-"&amp;G1000</f>
        <v>G-C</v>
      </c>
      <c r="I1000" s="4" t="n">
        <f aca="false">(F1000="G")+(G1000="G")</f>
        <v>1</v>
      </c>
      <c r="J1000" s="4" t="n">
        <f aca="false">(F1000="C")+(G1000="C")</f>
        <v>1</v>
      </c>
      <c r="K1000" s="3" t="n">
        <f aca="false">I1000+J1000</f>
        <v>2</v>
      </c>
    </row>
    <row r="1001" customFormat="false" ht="15" hidden="false" customHeight="false" outlineLevel="0" collapsed="false">
      <c r="A1001" s="4" t="s">
        <v>72</v>
      </c>
      <c r="B1001" s="4" t="s">
        <v>471</v>
      </c>
      <c r="C1001" s="4" t="s">
        <v>528</v>
      </c>
      <c r="D1001" s="4" t="n">
        <f aca="false">IFERROR(INDEX(Positions!$D$2:$D$6912,MATCH($A1001&amp;"|52",Positions!$A$2:$A$6912,0)),"-")</f>
        <v>52</v>
      </c>
      <c r="E1001" s="4" t="n">
        <f aca="false">IFERROR(INDEX(Positions!$D$2:$D$6912,MATCH($A1001&amp;"|62",Positions!$A$2:$A$6912,0)),"-")</f>
        <v>62</v>
      </c>
      <c r="F1001" s="4" t="str">
        <f aca="false">IFERROR(INDEX(Positions!$E$2:$E$6912,MATCH($A1001&amp;"|52",Positions!$A$2:$A$6912,0)),"-")</f>
        <v>G</v>
      </c>
      <c r="G1001" s="4" t="str">
        <f aca="false">IFERROR(INDEX(Positions!$E$2:$E$6912,MATCH($A1001&amp;"|62",Positions!$A$2:$A$6912,0)),"-")</f>
        <v>C</v>
      </c>
      <c r="H1001" s="3" t="str">
        <f aca="false">F1001&amp;"-"&amp;G1001</f>
        <v>G-C</v>
      </c>
      <c r="I1001" s="4" t="n">
        <f aca="false">(F1001="G")+(G1001="G")</f>
        <v>1</v>
      </c>
      <c r="J1001" s="4" t="n">
        <f aca="false">(F1001="C")+(G1001="C")</f>
        <v>1</v>
      </c>
      <c r="K1001" s="3" t="n">
        <f aca="false">I1001+J1001</f>
        <v>2</v>
      </c>
    </row>
    <row r="1002" customFormat="false" ht="15" hidden="false" customHeight="false" outlineLevel="0" collapsed="false">
      <c r="A1002" s="4" t="s">
        <v>72</v>
      </c>
      <c r="B1002" s="4" t="s">
        <v>471</v>
      </c>
      <c r="C1002" s="4" t="s">
        <v>529</v>
      </c>
      <c r="D1002" s="4" t="n">
        <f aca="false">IFERROR(INDEX(Positions!$D$2:$D$6912,MATCH($A1002&amp;"|53",Positions!$A$2:$A$6912,0)),"-")</f>
        <v>53</v>
      </c>
      <c r="E1002" s="4" t="n">
        <f aca="false">IFERROR(INDEX(Positions!$D$2:$D$6912,MATCH($A1002&amp;"|61",Positions!$A$2:$A$6912,0)),"-")</f>
        <v>61</v>
      </c>
      <c r="F1002" s="4" t="str">
        <f aca="false">IFERROR(INDEX(Positions!$E$2:$E$6912,MATCH($A1002&amp;"|53",Positions!$A$2:$A$6912,0)),"-")</f>
        <v>G</v>
      </c>
      <c r="G1002" s="4" t="str">
        <f aca="false">IFERROR(INDEX(Positions!$E$2:$E$6912,MATCH($A1002&amp;"|61",Positions!$A$2:$A$6912,0)),"-")</f>
        <v>C</v>
      </c>
      <c r="H1002" s="3" t="str">
        <f aca="false">F1002&amp;"-"&amp;G1002</f>
        <v>G-C</v>
      </c>
      <c r="I1002" s="4" t="n">
        <f aca="false">(F1002="G")+(G1002="G")</f>
        <v>1</v>
      </c>
      <c r="J1002" s="4" t="n">
        <f aca="false">(F1002="C")+(G1002="C")</f>
        <v>1</v>
      </c>
      <c r="K1002" s="3" t="n">
        <f aca="false">I1002+J1002</f>
        <v>2</v>
      </c>
    </row>
    <row r="1003" customFormat="false" ht="15" hidden="false" customHeight="false" outlineLevel="0" collapsed="false">
      <c r="A1003" s="24" t="s">
        <v>72</v>
      </c>
      <c r="B1003" s="24" t="s">
        <v>530</v>
      </c>
      <c r="C1003" s="24" t="s">
        <v>531</v>
      </c>
      <c r="D1003" s="24" t="n">
        <f aca="false">IFERROR(INDEX(Positions!$D$2:$D$6912,MATCH($A1003&amp;"|8",Positions!$A$2:$A$6912,0)),"-")</f>
        <v>8</v>
      </c>
      <c r="E1003" s="24" t="n">
        <f aca="false">IFERROR(INDEX(Positions!$D$2:$D$6912,MATCH($A1003&amp;"|14",Positions!$A$2:$A$6912,0)),"-")</f>
        <v>14</v>
      </c>
      <c r="F1003" s="24" t="str">
        <f aca="false">IFERROR(INDEX(Positions!$E$2:$E$6912,MATCH($A1003&amp;"|8",Positions!$A$2:$A$6912,0)),"-")</f>
        <v>U</v>
      </c>
      <c r="G1003" s="24" t="str">
        <f aca="false">IFERROR(INDEX(Positions!$E$2:$E$6912,MATCH($A1003&amp;"|14",Positions!$A$2:$A$6912,0)),"-")</f>
        <v>A</v>
      </c>
      <c r="H1003" s="25" t="str">
        <f aca="false">F1003&amp;"-"&amp;G1003</f>
        <v>U-A</v>
      </c>
      <c r="I1003" s="24" t="n">
        <f aca="false">(F1003="G")+(G1003="G")</f>
        <v>0</v>
      </c>
      <c r="J1003" s="24" t="n">
        <f aca="false">(F1003="C")+(G1003="C")</f>
        <v>0</v>
      </c>
      <c r="K1003" s="25" t="n">
        <f aca="false">I1003+J1003</f>
        <v>0</v>
      </c>
    </row>
    <row r="1004" customFormat="false" ht="15" hidden="false" customHeight="false" outlineLevel="0" collapsed="false">
      <c r="A1004" s="24" t="s">
        <v>72</v>
      </c>
      <c r="B1004" s="24" t="s">
        <v>530</v>
      </c>
      <c r="C1004" s="24" t="s">
        <v>532</v>
      </c>
      <c r="D1004" s="24" t="n">
        <f aca="false">IFERROR(INDEX(Positions!$D$2:$D$6912,MATCH($A1004&amp;"|15",Positions!$A$2:$A$6912,0)),"-")</f>
        <v>15</v>
      </c>
      <c r="E1004" s="24" t="n">
        <f aca="false">IFERROR(INDEX(Positions!$D$2:$D$6912,MATCH($A1004&amp;"|48",Positions!$A$2:$A$6912,0)),"-")</f>
        <v>48</v>
      </c>
      <c r="F1004" s="24" t="str">
        <f aca="false">IFERROR(INDEX(Positions!$E$2:$E$6912,MATCH($A1004&amp;"|15",Positions!$A$2:$A$6912,0)),"-")</f>
        <v>G</v>
      </c>
      <c r="G1004" s="24" t="str">
        <f aca="false">IFERROR(INDEX(Positions!$E$2:$E$6912,MATCH($A1004&amp;"|48",Positions!$A$2:$A$6912,0)),"-")</f>
        <v>C</v>
      </c>
      <c r="H1004" s="25" t="str">
        <f aca="false">F1004&amp;"-"&amp;G1004</f>
        <v>G-C</v>
      </c>
      <c r="I1004" s="24" t="n">
        <f aca="false">(F1004="G")+(G1004="G")</f>
        <v>1</v>
      </c>
      <c r="J1004" s="24" t="n">
        <f aca="false">(F1004="C")+(G1004="C")</f>
        <v>1</v>
      </c>
      <c r="K1004" s="25" t="n">
        <f aca="false">I1004+J1004</f>
        <v>2</v>
      </c>
    </row>
    <row r="1005" customFormat="false" ht="15" hidden="false" customHeight="false" outlineLevel="0" collapsed="false">
      <c r="A1005" s="24" t="s">
        <v>72</v>
      </c>
      <c r="B1005" s="24" t="s">
        <v>530</v>
      </c>
      <c r="C1005" s="24" t="s">
        <v>533</v>
      </c>
      <c r="D1005" s="24" t="n">
        <f aca="false">IFERROR(INDEX(Positions!$D$2:$D$6912,MATCH($A1005&amp;"|18",Positions!$A$2:$A$6912,0)),"-")</f>
        <v>18</v>
      </c>
      <c r="E1005" s="24" t="n">
        <f aca="false">IFERROR(INDEX(Positions!$D$2:$D$6912,MATCH($A1005&amp;"|55",Positions!$A$2:$A$6912,0)),"-")</f>
        <v>55</v>
      </c>
      <c r="F1005" s="24" t="str">
        <f aca="false">IFERROR(INDEX(Positions!$E$2:$E$6912,MATCH($A1005&amp;"|18",Positions!$A$2:$A$6912,0)),"-")</f>
        <v>G</v>
      </c>
      <c r="G1005" s="24" t="str">
        <f aca="false">IFERROR(INDEX(Positions!$E$2:$E$6912,MATCH($A1005&amp;"|55",Positions!$A$2:$A$6912,0)),"-")</f>
        <v>U</v>
      </c>
      <c r="H1005" s="25" t="str">
        <f aca="false">F1005&amp;"-"&amp;G1005</f>
        <v>G-U</v>
      </c>
      <c r="I1005" s="24" t="n">
        <f aca="false">(F1005="G")+(G1005="G")</f>
        <v>1</v>
      </c>
      <c r="J1005" s="24" t="n">
        <f aca="false">(F1005="C")+(G1005="C")</f>
        <v>0</v>
      </c>
      <c r="K1005" s="25" t="n">
        <f aca="false">I1005+J1005</f>
        <v>1</v>
      </c>
    </row>
    <row r="1006" customFormat="false" ht="15" hidden="false" customHeight="false" outlineLevel="0" collapsed="false">
      <c r="A1006" s="24" t="s">
        <v>72</v>
      </c>
      <c r="B1006" s="24" t="s">
        <v>530</v>
      </c>
      <c r="C1006" s="24" t="s">
        <v>534</v>
      </c>
      <c r="D1006" s="24" t="n">
        <f aca="false">IFERROR(INDEX(Positions!$D$2:$D$6912,MATCH($A1006&amp;"|19",Positions!$A$2:$A$6912,0)),"-")</f>
        <v>19</v>
      </c>
      <c r="E1006" s="24" t="n">
        <f aca="false">IFERROR(INDEX(Positions!$D$2:$D$6912,MATCH($A1006&amp;"|56",Positions!$A$2:$A$6912,0)),"-")</f>
        <v>56</v>
      </c>
      <c r="F1006" s="24" t="str">
        <f aca="false">IFERROR(INDEX(Positions!$E$2:$E$6912,MATCH($A1006&amp;"|19",Positions!$A$2:$A$6912,0)),"-")</f>
        <v>G</v>
      </c>
      <c r="G1006" s="24" t="str">
        <f aca="false">IFERROR(INDEX(Positions!$E$2:$E$6912,MATCH($A1006&amp;"|56",Positions!$A$2:$A$6912,0)),"-")</f>
        <v>C</v>
      </c>
      <c r="H1006" s="25" t="str">
        <f aca="false">F1006&amp;"-"&amp;G1006</f>
        <v>G-C</v>
      </c>
      <c r="I1006" s="24" t="n">
        <f aca="false">(F1006="G")+(G1006="G")</f>
        <v>1</v>
      </c>
      <c r="J1006" s="24" t="n">
        <f aca="false">(F1006="C")+(G1006="C")</f>
        <v>1</v>
      </c>
      <c r="K1006" s="25" t="n">
        <f aca="false">I1006+J1006</f>
        <v>2</v>
      </c>
    </row>
    <row r="1007" customFormat="false" ht="15" hidden="false" customHeight="false" outlineLevel="0" collapsed="false">
      <c r="A1007" s="24" t="s">
        <v>72</v>
      </c>
      <c r="B1007" s="24" t="s">
        <v>530</v>
      </c>
      <c r="C1007" s="24" t="s">
        <v>535</v>
      </c>
      <c r="D1007" s="24" t="n">
        <f aca="false">IFERROR(INDEX(Positions!$D$2:$D$6912,MATCH($A1007&amp;"|26",Positions!$A$2:$A$6912,0)),"-")</f>
        <v>26</v>
      </c>
      <c r="E1007" s="24" t="n">
        <f aca="false">IFERROR(INDEX(Positions!$D$2:$D$6912,MATCH($A1007&amp;"|44",Positions!$A$2:$A$6912,0)),"-")</f>
        <v>44</v>
      </c>
      <c r="F1007" s="24" t="str">
        <f aca="false">IFERROR(INDEX(Positions!$E$2:$E$6912,MATCH($A1007&amp;"|26",Positions!$A$2:$A$6912,0)),"-")</f>
        <v>A</v>
      </c>
      <c r="G1007" s="24" t="str">
        <f aca="false">IFERROR(INDEX(Positions!$E$2:$E$6912,MATCH($A1007&amp;"|44",Positions!$A$2:$A$6912,0)),"-")</f>
        <v>G</v>
      </c>
      <c r="H1007" s="25" t="str">
        <f aca="false">F1007&amp;"-"&amp;G1007</f>
        <v>A-G</v>
      </c>
      <c r="I1007" s="24" t="n">
        <f aca="false">(F1007="G")+(G1007="G")</f>
        <v>1</v>
      </c>
      <c r="J1007" s="24" t="n">
        <f aca="false">(F1007="C")+(G1007="C")</f>
        <v>0</v>
      </c>
      <c r="K1007" s="25" t="n">
        <f aca="false">I1007+J1007</f>
        <v>1</v>
      </c>
    </row>
    <row r="1008" customFormat="false" ht="15" hidden="false" customHeight="false" outlineLevel="0" collapsed="false">
      <c r="A1008" s="24" t="s">
        <v>72</v>
      </c>
      <c r="B1008" s="24" t="s">
        <v>530</v>
      </c>
      <c r="C1008" s="24" t="s">
        <v>536</v>
      </c>
      <c r="D1008" s="24" t="n">
        <f aca="false">IFERROR(INDEX(Positions!$D$2:$D$6912,MATCH($A1008&amp;"|32",Positions!$A$2:$A$6912,0)),"-")</f>
        <v>32</v>
      </c>
      <c r="E1008" s="24" t="n">
        <f aca="false">IFERROR(INDEX(Positions!$D$2:$D$6912,MATCH($A1008&amp;"|38",Positions!$A$2:$A$6912,0)),"-")</f>
        <v>38</v>
      </c>
      <c r="F1008" s="24" t="str">
        <f aca="false">IFERROR(INDEX(Positions!$E$2:$E$6912,MATCH($A1008&amp;"|32",Positions!$A$2:$A$6912,0)),"-")</f>
        <v>C</v>
      </c>
      <c r="G1008" s="24" t="str">
        <f aca="false">IFERROR(INDEX(Positions!$E$2:$E$6912,MATCH($A1008&amp;"|38",Positions!$A$2:$A$6912,0)),"-")</f>
        <v>A</v>
      </c>
      <c r="H1008" s="25" t="str">
        <f aca="false">F1008&amp;"-"&amp;G1008</f>
        <v>C-A</v>
      </c>
      <c r="I1008" s="24" t="n">
        <f aca="false">(F1008="G")+(G1008="G")</f>
        <v>0</v>
      </c>
      <c r="J1008" s="24" t="n">
        <f aca="false">(F1008="C")+(G1008="C")</f>
        <v>1</v>
      </c>
      <c r="K1008" s="25" t="n">
        <f aca="false">I1008+J1008</f>
        <v>1</v>
      </c>
    </row>
    <row r="1009" customFormat="false" ht="15" hidden="false" customHeight="false" outlineLevel="0" collapsed="false">
      <c r="A1009" s="24" t="s">
        <v>72</v>
      </c>
      <c r="B1009" s="24" t="s">
        <v>530</v>
      </c>
      <c r="C1009" s="24" t="s">
        <v>537</v>
      </c>
      <c r="D1009" s="24" t="n">
        <f aca="false">IFERROR(INDEX(Positions!$D$2:$D$6912,MATCH($A1009&amp;"|54",Positions!$A$2:$A$6912,0)),"-")</f>
        <v>54</v>
      </c>
      <c r="E1009" s="24" t="n">
        <f aca="false">IFERROR(INDEX(Positions!$D$2:$D$6912,MATCH($A1009&amp;"|58",Positions!$A$2:$A$6912,0)),"-")</f>
        <v>58</v>
      </c>
      <c r="F1009" s="24" t="str">
        <f aca="false">IFERROR(INDEX(Positions!$E$2:$E$6912,MATCH($A1009&amp;"|54",Positions!$A$2:$A$6912,0)),"-")</f>
        <v>U</v>
      </c>
      <c r="G1009" s="24" t="str">
        <f aca="false">IFERROR(INDEX(Positions!$E$2:$E$6912,MATCH($A1009&amp;"|58",Positions!$A$2:$A$6912,0)),"-")</f>
        <v>A</v>
      </c>
      <c r="H1009" s="25" t="str">
        <f aca="false">F1009&amp;"-"&amp;G1009</f>
        <v>U-A</v>
      </c>
      <c r="I1009" s="24" t="n">
        <f aca="false">(F1009="G")+(G1009="G")</f>
        <v>0</v>
      </c>
      <c r="J1009" s="24" t="n">
        <f aca="false">(F1009="C")+(G1009="C")</f>
        <v>0</v>
      </c>
      <c r="K1009" s="25" t="n">
        <f aca="false">I1009+J1009</f>
        <v>0</v>
      </c>
    </row>
    <row r="1010" customFormat="false" ht="15" hidden="false" customHeight="false" outlineLevel="0" collapsed="false">
      <c r="A1010" s="4" t="s">
        <v>73</v>
      </c>
      <c r="B1010" s="4" t="s">
        <v>412</v>
      </c>
      <c r="C1010" s="4" t="s">
        <v>517</v>
      </c>
      <c r="D1010" s="4" t="n">
        <f aca="false">IFERROR(INDEX(Positions!$D$2:$D$6912,MATCH($A1010&amp;"|1",Positions!$A$2:$A$6912,0)),"-")</f>
        <v>1</v>
      </c>
      <c r="E1010" s="4" t="n">
        <f aca="false">IFERROR(INDEX(Positions!$D$2:$D$6912,MATCH($A1010&amp;"|72",Positions!$A$2:$A$6912,0)),"-")</f>
        <v>72</v>
      </c>
      <c r="F1010" s="4" t="str">
        <f aca="false">IFERROR(INDEX(Positions!$E$2:$E$6912,MATCH($A1010&amp;"|1",Positions!$A$2:$A$6912,0)),"-")</f>
        <v>C</v>
      </c>
      <c r="G1010" s="4" t="str">
        <f aca="false">IFERROR(INDEX(Positions!$E$2:$E$6912,MATCH($A1010&amp;"|72",Positions!$A$2:$A$6912,0)),"-")</f>
        <v>G</v>
      </c>
      <c r="H1010" s="3" t="str">
        <f aca="false">F1010&amp;"-"&amp;G1010</f>
        <v>C-G</v>
      </c>
      <c r="I1010" s="4" t="n">
        <f aca="false">(F1010="G")+(G1010="G")</f>
        <v>1</v>
      </c>
      <c r="J1010" s="4" t="n">
        <f aca="false">(F1010="C")+(G1010="C")</f>
        <v>1</v>
      </c>
      <c r="K1010" s="3" t="n">
        <f aca="false">I1010+J1010</f>
        <v>2</v>
      </c>
    </row>
    <row r="1011" customFormat="false" ht="15" hidden="false" customHeight="false" outlineLevel="0" collapsed="false">
      <c r="A1011" s="4" t="s">
        <v>73</v>
      </c>
      <c r="B1011" s="4" t="s">
        <v>412</v>
      </c>
      <c r="C1011" s="4" t="s">
        <v>518</v>
      </c>
      <c r="D1011" s="4" t="n">
        <f aca="false">IFERROR(INDEX(Positions!$D$2:$D$6912,MATCH($A1011&amp;"|2",Positions!$A$2:$A$6912,0)),"-")</f>
        <v>2</v>
      </c>
      <c r="E1011" s="4" t="n">
        <f aca="false">IFERROR(INDEX(Positions!$D$2:$D$6912,MATCH($A1011&amp;"|71",Positions!$A$2:$A$6912,0)),"-")</f>
        <v>71</v>
      </c>
      <c r="F1011" s="4" t="str">
        <f aca="false">IFERROR(INDEX(Positions!$E$2:$E$6912,MATCH($A1011&amp;"|2",Positions!$A$2:$A$6912,0)),"-")</f>
        <v>C</v>
      </c>
      <c r="G1011" s="4" t="str">
        <f aca="false">IFERROR(INDEX(Positions!$E$2:$E$6912,MATCH($A1011&amp;"|71",Positions!$A$2:$A$6912,0)),"-")</f>
        <v>G</v>
      </c>
      <c r="H1011" s="3" t="str">
        <f aca="false">F1011&amp;"-"&amp;G1011</f>
        <v>C-G</v>
      </c>
      <c r="I1011" s="4" t="n">
        <f aca="false">(F1011="G")+(G1011="G")</f>
        <v>1</v>
      </c>
      <c r="J1011" s="4" t="n">
        <f aca="false">(F1011="C")+(G1011="C")</f>
        <v>1</v>
      </c>
      <c r="K1011" s="3" t="n">
        <f aca="false">I1011+J1011</f>
        <v>2</v>
      </c>
    </row>
    <row r="1012" customFormat="false" ht="15" hidden="false" customHeight="false" outlineLevel="0" collapsed="false">
      <c r="A1012" s="4" t="s">
        <v>73</v>
      </c>
      <c r="B1012" s="4" t="s">
        <v>412</v>
      </c>
      <c r="C1012" s="4" t="s">
        <v>386</v>
      </c>
      <c r="D1012" s="4" t="n">
        <f aca="false">IFERROR(INDEX(Positions!$D$2:$D$6912,MATCH($A1012&amp;"|3",Positions!$A$2:$A$6912,0)),"-")</f>
        <v>3</v>
      </c>
      <c r="E1012" s="4" t="n">
        <f aca="false">IFERROR(INDEX(Positions!$D$2:$D$6912,MATCH($A1012&amp;"|70",Positions!$A$2:$A$6912,0)),"-")</f>
        <v>70</v>
      </c>
      <c r="F1012" s="4" t="str">
        <f aca="false">IFERROR(INDEX(Positions!$E$2:$E$6912,MATCH($A1012&amp;"|3",Positions!$A$2:$A$6912,0)),"-")</f>
        <v>G</v>
      </c>
      <c r="G1012" s="4" t="str">
        <f aca="false">IFERROR(INDEX(Positions!$E$2:$E$6912,MATCH($A1012&amp;"|70",Positions!$A$2:$A$6912,0)),"-")</f>
        <v>C</v>
      </c>
      <c r="H1012" s="3" t="str">
        <f aca="false">F1012&amp;"-"&amp;G1012</f>
        <v>G-C</v>
      </c>
      <c r="I1012" s="4" t="n">
        <f aca="false">(F1012="G")+(G1012="G")</f>
        <v>1</v>
      </c>
      <c r="J1012" s="4" t="n">
        <f aca="false">(F1012="C")+(G1012="C")</f>
        <v>1</v>
      </c>
      <c r="K1012" s="3" t="n">
        <f aca="false">I1012+J1012</f>
        <v>2</v>
      </c>
    </row>
    <row r="1013" customFormat="false" ht="15" hidden="false" customHeight="false" outlineLevel="0" collapsed="false">
      <c r="A1013" s="4" t="s">
        <v>73</v>
      </c>
      <c r="B1013" s="4" t="s">
        <v>412</v>
      </c>
      <c r="C1013" s="4" t="s">
        <v>519</v>
      </c>
      <c r="D1013" s="4" t="n">
        <f aca="false">IFERROR(INDEX(Positions!$D$2:$D$6912,MATCH($A1013&amp;"|4",Positions!$A$2:$A$6912,0)),"-")</f>
        <v>4</v>
      </c>
      <c r="E1013" s="4" t="n">
        <f aca="false">IFERROR(INDEX(Positions!$D$2:$D$6912,MATCH($A1013&amp;"|69",Positions!$A$2:$A$6912,0)),"-")</f>
        <v>69</v>
      </c>
      <c r="F1013" s="4" t="str">
        <f aca="false">IFERROR(INDEX(Positions!$E$2:$E$6912,MATCH($A1013&amp;"|4",Positions!$A$2:$A$6912,0)),"-")</f>
        <v>A</v>
      </c>
      <c r="G1013" s="4" t="str">
        <f aca="false">IFERROR(INDEX(Positions!$E$2:$E$6912,MATCH($A1013&amp;"|69",Positions!$A$2:$A$6912,0)),"-")</f>
        <v>U</v>
      </c>
      <c r="H1013" s="3" t="str">
        <f aca="false">F1013&amp;"-"&amp;G1013</f>
        <v>A-U</v>
      </c>
      <c r="I1013" s="4" t="n">
        <f aca="false">(F1013="G")+(G1013="G")</f>
        <v>0</v>
      </c>
      <c r="J1013" s="4" t="n">
        <f aca="false">(F1013="C")+(G1013="C")</f>
        <v>0</v>
      </c>
      <c r="K1013" s="3" t="n">
        <f aca="false">I1013+J1013</f>
        <v>0</v>
      </c>
    </row>
    <row r="1014" customFormat="false" ht="15" hidden="false" customHeight="false" outlineLevel="0" collapsed="false">
      <c r="A1014" s="4" t="s">
        <v>73</v>
      </c>
      <c r="B1014" s="4" t="s">
        <v>412</v>
      </c>
      <c r="C1014" s="4" t="s">
        <v>283</v>
      </c>
      <c r="D1014" s="4" t="n">
        <f aca="false">IFERROR(INDEX(Positions!$D$2:$D$6912,MATCH($A1014&amp;"|5",Positions!$A$2:$A$6912,0)),"-")</f>
        <v>5</v>
      </c>
      <c r="E1014" s="4" t="n">
        <f aca="false">IFERROR(INDEX(Positions!$D$2:$D$6912,MATCH($A1014&amp;"|68",Positions!$A$2:$A$6912,0)),"-")</f>
        <v>68</v>
      </c>
      <c r="F1014" s="4" t="str">
        <f aca="false">IFERROR(INDEX(Positions!$E$2:$E$6912,MATCH($A1014&amp;"|5",Positions!$A$2:$A$6912,0)),"-")</f>
        <v>C</v>
      </c>
      <c r="G1014" s="4" t="str">
        <f aca="false">IFERROR(INDEX(Positions!$E$2:$E$6912,MATCH($A1014&amp;"|68",Positions!$A$2:$A$6912,0)),"-")</f>
        <v>G</v>
      </c>
      <c r="H1014" s="3" t="str">
        <f aca="false">F1014&amp;"-"&amp;G1014</f>
        <v>C-G</v>
      </c>
      <c r="I1014" s="4" t="n">
        <f aca="false">(F1014="G")+(G1014="G")</f>
        <v>1</v>
      </c>
      <c r="J1014" s="4" t="n">
        <f aca="false">(F1014="C")+(G1014="C")</f>
        <v>1</v>
      </c>
      <c r="K1014" s="3" t="n">
        <f aca="false">I1014+J1014</f>
        <v>2</v>
      </c>
    </row>
    <row r="1015" customFormat="false" ht="15" hidden="false" customHeight="false" outlineLevel="0" collapsed="false">
      <c r="A1015" s="4" t="s">
        <v>73</v>
      </c>
      <c r="B1015" s="4" t="s">
        <v>412</v>
      </c>
      <c r="C1015" s="4" t="s">
        <v>520</v>
      </c>
      <c r="D1015" s="4" t="n">
        <f aca="false">IFERROR(INDEX(Positions!$D$2:$D$6912,MATCH($A1015&amp;"|6",Positions!$A$2:$A$6912,0)),"-")</f>
        <v>6</v>
      </c>
      <c r="E1015" s="4" t="n">
        <f aca="false">IFERROR(INDEX(Positions!$D$2:$D$6912,MATCH($A1015&amp;"|67",Positions!$A$2:$A$6912,0)),"-")</f>
        <v>67</v>
      </c>
      <c r="F1015" s="4" t="str">
        <f aca="false">IFERROR(INDEX(Positions!$E$2:$E$6912,MATCH($A1015&amp;"|6",Positions!$A$2:$A$6912,0)),"-")</f>
        <v>C</v>
      </c>
      <c r="G1015" s="4" t="str">
        <f aca="false">IFERROR(INDEX(Positions!$E$2:$E$6912,MATCH($A1015&amp;"|67",Positions!$A$2:$A$6912,0)),"-")</f>
        <v>G</v>
      </c>
      <c r="H1015" s="3" t="str">
        <f aca="false">F1015&amp;"-"&amp;G1015</f>
        <v>C-G</v>
      </c>
      <c r="I1015" s="4" t="n">
        <f aca="false">(F1015="G")+(G1015="G")</f>
        <v>1</v>
      </c>
      <c r="J1015" s="4" t="n">
        <f aca="false">(F1015="C")+(G1015="C")</f>
        <v>1</v>
      </c>
      <c r="K1015" s="3" t="n">
        <f aca="false">I1015+J1015</f>
        <v>2</v>
      </c>
    </row>
    <row r="1016" customFormat="false" ht="15" hidden="false" customHeight="false" outlineLevel="0" collapsed="false">
      <c r="A1016" s="4" t="s">
        <v>73</v>
      </c>
      <c r="B1016" s="4" t="s">
        <v>412</v>
      </c>
      <c r="C1016" s="4" t="s">
        <v>521</v>
      </c>
      <c r="D1016" s="4" t="n">
        <f aca="false">IFERROR(INDEX(Positions!$D$2:$D$6912,MATCH($A1016&amp;"|7",Positions!$A$2:$A$6912,0)),"-")</f>
        <v>7</v>
      </c>
      <c r="E1016" s="4" t="n">
        <f aca="false">IFERROR(INDEX(Positions!$D$2:$D$6912,MATCH($A1016&amp;"|66",Positions!$A$2:$A$6912,0)),"-")</f>
        <v>66</v>
      </c>
      <c r="F1016" s="4" t="str">
        <f aca="false">IFERROR(INDEX(Positions!$E$2:$E$6912,MATCH($A1016&amp;"|7",Positions!$A$2:$A$6912,0)),"-")</f>
        <v>U</v>
      </c>
      <c r="G1016" s="4" t="str">
        <f aca="false">IFERROR(INDEX(Positions!$E$2:$E$6912,MATCH($A1016&amp;"|66",Positions!$A$2:$A$6912,0)),"-")</f>
        <v>A</v>
      </c>
      <c r="H1016" s="3" t="str">
        <f aca="false">F1016&amp;"-"&amp;G1016</f>
        <v>U-A</v>
      </c>
      <c r="I1016" s="4" t="n">
        <f aca="false">(F1016="G")+(G1016="G")</f>
        <v>0</v>
      </c>
      <c r="J1016" s="4" t="n">
        <f aca="false">(F1016="C")+(G1016="C")</f>
        <v>0</v>
      </c>
      <c r="K1016" s="3" t="n">
        <f aca="false">I1016+J1016</f>
        <v>0</v>
      </c>
    </row>
    <row r="1017" customFormat="false" ht="15" hidden="false" customHeight="false" outlineLevel="0" collapsed="false">
      <c r="A1017" s="4" t="s">
        <v>73</v>
      </c>
      <c r="B1017" s="4" t="s">
        <v>425</v>
      </c>
      <c r="C1017" s="4" t="s">
        <v>522</v>
      </c>
      <c r="D1017" s="4" t="n">
        <f aca="false">IFERROR(INDEX(Positions!$D$2:$D$6912,MATCH($A1017&amp;"|10",Positions!$A$2:$A$6912,0)),"-")</f>
        <v>10</v>
      </c>
      <c r="E1017" s="4" t="n">
        <f aca="false">IFERROR(INDEX(Positions!$D$2:$D$6912,MATCH($A1017&amp;"|25",Positions!$A$2:$A$6912,0)),"-")</f>
        <v>25</v>
      </c>
      <c r="F1017" s="4" t="str">
        <f aca="false">IFERROR(INDEX(Positions!$E$2:$E$6912,MATCH($A1017&amp;"|10",Positions!$A$2:$A$6912,0)),"-")</f>
        <v>G</v>
      </c>
      <c r="G1017" s="4" t="str">
        <f aca="false">IFERROR(INDEX(Positions!$E$2:$E$6912,MATCH($A1017&amp;"|25",Positions!$A$2:$A$6912,0)),"-")</f>
        <v>C</v>
      </c>
      <c r="H1017" s="3" t="str">
        <f aca="false">F1017&amp;"-"&amp;G1017</f>
        <v>G-C</v>
      </c>
      <c r="I1017" s="4" t="n">
        <f aca="false">(F1017="G")+(G1017="G")</f>
        <v>1</v>
      </c>
      <c r="J1017" s="4" t="n">
        <f aca="false">(F1017="C")+(G1017="C")</f>
        <v>1</v>
      </c>
      <c r="K1017" s="3" t="n">
        <f aca="false">I1017+J1017</f>
        <v>2</v>
      </c>
    </row>
    <row r="1018" customFormat="false" ht="15" hidden="false" customHeight="false" outlineLevel="0" collapsed="false">
      <c r="A1018" s="4" t="s">
        <v>73</v>
      </c>
      <c r="B1018" s="4" t="s">
        <v>425</v>
      </c>
      <c r="C1018" s="4" t="s">
        <v>523</v>
      </c>
      <c r="D1018" s="4" t="n">
        <f aca="false">IFERROR(INDEX(Positions!$D$2:$D$6912,MATCH($A1018&amp;"|11",Positions!$A$2:$A$6912,0)),"-")</f>
        <v>11</v>
      </c>
      <c r="E1018" s="4" t="n">
        <f aca="false">IFERROR(INDEX(Positions!$D$2:$D$6912,MATCH($A1018&amp;"|24",Positions!$A$2:$A$6912,0)),"-")</f>
        <v>24</v>
      </c>
      <c r="F1018" s="4" t="str">
        <f aca="false">IFERROR(INDEX(Positions!$E$2:$E$6912,MATCH($A1018&amp;"|11",Positions!$A$2:$A$6912,0)),"-")</f>
        <v>C</v>
      </c>
      <c r="G1018" s="4" t="str">
        <f aca="false">IFERROR(INDEX(Positions!$E$2:$E$6912,MATCH($A1018&amp;"|24",Positions!$A$2:$A$6912,0)),"-")</f>
        <v>G</v>
      </c>
      <c r="H1018" s="3" t="str">
        <f aca="false">F1018&amp;"-"&amp;G1018</f>
        <v>C-G</v>
      </c>
      <c r="I1018" s="4" t="n">
        <f aca="false">(F1018="G")+(G1018="G")</f>
        <v>1</v>
      </c>
      <c r="J1018" s="4" t="n">
        <f aca="false">(F1018="C")+(G1018="C")</f>
        <v>1</v>
      </c>
      <c r="K1018" s="3" t="n">
        <f aca="false">I1018+J1018</f>
        <v>2</v>
      </c>
    </row>
    <row r="1019" customFormat="false" ht="15" hidden="false" customHeight="false" outlineLevel="0" collapsed="false">
      <c r="A1019" s="4" t="s">
        <v>73</v>
      </c>
      <c r="B1019" s="4" t="s">
        <v>425</v>
      </c>
      <c r="C1019" s="4" t="s">
        <v>250</v>
      </c>
      <c r="D1019" s="4" t="n">
        <f aca="false">IFERROR(INDEX(Positions!$D$2:$D$6912,MATCH($A1019&amp;"|12",Positions!$A$2:$A$6912,0)),"-")</f>
        <v>12</v>
      </c>
      <c r="E1019" s="4" t="n">
        <f aca="false">IFERROR(INDEX(Positions!$D$2:$D$6912,MATCH($A1019&amp;"|23",Positions!$A$2:$A$6912,0)),"-")</f>
        <v>23</v>
      </c>
      <c r="F1019" s="4" t="str">
        <f aca="false">IFERROR(INDEX(Positions!$E$2:$E$6912,MATCH($A1019&amp;"|12",Positions!$A$2:$A$6912,0)),"-")</f>
        <v>U</v>
      </c>
      <c r="G1019" s="4" t="str">
        <f aca="false">IFERROR(INDEX(Positions!$E$2:$E$6912,MATCH($A1019&amp;"|23",Positions!$A$2:$A$6912,0)),"-")</f>
        <v>A</v>
      </c>
      <c r="H1019" s="3" t="str">
        <f aca="false">F1019&amp;"-"&amp;G1019</f>
        <v>U-A</v>
      </c>
      <c r="I1019" s="4" t="n">
        <f aca="false">(F1019="G")+(G1019="G")</f>
        <v>0</v>
      </c>
      <c r="J1019" s="4" t="n">
        <f aca="false">(F1019="C")+(G1019="C")</f>
        <v>0</v>
      </c>
      <c r="K1019" s="3" t="n">
        <f aca="false">I1019+J1019</f>
        <v>0</v>
      </c>
    </row>
    <row r="1020" customFormat="false" ht="15" hidden="false" customHeight="false" outlineLevel="0" collapsed="false">
      <c r="A1020" s="4" t="s">
        <v>73</v>
      </c>
      <c r="B1020" s="4" t="s">
        <v>425</v>
      </c>
      <c r="C1020" s="4" t="s">
        <v>154</v>
      </c>
      <c r="D1020" s="4" t="n">
        <f aca="false">IFERROR(INDEX(Positions!$D$2:$D$6912,MATCH($A1020&amp;"|13",Positions!$A$2:$A$6912,0)),"-")</f>
        <v>13</v>
      </c>
      <c r="E1020" s="4" t="n">
        <f aca="false">IFERROR(INDEX(Positions!$D$2:$D$6912,MATCH($A1020&amp;"|22",Positions!$A$2:$A$6912,0)),"-")</f>
        <v>22</v>
      </c>
      <c r="F1020" s="4" t="str">
        <f aca="false">IFERROR(INDEX(Positions!$E$2:$E$6912,MATCH($A1020&amp;"|13",Positions!$A$2:$A$6912,0)),"-")</f>
        <v>C</v>
      </c>
      <c r="G1020" s="4" t="str">
        <f aca="false">IFERROR(INDEX(Positions!$E$2:$E$6912,MATCH($A1020&amp;"|22",Positions!$A$2:$A$6912,0)),"-")</f>
        <v>G</v>
      </c>
      <c r="H1020" s="3" t="str">
        <f aca="false">F1020&amp;"-"&amp;G1020</f>
        <v>C-G</v>
      </c>
      <c r="I1020" s="4" t="n">
        <f aca="false">(F1020="G")+(G1020="G")</f>
        <v>1</v>
      </c>
      <c r="J1020" s="4" t="n">
        <f aca="false">(F1020="C")+(G1020="C")</f>
        <v>1</v>
      </c>
      <c r="K1020" s="3" t="n">
        <f aca="false">I1020+J1020</f>
        <v>2</v>
      </c>
    </row>
    <row r="1021" customFormat="false" ht="15" hidden="false" customHeight="false" outlineLevel="0" collapsed="false">
      <c r="A1021" s="4" t="s">
        <v>73</v>
      </c>
      <c r="B1021" s="4" t="s">
        <v>446</v>
      </c>
      <c r="C1021" s="4" t="s">
        <v>524</v>
      </c>
      <c r="D1021" s="4" t="n">
        <f aca="false">IFERROR(INDEX(Positions!$D$2:$D$6912,MATCH($A1021&amp;"|27",Positions!$A$2:$A$6912,0)),"-")</f>
        <v>27</v>
      </c>
      <c r="E1021" s="4" t="n">
        <f aca="false">IFERROR(INDEX(Positions!$D$2:$D$6912,MATCH($A1021&amp;"|43",Positions!$A$2:$A$6912,0)),"-")</f>
        <v>43</v>
      </c>
      <c r="F1021" s="4" t="str">
        <f aca="false">IFERROR(INDEX(Positions!$E$2:$E$6912,MATCH($A1021&amp;"|27",Positions!$A$2:$A$6912,0)),"-")</f>
        <v>G</v>
      </c>
      <c r="G1021" s="4" t="str">
        <f aca="false">IFERROR(INDEX(Positions!$E$2:$E$6912,MATCH($A1021&amp;"|43",Positions!$A$2:$A$6912,0)),"-")</f>
        <v>U</v>
      </c>
      <c r="H1021" s="3" t="str">
        <f aca="false">F1021&amp;"-"&amp;G1021</f>
        <v>G-U</v>
      </c>
      <c r="I1021" s="4" t="n">
        <f aca="false">(F1021="G")+(G1021="G")</f>
        <v>1</v>
      </c>
      <c r="J1021" s="4" t="n">
        <f aca="false">(F1021="C")+(G1021="C")</f>
        <v>0</v>
      </c>
      <c r="K1021" s="3" t="n">
        <f aca="false">I1021+J1021</f>
        <v>1</v>
      </c>
    </row>
    <row r="1022" customFormat="false" ht="15" hidden="false" customHeight="false" outlineLevel="0" collapsed="false">
      <c r="A1022" s="4" t="s">
        <v>73</v>
      </c>
      <c r="B1022" s="4" t="s">
        <v>446</v>
      </c>
      <c r="C1022" s="4" t="s">
        <v>525</v>
      </c>
      <c r="D1022" s="4" t="n">
        <f aca="false">IFERROR(INDEX(Positions!$D$2:$D$6912,MATCH($A1022&amp;"|28",Positions!$A$2:$A$6912,0)),"-")</f>
        <v>28</v>
      </c>
      <c r="E1022" s="4" t="n">
        <f aca="false">IFERROR(INDEX(Positions!$D$2:$D$6912,MATCH($A1022&amp;"|42",Positions!$A$2:$A$6912,0)),"-")</f>
        <v>42</v>
      </c>
      <c r="F1022" s="4" t="str">
        <f aca="false">IFERROR(INDEX(Positions!$E$2:$E$6912,MATCH($A1022&amp;"|28",Positions!$A$2:$A$6912,0)),"-")</f>
        <v>A</v>
      </c>
      <c r="G1022" s="4" t="str">
        <f aca="false">IFERROR(INDEX(Positions!$E$2:$E$6912,MATCH($A1022&amp;"|42",Positions!$A$2:$A$6912,0)),"-")</f>
        <v>U</v>
      </c>
      <c r="H1022" s="3" t="str">
        <f aca="false">F1022&amp;"-"&amp;G1022</f>
        <v>A-U</v>
      </c>
      <c r="I1022" s="4" t="n">
        <f aca="false">(F1022="G")+(G1022="G")</f>
        <v>0</v>
      </c>
      <c r="J1022" s="4" t="n">
        <f aca="false">(F1022="C")+(G1022="C")</f>
        <v>0</v>
      </c>
      <c r="K1022" s="3" t="n">
        <f aca="false">I1022+J1022</f>
        <v>0</v>
      </c>
    </row>
    <row r="1023" customFormat="false" ht="15" hidden="false" customHeight="false" outlineLevel="0" collapsed="false">
      <c r="A1023" s="4" t="s">
        <v>73</v>
      </c>
      <c r="B1023" s="4" t="s">
        <v>446</v>
      </c>
      <c r="C1023" s="4" t="s">
        <v>256</v>
      </c>
      <c r="D1023" s="4" t="n">
        <f aca="false">IFERROR(INDEX(Positions!$D$2:$D$6912,MATCH($A1023&amp;"|29",Positions!$A$2:$A$6912,0)),"-")</f>
        <v>29</v>
      </c>
      <c r="E1023" s="4" t="n">
        <f aca="false">IFERROR(INDEX(Positions!$D$2:$D$6912,MATCH($A1023&amp;"|41",Positions!$A$2:$A$6912,0)),"-")</f>
        <v>41</v>
      </c>
      <c r="F1023" s="4" t="str">
        <f aca="false">IFERROR(INDEX(Positions!$E$2:$E$6912,MATCH($A1023&amp;"|29",Positions!$A$2:$A$6912,0)),"-")</f>
        <v>G</v>
      </c>
      <c r="G1023" s="4" t="str">
        <f aca="false">IFERROR(INDEX(Positions!$E$2:$E$6912,MATCH($A1023&amp;"|41",Positions!$A$2:$A$6912,0)),"-")</f>
        <v>C</v>
      </c>
      <c r="H1023" s="3" t="str">
        <f aca="false">F1023&amp;"-"&amp;G1023</f>
        <v>G-C</v>
      </c>
      <c r="I1023" s="4" t="n">
        <f aca="false">(F1023="G")+(G1023="G")</f>
        <v>1</v>
      </c>
      <c r="J1023" s="4" t="n">
        <f aca="false">(F1023="C")+(G1023="C")</f>
        <v>1</v>
      </c>
      <c r="K1023" s="3" t="n">
        <f aca="false">I1023+J1023</f>
        <v>2</v>
      </c>
    </row>
    <row r="1024" customFormat="false" ht="15" hidden="false" customHeight="false" outlineLevel="0" collapsed="false">
      <c r="A1024" s="4" t="s">
        <v>73</v>
      </c>
      <c r="B1024" s="4" t="s">
        <v>446</v>
      </c>
      <c r="C1024" s="4" t="s">
        <v>526</v>
      </c>
      <c r="D1024" s="4" t="n">
        <f aca="false">IFERROR(INDEX(Positions!$D$2:$D$6912,MATCH($A1024&amp;"|30",Positions!$A$2:$A$6912,0)),"-")</f>
        <v>30</v>
      </c>
      <c r="E1024" s="4" t="n">
        <f aca="false">IFERROR(INDEX(Positions!$D$2:$D$6912,MATCH($A1024&amp;"|40",Positions!$A$2:$A$6912,0)),"-")</f>
        <v>40</v>
      </c>
      <c r="F1024" s="4" t="str">
        <f aca="false">IFERROR(INDEX(Positions!$E$2:$E$6912,MATCH($A1024&amp;"|30",Positions!$A$2:$A$6912,0)),"-")</f>
        <v>G</v>
      </c>
      <c r="G1024" s="4" t="str">
        <f aca="false">IFERROR(INDEX(Positions!$E$2:$E$6912,MATCH($A1024&amp;"|40",Positions!$A$2:$A$6912,0)),"-")</f>
        <v>C</v>
      </c>
      <c r="H1024" s="3" t="str">
        <f aca="false">F1024&amp;"-"&amp;G1024</f>
        <v>G-C</v>
      </c>
      <c r="I1024" s="4" t="n">
        <f aca="false">(F1024="G")+(G1024="G")</f>
        <v>1</v>
      </c>
      <c r="J1024" s="4" t="n">
        <f aca="false">(F1024="C")+(G1024="C")</f>
        <v>1</v>
      </c>
      <c r="K1024" s="3" t="n">
        <f aca="false">I1024+J1024</f>
        <v>2</v>
      </c>
    </row>
    <row r="1025" customFormat="false" ht="15" hidden="false" customHeight="false" outlineLevel="0" collapsed="false">
      <c r="A1025" s="4" t="s">
        <v>73</v>
      </c>
      <c r="B1025" s="4" t="s">
        <v>446</v>
      </c>
      <c r="C1025" s="4" t="s">
        <v>273</v>
      </c>
      <c r="D1025" s="4" t="n">
        <f aca="false">IFERROR(INDEX(Positions!$D$2:$D$6912,MATCH($A1025&amp;"|31",Positions!$A$2:$A$6912,0)),"-")</f>
        <v>31</v>
      </c>
      <c r="E1025" s="4" t="n">
        <f aca="false">IFERROR(INDEX(Positions!$D$2:$D$6912,MATCH($A1025&amp;"|39",Positions!$A$2:$A$6912,0)),"-")</f>
        <v>39</v>
      </c>
      <c r="F1025" s="4" t="str">
        <f aca="false">IFERROR(INDEX(Positions!$E$2:$E$6912,MATCH($A1025&amp;"|31",Positions!$A$2:$A$6912,0)),"-")</f>
        <v>A</v>
      </c>
      <c r="G1025" s="4" t="str">
        <f aca="false">IFERROR(INDEX(Positions!$E$2:$E$6912,MATCH($A1025&amp;"|39",Positions!$A$2:$A$6912,0)),"-")</f>
        <v>U</v>
      </c>
      <c r="H1025" s="3" t="str">
        <f aca="false">F1025&amp;"-"&amp;G1025</f>
        <v>A-U</v>
      </c>
      <c r="I1025" s="4" t="n">
        <f aca="false">(F1025="G")+(G1025="G")</f>
        <v>0</v>
      </c>
      <c r="J1025" s="4" t="n">
        <f aca="false">(F1025="C")+(G1025="C")</f>
        <v>0</v>
      </c>
      <c r="K1025" s="3" t="n">
        <f aca="false">I1025+J1025</f>
        <v>0</v>
      </c>
    </row>
    <row r="1026" customFormat="false" ht="15" hidden="false" customHeight="false" outlineLevel="0" collapsed="false">
      <c r="A1026" s="4" t="s">
        <v>73</v>
      </c>
      <c r="B1026" s="4" t="s">
        <v>471</v>
      </c>
      <c r="C1026" s="4" t="s">
        <v>367</v>
      </c>
      <c r="D1026" s="4" t="n">
        <f aca="false">IFERROR(INDEX(Positions!$D$2:$D$6912,MATCH($A1026&amp;"|49",Positions!$A$2:$A$6912,0)),"-")</f>
        <v>49</v>
      </c>
      <c r="E1026" s="4" t="n">
        <f aca="false">IFERROR(INDEX(Positions!$D$2:$D$6912,MATCH($A1026&amp;"|65",Positions!$A$2:$A$6912,0)),"-")</f>
        <v>65</v>
      </c>
      <c r="F1026" s="4" t="str">
        <f aca="false">IFERROR(INDEX(Positions!$E$2:$E$6912,MATCH($A1026&amp;"|49",Positions!$A$2:$A$6912,0)),"-")</f>
        <v>A</v>
      </c>
      <c r="G1026" s="4" t="str">
        <f aca="false">IFERROR(INDEX(Positions!$E$2:$E$6912,MATCH($A1026&amp;"|65",Positions!$A$2:$A$6912,0)),"-")</f>
        <v>U</v>
      </c>
      <c r="H1026" s="3" t="str">
        <f aca="false">F1026&amp;"-"&amp;G1026</f>
        <v>A-U</v>
      </c>
      <c r="I1026" s="4" t="n">
        <f aca="false">(F1026="G")+(G1026="G")</f>
        <v>0</v>
      </c>
      <c r="J1026" s="4" t="n">
        <f aca="false">(F1026="C")+(G1026="C")</f>
        <v>0</v>
      </c>
      <c r="K1026" s="3" t="n">
        <f aca="false">I1026+J1026</f>
        <v>0</v>
      </c>
    </row>
    <row r="1027" customFormat="false" ht="15" hidden="false" customHeight="false" outlineLevel="0" collapsed="false">
      <c r="A1027" s="4" t="s">
        <v>73</v>
      </c>
      <c r="B1027" s="4" t="s">
        <v>471</v>
      </c>
      <c r="C1027" s="4" t="s">
        <v>233</v>
      </c>
      <c r="D1027" s="4" t="n">
        <f aca="false">IFERROR(INDEX(Positions!$D$2:$D$6912,MATCH($A1027&amp;"|50",Positions!$A$2:$A$6912,0)),"-")</f>
        <v>50</v>
      </c>
      <c r="E1027" s="4" t="n">
        <f aca="false">IFERROR(INDEX(Positions!$D$2:$D$6912,MATCH($A1027&amp;"|64",Positions!$A$2:$A$6912,0)),"-")</f>
        <v>64</v>
      </c>
      <c r="F1027" s="4" t="str">
        <f aca="false">IFERROR(INDEX(Positions!$E$2:$E$6912,MATCH($A1027&amp;"|50",Positions!$A$2:$A$6912,0)),"-")</f>
        <v>C</v>
      </c>
      <c r="G1027" s="4" t="str">
        <f aca="false">IFERROR(INDEX(Positions!$E$2:$E$6912,MATCH($A1027&amp;"|64",Positions!$A$2:$A$6912,0)),"-")</f>
        <v>G</v>
      </c>
      <c r="H1027" s="3" t="str">
        <f aca="false">F1027&amp;"-"&amp;G1027</f>
        <v>C-G</v>
      </c>
      <c r="I1027" s="4" t="n">
        <f aca="false">(F1027="G")+(G1027="G")</f>
        <v>1</v>
      </c>
      <c r="J1027" s="4" t="n">
        <f aca="false">(F1027="C")+(G1027="C")</f>
        <v>1</v>
      </c>
      <c r="K1027" s="3" t="n">
        <f aca="false">I1027+J1027</f>
        <v>2</v>
      </c>
    </row>
    <row r="1028" customFormat="false" ht="15" hidden="false" customHeight="false" outlineLevel="0" collapsed="false">
      <c r="A1028" s="4" t="s">
        <v>73</v>
      </c>
      <c r="B1028" s="4" t="s">
        <v>471</v>
      </c>
      <c r="C1028" s="4" t="s">
        <v>527</v>
      </c>
      <c r="D1028" s="4" t="n">
        <f aca="false">IFERROR(INDEX(Positions!$D$2:$D$6912,MATCH($A1028&amp;"|51",Positions!$A$2:$A$6912,0)),"-")</f>
        <v>51</v>
      </c>
      <c r="E1028" s="4" t="n">
        <f aca="false">IFERROR(INDEX(Positions!$D$2:$D$6912,MATCH($A1028&amp;"|63",Positions!$A$2:$A$6912,0)),"-")</f>
        <v>63</v>
      </c>
      <c r="F1028" s="4" t="str">
        <f aca="false">IFERROR(INDEX(Positions!$E$2:$E$6912,MATCH($A1028&amp;"|51",Positions!$A$2:$A$6912,0)),"-")</f>
        <v>U</v>
      </c>
      <c r="G1028" s="4" t="str">
        <f aca="false">IFERROR(INDEX(Positions!$E$2:$E$6912,MATCH($A1028&amp;"|63",Positions!$A$2:$A$6912,0)),"-")</f>
        <v>G</v>
      </c>
      <c r="H1028" s="3" t="str">
        <f aca="false">F1028&amp;"-"&amp;G1028</f>
        <v>U-G</v>
      </c>
      <c r="I1028" s="4" t="n">
        <f aca="false">(F1028="G")+(G1028="G")</f>
        <v>1</v>
      </c>
      <c r="J1028" s="4" t="n">
        <f aca="false">(F1028="C")+(G1028="C")</f>
        <v>0</v>
      </c>
      <c r="K1028" s="3" t="n">
        <f aca="false">I1028+J1028</f>
        <v>1</v>
      </c>
    </row>
    <row r="1029" customFormat="false" ht="15" hidden="false" customHeight="false" outlineLevel="0" collapsed="false">
      <c r="A1029" s="4" t="s">
        <v>73</v>
      </c>
      <c r="B1029" s="4" t="s">
        <v>471</v>
      </c>
      <c r="C1029" s="4" t="s">
        <v>528</v>
      </c>
      <c r="D1029" s="4" t="n">
        <f aca="false">IFERROR(INDEX(Positions!$D$2:$D$6912,MATCH($A1029&amp;"|52",Positions!$A$2:$A$6912,0)),"-")</f>
        <v>52</v>
      </c>
      <c r="E1029" s="4" t="n">
        <f aca="false">IFERROR(INDEX(Positions!$D$2:$D$6912,MATCH($A1029&amp;"|62",Positions!$A$2:$A$6912,0)),"-")</f>
        <v>62</v>
      </c>
      <c r="F1029" s="4" t="str">
        <f aca="false">IFERROR(INDEX(Positions!$E$2:$E$6912,MATCH($A1029&amp;"|52",Positions!$A$2:$A$6912,0)),"-")</f>
        <v>G</v>
      </c>
      <c r="G1029" s="4" t="str">
        <f aca="false">IFERROR(INDEX(Positions!$E$2:$E$6912,MATCH($A1029&amp;"|62",Positions!$A$2:$A$6912,0)),"-")</f>
        <v>C</v>
      </c>
      <c r="H1029" s="3" t="str">
        <f aca="false">F1029&amp;"-"&amp;G1029</f>
        <v>G-C</v>
      </c>
      <c r="I1029" s="4" t="n">
        <f aca="false">(F1029="G")+(G1029="G")</f>
        <v>1</v>
      </c>
      <c r="J1029" s="4" t="n">
        <f aca="false">(F1029="C")+(G1029="C")</f>
        <v>1</v>
      </c>
      <c r="K1029" s="3" t="n">
        <f aca="false">I1029+J1029</f>
        <v>2</v>
      </c>
    </row>
    <row r="1030" customFormat="false" ht="15" hidden="false" customHeight="false" outlineLevel="0" collapsed="false">
      <c r="A1030" s="4" t="s">
        <v>73</v>
      </c>
      <c r="B1030" s="4" t="s">
        <v>471</v>
      </c>
      <c r="C1030" s="4" t="s">
        <v>529</v>
      </c>
      <c r="D1030" s="4" t="n">
        <f aca="false">IFERROR(INDEX(Positions!$D$2:$D$6912,MATCH($A1030&amp;"|53",Positions!$A$2:$A$6912,0)),"-")</f>
        <v>53</v>
      </c>
      <c r="E1030" s="4" t="n">
        <f aca="false">IFERROR(INDEX(Positions!$D$2:$D$6912,MATCH($A1030&amp;"|61",Positions!$A$2:$A$6912,0)),"-")</f>
        <v>61</v>
      </c>
      <c r="F1030" s="4" t="str">
        <f aca="false">IFERROR(INDEX(Positions!$E$2:$E$6912,MATCH($A1030&amp;"|53",Positions!$A$2:$A$6912,0)),"-")</f>
        <v>G</v>
      </c>
      <c r="G1030" s="4" t="str">
        <f aca="false">IFERROR(INDEX(Positions!$E$2:$E$6912,MATCH($A1030&amp;"|61",Positions!$A$2:$A$6912,0)),"-")</f>
        <v>C</v>
      </c>
      <c r="H1030" s="3" t="str">
        <f aca="false">F1030&amp;"-"&amp;G1030</f>
        <v>G-C</v>
      </c>
      <c r="I1030" s="4" t="n">
        <f aca="false">(F1030="G")+(G1030="G")</f>
        <v>1</v>
      </c>
      <c r="J1030" s="4" t="n">
        <f aca="false">(F1030="C")+(G1030="C")</f>
        <v>1</v>
      </c>
      <c r="K1030" s="3" t="n">
        <f aca="false">I1030+J1030</f>
        <v>2</v>
      </c>
    </row>
    <row r="1031" customFormat="false" ht="15" hidden="false" customHeight="false" outlineLevel="0" collapsed="false">
      <c r="A1031" s="24" t="s">
        <v>73</v>
      </c>
      <c r="B1031" s="24" t="s">
        <v>530</v>
      </c>
      <c r="C1031" s="24" t="s">
        <v>531</v>
      </c>
      <c r="D1031" s="24" t="n">
        <f aca="false">IFERROR(INDEX(Positions!$D$2:$D$6912,MATCH($A1031&amp;"|8",Positions!$A$2:$A$6912,0)),"-")</f>
        <v>8</v>
      </c>
      <c r="E1031" s="24" t="n">
        <f aca="false">IFERROR(INDEX(Positions!$D$2:$D$6912,MATCH($A1031&amp;"|14",Positions!$A$2:$A$6912,0)),"-")</f>
        <v>14</v>
      </c>
      <c r="F1031" s="24" t="str">
        <f aca="false">IFERROR(INDEX(Positions!$E$2:$E$6912,MATCH($A1031&amp;"|8",Positions!$A$2:$A$6912,0)),"-")</f>
        <v>U</v>
      </c>
      <c r="G1031" s="24" t="str">
        <f aca="false">IFERROR(INDEX(Positions!$E$2:$E$6912,MATCH($A1031&amp;"|14",Positions!$A$2:$A$6912,0)),"-")</f>
        <v>A</v>
      </c>
      <c r="H1031" s="25" t="str">
        <f aca="false">F1031&amp;"-"&amp;G1031</f>
        <v>U-A</v>
      </c>
      <c r="I1031" s="24" t="n">
        <f aca="false">(F1031="G")+(G1031="G")</f>
        <v>0</v>
      </c>
      <c r="J1031" s="24" t="n">
        <f aca="false">(F1031="C")+(G1031="C")</f>
        <v>0</v>
      </c>
      <c r="K1031" s="25" t="n">
        <f aca="false">I1031+J1031</f>
        <v>0</v>
      </c>
    </row>
    <row r="1032" customFormat="false" ht="15" hidden="false" customHeight="false" outlineLevel="0" collapsed="false">
      <c r="A1032" s="24" t="s">
        <v>73</v>
      </c>
      <c r="B1032" s="24" t="s">
        <v>530</v>
      </c>
      <c r="C1032" s="24" t="s">
        <v>532</v>
      </c>
      <c r="D1032" s="24" t="n">
        <f aca="false">IFERROR(INDEX(Positions!$D$2:$D$6912,MATCH($A1032&amp;"|15",Positions!$A$2:$A$6912,0)),"-")</f>
        <v>15</v>
      </c>
      <c r="E1032" s="24" t="n">
        <f aca="false">IFERROR(INDEX(Positions!$D$2:$D$6912,MATCH($A1032&amp;"|48",Positions!$A$2:$A$6912,0)),"-")</f>
        <v>48</v>
      </c>
      <c r="F1032" s="24" t="str">
        <f aca="false">IFERROR(INDEX(Positions!$E$2:$E$6912,MATCH($A1032&amp;"|15",Positions!$A$2:$A$6912,0)),"-")</f>
        <v>G</v>
      </c>
      <c r="G1032" s="24" t="str">
        <f aca="false">IFERROR(INDEX(Positions!$E$2:$E$6912,MATCH($A1032&amp;"|48",Positions!$A$2:$A$6912,0)),"-")</f>
        <v>C</v>
      </c>
      <c r="H1032" s="25" t="str">
        <f aca="false">F1032&amp;"-"&amp;G1032</f>
        <v>G-C</v>
      </c>
      <c r="I1032" s="24" t="n">
        <f aca="false">(F1032="G")+(G1032="G")</f>
        <v>1</v>
      </c>
      <c r="J1032" s="24" t="n">
        <f aca="false">(F1032="C")+(G1032="C")</f>
        <v>1</v>
      </c>
      <c r="K1032" s="25" t="n">
        <f aca="false">I1032+J1032</f>
        <v>2</v>
      </c>
    </row>
    <row r="1033" customFormat="false" ht="15" hidden="false" customHeight="false" outlineLevel="0" collapsed="false">
      <c r="A1033" s="24" t="s">
        <v>73</v>
      </c>
      <c r="B1033" s="24" t="s">
        <v>530</v>
      </c>
      <c r="C1033" s="24" t="s">
        <v>533</v>
      </c>
      <c r="D1033" s="24" t="n">
        <f aca="false">IFERROR(INDEX(Positions!$D$2:$D$6912,MATCH($A1033&amp;"|18",Positions!$A$2:$A$6912,0)),"-")</f>
        <v>18</v>
      </c>
      <c r="E1033" s="24" t="n">
        <f aca="false">IFERROR(INDEX(Positions!$D$2:$D$6912,MATCH($A1033&amp;"|55",Positions!$A$2:$A$6912,0)),"-")</f>
        <v>55</v>
      </c>
      <c r="F1033" s="24" t="str">
        <f aca="false">IFERROR(INDEX(Positions!$E$2:$E$6912,MATCH($A1033&amp;"|18",Positions!$A$2:$A$6912,0)),"-")</f>
        <v>G</v>
      </c>
      <c r="G1033" s="24" t="str">
        <f aca="false">IFERROR(INDEX(Positions!$E$2:$E$6912,MATCH($A1033&amp;"|55",Positions!$A$2:$A$6912,0)),"-")</f>
        <v>U</v>
      </c>
      <c r="H1033" s="25" t="str">
        <f aca="false">F1033&amp;"-"&amp;G1033</f>
        <v>G-U</v>
      </c>
      <c r="I1033" s="24" t="n">
        <f aca="false">(F1033="G")+(G1033="G")</f>
        <v>1</v>
      </c>
      <c r="J1033" s="24" t="n">
        <f aca="false">(F1033="C")+(G1033="C")</f>
        <v>0</v>
      </c>
      <c r="K1033" s="25" t="n">
        <f aca="false">I1033+J1033</f>
        <v>1</v>
      </c>
    </row>
    <row r="1034" customFormat="false" ht="15" hidden="false" customHeight="false" outlineLevel="0" collapsed="false">
      <c r="A1034" s="24" t="s">
        <v>73</v>
      </c>
      <c r="B1034" s="24" t="s">
        <v>530</v>
      </c>
      <c r="C1034" s="24" t="s">
        <v>534</v>
      </c>
      <c r="D1034" s="24" t="n">
        <f aca="false">IFERROR(INDEX(Positions!$D$2:$D$6912,MATCH($A1034&amp;"|19",Positions!$A$2:$A$6912,0)),"-")</f>
        <v>19</v>
      </c>
      <c r="E1034" s="24" t="n">
        <f aca="false">IFERROR(INDEX(Positions!$D$2:$D$6912,MATCH($A1034&amp;"|56",Positions!$A$2:$A$6912,0)),"-")</f>
        <v>56</v>
      </c>
      <c r="F1034" s="24" t="str">
        <f aca="false">IFERROR(INDEX(Positions!$E$2:$E$6912,MATCH($A1034&amp;"|19",Positions!$A$2:$A$6912,0)),"-")</f>
        <v>G</v>
      </c>
      <c r="G1034" s="24" t="str">
        <f aca="false">IFERROR(INDEX(Positions!$E$2:$E$6912,MATCH($A1034&amp;"|56",Positions!$A$2:$A$6912,0)),"-")</f>
        <v>C</v>
      </c>
      <c r="H1034" s="25" t="str">
        <f aca="false">F1034&amp;"-"&amp;G1034</f>
        <v>G-C</v>
      </c>
      <c r="I1034" s="24" t="n">
        <f aca="false">(F1034="G")+(G1034="G")</f>
        <v>1</v>
      </c>
      <c r="J1034" s="24" t="n">
        <f aca="false">(F1034="C")+(G1034="C")</f>
        <v>1</v>
      </c>
      <c r="K1034" s="25" t="n">
        <f aca="false">I1034+J1034</f>
        <v>2</v>
      </c>
    </row>
    <row r="1035" customFormat="false" ht="15" hidden="false" customHeight="false" outlineLevel="0" collapsed="false">
      <c r="A1035" s="24" t="s">
        <v>73</v>
      </c>
      <c r="B1035" s="24" t="s">
        <v>530</v>
      </c>
      <c r="C1035" s="24" t="s">
        <v>535</v>
      </c>
      <c r="D1035" s="24" t="n">
        <f aca="false">IFERROR(INDEX(Positions!$D$2:$D$6912,MATCH($A1035&amp;"|26",Positions!$A$2:$A$6912,0)),"-")</f>
        <v>26</v>
      </c>
      <c r="E1035" s="24" t="n">
        <f aca="false">IFERROR(INDEX(Positions!$D$2:$D$6912,MATCH($A1035&amp;"|44",Positions!$A$2:$A$6912,0)),"-")</f>
        <v>44</v>
      </c>
      <c r="F1035" s="24" t="str">
        <f aca="false">IFERROR(INDEX(Positions!$E$2:$E$6912,MATCH($A1035&amp;"|26",Positions!$A$2:$A$6912,0)),"-")</f>
        <v>G</v>
      </c>
      <c r="G1035" s="24" t="str">
        <f aca="false">IFERROR(INDEX(Positions!$E$2:$E$6912,MATCH($A1035&amp;"|44",Positions!$A$2:$A$6912,0)),"-")</f>
        <v>A</v>
      </c>
      <c r="H1035" s="25" t="str">
        <f aca="false">F1035&amp;"-"&amp;G1035</f>
        <v>G-A</v>
      </c>
      <c r="I1035" s="24" t="n">
        <f aca="false">(F1035="G")+(G1035="G")</f>
        <v>1</v>
      </c>
      <c r="J1035" s="24" t="n">
        <f aca="false">(F1035="C")+(G1035="C")</f>
        <v>0</v>
      </c>
      <c r="K1035" s="25" t="n">
        <f aca="false">I1035+J1035</f>
        <v>1</v>
      </c>
    </row>
    <row r="1036" customFormat="false" ht="15" hidden="false" customHeight="false" outlineLevel="0" collapsed="false">
      <c r="A1036" s="24" t="s">
        <v>73</v>
      </c>
      <c r="B1036" s="24" t="s">
        <v>530</v>
      </c>
      <c r="C1036" s="24" t="s">
        <v>536</v>
      </c>
      <c r="D1036" s="24" t="n">
        <f aca="false">IFERROR(INDEX(Positions!$D$2:$D$6912,MATCH($A1036&amp;"|32",Positions!$A$2:$A$6912,0)),"-")</f>
        <v>32</v>
      </c>
      <c r="E1036" s="24" t="n">
        <f aca="false">IFERROR(INDEX(Positions!$D$2:$D$6912,MATCH($A1036&amp;"|38",Positions!$A$2:$A$6912,0)),"-")</f>
        <v>38</v>
      </c>
      <c r="F1036" s="24" t="str">
        <f aca="false">IFERROR(INDEX(Positions!$E$2:$E$6912,MATCH($A1036&amp;"|32",Positions!$A$2:$A$6912,0)),"-")</f>
        <v>C</v>
      </c>
      <c r="G1036" s="24" t="str">
        <f aca="false">IFERROR(INDEX(Positions!$E$2:$E$6912,MATCH($A1036&amp;"|38",Positions!$A$2:$A$6912,0)),"-")</f>
        <v>A</v>
      </c>
      <c r="H1036" s="25" t="str">
        <f aca="false">F1036&amp;"-"&amp;G1036</f>
        <v>C-A</v>
      </c>
      <c r="I1036" s="24" t="n">
        <f aca="false">(F1036="G")+(G1036="G")</f>
        <v>0</v>
      </c>
      <c r="J1036" s="24" t="n">
        <f aca="false">(F1036="C")+(G1036="C")</f>
        <v>1</v>
      </c>
      <c r="K1036" s="25" t="n">
        <f aca="false">I1036+J1036</f>
        <v>1</v>
      </c>
    </row>
    <row r="1037" customFormat="false" ht="15" hidden="false" customHeight="false" outlineLevel="0" collapsed="false">
      <c r="A1037" s="24" t="s">
        <v>73</v>
      </c>
      <c r="B1037" s="24" t="s">
        <v>530</v>
      </c>
      <c r="C1037" s="24" t="s">
        <v>537</v>
      </c>
      <c r="D1037" s="24" t="n">
        <f aca="false">IFERROR(INDEX(Positions!$D$2:$D$6912,MATCH($A1037&amp;"|54",Positions!$A$2:$A$6912,0)),"-")</f>
        <v>54</v>
      </c>
      <c r="E1037" s="24" t="n">
        <f aca="false">IFERROR(INDEX(Positions!$D$2:$D$6912,MATCH($A1037&amp;"|58",Positions!$A$2:$A$6912,0)),"-")</f>
        <v>58</v>
      </c>
      <c r="F1037" s="24" t="str">
        <f aca="false">IFERROR(INDEX(Positions!$E$2:$E$6912,MATCH($A1037&amp;"|54",Positions!$A$2:$A$6912,0)),"-")</f>
        <v>U</v>
      </c>
      <c r="G1037" s="24" t="str">
        <f aca="false">IFERROR(INDEX(Positions!$E$2:$E$6912,MATCH($A1037&amp;"|58",Positions!$A$2:$A$6912,0)),"-")</f>
        <v>A</v>
      </c>
      <c r="H1037" s="25" t="str">
        <f aca="false">F1037&amp;"-"&amp;G1037</f>
        <v>U-A</v>
      </c>
      <c r="I1037" s="24" t="n">
        <f aca="false">(F1037="G")+(G1037="G")</f>
        <v>0</v>
      </c>
      <c r="J1037" s="24" t="n">
        <f aca="false">(F1037="C")+(G1037="C")</f>
        <v>0</v>
      </c>
      <c r="K1037" s="25" t="n">
        <f aca="false">I1037+J1037</f>
        <v>0</v>
      </c>
    </row>
    <row r="1038" customFormat="false" ht="15" hidden="false" customHeight="false" outlineLevel="0" collapsed="false">
      <c r="A1038" s="4" t="s">
        <v>74</v>
      </c>
      <c r="B1038" s="4" t="s">
        <v>412</v>
      </c>
      <c r="C1038" s="4" t="s">
        <v>517</v>
      </c>
      <c r="D1038" s="4" t="n">
        <f aca="false">IFERROR(INDEX(Positions!$D$2:$D$6912,MATCH($A1038&amp;"|1",Positions!$A$2:$A$6912,0)),"-")</f>
        <v>1</v>
      </c>
      <c r="E1038" s="4" t="n">
        <f aca="false">IFERROR(INDEX(Positions!$D$2:$D$6912,MATCH($A1038&amp;"|72",Positions!$A$2:$A$6912,0)),"-")</f>
        <v>71</v>
      </c>
      <c r="F1038" s="4" t="str">
        <f aca="false">IFERROR(INDEX(Positions!$E$2:$E$6912,MATCH($A1038&amp;"|1",Positions!$A$2:$A$6912,0)),"-")</f>
        <v>U</v>
      </c>
      <c r="G1038" s="4" t="str">
        <f aca="false">IFERROR(INDEX(Positions!$E$2:$E$6912,MATCH($A1038&amp;"|72",Positions!$A$2:$A$6912,0)),"-")</f>
        <v>A</v>
      </c>
      <c r="H1038" s="3" t="str">
        <f aca="false">F1038&amp;"-"&amp;G1038</f>
        <v>U-A</v>
      </c>
      <c r="I1038" s="4" t="n">
        <f aca="false">(F1038="G")+(G1038="G")</f>
        <v>0</v>
      </c>
      <c r="J1038" s="4" t="n">
        <f aca="false">(F1038="C")+(G1038="C")</f>
        <v>0</v>
      </c>
      <c r="K1038" s="3" t="n">
        <f aca="false">I1038+J1038</f>
        <v>0</v>
      </c>
    </row>
    <row r="1039" customFormat="false" ht="15" hidden="false" customHeight="false" outlineLevel="0" collapsed="false">
      <c r="A1039" s="4" t="s">
        <v>74</v>
      </c>
      <c r="B1039" s="4" t="s">
        <v>412</v>
      </c>
      <c r="C1039" s="4" t="s">
        <v>518</v>
      </c>
      <c r="D1039" s="4" t="n">
        <f aca="false">IFERROR(INDEX(Positions!$D$2:$D$6912,MATCH($A1039&amp;"|2",Positions!$A$2:$A$6912,0)),"-")</f>
        <v>2</v>
      </c>
      <c r="E1039" s="4" t="n">
        <f aca="false">IFERROR(INDEX(Positions!$D$2:$D$6912,MATCH($A1039&amp;"|71",Positions!$A$2:$A$6912,0)),"-")</f>
        <v>70</v>
      </c>
      <c r="F1039" s="4" t="str">
        <f aca="false">IFERROR(INDEX(Positions!$E$2:$E$6912,MATCH($A1039&amp;"|2",Positions!$A$2:$A$6912,0)),"-")</f>
        <v>C</v>
      </c>
      <c r="G1039" s="4" t="str">
        <f aca="false">IFERROR(INDEX(Positions!$E$2:$E$6912,MATCH($A1039&amp;"|71",Positions!$A$2:$A$6912,0)),"-")</f>
        <v>G</v>
      </c>
      <c r="H1039" s="3" t="str">
        <f aca="false">F1039&amp;"-"&amp;G1039</f>
        <v>C-G</v>
      </c>
      <c r="I1039" s="4" t="n">
        <f aca="false">(F1039="G")+(G1039="G")</f>
        <v>1</v>
      </c>
      <c r="J1039" s="4" t="n">
        <f aca="false">(F1039="C")+(G1039="C")</f>
        <v>1</v>
      </c>
      <c r="K1039" s="3" t="n">
        <f aca="false">I1039+J1039</f>
        <v>2</v>
      </c>
    </row>
    <row r="1040" customFormat="false" ht="15" hidden="false" customHeight="false" outlineLevel="0" collapsed="false">
      <c r="A1040" s="4" t="s">
        <v>74</v>
      </c>
      <c r="B1040" s="4" t="s">
        <v>412</v>
      </c>
      <c r="C1040" s="4" t="s">
        <v>386</v>
      </c>
      <c r="D1040" s="4" t="n">
        <f aca="false">IFERROR(INDEX(Positions!$D$2:$D$6912,MATCH($A1040&amp;"|3",Positions!$A$2:$A$6912,0)),"-")</f>
        <v>3</v>
      </c>
      <c r="E1040" s="4" t="n">
        <f aca="false">IFERROR(INDEX(Positions!$D$2:$D$6912,MATCH($A1040&amp;"|70",Positions!$A$2:$A$6912,0)),"-")</f>
        <v>69</v>
      </c>
      <c r="F1040" s="4" t="str">
        <f aca="false">IFERROR(INDEX(Positions!$E$2:$E$6912,MATCH($A1040&amp;"|3",Positions!$A$2:$A$6912,0)),"-")</f>
        <v>C</v>
      </c>
      <c r="G1040" s="4" t="str">
        <f aca="false">IFERROR(INDEX(Positions!$E$2:$E$6912,MATCH($A1040&amp;"|70",Positions!$A$2:$A$6912,0)),"-")</f>
        <v>G</v>
      </c>
      <c r="H1040" s="3" t="str">
        <f aca="false">F1040&amp;"-"&amp;G1040</f>
        <v>C-G</v>
      </c>
      <c r="I1040" s="4" t="n">
        <f aca="false">(F1040="G")+(G1040="G")</f>
        <v>1</v>
      </c>
      <c r="J1040" s="4" t="n">
        <f aca="false">(F1040="C")+(G1040="C")</f>
        <v>1</v>
      </c>
      <c r="K1040" s="3" t="n">
        <f aca="false">I1040+J1040</f>
        <v>2</v>
      </c>
    </row>
    <row r="1041" customFormat="false" ht="15" hidden="false" customHeight="false" outlineLevel="0" collapsed="false">
      <c r="A1041" s="4" t="s">
        <v>74</v>
      </c>
      <c r="B1041" s="4" t="s">
        <v>412</v>
      </c>
      <c r="C1041" s="4" t="s">
        <v>519</v>
      </c>
      <c r="D1041" s="4" t="n">
        <f aca="false">IFERROR(INDEX(Positions!$D$2:$D$6912,MATCH($A1041&amp;"|4",Positions!$A$2:$A$6912,0)),"-")</f>
        <v>4</v>
      </c>
      <c r="E1041" s="4" t="n">
        <f aca="false">IFERROR(INDEX(Positions!$D$2:$D$6912,MATCH($A1041&amp;"|69",Positions!$A$2:$A$6912,0)),"-")</f>
        <v>68</v>
      </c>
      <c r="F1041" s="4" t="str">
        <f aca="false">IFERROR(INDEX(Positions!$E$2:$E$6912,MATCH($A1041&amp;"|4",Positions!$A$2:$A$6912,0)),"-")</f>
        <v>C</v>
      </c>
      <c r="G1041" s="4" t="str">
        <f aca="false">IFERROR(INDEX(Positions!$E$2:$E$6912,MATCH($A1041&amp;"|69",Positions!$A$2:$A$6912,0)),"-")</f>
        <v>G</v>
      </c>
      <c r="H1041" s="3" t="str">
        <f aca="false">F1041&amp;"-"&amp;G1041</f>
        <v>C-G</v>
      </c>
      <c r="I1041" s="4" t="n">
        <f aca="false">(F1041="G")+(G1041="G")</f>
        <v>1</v>
      </c>
      <c r="J1041" s="4" t="n">
        <f aca="false">(F1041="C")+(G1041="C")</f>
        <v>1</v>
      </c>
      <c r="K1041" s="3" t="n">
        <f aca="false">I1041+J1041</f>
        <v>2</v>
      </c>
    </row>
    <row r="1042" customFormat="false" ht="15" hidden="false" customHeight="false" outlineLevel="0" collapsed="false">
      <c r="A1042" s="4" t="s">
        <v>74</v>
      </c>
      <c r="B1042" s="4" t="s">
        <v>412</v>
      </c>
      <c r="C1042" s="4" t="s">
        <v>283</v>
      </c>
      <c r="D1042" s="4" t="n">
        <f aca="false">IFERROR(INDEX(Positions!$D$2:$D$6912,MATCH($A1042&amp;"|5",Positions!$A$2:$A$6912,0)),"-")</f>
        <v>5</v>
      </c>
      <c r="E1042" s="4" t="n">
        <f aca="false">IFERROR(INDEX(Positions!$D$2:$D$6912,MATCH($A1042&amp;"|68",Positions!$A$2:$A$6912,0)),"-")</f>
        <v>67</v>
      </c>
      <c r="F1042" s="4" t="str">
        <f aca="false">IFERROR(INDEX(Positions!$E$2:$E$6912,MATCH($A1042&amp;"|5",Positions!$A$2:$A$6912,0)),"-")</f>
        <v>U</v>
      </c>
      <c r="G1042" s="4" t="str">
        <f aca="false">IFERROR(INDEX(Positions!$E$2:$E$6912,MATCH($A1042&amp;"|68",Positions!$A$2:$A$6912,0)),"-")</f>
        <v>A</v>
      </c>
      <c r="H1042" s="3" t="str">
        <f aca="false">F1042&amp;"-"&amp;G1042</f>
        <v>U-A</v>
      </c>
      <c r="I1042" s="4" t="n">
        <f aca="false">(F1042="G")+(G1042="G")</f>
        <v>0</v>
      </c>
      <c r="J1042" s="4" t="n">
        <f aca="false">(F1042="C")+(G1042="C")</f>
        <v>0</v>
      </c>
      <c r="K1042" s="3" t="n">
        <f aca="false">I1042+J1042</f>
        <v>0</v>
      </c>
    </row>
    <row r="1043" customFormat="false" ht="15" hidden="false" customHeight="false" outlineLevel="0" collapsed="false">
      <c r="A1043" s="4" t="s">
        <v>74</v>
      </c>
      <c r="B1043" s="4" t="s">
        <v>412</v>
      </c>
      <c r="C1043" s="4" t="s">
        <v>520</v>
      </c>
      <c r="D1043" s="4" t="n">
        <f aca="false">IFERROR(INDEX(Positions!$D$2:$D$6912,MATCH($A1043&amp;"|6",Positions!$A$2:$A$6912,0)),"-")</f>
        <v>6</v>
      </c>
      <c r="E1043" s="4" t="n">
        <f aca="false">IFERROR(INDEX(Positions!$D$2:$D$6912,MATCH($A1043&amp;"|67",Positions!$A$2:$A$6912,0)),"-")</f>
        <v>66</v>
      </c>
      <c r="F1043" s="4" t="str">
        <f aca="false">IFERROR(INDEX(Positions!$E$2:$E$6912,MATCH($A1043&amp;"|6",Positions!$A$2:$A$6912,0)),"-")</f>
        <v>G</v>
      </c>
      <c r="G1043" s="4" t="str">
        <f aca="false">IFERROR(INDEX(Positions!$E$2:$E$6912,MATCH($A1043&amp;"|67",Positions!$A$2:$A$6912,0)),"-")</f>
        <v>C</v>
      </c>
      <c r="H1043" s="3" t="str">
        <f aca="false">F1043&amp;"-"&amp;G1043</f>
        <v>G-C</v>
      </c>
      <c r="I1043" s="4" t="n">
        <f aca="false">(F1043="G")+(G1043="G")</f>
        <v>1</v>
      </c>
      <c r="J1043" s="4" t="n">
        <f aca="false">(F1043="C")+(G1043="C")</f>
        <v>1</v>
      </c>
      <c r="K1043" s="3" t="n">
        <f aca="false">I1043+J1043</f>
        <v>2</v>
      </c>
    </row>
    <row r="1044" customFormat="false" ht="15" hidden="false" customHeight="false" outlineLevel="0" collapsed="false">
      <c r="A1044" s="4" t="s">
        <v>74</v>
      </c>
      <c r="B1044" s="4" t="s">
        <v>412</v>
      </c>
      <c r="C1044" s="4" t="s">
        <v>521</v>
      </c>
      <c r="D1044" s="4" t="n">
        <f aca="false">IFERROR(INDEX(Positions!$D$2:$D$6912,MATCH($A1044&amp;"|7",Positions!$A$2:$A$6912,0)),"-")</f>
        <v>7</v>
      </c>
      <c r="E1044" s="4" t="n">
        <f aca="false">IFERROR(INDEX(Positions!$D$2:$D$6912,MATCH($A1044&amp;"|66",Positions!$A$2:$A$6912,0)),"-")</f>
        <v>65</v>
      </c>
      <c r="F1044" s="4" t="str">
        <f aca="false">IFERROR(INDEX(Positions!$E$2:$E$6912,MATCH($A1044&amp;"|7",Positions!$A$2:$A$6912,0)),"-")</f>
        <v>G</v>
      </c>
      <c r="G1044" s="4" t="str">
        <f aca="false">IFERROR(INDEX(Positions!$E$2:$E$6912,MATCH($A1044&amp;"|66",Positions!$A$2:$A$6912,0)),"-")</f>
        <v>U</v>
      </c>
      <c r="H1044" s="3" t="str">
        <f aca="false">F1044&amp;"-"&amp;G1044</f>
        <v>G-U</v>
      </c>
      <c r="I1044" s="4" t="n">
        <f aca="false">(F1044="G")+(G1044="G")</f>
        <v>1</v>
      </c>
      <c r="J1044" s="4" t="n">
        <f aca="false">(F1044="C")+(G1044="C")</f>
        <v>0</v>
      </c>
      <c r="K1044" s="3" t="n">
        <f aca="false">I1044+J1044</f>
        <v>1</v>
      </c>
    </row>
    <row r="1045" customFormat="false" ht="15" hidden="false" customHeight="false" outlineLevel="0" collapsed="false">
      <c r="A1045" s="4" t="s">
        <v>74</v>
      </c>
      <c r="B1045" s="4" t="s">
        <v>425</v>
      </c>
      <c r="C1045" s="4" t="s">
        <v>522</v>
      </c>
      <c r="D1045" s="4" t="n">
        <f aca="false">IFERROR(INDEX(Positions!$D$2:$D$6912,MATCH($A1045&amp;"|10",Positions!$A$2:$A$6912,0)),"-")</f>
        <v>10</v>
      </c>
      <c r="E1045" s="4" t="n">
        <f aca="false">IFERROR(INDEX(Positions!$D$2:$D$6912,MATCH($A1045&amp;"|25",Positions!$A$2:$A$6912,0)),"-")</f>
        <v>25</v>
      </c>
      <c r="F1045" s="4" t="str">
        <f aca="false">IFERROR(INDEX(Positions!$E$2:$E$6912,MATCH($A1045&amp;"|10",Positions!$A$2:$A$6912,0)),"-")</f>
        <v>G</v>
      </c>
      <c r="G1045" s="4" t="str">
        <f aca="false">IFERROR(INDEX(Positions!$E$2:$E$6912,MATCH($A1045&amp;"|25",Positions!$A$2:$A$6912,0)),"-")</f>
        <v>U</v>
      </c>
      <c r="H1045" s="3" t="str">
        <f aca="false">F1045&amp;"-"&amp;G1045</f>
        <v>G-U</v>
      </c>
      <c r="I1045" s="4" t="n">
        <f aca="false">(F1045="G")+(G1045="G")</f>
        <v>1</v>
      </c>
      <c r="J1045" s="4" t="n">
        <f aca="false">(F1045="C")+(G1045="C")</f>
        <v>0</v>
      </c>
      <c r="K1045" s="3" t="n">
        <f aca="false">I1045+J1045</f>
        <v>1</v>
      </c>
    </row>
    <row r="1046" customFormat="false" ht="15" hidden="false" customHeight="false" outlineLevel="0" collapsed="false">
      <c r="A1046" s="4" t="s">
        <v>74</v>
      </c>
      <c r="B1046" s="4" t="s">
        <v>425</v>
      </c>
      <c r="C1046" s="4" t="s">
        <v>523</v>
      </c>
      <c r="D1046" s="4" t="n">
        <f aca="false">IFERROR(INDEX(Positions!$D$2:$D$6912,MATCH($A1046&amp;"|11",Positions!$A$2:$A$6912,0)),"-")</f>
        <v>11</v>
      </c>
      <c r="E1046" s="4" t="n">
        <f aca="false">IFERROR(INDEX(Positions!$D$2:$D$6912,MATCH($A1046&amp;"|24",Positions!$A$2:$A$6912,0)),"-")</f>
        <v>24</v>
      </c>
      <c r="F1046" s="4" t="str">
        <f aca="false">IFERROR(INDEX(Positions!$E$2:$E$6912,MATCH($A1046&amp;"|11",Positions!$A$2:$A$6912,0)),"-")</f>
        <v>U</v>
      </c>
      <c r="G1046" s="4" t="str">
        <f aca="false">IFERROR(INDEX(Positions!$E$2:$E$6912,MATCH($A1046&amp;"|24",Positions!$A$2:$A$6912,0)),"-")</f>
        <v>A</v>
      </c>
      <c r="H1046" s="3" t="str">
        <f aca="false">F1046&amp;"-"&amp;G1046</f>
        <v>U-A</v>
      </c>
      <c r="I1046" s="4" t="n">
        <f aca="false">(F1046="G")+(G1046="G")</f>
        <v>0</v>
      </c>
      <c r="J1046" s="4" t="n">
        <f aca="false">(F1046="C")+(G1046="C")</f>
        <v>0</v>
      </c>
      <c r="K1046" s="3" t="n">
        <f aca="false">I1046+J1046</f>
        <v>0</v>
      </c>
    </row>
    <row r="1047" customFormat="false" ht="15" hidden="false" customHeight="false" outlineLevel="0" collapsed="false">
      <c r="A1047" s="4" t="s">
        <v>74</v>
      </c>
      <c r="B1047" s="4" t="s">
        <v>425</v>
      </c>
      <c r="C1047" s="4" t="s">
        <v>250</v>
      </c>
      <c r="D1047" s="4" t="n">
        <f aca="false">IFERROR(INDEX(Positions!$D$2:$D$6912,MATCH($A1047&amp;"|12",Positions!$A$2:$A$6912,0)),"-")</f>
        <v>12</v>
      </c>
      <c r="E1047" s="4" t="n">
        <f aca="false">IFERROR(INDEX(Positions!$D$2:$D$6912,MATCH($A1047&amp;"|23",Positions!$A$2:$A$6912,0)),"-")</f>
        <v>23</v>
      </c>
      <c r="F1047" s="4" t="str">
        <f aca="false">IFERROR(INDEX(Positions!$E$2:$E$6912,MATCH($A1047&amp;"|12",Positions!$A$2:$A$6912,0)),"-")</f>
        <v>C</v>
      </c>
      <c r="G1047" s="4" t="str">
        <f aca="false">IFERROR(INDEX(Positions!$E$2:$E$6912,MATCH($A1047&amp;"|23",Positions!$A$2:$A$6912,0)),"-")</f>
        <v>G</v>
      </c>
      <c r="H1047" s="3" t="str">
        <f aca="false">F1047&amp;"-"&amp;G1047</f>
        <v>C-G</v>
      </c>
      <c r="I1047" s="4" t="n">
        <f aca="false">(F1047="G")+(G1047="G")</f>
        <v>1</v>
      </c>
      <c r="J1047" s="4" t="n">
        <f aca="false">(F1047="C")+(G1047="C")</f>
        <v>1</v>
      </c>
      <c r="K1047" s="3" t="n">
        <f aca="false">I1047+J1047</f>
        <v>2</v>
      </c>
    </row>
    <row r="1048" customFormat="false" ht="15" hidden="false" customHeight="false" outlineLevel="0" collapsed="false">
      <c r="A1048" s="4" t="s">
        <v>74</v>
      </c>
      <c r="B1048" s="4" t="s">
        <v>425</v>
      </c>
      <c r="C1048" s="4" t="s">
        <v>154</v>
      </c>
      <c r="D1048" s="4" t="n">
        <f aca="false">IFERROR(INDEX(Positions!$D$2:$D$6912,MATCH($A1048&amp;"|13",Positions!$A$2:$A$6912,0)),"-")</f>
        <v>13</v>
      </c>
      <c r="E1048" s="4" t="n">
        <f aca="false">IFERROR(INDEX(Positions!$D$2:$D$6912,MATCH($A1048&amp;"|22",Positions!$A$2:$A$6912,0)),"-")</f>
        <v>22</v>
      </c>
      <c r="F1048" s="4" t="str">
        <f aca="false">IFERROR(INDEX(Positions!$E$2:$E$6912,MATCH($A1048&amp;"|13",Positions!$A$2:$A$6912,0)),"-")</f>
        <v>U</v>
      </c>
      <c r="G1048" s="4" t="str">
        <f aca="false">IFERROR(INDEX(Positions!$E$2:$E$6912,MATCH($A1048&amp;"|22",Positions!$A$2:$A$6912,0)),"-")</f>
        <v>G</v>
      </c>
      <c r="H1048" s="3" t="str">
        <f aca="false">F1048&amp;"-"&amp;G1048</f>
        <v>U-G</v>
      </c>
      <c r="I1048" s="4" t="n">
        <f aca="false">(F1048="G")+(G1048="G")</f>
        <v>1</v>
      </c>
      <c r="J1048" s="4" t="n">
        <f aca="false">(F1048="C")+(G1048="C")</f>
        <v>0</v>
      </c>
      <c r="K1048" s="3" t="n">
        <f aca="false">I1048+J1048</f>
        <v>1</v>
      </c>
    </row>
    <row r="1049" customFormat="false" ht="15" hidden="false" customHeight="false" outlineLevel="0" collapsed="false">
      <c r="A1049" s="4" t="s">
        <v>74</v>
      </c>
      <c r="B1049" s="4" t="s">
        <v>446</v>
      </c>
      <c r="C1049" s="4" t="s">
        <v>524</v>
      </c>
      <c r="D1049" s="4" t="n">
        <f aca="false">IFERROR(INDEX(Positions!$D$2:$D$6912,MATCH($A1049&amp;"|27",Positions!$A$2:$A$6912,0)),"-")</f>
        <v>27</v>
      </c>
      <c r="E1049" s="4" t="n">
        <f aca="false">IFERROR(INDEX(Positions!$D$2:$D$6912,MATCH($A1049&amp;"|43",Positions!$A$2:$A$6912,0)),"-")</f>
        <v>43</v>
      </c>
      <c r="F1049" s="4" t="str">
        <f aca="false">IFERROR(INDEX(Positions!$E$2:$E$6912,MATCH($A1049&amp;"|27",Positions!$A$2:$A$6912,0)),"-")</f>
        <v>C</v>
      </c>
      <c r="G1049" s="4" t="str">
        <f aca="false">IFERROR(INDEX(Positions!$E$2:$E$6912,MATCH($A1049&amp;"|43",Positions!$A$2:$A$6912,0)),"-")</f>
        <v>G</v>
      </c>
      <c r="H1049" s="3" t="str">
        <f aca="false">F1049&amp;"-"&amp;G1049</f>
        <v>C-G</v>
      </c>
      <c r="I1049" s="4" t="n">
        <f aca="false">(F1049="G")+(G1049="G")</f>
        <v>1</v>
      </c>
      <c r="J1049" s="4" t="n">
        <f aca="false">(F1049="C")+(G1049="C")</f>
        <v>1</v>
      </c>
      <c r="K1049" s="3" t="n">
        <f aca="false">I1049+J1049</f>
        <v>2</v>
      </c>
    </row>
    <row r="1050" customFormat="false" ht="15" hidden="false" customHeight="false" outlineLevel="0" collapsed="false">
      <c r="A1050" s="4" t="s">
        <v>74</v>
      </c>
      <c r="B1050" s="4" t="s">
        <v>446</v>
      </c>
      <c r="C1050" s="4" t="s">
        <v>525</v>
      </c>
      <c r="D1050" s="4" t="n">
        <f aca="false">IFERROR(INDEX(Positions!$D$2:$D$6912,MATCH($A1050&amp;"|28",Positions!$A$2:$A$6912,0)),"-")</f>
        <v>28</v>
      </c>
      <c r="E1050" s="4" t="n">
        <f aca="false">IFERROR(INDEX(Positions!$D$2:$D$6912,MATCH($A1050&amp;"|42",Positions!$A$2:$A$6912,0)),"-")</f>
        <v>42</v>
      </c>
      <c r="F1050" s="4" t="str">
        <f aca="false">IFERROR(INDEX(Positions!$E$2:$E$6912,MATCH($A1050&amp;"|28",Positions!$A$2:$A$6912,0)),"-")</f>
        <v>G</v>
      </c>
      <c r="G1050" s="4" t="str">
        <f aca="false">IFERROR(INDEX(Positions!$E$2:$E$6912,MATCH($A1050&amp;"|42",Positions!$A$2:$A$6912,0)),"-")</f>
        <v>C</v>
      </c>
      <c r="H1050" s="3" t="str">
        <f aca="false">F1050&amp;"-"&amp;G1050</f>
        <v>G-C</v>
      </c>
      <c r="I1050" s="4" t="n">
        <f aca="false">(F1050="G")+(G1050="G")</f>
        <v>1</v>
      </c>
      <c r="J1050" s="4" t="n">
        <f aca="false">(F1050="C")+(G1050="C")</f>
        <v>1</v>
      </c>
      <c r="K1050" s="3" t="n">
        <f aca="false">I1050+J1050</f>
        <v>2</v>
      </c>
    </row>
    <row r="1051" customFormat="false" ht="15" hidden="false" customHeight="false" outlineLevel="0" collapsed="false">
      <c r="A1051" s="4" t="s">
        <v>74</v>
      </c>
      <c r="B1051" s="4" t="s">
        <v>446</v>
      </c>
      <c r="C1051" s="4" t="s">
        <v>256</v>
      </c>
      <c r="D1051" s="4" t="n">
        <f aca="false">IFERROR(INDEX(Positions!$D$2:$D$6912,MATCH($A1051&amp;"|29",Positions!$A$2:$A$6912,0)),"-")</f>
        <v>29</v>
      </c>
      <c r="E1051" s="4" t="n">
        <f aca="false">IFERROR(INDEX(Positions!$D$2:$D$6912,MATCH($A1051&amp;"|41",Positions!$A$2:$A$6912,0)),"-")</f>
        <v>41</v>
      </c>
      <c r="F1051" s="4" t="str">
        <f aca="false">IFERROR(INDEX(Positions!$E$2:$E$6912,MATCH($A1051&amp;"|29",Positions!$A$2:$A$6912,0)),"-")</f>
        <v>G</v>
      </c>
      <c r="G1051" s="4" t="str">
        <f aca="false">IFERROR(INDEX(Positions!$E$2:$E$6912,MATCH($A1051&amp;"|41",Positions!$A$2:$A$6912,0)),"-")</f>
        <v>C</v>
      </c>
      <c r="H1051" s="3" t="str">
        <f aca="false">F1051&amp;"-"&amp;G1051</f>
        <v>G-C</v>
      </c>
      <c r="I1051" s="4" t="n">
        <f aca="false">(F1051="G")+(G1051="G")</f>
        <v>1</v>
      </c>
      <c r="J1051" s="4" t="n">
        <f aca="false">(F1051="C")+(G1051="C")</f>
        <v>1</v>
      </c>
      <c r="K1051" s="3" t="n">
        <f aca="false">I1051+J1051</f>
        <v>2</v>
      </c>
    </row>
    <row r="1052" customFormat="false" ht="15" hidden="false" customHeight="false" outlineLevel="0" collapsed="false">
      <c r="A1052" s="4" t="s">
        <v>74</v>
      </c>
      <c r="B1052" s="4" t="s">
        <v>446</v>
      </c>
      <c r="C1052" s="4" t="s">
        <v>526</v>
      </c>
      <c r="D1052" s="4" t="n">
        <f aca="false">IFERROR(INDEX(Positions!$D$2:$D$6912,MATCH($A1052&amp;"|30",Positions!$A$2:$A$6912,0)),"-")</f>
        <v>30</v>
      </c>
      <c r="E1052" s="4" t="n">
        <f aca="false">IFERROR(INDEX(Positions!$D$2:$D$6912,MATCH($A1052&amp;"|40",Positions!$A$2:$A$6912,0)),"-")</f>
        <v>40</v>
      </c>
      <c r="F1052" s="4" t="str">
        <f aca="false">IFERROR(INDEX(Positions!$E$2:$E$6912,MATCH($A1052&amp;"|30",Positions!$A$2:$A$6912,0)),"-")</f>
        <v>C</v>
      </c>
      <c r="G1052" s="4" t="str">
        <f aca="false">IFERROR(INDEX(Positions!$E$2:$E$6912,MATCH($A1052&amp;"|40",Positions!$A$2:$A$6912,0)),"-")</f>
        <v>G</v>
      </c>
      <c r="H1052" s="3" t="str">
        <f aca="false">F1052&amp;"-"&amp;G1052</f>
        <v>C-G</v>
      </c>
      <c r="I1052" s="4" t="n">
        <f aca="false">(F1052="G")+(G1052="G")</f>
        <v>1</v>
      </c>
      <c r="J1052" s="4" t="n">
        <f aca="false">(F1052="C")+(G1052="C")</f>
        <v>1</v>
      </c>
      <c r="K1052" s="3" t="n">
        <f aca="false">I1052+J1052</f>
        <v>2</v>
      </c>
    </row>
    <row r="1053" customFormat="false" ht="15" hidden="false" customHeight="false" outlineLevel="0" collapsed="false">
      <c r="A1053" s="4" t="s">
        <v>74</v>
      </c>
      <c r="B1053" s="4" t="s">
        <v>446</v>
      </c>
      <c r="C1053" s="4" t="s">
        <v>273</v>
      </c>
      <c r="D1053" s="4" t="n">
        <f aca="false">IFERROR(INDEX(Positions!$D$2:$D$6912,MATCH($A1053&amp;"|31",Positions!$A$2:$A$6912,0)),"-")</f>
        <v>31</v>
      </c>
      <c r="E1053" s="4" t="n">
        <f aca="false">IFERROR(INDEX(Positions!$D$2:$D$6912,MATCH($A1053&amp;"|39",Positions!$A$2:$A$6912,0)),"-")</f>
        <v>39</v>
      </c>
      <c r="F1053" s="4" t="str">
        <f aca="false">IFERROR(INDEX(Positions!$E$2:$E$6912,MATCH($A1053&amp;"|31",Positions!$A$2:$A$6912,0)),"-")</f>
        <v>G</v>
      </c>
      <c r="G1053" s="4" t="str">
        <f aca="false">IFERROR(INDEX(Positions!$E$2:$E$6912,MATCH($A1053&amp;"|39",Positions!$A$2:$A$6912,0)),"-")</f>
        <v>C</v>
      </c>
      <c r="H1053" s="3" t="str">
        <f aca="false">F1053&amp;"-"&amp;G1053</f>
        <v>G-C</v>
      </c>
      <c r="I1053" s="4" t="n">
        <f aca="false">(F1053="G")+(G1053="G")</f>
        <v>1</v>
      </c>
      <c r="J1053" s="4" t="n">
        <f aca="false">(F1053="C")+(G1053="C")</f>
        <v>1</v>
      </c>
      <c r="K1053" s="3" t="n">
        <f aca="false">I1053+J1053</f>
        <v>2</v>
      </c>
    </row>
    <row r="1054" customFormat="false" ht="15" hidden="false" customHeight="false" outlineLevel="0" collapsed="false">
      <c r="A1054" s="4" t="s">
        <v>74</v>
      </c>
      <c r="B1054" s="4" t="s">
        <v>471</v>
      </c>
      <c r="C1054" s="4" t="s">
        <v>367</v>
      </c>
      <c r="D1054" s="4" t="n">
        <f aca="false">IFERROR(INDEX(Positions!$D$2:$D$6912,MATCH($A1054&amp;"|49",Positions!$A$2:$A$6912,0)),"-")</f>
        <v>48</v>
      </c>
      <c r="E1054" s="4" t="n">
        <f aca="false">IFERROR(INDEX(Positions!$D$2:$D$6912,MATCH($A1054&amp;"|65",Positions!$A$2:$A$6912,0)),"-")</f>
        <v>64</v>
      </c>
      <c r="F1054" s="4" t="str">
        <f aca="false">IFERROR(INDEX(Positions!$E$2:$E$6912,MATCH($A1054&amp;"|49",Positions!$A$2:$A$6912,0)),"-")</f>
        <v>C</v>
      </c>
      <c r="G1054" s="4" t="str">
        <f aca="false">IFERROR(INDEX(Positions!$E$2:$E$6912,MATCH($A1054&amp;"|65",Positions!$A$2:$A$6912,0)),"-")</f>
        <v>G</v>
      </c>
      <c r="H1054" s="3" t="str">
        <f aca="false">F1054&amp;"-"&amp;G1054</f>
        <v>C-G</v>
      </c>
      <c r="I1054" s="4" t="n">
        <f aca="false">(F1054="G")+(G1054="G")</f>
        <v>1</v>
      </c>
      <c r="J1054" s="4" t="n">
        <f aca="false">(F1054="C")+(G1054="C")</f>
        <v>1</v>
      </c>
      <c r="K1054" s="3" t="n">
        <f aca="false">I1054+J1054</f>
        <v>2</v>
      </c>
    </row>
    <row r="1055" customFormat="false" ht="15" hidden="false" customHeight="false" outlineLevel="0" collapsed="false">
      <c r="A1055" s="4" t="s">
        <v>74</v>
      </c>
      <c r="B1055" s="4" t="s">
        <v>471</v>
      </c>
      <c r="C1055" s="4" t="s">
        <v>233</v>
      </c>
      <c r="D1055" s="4" t="n">
        <f aca="false">IFERROR(INDEX(Positions!$D$2:$D$6912,MATCH($A1055&amp;"|50",Positions!$A$2:$A$6912,0)),"-")</f>
        <v>49</v>
      </c>
      <c r="E1055" s="4" t="n">
        <f aca="false">IFERROR(INDEX(Positions!$D$2:$D$6912,MATCH($A1055&amp;"|64",Positions!$A$2:$A$6912,0)),"-")</f>
        <v>63</v>
      </c>
      <c r="F1055" s="4" t="str">
        <f aca="false">IFERROR(INDEX(Positions!$E$2:$E$6912,MATCH($A1055&amp;"|50",Positions!$A$2:$A$6912,0)),"-")</f>
        <v>C</v>
      </c>
      <c r="G1055" s="4" t="str">
        <f aca="false">IFERROR(INDEX(Positions!$E$2:$E$6912,MATCH($A1055&amp;"|64",Positions!$A$2:$A$6912,0)),"-")</f>
        <v>G</v>
      </c>
      <c r="H1055" s="3" t="str">
        <f aca="false">F1055&amp;"-"&amp;G1055</f>
        <v>C-G</v>
      </c>
      <c r="I1055" s="4" t="n">
        <f aca="false">(F1055="G")+(G1055="G")</f>
        <v>1</v>
      </c>
      <c r="J1055" s="4" t="n">
        <f aca="false">(F1055="C")+(G1055="C")</f>
        <v>1</v>
      </c>
      <c r="K1055" s="3" t="n">
        <f aca="false">I1055+J1055</f>
        <v>2</v>
      </c>
    </row>
    <row r="1056" customFormat="false" ht="15" hidden="false" customHeight="false" outlineLevel="0" collapsed="false">
      <c r="A1056" s="4" t="s">
        <v>74</v>
      </c>
      <c r="B1056" s="4" t="s">
        <v>471</v>
      </c>
      <c r="C1056" s="4" t="s">
        <v>527</v>
      </c>
      <c r="D1056" s="4" t="n">
        <f aca="false">IFERROR(INDEX(Positions!$D$2:$D$6912,MATCH($A1056&amp;"|51",Positions!$A$2:$A$6912,0)),"-")</f>
        <v>50</v>
      </c>
      <c r="E1056" s="4" t="n">
        <f aca="false">IFERROR(INDEX(Positions!$D$2:$D$6912,MATCH($A1056&amp;"|63",Positions!$A$2:$A$6912,0)),"-")</f>
        <v>62</v>
      </c>
      <c r="F1056" s="4" t="str">
        <f aca="false">IFERROR(INDEX(Positions!$E$2:$E$6912,MATCH($A1056&amp;"|51",Positions!$A$2:$A$6912,0)),"-")</f>
        <v>G</v>
      </c>
      <c r="G1056" s="4" t="str">
        <f aca="false">IFERROR(INDEX(Positions!$E$2:$E$6912,MATCH($A1056&amp;"|63",Positions!$A$2:$A$6912,0)),"-")</f>
        <v>C</v>
      </c>
      <c r="H1056" s="3" t="str">
        <f aca="false">F1056&amp;"-"&amp;G1056</f>
        <v>G-C</v>
      </c>
      <c r="I1056" s="4" t="n">
        <f aca="false">(F1056="G")+(G1056="G")</f>
        <v>1</v>
      </c>
      <c r="J1056" s="4" t="n">
        <f aca="false">(F1056="C")+(G1056="C")</f>
        <v>1</v>
      </c>
      <c r="K1056" s="3" t="n">
        <f aca="false">I1056+J1056</f>
        <v>2</v>
      </c>
    </row>
    <row r="1057" customFormat="false" ht="15" hidden="false" customHeight="false" outlineLevel="0" collapsed="false">
      <c r="A1057" s="4" t="s">
        <v>74</v>
      </c>
      <c r="B1057" s="4" t="s">
        <v>471</v>
      </c>
      <c r="C1057" s="4" t="s">
        <v>528</v>
      </c>
      <c r="D1057" s="4" t="n">
        <f aca="false">IFERROR(INDEX(Positions!$D$2:$D$6912,MATCH($A1057&amp;"|52",Positions!$A$2:$A$6912,0)),"-")</f>
        <v>51</v>
      </c>
      <c r="E1057" s="4" t="n">
        <f aca="false">IFERROR(INDEX(Positions!$D$2:$D$6912,MATCH($A1057&amp;"|62",Positions!$A$2:$A$6912,0)),"-")</f>
        <v>61</v>
      </c>
      <c r="F1057" s="4" t="str">
        <f aca="false">IFERROR(INDEX(Positions!$E$2:$E$6912,MATCH($A1057&amp;"|52",Positions!$A$2:$A$6912,0)),"-")</f>
        <v>G</v>
      </c>
      <c r="G1057" s="4" t="str">
        <f aca="false">IFERROR(INDEX(Positions!$E$2:$E$6912,MATCH($A1057&amp;"|62",Positions!$A$2:$A$6912,0)),"-")</f>
        <v>C</v>
      </c>
      <c r="H1057" s="3" t="str">
        <f aca="false">F1057&amp;"-"&amp;G1057</f>
        <v>G-C</v>
      </c>
      <c r="I1057" s="4" t="n">
        <f aca="false">(F1057="G")+(G1057="G")</f>
        <v>1</v>
      </c>
      <c r="J1057" s="4" t="n">
        <f aca="false">(F1057="C")+(G1057="C")</f>
        <v>1</v>
      </c>
      <c r="K1057" s="3" t="n">
        <f aca="false">I1057+J1057</f>
        <v>2</v>
      </c>
    </row>
    <row r="1058" customFormat="false" ht="15" hidden="false" customHeight="false" outlineLevel="0" collapsed="false">
      <c r="A1058" s="4" t="s">
        <v>74</v>
      </c>
      <c r="B1058" s="4" t="s">
        <v>471</v>
      </c>
      <c r="C1058" s="4" t="s">
        <v>529</v>
      </c>
      <c r="D1058" s="4" t="n">
        <f aca="false">IFERROR(INDEX(Positions!$D$2:$D$6912,MATCH($A1058&amp;"|53",Positions!$A$2:$A$6912,0)),"-")</f>
        <v>52</v>
      </c>
      <c r="E1058" s="4" t="n">
        <f aca="false">IFERROR(INDEX(Positions!$D$2:$D$6912,MATCH($A1058&amp;"|61",Positions!$A$2:$A$6912,0)),"-")</f>
        <v>60</v>
      </c>
      <c r="F1058" s="4" t="str">
        <f aca="false">IFERROR(INDEX(Positions!$E$2:$E$6912,MATCH($A1058&amp;"|53",Positions!$A$2:$A$6912,0)),"-")</f>
        <v>G</v>
      </c>
      <c r="G1058" s="4" t="str">
        <f aca="false">IFERROR(INDEX(Positions!$E$2:$E$6912,MATCH($A1058&amp;"|61",Positions!$A$2:$A$6912,0)),"-")</f>
        <v>C</v>
      </c>
      <c r="H1058" s="3" t="str">
        <f aca="false">F1058&amp;"-"&amp;G1058</f>
        <v>G-C</v>
      </c>
      <c r="I1058" s="4" t="n">
        <f aca="false">(F1058="G")+(G1058="G")</f>
        <v>1</v>
      </c>
      <c r="J1058" s="4" t="n">
        <f aca="false">(F1058="C")+(G1058="C")</f>
        <v>1</v>
      </c>
      <c r="K1058" s="3" t="n">
        <f aca="false">I1058+J1058</f>
        <v>2</v>
      </c>
    </row>
    <row r="1059" customFormat="false" ht="15" hidden="false" customHeight="false" outlineLevel="0" collapsed="false">
      <c r="A1059" s="24" t="s">
        <v>74</v>
      </c>
      <c r="B1059" s="24" t="s">
        <v>530</v>
      </c>
      <c r="C1059" s="24" t="s">
        <v>531</v>
      </c>
      <c r="D1059" s="24" t="n">
        <f aca="false">IFERROR(INDEX(Positions!$D$2:$D$6912,MATCH($A1059&amp;"|8",Positions!$A$2:$A$6912,0)),"-")</f>
        <v>8</v>
      </c>
      <c r="E1059" s="24" t="n">
        <f aca="false">IFERROR(INDEX(Positions!$D$2:$D$6912,MATCH($A1059&amp;"|14",Positions!$A$2:$A$6912,0)),"-")</f>
        <v>14</v>
      </c>
      <c r="F1059" s="24" t="str">
        <f aca="false">IFERROR(INDEX(Positions!$E$2:$E$6912,MATCH($A1059&amp;"|8",Positions!$A$2:$A$6912,0)),"-")</f>
        <v>U</v>
      </c>
      <c r="G1059" s="24" t="str">
        <f aca="false">IFERROR(INDEX(Positions!$E$2:$E$6912,MATCH($A1059&amp;"|14",Positions!$A$2:$A$6912,0)),"-")</f>
        <v>A</v>
      </c>
      <c r="H1059" s="25" t="str">
        <f aca="false">F1059&amp;"-"&amp;G1059</f>
        <v>U-A</v>
      </c>
      <c r="I1059" s="24" t="n">
        <f aca="false">(F1059="G")+(G1059="G")</f>
        <v>0</v>
      </c>
      <c r="J1059" s="24" t="n">
        <f aca="false">(F1059="C")+(G1059="C")</f>
        <v>0</v>
      </c>
      <c r="K1059" s="25" t="n">
        <f aca="false">I1059+J1059</f>
        <v>0</v>
      </c>
    </row>
    <row r="1060" customFormat="false" ht="15" hidden="false" customHeight="false" outlineLevel="0" collapsed="false">
      <c r="A1060" s="24" t="s">
        <v>74</v>
      </c>
      <c r="B1060" s="24" t="s">
        <v>530</v>
      </c>
      <c r="C1060" s="24" t="s">
        <v>532</v>
      </c>
      <c r="D1060" s="24" t="n">
        <f aca="false">IFERROR(INDEX(Positions!$D$2:$D$6912,MATCH($A1060&amp;"|15",Positions!$A$2:$A$6912,0)),"-")</f>
        <v>15</v>
      </c>
      <c r="E1060" s="24" t="n">
        <f aca="false">IFERROR(INDEX(Positions!$D$2:$D$6912,MATCH($A1060&amp;"|48",Positions!$A$2:$A$6912,0)),"-")</f>
        <v>47</v>
      </c>
      <c r="F1060" s="24" t="str">
        <f aca="false">IFERROR(INDEX(Positions!$E$2:$E$6912,MATCH($A1060&amp;"|15",Positions!$A$2:$A$6912,0)),"-")</f>
        <v>G</v>
      </c>
      <c r="G1060" s="24" t="str">
        <f aca="false">IFERROR(INDEX(Positions!$E$2:$E$6912,MATCH($A1060&amp;"|48",Positions!$A$2:$A$6912,0)),"-")</f>
        <v>C</v>
      </c>
      <c r="H1060" s="25" t="str">
        <f aca="false">F1060&amp;"-"&amp;G1060</f>
        <v>G-C</v>
      </c>
      <c r="I1060" s="24" t="n">
        <f aca="false">(F1060="G")+(G1060="G")</f>
        <v>1</v>
      </c>
      <c r="J1060" s="24" t="n">
        <f aca="false">(F1060="C")+(G1060="C")</f>
        <v>1</v>
      </c>
      <c r="K1060" s="25" t="n">
        <f aca="false">I1060+J1060</f>
        <v>2</v>
      </c>
    </row>
    <row r="1061" customFormat="false" ht="15" hidden="false" customHeight="false" outlineLevel="0" collapsed="false">
      <c r="A1061" s="24" t="s">
        <v>74</v>
      </c>
      <c r="B1061" s="24" t="s">
        <v>530</v>
      </c>
      <c r="C1061" s="24" t="s">
        <v>533</v>
      </c>
      <c r="D1061" s="24" t="n">
        <f aca="false">IFERROR(INDEX(Positions!$D$2:$D$6912,MATCH($A1061&amp;"|18",Positions!$A$2:$A$6912,0)),"-")</f>
        <v>17</v>
      </c>
      <c r="E1061" s="24" t="n">
        <f aca="false">IFERROR(INDEX(Positions!$D$2:$D$6912,MATCH($A1061&amp;"|55",Positions!$A$2:$A$6912,0)),"-")</f>
        <v>54</v>
      </c>
      <c r="F1061" s="24" t="str">
        <f aca="false">IFERROR(INDEX(Positions!$E$2:$E$6912,MATCH($A1061&amp;"|18",Positions!$A$2:$A$6912,0)),"-")</f>
        <v>G</v>
      </c>
      <c r="G1061" s="24" t="str">
        <f aca="false">IFERROR(INDEX(Positions!$E$2:$E$6912,MATCH($A1061&amp;"|55",Positions!$A$2:$A$6912,0)),"-")</f>
        <v>U</v>
      </c>
      <c r="H1061" s="25" t="str">
        <f aca="false">F1061&amp;"-"&amp;G1061</f>
        <v>G-U</v>
      </c>
      <c r="I1061" s="24" t="n">
        <f aca="false">(F1061="G")+(G1061="G")</f>
        <v>1</v>
      </c>
      <c r="J1061" s="24" t="n">
        <f aca="false">(F1061="C")+(G1061="C")</f>
        <v>0</v>
      </c>
      <c r="K1061" s="25" t="n">
        <f aca="false">I1061+J1061</f>
        <v>1</v>
      </c>
    </row>
    <row r="1062" customFormat="false" ht="15" hidden="false" customHeight="false" outlineLevel="0" collapsed="false">
      <c r="A1062" s="24" t="s">
        <v>74</v>
      </c>
      <c r="B1062" s="24" t="s">
        <v>530</v>
      </c>
      <c r="C1062" s="24" t="s">
        <v>534</v>
      </c>
      <c r="D1062" s="24" t="n">
        <f aca="false">IFERROR(INDEX(Positions!$D$2:$D$6912,MATCH($A1062&amp;"|19",Positions!$A$2:$A$6912,0)),"-")</f>
        <v>18</v>
      </c>
      <c r="E1062" s="24" t="n">
        <f aca="false">IFERROR(INDEX(Positions!$D$2:$D$6912,MATCH($A1062&amp;"|56",Positions!$A$2:$A$6912,0)),"-")</f>
        <v>55</v>
      </c>
      <c r="F1062" s="24" t="str">
        <f aca="false">IFERROR(INDEX(Positions!$E$2:$E$6912,MATCH($A1062&amp;"|19",Positions!$A$2:$A$6912,0)),"-")</f>
        <v>G</v>
      </c>
      <c r="G1062" s="24" t="str">
        <f aca="false">IFERROR(INDEX(Positions!$E$2:$E$6912,MATCH($A1062&amp;"|56",Positions!$A$2:$A$6912,0)),"-")</f>
        <v>C</v>
      </c>
      <c r="H1062" s="25" t="str">
        <f aca="false">F1062&amp;"-"&amp;G1062</f>
        <v>G-C</v>
      </c>
      <c r="I1062" s="24" t="n">
        <f aca="false">(F1062="G")+(G1062="G")</f>
        <v>1</v>
      </c>
      <c r="J1062" s="24" t="n">
        <f aca="false">(F1062="C")+(G1062="C")</f>
        <v>1</v>
      </c>
      <c r="K1062" s="25" t="n">
        <f aca="false">I1062+J1062</f>
        <v>2</v>
      </c>
    </row>
    <row r="1063" customFormat="false" ht="15" hidden="false" customHeight="false" outlineLevel="0" collapsed="false">
      <c r="A1063" s="24" t="s">
        <v>74</v>
      </c>
      <c r="B1063" s="24" t="s">
        <v>530</v>
      </c>
      <c r="C1063" s="24" t="s">
        <v>535</v>
      </c>
      <c r="D1063" s="24" t="n">
        <f aca="false">IFERROR(INDEX(Positions!$D$2:$D$6912,MATCH($A1063&amp;"|26",Positions!$A$2:$A$6912,0)),"-")</f>
        <v>26</v>
      </c>
      <c r="E1063" s="24" t="n">
        <f aca="false">IFERROR(INDEX(Positions!$D$2:$D$6912,MATCH($A1063&amp;"|44",Positions!$A$2:$A$6912,0)),"-")</f>
        <v>44</v>
      </c>
      <c r="F1063" s="24" t="str">
        <f aca="false">IFERROR(INDEX(Positions!$E$2:$E$6912,MATCH($A1063&amp;"|26",Positions!$A$2:$A$6912,0)),"-")</f>
        <v>U</v>
      </c>
      <c r="G1063" s="24" t="str">
        <f aca="false">IFERROR(INDEX(Positions!$E$2:$E$6912,MATCH($A1063&amp;"|44",Positions!$A$2:$A$6912,0)),"-")</f>
        <v>C</v>
      </c>
      <c r="H1063" s="25" t="str">
        <f aca="false">F1063&amp;"-"&amp;G1063</f>
        <v>U-C</v>
      </c>
      <c r="I1063" s="24" t="n">
        <f aca="false">(F1063="G")+(G1063="G")</f>
        <v>0</v>
      </c>
      <c r="J1063" s="24" t="n">
        <f aca="false">(F1063="C")+(G1063="C")</f>
        <v>1</v>
      </c>
      <c r="K1063" s="25" t="n">
        <f aca="false">I1063+J1063</f>
        <v>1</v>
      </c>
    </row>
    <row r="1064" customFormat="false" ht="15" hidden="false" customHeight="false" outlineLevel="0" collapsed="false">
      <c r="A1064" s="24" t="s">
        <v>74</v>
      </c>
      <c r="B1064" s="24" t="s">
        <v>530</v>
      </c>
      <c r="C1064" s="24" t="s">
        <v>536</v>
      </c>
      <c r="D1064" s="24" t="n">
        <f aca="false">IFERROR(INDEX(Positions!$D$2:$D$6912,MATCH($A1064&amp;"|32",Positions!$A$2:$A$6912,0)),"-")</f>
        <v>32</v>
      </c>
      <c r="E1064" s="24" t="n">
        <f aca="false">IFERROR(INDEX(Positions!$D$2:$D$6912,MATCH($A1064&amp;"|38",Positions!$A$2:$A$6912,0)),"-")</f>
        <v>38</v>
      </c>
      <c r="F1064" s="24" t="str">
        <f aca="false">IFERROR(INDEX(Positions!$E$2:$E$6912,MATCH($A1064&amp;"|32",Positions!$A$2:$A$6912,0)),"-")</f>
        <v>C</v>
      </c>
      <c r="G1064" s="24" t="str">
        <f aca="false">IFERROR(INDEX(Positions!$E$2:$E$6912,MATCH($A1064&amp;"|38",Positions!$A$2:$A$6912,0)),"-")</f>
        <v>C</v>
      </c>
      <c r="H1064" s="25" t="str">
        <f aca="false">F1064&amp;"-"&amp;G1064</f>
        <v>C-C</v>
      </c>
      <c r="I1064" s="24" t="n">
        <f aca="false">(F1064="G")+(G1064="G")</f>
        <v>0</v>
      </c>
      <c r="J1064" s="24" t="n">
        <f aca="false">(F1064="C")+(G1064="C")</f>
        <v>2</v>
      </c>
      <c r="K1064" s="25" t="n">
        <f aca="false">I1064+J1064</f>
        <v>2</v>
      </c>
    </row>
    <row r="1065" customFormat="false" ht="15" hidden="false" customHeight="false" outlineLevel="0" collapsed="false">
      <c r="A1065" s="24" t="s">
        <v>74</v>
      </c>
      <c r="B1065" s="24" t="s">
        <v>530</v>
      </c>
      <c r="C1065" s="24" t="s">
        <v>537</v>
      </c>
      <c r="D1065" s="24" t="n">
        <f aca="false">IFERROR(INDEX(Positions!$D$2:$D$6912,MATCH($A1065&amp;"|54",Positions!$A$2:$A$6912,0)),"-")</f>
        <v>53</v>
      </c>
      <c r="E1065" s="24" t="n">
        <f aca="false">IFERROR(INDEX(Positions!$D$2:$D$6912,MATCH($A1065&amp;"|58",Positions!$A$2:$A$6912,0)),"-")</f>
        <v>57</v>
      </c>
      <c r="F1065" s="24" t="str">
        <f aca="false">IFERROR(INDEX(Positions!$E$2:$E$6912,MATCH($A1065&amp;"|54",Positions!$A$2:$A$6912,0)),"-")</f>
        <v>U</v>
      </c>
      <c r="G1065" s="24" t="str">
        <f aca="false">IFERROR(INDEX(Positions!$E$2:$E$6912,MATCH($A1065&amp;"|58",Positions!$A$2:$A$6912,0)),"-")</f>
        <v>A</v>
      </c>
      <c r="H1065" s="25" t="str">
        <f aca="false">F1065&amp;"-"&amp;G1065</f>
        <v>U-A</v>
      </c>
      <c r="I1065" s="24" t="n">
        <f aca="false">(F1065="G")+(G1065="G")</f>
        <v>0</v>
      </c>
      <c r="J1065" s="24" t="n">
        <f aca="false">(F1065="C")+(G1065="C")</f>
        <v>0</v>
      </c>
      <c r="K1065" s="25" t="n">
        <f aca="false">I1065+J1065</f>
        <v>0</v>
      </c>
    </row>
    <row r="1066" customFormat="false" ht="15" hidden="false" customHeight="false" outlineLevel="0" collapsed="false">
      <c r="A1066" s="4" t="s">
        <v>75</v>
      </c>
      <c r="B1066" s="4" t="s">
        <v>412</v>
      </c>
      <c r="C1066" s="4" t="s">
        <v>517</v>
      </c>
      <c r="D1066" s="4" t="n">
        <f aca="false">IFERROR(INDEX(Positions!$D$2:$D$6912,MATCH($A1066&amp;"|1",Positions!$A$2:$A$6912,0)),"-")</f>
        <v>1</v>
      </c>
      <c r="E1066" s="4" t="n">
        <f aca="false">IFERROR(INDEX(Positions!$D$2:$D$6912,MATCH($A1066&amp;"|72",Positions!$A$2:$A$6912,0)),"-")</f>
        <v>73</v>
      </c>
      <c r="F1066" s="4" t="str">
        <f aca="false">IFERROR(INDEX(Positions!$E$2:$E$6912,MATCH($A1066&amp;"|1",Positions!$A$2:$A$6912,0)),"-")</f>
        <v>G</v>
      </c>
      <c r="G1066" s="4" t="str">
        <f aca="false">IFERROR(INDEX(Positions!$E$2:$E$6912,MATCH($A1066&amp;"|72",Positions!$A$2:$A$6912,0)),"-")</f>
        <v>C</v>
      </c>
      <c r="H1066" s="3" t="str">
        <f aca="false">F1066&amp;"-"&amp;G1066</f>
        <v>G-C</v>
      </c>
      <c r="I1066" s="4" t="n">
        <f aca="false">(F1066="G")+(G1066="G")</f>
        <v>1</v>
      </c>
      <c r="J1066" s="4" t="n">
        <f aca="false">(F1066="C")+(G1066="C")</f>
        <v>1</v>
      </c>
      <c r="K1066" s="3" t="n">
        <f aca="false">I1066+J1066</f>
        <v>2</v>
      </c>
    </row>
    <row r="1067" customFormat="false" ht="15" hidden="false" customHeight="false" outlineLevel="0" collapsed="false">
      <c r="A1067" s="4" t="s">
        <v>75</v>
      </c>
      <c r="B1067" s="4" t="s">
        <v>412</v>
      </c>
      <c r="C1067" s="4" t="s">
        <v>518</v>
      </c>
      <c r="D1067" s="4" t="n">
        <f aca="false">IFERROR(INDEX(Positions!$D$2:$D$6912,MATCH($A1067&amp;"|2",Positions!$A$2:$A$6912,0)),"-")</f>
        <v>2</v>
      </c>
      <c r="E1067" s="4" t="n">
        <f aca="false">IFERROR(INDEX(Positions!$D$2:$D$6912,MATCH($A1067&amp;"|71",Positions!$A$2:$A$6912,0)),"-")</f>
        <v>72</v>
      </c>
      <c r="F1067" s="4" t="str">
        <f aca="false">IFERROR(INDEX(Positions!$E$2:$E$6912,MATCH($A1067&amp;"|2",Positions!$A$2:$A$6912,0)),"-")</f>
        <v>G</v>
      </c>
      <c r="G1067" s="4" t="str">
        <f aca="false">IFERROR(INDEX(Positions!$E$2:$E$6912,MATCH($A1067&amp;"|71",Positions!$A$2:$A$6912,0)),"-")</f>
        <v>C</v>
      </c>
      <c r="H1067" s="3" t="str">
        <f aca="false">F1067&amp;"-"&amp;G1067</f>
        <v>G-C</v>
      </c>
      <c r="I1067" s="4" t="n">
        <f aca="false">(F1067="G")+(G1067="G")</f>
        <v>1</v>
      </c>
      <c r="J1067" s="4" t="n">
        <f aca="false">(F1067="C")+(G1067="C")</f>
        <v>1</v>
      </c>
      <c r="K1067" s="3" t="n">
        <f aca="false">I1067+J1067</f>
        <v>2</v>
      </c>
    </row>
    <row r="1068" customFormat="false" ht="15" hidden="false" customHeight="false" outlineLevel="0" collapsed="false">
      <c r="A1068" s="4" t="s">
        <v>75</v>
      </c>
      <c r="B1068" s="4" t="s">
        <v>412</v>
      </c>
      <c r="C1068" s="4" t="s">
        <v>386</v>
      </c>
      <c r="D1068" s="4" t="n">
        <f aca="false">IFERROR(INDEX(Positions!$D$2:$D$6912,MATCH($A1068&amp;"|3",Positions!$A$2:$A$6912,0)),"-")</f>
        <v>3</v>
      </c>
      <c r="E1068" s="4" t="n">
        <f aca="false">IFERROR(INDEX(Positions!$D$2:$D$6912,MATCH($A1068&amp;"|70",Positions!$A$2:$A$6912,0)),"-")</f>
        <v>71</v>
      </c>
      <c r="F1068" s="4" t="str">
        <f aca="false">IFERROR(INDEX(Positions!$E$2:$E$6912,MATCH($A1068&amp;"|3",Positions!$A$2:$A$6912,0)),"-")</f>
        <v>C</v>
      </c>
      <c r="G1068" s="4" t="str">
        <f aca="false">IFERROR(INDEX(Positions!$E$2:$E$6912,MATCH($A1068&amp;"|70",Positions!$A$2:$A$6912,0)),"-")</f>
        <v>G</v>
      </c>
      <c r="H1068" s="3" t="str">
        <f aca="false">F1068&amp;"-"&amp;G1068</f>
        <v>C-G</v>
      </c>
      <c r="I1068" s="4" t="n">
        <f aca="false">(F1068="G")+(G1068="G")</f>
        <v>1</v>
      </c>
      <c r="J1068" s="4" t="n">
        <f aca="false">(F1068="C")+(G1068="C")</f>
        <v>1</v>
      </c>
      <c r="K1068" s="3" t="n">
        <f aca="false">I1068+J1068</f>
        <v>2</v>
      </c>
    </row>
    <row r="1069" customFormat="false" ht="15" hidden="false" customHeight="false" outlineLevel="0" collapsed="false">
      <c r="A1069" s="4" t="s">
        <v>75</v>
      </c>
      <c r="B1069" s="4" t="s">
        <v>412</v>
      </c>
      <c r="C1069" s="4" t="s">
        <v>519</v>
      </c>
      <c r="D1069" s="4" t="n">
        <f aca="false">IFERROR(INDEX(Positions!$D$2:$D$6912,MATCH($A1069&amp;"|4",Positions!$A$2:$A$6912,0)),"-")</f>
        <v>4</v>
      </c>
      <c r="E1069" s="4" t="n">
        <f aca="false">IFERROR(INDEX(Positions!$D$2:$D$6912,MATCH($A1069&amp;"|69",Positions!$A$2:$A$6912,0)),"-")</f>
        <v>70</v>
      </c>
      <c r="F1069" s="4" t="str">
        <f aca="false">IFERROR(INDEX(Positions!$E$2:$E$6912,MATCH($A1069&amp;"|4",Positions!$A$2:$A$6912,0)),"-")</f>
        <v>C</v>
      </c>
      <c r="G1069" s="4" t="str">
        <f aca="false">IFERROR(INDEX(Positions!$E$2:$E$6912,MATCH($A1069&amp;"|69",Positions!$A$2:$A$6912,0)),"-")</f>
        <v>G</v>
      </c>
      <c r="H1069" s="3" t="str">
        <f aca="false">F1069&amp;"-"&amp;G1069</f>
        <v>C-G</v>
      </c>
      <c r="I1069" s="4" t="n">
        <f aca="false">(F1069="G")+(G1069="G")</f>
        <v>1</v>
      </c>
      <c r="J1069" s="4" t="n">
        <f aca="false">(F1069="C")+(G1069="C")</f>
        <v>1</v>
      </c>
      <c r="K1069" s="3" t="n">
        <f aca="false">I1069+J1069</f>
        <v>2</v>
      </c>
    </row>
    <row r="1070" customFormat="false" ht="15" hidden="false" customHeight="false" outlineLevel="0" collapsed="false">
      <c r="A1070" s="4" t="s">
        <v>75</v>
      </c>
      <c r="B1070" s="4" t="s">
        <v>412</v>
      </c>
      <c r="C1070" s="4" t="s">
        <v>283</v>
      </c>
      <c r="D1070" s="4" t="n">
        <f aca="false">IFERROR(INDEX(Positions!$D$2:$D$6912,MATCH($A1070&amp;"|5",Positions!$A$2:$A$6912,0)),"-")</f>
        <v>5</v>
      </c>
      <c r="E1070" s="4" t="n">
        <f aca="false">IFERROR(INDEX(Positions!$D$2:$D$6912,MATCH($A1070&amp;"|68",Positions!$A$2:$A$6912,0)),"-")</f>
        <v>69</v>
      </c>
      <c r="F1070" s="4" t="str">
        <f aca="false">IFERROR(INDEX(Positions!$E$2:$E$6912,MATCH($A1070&amp;"|5",Positions!$A$2:$A$6912,0)),"-")</f>
        <v>G</v>
      </c>
      <c r="G1070" s="4" t="str">
        <f aca="false">IFERROR(INDEX(Positions!$E$2:$E$6912,MATCH($A1070&amp;"|68",Positions!$A$2:$A$6912,0)),"-")</f>
        <v>G</v>
      </c>
      <c r="H1070" s="3" t="str">
        <f aca="false">F1070&amp;"-"&amp;G1070</f>
        <v>G-G</v>
      </c>
      <c r="I1070" s="4" t="n">
        <f aca="false">(F1070="G")+(G1070="G")</f>
        <v>2</v>
      </c>
      <c r="J1070" s="4" t="n">
        <f aca="false">(F1070="C")+(G1070="C")</f>
        <v>0</v>
      </c>
      <c r="K1070" s="3" t="n">
        <f aca="false">I1070+J1070</f>
        <v>2</v>
      </c>
    </row>
    <row r="1071" customFormat="false" ht="15" hidden="false" customHeight="false" outlineLevel="0" collapsed="false">
      <c r="A1071" s="4" t="s">
        <v>75</v>
      </c>
      <c r="B1071" s="4" t="s">
        <v>412</v>
      </c>
      <c r="C1071" s="4" t="s">
        <v>520</v>
      </c>
      <c r="D1071" s="4" t="n">
        <f aca="false">IFERROR(INDEX(Positions!$D$2:$D$6912,MATCH($A1071&amp;"|6",Positions!$A$2:$A$6912,0)),"-")</f>
        <v>6</v>
      </c>
      <c r="E1071" s="4" t="n">
        <f aca="false">IFERROR(INDEX(Positions!$D$2:$D$6912,MATCH($A1071&amp;"|67",Positions!$A$2:$A$6912,0)),"-")</f>
        <v>68</v>
      </c>
      <c r="F1071" s="4" t="str">
        <f aca="false">IFERROR(INDEX(Positions!$E$2:$E$6912,MATCH($A1071&amp;"|6",Positions!$A$2:$A$6912,0)),"-")</f>
        <v>G</v>
      </c>
      <c r="G1071" s="4" t="str">
        <f aca="false">IFERROR(INDEX(Positions!$E$2:$E$6912,MATCH($A1071&amp;"|67",Positions!$A$2:$A$6912,0)),"-")</f>
        <v>C</v>
      </c>
      <c r="H1071" s="3" t="str">
        <f aca="false">F1071&amp;"-"&amp;G1071</f>
        <v>G-C</v>
      </c>
      <c r="I1071" s="4" t="n">
        <f aca="false">(F1071="G")+(G1071="G")</f>
        <v>1</v>
      </c>
      <c r="J1071" s="4" t="n">
        <f aca="false">(F1071="C")+(G1071="C")</f>
        <v>1</v>
      </c>
      <c r="K1071" s="3" t="n">
        <f aca="false">I1071+J1071</f>
        <v>2</v>
      </c>
    </row>
    <row r="1072" customFormat="false" ht="15" hidden="false" customHeight="false" outlineLevel="0" collapsed="false">
      <c r="A1072" s="4" t="s">
        <v>75</v>
      </c>
      <c r="B1072" s="4" t="s">
        <v>412</v>
      </c>
      <c r="C1072" s="4" t="s">
        <v>521</v>
      </c>
      <c r="D1072" s="4" t="n">
        <f aca="false">IFERROR(INDEX(Positions!$D$2:$D$6912,MATCH($A1072&amp;"|7",Positions!$A$2:$A$6912,0)),"-")</f>
        <v>7</v>
      </c>
      <c r="E1072" s="4" t="n">
        <f aca="false">IFERROR(INDEX(Positions!$D$2:$D$6912,MATCH($A1072&amp;"|66",Positions!$A$2:$A$6912,0)),"-")</f>
        <v>67</v>
      </c>
      <c r="F1072" s="4" t="str">
        <f aca="false">IFERROR(INDEX(Positions!$E$2:$E$6912,MATCH($A1072&amp;"|7",Positions!$A$2:$A$6912,0)),"-")</f>
        <v>U</v>
      </c>
      <c r="G1072" s="4" t="str">
        <f aca="false">IFERROR(INDEX(Positions!$E$2:$E$6912,MATCH($A1072&amp;"|66",Positions!$A$2:$A$6912,0)),"-")</f>
        <v>A</v>
      </c>
      <c r="H1072" s="3" t="str">
        <f aca="false">F1072&amp;"-"&amp;G1072</f>
        <v>U-A</v>
      </c>
      <c r="I1072" s="4" t="n">
        <f aca="false">(F1072="G")+(G1072="G")</f>
        <v>0</v>
      </c>
      <c r="J1072" s="4" t="n">
        <f aca="false">(F1072="C")+(G1072="C")</f>
        <v>0</v>
      </c>
      <c r="K1072" s="3" t="n">
        <f aca="false">I1072+J1072</f>
        <v>0</v>
      </c>
    </row>
    <row r="1073" customFormat="false" ht="15" hidden="false" customHeight="false" outlineLevel="0" collapsed="false">
      <c r="A1073" s="4" t="s">
        <v>75</v>
      </c>
      <c r="B1073" s="4" t="s">
        <v>425</v>
      </c>
      <c r="C1073" s="4" t="s">
        <v>522</v>
      </c>
      <c r="D1073" s="4" t="n">
        <f aca="false">IFERROR(INDEX(Positions!$D$2:$D$6912,MATCH($A1073&amp;"|10",Positions!$A$2:$A$6912,0)),"-")</f>
        <v>10</v>
      </c>
      <c r="E1073" s="4" t="n">
        <f aca="false">IFERROR(INDEX(Positions!$D$2:$D$6912,MATCH($A1073&amp;"|25",Positions!$A$2:$A$6912,0)),"-")</f>
        <v>26</v>
      </c>
      <c r="F1073" s="4" t="str">
        <f aca="false">IFERROR(INDEX(Positions!$E$2:$E$6912,MATCH($A1073&amp;"|10",Positions!$A$2:$A$6912,0)),"-")</f>
        <v>G</v>
      </c>
      <c r="G1073" s="4" t="str">
        <f aca="false">IFERROR(INDEX(Positions!$E$2:$E$6912,MATCH($A1073&amp;"|25",Positions!$A$2:$A$6912,0)),"-")</f>
        <v>C</v>
      </c>
      <c r="H1073" s="3" t="str">
        <f aca="false">F1073&amp;"-"&amp;G1073</f>
        <v>G-C</v>
      </c>
      <c r="I1073" s="4" t="n">
        <f aca="false">(F1073="G")+(G1073="G")</f>
        <v>1</v>
      </c>
      <c r="J1073" s="4" t="n">
        <f aca="false">(F1073="C")+(G1073="C")</f>
        <v>1</v>
      </c>
      <c r="K1073" s="3" t="n">
        <f aca="false">I1073+J1073</f>
        <v>2</v>
      </c>
    </row>
    <row r="1074" customFormat="false" ht="15" hidden="false" customHeight="false" outlineLevel="0" collapsed="false">
      <c r="A1074" s="4" t="s">
        <v>75</v>
      </c>
      <c r="B1074" s="4" t="s">
        <v>425</v>
      </c>
      <c r="C1074" s="4" t="s">
        <v>523</v>
      </c>
      <c r="D1074" s="4" t="n">
        <f aca="false">IFERROR(INDEX(Positions!$D$2:$D$6912,MATCH($A1074&amp;"|11",Positions!$A$2:$A$6912,0)),"-")</f>
        <v>11</v>
      </c>
      <c r="E1074" s="4" t="n">
        <f aca="false">IFERROR(INDEX(Positions!$D$2:$D$6912,MATCH($A1074&amp;"|24",Positions!$A$2:$A$6912,0)),"-")</f>
        <v>25</v>
      </c>
      <c r="F1074" s="4" t="str">
        <f aca="false">IFERROR(INDEX(Positions!$E$2:$E$6912,MATCH($A1074&amp;"|11",Positions!$A$2:$A$6912,0)),"-")</f>
        <v>C</v>
      </c>
      <c r="G1074" s="4" t="str">
        <f aca="false">IFERROR(INDEX(Positions!$E$2:$E$6912,MATCH($A1074&amp;"|24",Positions!$A$2:$A$6912,0)),"-")</f>
        <v>G</v>
      </c>
      <c r="H1074" s="3" t="str">
        <f aca="false">F1074&amp;"-"&amp;G1074</f>
        <v>C-G</v>
      </c>
      <c r="I1074" s="4" t="n">
        <f aca="false">(F1074="G")+(G1074="G")</f>
        <v>1</v>
      </c>
      <c r="J1074" s="4" t="n">
        <f aca="false">(F1074="C")+(G1074="C")</f>
        <v>1</v>
      </c>
      <c r="K1074" s="3" t="n">
        <f aca="false">I1074+J1074</f>
        <v>2</v>
      </c>
    </row>
    <row r="1075" customFormat="false" ht="15" hidden="false" customHeight="false" outlineLevel="0" collapsed="false">
      <c r="A1075" s="4" t="s">
        <v>75</v>
      </c>
      <c r="B1075" s="4" t="s">
        <v>425</v>
      </c>
      <c r="C1075" s="4" t="s">
        <v>250</v>
      </c>
      <c r="D1075" s="4" t="n">
        <f aca="false">IFERROR(INDEX(Positions!$D$2:$D$6912,MATCH($A1075&amp;"|12",Positions!$A$2:$A$6912,0)),"-")</f>
        <v>12</v>
      </c>
      <c r="E1075" s="4" t="n">
        <f aca="false">IFERROR(INDEX(Positions!$D$2:$D$6912,MATCH($A1075&amp;"|23",Positions!$A$2:$A$6912,0)),"-")</f>
        <v>24</v>
      </c>
      <c r="F1075" s="4" t="str">
        <f aca="false">IFERROR(INDEX(Positions!$E$2:$E$6912,MATCH($A1075&amp;"|12",Positions!$A$2:$A$6912,0)),"-")</f>
        <v>U</v>
      </c>
      <c r="G1075" s="4" t="str">
        <f aca="false">IFERROR(INDEX(Positions!$E$2:$E$6912,MATCH($A1075&amp;"|23",Positions!$A$2:$A$6912,0)),"-")</f>
        <v>A</v>
      </c>
      <c r="H1075" s="3" t="str">
        <f aca="false">F1075&amp;"-"&amp;G1075</f>
        <v>U-A</v>
      </c>
      <c r="I1075" s="4" t="n">
        <f aca="false">(F1075="G")+(G1075="G")</f>
        <v>0</v>
      </c>
      <c r="J1075" s="4" t="n">
        <f aca="false">(F1075="C")+(G1075="C")</f>
        <v>0</v>
      </c>
      <c r="K1075" s="3" t="n">
        <f aca="false">I1075+J1075</f>
        <v>0</v>
      </c>
    </row>
    <row r="1076" customFormat="false" ht="15" hidden="false" customHeight="false" outlineLevel="0" collapsed="false">
      <c r="A1076" s="4" t="s">
        <v>75</v>
      </c>
      <c r="B1076" s="4" t="s">
        <v>425</v>
      </c>
      <c r="C1076" s="4" t="s">
        <v>154</v>
      </c>
      <c r="D1076" s="4" t="n">
        <f aca="false">IFERROR(INDEX(Positions!$D$2:$D$6912,MATCH($A1076&amp;"|13",Positions!$A$2:$A$6912,0)),"-")</f>
        <v>13</v>
      </c>
      <c r="E1076" s="4" t="n">
        <f aca="false">IFERROR(INDEX(Positions!$D$2:$D$6912,MATCH($A1076&amp;"|22",Positions!$A$2:$A$6912,0)),"-")</f>
        <v>23</v>
      </c>
      <c r="F1076" s="4" t="str">
        <f aca="false">IFERROR(INDEX(Positions!$E$2:$E$6912,MATCH($A1076&amp;"|13",Positions!$A$2:$A$6912,0)),"-")</f>
        <v>C</v>
      </c>
      <c r="G1076" s="4" t="str">
        <f aca="false">IFERROR(INDEX(Positions!$E$2:$E$6912,MATCH($A1076&amp;"|22",Positions!$A$2:$A$6912,0)),"-")</f>
        <v>G</v>
      </c>
      <c r="H1076" s="3" t="str">
        <f aca="false">F1076&amp;"-"&amp;G1076</f>
        <v>C-G</v>
      </c>
      <c r="I1076" s="4" t="n">
        <f aca="false">(F1076="G")+(G1076="G")</f>
        <v>1</v>
      </c>
      <c r="J1076" s="4" t="n">
        <f aca="false">(F1076="C")+(G1076="C")</f>
        <v>1</v>
      </c>
      <c r="K1076" s="3" t="n">
        <f aca="false">I1076+J1076</f>
        <v>2</v>
      </c>
    </row>
    <row r="1077" customFormat="false" ht="15" hidden="false" customHeight="false" outlineLevel="0" collapsed="false">
      <c r="A1077" s="4" t="s">
        <v>75</v>
      </c>
      <c r="B1077" s="4" t="s">
        <v>446</v>
      </c>
      <c r="C1077" s="4" t="s">
        <v>524</v>
      </c>
      <c r="D1077" s="4" t="n">
        <f aca="false">IFERROR(INDEX(Positions!$D$2:$D$6912,MATCH($A1077&amp;"|27",Positions!$A$2:$A$6912,0)),"-")</f>
        <v>28</v>
      </c>
      <c r="E1077" s="4" t="n">
        <f aca="false">IFERROR(INDEX(Positions!$D$2:$D$6912,MATCH($A1077&amp;"|43",Positions!$A$2:$A$6912,0)),"-")</f>
        <v>44</v>
      </c>
      <c r="F1077" s="4" t="str">
        <f aca="false">IFERROR(INDEX(Positions!$E$2:$E$6912,MATCH($A1077&amp;"|27",Positions!$A$2:$A$6912,0)),"-")</f>
        <v>U</v>
      </c>
      <c r="G1077" s="4" t="str">
        <f aca="false">IFERROR(INDEX(Positions!$E$2:$E$6912,MATCH($A1077&amp;"|43",Positions!$A$2:$A$6912,0)),"-")</f>
        <v>A</v>
      </c>
      <c r="H1077" s="3" t="str">
        <f aca="false">F1077&amp;"-"&amp;G1077</f>
        <v>U-A</v>
      </c>
      <c r="I1077" s="4" t="n">
        <f aca="false">(F1077="G")+(G1077="G")</f>
        <v>0</v>
      </c>
      <c r="J1077" s="4" t="n">
        <f aca="false">(F1077="C")+(G1077="C")</f>
        <v>0</v>
      </c>
      <c r="K1077" s="3" t="n">
        <f aca="false">I1077+J1077</f>
        <v>0</v>
      </c>
    </row>
    <row r="1078" customFormat="false" ht="15" hidden="false" customHeight="false" outlineLevel="0" collapsed="false">
      <c r="A1078" s="4" t="s">
        <v>75</v>
      </c>
      <c r="B1078" s="4" t="s">
        <v>446</v>
      </c>
      <c r="C1078" s="4" t="s">
        <v>525</v>
      </c>
      <c r="D1078" s="4" t="n">
        <f aca="false">IFERROR(INDEX(Positions!$D$2:$D$6912,MATCH($A1078&amp;"|28",Positions!$A$2:$A$6912,0)),"-")</f>
        <v>29</v>
      </c>
      <c r="E1078" s="4" t="n">
        <f aca="false">IFERROR(INDEX(Positions!$D$2:$D$6912,MATCH($A1078&amp;"|42",Positions!$A$2:$A$6912,0)),"-")</f>
        <v>43</v>
      </c>
      <c r="F1078" s="4" t="str">
        <f aca="false">IFERROR(INDEX(Positions!$E$2:$E$6912,MATCH($A1078&amp;"|28",Positions!$A$2:$A$6912,0)),"-")</f>
        <v>G</v>
      </c>
      <c r="G1078" s="4" t="str">
        <f aca="false">IFERROR(INDEX(Positions!$E$2:$E$6912,MATCH($A1078&amp;"|42",Positions!$A$2:$A$6912,0)),"-")</f>
        <v>C</v>
      </c>
      <c r="H1078" s="3" t="str">
        <f aca="false">F1078&amp;"-"&amp;G1078</f>
        <v>G-C</v>
      </c>
      <c r="I1078" s="4" t="n">
        <f aca="false">(F1078="G")+(G1078="G")</f>
        <v>1</v>
      </c>
      <c r="J1078" s="4" t="n">
        <f aca="false">(F1078="C")+(G1078="C")</f>
        <v>1</v>
      </c>
      <c r="K1078" s="3" t="n">
        <f aca="false">I1078+J1078</f>
        <v>2</v>
      </c>
    </row>
    <row r="1079" customFormat="false" ht="15" hidden="false" customHeight="false" outlineLevel="0" collapsed="false">
      <c r="A1079" s="4" t="s">
        <v>75</v>
      </c>
      <c r="B1079" s="4" t="s">
        <v>446</v>
      </c>
      <c r="C1079" s="4" t="s">
        <v>256</v>
      </c>
      <c r="D1079" s="4" t="n">
        <f aca="false">IFERROR(INDEX(Positions!$D$2:$D$6912,MATCH($A1079&amp;"|29",Positions!$A$2:$A$6912,0)),"-")</f>
        <v>30</v>
      </c>
      <c r="E1079" s="4" t="n">
        <f aca="false">IFERROR(INDEX(Positions!$D$2:$D$6912,MATCH($A1079&amp;"|41",Positions!$A$2:$A$6912,0)),"-")</f>
        <v>42</v>
      </c>
      <c r="F1079" s="4" t="str">
        <f aca="false">IFERROR(INDEX(Positions!$E$2:$E$6912,MATCH($A1079&amp;"|29",Positions!$A$2:$A$6912,0)),"-")</f>
        <v>G</v>
      </c>
      <c r="G1079" s="4" t="str">
        <f aca="false">IFERROR(INDEX(Positions!$E$2:$E$6912,MATCH($A1079&amp;"|41",Positions!$A$2:$A$6912,0)),"-")</f>
        <v>C</v>
      </c>
      <c r="H1079" s="3" t="str">
        <f aca="false">F1079&amp;"-"&amp;G1079</f>
        <v>G-C</v>
      </c>
      <c r="I1079" s="4" t="n">
        <f aca="false">(F1079="G")+(G1079="G")</f>
        <v>1</v>
      </c>
      <c r="J1079" s="4" t="n">
        <f aca="false">(F1079="C")+(G1079="C")</f>
        <v>1</v>
      </c>
      <c r="K1079" s="3" t="n">
        <f aca="false">I1079+J1079</f>
        <v>2</v>
      </c>
    </row>
    <row r="1080" customFormat="false" ht="15" hidden="false" customHeight="false" outlineLevel="0" collapsed="false">
      <c r="A1080" s="4" t="s">
        <v>75</v>
      </c>
      <c r="B1080" s="4" t="s">
        <v>446</v>
      </c>
      <c r="C1080" s="4" t="s">
        <v>526</v>
      </c>
      <c r="D1080" s="4" t="n">
        <f aca="false">IFERROR(INDEX(Positions!$D$2:$D$6912,MATCH($A1080&amp;"|30",Positions!$A$2:$A$6912,0)),"-")</f>
        <v>31</v>
      </c>
      <c r="E1080" s="4" t="n">
        <f aca="false">IFERROR(INDEX(Positions!$D$2:$D$6912,MATCH($A1080&amp;"|40",Positions!$A$2:$A$6912,0)),"-")</f>
        <v>41</v>
      </c>
      <c r="F1080" s="4" t="str">
        <f aca="false">IFERROR(INDEX(Positions!$E$2:$E$6912,MATCH($A1080&amp;"|30",Positions!$A$2:$A$6912,0)),"-")</f>
        <v>U</v>
      </c>
      <c r="G1080" s="4" t="str">
        <f aca="false">IFERROR(INDEX(Positions!$E$2:$E$6912,MATCH($A1080&amp;"|40",Positions!$A$2:$A$6912,0)),"-")</f>
        <v>G</v>
      </c>
      <c r="H1080" s="3" t="str">
        <f aca="false">F1080&amp;"-"&amp;G1080</f>
        <v>U-G</v>
      </c>
      <c r="I1080" s="4" t="n">
        <f aca="false">(F1080="G")+(G1080="G")</f>
        <v>1</v>
      </c>
      <c r="J1080" s="4" t="n">
        <f aca="false">(F1080="C")+(G1080="C")</f>
        <v>0</v>
      </c>
      <c r="K1080" s="3" t="n">
        <f aca="false">I1080+J1080</f>
        <v>1</v>
      </c>
    </row>
    <row r="1081" customFormat="false" ht="15" hidden="false" customHeight="false" outlineLevel="0" collapsed="false">
      <c r="A1081" s="4" t="s">
        <v>75</v>
      </c>
      <c r="B1081" s="4" t="s">
        <v>446</v>
      </c>
      <c r="C1081" s="4" t="s">
        <v>273</v>
      </c>
      <c r="D1081" s="4" t="n">
        <f aca="false">IFERROR(INDEX(Positions!$D$2:$D$6912,MATCH($A1081&amp;"|31",Positions!$A$2:$A$6912,0)),"-")</f>
        <v>32</v>
      </c>
      <c r="E1081" s="4" t="n">
        <f aca="false">IFERROR(INDEX(Positions!$D$2:$D$6912,MATCH($A1081&amp;"|39",Positions!$A$2:$A$6912,0)),"-")</f>
        <v>40</v>
      </c>
      <c r="F1081" s="4" t="str">
        <f aca="false">IFERROR(INDEX(Positions!$E$2:$E$6912,MATCH($A1081&amp;"|31",Positions!$A$2:$A$6912,0)),"-")</f>
        <v>G</v>
      </c>
      <c r="G1081" s="4" t="str">
        <f aca="false">IFERROR(INDEX(Positions!$E$2:$E$6912,MATCH($A1081&amp;"|39",Positions!$A$2:$A$6912,0)),"-")</f>
        <v>C</v>
      </c>
      <c r="H1081" s="3" t="str">
        <f aca="false">F1081&amp;"-"&amp;G1081</f>
        <v>G-C</v>
      </c>
      <c r="I1081" s="4" t="n">
        <f aca="false">(F1081="G")+(G1081="G")</f>
        <v>1</v>
      </c>
      <c r="J1081" s="4" t="n">
        <f aca="false">(F1081="C")+(G1081="C")</f>
        <v>1</v>
      </c>
      <c r="K1081" s="3" t="n">
        <f aca="false">I1081+J1081</f>
        <v>2</v>
      </c>
    </row>
    <row r="1082" customFormat="false" ht="15" hidden="false" customHeight="false" outlineLevel="0" collapsed="false">
      <c r="A1082" s="4" t="s">
        <v>75</v>
      </c>
      <c r="B1082" s="4" t="s">
        <v>471</v>
      </c>
      <c r="C1082" s="4" t="s">
        <v>367</v>
      </c>
      <c r="D1082" s="4" t="n">
        <f aca="false">IFERROR(INDEX(Positions!$D$2:$D$6912,MATCH($A1082&amp;"|49",Positions!$A$2:$A$6912,0)),"-")</f>
        <v>50</v>
      </c>
      <c r="E1082" s="4" t="n">
        <f aca="false">IFERROR(INDEX(Positions!$D$2:$D$6912,MATCH($A1082&amp;"|65",Positions!$A$2:$A$6912,0)),"-")</f>
        <v>66</v>
      </c>
      <c r="F1082" s="4" t="str">
        <f aca="false">IFERROR(INDEX(Positions!$E$2:$E$6912,MATCH($A1082&amp;"|49",Positions!$A$2:$A$6912,0)),"-")</f>
        <v>G</v>
      </c>
      <c r="G1082" s="4" t="str">
        <f aca="false">IFERROR(INDEX(Positions!$E$2:$E$6912,MATCH($A1082&amp;"|65",Positions!$A$2:$A$6912,0)),"-")</f>
        <v>U</v>
      </c>
      <c r="H1082" s="3" t="str">
        <f aca="false">F1082&amp;"-"&amp;G1082</f>
        <v>G-U</v>
      </c>
      <c r="I1082" s="4" t="n">
        <f aca="false">(F1082="G")+(G1082="G")</f>
        <v>1</v>
      </c>
      <c r="J1082" s="4" t="n">
        <f aca="false">(F1082="C")+(G1082="C")</f>
        <v>0</v>
      </c>
      <c r="K1082" s="3" t="n">
        <f aca="false">I1082+J1082</f>
        <v>1</v>
      </c>
    </row>
    <row r="1083" customFormat="false" ht="15" hidden="false" customHeight="false" outlineLevel="0" collapsed="false">
      <c r="A1083" s="4" t="s">
        <v>75</v>
      </c>
      <c r="B1083" s="4" t="s">
        <v>471</v>
      </c>
      <c r="C1083" s="4" t="s">
        <v>233</v>
      </c>
      <c r="D1083" s="4" t="n">
        <f aca="false">IFERROR(INDEX(Positions!$D$2:$D$6912,MATCH($A1083&amp;"|50",Positions!$A$2:$A$6912,0)),"-")</f>
        <v>51</v>
      </c>
      <c r="E1083" s="4" t="n">
        <f aca="false">IFERROR(INDEX(Positions!$D$2:$D$6912,MATCH($A1083&amp;"|64",Positions!$A$2:$A$6912,0)),"-")</f>
        <v>65</v>
      </c>
      <c r="F1083" s="4" t="str">
        <f aca="false">IFERROR(INDEX(Positions!$E$2:$E$6912,MATCH($A1083&amp;"|50",Positions!$A$2:$A$6912,0)),"-")</f>
        <v>C</v>
      </c>
      <c r="G1083" s="4" t="str">
        <f aca="false">IFERROR(INDEX(Positions!$E$2:$E$6912,MATCH($A1083&amp;"|64",Positions!$A$2:$A$6912,0)),"-")</f>
        <v>G</v>
      </c>
      <c r="H1083" s="3" t="str">
        <f aca="false">F1083&amp;"-"&amp;G1083</f>
        <v>C-G</v>
      </c>
      <c r="I1083" s="4" t="n">
        <f aca="false">(F1083="G")+(G1083="G")</f>
        <v>1</v>
      </c>
      <c r="J1083" s="4" t="n">
        <f aca="false">(F1083="C")+(G1083="C")</f>
        <v>1</v>
      </c>
      <c r="K1083" s="3" t="n">
        <f aca="false">I1083+J1083</f>
        <v>2</v>
      </c>
    </row>
    <row r="1084" customFormat="false" ht="15" hidden="false" customHeight="false" outlineLevel="0" collapsed="false">
      <c r="A1084" s="4" t="s">
        <v>75</v>
      </c>
      <c r="B1084" s="4" t="s">
        <v>471</v>
      </c>
      <c r="C1084" s="4" t="s">
        <v>527</v>
      </c>
      <c r="D1084" s="4" t="n">
        <f aca="false">IFERROR(INDEX(Positions!$D$2:$D$6912,MATCH($A1084&amp;"|51",Positions!$A$2:$A$6912,0)),"-")</f>
        <v>52</v>
      </c>
      <c r="E1084" s="4" t="n">
        <f aca="false">IFERROR(INDEX(Positions!$D$2:$D$6912,MATCH($A1084&amp;"|63",Positions!$A$2:$A$6912,0)),"-")</f>
        <v>64</v>
      </c>
      <c r="F1084" s="4" t="str">
        <f aca="false">IFERROR(INDEX(Positions!$E$2:$E$6912,MATCH($A1084&amp;"|51",Positions!$A$2:$A$6912,0)),"-")</f>
        <v>G</v>
      </c>
      <c r="G1084" s="4" t="str">
        <f aca="false">IFERROR(INDEX(Positions!$E$2:$E$6912,MATCH($A1084&amp;"|63",Positions!$A$2:$A$6912,0)),"-")</f>
        <v>C</v>
      </c>
      <c r="H1084" s="3" t="str">
        <f aca="false">F1084&amp;"-"&amp;G1084</f>
        <v>G-C</v>
      </c>
      <c r="I1084" s="4" t="n">
        <f aca="false">(F1084="G")+(G1084="G")</f>
        <v>1</v>
      </c>
      <c r="J1084" s="4" t="n">
        <f aca="false">(F1084="C")+(G1084="C")</f>
        <v>1</v>
      </c>
      <c r="K1084" s="3" t="n">
        <f aca="false">I1084+J1084</f>
        <v>2</v>
      </c>
    </row>
    <row r="1085" customFormat="false" ht="15" hidden="false" customHeight="false" outlineLevel="0" collapsed="false">
      <c r="A1085" s="4" t="s">
        <v>75</v>
      </c>
      <c r="B1085" s="4" t="s">
        <v>471</v>
      </c>
      <c r="C1085" s="4" t="s">
        <v>528</v>
      </c>
      <c r="D1085" s="4" t="n">
        <f aca="false">IFERROR(INDEX(Positions!$D$2:$D$6912,MATCH($A1085&amp;"|52",Positions!$A$2:$A$6912,0)),"-")</f>
        <v>53</v>
      </c>
      <c r="E1085" s="4" t="n">
        <f aca="false">IFERROR(INDEX(Positions!$D$2:$D$6912,MATCH($A1085&amp;"|62",Positions!$A$2:$A$6912,0)),"-")</f>
        <v>63</v>
      </c>
      <c r="F1085" s="4" t="str">
        <f aca="false">IFERROR(INDEX(Positions!$E$2:$E$6912,MATCH($A1085&amp;"|52",Positions!$A$2:$A$6912,0)),"-")</f>
        <v>G</v>
      </c>
      <c r="G1085" s="4" t="str">
        <f aca="false">IFERROR(INDEX(Positions!$E$2:$E$6912,MATCH($A1085&amp;"|62",Positions!$A$2:$A$6912,0)),"-")</f>
        <v>C</v>
      </c>
      <c r="H1085" s="3" t="str">
        <f aca="false">F1085&amp;"-"&amp;G1085</f>
        <v>G-C</v>
      </c>
      <c r="I1085" s="4" t="n">
        <f aca="false">(F1085="G")+(G1085="G")</f>
        <v>1</v>
      </c>
      <c r="J1085" s="4" t="n">
        <f aca="false">(F1085="C")+(G1085="C")</f>
        <v>1</v>
      </c>
      <c r="K1085" s="3" t="n">
        <f aca="false">I1085+J1085</f>
        <v>2</v>
      </c>
    </row>
    <row r="1086" customFormat="false" ht="15" hidden="false" customHeight="false" outlineLevel="0" collapsed="false">
      <c r="A1086" s="4" t="s">
        <v>75</v>
      </c>
      <c r="B1086" s="4" t="s">
        <v>471</v>
      </c>
      <c r="C1086" s="4" t="s">
        <v>529</v>
      </c>
      <c r="D1086" s="4" t="n">
        <f aca="false">IFERROR(INDEX(Positions!$D$2:$D$6912,MATCH($A1086&amp;"|53",Positions!$A$2:$A$6912,0)),"-")</f>
        <v>54</v>
      </c>
      <c r="E1086" s="4" t="n">
        <f aca="false">IFERROR(INDEX(Positions!$D$2:$D$6912,MATCH($A1086&amp;"|61",Positions!$A$2:$A$6912,0)),"-")</f>
        <v>62</v>
      </c>
      <c r="F1086" s="4" t="str">
        <f aca="false">IFERROR(INDEX(Positions!$E$2:$E$6912,MATCH($A1086&amp;"|53",Positions!$A$2:$A$6912,0)),"-")</f>
        <v>G</v>
      </c>
      <c r="G1086" s="4" t="str">
        <f aca="false">IFERROR(INDEX(Positions!$E$2:$E$6912,MATCH($A1086&amp;"|61",Positions!$A$2:$A$6912,0)),"-")</f>
        <v>C</v>
      </c>
      <c r="H1086" s="3" t="str">
        <f aca="false">F1086&amp;"-"&amp;G1086</f>
        <v>G-C</v>
      </c>
      <c r="I1086" s="4" t="n">
        <f aca="false">(F1086="G")+(G1086="G")</f>
        <v>1</v>
      </c>
      <c r="J1086" s="4" t="n">
        <f aca="false">(F1086="C")+(G1086="C")</f>
        <v>1</v>
      </c>
      <c r="K1086" s="3" t="n">
        <f aca="false">I1086+J1086</f>
        <v>2</v>
      </c>
    </row>
    <row r="1087" customFormat="false" ht="15" hidden="false" customHeight="false" outlineLevel="0" collapsed="false">
      <c r="A1087" s="24" t="s">
        <v>75</v>
      </c>
      <c r="B1087" s="24" t="s">
        <v>530</v>
      </c>
      <c r="C1087" s="24" t="s">
        <v>531</v>
      </c>
      <c r="D1087" s="24" t="n">
        <f aca="false">IFERROR(INDEX(Positions!$D$2:$D$6912,MATCH($A1087&amp;"|8",Positions!$A$2:$A$6912,0)),"-")</f>
        <v>8</v>
      </c>
      <c r="E1087" s="24" t="n">
        <f aca="false">IFERROR(INDEX(Positions!$D$2:$D$6912,MATCH($A1087&amp;"|14",Positions!$A$2:$A$6912,0)),"-")</f>
        <v>14</v>
      </c>
      <c r="F1087" s="24" t="str">
        <f aca="false">IFERROR(INDEX(Positions!$E$2:$E$6912,MATCH($A1087&amp;"|8",Positions!$A$2:$A$6912,0)),"-")</f>
        <v>U</v>
      </c>
      <c r="G1087" s="24" t="str">
        <f aca="false">IFERROR(INDEX(Positions!$E$2:$E$6912,MATCH($A1087&amp;"|14",Positions!$A$2:$A$6912,0)),"-")</f>
        <v>A</v>
      </c>
      <c r="H1087" s="25" t="str">
        <f aca="false">F1087&amp;"-"&amp;G1087</f>
        <v>U-A</v>
      </c>
      <c r="I1087" s="24" t="n">
        <f aca="false">(F1087="G")+(G1087="G")</f>
        <v>0</v>
      </c>
      <c r="J1087" s="24" t="n">
        <f aca="false">(F1087="C")+(G1087="C")</f>
        <v>0</v>
      </c>
      <c r="K1087" s="25" t="n">
        <f aca="false">I1087+J1087</f>
        <v>0</v>
      </c>
    </row>
    <row r="1088" customFormat="false" ht="15" hidden="false" customHeight="false" outlineLevel="0" collapsed="false">
      <c r="A1088" s="24" t="s">
        <v>75</v>
      </c>
      <c r="B1088" s="24" t="s">
        <v>530</v>
      </c>
      <c r="C1088" s="24" t="s">
        <v>532</v>
      </c>
      <c r="D1088" s="24" t="n">
        <f aca="false">IFERROR(INDEX(Positions!$D$2:$D$6912,MATCH($A1088&amp;"|15",Positions!$A$2:$A$6912,0)),"-")</f>
        <v>15</v>
      </c>
      <c r="E1088" s="24" t="n">
        <f aca="false">IFERROR(INDEX(Positions!$D$2:$D$6912,MATCH($A1088&amp;"|48",Positions!$A$2:$A$6912,0)),"-")</f>
        <v>49</v>
      </c>
      <c r="F1088" s="24" t="str">
        <f aca="false">IFERROR(INDEX(Positions!$E$2:$E$6912,MATCH($A1088&amp;"|15",Positions!$A$2:$A$6912,0)),"-")</f>
        <v>G</v>
      </c>
      <c r="G1088" s="24" t="str">
        <f aca="false">IFERROR(INDEX(Positions!$E$2:$E$6912,MATCH($A1088&amp;"|48",Positions!$A$2:$A$6912,0)),"-")</f>
        <v>C</v>
      </c>
      <c r="H1088" s="25" t="str">
        <f aca="false">F1088&amp;"-"&amp;G1088</f>
        <v>G-C</v>
      </c>
      <c r="I1088" s="24" t="n">
        <f aca="false">(F1088="G")+(G1088="G")</f>
        <v>1</v>
      </c>
      <c r="J1088" s="24" t="n">
        <f aca="false">(F1088="C")+(G1088="C")</f>
        <v>1</v>
      </c>
      <c r="K1088" s="25" t="n">
        <f aca="false">I1088+J1088</f>
        <v>2</v>
      </c>
    </row>
    <row r="1089" customFormat="false" ht="15" hidden="false" customHeight="false" outlineLevel="0" collapsed="false">
      <c r="A1089" s="24" t="s">
        <v>75</v>
      </c>
      <c r="B1089" s="24" t="s">
        <v>530</v>
      </c>
      <c r="C1089" s="24" t="s">
        <v>533</v>
      </c>
      <c r="D1089" s="24" t="n">
        <f aca="false">IFERROR(INDEX(Positions!$D$2:$D$6912,MATCH($A1089&amp;"|18",Positions!$A$2:$A$6912,0)),"-")</f>
        <v>18</v>
      </c>
      <c r="E1089" s="24" t="n">
        <f aca="false">IFERROR(INDEX(Positions!$D$2:$D$6912,MATCH($A1089&amp;"|55",Positions!$A$2:$A$6912,0)),"-")</f>
        <v>56</v>
      </c>
      <c r="F1089" s="24" t="str">
        <f aca="false">IFERROR(INDEX(Positions!$E$2:$E$6912,MATCH($A1089&amp;"|18",Positions!$A$2:$A$6912,0)),"-")</f>
        <v>G</v>
      </c>
      <c r="G1089" s="24" t="str">
        <f aca="false">IFERROR(INDEX(Positions!$E$2:$E$6912,MATCH($A1089&amp;"|55",Positions!$A$2:$A$6912,0)),"-")</f>
        <v>U</v>
      </c>
      <c r="H1089" s="25" t="str">
        <f aca="false">F1089&amp;"-"&amp;G1089</f>
        <v>G-U</v>
      </c>
      <c r="I1089" s="24" t="n">
        <f aca="false">(F1089="G")+(G1089="G")</f>
        <v>1</v>
      </c>
      <c r="J1089" s="24" t="n">
        <f aca="false">(F1089="C")+(G1089="C")</f>
        <v>0</v>
      </c>
      <c r="K1089" s="25" t="n">
        <f aca="false">I1089+J1089</f>
        <v>1</v>
      </c>
    </row>
    <row r="1090" customFormat="false" ht="15" hidden="false" customHeight="false" outlineLevel="0" collapsed="false">
      <c r="A1090" s="24" t="s">
        <v>75</v>
      </c>
      <c r="B1090" s="24" t="s">
        <v>530</v>
      </c>
      <c r="C1090" s="24" t="s">
        <v>534</v>
      </c>
      <c r="D1090" s="24" t="n">
        <f aca="false">IFERROR(INDEX(Positions!$D$2:$D$6912,MATCH($A1090&amp;"|19",Positions!$A$2:$A$6912,0)),"-")</f>
        <v>19</v>
      </c>
      <c r="E1090" s="24" t="n">
        <f aca="false">IFERROR(INDEX(Positions!$D$2:$D$6912,MATCH($A1090&amp;"|56",Positions!$A$2:$A$6912,0)),"-")</f>
        <v>57</v>
      </c>
      <c r="F1090" s="24" t="str">
        <f aca="false">IFERROR(INDEX(Positions!$E$2:$E$6912,MATCH($A1090&amp;"|19",Positions!$A$2:$A$6912,0)),"-")</f>
        <v>G</v>
      </c>
      <c r="G1090" s="24" t="str">
        <f aca="false">IFERROR(INDEX(Positions!$E$2:$E$6912,MATCH($A1090&amp;"|56",Positions!$A$2:$A$6912,0)),"-")</f>
        <v>C</v>
      </c>
      <c r="H1090" s="25" t="str">
        <f aca="false">F1090&amp;"-"&amp;G1090</f>
        <v>G-C</v>
      </c>
      <c r="I1090" s="24" t="n">
        <f aca="false">(F1090="G")+(G1090="G")</f>
        <v>1</v>
      </c>
      <c r="J1090" s="24" t="n">
        <f aca="false">(F1090="C")+(G1090="C")</f>
        <v>1</v>
      </c>
      <c r="K1090" s="25" t="n">
        <f aca="false">I1090+J1090</f>
        <v>2</v>
      </c>
    </row>
    <row r="1091" customFormat="false" ht="15" hidden="false" customHeight="false" outlineLevel="0" collapsed="false">
      <c r="A1091" s="24" t="s">
        <v>75</v>
      </c>
      <c r="B1091" s="24" t="s">
        <v>530</v>
      </c>
      <c r="C1091" s="24" t="s">
        <v>535</v>
      </c>
      <c r="D1091" s="24" t="n">
        <f aca="false">IFERROR(INDEX(Positions!$D$2:$D$6912,MATCH($A1091&amp;"|26",Positions!$A$2:$A$6912,0)),"-")</f>
        <v>27</v>
      </c>
      <c r="E1091" s="24" t="n">
        <f aca="false">IFERROR(INDEX(Positions!$D$2:$D$6912,MATCH($A1091&amp;"|44",Positions!$A$2:$A$6912,0)),"-")</f>
        <v>45</v>
      </c>
      <c r="F1091" s="24" t="str">
        <f aca="false">IFERROR(INDEX(Positions!$E$2:$E$6912,MATCH($A1091&amp;"|26",Positions!$A$2:$A$6912,0)),"-")</f>
        <v>G</v>
      </c>
      <c r="G1091" s="24" t="str">
        <f aca="false">IFERROR(INDEX(Positions!$E$2:$E$6912,MATCH($A1091&amp;"|44",Positions!$A$2:$A$6912,0)),"-")</f>
        <v>A</v>
      </c>
      <c r="H1091" s="25" t="str">
        <f aca="false">F1091&amp;"-"&amp;G1091</f>
        <v>G-A</v>
      </c>
      <c r="I1091" s="24" t="n">
        <f aca="false">(F1091="G")+(G1091="G")</f>
        <v>1</v>
      </c>
      <c r="J1091" s="24" t="n">
        <f aca="false">(F1091="C")+(G1091="C")</f>
        <v>0</v>
      </c>
      <c r="K1091" s="25" t="n">
        <f aca="false">I1091+J1091</f>
        <v>1</v>
      </c>
    </row>
    <row r="1092" customFormat="false" ht="15" hidden="false" customHeight="false" outlineLevel="0" collapsed="false">
      <c r="A1092" s="24" t="s">
        <v>75</v>
      </c>
      <c r="B1092" s="24" t="s">
        <v>530</v>
      </c>
      <c r="C1092" s="24" t="s">
        <v>536</v>
      </c>
      <c r="D1092" s="24" t="n">
        <f aca="false">IFERROR(INDEX(Positions!$D$2:$D$6912,MATCH($A1092&amp;"|32",Positions!$A$2:$A$6912,0)),"-")</f>
        <v>33</v>
      </c>
      <c r="E1092" s="24" t="n">
        <f aca="false">IFERROR(INDEX(Positions!$D$2:$D$6912,MATCH($A1092&amp;"|38",Positions!$A$2:$A$6912,0)),"-")</f>
        <v>39</v>
      </c>
      <c r="F1092" s="24" t="str">
        <f aca="false">IFERROR(INDEX(Positions!$E$2:$E$6912,MATCH($A1092&amp;"|32",Positions!$A$2:$A$6912,0)),"-")</f>
        <v>C</v>
      </c>
      <c r="G1092" s="24" t="str">
        <f aca="false">IFERROR(INDEX(Positions!$E$2:$E$6912,MATCH($A1092&amp;"|38",Positions!$A$2:$A$6912,0)),"-")</f>
        <v>A</v>
      </c>
      <c r="H1092" s="25" t="str">
        <f aca="false">F1092&amp;"-"&amp;G1092</f>
        <v>C-A</v>
      </c>
      <c r="I1092" s="24" t="n">
        <f aca="false">(F1092="G")+(G1092="G")</f>
        <v>0</v>
      </c>
      <c r="J1092" s="24" t="n">
        <f aca="false">(F1092="C")+(G1092="C")</f>
        <v>1</v>
      </c>
      <c r="K1092" s="25" t="n">
        <f aca="false">I1092+J1092</f>
        <v>1</v>
      </c>
    </row>
    <row r="1093" customFormat="false" ht="15" hidden="false" customHeight="false" outlineLevel="0" collapsed="false">
      <c r="A1093" s="24" t="s">
        <v>75</v>
      </c>
      <c r="B1093" s="24" t="s">
        <v>530</v>
      </c>
      <c r="C1093" s="24" t="s">
        <v>537</v>
      </c>
      <c r="D1093" s="24" t="n">
        <f aca="false">IFERROR(INDEX(Positions!$D$2:$D$6912,MATCH($A1093&amp;"|54",Positions!$A$2:$A$6912,0)),"-")</f>
        <v>55</v>
      </c>
      <c r="E1093" s="24" t="n">
        <f aca="false">IFERROR(INDEX(Positions!$D$2:$D$6912,MATCH($A1093&amp;"|58",Positions!$A$2:$A$6912,0)),"-")</f>
        <v>59</v>
      </c>
      <c r="F1093" s="24" t="str">
        <f aca="false">IFERROR(INDEX(Positions!$E$2:$E$6912,MATCH($A1093&amp;"|54",Positions!$A$2:$A$6912,0)),"-")</f>
        <v>U</v>
      </c>
      <c r="G1093" s="24" t="str">
        <f aca="false">IFERROR(INDEX(Positions!$E$2:$E$6912,MATCH($A1093&amp;"|58",Positions!$A$2:$A$6912,0)),"-")</f>
        <v>A</v>
      </c>
      <c r="H1093" s="25" t="str">
        <f aca="false">F1093&amp;"-"&amp;G1093</f>
        <v>U-A</v>
      </c>
      <c r="I1093" s="24" t="n">
        <f aca="false">(F1093="G")+(G1093="G")</f>
        <v>0</v>
      </c>
      <c r="J1093" s="24" t="n">
        <f aca="false">(F1093="C")+(G1093="C")</f>
        <v>0</v>
      </c>
      <c r="K1093" s="25" t="n">
        <f aca="false">I1093+J1093</f>
        <v>0</v>
      </c>
    </row>
    <row r="1094" customFormat="false" ht="15" hidden="false" customHeight="false" outlineLevel="0" collapsed="false">
      <c r="A1094" s="4" t="s">
        <v>76</v>
      </c>
      <c r="B1094" s="4" t="s">
        <v>412</v>
      </c>
      <c r="C1094" s="4" t="s">
        <v>517</v>
      </c>
      <c r="D1094" s="4" t="n">
        <f aca="false">IFERROR(INDEX(Positions!$D$2:$D$6912,MATCH($A1094&amp;"|1",Positions!$A$2:$A$6912,0)),"-")</f>
        <v>1</v>
      </c>
      <c r="E1094" s="4" t="n">
        <f aca="false">IFERROR(INDEX(Positions!$D$2:$D$6912,MATCH($A1094&amp;"|72",Positions!$A$2:$A$6912,0)),"-")</f>
        <v>72</v>
      </c>
      <c r="F1094" s="4" t="str">
        <f aca="false">IFERROR(INDEX(Positions!$E$2:$E$6912,MATCH($A1094&amp;"|1",Positions!$A$2:$A$6912,0)),"-")</f>
        <v>G</v>
      </c>
      <c r="G1094" s="4" t="str">
        <f aca="false">IFERROR(INDEX(Positions!$E$2:$E$6912,MATCH($A1094&amp;"|72",Positions!$A$2:$A$6912,0)),"-")</f>
        <v>C</v>
      </c>
      <c r="H1094" s="3" t="str">
        <f aca="false">F1094&amp;"-"&amp;G1094</f>
        <v>G-C</v>
      </c>
      <c r="I1094" s="4" t="n">
        <f aca="false">(F1094="G")+(G1094="G")</f>
        <v>1</v>
      </c>
      <c r="J1094" s="4" t="n">
        <f aca="false">(F1094="C")+(G1094="C")</f>
        <v>1</v>
      </c>
      <c r="K1094" s="3" t="n">
        <f aca="false">I1094+J1094</f>
        <v>2</v>
      </c>
    </row>
    <row r="1095" customFormat="false" ht="15" hidden="false" customHeight="false" outlineLevel="0" collapsed="false">
      <c r="A1095" s="4" t="s">
        <v>76</v>
      </c>
      <c r="B1095" s="4" t="s">
        <v>412</v>
      </c>
      <c r="C1095" s="4" t="s">
        <v>518</v>
      </c>
      <c r="D1095" s="4" t="n">
        <f aca="false">IFERROR(INDEX(Positions!$D$2:$D$6912,MATCH($A1095&amp;"|2",Positions!$A$2:$A$6912,0)),"-")</f>
        <v>2</v>
      </c>
      <c r="E1095" s="4" t="n">
        <f aca="false">IFERROR(INDEX(Positions!$D$2:$D$6912,MATCH($A1095&amp;"|71",Positions!$A$2:$A$6912,0)),"-")</f>
        <v>71</v>
      </c>
      <c r="F1095" s="4" t="str">
        <f aca="false">IFERROR(INDEX(Positions!$E$2:$E$6912,MATCH($A1095&amp;"|2",Positions!$A$2:$A$6912,0)),"-")</f>
        <v>C</v>
      </c>
      <c r="G1095" s="4" t="str">
        <f aca="false">IFERROR(INDEX(Positions!$E$2:$E$6912,MATCH($A1095&amp;"|71",Positions!$A$2:$A$6912,0)),"-")</f>
        <v>G</v>
      </c>
      <c r="H1095" s="3" t="str">
        <f aca="false">F1095&amp;"-"&amp;G1095</f>
        <v>C-G</v>
      </c>
      <c r="I1095" s="4" t="n">
        <f aca="false">(F1095="G")+(G1095="G")</f>
        <v>1</v>
      </c>
      <c r="J1095" s="4" t="n">
        <f aca="false">(F1095="C")+(G1095="C")</f>
        <v>1</v>
      </c>
      <c r="K1095" s="3" t="n">
        <f aca="false">I1095+J1095</f>
        <v>2</v>
      </c>
    </row>
    <row r="1096" customFormat="false" ht="15" hidden="false" customHeight="false" outlineLevel="0" collapsed="false">
      <c r="A1096" s="4" t="s">
        <v>76</v>
      </c>
      <c r="B1096" s="4" t="s">
        <v>412</v>
      </c>
      <c r="C1096" s="4" t="s">
        <v>386</v>
      </c>
      <c r="D1096" s="4" t="n">
        <f aca="false">IFERROR(INDEX(Positions!$D$2:$D$6912,MATCH($A1096&amp;"|3",Positions!$A$2:$A$6912,0)),"-")</f>
        <v>3</v>
      </c>
      <c r="E1096" s="4" t="n">
        <f aca="false">IFERROR(INDEX(Positions!$D$2:$D$6912,MATCH($A1096&amp;"|70",Positions!$A$2:$A$6912,0)),"-")</f>
        <v>70</v>
      </c>
      <c r="F1096" s="4" t="str">
        <f aca="false">IFERROR(INDEX(Positions!$E$2:$E$6912,MATCH($A1096&amp;"|3",Positions!$A$2:$A$6912,0)),"-")</f>
        <v>C</v>
      </c>
      <c r="G1096" s="4" t="str">
        <f aca="false">IFERROR(INDEX(Positions!$E$2:$E$6912,MATCH($A1096&amp;"|70",Positions!$A$2:$A$6912,0)),"-")</f>
        <v>G</v>
      </c>
      <c r="H1096" s="3" t="str">
        <f aca="false">F1096&amp;"-"&amp;G1096</f>
        <v>C-G</v>
      </c>
      <c r="I1096" s="4" t="n">
        <f aca="false">(F1096="G")+(G1096="G")</f>
        <v>1</v>
      </c>
      <c r="J1096" s="4" t="n">
        <f aca="false">(F1096="C")+(G1096="C")</f>
        <v>1</v>
      </c>
      <c r="K1096" s="3" t="n">
        <f aca="false">I1096+J1096</f>
        <v>2</v>
      </c>
    </row>
    <row r="1097" customFormat="false" ht="15" hidden="false" customHeight="false" outlineLevel="0" collapsed="false">
      <c r="A1097" s="4" t="s">
        <v>76</v>
      </c>
      <c r="B1097" s="4" t="s">
        <v>412</v>
      </c>
      <c r="C1097" s="4" t="s">
        <v>519</v>
      </c>
      <c r="D1097" s="4" t="n">
        <f aca="false">IFERROR(INDEX(Positions!$D$2:$D$6912,MATCH($A1097&amp;"|4",Positions!$A$2:$A$6912,0)),"-")</f>
        <v>4</v>
      </c>
      <c r="E1097" s="4" t="n">
        <f aca="false">IFERROR(INDEX(Positions!$D$2:$D$6912,MATCH($A1097&amp;"|69",Positions!$A$2:$A$6912,0)),"-")</f>
        <v>69</v>
      </c>
      <c r="F1097" s="4" t="str">
        <f aca="false">IFERROR(INDEX(Positions!$E$2:$E$6912,MATCH($A1097&amp;"|4",Positions!$A$2:$A$6912,0)),"-")</f>
        <v>C</v>
      </c>
      <c r="G1097" s="4" t="str">
        <f aca="false">IFERROR(INDEX(Positions!$E$2:$E$6912,MATCH($A1097&amp;"|69",Positions!$A$2:$A$6912,0)),"-")</f>
        <v>G</v>
      </c>
      <c r="H1097" s="3" t="str">
        <f aca="false">F1097&amp;"-"&amp;G1097</f>
        <v>C-G</v>
      </c>
      <c r="I1097" s="4" t="n">
        <f aca="false">(F1097="G")+(G1097="G")</f>
        <v>1</v>
      </c>
      <c r="J1097" s="4" t="n">
        <f aca="false">(F1097="C")+(G1097="C")</f>
        <v>1</v>
      </c>
      <c r="K1097" s="3" t="n">
        <f aca="false">I1097+J1097</f>
        <v>2</v>
      </c>
    </row>
    <row r="1098" customFormat="false" ht="15" hidden="false" customHeight="false" outlineLevel="0" collapsed="false">
      <c r="A1098" s="4" t="s">
        <v>76</v>
      </c>
      <c r="B1098" s="4" t="s">
        <v>412</v>
      </c>
      <c r="C1098" s="4" t="s">
        <v>283</v>
      </c>
      <c r="D1098" s="4" t="n">
        <f aca="false">IFERROR(INDEX(Positions!$D$2:$D$6912,MATCH($A1098&amp;"|5",Positions!$A$2:$A$6912,0)),"-")</f>
        <v>5</v>
      </c>
      <c r="E1098" s="4" t="n">
        <f aca="false">IFERROR(INDEX(Positions!$D$2:$D$6912,MATCH($A1098&amp;"|68",Positions!$A$2:$A$6912,0)),"-")</f>
        <v>68</v>
      </c>
      <c r="F1098" s="4" t="str">
        <f aca="false">IFERROR(INDEX(Positions!$E$2:$E$6912,MATCH($A1098&amp;"|5",Positions!$A$2:$A$6912,0)),"-")</f>
        <v>G</v>
      </c>
      <c r="G1098" s="4" t="str">
        <f aca="false">IFERROR(INDEX(Positions!$E$2:$E$6912,MATCH($A1098&amp;"|68",Positions!$A$2:$A$6912,0)),"-")</f>
        <v>U</v>
      </c>
      <c r="H1098" s="3" t="str">
        <f aca="false">F1098&amp;"-"&amp;G1098</f>
        <v>G-U</v>
      </c>
      <c r="I1098" s="4" t="n">
        <f aca="false">(F1098="G")+(G1098="G")</f>
        <v>1</v>
      </c>
      <c r="J1098" s="4" t="n">
        <f aca="false">(F1098="C")+(G1098="C")</f>
        <v>0</v>
      </c>
      <c r="K1098" s="3" t="n">
        <f aca="false">I1098+J1098</f>
        <v>1</v>
      </c>
    </row>
    <row r="1099" customFormat="false" ht="15" hidden="false" customHeight="false" outlineLevel="0" collapsed="false">
      <c r="A1099" s="4" t="s">
        <v>76</v>
      </c>
      <c r="B1099" s="4" t="s">
        <v>412</v>
      </c>
      <c r="C1099" s="4" t="s">
        <v>520</v>
      </c>
      <c r="D1099" s="4" t="n">
        <f aca="false">IFERROR(INDEX(Positions!$D$2:$D$6912,MATCH($A1099&amp;"|6",Positions!$A$2:$A$6912,0)),"-")</f>
        <v>6</v>
      </c>
      <c r="E1099" s="4" t="n">
        <f aca="false">IFERROR(INDEX(Positions!$D$2:$D$6912,MATCH($A1099&amp;"|67",Positions!$A$2:$A$6912,0)),"-")</f>
        <v>67</v>
      </c>
      <c r="F1099" s="4" t="str">
        <f aca="false">IFERROR(INDEX(Positions!$E$2:$E$6912,MATCH($A1099&amp;"|6",Positions!$A$2:$A$6912,0)),"-")</f>
        <v>G</v>
      </c>
      <c r="G1099" s="4" t="str">
        <f aca="false">IFERROR(INDEX(Positions!$E$2:$E$6912,MATCH($A1099&amp;"|67",Positions!$A$2:$A$6912,0)),"-")</f>
        <v>U</v>
      </c>
      <c r="H1099" s="3" t="str">
        <f aca="false">F1099&amp;"-"&amp;G1099</f>
        <v>G-U</v>
      </c>
      <c r="I1099" s="4" t="n">
        <f aca="false">(F1099="G")+(G1099="G")</f>
        <v>1</v>
      </c>
      <c r="J1099" s="4" t="n">
        <f aca="false">(F1099="C")+(G1099="C")</f>
        <v>0</v>
      </c>
      <c r="K1099" s="3" t="n">
        <f aca="false">I1099+J1099</f>
        <v>1</v>
      </c>
    </row>
    <row r="1100" customFormat="false" ht="15" hidden="false" customHeight="false" outlineLevel="0" collapsed="false">
      <c r="A1100" s="4" t="s">
        <v>76</v>
      </c>
      <c r="B1100" s="4" t="s">
        <v>412</v>
      </c>
      <c r="C1100" s="4" t="s">
        <v>521</v>
      </c>
      <c r="D1100" s="4" t="n">
        <f aca="false">IFERROR(INDEX(Positions!$D$2:$D$6912,MATCH($A1100&amp;"|7",Positions!$A$2:$A$6912,0)),"-")</f>
        <v>7</v>
      </c>
      <c r="E1100" s="4" t="n">
        <f aca="false">IFERROR(INDEX(Positions!$D$2:$D$6912,MATCH($A1100&amp;"|66",Positions!$A$2:$A$6912,0)),"-")</f>
        <v>66</v>
      </c>
      <c r="F1100" s="4" t="str">
        <f aca="false">IFERROR(INDEX(Positions!$E$2:$E$6912,MATCH($A1100&amp;"|7",Positions!$A$2:$A$6912,0)),"-")</f>
        <v>C</v>
      </c>
      <c r="G1100" s="4" t="str">
        <f aca="false">IFERROR(INDEX(Positions!$E$2:$E$6912,MATCH($A1100&amp;"|66",Positions!$A$2:$A$6912,0)),"-")</f>
        <v>G</v>
      </c>
      <c r="H1100" s="3" t="str">
        <f aca="false">F1100&amp;"-"&amp;G1100</f>
        <v>C-G</v>
      </c>
      <c r="I1100" s="4" t="n">
        <f aca="false">(F1100="G")+(G1100="G")</f>
        <v>1</v>
      </c>
      <c r="J1100" s="4" t="n">
        <f aca="false">(F1100="C")+(G1100="C")</f>
        <v>1</v>
      </c>
      <c r="K1100" s="3" t="n">
        <f aca="false">I1100+J1100</f>
        <v>2</v>
      </c>
    </row>
    <row r="1101" customFormat="false" ht="15" hidden="false" customHeight="false" outlineLevel="0" collapsed="false">
      <c r="A1101" s="4" t="s">
        <v>76</v>
      </c>
      <c r="B1101" s="4" t="s">
        <v>425</v>
      </c>
      <c r="C1101" s="4" t="s">
        <v>522</v>
      </c>
      <c r="D1101" s="4" t="n">
        <f aca="false">IFERROR(INDEX(Positions!$D$2:$D$6912,MATCH($A1101&amp;"|10",Positions!$A$2:$A$6912,0)),"-")</f>
        <v>10</v>
      </c>
      <c r="E1101" s="4" t="n">
        <f aca="false">IFERROR(INDEX(Positions!$D$2:$D$6912,MATCH($A1101&amp;"|25",Positions!$A$2:$A$6912,0)),"-")</f>
        <v>25</v>
      </c>
      <c r="F1101" s="4" t="str">
        <f aca="false">IFERROR(INDEX(Positions!$E$2:$E$6912,MATCH($A1101&amp;"|10",Positions!$A$2:$A$6912,0)),"-")</f>
        <v>G</v>
      </c>
      <c r="G1101" s="4" t="str">
        <f aca="false">IFERROR(INDEX(Positions!$E$2:$E$6912,MATCH($A1101&amp;"|25",Positions!$A$2:$A$6912,0)),"-")</f>
        <v>C</v>
      </c>
      <c r="H1101" s="3" t="str">
        <f aca="false">F1101&amp;"-"&amp;G1101</f>
        <v>G-C</v>
      </c>
      <c r="I1101" s="4" t="n">
        <f aca="false">(F1101="G")+(G1101="G")</f>
        <v>1</v>
      </c>
      <c r="J1101" s="4" t="n">
        <f aca="false">(F1101="C")+(G1101="C")</f>
        <v>1</v>
      </c>
      <c r="K1101" s="3" t="n">
        <f aca="false">I1101+J1101</f>
        <v>2</v>
      </c>
    </row>
    <row r="1102" customFormat="false" ht="15" hidden="false" customHeight="false" outlineLevel="0" collapsed="false">
      <c r="A1102" s="4" t="s">
        <v>76</v>
      </c>
      <c r="B1102" s="4" t="s">
        <v>425</v>
      </c>
      <c r="C1102" s="4" t="s">
        <v>523</v>
      </c>
      <c r="D1102" s="4" t="n">
        <f aca="false">IFERROR(INDEX(Positions!$D$2:$D$6912,MATCH($A1102&amp;"|11",Positions!$A$2:$A$6912,0)),"-")</f>
        <v>11</v>
      </c>
      <c r="E1102" s="4" t="n">
        <f aca="false">IFERROR(INDEX(Positions!$D$2:$D$6912,MATCH($A1102&amp;"|24",Positions!$A$2:$A$6912,0)),"-")</f>
        <v>24</v>
      </c>
      <c r="F1102" s="4" t="str">
        <f aca="false">IFERROR(INDEX(Positions!$E$2:$E$6912,MATCH($A1102&amp;"|11",Positions!$A$2:$A$6912,0)),"-")</f>
        <v>C</v>
      </c>
      <c r="G1102" s="4" t="str">
        <f aca="false">IFERROR(INDEX(Positions!$E$2:$E$6912,MATCH($A1102&amp;"|24",Positions!$A$2:$A$6912,0)),"-")</f>
        <v>G</v>
      </c>
      <c r="H1102" s="3" t="str">
        <f aca="false">F1102&amp;"-"&amp;G1102</f>
        <v>C-G</v>
      </c>
      <c r="I1102" s="4" t="n">
        <f aca="false">(F1102="G")+(G1102="G")</f>
        <v>1</v>
      </c>
      <c r="J1102" s="4" t="n">
        <f aca="false">(F1102="C")+(G1102="C")</f>
        <v>1</v>
      </c>
      <c r="K1102" s="3" t="n">
        <f aca="false">I1102+J1102</f>
        <v>2</v>
      </c>
    </row>
    <row r="1103" customFormat="false" ht="15" hidden="false" customHeight="false" outlineLevel="0" collapsed="false">
      <c r="A1103" s="4" t="s">
        <v>76</v>
      </c>
      <c r="B1103" s="4" t="s">
        <v>425</v>
      </c>
      <c r="C1103" s="4" t="s">
        <v>250</v>
      </c>
      <c r="D1103" s="4" t="n">
        <f aca="false">IFERROR(INDEX(Positions!$D$2:$D$6912,MATCH($A1103&amp;"|12",Positions!$A$2:$A$6912,0)),"-")</f>
        <v>12</v>
      </c>
      <c r="E1103" s="4" t="n">
        <f aca="false">IFERROR(INDEX(Positions!$D$2:$D$6912,MATCH($A1103&amp;"|23",Positions!$A$2:$A$6912,0)),"-")</f>
        <v>23</v>
      </c>
      <c r="F1103" s="4" t="str">
        <f aca="false">IFERROR(INDEX(Positions!$E$2:$E$6912,MATCH($A1103&amp;"|12",Positions!$A$2:$A$6912,0)),"-")</f>
        <v>U</v>
      </c>
      <c r="G1103" s="4" t="str">
        <f aca="false">IFERROR(INDEX(Positions!$E$2:$E$6912,MATCH($A1103&amp;"|23",Positions!$A$2:$A$6912,0)),"-")</f>
        <v>A</v>
      </c>
      <c r="H1103" s="3" t="str">
        <f aca="false">F1103&amp;"-"&amp;G1103</f>
        <v>U-A</v>
      </c>
      <c r="I1103" s="4" t="n">
        <f aca="false">(F1103="G")+(G1103="G")</f>
        <v>0</v>
      </c>
      <c r="J1103" s="4" t="n">
        <f aca="false">(F1103="C")+(G1103="C")</f>
        <v>0</v>
      </c>
      <c r="K1103" s="3" t="n">
        <f aca="false">I1103+J1103</f>
        <v>0</v>
      </c>
    </row>
    <row r="1104" customFormat="false" ht="15" hidden="false" customHeight="false" outlineLevel="0" collapsed="false">
      <c r="A1104" s="4" t="s">
        <v>76</v>
      </c>
      <c r="B1104" s="4" t="s">
        <v>425</v>
      </c>
      <c r="C1104" s="4" t="s">
        <v>154</v>
      </c>
      <c r="D1104" s="4" t="n">
        <f aca="false">IFERROR(INDEX(Positions!$D$2:$D$6912,MATCH($A1104&amp;"|13",Positions!$A$2:$A$6912,0)),"-")</f>
        <v>13</v>
      </c>
      <c r="E1104" s="4" t="n">
        <f aca="false">IFERROR(INDEX(Positions!$D$2:$D$6912,MATCH($A1104&amp;"|22",Positions!$A$2:$A$6912,0)),"-")</f>
        <v>22</v>
      </c>
      <c r="F1104" s="4" t="str">
        <f aca="false">IFERROR(INDEX(Positions!$E$2:$E$6912,MATCH($A1104&amp;"|13",Positions!$A$2:$A$6912,0)),"-")</f>
        <v>C</v>
      </c>
      <c r="G1104" s="4" t="str">
        <f aca="false">IFERROR(INDEX(Positions!$E$2:$E$6912,MATCH($A1104&amp;"|22",Positions!$A$2:$A$6912,0)),"-")</f>
        <v>G</v>
      </c>
      <c r="H1104" s="3" t="str">
        <f aca="false">F1104&amp;"-"&amp;G1104</f>
        <v>C-G</v>
      </c>
      <c r="I1104" s="4" t="n">
        <f aca="false">(F1104="G")+(G1104="G")</f>
        <v>1</v>
      </c>
      <c r="J1104" s="4" t="n">
        <f aca="false">(F1104="C")+(G1104="C")</f>
        <v>1</v>
      </c>
      <c r="K1104" s="3" t="n">
        <f aca="false">I1104+J1104</f>
        <v>2</v>
      </c>
    </row>
    <row r="1105" customFormat="false" ht="15" hidden="false" customHeight="false" outlineLevel="0" collapsed="false">
      <c r="A1105" s="4" t="s">
        <v>76</v>
      </c>
      <c r="B1105" s="4" t="s">
        <v>446</v>
      </c>
      <c r="C1105" s="4" t="s">
        <v>524</v>
      </c>
      <c r="D1105" s="4" t="n">
        <f aca="false">IFERROR(INDEX(Positions!$D$2:$D$6912,MATCH($A1105&amp;"|27",Positions!$A$2:$A$6912,0)),"-")</f>
        <v>27</v>
      </c>
      <c r="E1105" s="4" t="n">
        <f aca="false">IFERROR(INDEX(Positions!$D$2:$D$6912,MATCH($A1105&amp;"|43",Positions!$A$2:$A$6912,0)),"-")</f>
        <v>43</v>
      </c>
      <c r="F1105" s="4" t="str">
        <f aca="false">IFERROR(INDEX(Positions!$E$2:$E$6912,MATCH($A1105&amp;"|27",Positions!$A$2:$A$6912,0)),"-")</f>
        <v>U</v>
      </c>
      <c r="G1105" s="4" t="str">
        <f aca="false">IFERROR(INDEX(Positions!$E$2:$E$6912,MATCH($A1105&amp;"|43",Positions!$A$2:$A$6912,0)),"-")</f>
        <v>A</v>
      </c>
      <c r="H1105" s="3" t="str">
        <f aca="false">F1105&amp;"-"&amp;G1105</f>
        <v>U-A</v>
      </c>
      <c r="I1105" s="4" t="n">
        <f aca="false">(F1105="G")+(G1105="G")</f>
        <v>0</v>
      </c>
      <c r="J1105" s="4" t="n">
        <f aca="false">(F1105="C")+(G1105="C")</f>
        <v>0</v>
      </c>
      <c r="K1105" s="3" t="n">
        <f aca="false">I1105+J1105</f>
        <v>0</v>
      </c>
    </row>
    <row r="1106" customFormat="false" ht="15" hidden="false" customHeight="false" outlineLevel="0" collapsed="false">
      <c r="A1106" s="4" t="s">
        <v>76</v>
      </c>
      <c r="B1106" s="4" t="s">
        <v>446</v>
      </c>
      <c r="C1106" s="4" t="s">
        <v>525</v>
      </c>
      <c r="D1106" s="4" t="n">
        <f aca="false">IFERROR(INDEX(Positions!$D$2:$D$6912,MATCH($A1106&amp;"|28",Positions!$A$2:$A$6912,0)),"-")</f>
        <v>28</v>
      </c>
      <c r="E1106" s="4" t="n">
        <f aca="false">IFERROR(INDEX(Positions!$D$2:$D$6912,MATCH($A1106&amp;"|42",Positions!$A$2:$A$6912,0)),"-")</f>
        <v>42</v>
      </c>
      <c r="F1106" s="4" t="str">
        <f aca="false">IFERROR(INDEX(Positions!$E$2:$E$6912,MATCH($A1106&amp;"|28",Positions!$A$2:$A$6912,0)),"-")</f>
        <v>G</v>
      </c>
      <c r="G1106" s="4" t="str">
        <f aca="false">IFERROR(INDEX(Positions!$E$2:$E$6912,MATCH($A1106&amp;"|42",Positions!$A$2:$A$6912,0)),"-")</f>
        <v>C</v>
      </c>
      <c r="H1106" s="3" t="str">
        <f aca="false">F1106&amp;"-"&amp;G1106</f>
        <v>G-C</v>
      </c>
      <c r="I1106" s="4" t="n">
        <f aca="false">(F1106="G")+(G1106="G")</f>
        <v>1</v>
      </c>
      <c r="J1106" s="4" t="n">
        <f aca="false">(F1106="C")+(G1106="C")</f>
        <v>1</v>
      </c>
      <c r="K1106" s="3" t="n">
        <f aca="false">I1106+J1106</f>
        <v>2</v>
      </c>
    </row>
    <row r="1107" customFormat="false" ht="15" hidden="false" customHeight="false" outlineLevel="0" collapsed="false">
      <c r="A1107" s="4" t="s">
        <v>76</v>
      </c>
      <c r="B1107" s="4" t="s">
        <v>446</v>
      </c>
      <c r="C1107" s="4" t="s">
        <v>256</v>
      </c>
      <c r="D1107" s="4" t="n">
        <f aca="false">IFERROR(INDEX(Positions!$D$2:$D$6912,MATCH($A1107&amp;"|29",Positions!$A$2:$A$6912,0)),"-")</f>
        <v>29</v>
      </c>
      <c r="E1107" s="4" t="n">
        <f aca="false">IFERROR(INDEX(Positions!$D$2:$D$6912,MATCH($A1107&amp;"|41",Positions!$A$2:$A$6912,0)),"-")</f>
        <v>41</v>
      </c>
      <c r="F1107" s="4" t="str">
        <f aca="false">IFERROR(INDEX(Positions!$E$2:$E$6912,MATCH($A1107&amp;"|29",Positions!$A$2:$A$6912,0)),"-")</f>
        <v>G</v>
      </c>
      <c r="G1107" s="4" t="str">
        <f aca="false">IFERROR(INDEX(Positions!$E$2:$E$6912,MATCH($A1107&amp;"|41",Positions!$A$2:$A$6912,0)),"-")</f>
        <v>C</v>
      </c>
      <c r="H1107" s="3" t="str">
        <f aca="false">F1107&amp;"-"&amp;G1107</f>
        <v>G-C</v>
      </c>
      <c r="I1107" s="4" t="n">
        <f aca="false">(F1107="G")+(G1107="G")</f>
        <v>1</v>
      </c>
      <c r="J1107" s="4" t="n">
        <f aca="false">(F1107="C")+(G1107="C")</f>
        <v>1</v>
      </c>
      <c r="K1107" s="3" t="n">
        <f aca="false">I1107+J1107</f>
        <v>2</v>
      </c>
    </row>
    <row r="1108" customFormat="false" ht="15" hidden="false" customHeight="false" outlineLevel="0" collapsed="false">
      <c r="A1108" s="4" t="s">
        <v>76</v>
      </c>
      <c r="B1108" s="4" t="s">
        <v>446</v>
      </c>
      <c r="C1108" s="4" t="s">
        <v>526</v>
      </c>
      <c r="D1108" s="4" t="n">
        <f aca="false">IFERROR(INDEX(Positions!$D$2:$D$6912,MATCH($A1108&amp;"|30",Positions!$A$2:$A$6912,0)),"-")</f>
        <v>30</v>
      </c>
      <c r="E1108" s="4" t="n">
        <f aca="false">IFERROR(INDEX(Positions!$D$2:$D$6912,MATCH($A1108&amp;"|40",Positions!$A$2:$A$6912,0)),"-")</f>
        <v>40</v>
      </c>
      <c r="F1108" s="4" t="str">
        <f aca="false">IFERROR(INDEX(Positions!$E$2:$E$6912,MATCH($A1108&amp;"|30",Positions!$A$2:$A$6912,0)),"-")</f>
        <v>G</v>
      </c>
      <c r="G1108" s="4" t="str">
        <f aca="false">IFERROR(INDEX(Positions!$E$2:$E$6912,MATCH($A1108&amp;"|40",Positions!$A$2:$A$6912,0)),"-")</f>
        <v>C</v>
      </c>
      <c r="H1108" s="3" t="str">
        <f aca="false">F1108&amp;"-"&amp;G1108</f>
        <v>G-C</v>
      </c>
      <c r="I1108" s="4" t="n">
        <f aca="false">(F1108="G")+(G1108="G")</f>
        <v>1</v>
      </c>
      <c r="J1108" s="4" t="n">
        <f aca="false">(F1108="C")+(G1108="C")</f>
        <v>1</v>
      </c>
      <c r="K1108" s="3" t="n">
        <f aca="false">I1108+J1108</f>
        <v>2</v>
      </c>
    </row>
    <row r="1109" customFormat="false" ht="15" hidden="false" customHeight="false" outlineLevel="0" collapsed="false">
      <c r="A1109" s="4" t="s">
        <v>76</v>
      </c>
      <c r="B1109" s="4" t="s">
        <v>446</v>
      </c>
      <c r="C1109" s="4" t="s">
        <v>273</v>
      </c>
      <c r="D1109" s="4" t="n">
        <f aca="false">IFERROR(INDEX(Positions!$D$2:$D$6912,MATCH($A1109&amp;"|31",Positions!$A$2:$A$6912,0)),"-")</f>
        <v>31</v>
      </c>
      <c r="E1109" s="4" t="n">
        <f aca="false">IFERROR(INDEX(Positions!$D$2:$D$6912,MATCH($A1109&amp;"|39",Positions!$A$2:$A$6912,0)),"-")</f>
        <v>39</v>
      </c>
      <c r="F1109" s="4" t="str">
        <f aca="false">IFERROR(INDEX(Positions!$E$2:$E$6912,MATCH($A1109&amp;"|31",Positions!$A$2:$A$6912,0)),"-")</f>
        <v>A</v>
      </c>
      <c r="G1109" s="4" t="str">
        <f aca="false">IFERROR(INDEX(Positions!$E$2:$E$6912,MATCH($A1109&amp;"|39",Positions!$A$2:$A$6912,0)),"-")</f>
        <v>U</v>
      </c>
      <c r="H1109" s="3" t="str">
        <f aca="false">F1109&amp;"-"&amp;G1109</f>
        <v>A-U</v>
      </c>
      <c r="I1109" s="4" t="n">
        <f aca="false">(F1109="G")+(G1109="G")</f>
        <v>0</v>
      </c>
      <c r="J1109" s="4" t="n">
        <f aca="false">(F1109="C")+(G1109="C")</f>
        <v>0</v>
      </c>
      <c r="K1109" s="3" t="n">
        <f aca="false">I1109+J1109</f>
        <v>0</v>
      </c>
    </row>
    <row r="1110" customFormat="false" ht="15" hidden="false" customHeight="false" outlineLevel="0" collapsed="false">
      <c r="A1110" s="4" t="s">
        <v>76</v>
      </c>
      <c r="B1110" s="4" t="s">
        <v>471</v>
      </c>
      <c r="C1110" s="4" t="s">
        <v>367</v>
      </c>
      <c r="D1110" s="4" t="n">
        <f aca="false">IFERROR(INDEX(Positions!$D$2:$D$6912,MATCH($A1110&amp;"|49",Positions!$A$2:$A$6912,0)),"-")</f>
        <v>49</v>
      </c>
      <c r="E1110" s="4" t="n">
        <f aca="false">IFERROR(INDEX(Positions!$D$2:$D$6912,MATCH($A1110&amp;"|65",Positions!$A$2:$A$6912,0)),"-")</f>
        <v>65</v>
      </c>
      <c r="F1110" s="4" t="str">
        <f aca="false">IFERROR(INDEX(Positions!$E$2:$E$6912,MATCH($A1110&amp;"|49",Positions!$A$2:$A$6912,0)),"-")</f>
        <v>G</v>
      </c>
      <c r="G1110" s="4" t="str">
        <f aca="false">IFERROR(INDEX(Positions!$E$2:$E$6912,MATCH($A1110&amp;"|65",Positions!$A$2:$A$6912,0)),"-")</f>
        <v>C</v>
      </c>
      <c r="H1110" s="3" t="str">
        <f aca="false">F1110&amp;"-"&amp;G1110</f>
        <v>G-C</v>
      </c>
      <c r="I1110" s="4" t="n">
        <f aca="false">(F1110="G")+(G1110="G")</f>
        <v>1</v>
      </c>
      <c r="J1110" s="4" t="n">
        <f aca="false">(F1110="C")+(G1110="C")</f>
        <v>1</v>
      </c>
      <c r="K1110" s="3" t="n">
        <f aca="false">I1110+J1110</f>
        <v>2</v>
      </c>
    </row>
    <row r="1111" customFormat="false" ht="15" hidden="false" customHeight="false" outlineLevel="0" collapsed="false">
      <c r="A1111" s="4" t="s">
        <v>76</v>
      </c>
      <c r="B1111" s="4" t="s">
        <v>471</v>
      </c>
      <c r="C1111" s="4" t="s">
        <v>233</v>
      </c>
      <c r="D1111" s="4" t="n">
        <f aca="false">IFERROR(INDEX(Positions!$D$2:$D$6912,MATCH($A1111&amp;"|50",Positions!$A$2:$A$6912,0)),"-")</f>
        <v>50</v>
      </c>
      <c r="E1111" s="4" t="n">
        <f aca="false">IFERROR(INDEX(Positions!$D$2:$D$6912,MATCH($A1111&amp;"|64",Positions!$A$2:$A$6912,0)),"-")</f>
        <v>64</v>
      </c>
      <c r="F1111" s="4" t="str">
        <f aca="false">IFERROR(INDEX(Positions!$E$2:$E$6912,MATCH($A1111&amp;"|50",Positions!$A$2:$A$6912,0)),"-")</f>
        <v>U</v>
      </c>
      <c r="G1111" s="4" t="str">
        <f aca="false">IFERROR(INDEX(Positions!$E$2:$E$6912,MATCH($A1111&amp;"|64",Positions!$A$2:$A$6912,0)),"-")</f>
        <v>A</v>
      </c>
      <c r="H1111" s="3" t="str">
        <f aca="false">F1111&amp;"-"&amp;G1111</f>
        <v>U-A</v>
      </c>
      <c r="I1111" s="4" t="n">
        <f aca="false">(F1111="G")+(G1111="G")</f>
        <v>0</v>
      </c>
      <c r="J1111" s="4" t="n">
        <f aca="false">(F1111="C")+(G1111="C")</f>
        <v>0</v>
      </c>
      <c r="K1111" s="3" t="n">
        <f aca="false">I1111+J1111</f>
        <v>0</v>
      </c>
    </row>
    <row r="1112" customFormat="false" ht="15" hidden="false" customHeight="false" outlineLevel="0" collapsed="false">
      <c r="A1112" s="4" t="s">
        <v>76</v>
      </c>
      <c r="B1112" s="4" t="s">
        <v>471</v>
      </c>
      <c r="C1112" s="4" t="s">
        <v>527</v>
      </c>
      <c r="D1112" s="4" t="n">
        <f aca="false">IFERROR(INDEX(Positions!$D$2:$D$6912,MATCH($A1112&amp;"|51",Positions!$A$2:$A$6912,0)),"-")</f>
        <v>51</v>
      </c>
      <c r="E1112" s="4" t="n">
        <f aca="false">IFERROR(INDEX(Positions!$D$2:$D$6912,MATCH($A1112&amp;"|63",Positions!$A$2:$A$6912,0)),"-")</f>
        <v>63</v>
      </c>
      <c r="F1112" s="4" t="str">
        <f aca="false">IFERROR(INDEX(Positions!$E$2:$E$6912,MATCH($A1112&amp;"|51",Positions!$A$2:$A$6912,0)),"-")</f>
        <v>G</v>
      </c>
      <c r="G1112" s="4" t="str">
        <f aca="false">IFERROR(INDEX(Positions!$E$2:$E$6912,MATCH($A1112&amp;"|63",Positions!$A$2:$A$6912,0)),"-")</f>
        <v>C</v>
      </c>
      <c r="H1112" s="3" t="str">
        <f aca="false">F1112&amp;"-"&amp;G1112</f>
        <v>G-C</v>
      </c>
      <c r="I1112" s="4" t="n">
        <f aca="false">(F1112="G")+(G1112="G")</f>
        <v>1</v>
      </c>
      <c r="J1112" s="4" t="n">
        <f aca="false">(F1112="C")+(G1112="C")</f>
        <v>1</v>
      </c>
      <c r="K1112" s="3" t="n">
        <f aca="false">I1112+J1112</f>
        <v>2</v>
      </c>
    </row>
    <row r="1113" customFormat="false" ht="15" hidden="false" customHeight="false" outlineLevel="0" collapsed="false">
      <c r="A1113" s="4" t="s">
        <v>76</v>
      </c>
      <c r="B1113" s="4" t="s">
        <v>471</v>
      </c>
      <c r="C1113" s="4" t="s">
        <v>528</v>
      </c>
      <c r="D1113" s="4" t="n">
        <f aca="false">IFERROR(INDEX(Positions!$D$2:$D$6912,MATCH($A1113&amp;"|52",Positions!$A$2:$A$6912,0)),"-")</f>
        <v>52</v>
      </c>
      <c r="E1113" s="4" t="n">
        <f aca="false">IFERROR(INDEX(Positions!$D$2:$D$6912,MATCH($A1113&amp;"|62",Positions!$A$2:$A$6912,0)),"-")</f>
        <v>62</v>
      </c>
      <c r="F1113" s="4" t="str">
        <f aca="false">IFERROR(INDEX(Positions!$E$2:$E$6912,MATCH($A1113&amp;"|52",Positions!$A$2:$A$6912,0)),"-")</f>
        <v>G</v>
      </c>
      <c r="G1113" s="4" t="str">
        <f aca="false">IFERROR(INDEX(Positions!$E$2:$E$6912,MATCH($A1113&amp;"|62",Positions!$A$2:$A$6912,0)),"-")</f>
        <v>C</v>
      </c>
      <c r="H1113" s="3" t="str">
        <f aca="false">F1113&amp;"-"&amp;G1113</f>
        <v>G-C</v>
      </c>
      <c r="I1113" s="4" t="n">
        <f aca="false">(F1113="G")+(G1113="G")</f>
        <v>1</v>
      </c>
      <c r="J1113" s="4" t="n">
        <f aca="false">(F1113="C")+(G1113="C")</f>
        <v>1</v>
      </c>
      <c r="K1113" s="3" t="n">
        <f aca="false">I1113+J1113</f>
        <v>2</v>
      </c>
    </row>
    <row r="1114" customFormat="false" ht="15" hidden="false" customHeight="false" outlineLevel="0" collapsed="false">
      <c r="A1114" s="4" t="s">
        <v>76</v>
      </c>
      <c r="B1114" s="4" t="s">
        <v>471</v>
      </c>
      <c r="C1114" s="4" t="s">
        <v>529</v>
      </c>
      <c r="D1114" s="4" t="n">
        <f aca="false">IFERROR(INDEX(Positions!$D$2:$D$6912,MATCH($A1114&amp;"|53",Positions!$A$2:$A$6912,0)),"-")</f>
        <v>53</v>
      </c>
      <c r="E1114" s="4" t="n">
        <f aca="false">IFERROR(INDEX(Positions!$D$2:$D$6912,MATCH($A1114&amp;"|61",Positions!$A$2:$A$6912,0)),"-")</f>
        <v>61</v>
      </c>
      <c r="F1114" s="4" t="str">
        <f aca="false">IFERROR(INDEX(Positions!$E$2:$E$6912,MATCH($A1114&amp;"|53",Positions!$A$2:$A$6912,0)),"-")</f>
        <v>G</v>
      </c>
      <c r="G1114" s="4" t="str">
        <f aca="false">IFERROR(INDEX(Positions!$E$2:$E$6912,MATCH($A1114&amp;"|61",Positions!$A$2:$A$6912,0)),"-")</f>
        <v>C</v>
      </c>
      <c r="H1114" s="3" t="str">
        <f aca="false">F1114&amp;"-"&amp;G1114</f>
        <v>G-C</v>
      </c>
      <c r="I1114" s="4" t="n">
        <f aca="false">(F1114="G")+(G1114="G")</f>
        <v>1</v>
      </c>
      <c r="J1114" s="4" t="n">
        <f aca="false">(F1114="C")+(G1114="C")</f>
        <v>1</v>
      </c>
      <c r="K1114" s="3" t="n">
        <f aca="false">I1114+J1114</f>
        <v>2</v>
      </c>
    </row>
    <row r="1115" customFormat="false" ht="15" hidden="false" customHeight="false" outlineLevel="0" collapsed="false">
      <c r="A1115" s="24" t="s">
        <v>76</v>
      </c>
      <c r="B1115" s="24" t="s">
        <v>530</v>
      </c>
      <c r="C1115" s="24" t="s">
        <v>531</v>
      </c>
      <c r="D1115" s="24" t="n">
        <f aca="false">IFERROR(INDEX(Positions!$D$2:$D$6912,MATCH($A1115&amp;"|8",Positions!$A$2:$A$6912,0)),"-")</f>
        <v>8</v>
      </c>
      <c r="E1115" s="24" t="n">
        <f aca="false">IFERROR(INDEX(Positions!$D$2:$D$6912,MATCH($A1115&amp;"|14",Positions!$A$2:$A$6912,0)),"-")</f>
        <v>14</v>
      </c>
      <c r="F1115" s="24" t="str">
        <f aca="false">IFERROR(INDEX(Positions!$E$2:$E$6912,MATCH($A1115&amp;"|8",Positions!$A$2:$A$6912,0)),"-")</f>
        <v>U</v>
      </c>
      <c r="G1115" s="24" t="str">
        <f aca="false">IFERROR(INDEX(Positions!$E$2:$E$6912,MATCH($A1115&amp;"|14",Positions!$A$2:$A$6912,0)),"-")</f>
        <v>A</v>
      </c>
      <c r="H1115" s="25" t="str">
        <f aca="false">F1115&amp;"-"&amp;G1115</f>
        <v>U-A</v>
      </c>
      <c r="I1115" s="24" t="n">
        <f aca="false">(F1115="G")+(G1115="G")</f>
        <v>0</v>
      </c>
      <c r="J1115" s="24" t="n">
        <f aca="false">(F1115="C")+(G1115="C")</f>
        <v>0</v>
      </c>
      <c r="K1115" s="25" t="n">
        <f aca="false">I1115+J1115</f>
        <v>0</v>
      </c>
    </row>
    <row r="1116" customFormat="false" ht="15" hidden="false" customHeight="false" outlineLevel="0" collapsed="false">
      <c r="A1116" s="24" t="s">
        <v>76</v>
      </c>
      <c r="B1116" s="24" t="s">
        <v>530</v>
      </c>
      <c r="C1116" s="24" t="s">
        <v>532</v>
      </c>
      <c r="D1116" s="24" t="n">
        <f aca="false">IFERROR(INDEX(Positions!$D$2:$D$6912,MATCH($A1116&amp;"|15",Positions!$A$2:$A$6912,0)),"-")</f>
        <v>15</v>
      </c>
      <c r="E1116" s="24" t="n">
        <f aca="false">IFERROR(INDEX(Positions!$D$2:$D$6912,MATCH($A1116&amp;"|48",Positions!$A$2:$A$6912,0)),"-")</f>
        <v>48</v>
      </c>
      <c r="F1116" s="24" t="str">
        <f aca="false">IFERROR(INDEX(Positions!$E$2:$E$6912,MATCH($A1116&amp;"|15",Positions!$A$2:$A$6912,0)),"-")</f>
        <v>G</v>
      </c>
      <c r="G1116" s="24" t="str">
        <f aca="false">IFERROR(INDEX(Positions!$E$2:$E$6912,MATCH($A1116&amp;"|48",Positions!$A$2:$A$6912,0)),"-")</f>
        <v>C</v>
      </c>
      <c r="H1116" s="25" t="str">
        <f aca="false">F1116&amp;"-"&amp;G1116</f>
        <v>G-C</v>
      </c>
      <c r="I1116" s="24" t="n">
        <f aca="false">(F1116="G")+(G1116="G")</f>
        <v>1</v>
      </c>
      <c r="J1116" s="24" t="n">
        <f aca="false">(F1116="C")+(G1116="C")</f>
        <v>1</v>
      </c>
      <c r="K1116" s="25" t="n">
        <f aca="false">I1116+J1116</f>
        <v>2</v>
      </c>
    </row>
    <row r="1117" customFormat="false" ht="15" hidden="false" customHeight="false" outlineLevel="0" collapsed="false">
      <c r="A1117" s="24" t="s">
        <v>76</v>
      </c>
      <c r="B1117" s="24" t="s">
        <v>530</v>
      </c>
      <c r="C1117" s="24" t="s">
        <v>533</v>
      </c>
      <c r="D1117" s="24" t="n">
        <f aca="false">IFERROR(INDEX(Positions!$D$2:$D$6912,MATCH($A1117&amp;"|18",Positions!$A$2:$A$6912,0)),"-")</f>
        <v>18</v>
      </c>
      <c r="E1117" s="24" t="n">
        <f aca="false">IFERROR(INDEX(Positions!$D$2:$D$6912,MATCH($A1117&amp;"|55",Positions!$A$2:$A$6912,0)),"-")</f>
        <v>55</v>
      </c>
      <c r="F1117" s="24" t="str">
        <f aca="false">IFERROR(INDEX(Positions!$E$2:$E$6912,MATCH($A1117&amp;"|18",Positions!$A$2:$A$6912,0)),"-")</f>
        <v>G</v>
      </c>
      <c r="G1117" s="24" t="str">
        <f aca="false">IFERROR(INDEX(Positions!$E$2:$E$6912,MATCH($A1117&amp;"|55",Positions!$A$2:$A$6912,0)),"-")</f>
        <v>U</v>
      </c>
      <c r="H1117" s="25" t="str">
        <f aca="false">F1117&amp;"-"&amp;G1117</f>
        <v>G-U</v>
      </c>
      <c r="I1117" s="24" t="n">
        <f aca="false">(F1117="G")+(G1117="G")</f>
        <v>1</v>
      </c>
      <c r="J1117" s="24" t="n">
        <f aca="false">(F1117="C")+(G1117="C")</f>
        <v>0</v>
      </c>
      <c r="K1117" s="25" t="n">
        <f aca="false">I1117+J1117</f>
        <v>1</v>
      </c>
    </row>
    <row r="1118" customFormat="false" ht="15" hidden="false" customHeight="false" outlineLevel="0" collapsed="false">
      <c r="A1118" s="24" t="s">
        <v>76</v>
      </c>
      <c r="B1118" s="24" t="s">
        <v>530</v>
      </c>
      <c r="C1118" s="24" t="s">
        <v>534</v>
      </c>
      <c r="D1118" s="24" t="n">
        <f aca="false">IFERROR(INDEX(Positions!$D$2:$D$6912,MATCH($A1118&amp;"|19",Positions!$A$2:$A$6912,0)),"-")</f>
        <v>19</v>
      </c>
      <c r="E1118" s="24" t="n">
        <f aca="false">IFERROR(INDEX(Positions!$D$2:$D$6912,MATCH($A1118&amp;"|56",Positions!$A$2:$A$6912,0)),"-")</f>
        <v>56</v>
      </c>
      <c r="F1118" s="24" t="str">
        <f aca="false">IFERROR(INDEX(Positions!$E$2:$E$6912,MATCH($A1118&amp;"|19",Positions!$A$2:$A$6912,0)),"-")</f>
        <v>G</v>
      </c>
      <c r="G1118" s="24" t="str">
        <f aca="false">IFERROR(INDEX(Positions!$E$2:$E$6912,MATCH($A1118&amp;"|56",Positions!$A$2:$A$6912,0)),"-")</f>
        <v>C</v>
      </c>
      <c r="H1118" s="25" t="str">
        <f aca="false">F1118&amp;"-"&amp;G1118</f>
        <v>G-C</v>
      </c>
      <c r="I1118" s="24" t="n">
        <f aca="false">(F1118="G")+(G1118="G")</f>
        <v>1</v>
      </c>
      <c r="J1118" s="24" t="n">
        <f aca="false">(F1118="C")+(G1118="C")</f>
        <v>1</v>
      </c>
      <c r="K1118" s="25" t="n">
        <f aca="false">I1118+J1118</f>
        <v>2</v>
      </c>
    </row>
    <row r="1119" customFormat="false" ht="15" hidden="false" customHeight="false" outlineLevel="0" collapsed="false">
      <c r="A1119" s="24" t="s">
        <v>76</v>
      </c>
      <c r="B1119" s="24" t="s">
        <v>530</v>
      </c>
      <c r="C1119" s="24" t="s">
        <v>535</v>
      </c>
      <c r="D1119" s="24" t="n">
        <f aca="false">IFERROR(INDEX(Positions!$D$2:$D$6912,MATCH($A1119&amp;"|26",Positions!$A$2:$A$6912,0)),"-")</f>
        <v>26</v>
      </c>
      <c r="E1119" s="24" t="n">
        <f aca="false">IFERROR(INDEX(Positions!$D$2:$D$6912,MATCH($A1119&amp;"|44",Positions!$A$2:$A$6912,0)),"-")</f>
        <v>44</v>
      </c>
      <c r="F1119" s="24" t="str">
        <f aca="false">IFERROR(INDEX(Positions!$E$2:$E$6912,MATCH($A1119&amp;"|26",Positions!$A$2:$A$6912,0)),"-")</f>
        <v>A</v>
      </c>
      <c r="G1119" s="24" t="str">
        <f aca="false">IFERROR(INDEX(Positions!$E$2:$E$6912,MATCH($A1119&amp;"|44",Positions!$A$2:$A$6912,0)),"-")</f>
        <v>G</v>
      </c>
      <c r="H1119" s="25" t="str">
        <f aca="false">F1119&amp;"-"&amp;G1119</f>
        <v>A-G</v>
      </c>
      <c r="I1119" s="24" t="n">
        <f aca="false">(F1119="G")+(G1119="G")</f>
        <v>1</v>
      </c>
      <c r="J1119" s="24" t="n">
        <f aca="false">(F1119="C")+(G1119="C")</f>
        <v>0</v>
      </c>
      <c r="K1119" s="25" t="n">
        <f aca="false">I1119+J1119</f>
        <v>1</v>
      </c>
    </row>
    <row r="1120" customFormat="false" ht="15" hidden="false" customHeight="false" outlineLevel="0" collapsed="false">
      <c r="A1120" s="24" t="s">
        <v>76</v>
      </c>
      <c r="B1120" s="24" t="s">
        <v>530</v>
      </c>
      <c r="C1120" s="24" t="s">
        <v>536</v>
      </c>
      <c r="D1120" s="24" t="n">
        <f aca="false">IFERROR(INDEX(Positions!$D$2:$D$6912,MATCH($A1120&amp;"|32",Positions!$A$2:$A$6912,0)),"-")</f>
        <v>32</v>
      </c>
      <c r="E1120" s="24" t="n">
        <f aca="false">IFERROR(INDEX(Positions!$D$2:$D$6912,MATCH($A1120&amp;"|38",Positions!$A$2:$A$6912,0)),"-")</f>
        <v>38</v>
      </c>
      <c r="F1120" s="24" t="str">
        <f aca="false">IFERROR(INDEX(Positions!$E$2:$E$6912,MATCH($A1120&amp;"|32",Positions!$A$2:$A$6912,0)),"-")</f>
        <v>C</v>
      </c>
      <c r="G1120" s="24" t="str">
        <f aca="false">IFERROR(INDEX(Positions!$E$2:$E$6912,MATCH($A1120&amp;"|38",Positions!$A$2:$A$6912,0)),"-")</f>
        <v>A</v>
      </c>
      <c r="H1120" s="25" t="str">
        <f aca="false">F1120&amp;"-"&amp;G1120</f>
        <v>C-A</v>
      </c>
      <c r="I1120" s="24" t="n">
        <f aca="false">(F1120="G")+(G1120="G")</f>
        <v>0</v>
      </c>
      <c r="J1120" s="24" t="n">
        <f aca="false">(F1120="C")+(G1120="C")</f>
        <v>1</v>
      </c>
      <c r="K1120" s="25" t="n">
        <f aca="false">I1120+J1120</f>
        <v>1</v>
      </c>
    </row>
    <row r="1121" customFormat="false" ht="15" hidden="false" customHeight="false" outlineLevel="0" collapsed="false">
      <c r="A1121" s="24" t="s">
        <v>76</v>
      </c>
      <c r="B1121" s="24" t="s">
        <v>530</v>
      </c>
      <c r="C1121" s="24" t="s">
        <v>537</v>
      </c>
      <c r="D1121" s="24" t="n">
        <f aca="false">IFERROR(INDEX(Positions!$D$2:$D$6912,MATCH($A1121&amp;"|54",Positions!$A$2:$A$6912,0)),"-")</f>
        <v>54</v>
      </c>
      <c r="E1121" s="24" t="n">
        <f aca="false">IFERROR(INDEX(Positions!$D$2:$D$6912,MATCH($A1121&amp;"|58",Positions!$A$2:$A$6912,0)),"-")</f>
        <v>58</v>
      </c>
      <c r="F1121" s="24" t="str">
        <f aca="false">IFERROR(INDEX(Positions!$E$2:$E$6912,MATCH($A1121&amp;"|54",Positions!$A$2:$A$6912,0)),"-")</f>
        <v>U</v>
      </c>
      <c r="G1121" s="24" t="str">
        <f aca="false">IFERROR(INDEX(Positions!$E$2:$E$6912,MATCH($A1121&amp;"|58",Positions!$A$2:$A$6912,0)),"-")</f>
        <v>A</v>
      </c>
      <c r="H1121" s="25" t="str">
        <f aca="false">F1121&amp;"-"&amp;G1121</f>
        <v>U-A</v>
      </c>
      <c r="I1121" s="24" t="n">
        <f aca="false">(F1121="G")+(G1121="G")</f>
        <v>0</v>
      </c>
      <c r="J1121" s="24" t="n">
        <f aca="false">(F1121="C")+(G1121="C")</f>
        <v>0</v>
      </c>
      <c r="K1121" s="25" t="n">
        <f aca="false">I1121+J1121</f>
        <v>0</v>
      </c>
    </row>
    <row r="1122" customFormat="false" ht="15" hidden="false" customHeight="false" outlineLevel="0" collapsed="false">
      <c r="A1122" s="4" t="s">
        <v>77</v>
      </c>
      <c r="B1122" s="4" t="s">
        <v>412</v>
      </c>
      <c r="C1122" s="4" t="s">
        <v>517</v>
      </c>
      <c r="D1122" s="4" t="n">
        <f aca="false">IFERROR(INDEX(Positions!$D$2:$D$6912,MATCH($A1122&amp;"|1",Positions!$A$2:$A$6912,0)),"-")</f>
        <v>1</v>
      </c>
      <c r="E1122" s="4" t="n">
        <f aca="false">IFERROR(INDEX(Positions!$D$2:$D$6912,MATCH($A1122&amp;"|72",Positions!$A$2:$A$6912,0)),"-")</f>
        <v>72</v>
      </c>
      <c r="F1122" s="4" t="str">
        <f aca="false">IFERROR(INDEX(Positions!$E$2:$E$6912,MATCH($A1122&amp;"|1",Positions!$A$2:$A$6912,0)),"-")</f>
        <v>G</v>
      </c>
      <c r="G1122" s="4" t="str">
        <f aca="false">IFERROR(INDEX(Positions!$E$2:$E$6912,MATCH($A1122&amp;"|72",Positions!$A$2:$A$6912,0)),"-")</f>
        <v>C</v>
      </c>
      <c r="H1122" s="3" t="str">
        <f aca="false">F1122&amp;"-"&amp;G1122</f>
        <v>G-C</v>
      </c>
      <c r="I1122" s="4" t="n">
        <f aca="false">(F1122="G")+(G1122="G")</f>
        <v>1</v>
      </c>
      <c r="J1122" s="4" t="n">
        <f aca="false">(F1122="C")+(G1122="C")</f>
        <v>1</v>
      </c>
      <c r="K1122" s="3" t="n">
        <f aca="false">I1122+J1122</f>
        <v>2</v>
      </c>
    </row>
    <row r="1123" customFormat="false" ht="15" hidden="false" customHeight="false" outlineLevel="0" collapsed="false">
      <c r="A1123" s="4" t="s">
        <v>77</v>
      </c>
      <c r="B1123" s="4" t="s">
        <v>412</v>
      </c>
      <c r="C1123" s="4" t="s">
        <v>518</v>
      </c>
      <c r="D1123" s="4" t="n">
        <f aca="false">IFERROR(INDEX(Positions!$D$2:$D$6912,MATCH($A1123&amp;"|2",Positions!$A$2:$A$6912,0)),"-")</f>
        <v>2</v>
      </c>
      <c r="E1123" s="4" t="n">
        <f aca="false">IFERROR(INDEX(Positions!$D$2:$D$6912,MATCH($A1123&amp;"|71",Positions!$A$2:$A$6912,0)),"-")</f>
        <v>71</v>
      </c>
      <c r="F1123" s="4" t="str">
        <f aca="false">IFERROR(INDEX(Positions!$E$2:$E$6912,MATCH($A1123&amp;"|2",Positions!$A$2:$A$6912,0)),"-")</f>
        <v>C</v>
      </c>
      <c r="G1123" s="4" t="str">
        <f aca="false">IFERROR(INDEX(Positions!$E$2:$E$6912,MATCH($A1123&amp;"|71",Positions!$A$2:$A$6912,0)),"-")</f>
        <v>G</v>
      </c>
      <c r="H1123" s="3" t="str">
        <f aca="false">F1123&amp;"-"&amp;G1123</f>
        <v>C-G</v>
      </c>
      <c r="I1123" s="4" t="n">
        <f aca="false">(F1123="G")+(G1123="G")</f>
        <v>1</v>
      </c>
      <c r="J1123" s="4" t="n">
        <f aca="false">(F1123="C")+(G1123="C")</f>
        <v>1</v>
      </c>
      <c r="K1123" s="3" t="n">
        <f aca="false">I1123+J1123</f>
        <v>2</v>
      </c>
    </row>
    <row r="1124" customFormat="false" ht="15" hidden="false" customHeight="false" outlineLevel="0" collapsed="false">
      <c r="A1124" s="4" t="s">
        <v>77</v>
      </c>
      <c r="B1124" s="4" t="s">
        <v>412</v>
      </c>
      <c r="C1124" s="4" t="s">
        <v>386</v>
      </c>
      <c r="D1124" s="4" t="n">
        <f aca="false">IFERROR(INDEX(Positions!$D$2:$D$6912,MATCH($A1124&amp;"|3",Positions!$A$2:$A$6912,0)),"-")</f>
        <v>3</v>
      </c>
      <c r="E1124" s="4" t="n">
        <f aca="false">IFERROR(INDEX(Positions!$D$2:$D$6912,MATCH($A1124&amp;"|70",Positions!$A$2:$A$6912,0)),"-")</f>
        <v>70</v>
      </c>
      <c r="F1124" s="4" t="str">
        <f aca="false">IFERROR(INDEX(Positions!$E$2:$E$6912,MATCH($A1124&amp;"|3",Positions!$A$2:$A$6912,0)),"-")</f>
        <v>C</v>
      </c>
      <c r="G1124" s="4" t="str">
        <f aca="false">IFERROR(INDEX(Positions!$E$2:$E$6912,MATCH($A1124&amp;"|70",Positions!$A$2:$A$6912,0)),"-")</f>
        <v>G</v>
      </c>
      <c r="H1124" s="3" t="str">
        <f aca="false">F1124&amp;"-"&amp;G1124</f>
        <v>C-G</v>
      </c>
      <c r="I1124" s="4" t="n">
        <f aca="false">(F1124="G")+(G1124="G")</f>
        <v>1</v>
      </c>
      <c r="J1124" s="4" t="n">
        <f aca="false">(F1124="C")+(G1124="C")</f>
        <v>1</v>
      </c>
      <c r="K1124" s="3" t="n">
        <f aca="false">I1124+J1124</f>
        <v>2</v>
      </c>
    </row>
    <row r="1125" customFormat="false" ht="15" hidden="false" customHeight="false" outlineLevel="0" collapsed="false">
      <c r="A1125" s="4" t="s">
        <v>77</v>
      </c>
      <c r="B1125" s="4" t="s">
        <v>412</v>
      </c>
      <c r="C1125" s="4" t="s">
        <v>519</v>
      </c>
      <c r="D1125" s="4" t="n">
        <f aca="false">IFERROR(INDEX(Positions!$D$2:$D$6912,MATCH($A1125&amp;"|4",Positions!$A$2:$A$6912,0)),"-")</f>
        <v>4</v>
      </c>
      <c r="E1125" s="4" t="n">
        <f aca="false">IFERROR(INDEX(Positions!$D$2:$D$6912,MATCH($A1125&amp;"|69",Positions!$A$2:$A$6912,0)),"-")</f>
        <v>69</v>
      </c>
      <c r="F1125" s="4" t="str">
        <f aca="false">IFERROR(INDEX(Positions!$E$2:$E$6912,MATCH($A1125&amp;"|4",Positions!$A$2:$A$6912,0)),"-")</f>
        <v>G</v>
      </c>
      <c r="G1125" s="4" t="str">
        <f aca="false">IFERROR(INDEX(Positions!$E$2:$E$6912,MATCH($A1125&amp;"|69",Positions!$A$2:$A$6912,0)),"-")</f>
        <v>C</v>
      </c>
      <c r="H1125" s="3" t="str">
        <f aca="false">F1125&amp;"-"&amp;G1125</f>
        <v>G-C</v>
      </c>
      <c r="I1125" s="4" t="n">
        <f aca="false">(F1125="G")+(G1125="G")</f>
        <v>1</v>
      </c>
      <c r="J1125" s="4" t="n">
        <f aca="false">(F1125="C")+(G1125="C")</f>
        <v>1</v>
      </c>
      <c r="K1125" s="3" t="n">
        <f aca="false">I1125+J1125</f>
        <v>2</v>
      </c>
    </row>
    <row r="1126" customFormat="false" ht="15" hidden="false" customHeight="false" outlineLevel="0" collapsed="false">
      <c r="A1126" s="4" t="s">
        <v>77</v>
      </c>
      <c r="B1126" s="4" t="s">
        <v>412</v>
      </c>
      <c r="C1126" s="4" t="s">
        <v>283</v>
      </c>
      <c r="D1126" s="4" t="n">
        <f aca="false">IFERROR(INDEX(Positions!$D$2:$D$6912,MATCH($A1126&amp;"|5",Positions!$A$2:$A$6912,0)),"-")</f>
        <v>5</v>
      </c>
      <c r="E1126" s="4" t="n">
        <f aca="false">IFERROR(INDEX(Positions!$D$2:$D$6912,MATCH($A1126&amp;"|68",Positions!$A$2:$A$6912,0)),"-")</f>
        <v>68</v>
      </c>
      <c r="F1126" s="4" t="str">
        <f aca="false">IFERROR(INDEX(Positions!$E$2:$E$6912,MATCH($A1126&amp;"|5",Positions!$A$2:$A$6912,0)),"-")</f>
        <v>A</v>
      </c>
      <c r="G1126" s="4" t="str">
        <f aca="false">IFERROR(INDEX(Positions!$E$2:$E$6912,MATCH($A1126&amp;"|68",Positions!$A$2:$A$6912,0)),"-")</f>
        <v>U</v>
      </c>
      <c r="H1126" s="3" t="str">
        <f aca="false">F1126&amp;"-"&amp;G1126</f>
        <v>A-U</v>
      </c>
      <c r="I1126" s="4" t="n">
        <f aca="false">(F1126="G")+(G1126="G")</f>
        <v>0</v>
      </c>
      <c r="J1126" s="4" t="n">
        <f aca="false">(F1126="C")+(G1126="C")</f>
        <v>0</v>
      </c>
      <c r="K1126" s="3" t="n">
        <f aca="false">I1126+J1126</f>
        <v>0</v>
      </c>
    </row>
    <row r="1127" customFormat="false" ht="15" hidden="false" customHeight="false" outlineLevel="0" collapsed="false">
      <c r="A1127" s="4" t="s">
        <v>77</v>
      </c>
      <c r="B1127" s="4" t="s">
        <v>412</v>
      </c>
      <c r="C1127" s="4" t="s">
        <v>520</v>
      </c>
      <c r="D1127" s="4" t="n">
        <f aca="false">IFERROR(INDEX(Positions!$D$2:$D$6912,MATCH($A1127&amp;"|6",Positions!$A$2:$A$6912,0)),"-")</f>
        <v>6</v>
      </c>
      <c r="E1127" s="4" t="n">
        <f aca="false">IFERROR(INDEX(Positions!$D$2:$D$6912,MATCH($A1127&amp;"|67",Positions!$A$2:$A$6912,0)),"-")</f>
        <v>67</v>
      </c>
      <c r="F1127" s="4" t="str">
        <f aca="false">IFERROR(INDEX(Positions!$E$2:$E$6912,MATCH($A1127&amp;"|6",Positions!$A$2:$A$6912,0)),"-")</f>
        <v>A</v>
      </c>
      <c r="G1127" s="4" t="str">
        <f aca="false">IFERROR(INDEX(Positions!$E$2:$E$6912,MATCH($A1127&amp;"|67",Positions!$A$2:$A$6912,0)),"-")</f>
        <v>U</v>
      </c>
      <c r="H1127" s="3" t="str">
        <f aca="false">F1127&amp;"-"&amp;G1127</f>
        <v>A-U</v>
      </c>
      <c r="I1127" s="4" t="n">
        <f aca="false">(F1127="G")+(G1127="G")</f>
        <v>0</v>
      </c>
      <c r="J1127" s="4" t="n">
        <f aca="false">(F1127="C")+(G1127="C")</f>
        <v>0</v>
      </c>
      <c r="K1127" s="3" t="n">
        <f aca="false">I1127+J1127</f>
        <v>0</v>
      </c>
    </row>
    <row r="1128" customFormat="false" ht="15" hidden="false" customHeight="false" outlineLevel="0" collapsed="false">
      <c r="A1128" s="4" t="s">
        <v>77</v>
      </c>
      <c r="B1128" s="4" t="s">
        <v>412</v>
      </c>
      <c r="C1128" s="4" t="s">
        <v>521</v>
      </c>
      <c r="D1128" s="4" t="n">
        <f aca="false">IFERROR(INDEX(Positions!$D$2:$D$6912,MATCH($A1128&amp;"|7",Positions!$A$2:$A$6912,0)),"-")</f>
        <v>7</v>
      </c>
      <c r="E1128" s="4" t="n">
        <f aca="false">IFERROR(INDEX(Positions!$D$2:$D$6912,MATCH($A1128&amp;"|66",Positions!$A$2:$A$6912,0)),"-")</f>
        <v>66</v>
      </c>
      <c r="F1128" s="4" t="str">
        <f aca="false">IFERROR(INDEX(Positions!$E$2:$E$6912,MATCH($A1128&amp;"|7",Positions!$A$2:$A$6912,0)),"-")</f>
        <v>A</v>
      </c>
      <c r="G1128" s="4" t="str">
        <f aca="false">IFERROR(INDEX(Positions!$E$2:$E$6912,MATCH($A1128&amp;"|66",Positions!$A$2:$A$6912,0)),"-")</f>
        <v>U</v>
      </c>
      <c r="H1128" s="3" t="str">
        <f aca="false">F1128&amp;"-"&amp;G1128</f>
        <v>A-U</v>
      </c>
      <c r="I1128" s="4" t="n">
        <f aca="false">(F1128="G")+(G1128="G")</f>
        <v>0</v>
      </c>
      <c r="J1128" s="4" t="n">
        <f aca="false">(F1128="C")+(G1128="C")</f>
        <v>0</v>
      </c>
      <c r="K1128" s="3" t="n">
        <f aca="false">I1128+J1128</f>
        <v>0</v>
      </c>
    </row>
    <row r="1129" customFormat="false" ht="15" hidden="false" customHeight="false" outlineLevel="0" collapsed="false">
      <c r="A1129" s="4" t="s">
        <v>77</v>
      </c>
      <c r="B1129" s="4" t="s">
        <v>425</v>
      </c>
      <c r="C1129" s="4" t="s">
        <v>522</v>
      </c>
      <c r="D1129" s="4" t="n">
        <f aca="false">IFERROR(INDEX(Positions!$D$2:$D$6912,MATCH($A1129&amp;"|10",Positions!$A$2:$A$6912,0)),"-")</f>
        <v>10</v>
      </c>
      <c r="E1129" s="4" t="n">
        <f aca="false">IFERROR(INDEX(Positions!$D$2:$D$6912,MATCH($A1129&amp;"|25",Positions!$A$2:$A$6912,0)),"-")</f>
        <v>25</v>
      </c>
      <c r="F1129" s="4" t="str">
        <f aca="false">IFERROR(INDEX(Positions!$E$2:$E$6912,MATCH($A1129&amp;"|10",Positions!$A$2:$A$6912,0)),"-")</f>
        <v>G</v>
      </c>
      <c r="G1129" s="4" t="str">
        <f aca="false">IFERROR(INDEX(Positions!$E$2:$E$6912,MATCH($A1129&amp;"|25",Positions!$A$2:$A$6912,0)),"-")</f>
        <v>C</v>
      </c>
      <c r="H1129" s="3" t="str">
        <f aca="false">F1129&amp;"-"&amp;G1129</f>
        <v>G-C</v>
      </c>
      <c r="I1129" s="4" t="n">
        <f aca="false">(F1129="G")+(G1129="G")</f>
        <v>1</v>
      </c>
      <c r="J1129" s="4" t="n">
        <f aca="false">(F1129="C")+(G1129="C")</f>
        <v>1</v>
      </c>
      <c r="K1129" s="3" t="n">
        <f aca="false">I1129+J1129</f>
        <v>2</v>
      </c>
    </row>
    <row r="1130" customFormat="false" ht="15" hidden="false" customHeight="false" outlineLevel="0" collapsed="false">
      <c r="A1130" s="4" t="s">
        <v>77</v>
      </c>
      <c r="B1130" s="4" t="s">
        <v>425</v>
      </c>
      <c r="C1130" s="4" t="s">
        <v>523</v>
      </c>
      <c r="D1130" s="4" t="n">
        <f aca="false">IFERROR(INDEX(Positions!$D$2:$D$6912,MATCH($A1130&amp;"|11",Positions!$A$2:$A$6912,0)),"-")</f>
        <v>11</v>
      </c>
      <c r="E1130" s="4" t="n">
        <f aca="false">IFERROR(INDEX(Positions!$D$2:$D$6912,MATCH($A1130&amp;"|24",Positions!$A$2:$A$6912,0)),"-")</f>
        <v>24</v>
      </c>
      <c r="F1130" s="4" t="str">
        <f aca="false">IFERROR(INDEX(Positions!$E$2:$E$6912,MATCH($A1130&amp;"|11",Positions!$A$2:$A$6912,0)),"-")</f>
        <v>C</v>
      </c>
      <c r="G1130" s="4" t="str">
        <f aca="false">IFERROR(INDEX(Positions!$E$2:$E$6912,MATCH($A1130&amp;"|24",Positions!$A$2:$A$6912,0)),"-")</f>
        <v>G</v>
      </c>
      <c r="H1130" s="3" t="str">
        <f aca="false">F1130&amp;"-"&amp;G1130</f>
        <v>C-G</v>
      </c>
      <c r="I1130" s="4" t="n">
        <f aca="false">(F1130="G")+(G1130="G")</f>
        <v>1</v>
      </c>
      <c r="J1130" s="4" t="n">
        <f aca="false">(F1130="C")+(G1130="C")</f>
        <v>1</v>
      </c>
      <c r="K1130" s="3" t="n">
        <f aca="false">I1130+J1130</f>
        <v>2</v>
      </c>
    </row>
    <row r="1131" customFormat="false" ht="15" hidden="false" customHeight="false" outlineLevel="0" collapsed="false">
      <c r="A1131" s="4" t="s">
        <v>77</v>
      </c>
      <c r="B1131" s="4" t="s">
        <v>425</v>
      </c>
      <c r="C1131" s="4" t="s">
        <v>250</v>
      </c>
      <c r="D1131" s="4" t="n">
        <f aca="false">IFERROR(INDEX(Positions!$D$2:$D$6912,MATCH($A1131&amp;"|12",Positions!$A$2:$A$6912,0)),"-")</f>
        <v>12</v>
      </c>
      <c r="E1131" s="4" t="n">
        <f aca="false">IFERROR(INDEX(Positions!$D$2:$D$6912,MATCH($A1131&amp;"|23",Positions!$A$2:$A$6912,0)),"-")</f>
        <v>23</v>
      </c>
      <c r="F1131" s="4" t="str">
        <f aca="false">IFERROR(INDEX(Positions!$E$2:$E$6912,MATCH($A1131&amp;"|12",Positions!$A$2:$A$6912,0)),"-")</f>
        <v>U</v>
      </c>
      <c r="G1131" s="4" t="str">
        <f aca="false">IFERROR(INDEX(Positions!$E$2:$E$6912,MATCH($A1131&amp;"|23",Positions!$A$2:$A$6912,0)),"-")</f>
        <v>A</v>
      </c>
      <c r="H1131" s="3" t="str">
        <f aca="false">F1131&amp;"-"&amp;G1131</f>
        <v>U-A</v>
      </c>
      <c r="I1131" s="4" t="n">
        <f aca="false">(F1131="G")+(G1131="G")</f>
        <v>0</v>
      </c>
      <c r="J1131" s="4" t="n">
        <f aca="false">(F1131="C")+(G1131="C")</f>
        <v>0</v>
      </c>
      <c r="K1131" s="3" t="n">
        <f aca="false">I1131+J1131</f>
        <v>0</v>
      </c>
    </row>
    <row r="1132" customFormat="false" ht="15" hidden="false" customHeight="false" outlineLevel="0" collapsed="false">
      <c r="A1132" s="4" t="s">
        <v>77</v>
      </c>
      <c r="B1132" s="4" t="s">
        <v>425</v>
      </c>
      <c r="C1132" s="4" t="s">
        <v>154</v>
      </c>
      <c r="D1132" s="4" t="n">
        <f aca="false">IFERROR(INDEX(Positions!$D$2:$D$6912,MATCH($A1132&amp;"|13",Positions!$A$2:$A$6912,0)),"-")</f>
        <v>13</v>
      </c>
      <c r="E1132" s="4" t="n">
        <f aca="false">IFERROR(INDEX(Positions!$D$2:$D$6912,MATCH($A1132&amp;"|22",Positions!$A$2:$A$6912,0)),"-")</f>
        <v>22</v>
      </c>
      <c r="F1132" s="4" t="str">
        <f aca="false">IFERROR(INDEX(Positions!$E$2:$E$6912,MATCH($A1132&amp;"|13",Positions!$A$2:$A$6912,0)),"-")</f>
        <v>C</v>
      </c>
      <c r="G1132" s="4" t="str">
        <f aca="false">IFERROR(INDEX(Positions!$E$2:$E$6912,MATCH($A1132&amp;"|22",Positions!$A$2:$A$6912,0)),"-")</f>
        <v>G</v>
      </c>
      <c r="H1132" s="3" t="str">
        <f aca="false">F1132&amp;"-"&amp;G1132</f>
        <v>C-G</v>
      </c>
      <c r="I1132" s="4" t="n">
        <f aca="false">(F1132="G")+(G1132="G")</f>
        <v>1</v>
      </c>
      <c r="J1132" s="4" t="n">
        <f aca="false">(F1132="C")+(G1132="C")</f>
        <v>1</v>
      </c>
      <c r="K1132" s="3" t="n">
        <f aca="false">I1132+J1132</f>
        <v>2</v>
      </c>
    </row>
    <row r="1133" customFormat="false" ht="15" hidden="false" customHeight="false" outlineLevel="0" collapsed="false">
      <c r="A1133" s="4" t="s">
        <v>77</v>
      </c>
      <c r="B1133" s="4" t="s">
        <v>446</v>
      </c>
      <c r="C1133" s="4" t="s">
        <v>524</v>
      </c>
      <c r="D1133" s="4" t="n">
        <f aca="false">IFERROR(INDEX(Positions!$D$2:$D$6912,MATCH($A1133&amp;"|27",Positions!$A$2:$A$6912,0)),"-")</f>
        <v>27</v>
      </c>
      <c r="E1133" s="4" t="n">
        <f aca="false">IFERROR(INDEX(Positions!$D$2:$D$6912,MATCH($A1133&amp;"|43",Positions!$A$2:$A$6912,0)),"-")</f>
        <v>43</v>
      </c>
      <c r="F1133" s="4" t="str">
        <f aca="false">IFERROR(INDEX(Positions!$E$2:$E$6912,MATCH($A1133&amp;"|27",Positions!$A$2:$A$6912,0)),"-")</f>
        <v>U</v>
      </c>
      <c r="G1133" s="4" t="str">
        <f aca="false">IFERROR(INDEX(Positions!$E$2:$E$6912,MATCH($A1133&amp;"|43",Positions!$A$2:$A$6912,0)),"-")</f>
        <v>A</v>
      </c>
      <c r="H1133" s="3" t="str">
        <f aca="false">F1133&amp;"-"&amp;G1133</f>
        <v>U-A</v>
      </c>
      <c r="I1133" s="4" t="n">
        <f aca="false">(F1133="G")+(G1133="G")</f>
        <v>0</v>
      </c>
      <c r="J1133" s="4" t="n">
        <f aca="false">(F1133="C")+(G1133="C")</f>
        <v>0</v>
      </c>
      <c r="K1133" s="3" t="n">
        <f aca="false">I1133+J1133</f>
        <v>0</v>
      </c>
    </row>
    <row r="1134" customFormat="false" ht="15" hidden="false" customHeight="false" outlineLevel="0" collapsed="false">
      <c r="A1134" s="4" t="s">
        <v>77</v>
      </c>
      <c r="B1134" s="4" t="s">
        <v>446</v>
      </c>
      <c r="C1134" s="4" t="s">
        <v>525</v>
      </c>
      <c r="D1134" s="4" t="n">
        <f aca="false">IFERROR(INDEX(Positions!$D$2:$D$6912,MATCH($A1134&amp;"|28",Positions!$A$2:$A$6912,0)),"-")</f>
        <v>28</v>
      </c>
      <c r="E1134" s="4" t="n">
        <f aca="false">IFERROR(INDEX(Positions!$D$2:$D$6912,MATCH($A1134&amp;"|42",Positions!$A$2:$A$6912,0)),"-")</f>
        <v>42</v>
      </c>
      <c r="F1134" s="4" t="str">
        <f aca="false">IFERROR(INDEX(Positions!$E$2:$E$6912,MATCH($A1134&amp;"|28",Positions!$A$2:$A$6912,0)),"-")</f>
        <v>U</v>
      </c>
      <c r="G1134" s="4" t="str">
        <f aca="false">IFERROR(INDEX(Positions!$E$2:$E$6912,MATCH($A1134&amp;"|42",Positions!$A$2:$A$6912,0)),"-")</f>
        <v>A</v>
      </c>
      <c r="H1134" s="3" t="str">
        <f aca="false">F1134&amp;"-"&amp;G1134</f>
        <v>U-A</v>
      </c>
      <c r="I1134" s="4" t="n">
        <f aca="false">(F1134="G")+(G1134="G")</f>
        <v>0</v>
      </c>
      <c r="J1134" s="4" t="n">
        <f aca="false">(F1134="C")+(G1134="C")</f>
        <v>0</v>
      </c>
      <c r="K1134" s="3" t="n">
        <f aca="false">I1134+J1134</f>
        <v>0</v>
      </c>
    </row>
    <row r="1135" customFormat="false" ht="15" hidden="false" customHeight="false" outlineLevel="0" collapsed="false">
      <c r="A1135" s="4" t="s">
        <v>77</v>
      </c>
      <c r="B1135" s="4" t="s">
        <v>446</v>
      </c>
      <c r="C1135" s="4" t="s">
        <v>256</v>
      </c>
      <c r="D1135" s="4" t="n">
        <f aca="false">IFERROR(INDEX(Positions!$D$2:$D$6912,MATCH($A1135&amp;"|29",Positions!$A$2:$A$6912,0)),"-")</f>
        <v>29</v>
      </c>
      <c r="E1135" s="4" t="n">
        <f aca="false">IFERROR(INDEX(Positions!$D$2:$D$6912,MATCH($A1135&amp;"|41",Positions!$A$2:$A$6912,0)),"-")</f>
        <v>41</v>
      </c>
      <c r="F1135" s="4" t="str">
        <f aca="false">IFERROR(INDEX(Positions!$E$2:$E$6912,MATCH($A1135&amp;"|29",Positions!$A$2:$A$6912,0)),"-")</f>
        <v>A</v>
      </c>
      <c r="G1135" s="4" t="str">
        <f aca="false">IFERROR(INDEX(Positions!$E$2:$E$6912,MATCH($A1135&amp;"|41",Positions!$A$2:$A$6912,0)),"-")</f>
        <v>U</v>
      </c>
      <c r="H1135" s="3" t="str">
        <f aca="false">F1135&amp;"-"&amp;G1135</f>
        <v>A-U</v>
      </c>
      <c r="I1135" s="4" t="n">
        <f aca="false">(F1135="G")+(G1135="G")</f>
        <v>0</v>
      </c>
      <c r="J1135" s="4" t="n">
        <f aca="false">(F1135="C")+(G1135="C")</f>
        <v>0</v>
      </c>
      <c r="K1135" s="3" t="n">
        <f aca="false">I1135+J1135</f>
        <v>0</v>
      </c>
    </row>
    <row r="1136" customFormat="false" ht="15" hidden="false" customHeight="false" outlineLevel="0" collapsed="false">
      <c r="A1136" s="4" t="s">
        <v>77</v>
      </c>
      <c r="B1136" s="4" t="s">
        <v>446</v>
      </c>
      <c r="C1136" s="4" t="s">
        <v>526</v>
      </c>
      <c r="D1136" s="4" t="n">
        <f aca="false">IFERROR(INDEX(Positions!$D$2:$D$6912,MATCH($A1136&amp;"|30",Positions!$A$2:$A$6912,0)),"-")</f>
        <v>30</v>
      </c>
      <c r="E1136" s="4" t="n">
        <f aca="false">IFERROR(INDEX(Positions!$D$2:$D$6912,MATCH($A1136&amp;"|40",Positions!$A$2:$A$6912,0)),"-")</f>
        <v>40</v>
      </c>
      <c r="F1136" s="4" t="str">
        <f aca="false">IFERROR(INDEX(Positions!$E$2:$E$6912,MATCH($A1136&amp;"|30",Positions!$A$2:$A$6912,0)),"-")</f>
        <v>G</v>
      </c>
      <c r="G1136" s="4" t="str">
        <f aca="false">IFERROR(INDEX(Positions!$E$2:$E$6912,MATCH($A1136&amp;"|40",Positions!$A$2:$A$6912,0)),"-")</f>
        <v>C</v>
      </c>
      <c r="H1136" s="3" t="str">
        <f aca="false">F1136&amp;"-"&amp;G1136</f>
        <v>G-C</v>
      </c>
      <c r="I1136" s="4" t="n">
        <f aca="false">(F1136="G")+(G1136="G")</f>
        <v>1</v>
      </c>
      <c r="J1136" s="4" t="n">
        <f aca="false">(F1136="C")+(G1136="C")</f>
        <v>1</v>
      </c>
      <c r="K1136" s="3" t="n">
        <f aca="false">I1136+J1136</f>
        <v>2</v>
      </c>
    </row>
    <row r="1137" customFormat="false" ht="15" hidden="false" customHeight="false" outlineLevel="0" collapsed="false">
      <c r="A1137" s="4" t="s">
        <v>77</v>
      </c>
      <c r="B1137" s="4" t="s">
        <v>446</v>
      </c>
      <c r="C1137" s="4" t="s">
        <v>273</v>
      </c>
      <c r="D1137" s="4" t="n">
        <f aca="false">IFERROR(INDEX(Positions!$D$2:$D$6912,MATCH($A1137&amp;"|31",Positions!$A$2:$A$6912,0)),"-")</f>
        <v>31</v>
      </c>
      <c r="E1137" s="4" t="n">
        <f aca="false">IFERROR(INDEX(Positions!$D$2:$D$6912,MATCH($A1137&amp;"|39",Positions!$A$2:$A$6912,0)),"-")</f>
        <v>39</v>
      </c>
      <c r="F1137" s="4" t="str">
        <f aca="false">IFERROR(INDEX(Positions!$E$2:$E$6912,MATCH($A1137&amp;"|31",Positions!$A$2:$A$6912,0)),"-")</f>
        <v>A</v>
      </c>
      <c r="G1137" s="4" t="str">
        <f aca="false">IFERROR(INDEX(Positions!$E$2:$E$6912,MATCH($A1137&amp;"|39",Positions!$A$2:$A$6912,0)),"-")</f>
        <v>U</v>
      </c>
      <c r="H1137" s="3" t="str">
        <f aca="false">F1137&amp;"-"&amp;G1137</f>
        <v>A-U</v>
      </c>
      <c r="I1137" s="4" t="n">
        <f aca="false">(F1137="G")+(G1137="G")</f>
        <v>0</v>
      </c>
      <c r="J1137" s="4" t="n">
        <f aca="false">(F1137="C")+(G1137="C")</f>
        <v>0</v>
      </c>
      <c r="K1137" s="3" t="n">
        <f aca="false">I1137+J1137</f>
        <v>0</v>
      </c>
    </row>
    <row r="1138" customFormat="false" ht="15" hidden="false" customHeight="false" outlineLevel="0" collapsed="false">
      <c r="A1138" s="4" t="s">
        <v>77</v>
      </c>
      <c r="B1138" s="4" t="s">
        <v>471</v>
      </c>
      <c r="C1138" s="4" t="s">
        <v>367</v>
      </c>
      <c r="D1138" s="4" t="n">
        <f aca="false">IFERROR(INDEX(Positions!$D$2:$D$6912,MATCH($A1138&amp;"|49",Positions!$A$2:$A$6912,0)),"-")</f>
        <v>49</v>
      </c>
      <c r="E1138" s="4" t="n">
        <f aca="false">IFERROR(INDEX(Positions!$D$2:$D$6912,MATCH($A1138&amp;"|65",Positions!$A$2:$A$6912,0)),"-")</f>
        <v>65</v>
      </c>
      <c r="F1138" s="4" t="str">
        <f aca="false">IFERROR(INDEX(Positions!$E$2:$E$6912,MATCH($A1138&amp;"|49",Positions!$A$2:$A$6912,0)),"-")</f>
        <v>C</v>
      </c>
      <c r="G1138" s="4" t="str">
        <f aca="false">IFERROR(INDEX(Positions!$E$2:$E$6912,MATCH($A1138&amp;"|65",Positions!$A$2:$A$6912,0)),"-")</f>
        <v>G</v>
      </c>
      <c r="H1138" s="3" t="str">
        <f aca="false">F1138&amp;"-"&amp;G1138</f>
        <v>C-G</v>
      </c>
      <c r="I1138" s="4" t="n">
        <f aca="false">(F1138="G")+(G1138="G")</f>
        <v>1</v>
      </c>
      <c r="J1138" s="4" t="n">
        <f aca="false">(F1138="C")+(G1138="C")</f>
        <v>1</v>
      </c>
      <c r="K1138" s="3" t="n">
        <f aca="false">I1138+J1138</f>
        <v>2</v>
      </c>
    </row>
    <row r="1139" customFormat="false" ht="15" hidden="false" customHeight="false" outlineLevel="0" collapsed="false">
      <c r="A1139" s="4" t="s">
        <v>77</v>
      </c>
      <c r="B1139" s="4" t="s">
        <v>471</v>
      </c>
      <c r="C1139" s="4" t="s">
        <v>233</v>
      </c>
      <c r="D1139" s="4" t="n">
        <f aca="false">IFERROR(INDEX(Positions!$D$2:$D$6912,MATCH($A1139&amp;"|50",Positions!$A$2:$A$6912,0)),"-")</f>
        <v>50</v>
      </c>
      <c r="E1139" s="4" t="n">
        <f aca="false">IFERROR(INDEX(Positions!$D$2:$D$6912,MATCH($A1139&amp;"|64",Positions!$A$2:$A$6912,0)),"-")</f>
        <v>64</v>
      </c>
      <c r="F1139" s="4" t="str">
        <f aca="false">IFERROR(INDEX(Positions!$E$2:$E$6912,MATCH($A1139&amp;"|50",Positions!$A$2:$A$6912,0)),"-")</f>
        <v>C</v>
      </c>
      <c r="G1139" s="4" t="str">
        <f aca="false">IFERROR(INDEX(Positions!$E$2:$E$6912,MATCH($A1139&amp;"|64",Positions!$A$2:$A$6912,0)),"-")</f>
        <v>G</v>
      </c>
      <c r="H1139" s="3" t="str">
        <f aca="false">F1139&amp;"-"&amp;G1139</f>
        <v>C-G</v>
      </c>
      <c r="I1139" s="4" t="n">
        <f aca="false">(F1139="G")+(G1139="G")</f>
        <v>1</v>
      </c>
      <c r="J1139" s="4" t="n">
        <f aca="false">(F1139="C")+(G1139="C")</f>
        <v>1</v>
      </c>
      <c r="K1139" s="3" t="n">
        <f aca="false">I1139+J1139</f>
        <v>2</v>
      </c>
    </row>
    <row r="1140" customFormat="false" ht="15" hidden="false" customHeight="false" outlineLevel="0" collapsed="false">
      <c r="A1140" s="4" t="s">
        <v>77</v>
      </c>
      <c r="B1140" s="4" t="s">
        <v>471</v>
      </c>
      <c r="C1140" s="4" t="s">
        <v>527</v>
      </c>
      <c r="D1140" s="4" t="n">
        <f aca="false">IFERROR(INDEX(Positions!$D$2:$D$6912,MATCH($A1140&amp;"|51",Positions!$A$2:$A$6912,0)),"-")</f>
        <v>51</v>
      </c>
      <c r="E1140" s="4" t="n">
        <f aca="false">IFERROR(INDEX(Positions!$D$2:$D$6912,MATCH($A1140&amp;"|63",Positions!$A$2:$A$6912,0)),"-")</f>
        <v>63</v>
      </c>
      <c r="F1140" s="4" t="str">
        <f aca="false">IFERROR(INDEX(Positions!$E$2:$E$6912,MATCH($A1140&amp;"|51",Positions!$A$2:$A$6912,0)),"-")</f>
        <v>U</v>
      </c>
      <c r="G1140" s="4" t="str">
        <f aca="false">IFERROR(INDEX(Positions!$E$2:$E$6912,MATCH($A1140&amp;"|63",Positions!$A$2:$A$6912,0)),"-")</f>
        <v>G</v>
      </c>
      <c r="H1140" s="3" t="str">
        <f aca="false">F1140&amp;"-"&amp;G1140</f>
        <v>U-G</v>
      </c>
      <c r="I1140" s="4" t="n">
        <f aca="false">(F1140="G")+(G1140="G")</f>
        <v>1</v>
      </c>
      <c r="J1140" s="4" t="n">
        <f aca="false">(F1140="C")+(G1140="C")</f>
        <v>0</v>
      </c>
      <c r="K1140" s="3" t="n">
        <f aca="false">I1140+J1140</f>
        <v>1</v>
      </c>
    </row>
    <row r="1141" customFormat="false" ht="15" hidden="false" customHeight="false" outlineLevel="0" collapsed="false">
      <c r="A1141" s="4" t="s">
        <v>77</v>
      </c>
      <c r="B1141" s="4" t="s">
        <v>471</v>
      </c>
      <c r="C1141" s="4" t="s">
        <v>528</v>
      </c>
      <c r="D1141" s="4" t="n">
        <f aca="false">IFERROR(INDEX(Positions!$D$2:$D$6912,MATCH($A1141&amp;"|52",Positions!$A$2:$A$6912,0)),"-")</f>
        <v>52</v>
      </c>
      <c r="E1141" s="4" t="n">
        <f aca="false">IFERROR(INDEX(Positions!$D$2:$D$6912,MATCH($A1141&amp;"|62",Positions!$A$2:$A$6912,0)),"-")</f>
        <v>62</v>
      </c>
      <c r="F1141" s="4" t="str">
        <f aca="false">IFERROR(INDEX(Positions!$E$2:$E$6912,MATCH($A1141&amp;"|52",Positions!$A$2:$A$6912,0)),"-")</f>
        <v>G</v>
      </c>
      <c r="G1141" s="4" t="str">
        <f aca="false">IFERROR(INDEX(Positions!$E$2:$E$6912,MATCH($A1141&amp;"|62",Positions!$A$2:$A$6912,0)),"-")</f>
        <v>C</v>
      </c>
      <c r="H1141" s="3" t="str">
        <f aca="false">F1141&amp;"-"&amp;G1141</f>
        <v>G-C</v>
      </c>
      <c r="I1141" s="4" t="n">
        <f aca="false">(F1141="G")+(G1141="G")</f>
        <v>1</v>
      </c>
      <c r="J1141" s="4" t="n">
        <f aca="false">(F1141="C")+(G1141="C")</f>
        <v>1</v>
      </c>
      <c r="K1141" s="3" t="n">
        <f aca="false">I1141+J1141</f>
        <v>2</v>
      </c>
    </row>
    <row r="1142" customFormat="false" ht="15" hidden="false" customHeight="false" outlineLevel="0" collapsed="false">
      <c r="A1142" s="4" t="s">
        <v>77</v>
      </c>
      <c r="B1142" s="4" t="s">
        <v>471</v>
      </c>
      <c r="C1142" s="4" t="s">
        <v>529</v>
      </c>
      <c r="D1142" s="4" t="n">
        <f aca="false">IFERROR(INDEX(Positions!$D$2:$D$6912,MATCH($A1142&amp;"|53",Positions!$A$2:$A$6912,0)),"-")</f>
        <v>53</v>
      </c>
      <c r="E1142" s="4" t="n">
        <f aca="false">IFERROR(INDEX(Positions!$D$2:$D$6912,MATCH($A1142&amp;"|61",Positions!$A$2:$A$6912,0)),"-")</f>
        <v>61</v>
      </c>
      <c r="F1142" s="4" t="str">
        <f aca="false">IFERROR(INDEX(Positions!$E$2:$E$6912,MATCH($A1142&amp;"|53",Positions!$A$2:$A$6912,0)),"-")</f>
        <v>G</v>
      </c>
      <c r="G1142" s="4" t="str">
        <f aca="false">IFERROR(INDEX(Positions!$E$2:$E$6912,MATCH($A1142&amp;"|61",Positions!$A$2:$A$6912,0)),"-")</f>
        <v>C</v>
      </c>
      <c r="H1142" s="3" t="str">
        <f aca="false">F1142&amp;"-"&amp;G1142</f>
        <v>G-C</v>
      </c>
      <c r="I1142" s="4" t="n">
        <f aca="false">(F1142="G")+(G1142="G")</f>
        <v>1</v>
      </c>
      <c r="J1142" s="4" t="n">
        <f aca="false">(F1142="C")+(G1142="C")</f>
        <v>1</v>
      </c>
      <c r="K1142" s="3" t="n">
        <f aca="false">I1142+J1142</f>
        <v>2</v>
      </c>
    </row>
    <row r="1143" customFormat="false" ht="15" hidden="false" customHeight="false" outlineLevel="0" collapsed="false">
      <c r="A1143" s="24" t="s">
        <v>77</v>
      </c>
      <c r="B1143" s="24" t="s">
        <v>530</v>
      </c>
      <c r="C1143" s="24" t="s">
        <v>531</v>
      </c>
      <c r="D1143" s="24" t="n">
        <f aca="false">IFERROR(INDEX(Positions!$D$2:$D$6912,MATCH($A1143&amp;"|8",Positions!$A$2:$A$6912,0)),"-")</f>
        <v>8</v>
      </c>
      <c r="E1143" s="24" t="n">
        <f aca="false">IFERROR(INDEX(Positions!$D$2:$D$6912,MATCH($A1143&amp;"|14",Positions!$A$2:$A$6912,0)),"-")</f>
        <v>14</v>
      </c>
      <c r="F1143" s="24" t="str">
        <f aca="false">IFERROR(INDEX(Positions!$E$2:$E$6912,MATCH($A1143&amp;"|8",Positions!$A$2:$A$6912,0)),"-")</f>
        <v>U</v>
      </c>
      <c r="G1143" s="24" t="str">
        <f aca="false">IFERROR(INDEX(Positions!$E$2:$E$6912,MATCH($A1143&amp;"|14",Positions!$A$2:$A$6912,0)),"-")</f>
        <v>A</v>
      </c>
      <c r="H1143" s="25" t="str">
        <f aca="false">F1143&amp;"-"&amp;G1143</f>
        <v>U-A</v>
      </c>
      <c r="I1143" s="24" t="n">
        <f aca="false">(F1143="G")+(G1143="G")</f>
        <v>0</v>
      </c>
      <c r="J1143" s="24" t="n">
        <f aca="false">(F1143="C")+(G1143="C")</f>
        <v>0</v>
      </c>
      <c r="K1143" s="25" t="n">
        <f aca="false">I1143+J1143</f>
        <v>0</v>
      </c>
    </row>
    <row r="1144" customFormat="false" ht="15" hidden="false" customHeight="false" outlineLevel="0" collapsed="false">
      <c r="A1144" s="24" t="s">
        <v>77</v>
      </c>
      <c r="B1144" s="24" t="s">
        <v>530</v>
      </c>
      <c r="C1144" s="24" t="s">
        <v>532</v>
      </c>
      <c r="D1144" s="24" t="n">
        <f aca="false">IFERROR(INDEX(Positions!$D$2:$D$6912,MATCH($A1144&amp;"|15",Positions!$A$2:$A$6912,0)),"-")</f>
        <v>15</v>
      </c>
      <c r="E1144" s="24" t="n">
        <f aca="false">IFERROR(INDEX(Positions!$D$2:$D$6912,MATCH($A1144&amp;"|48",Positions!$A$2:$A$6912,0)),"-")</f>
        <v>48</v>
      </c>
      <c r="F1144" s="24" t="str">
        <f aca="false">IFERROR(INDEX(Positions!$E$2:$E$6912,MATCH($A1144&amp;"|15",Positions!$A$2:$A$6912,0)),"-")</f>
        <v>G</v>
      </c>
      <c r="G1144" s="24" t="str">
        <f aca="false">IFERROR(INDEX(Positions!$E$2:$E$6912,MATCH($A1144&amp;"|48",Positions!$A$2:$A$6912,0)),"-")</f>
        <v>C</v>
      </c>
      <c r="H1144" s="25" t="str">
        <f aca="false">F1144&amp;"-"&amp;G1144</f>
        <v>G-C</v>
      </c>
      <c r="I1144" s="24" t="n">
        <f aca="false">(F1144="G")+(G1144="G")</f>
        <v>1</v>
      </c>
      <c r="J1144" s="24" t="n">
        <f aca="false">(F1144="C")+(G1144="C")</f>
        <v>1</v>
      </c>
      <c r="K1144" s="25" t="n">
        <f aca="false">I1144+J1144</f>
        <v>2</v>
      </c>
    </row>
    <row r="1145" customFormat="false" ht="15" hidden="false" customHeight="false" outlineLevel="0" collapsed="false">
      <c r="A1145" s="24" t="s">
        <v>77</v>
      </c>
      <c r="B1145" s="24" t="s">
        <v>530</v>
      </c>
      <c r="C1145" s="24" t="s">
        <v>533</v>
      </c>
      <c r="D1145" s="24" t="n">
        <f aca="false">IFERROR(INDEX(Positions!$D$2:$D$6912,MATCH($A1145&amp;"|18",Positions!$A$2:$A$6912,0)),"-")</f>
        <v>18</v>
      </c>
      <c r="E1145" s="24" t="n">
        <f aca="false">IFERROR(INDEX(Positions!$D$2:$D$6912,MATCH($A1145&amp;"|55",Positions!$A$2:$A$6912,0)),"-")</f>
        <v>55</v>
      </c>
      <c r="F1145" s="24" t="str">
        <f aca="false">IFERROR(INDEX(Positions!$E$2:$E$6912,MATCH($A1145&amp;"|18",Positions!$A$2:$A$6912,0)),"-")</f>
        <v>G</v>
      </c>
      <c r="G1145" s="24" t="str">
        <f aca="false">IFERROR(INDEX(Positions!$E$2:$E$6912,MATCH($A1145&amp;"|55",Positions!$A$2:$A$6912,0)),"-")</f>
        <v>U</v>
      </c>
      <c r="H1145" s="25" t="str">
        <f aca="false">F1145&amp;"-"&amp;G1145</f>
        <v>G-U</v>
      </c>
      <c r="I1145" s="24" t="n">
        <f aca="false">(F1145="G")+(G1145="G")</f>
        <v>1</v>
      </c>
      <c r="J1145" s="24" t="n">
        <f aca="false">(F1145="C")+(G1145="C")</f>
        <v>0</v>
      </c>
      <c r="K1145" s="25" t="n">
        <f aca="false">I1145+J1145</f>
        <v>1</v>
      </c>
    </row>
    <row r="1146" customFormat="false" ht="15" hidden="false" customHeight="false" outlineLevel="0" collapsed="false">
      <c r="A1146" s="24" t="s">
        <v>77</v>
      </c>
      <c r="B1146" s="24" t="s">
        <v>530</v>
      </c>
      <c r="C1146" s="24" t="s">
        <v>534</v>
      </c>
      <c r="D1146" s="24" t="n">
        <f aca="false">IFERROR(INDEX(Positions!$D$2:$D$6912,MATCH($A1146&amp;"|19",Positions!$A$2:$A$6912,0)),"-")</f>
        <v>19</v>
      </c>
      <c r="E1146" s="24" t="n">
        <f aca="false">IFERROR(INDEX(Positions!$D$2:$D$6912,MATCH($A1146&amp;"|56",Positions!$A$2:$A$6912,0)),"-")</f>
        <v>56</v>
      </c>
      <c r="F1146" s="24" t="str">
        <f aca="false">IFERROR(INDEX(Positions!$E$2:$E$6912,MATCH($A1146&amp;"|19",Positions!$A$2:$A$6912,0)),"-")</f>
        <v>G</v>
      </c>
      <c r="G1146" s="24" t="str">
        <f aca="false">IFERROR(INDEX(Positions!$E$2:$E$6912,MATCH($A1146&amp;"|56",Positions!$A$2:$A$6912,0)),"-")</f>
        <v>C</v>
      </c>
      <c r="H1146" s="25" t="str">
        <f aca="false">F1146&amp;"-"&amp;G1146</f>
        <v>G-C</v>
      </c>
      <c r="I1146" s="24" t="n">
        <f aca="false">(F1146="G")+(G1146="G")</f>
        <v>1</v>
      </c>
      <c r="J1146" s="24" t="n">
        <f aca="false">(F1146="C")+(G1146="C")</f>
        <v>1</v>
      </c>
      <c r="K1146" s="25" t="n">
        <f aca="false">I1146+J1146</f>
        <v>2</v>
      </c>
    </row>
    <row r="1147" customFormat="false" ht="15" hidden="false" customHeight="false" outlineLevel="0" collapsed="false">
      <c r="A1147" s="24" t="s">
        <v>77</v>
      </c>
      <c r="B1147" s="24" t="s">
        <v>530</v>
      </c>
      <c r="C1147" s="24" t="s">
        <v>535</v>
      </c>
      <c r="D1147" s="24" t="n">
        <f aca="false">IFERROR(INDEX(Positions!$D$2:$D$6912,MATCH($A1147&amp;"|26",Positions!$A$2:$A$6912,0)),"-")</f>
        <v>26</v>
      </c>
      <c r="E1147" s="24" t="n">
        <f aca="false">IFERROR(INDEX(Positions!$D$2:$D$6912,MATCH($A1147&amp;"|44",Positions!$A$2:$A$6912,0)),"-")</f>
        <v>44</v>
      </c>
      <c r="F1147" s="24" t="str">
        <f aca="false">IFERROR(INDEX(Positions!$E$2:$E$6912,MATCH($A1147&amp;"|26",Positions!$A$2:$A$6912,0)),"-")</f>
        <v>G</v>
      </c>
      <c r="G1147" s="24" t="str">
        <f aca="false">IFERROR(INDEX(Positions!$E$2:$E$6912,MATCH($A1147&amp;"|44",Positions!$A$2:$A$6912,0)),"-")</f>
        <v>A</v>
      </c>
      <c r="H1147" s="25" t="str">
        <f aca="false">F1147&amp;"-"&amp;G1147</f>
        <v>G-A</v>
      </c>
      <c r="I1147" s="24" t="n">
        <f aca="false">(F1147="G")+(G1147="G")</f>
        <v>1</v>
      </c>
      <c r="J1147" s="24" t="n">
        <f aca="false">(F1147="C")+(G1147="C")</f>
        <v>0</v>
      </c>
      <c r="K1147" s="25" t="n">
        <f aca="false">I1147+J1147</f>
        <v>1</v>
      </c>
    </row>
    <row r="1148" customFormat="false" ht="15" hidden="false" customHeight="false" outlineLevel="0" collapsed="false">
      <c r="A1148" s="24" t="s">
        <v>77</v>
      </c>
      <c r="B1148" s="24" t="s">
        <v>530</v>
      </c>
      <c r="C1148" s="24" t="s">
        <v>536</v>
      </c>
      <c r="D1148" s="24" t="n">
        <f aca="false">IFERROR(INDEX(Positions!$D$2:$D$6912,MATCH($A1148&amp;"|32",Positions!$A$2:$A$6912,0)),"-")</f>
        <v>32</v>
      </c>
      <c r="E1148" s="24" t="n">
        <f aca="false">IFERROR(INDEX(Positions!$D$2:$D$6912,MATCH($A1148&amp;"|38",Positions!$A$2:$A$6912,0)),"-")</f>
        <v>38</v>
      </c>
      <c r="F1148" s="24" t="str">
        <f aca="false">IFERROR(INDEX(Positions!$E$2:$E$6912,MATCH($A1148&amp;"|32",Positions!$A$2:$A$6912,0)),"-")</f>
        <v>C</v>
      </c>
      <c r="G1148" s="24" t="str">
        <f aca="false">IFERROR(INDEX(Positions!$E$2:$E$6912,MATCH($A1148&amp;"|38",Positions!$A$2:$A$6912,0)),"-")</f>
        <v>A</v>
      </c>
      <c r="H1148" s="25" t="str">
        <f aca="false">F1148&amp;"-"&amp;G1148</f>
        <v>C-A</v>
      </c>
      <c r="I1148" s="24" t="n">
        <f aca="false">(F1148="G")+(G1148="G")</f>
        <v>0</v>
      </c>
      <c r="J1148" s="24" t="n">
        <f aca="false">(F1148="C")+(G1148="C")</f>
        <v>1</v>
      </c>
      <c r="K1148" s="25" t="n">
        <f aca="false">I1148+J1148</f>
        <v>1</v>
      </c>
    </row>
    <row r="1149" customFormat="false" ht="15" hidden="false" customHeight="false" outlineLevel="0" collapsed="false">
      <c r="A1149" s="24" t="s">
        <v>77</v>
      </c>
      <c r="B1149" s="24" t="s">
        <v>530</v>
      </c>
      <c r="C1149" s="24" t="s">
        <v>537</v>
      </c>
      <c r="D1149" s="24" t="n">
        <f aca="false">IFERROR(INDEX(Positions!$D$2:$D$6912,MATCH($A1149&amp;"|54",Positions!$A$2:$A$6912,0)),"-")</f>
        <v>54</v>
      </c>
      <c r="E1149" s="24" t="n">
        <f aca="false">IFERROR(INDEX(Positions!$D$2:$D$6912,MATCH($A1149&amp;"|58",Positions!$A$2:$A$6912,0)),"-")</f>
        <v>58</v>
      </c>
      <c r="F1149" s="24" t="str">
        <f aca="false">IFERROR(INDEX(Positions!$E$2:$E$6912,MATCH($A1149&amp;"|54",Positions!$A$2:$A$6912,0)),"-")</f>
        <v>U</v>
      </c>
      <c r="G1149" s="24" t="str">
        <f aca="false">IFERROR(INDEX(Positions!$E$2:$E$6912,MATCH($A1149&amp;"|58",Positions!$A$2:$A$6912,0)),"-")</f>
        <v>A</v>
      </c>
      <c r="H1149" s="25" t="str">
        <f aca="false">F1149&amp;"-"&amp;G1149</f>
        <v>U-A</v>
      </c>
      <c r="I1149" s="24" t="n">
        <f aca="false">(F1149="G")+(G1149="G")</f>
        <v>0</v>
      </c>
      <c r="J1149" s="24" t="n">
        <f aca="false">(F1149="C")+(G1149="C")</f>
        <v>0</v>
      </c>
      <c r="K1149" s="25" t="n">
        <f aca="false">I1149+J1149</f>
        <v>0</v>
      </c>
    </row>
    <row r="1150" customFormat="false" ht="15" hidden="false" customHeight="false" outlineLevel="0" collapsed="false">
      <c r="A1150" s="4" t="s">
        <v>78</v>
      </c>
      <c r="B1150" s="4" t="s">
        <v>412</v>
      </c>
      <c r="C1150" s="4" t="s">
        <v>517</v>
      </c>
      <c r="D1150" s="4" t="n">
        <f aca="false">IFERROR(INDEX(Positions!$D$2:$D$6912,MATCH($A1150&amp;"|1",Positions!$A$2:$A$6912,0)),"-")</f>
        <v>1</v>
      </c>
      <c r="E1150" s="4" t="n">
        <f aca="false">IFERROR(INDEX(Positions!$D$2:$D$6912,MATCH($A1150&amp;"|72",Positions!$A$2:$A$6912,0)),"-")</f>
        <v>72</v>
      </c>
      <c r="F1150" s="4" t="str">
        <f aca="false">IFERROR(INDEX(Positions!$E$2:$E$6912,MATCH($A1150&amp;"|1",Positions!$A$2:$A$6912,0)),"-")</f>
        <v>G</v>
      </c>
      <c r="G1150" s="4" t="str">
        <f aca="false">IFERROR(INDEX(Positions!$E$2:$E$6912,MATCH($A1150&amp;"|72",Positions!$A$2:$A$6912,0)),"-")</f>
        <v>C</v>
      </c>
      <c r="H1150" s="3" t="str">
        <f aca="false">F1150&amp;"-"&amp;G1150</f>
        <v>G-C</v>
      </c>
      <c r="I1150" s="4" t="n">
        <f aca="false">(F1150="G")+(G1150="G")</f>
        <v>1</v>
      </c>
      <c r="J1150" s="4" t="n">
        <f aca="false">(F1150="C")+(G1150="C")</f>
        <v>1</v>
      </c>
      <c r="K1150" s="3" t="n">
        <f aca="false">I1150+J1150</f>
        <v>2</v>
      </c>
    </row>
    <row r="1151" customFormat="false" ht="15" hidden="false" customHeight="false" outlineLevel="0" collapsed="false">
      <c r="A1151" s="4" t="s">
        <v>78</v>
      </c>
      <c r="B1151" s="4" t="s">
        <v>412</v>
      </c>
      <c r="C1151" s="4" t="s">
        <v>518</v>
      </c>
      <c r="D1151" s="4" t="n">
        <f aca="false">IFERROR(INDEX(Positions!$D$2:$D$6912,MATCH($A1151&amp;"|2",Positions!$A$2:$A$6912,0)),"-")</f>
        <v>2</v>
      </c>
      <c r="E1151" s="4" t="n">
        <f aca="false">IFERROR(INDEX(Positions!$D$2:$D$6912,MATCH($A1151&amp;"|71",Positions!$A$2:$A$6912,0)),"-")</f>
        <v>71</v>
      </c>
      <c r="F1151" s="4" t="str">
        <f aca="false">IFERROR(INDEX(Positions!$E$2:$E$6912,MATCH($A1151&amp;"|2",Positions!$A$2:$A$6912,0)),"-")</f>
        <v>G</v>
      </c>
      <c r="G1151" s="4" t="str">
        <f aca="false">IFERROR(INDEX(Positions!$E$2:$E$6912,MATCH($A1151&amp;"|71",Positions!$A$2:$A$6912,0)),"-")</f>
        <v>U</v>
      </c>
      <c r="H1151" s="3" t="str">
        <f aca="false">F1151&amp;"-"&amp;G1151</f>
        <v>G-U</v>
      </c>
      <c r="I1151" s="4" t="n">
        <f aca="false">(F1151="G")+(G1151="G")</f>
        <v>1</v>
      </c>
      <c r="J1151" s="4" t="n">
        <f aca="false">(F1151="C")+(G1151="C")</f>
        <v>0</v>
      </c>
      <c r="K1151" s="3" t="n">
        <f aca="false">I1151+J1151</f>
        <v>1</v>
      </c>
    </row>
    <row r="1152" customFormat="false" ht="15" hidden="false" customHeight="false" outlineLevel="0" collapsed="false">
      <c r="A1152" s="4" t="s">
        <v>78</v>
      </c>
      <c r="B1152" s="4" t="s">
        <v>412</v>
      </c>
      <c r="C1152" s="4" t="s">
        <v>386</v>
      </c>
      <c r="D1152" s="4" t="n">
        <f aca="false">IFERROR(INDEX(Positions!$D$2:$D$6912,MATCH($A1152&amp;"|3",Positions!$A$2:$A$6912,0)),"-")</f>
        <v>3</v>
      </c>
      <c r="E1152" s="4" t="n">
        <f aca="false">IFERROR(INDEX(Positions!$D$2:$D$6912,MATCH($A1152&amp;"|70",Positions!$A$2:$A$6912,0)),"-")</f>
        <v>70</v>
      </c>
      <c r="F1152" s="4" t="str">
        <f aca="false">IFERROR(INDEX(Positions!$E$2:$E$6912,MATCH($A1152&amp;"|3",Positions!$A$2:$A$6912,0)),"-")</f>
        <v>G</v>
      </c>
      <c r="G1152" s="4" t="str">
        <f aca="false">IFERROR(INDEX(Positions!$E$2:$E$6912,MATCH($A1152&amp;"|70",Positions!$A$2:$A$6912,0)),"-")</f>
        <v>C</v>
      </c>
      <c r="H1152" s="3" t="str">
        <f aca="false">F1152&amp;"-"&amp;G1152</f>
        <v>G-C</v>
      </c>
      <c r="I1152" s="4" t="n">
        <f aca="false">(F1152="G")+(G1152="G")</f>
        <v>1</v>
      </c>
      <c r="J1152" s="4" t="n">
        <f aca="false">(F1152="C")+(G1152="C")</f>
        <v>1</v>
      </c>
      <c r="K1152" s="3" t="n">
        <f aca="false">I1152+J1152</f>
        <v>2</v>
      </c>
    </row>
    <row r="1153" customFormat="false" ht="15" hidden="false" customHeight="false" outlineLevel="0" collapsed="false">
      <c r="A1153" s="4" t="s">
        <v>78</v>
      </c>
      <c r="B1153" s="4" t="s">
        <v>412</v>
      </c>
      <c r="C1153" s="4" t="s">
        <v>519</v>
      </c>
      <c r="D1153" s="4" t="n">
        <f aca="false">IFERROR(INDEX(Positions!$D$2:$D$6912,MATCH($A1153&amp;"|4",Positions!$A$2:$A$6912,0)),"-")</f>
        <v>4</v>
      </c>
      <c r="E1153" s="4" t="n">
        <f aca="false">IFERROR(INDEX(Positions!$D$2:$D$6912,MATCH($A1153&amp;"|69",Positions!$A$2:$A$6912,0)),"-")</f>
        <v>69</v>
      </c>
      <c r="F1153" s="4" t="str">
        <f aca="false">IFERROR(INDEX(Positions!$E$2:$E$6912,MATCH($A1153&amp;"|4",Positions!$A$2:$A$6912,0)),"-")</f>
        <v>C</v>
      </c>
      <c r="G1153" s="4" t="str">
        <f aca="false">IFERROR(INDEX(Positions!$E$2:$E$6912,MATCH($A1153&amp;"|69",Positions!$A$2:$A$6912,0)),"-")</f>
        <v>G</v>
      </c>
      <c r="H1153" s="3" t="str">
        <f aca="false">F1153&amp;"-"&amp;G1153</f>
        <v>C-G</v>
      </c>
      <c r="I1153" s="4" t="n">
        <f aca="false">(F1153="G")+(G1153="G")</f>
        <v>1</v>
      </c>
      <c r="J1153" s="4" t="n">
        <f aca="false">(F1153="C")+(G1153="C")</f>
        <v>1</v>
      </c>
      <c r="K1153" s="3" t="n">
        <f aca="false">I1153+J1153</f>
        <v>2</v>
      </c>
    </row>
    <row r="1154" customFormat="false" ht="15" hidden="false" customHeight="false" outlineLevel="0" collapsed="false">
      <c r="A1154" s="4" t="s">
        <v>78</v>
      </c>
      <c r="B1154" s="4" t="s">
        <v>412</v>
      </c>
      <c r="C1154" s="4" t="s">
        <v>283</v>
      </c>
      <c r="D1154" s="4" t="n">
        <f aca="false">IFERROR(INDEX(Positions!$D$2:$D$6912,MATCH($A1154&amp;"|5",Positions!$A$2:$A$6912,0)),"-")</f>
        <v>5</v>
      </c>
      <c r="E1154" s="4" t="n">
        <f aca="false">IFERROR(INDEX(Positions!$D$2:$D$6912,MATCH($A1154&amp;"|68",Positions!$A$2:$A$6912,0)),"-")</f>
        <v>68</v>
      </c>
      <c r="F1154" s="4" t="str">
        <f aca="false">IFERROR(INDEX(Positions!$E$2:$E$6912,MATCH($A1154&amp;"|5",Positions!$A$2:$A$6912,0)),"-")</f>
        <v>C</v>
      </c>
      <c r="G1154" s="4" t="str">
        <f aca="false">IFERROR(INDEX(Positions!$E$2:$E$6912,MATCH($A1154&amp;"|68",Positions!$A$2:$A$6912,0)),"-")</f>
        <v>G</v>
      </c>
      <c r="H1154" s="3" t="str">
        <f aca="false">F1154&amp;"-"&amp;G1154</f>
        <v>C-G</v>
      </c>
      <c r="I1154" s="4" t="n">
        <f aca="false">(F1154="G")+(G1154="G")</f>
        <v>1</v>
      </c>
      <c r="J1154" s="4" t="n">
        <f aca="false">(F1154="C")+(G1154="C")</f>
        <v>1</v>
      </c>
      <c r="K1154" s="3" t="n">
        <f aca="false">I1154+J1154</f>
        <v>2</v>
      </c>
    </row>
    <row r="1155" customFormat="false" ht="15" hidden="false" customHeight="false" outlineLevel="0" collapsed="false">
      <c r="A1155" s="4" t="s">
        <v>78</v>
      </c>
      <c r="B1155" s="4" t="s">
        <v>412</v>
      </c>
      <c r="C1155" s="4" t="s">
        <v>520</v>
      </c>
      <c r="D1155" s="4" t="n">
        <f aca="false">IFERROR(INDEX(Positions!$D$2:$D$6912,MATCH($A1155&amp;"|6",Positions!$A$2:$A$6912,0)),"-")</f>
        <v>6</v>
      </c>
      <c r="E1155" s="4" t="n">
        <f aca="false">IFERROR(INDEX(Positions!$D$2:$D$6912,MATCH($A1155&amp;"|67",Positions!$A$2:$A$6912,0)),"-")</f>
        <v>67</v>
      </c>
      <c r="F1155" s="4" t="str">
        <f aca="false">IFERROR(INDEX(Positions!$E$2:$E$6912,MATCH($A1155&amp;"|6",Positions!$A$2:$A$6912,0)),"-")</f>
        <v>A</v>
      </c>
      <c r="G1155" s="4" t="str">
        <f aca="false">IFERROR(INDEX(Positions!$E$2:$E$6912,MATCH($A1155&amp;"|67",Positions!$A$2:$A$6912,0)),"-")</f>
        <v>U</v>
      </c>
      <c r="H1155" s="3" t="str">
        <f aca="false">F1155&amp;"-"&amp;G1155</f>
        <v>A-U</v>
      </c>
      <c r="I1155" s="4" t="n">
        <f aca="false">(F1155="G")+(G1155="G")</f>
        <v>0</v>
      </c>
      <c r="J1155" s="4" t="n">
        <f aca="false">(F1155="C")+(G1155="C")</f>
        <v>0</v>
      </c>
      <c r="K1155" s="3" t="n">
        <f aca="false">I1155+J1155</f>
        <v>0</v>
      </c>
    </row>
    <row r="1156" customFormat="false" ht="15" hidden="false" customHeight="false" outlineLevel="0" collapsed="false">
      <c r="A1156" s="4" t="s">
        <v>78</v>
      </c>
      <c r="B1156" s="4" t="s">
        <v>412</v>
      </c>
      <c r="C1156" s="4" t="s">
        <v>521</v>
      </c>
      <c r="D1156" s="4" t="n">
        <f aca="false">IFERROR(INDEX(Positions!$D$2:$D$6912,MATCH($A1156&amp;"|7",Positions!$A$2:$A$6912,0)),"-")</f>
        <v>7</v>
      </c>
      <c r="E1156" s="4" t="n">
        <f aca="false">IFERROR(INDEX(Positions!$D$2:$D$6912,MATCH($A1156&amp;"|66",Positions!$A$2:$A$6912,0)),"-")</f>
        <v>66</v>
      </c>
      <c r="F1156" s="4" t="str">
        <f aca="false">IFERROR(INDEX(Positions!$E$2:$E$6912,MATCH($A1156&amp;"|7",Positions!$A$2:$A$6912,0)),"-")</f>
        <v>G</v>
      </c>
      <c r="G1156" s="4" t="str">
        <f aca="false">IFERROR(INDEX(Positions!$E$2:$E$6912,MATCH($A1156&amp;"|66",Positions!$A$2:$A$6912,0)),"-")</f>
        <v>C</v>
      </c>
      <c r="H1156" s="3" t="str">
        <f aca="false">F1156&amp;"-"&amp;G1156</f>
        <v>G-C</v>
      </c>
      <c r="I1156" s="4" t="n">
        <f aca="false">(F1156="G")+(G1156="G")</f>
        <v>1</v>
      </c>
      <c r="J1156" s="4" t="n">
        <f aca="false">(F1156="C")+(G1156="C")</f>
        <v>1</v>
      </c>
      <c r="K1156" s="3" t="n">
        <f aca="false">I1156+J1156</f>
        <v>2</v>
      </c>
    </row>
    <row r="1157" customFormat="false" ht="15" hidden="false" customHeight="false" outlineLevel="0" collapsed="false">
      <c r="A1157" s="4" t="s">
        <v>78</v>
      </c>
      <c r="B1157" s="4" t="s">
        <v>425</v>
      </c>
      <c r="C1157" s="4" t="s">
        <v>522</v>
      </c>
      <c r="D1157" s="4" t="n">
        <f aca="false">IFERROR(INDEX(Positions!$D$2:$D$6912,MATCH($A1157&amp;"|10",Positions!$A$2:$A$6912,0)),"-")</f>
        <v>10</v>
      </c>
      <c r="E1157" s="4" t="n">
        <f aca="false">IFERROR(INDEX(Positions!$D$2:$D$6912,MATCH($A1157&amp;"|25",Positions!$A$2:$A$6912,0)),"-")</f>
        <v>25</v>
      </c>
      <c r="F1157" s="4" t="str">
        <f aca="false">IFERROR(INDEX(Positions!$E$2:$E$6912,MATCH($A1157&amp;"|10",Positions!$A$2:$A$6912,0)),"-")</f>
        <v>G</v>
      </c>
      <c r="G1157" s="4" t="str">
        <f aca="false">IFERROR(INDEX(Positions!$E$2:$E$6912,MATCH($A1157&amp;"|25",Positions!$A$2:$A$6912,0)),"-")</f>
        <v>C</v>
      </c>
      <c r="H1157" s="3" t="str">
        <f aca="false">F1157&amp;"-"&amp;G1157</f>
        <v>G-C</v>
      </c>
      <c r="I1157" s="4" t="n">
        <f aca="false">(F1157="G")+(G1157="G")</f>
        <v>1</v>
      </c>
      <c r="J1157" s="4" t="n">
        <f aca="false">(F1157="C")+(G1157="C")</f>
        <v>1</v>
      </c>
      <c r="K1157" s="3" t="n">
        <f aca="false">I1157+J1157</f>
        <v>2</v>
      </c>
    </row>
    <row r="1158" customFormat="false" ht="15" hidden="false" customHeight="false" outlineLevel="0" collapsed="false">
      <c r="A1158" s="4" t="s">
        <v>78</v>
      </c>
      <c r="B1158" s="4" t="s">
        <v>425</v>
      </c>
      <c r="C1158" s="4" t="s">
        <v>523</v>
      </c>
      <c r="D1158" s="4" t="n">
        <f aca="false">IFERROR(INDEX(Positions!$D$2:$D$6912,MATCH($A1158&amp;"|11",Positions!$A$2:$A$6912,0)),"-")</f>
        <v>11</v>
      </c>
      <c r="E1158" s="4" t="n">
        <f aca="false">IFERROR(INDEX(Positions!$D$2:$D$6912,MATCH($A1158&amp;"|24",Positions!$A$2:$A$6912,0)),"-")</f>
        <v>24</v>
      </c>
      <c r="F1158" s="4" t="str">
        <f aca="false">IFERROR(INDEX(Positions!$E$2:$E$6912,MATCH($A1158&amp;"|11",Positions!$A$2:$A$6912,0)),"-")</f>
        <v>C</v>
      </c>
      <c r="G1158" s="4" t="str">
        <f aca="false">IFERROR(INDEX(Positions!$E$2:$E$6912,MATCH($A1158&amp;"|24",Positions!$A$2:$A$6912,0)),"-")</f>
        <v>G</v>
      </c>
      <c r="H1158" s="3" t="str">
        <f aca="false">F1158&amp;"-"&amp;G1158</f>
        <v>C-G</v>
      </c>
      <c r="I1158" s="4" t="n">
        <f aca="false">(F1158="G")+(G1158="G")</f>
        <v>1</v>
      </c>
      <c r="J1158" s="4" t="n">
        <f aca="false">(F1158="C")+(G1158="C")</f>
        <v>1</v>
      </c>
      <c r="K1158" s="3" t="n">
        <f aca="false">I1158+J1158</f>
        <v>2</v>
      </c>
    </row>
    <row r="1159" customFormat="false" ht="15" hidden="false" customHeight="false" outlineLevel="0" collapsed="false">
      <c r="A1159" s="4" t="s">
        <v>78</v>
      </c>
      <c r="B1159" s="4" t="s">
        <v>425</v>
      </c>
      <c r="C1159" s="4" t="s">
        <v>250</v>
      </c>
      <c r="D1159" s="4" t="n">
        <f aca="false">IFERROR(INDEX(Positions!$D$2:$D$6912,MATCH($A1159&amp;"|12",Positions!$A$2:$A$6912,0)),"-")</f>
        <v>12</v>
      </c>
      <c r="E1159" s="4" t="n">
        <f aca="false">IFERROR(INDEX(Positions!$D$2:$D$6912,MATCH($A1159&amp;"|23",Positions!$A$2:$A$6912,0)),"-")</f>
        <v>23</v>
      </c>
      <c r="F1159" s="4" t="str">
        <f aca="false">IFERROR(INDEX(Positions!$E$2:$E$6912,MATCH($A1159&amp;"|12",Positions!$A$2:$A$6912,0)),"-")</f>
        <v>G</v>
      </c>
      <c r="G1159" s="4" t="str">
        <f aca="false">IFERROR(INDEX(Positions!$E$2:$E$6912,MATCH($A1159&amp;"|23",Positions!$A$2:$A$6912,0)),"-")</f>
        <v>C</v>
      </c>
      <c r="H1159" s="3" t="str">
        <f aca="false">F1159&amp;"-"&amp;G1159</f>
        <v>G-C</v>
      </c>
      <c r="I1159" s="4" t="n">
        <f aca="false">(F1159="G")+(G1159="G")</f>
        <v>1</v>
      </c>
      <c r="J1159" s="4" t="n">
        <f aca="false">(F1159="C")+(G1159="C")</f>
        <v>1</v>
      </c>
      <c r="K1159" s="3" t="n">
        <f aca="false">I1159+J1159</f>
        <v>2</v>
      </c>
    </row>
    <row r="1160" customFormat="false" ht="15" hidden="false" customHeight="false" outlineLevel="0" collapsed="false">
      <c r="A1160" s="4" t="s">
        <v>78</v>
      </c>
      <c r="B1160" s="4" t="s">
        <v>425</v>
      </c>
      <c r="C1160" s="4" t="s">
        <v>154</v>
      </c>
      <c r="D1160" s="4" t="n">
        <f aca="false">IFERROR(INDEX(Positions!$D$2:$D$6912,MATCH($A1160&amp;"|13",Positions!$A$2:$A$6912,0)),"-")</f>
        <v>13</v>
      </c>
      <c r="E1160" s="4" t="n">
        <f aca="false">IFERROR(INDEX(Positions!$D$2:$D$6912,MATCH($A1160&amp;"|22",Positions!$A$2:$A$6912,0)),"-")</f>
        <v>22</v>
      </c>
      <c r="F1160" s="4" t="str">
        <f aca="false">IFERROR(INDEX(Positions!$E$2:$E$6912,MATCH($A1160&amp;"|13",Positions!$A$2:$A$6912,0)),"-")</f>
        <v>C</v>
      </c>
      <c r="G1160" s="4" t="str">
        <f aca="false">IFERROR(INDEX(Positions!$E$2:$E$6912,MATCH($A1160&amp;"|22",Positions!$A$2:$A$6912,0)),"-")</f>
        <v>A</v>
      </c>
      <c r="H1160" s="3" t="str">
        <f aca="false">F1160&amp;"-"&amp;G1160</f>
        <v>C-A</v>
      </c>
      <c r="I1160" s="4" t="n">
        <f aca="false">(F1160="G")+(G1160="G")</f>
        <v>0</v>
      </c>
      <c r="J1160" s="4" t="n">
        <f aca="false">(F1160="C")+(G1160="C")</f>
        <v>1</v>
      </c>
      <c r="K1160" s="3" t="n">
        <f aca="false">I1160+J1160</f>
        <v>1</v>
      </c>
    </row>
    <row r="1161" customFormat="false" ht="15" hidden="false" customHeight="false" outlineLevel="0" collapsed="false">
      <c r="A1161" s="4" t="s">
        <v>78</v>
      </c>
      <c r="B1161" s="4" t="s">
        <v>446</v>
      </c>
      <c r="C1161" s="4" t="s">
        <v>524</v>
      </c>
      <c r="D1161" s="4" t="n">
        <f aca="false">IFERROR(INDEX(Positions!$D$2:$D$6912,MATCH($A1161&amp;"|27",Positions!$A$2:$A$6912,0)),"-")</f>
        <v>27</v>
      </c>
      <c r="E1161" s="4" t="n">
        <f aca="false">IFERROR(INDEX(Positions!$D$2:$D$6912,MATCH($A1161&amp;"|43",Positions!$A$2:$A$6912,0)),"-")</f>
        <v>43</v>
      </c>
      <c r="F1161" s="4" t="str">
        <f aca="false">IFERROR(INDEX(Positions!$E$2:$E$6912,MATCH($A1161&amp;"|27",Positions!$A$2:$A$6912,0)),"-")</f>
        <v>U</v>
      </c>
      <c r="G1161" s="4" t="str">
        <f aca="false">IFERROR(INDEX(Positions!$E$2:$E$6912,MATCH($A1161&amp;"|43",Positions!$A$2:$A$6912,0)),"-")</f>
        <v>A</v>
      </c>
      <c r="H1161" s="3" t="str">
        <f aca="false">F1161&amp;"-"&amp;G1161</f>
        <v>U-A</v>
      </c>
      <c r="I1161" s="4" t="n">
        <f aca="false">(F1161="G")+(G1161="G")</f>
        <v>0</v>
      </c>
      <c r="J1161" s="4" t="n">
        <f aca="false">(F1161="C")+(G1161="C")</f>
        <v>0</v>
      </c>
      <c r="K1161" s="3" t="n">
        <f aca="false">I1161+J1161</f>
        <v>0</v>
      </c>
    </row>
    <row r="1162" customFormat="false" ht="15" hidden="false" customHeight="false" outlineLevel="0" collapsed="false">
      <c r="A1162" s="4" t="s">
        <v>78</v>
      </c>
      <c r="B1162" s="4" t="s">
        <v>446</v>
      </c>
      <c r="C1162" s="4" t="s">
        <v>525</v>
      </c>
      <c r="D1162" s="4" t="n">
        <f aca="false">IFERROR(INDEX(Positions!$D$2:$D$6912,MATCH($A1162&amp;"|28",Positions!$A$2:$A$6912,0)),"-")</f>
        <v>28</v>
      </c>
      <c r="E1162" s="4" t="n">
        <f aca="false">IFERROR(INDEX(Positions!$D$2:$D$6912,MATCH($A1162&amp;"|42",Positions!$A$2:$A$6912,0)),"-")</f>
        <v>42</v>
      </c>
      <c r="F1162" s="4" t="str">
        <f aca="false">IFERROR(INDEX(Positions!$E$2:$E$6912,MATCH($A1162&amp;"|28",Positions!$A$2:$A$6912,0)),"-")</f>
        <v>C</v>
      </c>
      <c r="G1162" s="4" t="str">
        <f aca="false">IFERROR(INDEX(Positions!$E$2:$E$6912,MATCH($A1162&amp;"|42",Positions!$A$2:$A$6912,0)),"-")</f>
        <v>G</v>
      </c>
      <c r="H1162" s="3" t="str">
        <f aca="false">F1162&amp;"-"&amp;G1162</f>
        <v>C-G</v>
      </c>
      <c r="I1162" s="4" t="n">
        <f aca="false">(F1162="G")+(G1162="G")</f>
        <v>1</v>
      </c>
      <c r="J1162" s="4" t="n">
        <f aca="false">(F1162="C")+(G1162="C")</f>
        <v>1</v>
      </c>
      <c r="K1162" s="3" t="n">
        <f aca="false">I1162+J1162</f>
        <v>2</v>
      </c>
    </row>
    <row r="1163" customFormat="false" ht="15" hidden="false" customHeight="false" outlineLevel="0" collapsed="false">
      <c r="A1163" s="4" t="s">
        <v>78</v>
      </c>
      <c r="B1163" s="4" t="s">
        <v>446</v>
      </c>
      <c r="C1163" s="4" t="s">
        <v>256</v>
      </c>
      <c r="D1163" s="4" t="n">
        <f aca="false">IFERROR(INDEX(Positions!$D$2:$D$6912,MATCH($A1163&amp;"|29",Positions!$A$2:$A$6912,0)),"-")</f>
        <v>29</v>
      </c>
      <c r="E1163" s="4" t="n">
        <f aca="false">IFERROR(INDEX(Positions!$D$2:$D$6912,MATCH($A1163&amp;"|41",Positions!$A$2:$A$6912,0)),"-")</f>
        <v>41</v>
      </c>
      <c r="F1163" s="4" t="str">
        <f aca="false">IFERROR(INDEX(Positions!$E$2:$E$6912,MATCH($A1163&amp;"|29",Positions!$A$2:$A$6912,0)),"-")</f>
        <v>U</v>
      </c>
      <c r="G1163" s="4" t="str">
        <f aca="false">IFERROR(INDEX(Positions!$E$2:$E$6912,MATCH($A1163&amp;"|41",Positions!$A$2:$A$6912,0)),"-")</f>
        <v>A</v>
      </c>
      <c r="H1163" s="3" t="str">
        <f aca="false">F1163&amp;"-"&amp;G1163</f>
        <v>U-A</v>
      </c>
      <c r="I1163" s="4" t="n">
        <f aca="false">(F1163="G")+(G1163="G")</f>
        <v>0</v>
      </c>
      <c r="J1163" s="4" t="n">
        <f aca="false">(F1163="C")+(G1163="C")</f>
        <v>0</v>
      </c>
      <c r="K1163" s="3" t="n">
        <f aca="false">I1163+J1163</f>
        <v>0</v>
      </c>
    </row>
    <row r="1164" customFormat="false" ht="15" hidden="false" customHeight="false" outlineLevel="0" collapsed="false">
      <c r="A1164" s="4" t="s">
        <v>78</v>
      </c>
      <c r="B1164" s="4" t="s">
        <v>446</v>
      </c>
      <c r="C1164" s="4" t="s">
        <v>526</v>
      </c>
      <c r="D1164" s="4" t="n">
        <f aca="false">IFERROR(INDEX(Positions!$D$2:$D$6912,MATCH($A1164&amp;"|30",Positions!$A$2:$A$6912,0)),"-")</f>
        <v>30</v>
      </c>
      <c r="E1164" s="4" t="n">
        <f aca="false">IFERROR(INDEX(Positions!$D$2:$D$6912,MATCH($A1164&amp;"|40",Positions!$A$2:$A$6912,0)),"-")</f>
        <v>40</v>
      </c>
      <c r="F1164" s="4" t="str">
        <f aca="false">IFERROR(INDEX(Positions!$E$2:$E$6912,MATCH($A1164&amp;"|30",Positions!$A$2:$A$6912,0)),"-")</f>
        <v>G</v>
      </c>
      <c r="G1164" s="4" t="str">
        <f aca="false">IFERROR(INDEX(Positions!$E$2:$E$6912,MATCH($A1164&amp;"|40",Positions!$A$2:$A$6912,0)),"-")</f>
        <v>C</v>
      </c>
      <c r="H1164" s="3" t="str">
        <f aca="false">F1164&amp;"-"&amp;G1164</f>
        <v>G-C</v>
      </c>
      <c r="I1164" s="4" t="n">
        <f aca="false">(F1164="G")+(G1164="G")</f>
        <v>1</v>
      </c>
      <c r="J1164" s="4" t="n">
        <f aca="false">(F1164="C")+(G1164="C")</f>
        <v>1</v>
      </c>
      <c r="K1164" s="3" t="n">
        <f aca="false">I1164+J1164</f>
        <v>2</v>
      </c>
    </row>
    <row r="1165" customFormat="false" ht="15" hidden="false" customHeight="false" outlineLevel="0" collapsed="false">
      <c r="A1165" s="4" t="s">
        <v>78</v>
      </c>
      <c r="B1165" s="4" t="s">
        <v>446</v>
      </c>
      <c r="C1165" s="4" t="s">
        <v>273</v>
      </c>
      <c r="D1165" s="4" t="n">
        <f aca="false">IFERROR(INDEX(Positions!$D$2:$D$6912,MATCH($A1165&amp;"|31",Positions!$A$2:$A$6912,0)),"-")</f>
        <v>31</v>
      </c>
      <c r="E1165" s="4" t="n">
        <f aca="false">IFERROR(INDEX(Positions!$D$2:$D$6912,MATCH($A1165&amp;"|39",Positions!$A$2:$A$6912,0)),"-")</f>
        <v>39</v>
      </c>
      <c r="F1165" s="4" t="str">
        <f aca="false">IFERROR(INDEX(Positions!$E$2:$E$6912,MATCH($A1165&amp;"|31",Positions!$A$2:$A$6912,0)),"-")</f>
        <v>A</v>
      </c>
      <c r="G1165" s="4" t="str">
        <f aca="false">IFERROR(INDEX(Positions!$E$2:$E$6912,MATCH($A1165&amp;"|39",Positions!$A$2:$A$6912,0)),"-")</f>
        <v>U</v>
      </c>
      <c r="H1165" s="3" t="str">
        <f aca="false">F1165&amp;"-"&amp;G1165</f>
        <v>A-U</v>
      </c>
      <c r="I1165" s="4" t="n">
        <f aca="false">(F1165="G")+(G1165="G")</f>
        <v>0</v>
      </c>
      <c r="J1165" s="4" t="n">
        <f aca="false">(F1165="C")+(G1165="C")</f>
        <v>0</v>
      </c>
      <c r="K1165" s="3" t="n">
        <f aca="false">I1165+J1165</f>
        <v>0</v>
      </c>
    </row>
    <row r="1166" customFormat="false" ht="15" hidden="false" customHeight="false" outlineLevel="0" collapsed="false">
      <c r="A1166" s="4" t="s">
        <v>78</v>
      </c>
      <c r="B1166" s="4" t="s">
        <v>471</v>
      </c>
      <c r="C1166" s="4" t="s">
        <v>367</v>
      </c>
      <c r="D1166" s="4" t="n">
        <f aca="false">IFERROR(INDEX(Positions!$D$2:$D$6912,MATCH($A1166&amp;"|49",Positions!$A$2:$A$6912,0)),"-")</f>
        <v>49</v>
      </c>
      <c r="E1166" s="4" t="n">
        <f aca="false">IFERROR(INDEX(Positions!$D$2:$D$6912,MATCH($A1166&amp;"|65",Positions!$A$2:$A$6912,0)),"-")</f>
        <v>65</v>
      </c>
      <c r="F1166" s="4" t="str">
        <f aca="false">IFERROR(INDEX(Positions!$E$2:$E$6912,MATCH($A1166&amp;"|49",Positions!$A$2:$A$6912,0)),"-")</f>
        <v>C</v>
      </c>
      <c r="G1166" s="4" t="str">
        <f aca="false">IFERROR(INDEX(Positions!$E$2:$E$6912,MATCH($A1166&amp;"|65",Positions!$A$2:$A$6912,0)),"-")</f>
        <v>G</v>
      </c>
      <c r="H1166" s="3" t="str">
        <f aca="false">F1166&amp;"-"&amp;G1166</f>
        <v>C-G</v>
      </c>
      <c r="I1166" s="4" t="n">
        <f aca="false">(F1166="G")+(G1166="G")</f>
        <v>1</v>
      </c>
      <c r="J1166" s="4" t="n">
        <f aca="false">(F1166="C")+(G1166="C")</f>
        <v>1</v>
      </c>
      <c r="K1166" s="3" t="n">
        <f aca="false">I1166+J1166</f>
        <v>2</v>
      </c>
    </row>
    <row r="1167" customFormat="false" ht="15" hidden="false" customHeight="false" outlineLevel="0" collapsed="false">
      <c r="A1167" s="4" t="s">
        <v>78</v>
      </c>
      <c r="B1167" s="4" t="s">
        <v>471</v>
      </c>
      <c r="C1167" s="4" t="s">
        <v>233</v>
      </c>
      <c r="D1167" s="4" t="n">
        <f aca="false">IFERROR(INDEX(Positions!$D$2:$D$6912,MATCH($A1167&amp;"|50",Positions!$A$2:$A$6912,0)),"-")</f>
        <v>50</v>
      </c>
      <c r="E1167" s="4" t="n">
        <f aca="false">IFERROR(INDEX(Positions!$D$2:$D$6912,MATCH($A1167&amp;"|64",Positions!$A$2:$A$6912,0)),"-")</f>
        <v>64</v>
      </c>
      <c r="F1167" s="4" t="str">
        <f aca="false">IFERROR(INDEX(Positions!$E$2:$E$6912,MATCH($A1167&amp;"|50",Positions!$A$2:$A$6912,0)),"-")</f>
        <v>U</v>
      </c>
      <c r="G1167" s="4" t="str">
        <f aca="false">IFERROR(INDEX(Positions!$E$2:$E$6912,MATCH($A1167&amp;"|64",Positions!$A$2:$A$6912,0)),"-")</f>
        <v>G</v>
      </c>
      <c r="H1167" s="3" t="str">
        <f aca="false">F1167&amp;"-"&amp;G1167</f>
        <v>U-G</v>
      </c>
      <c r="I1167" s="4" t="n">
        <f aca="false">(F1167="G")+(G1167="G")</f>
        <v>1</v>
      </c>
      <c r="J1167" s="4" t="n">
        <f aca="false">(F1167="C")+(G1167="C")</f>
        <v>0</v>
      </c>
      <c r="K1167" s="3" t="n">
        <f aca="false">I1167+J1167</f>
        <v>1</v>
      </c>
    </row>
    <row r="1168" customFormat="false" ht="15" hidden="false" customHeight="false" outlineLevel="0" collapsed="false">
      <c r="A1168" s="4" t="s">
        <v>78</v>
      </c>
      <c r="B1168" s="4" t="s">
        <v>471</v>
      </c>
      <c r="C1168" s="4" t="s">
        <v>527</v>
      </c>
      <c r="D1168" s="4" t="n">
        <f aca="false">IFERROR(INDEX(Positions!$D$2:$D$6912,MATCH($A1168&amp;"|51",Positions!$A$2:$A$6912,0)),"-")</f>
        <v>51</v>
      </c>
      <c r="E1168" s="4" t="n">
        <f aca="false">IFERROR(INDEX(Positions!$D$2:$D$6912,MATCH($A1168&amp;"|63",Positions!$A$2:$A$6912,0)),"-")</f>
        <v>63</v>
      </c>
      <c r="F1168" s="4" t="str">
        <f aca="false">IFERROR(INDEX(Positions!$E$2:$E$6912,MATCH($A1168&amp;"|51",Positions!$A$2:$A$6912,0)),"-")</f>
        <v>A</v>
      </c>
      <c r="G1168" s="4" t="str">
        <f aca="false">IFERROR(INDEX(Positions!$E$2:$E$6912,MATCH($A1168&amp;"|63",Positions!$A$2:$A$6912,0)),"-")</f>
        <v>U</v>
      </c>
      <c r="H1168" s="3" t="str">
        <f aca="false">F1168&amp;"-"&amp;G1168</f>
        <v>A-U</v>
      </c>
      <c r="I1168" s="4" t="n">
        <f aca="false">(F1168="G")+(G1168="G")</f>
        <v>0</v>
      </c>
      <c r="J1168" s="4" t="n">
        <f aca="false">(F1168="C")+(G1168="C")</f>
        <v>0</v>
      </c>
      <c r="K1168" s="3" t="n">
        <f aca="false">I1168+J1168</f>
        <v>0</v>
      </c>
    </row>
    <row r="1169" customFormat="false" ht="15" hidden="false" customHeight="false" outlineLevel="0" collapsed="false">
      <c r="A1169" s="4" t="s">
        <v>78</v>
      </c>
      <c r="B1169" s="4" t="s">
        <v>471</v>
      </c>
      <c r="C1169" s="4" t="s">
        <v>528</v>
      </c>
      <c r="D1169" s="4" t="n">
        <f aca="false">IFERROR(INDEX(Positions!$D$2:$D$6912,MATCH($A1169&amp;"|52",Positions!$A$2:$A$6912,0)),"-")</f>
        <v>52</v>
      </c>
      <c r="E1169" s="4" t="n">
        <f aca="false">IFERROR(INDEX(Positions!$D$2:$D$6912,MATCH($A1169&amp;"|62",Positions!$A$2:$A$6912,0)),"-")</f>
        <v>62</v>
      </c>
      <c r="F1169" s="4" t="str">
        <f aca="false">IFERROR(INDEX(Positions!$E$2:$E$6912,MATCH($A1169&amp;"|52",Positions!$A$2:$A$6912,0)),"-")</f>
        <v>G</v>
      </c>
      <c r="G1169" s="4" t="str">
        <f aca="false">IFERROR(INDEX(Positions!$E$2:$E$6912,MATCH($A1169&amp;"|62",Positions!$A$2:$A$6912,0)),"-")</f>
        <v>C</v>
      </c>
      <c r="H1169" s="3" t="str">
        <f aca="false">F1169&amp;"-"&amp;G1169</f>
        <v>G-C</v>
      </c>
      <c r="I1169" s="4" t="n">
        <f aca="false">(F1169="G")+(G1169="G")</f>
        <v>1</v>
      </c>
      <c r="J1169" s="4" t="n">
        <f aca="false">(F1169="C")+(G1169="C")</f>
        <v>1</v>
      </c>
      <c r="K1169" s="3" t="n">
        <f aca="false">I1169+J1169</f>
        <v>2</v>
      </c>
    </row>
    <row r="1170" customFormat="false" ht="15" hidden="false" customHeight="false" outlineLevel="0" collapsed="false">
      <c r="A1170" s="4" t="s">
        <v>78</v>
      </c>
      <c r="B1170" s="4" t="s">
        <v>471</v>
      </c>
      <c r="C1170" s="4" t="s">
        <v>529</v>
      </c>
      <c r="D1170" s="4" t="n">
        <f aca="false">IFERROR(INDEX(Positions!$D$2:$D$6912,MATCH($A1170&amp;"|53",Positions!$A$2:$A$6912,0)),"-")</f>
        <v>53</v>
      </c>
      <c r="E1170" s="4" t="n">
        <f aca="false">IFERROR(INDEX(Positions!$D$2:$D$6912,MATCH($A1170&amp;"|61",Positions!$A$2:$A$6912,0)),"-")</f>
        <v>61</v>
      </c>
      <c r="F1170" s="4" t="str">
        <f aca="false">IFERROR(INDEX(Positions!$E$2:$E$6912,MATCH($A1170&amp;"|53",Positions!$A$2:$A$6912,0)),"-")</f>
        <v>G</v>
      </c>
      <c r="G1170" s="4" t="str">
        <f aca="false">IFERROR(INDEX(Positions!$E$2:$E$6912,MATCH($A1170&amp;"|61",Positions!$A$2:$A$6912,0)),"-")</f>
        <v>C</v>
      </c>
      <c r="H1170" s="3" t="str">
        <f aca="false">F1170&amp;"-"&amp;G1170</f>
        <v>G-C</v>
      </c>
      <c r="I1170" s="4" t="n">
        <f aca="false">(F1170="G")+(G1170="G")</f>
        <v>1</v>
      </c>
      <c r="J1170" s="4" t="n">
        <f aca="false">(F1170="C")+(G1170="C")</f>
        <v>1</v>
      </c>
      <c r="K1170" s="3" t="n">
        <f aca="false">I1170+J1170</f>
        <v>2</v>
      </c>
    </row>
    <row r="1171" customFormat="false" ht="15" hidden="false" customHeight="false" outlineLevel="0" collapsed="false">
      <c r="A1171" s="24" t="s">
        <v>78</v>
      </c>
      <c r="B1171" s="24" t="s">
        <v>530</v>
      </c>
      <c r="C1171" s="24" t="s">
        <v>531</v>
      </c>
      <c r="D1171" s="24" t="n">
        <f aca="false">IFERROR(INDEX(Positions!$D$2:$D$6912,MATCH($A1171&amp;"|8",Positions!$A$2:$A$6912,0)),"-")</f>
        <v>8</v>
      </c>
      <c r="E1171" s="24" t="n">
        <f aca="false">IFERROR(INDEX(Positions!$D$2:$D$6912,MATCH($A1171&amp;"|14",Positions!$A$2:$A$6912,0)),"-")</f>
        <v>14</v>
      </c>
      <c r="F1171" s="24" t="str">
        <f aca="false">IFERROR(INDEX(Positions!$E$2:$E$6912,MATCH($A1171&amp;"|8",Positions!$A$2:$A$6912,0)),"-")</f>
        <v>U</v>
      </c>
      <c r="G1171" s="24" t="str">
        <f aca="false">IFERROR(INDEX(Positions!$E$2:$E$6912,MATCH($A1171&amp;"|14",Positions!$A$2:$A$6912,0)),"-")</f>
        <v>A</v>
      </c>
      <c r="H1171" s="25" t="str">
        <f aca="false">F1171&amp;"-"&amp;G1171</f>
        <v>U-A</v>
      </c>
      <c r="I1171" s="24" t="n">
        <f aca="false">(F1171="G")+(G1171="G")</f>
        <v>0</v>
      </c>
      <c r="J1171" s="24" t="n">
        <f aca="false">(F1171="C")+(G1171="C")</f>
        <v>0</v>
      </c>
      <c r="K1171" s="25" t="n">
        <f aca="false">I1171+J1171</f>
        <v>0</v>
      </c>
    </row>
    <row r="1172" customFormat="false" ht="15" hidden="false" customHeight="false" outlineLevel="0" collapsed="false">
      <c r="A1172" s="24" t="s">
        <v>78</v>
      </c>
      <c r="B1172" s="24" t="s">
        <v>530</v>
      </c>
      <c r="C1172" s="24" t="s">
        <v>532</v>
      </c>
      <c r="D1172" s="24" t="n">
        <f aca="false">IFERROR(INDEX(Positions!$D$2:$D$6912,MATCH($A1172&amp;"|15",Positions!$A$2:$A$6912,0)),"-")</f>
        <v>15</v>
      </c>
      <c r="E1172" s="24" t="n">
        <f aca="false">IFERROR(INDEX(Positions!$D$2:$D$6912,MATCH($A1172&amp;"|48",Positions!$A$2:$A$6912,0)),"-")</f>
        <v>48</v>
      </c>
      <c r="F1172" s="24" t="str">
        <f aca="false">IFERROR(INDEX(Positions!$E$2:$E$6912,MATCH($A1172&amp;"|15",Positions!$A$2:$A$6912,0)),"-")</f>
        <v>A</v>
      </c>
      <c r="G1172" s="24" t="str">
        <f aca="false">IFERROR(INDEX(Positions!$E$2:$E$6912,MATCH($A1172&amp;"|48",Positions!$A$2:$A$6912,0)),"-")</f>
        <v>U</v>
      </c>
      <c r="H1172" s="25" t="str">
        <f aca="false">F1172&amp;"-"&amp;G1172</f>
        <v>A-U</v>
      </c>
      <c r="I1172" s="24" t="n">
        <f aca="false">(F1172="G")+(G1172="G")</f>
        <v>0</v>
      </c>
      <c r="J1172" s="24" t="n">
        <f aca="false">(F1172="C")+(G1172="C")</f>
        <v>0</v>
      </c>
      <c r="K1172" s="25" t="n">
        <f aca="false">I1172+J1172</f>
        <v>0</v>
      </c>
    </row>
    <row r="1173" customFormat="false" ht="15" hidden="false" customHeight="false" outlineLevel="0" collapsed="false">
      <c r="A1173" s="24" t="s">
        <v>78</v>
      </c>
      <c r="B1173" s="24" t="s">
        <v>530</v>
      </c>
      <c r="C1173" s="24" t="s">
        <v>533</v>
      </c>
      <c r="D1173" s="24" t="n">
        <f aca="false">IFERROR(INDEX(Positions!$D$2:$D$6912,MATCH($A1173&amp;"|18",Positions!$A$2:$A$6912,0)),"-")</f>
        <v>17</v>
      </c>
      <c r="E1173" s="24" t="n">
        <f aca="false">IFERROR(INDEX(Positions!$D$2:$D$6912,MATCH($A1173&amp;"|55",Positions!$A$2:$A$6912,0)),"-")</f>
        <v>55</v>
      </c>
      <c r="F1173" s="24" t="str">
        <f aca="false">IFERROR(INDEX(Positions!$E$2:$E$6912,MATCH($A1173&amp;"|18",Positions!$A$2:$A$6912,0)),"-")</f>
        <v>G</v>
      </c>
      <c r="G1173" s="24" t="str">
        <f aca="false">IFERROR(INDEX(Positions!$E$2:$E$6912,MATCH($A1173&amp;"|55",Positions!$A$2:$A$6912,0)),"-")</f>
        <v>U</v>
      </c>
      <c r="H1173" s="25" t="str">
        <f aca="false">F1173&amp;"-"&amp;G1173</f>
        <v>G-U</v>
      </c>
      <c r="I1173" s="24" t="n">
        <f aca="false">(F1173="G")+(G1173="G")</f>
        <v>1</v>
      </c>
      <c r="J1173" s="24" t="n">
        <f aca="false">(F1173="C")+(G1173="C")</f>
        <v>0</v>
      </c>
      <c r="K1173" s="25" t="n">
        <f aca="false">I1173+J1173</f>
        <v>1</v>
      </c>
    </row>
    <row r="1174" customFormat="false" ht="15" hidden="false" customHeight="false" outlineLevel="0" collapsed="false">
      <c r="A1174" s="24" t="s">
        <v>78</v>
      </c>
      <c r="B1174" s="24" t="s">
        <v>530</v>
      </c>
      <c r="C1174" s="24" t="s">
        <v>534</v>
      </c>
      <c r="D1174" s="24" t="n">
        <f aca="false">IFERROR(INDEX(Positions!$D$2:$D$6912,MATCH($A1174&amp;"|19",Positions!$A$2:$A$6912,0)),"-")</f>
        <v>18</v>
      </c>
      <c r="E1174" s="24" t="n">
        <f aca="false">IFERROR(INDEX(Positions!$D$2:$D$6912,MATCH($A1174&amp;"|56",Positions!$A$2:$A$6912,0)),"-")</f>
        <v>56</v>
      </c>
      <c r="F1174" s="24" t="str">
        <f aca="false">IFERROR(INDEX(Positions!$E$2:$E$6912,MATCH($A1174&amp;"|19",Positions!$A$2:$A$6912,0)),"-")</f>
        <v>G</v>
      </c>
      <c r="G1174" s="24" t="str">
        <f aca="false">IFERROR(INDEX(Positions!$E$2:$E$6912,MATCH($A1174&amp;"|56",Positions!$A$2:$A$6912,0)),"-")</f>
        <v>C</v>
      </c>
      <c r="H1174" s="25" t="str">
        <f aca="false">F1174&amp;"-"&amp;G1174</f>
        <v>G-C</v>
      </c>
      <c r="I1174" s="24" t="n">
        <f aca="false">(F1174="G")+(G1174="G")</f>
        <v>1</v>
      </c>
      <c r="J1174" s="24" t="n">
        <f aca="false">(F1174="C")+(G1174="C")</f>
        <v>1</v>
      </c>
      <c r="K1174" s="25" t="n">
        <f aca="false">I1174+J1174</f>
        <v>2</v>
      </c>
    </row>
    <row r="1175" customFormat="false" ht="15" hidden="false" customHeight="false" outlineLevel="0" collapsed="false">
      <c r="A1175" s="24" t="s">
        <v>78</v>
      </c>
      <c r="B1175" s="24" t="s">
        <v>530</v>
      </c>
      <c r="C1175" s="24" t="s">
        <v>535</v>
      </c>
      <c r="D1175" s="24" t="n">
        <f aca="false">IFERROR(INDEX(Positions!$D$2:$D$6912,MATCH($A1175&amp;"|26",Positions!$A$2:$A$6912,0)),"-")</f>
        <v>26</v>
      </c>
      <c r="E1175" s="24" t="n">
        <f aca="false">IFERROR(INDEX(Positions!$D$2:$D$6912,MATCH($A1175&amp;"|44",Positions!$A$2:$A$6912,0)),"-")</f>
        <v>44</v>
      </c>
      <c r="F1175" s="24" t="str">
        <f aca="false">IFERROR(INDEX(Positions!$E$2:$E$6912,MATCH($A1175&amp;"|26",Positions!$A$2:$A$6912,0)),"-")</f>
        <v>G</v>
      </c>
      <c r="G1175" s="24" t="str">
        <f aca="false">IFERROR(INDEX(Positions!$E$2:$E$6912,MATCH($A1175&amp;"|44",Positions!$A$2:$A$6912,0)),"-")</f>
        <v>A</v>
      </c>
      <c r="H1175" s="25" t="str">
        <f aca="false">F1175&amp;"-"&amp;G1175</f>
        <v>G-A</v>
      </c>
      <c r="I1175" s="24" t="n">
        <f aca="false">(F1175="G")+(G1175="G")</f>
        <v>1</v>
      </c>
      <c r="J1175" s="24" t="n">
        <f aca="false">(F1175="C")+(G1175="C")</f>
        <v>0</v>
      </c>
      <c r="K1175" s="25" t="n">
        <f aca="false">I1175+J1175</f>
        <v>1</v>
      </c>
    </row>
    <row r="1176" customFormat="false" ht="15" hidden="false" customHeight="false" outlineLevel="0" collapsed="false">
      <c r="A1176" s="24" t="s">
        <v>78</v>
      </c>
      <c r="B1176" s="24" t="s">
        <v>530</v>
      </c>
      <c r="C1176" s="24" t="s">
        <v>536</v>
      </c>
      <c r="D1176" s="24" t="n">
        <f aca="false">IFERROR(INDEX(Positions!$D$2:$D$6912,MATCH($A1176&amp;"|32",Positions!$A$2:$A$6912,0)),"-")</f>
        <v>32</v>
      </c>
      <c r="E1176" s="24" t="n">
        <f aca="false">IFERROR(INDEX(Positions!$D$2:$D$6912,MATCH($A1176&amp;"|38",Positions!$A$2:$A$6912,0)),"-")</f>
        <v>38</v>
      </c>
      <c r="F1176" s="24" t="str">
        <f aca="false">IFERROR(INDEX(Positions!$E$2:$E$6912,MATCH($A1176&amp;"|32",Positions!$A$2:$A$6912,0)),"-")</f>
        <v>C</v>
      </c>
      <c r="G1176" s="24" t="str">
        <f aca="false">IFERROR(INDEX(Positions!$E$2:$E$6912,MATCH($A1176&amp;"|38",Positions!$A$2:$A$6912,0)),"-")</f>
        <v>A</v>
      </c>
      <c r="H1176" s="25" t="str">
        <f aca="false">F1176&amp;"-"&amp;G1176</f>
        <v>C-A</v>
      </c>
      <c r="I1176" s="24" t="n">
        <f aca="false">(F1176="G")+(G1176="G")</f>
        <v>0</v>
      </c>
      <c r="J1176" s="24" t="n">
        <f aca="false">(F1176="C")+(G1176="C")</f>
        <v>1</v>
      </c>
      <c r="K1176" s="25" t="n">
        <f aca="false">I1176+J1176</f>
        <v>1</v>
      </c>
    </row>
    <row r="1177" customFormat="false" ht="15" hidden="false" customHeight="false" outlineLevel="0" collapsed="false">
      <c r="A1177" s="24" t="s">
        <v>78</v>
      </c>
      <c r="B1177" s="24" t="s">
        <v>530</v>
      </c>
      <c r="C1177" s="24" t="s">
        <v>537</v>
      </c>
      <c r="D1177" s="24" t="n">
        <f aca="false">IFERROR(INDEX(Positions!$D$2:$D$6912,MATCH($A1177&amp;"|54",Positions!$A$2:$A$6912,0)),"-")</f>
        <v>54</v>
      </c>
      <c r="E1177" s="24" t="n">
        <f aca="false">IFERROR(INDEX(Positions!$D$2:$D$6912,MATCH($A1177&amp;"|58",Positions!$A$2:$A$6912,0)),"-")</f>
        <v>58</v>
      </c>
      <c r="F1177" s="24" t="str">
        <f aca="false">IFERROR(INDEX(Positions!$E$2:$E$6912,MATCH($A1177&amp;"|54",Positions!$A$2:$A$6912,0)),"-")</f>
        <v>U</v>
      </c>
      <c r="G1177" s="24" t="str">
        <f aca="false">IFERROR(INDEX(Positions!$E$2:$E$6912,MATCH($A1177&amp;"|58",Positions!$A$2:$A$6912,0)),"-")</f>
        <v>A</v>
      </c>
      <c r="H1177" s="25" t="str">
        <f aca="false">F1177&amp;"-"&amp;G1177</f>
        <v>U-A</v>
      </c>
      <c r="I1177" s="24" t="n">
        <f aca="false">(F1177="G")+(G1177="G")</f>
        <v>0</v>
      </c>
      <c r="J1177" s="24" t="n">
        <f aca="false">(F1177="C")+(G1177="C")</f>
        <v>0</v>
      </c>
      <c r="K1177" s="25" t="n">
        <f aca="false">I1177+J1177</f>
        <v>0</v>
      </c>
    </row>
    <row r="1178" customFormat="false" ht="15" hidden="false" customHeight="false" outlineLevel="0" collapsed="false">
      <c r="A1178" s="4" t="s">
        <v>79</v>
      </c>
      <c r="B1178" s="4" t="s">
        <v>412</v>
      </c>
      <c r="C1178" s="4" t="s">
        <v>517</v>
      </c>
      <c r="D1178" s="4" t="n">
        <f aca="false">IFERROR(INDEX(Positions!$D$2:$D$6912,MATCH($A1178&amp;"|1",Positions!$A$2:$A$6912,0)),"-")</f>
        <v>1</v>
      </c>
      <c r="E1178" s="4" t="n">
        <f aca="false">IFERROR(INDEX(Positions!$D$2:$D$6912,MATCH($A1178&amp;"|72",Positions!$A$2:$A$6912,0)),"-")</f>
        <v>72</v>
      </c>
      <c r="F1178" s="4" t="str">
        <f aca="false">IFERROR(INDEX(Positions!$E$2:$E$6912,MATCH($A1178&amp;"|1",Positions!$A$2:$A$6912,0)),"-")</f>
        <v>G</v>
      </c>
      <c r="G1178" s="4" t="str">
        <f aca="false">IFERROR(INDEX(Positions!$E$2:$E$6912,MATCH($A1178&amp;"|72",Positions!$A$2:$A$6912,0)),"-")</f>
        <v>C</v>
      </c>
      <c r="H1178" s="3" t="str">
        <f aca="false">F1178&amp;"-"&amp;G1178</f>
        <v>G-C</v>
      </c>
      <c r="I1178" s="4" t="n">
        <f aca="false">(F1178="G")+(G1178="G")</f>
        <v>1</v>
      </c>
      <c r="J1178" s="4" t="n">
        <f aca="false">(F1178="C")+(G1178="C")</f>
        <v>1</v>
      </c>
      <c r="K1178" s="3" t="n">
        <f aca="false">I1178+J1178</f>
        <v>2</v>
      </c>
    </row>
    <row r="1179" customFormat="false" ht="15" hidden="false" customHeight="false" outlineLevel="0" collapsed="false">
      <c r="A1179" s="4" t="s">
        <v>79</v>
      </c>
      <c r="B1179" s="4" t="s">
        <v>412</v>
      </c>
      <c r="C1179" s="4" t="s">
        <v>518</v>
      </c>
      <c r="D1179" s="4" t="n">
        <f aca="false">IFERROR(INDEX(Positions!$D$2:$D$6912,MATCH($A1179&amp;"|2",Positions!$A$2:$A$6912,0)),"-")</f>
        <v>2</v>
      </c>
      <c r="E1179" s="4" t="n">
        <f aca="false">IFERROR(INDEX(Positions!$D$2:$D$6912,MATCH($A1179&amp;"|71",Positions!$A$2:$A$6912,0)),"-")</f>
        <v>71</v>
      </c>
      <c r="F1179" s="4" t="str">
        <f aca="false">IFERROR(INDEX(Positions!$E$2:$E$6912,MATCH($A1179&amp;"|2",Positions!$A$2:$A$6912,0)),"-")</f>
        <v>G</v>
      </c>
      <c r="G1179" s="4" t="str">
        <f aca="false">IFERROR(INDEX(Positions!$E$2:$E$6912,MATCH($A1179&amp;"|71",Positions!$A$2:$A$6912,0)),"-")</f>
        <v>U</v>
      </c>
      <c r="H1179" s="3" t="str">
        <f aca="false">F1179&amp;"-"&amp;G1179</f>
        <v>G-U</v>
      </c>
      <c r="I1179" s="4" t="n">
        <f aca="false">(F1179="G")+(G1179="G")</f>
        <v>1</v>
      </c>
      <c r="J1179" s="4" t="n">
        <f aca="false">(F1179="C")+(G1179="C")</f>
        <v>0</v>
      </c>
      <c r="K1179" s="3" t="n">
        <f aca="false">I1179+J1179</f>
        <v>1</v>
      </c>
    </row>
    <row r="1180" customFormat="false" ht="15" hidden="false" customHeight="false" outlineLevel="0" collapsed="false">
      <c r="A1180" s="4" t="s">
        <v>79</v>
      </c>
      <c r="B1180" s="4" t="s">
        <v>412</v>
      </c>
      <c r="C1180" s="4" t="s">
        <v>386</v>
      </c>
      <c r="D1180" s="4" t="n">
        <f aca="false">IFERROR(INDEX(Positions!$D$2:$D$6912,MATCH($A1180&amp;"|3",Positions!$A$2:$A$6912,0)),"-")</f>
        <v>3</v>
      </c>
      <c r="E1180" s="4" t="n">
        <f aca="false">IFERROR(INDEX(Positions!$D$2:$D$6912,MATCH($A1180&amp;"|70",Positions!$A$2:$A$6912,0)),"-")</f>
        <v>70</v>
      </c>
      <c r="F1180" s="4" t="str">
        <f aca="false">IFERROR(INDEX(Positions!$E$2:$E$6912,MATCH($A1180&amp;"|3",Positions!$A$2:$A$6912,0)),"-")</f>
        <v>G</v>
      </c>
      <c r="G1180" s="4" t="str">
        <f aca="false">IFERROR(INDEX(Positions!$E$2:$E$6912,MATCH($A1180&amp;"|70",Positions!$A$2:$A$6912,0)),"-")</f>
        <v>C</v>
      </c>
      <c r="H1180" s="3" t="str">
        <f aca="false">F1180&amp;"-"&amp;G1180</f>
        <v>G-C</v>
      </c>
      <c r="I1180" s="4" t="n">
        <f aca="false">(F1180="G")+(G1180="G")</f>
        <v>1</v>
      </c>
      <c r="J1180" s="4" t="n">
        <f aca="false">(F1180="C")+(G1180="C")</f>
        <v>1</v>
      </c>
      <c r="K1180" s="3" t="n">
        <f aca="false">I1180+J1180</f>
        <v>2</v>
      </c>
    </row>
    <row r="1181" customFormat="false" ht="15" hidden="false" customHeight="false" outlineLevel="0" collapsed="false">
      <c r="A1181" s="4" t="s">
        <v>79</v>
      </c>
      <c r="B1181" s="4" t="s">
        <v>412</v>
      </c>
      <c r="C1181" s="4" t="s">
        <v>519</v>
      </c>
      <c r="D1181" s="4" t="n">
        <f aca="false">IFERROR(INDEX(Positions!$D$2:$D$6912,MATCH($A1181&amp;"|4",Positions!$A$2:$A$6912,0)),"-")</f>
        <v>4</v>
      </c>
      <c r="E1181" s="4" t="n">
        <f aca="false">IFERROR(INDEX(Positions!$D$2:$D$6912,MATCH($A1181&amp;"|69",Positions!$A$2:$A$6912,0)),"-")</f>
        <v>69</v>
      </c>
      <c r="F1181" s="4" t="str">
        <f aca="false">IFERROR(INDEX(Positions!$E$2:$E$6912,MATCH($A1181&amp;"|4",Positions!$A$2:$A$6912,0)),"-")</f>
        <v>C</v>
      </c>
      <c r="G1181" s="4" t="str">
        <f aca="false">IFERROR(INDEX(Positions!$E$2:$E$6912,MATCH($A1181&amp;"|69",Positions!$A$2:$A$6912,0)),"-")</f>
        <v>G</v>
      </c>
      <c r="H1181" s="3" t="str">
        <f aca="false">F1181&amp;"-"&amp;G1181</f>
        <v>C-G</v>
      </c>
      <c r="I1181" s="4" t="n">
        <f aca="false">(F1181="G")+(G1181="G")</f>
        <v>1</v>
      </c>
      <c r="J1181" s="4" t="n">
        <f aca="false">(F1181="C")+(G1181="C")</f>
        <v>1</v>
      </c>
      <c r="K1181" s="3" t="n">
        <f aca="false">I1181+J1181</f>
        <v>2</v>
      </c>
    </row>
    <row r="1182" customFormat="false" ht="15" hidden="false" customHeight="false" outlineLevel="0" collapsed="false">
      <c r="A1182" s="4" t="s">
        <v>79</v>
      </c>
      <c r="B1182" s="4" t="s">
        <v>412</v>
      </c>
      <c r="C1182" s="4" t="s">
        <v>283</v>
      </c>
      <c r="D1182" s="4" t="n">
        <f aca="false">IFERROR(INDEX(Positions!$D$2:$D$6912,MATCH($A1182&amp;"|5",Positions!$A$2:$A$6912,0)),"-")</f>
        <v>5</v>
      </c>
      <c r="E1182" s="4" t="n">
        <f aca="false">IFERROR(INDEX(Positions!$D$2:$D$6912,MATCH($A1182&amp;"|68",Positions!$A$2:$A$6912,0)),"-")</f>
        <v>68</v>
      </c>
      <c r="F1182" s="4" t="str">
        <f aca="false">IFERROR(INDEX(Positions!$E$2:$E$6912,MATCH($A1182&amp;"|5",Positions!$A$2:$A$6912,0)),"-")</f>
        <v>C</v>
      </c>
      <c r="G1182" s="4" t="str">
        <f aca="false">IFERROR(INDEX(Positions!$E$2:$E$6912,MATCH($A1182&amp;"|68",Positions!$A$2:$A$6912,0)),"-")</f>
        <v>G</v>
      </c>
      <c r="H1182" s="3" t="str">
        <f aca="false">F1182&amp;"-"&amp;G1182</f>
        <v>C-G</v>
      </c>
      <c r="I1182" s="4" t="n">
        <f aca="false">(F1182="G")+(G1182="G")</f>
        <v>1</v>
      </c>
      <c r="J1182" s="4" t="n">
        <f aca="false">(F1182="C")+(G1182="C")</f>
        <v>1</v>
      </c>
      <c r="K1182" s="3" t="n">
        <f aca="false">I1182+J1182</f>
        <v>2</v>
      </c>
    </row>
    <row r="1183" customFormat="false" ht="15" hidden="false" customHeight="false" outlineLevel="0" collapsed="false">
      <c r="A1183" s="4" t="s">
        <v>79</v>
      </c>
      <c r="B1183" s="4" t="s">
        <v>412</v>
      </c>
      <c r="C1183" s="4" t="s">
        <v>520</v>
      </c>
      <c r="D1183" s="4" t="n">
        <f aca="false">IFERROR(INDEX(Positions!$D$2:$D$6912,MATCH($A1183&amp;"|6",Positions!$A$2:$A$6912,0)),"-")</f>
        <v>6</v>
      </c>
      <c r="E1183" s="4" t="n">
        <f aca="false">IFERROR(INDEX(Positions!$D$2:$D$6912,MATCH($A1183&amp;"|67",Positions!$A$2:$A$6912,0)),"-")</f>
        <v>67</v>
      </c>
      <c r="F1183" s="4" t="str">
        <f aca="false">IFERROR(INDEX(Positions!$E$2:$E$6912,MATCH($A1183&amp;"|6",Positions!$A$2:$A$6912,0)),"-")</f>
        <v>A</v>
      </c>
      <c r="G1183" s="4" t="str">
        <f aca="false">IFERROR(INDEX(Positions!$E$2:$E$6912,MATCH($A1183&amp;"|67",Positions!$A$2:$A$6912,0)),"-")</f>
        <v>U</v>
      </c>
      <c r="H1183" s="3" t="str">
        <f aca="false">F1183&amp;"-"&amp;G1183</f>
        <v>A-U</v>
      </c>
      <c r="I1183" s="4" t="n">
        <f aca="false">(F1183="G")+(G1183="G")</f>
        <v>0</v>
      </c>
      <c r="J1183" s="4" t="n">
        <f aca="false">(F1183="C")+(G1183="C")</f>
        <v>0</v>
      </c>
      <c r="K1183" s="3" t="n">
        <f aca="false">I1183+J1183</f>
        <v>0</v>
      </c>
    </row>
    <row r="1184" customFormat="false" ht="15" hidden="false" customHeight="false" outlineLevel="0" collapsed="false">
      <c r="A1184" s="4" t="s">
        <v>79</v>
      </c>
      <c r="B1184" s="4" t="s">
        <v>412</v>
      </c>
      <c r="C1184" s="4" t="s">
        <v>521</v>
      </c>
      <c r="D1184" s="4" t="n">
        <f aca="false">IFERROR(INDEX(Positions!$D$2:$D$6912,MATCH($A1184&amp;"|7",Positions!$A$2:$A$6912,0)),"-")</f>
        <v>7</v>
      </c>
      <c r="E1184" s="4" t="n">
        <f aca="false">IFERROR(INDEX(Positions!$D$2:$D$6912,MATCH($A1184&amp;"|66",Positions!$A$2:$A$6912,0)),"-")</f>
        <v>66</v>
      </c>
      <c r="F1184" s="4" t="str">
        <f aca="false">IFERROR(INDEX(Positions!$E$2:$E$6912,MATCH($A1184&amp;"|7",Positions!$A$2:$A$6912,0)),"-")</f>
        <v>G</v>
      </c>
      <c r="G1184" s="4" t="str">
        <f aca="false">IFERROR(INDEX(Positions!$E$2:$E$6912,MATCH($A1184&amp;"|66",Positions!$A$2:$A$6912,0)),"-")</f>
        <v>C</v>
      </c>
      <c r="H1184" s="3" t="str">
        <f aca="false">F1184&amp;"-"&amp;G1184</f>
        <v>G-C</v>
      </c>
      <c r="I1184" s="4" t="n">
        <f aca="false">(F1184="G")+(G1184="G")</f>
        <v>1</v>
      </c>
      <c r="J1184" s="4" t="n">
        <f aca="false">(F1184="C")+(G1184="C")</f>
        <v>1</v>
      </c>
      <c r="K1184" s="3" t="n">
        <f aca="false">I1184+J1184</f>
        <v>2</v>
      </c>
    </row>
    <row r="1185" customFormat="false" ht="15" hidden="false" customHeight="false" outlineLevel="0" collapsed="false">
      <c r="A1185" s="4" t="s">
        <v>79</v>
      </c>
      <c r="B1185" s="4" t="s">
        <v>425</v>
      </c>
      <c r="C1185" s="4" t="s">
        <v>522</v>
      </c>
      <c r="D1185" s="4" t="n">
        <f aca="false">IFERROR(INDEX(Positions!$D$2:$D$6912,MATCH($A1185&amp;"|10",Positions!$A$2:$A$6912,0)),"-")</f>
        <v>10</v>
      </c>
      <c r="E1185" s="4" t="n">
        <f aca="false">IFERROR(INDEX(Positions!$D$2:$D$6912,MATCH($A1185&amp;"|25",Positions!$A$2:$A$6912,0)),"-")</f>
        <v>25</v>
      </c>
      <c r="F1185" s="4" t="str">
        <f aca="false">IFERROR(INDEX(Positions!$E$2:$E$6912,MATCH($A1185&amp;"|10",Positions!$A$2:$A$6912,0)),"-")</f>
        <v>G</v>
      </c>
      <c r="G1185" s="4" t="str">
        <f aca="false">IFERROR(INDEX(Positions!$E$2:$E$6912,MATCH($A1185&amp;"|25",Positions!$A$2:$A$6912,0)),"-")</f>
        <v>C</v>
      </c>
      <c r="H1185" s="3" t="str">
        <f aca="false">F1185&amp;"-"&amp;G1185</f>
        <v>G-C</v>
      </c>
      <c r="I1185" s="4" t="n">
        <f aca="false">(F1185="G")+(G1185="G")</f>
        <v>1</v>
      </c>
      <c r="J1185" s="4" t="n">
        <f aca="false">(F1185="C")+(G1185="C")</f>
        <v>1</v>
      </c>
      <c r="K1185" s="3" t="n">
        <f aca="false">I1185+J1185</f>
        <v>2</v>
      </c>
    </row>
    <row r="1186" customFormat="false" ht="15" hidden="false" customHeight="false" outlineLevel="0" collapsed="false">
      <c r="A1186" s="4" t="s">
        <v>79</v>
      </c>
      <c r="B1186" s="4" t="s">
        <v>425</v>
      </c>
      <c r="C1186" s="4" t="s">
        <v>523</v>
      </c>
      <c r="D1186" s="4" t="n">
        <f aca="false">IFERROR(INDEX(Positions!$D$2:$D$6912,MATCH($A1186&amp;"|11",Positions!$A$2:$A$6912,0)),"-")</f>
        <v>11</v>
      </c>
      <c r="E1186" s="4" t="n">
        <f aca="false">IFERROR(INDEX(Positions!$D$2:$D$6912,MATCH($A1186&amp;"|24",Positions!$A$2:$A$6912,0)),"-")</f>
        <v>24</v>
      </c>
      <c r="F1186" s="4" t="str">
        <f aca="false">IFERROR(INDEX(Positions!$E$2:$E$6912,MATCH($A1186&amp;"|11",Positions!$A$2:$A$6912,0)),"-")</f>
        <v>C</v>
      </c>
      <c r="G1186" s="4" t="str">
        <f aca="false">IFERROR(INDEX(Positions!$E$2:$E$6912,MATCH($A1186&amp;"|24",Positions!$A$2:$A$6912,0)),"-")</f>
        <v>G</v>
      </c>
      <c r="H1186" s="3" t="str">
        <f aca="false">F1186&amp;"-"&amp;G1186</f>
        <v>C-G</v>
      </c>
      <c r="I1186" s="4" t="n">
        <f aca="false">(F1186="G")+(G1186="G")</f>
        <v>1</v>
      </c>
      <c r="J1186" s="4" t="n">
        <f aca="false">(F1186="C")+(G1186="C")</f>
        <v>1</v>
      </c>
      <c r="K1186" s="3" t="n">
        <f aca="false">I1186+J1186</f>
        <v>2</v>
      </c>
    </row>
    <row r="1187" customFormat="false" ht="15" hidden="false" customHeight="false" outlineLevel="0" collapsed="false">
      <c r="A1187" s="4" t="s">
        <v>79</v>
      </c>
      <c r="B1187" s="4" t="s">
        <v>425</v>
      </c>
      <c r="C1187" s="4" t="s">
        <v>250</v>
      </c>
      <c r="D1187" s="4" t="n">
        <f aca="false">IFERROR(INDEX(Positions!$D$2:$D$6912,MATCH($A1187&amp;"|12",Positions!$A$2:$A$6912,0)),"-")</f>
        <v>12</v>
      </c>
      <c r="E1187" s="4" t="n">
        <f aca="false">IFERROR(INDEX(Positions!$D$2:$D$6912,MATCH($A1187&amp;"|23",Positions!$A$2:$A$6912,0)),"-")</f>
        <v>23</v>
      </c>
      <c r="F1187" s="4" t="str">
        <f aca="false">IFERROR(INDEX(Positions!$E$2:$E$6912,MATCH($A1187&amp;"|12",Positions!$A$2:$A$6912,0)),"-")</f>
        <v>G</v>
      </c>
      <c r="G1187" s="4" t="str">
        <f aca="false">IFERROR(INDEX(Positions!$E$2:$E$6912,MATCH($A1187&amp;"|23",Positions!$A$2:$A$6912,0)),"-")</f>
        <v>C</v>
      </c>
      <c r="H1187" s="3" t="str">
        <f aca="false">F1187&amp;"-"&amp;G1187</f>
        <v>G-C</v>
      </c>
      <c r="I1187" s="4" t="n">
        <f aca="false">(F1187="G")+(G1187="G")</f>
        <v>1</v>
      </c>
      <c r="J1187" s="4" t="n">
        <f aca="false">(F1187="C")+(G1187="C")</f>
        <v>1</v>
      </c>
      <c r="K1187" s="3" t="n">
        <f aca="false">I1187+J1187</f>
        <v>2</v>
      </c>
    </row>
    <row r="1188" customFormat="false" ht="15" hidden="false" customHeight="false" outlineLevel="0" collapsed="false">
      <c r="A1188" s="4" t="s">
        <v>79</v>
      </c>
      <c r="B1188" s="4" t="s">
        <v>425</v>
      </c>
      <c r="C1188" s="4" t="s">
        <v>154</v>
      </c>
      <c r="D1188" s="4" t="n">
        <f aca="false">IFERROR(INDEX(Positions!$D$2:$D$6912,MATCH($A1188&amp;"|13",Positions!$A$2:$A$6912,0)),"-")</f>
        <v>13</v>
      </c>
      <c r="E1188" s="4" t="n">
        <f aca="false">IFERROR(INDEX(Positions!$D$2:$D$6912,MATCH($A1188&amp;"|22",Positions!$A$2:$A$6912,0)),"-")</f>
        <v>22</v>
      </c>
      <c r="F1188" s="4" t="str">
        <f aca="false">IFERROR(INDEX(Positions!$E$2:$E$6912,MATCH($A1188&amp;"|13",Positions!$A$2:$A$6912,0)),"-")</f>
        <v>C</v>
      </c>
      <c r="G1188" s="4" t="str">
        <f aca="false">IFERROR(INDEX(Positions!$E$2:$E$6912,MATCH($A1188&amp;"|22",Positions!$A$2:$A$6912,0)),"-")</f>
        <v>A</v>
      </c>
      <c r="H1188" s="3" t="str">
        <f aca="false">F1188&amp;"-"&amp;G1188</f>
        <v>C-A</v>
      </c>
      <c r="I1188" s="4" t="n">
        <f aca="false">(F1188="G")+(G1188="G")</f>
        <v>0</v>
      </c>
      <c r="J1188" s="4" t="n">
        <f aca="false">(F1188="C")+(G1188="C")</f>
        <v>1</v>
      </c>
      <c r="K1188" s="3" t="n">
        <f aca="false">I1188+J1188</f>
        <v>1</v>
      </c>
    </row>
    <row r="1189" customFormat="false" ht="15" hidden="false" customHeight="false" outlineLevel="0" collapsed="false">
      <c r="A1189" s="4" t="s">
        <v>79</v>
      </c>
      <c r="B1189" s="4" t="s">
        <v>446</v>
      </c>
      <c r="C1189" s="4" t="s">
        <v>524</v>
      </c>
      <c r="D1189" s="4" t="n">
        <f aca="false">IFERROR(INDEX(Positions!$D$2:$D$6912,MATCH($A1189&amp;"|27",Positions!$A$2:$A$6912,0)),"-")</f>
        <v>27</v>
      </c>
      <c r="E1189" s="4" t="n">
        <f aca="false">IFERROR(INDEX(Positions!$D$2:$D$6912,MATCH($A1189&amp;"|43",Positions!$A$2:$A$6912,0)),"-")</f>
        <v>43</v>
      </c>
      <c r="F1189" s="4" t="str">
        <f aca="false">IFERROR(INDEX(Positions!$E$2:$E$6912,MATCH($A1189&amp;"|27",Positions!$A$2:$A$6912,0)),"-")</f>
        <v>U</v>
      </c>
      <c r="G1189" s="4" t="str">
        <f aca="false">IFERROR(INDEX(Positions!$E$2:$E$6912,MATCH($A1189&amp;"|43",Positions!$A$2:$A$6912,0)),"-")</f>
        <v>A</v>
      </c>
      <c r="H1189" s="3" t="str">
        <f aca="false">F1189&amp;"-"&amp;G1189</f>
        <v>U-A</v>
      </c>
      <c r="I1189" s="4" t="n">
        <f aca="false">(F1189="G")+(G1189="G")</f>
        <v>0</v>
      </c>
      <c r="J1189" s="4" t="n">
        <f aca="false">(F1189="C")+(G1189="C")</f>
        <v>0</v>
      </c>
      <c r="K1189" s="3" t="n">
        <f aca="false">I1189+J1189</f>
        <v>0</v>
      </c>
    </row>
    <row r="1190" customFormat="false" ht="15" hidden="false" customHeight="false" outlineLevel="0" collapsed="false">
      <c r="A1190" s="4" t="s">
        <v>79</v>
      </c>
      <c r="B1190" s="4" t="s">
        <v>446</v>
      </c>
      <c r="C1190" s="4" t="s">
        <v>525</v>
      </c>
      <c r="D1190" s="4" t="n">
        <f aca="false">IFERROR(INDEX(Positions!$D$2:$D$6912,MATCH($A1190&amp;"|28",Positions!$A$2:$A$6912,0)),"-")</f>
        <v>28</v>
      </c>
      <c r="E1190" s="4" t="n">
        <f aca="false">IFERROR(INDEX(Positions!$D$2:$D$6912,MATCH($A1190&amp;"|42",Positions!$A$2:$A$6912,0)),"-")</f>
        <v>42</v>
      </c>
      <c r="F1190" s="4" t="str">
        <f aca="false">IFERROR(INDEX(Positions!$E$2:$E$6912,MATCH($A1190&amp;"|28",Positions!$A$2:$A$6912,0)),"-")</f>
        <v>C</v>
      </c>
      <c r="G1190" s="4" t="str">
        <f aca="false">IFERROR(INDEX(Positions!$E$2:$E$6912,MATCH($A1190&amp;"|42",Positions!$A$2:$A$6912,0)),"-")</f>
        <v>G</v>
      </c>
      <c r="H1190" s="3" t="str">
        <f aca="false">F1190&amp;"-"&amp;G1190</f>
        <v>C-G</v>
      </c>
      <c r="I1190" s="4" t="n">
        <f aca="false">(F1190="G")+(G1190="G")</f>
        <v>1</v>
      </c>
      <c r="J1190" s="4" t="n">
        <f aca="false">(F1190="C")+(G1190="C")</f>
        <v>1</v>
      </c>
      <c r="K1190" s="3" t="n">
        <f aca="false">I1190+J1190</f>
        <v>2</v>
      </c>
    </row>
    <row r="1191" customFormat="false" ht="15" hidden="false" customHeight="false" outlineLevel="0" collapsed="false">
      <c r="A1191" s="4" t="s">
        <v>79</v>
      </c>
      <c r="B1191" s="4" t="s">
        <v>446</v>
      </c>
      <c r="C1191" s="4" t="s">
        <v>256</v>
      </c>
      <c r="D1191" s="4" t="n">
        <f aca="false">IFERROR(INDEX(Positions!$D$2:$D$6912,MATCH($A1191&amp;"|29",Positions!$A$2:$A$6912,0)),"-")</f>
        <v>29</v>
      </c>
      <c r="E1191" s="4" t="n">
        <f aca="false">IFERROR(INDEX(Positions!$D$2:$D$6912,MATCH($A1191&amp;"|41",Positions!$A$2:$A$6912,0)),"-")</f>
        <v>41</v>
      </c>
      <c r="F1191" s="4" t="str">
        <f aca="false">IFERROR(INDEX(Positions!$E$2:$E$6912,MATCH($A1191&amp;"|29",Positions!$A$2:$A$6912,0)),"-")</f>
        <v>U</v>
      </c>
      <c r="G1191" s="4" t="str">
        <f aca="false">IFERROR(INDEX(Positions!$E$2:$E$6912,MATCH($A1191&amp;"|41",Positions!$A$2:$A$6912,0)),"-")</f>
        <v>A</v>
      </c>
      <c r="H1191" s="3" t="str">
        <f aca="false">F1191&amp;"-"&amp;G1191</f>
        <v>U-A</v>
      </c>
      <c r="I1191" s="4" t="n">
        <f aca="false">(F1191="G")+(G1191="G")</f>
        <v>0</v>
      </c>
      <c r="J1191" s="4" t="n">
        <f aca="false">(F1191="C")+(G1191="C")</f>
        <v>0</v>
      </c>
      <c r="K1191" s="3" t="n">
        <f aca="false">I1191+J1191</f>
        <v>0</v>
      </c>
    </row>
    <row r="1192" customFormat="false" ht="15" hidden="false" customHeight="false" outlineLevel="0" collapsed="false">
      <c r="A1192" s="4" t="s">
        <v>79</v>
      </c>
      <c r="B1192" s="4" t="s">
        <v>446</v>
      </c>
      <c r="C1192" s="4" t="s">
        <v>526</v>
      </c>
      <c r="D1192" s="4" t="n">
        <f aca="false">IFERROR(INDEX(Positions!$D$2:$D$6912,MATCH($A1192&amp;"|30",Positions!$A$2:$A$6912,0)),"-")</f>
        <v>30</v>
      </c>
      <c r="E1192" s="4" t="n">
        <f aca="false">IFERROR(INDEX(Positions!$D$2:$D$6912,MATCH($A1192&amp;"|40",Positions!$A$2:$A$6912,0)),"-")</f>
        <v>40</v>
      </c>
      <c r="F1192" s="4" t="str">
        <f aca="false">IFERROR(INDEX(Positions!$E$2:$E$6912,MATCH($A1192&amp;"|30",Positions!$A$2:$A$6912,0)),"-")</f>
        <v>G</v>
      </c>
      <c r="G1192" s="4" t="str">
        <f aca="false">IFERROR(INDEX(Positions!$E$2:$E$6912,MATCH($A1192&amp;"|40",Positions!$A$2:$A$6912,0)),"-")</f>
        <v>C</v>
      </c>
      <c r="H1192" s="3" t="str">
        <f aca="false">F1192&amp;"-"&amp;G1192</f>
        <v>G-C</v>
      </c>
      <c r="I1192" s="4" t="n">
        <f aca="false">(F1192="G")+(G1192="G")</f>
        <v>1</v>
      </c>
      <c r="J1192" s="4" t="n">
        <f aca="false">(F1192="C")+(G1192="C")</f>
        <v>1</v>
      </c>
      <c r="K1192" s="3" t="n">
        <f aca="false">I1192+J1192</f>
        <v>2</v>
      </c>
    </row>
    <row r="1193" customFormat="false" ht="15" hidden="false" customHeight="false" outlineLevel="0" collapsed="false">
      <c r="A1193" s="4" t="s">
        <v>79</v>
      </c>
      <c r="B1193" s="4" t="s">
        <v>446</v>
      </c>
      <c r="C1193" s="4" t="s">
        <v>273</v>
      </c>
      <c r="D1193" s="4" t="n">
        <f aca="false">IFERROR(INDEX(Positions!$D$2:$D$6912,MATCH($A1193&amp;"|31",Positions!$A$2:$A$6912,0)),"-")</f>
        <v>31</v>
      </c>
      <c r="E1193" s="4" t="n">
        <f aca="false">IFERROR(INDEX(Positions!$D$2:$D$6912,MATCH($A1193&amp;"|39",Positions!$A$2:$A$6912,0)),"-")</f>
        <v>39</v>
      </c>
      <c r="F1193" s="4" t="str">
        <f aca="false">IFERROR(INDEX(Positions!$E$2:$E$6912,MATCH($A1193&amp;"|31",Positions!$A$2:$A$6912,0)),"-")</f>
        <v>A</v>
      </c>
      <c r="G1193" s="4" t="str">
        <f aca="false">IFERROR(INDEX(Positions!$E$2:$E$6912,MATCH($A1193&amp;"|39",Positions!$A$2:$A$6912,0)),"-")</f>
        <v>U</v>
      </c>
      <c r="H1193" s="3" t="str">
        <f aca="false">F1193&amp;"-"&amp;G1193</f>
        <v>A-U</v>
      </c>
      <c r="I1193" s="4" t="n">
        <f aca="false">(F1193="G")+(G1193="G")</f>
        <v>0</v>
      </c>
      <c r="J1193" s="4" t="n">
        <f aca="false">(F1193="C")+(G1193="C")</f>
        <v>0</v>
      </c>
      <c r="K1193" s="3" t="n">
        <f aca="false">I1193+J1193</f>
        <v>0</v>
      </c>
    </row>
    <row r="1194" customFormat="false" ht="15" hidden="false" customHeight="false" outlineLevel="0" collapsed="false">
      <c r="A1194" s="4" t="s">
        <v>79</v>
      </c>
      <c r="B1194" s="4" t="s">
        <v>471</v>
      </c>
      <c r="C1194" s="4" t="s">
        <v>367</v>
      </c>
      <c r="D1194" s="4" t="n">
        <f aca="false">IFERROR(INDEX(Positions!$D$2:$D$6912,MATCH($A1194&amp;"|49",Positions!$A$2:$A$6912,0)),"-")</f>
        <v>49</v>
      </c>
      <c r="E1194" s="4" t="n">
        <f aca="false">IFERROR(INDEX(Positions!$D$2:$D$6912,MATCH($A1194&amp;"|65",Positions!$A$2:$A$6912,0)),"-")</f>
        <v>65</v>
      </c>
      <c r="F1194" s="4" t="str">
        <f aca="false">IFERROR(INDEX(Positions!$E$2:$E$6912,MATCH($A1194&amp;"|49",Positions!$A$2:$A$6912,0)),"-")</f>
        <v>C</v>
      </c>
      <c r="G1194" s="4" t="str">
        <f aca="false">IFERROR(INDEX(Positions!$E$2:$E$6912,MATCH($A1194&amp;"|65",Positions!$A$2:$A$6912,0)),"-")</f>
        <v>G</v>
      </c>
      <c r="H1194" s="3" t="str">
        <f aca="false">F1194&amp;"-"&amp;G1194</f>
        <v>C-G</v>
      </c>
      <c r="I1194" s="4" t="n">
        <f aca="false">(F1194="G")+(G1194="G")</f>
        <v>1</v>
      </c>
      <c r="J1194" s="4" t="n">
        <f aca="false">(F1194="C")+(G1194="C")</f>
        <v>1</v>
      </c>
      <c r="K1194" s="3" t="n">
        <f aca="false">I1194+J1194</f>
        <v>2</v>
      </c>
    </row>
    <row r="1195" customFormat="false" ht="15" hidden="false" customHeight="false" outlineLevel="0" collapsed="false">
      <c r="A1195" s="4" t="s">
        <v>79</v>
      </c>
      <c r="B1195" s="4" t="s">
        <v>471</v>
      </c>
      <c r="C1195" s="4" t="s">
        <v>233</v>
      </c>
      <c r="D1195" s="4" t="n">
        <f aca="false">IFERROR(INDEX(Positions!$D$2:$D$6912,MATCH($A1195&amp;"|50",Positions!$A$2:$A$6912,0)),"-")</f>
        <v>50</v>
      </c>
      <c r="E1195" s="4" t="n">
        <f aca="false">IFERROR(INDEX(Positions!$D$2:$D$6912,MATCH($A1195&amp;"|64",Positions!$A$2:$A$6912,0)),"-")</f>
        <v>64</v>
      </c>
      <c r="F1195" s="4" t="str">
        <f aca="false">IFERROR(INDEX(Positions!$E$2:$E$6912,MATCH($A1195&amp;"|50",Positions!$A$2:$A$6912,0)),"-")</f>
        <v>C</v>
      </c>
      <c r="G1195" s="4" t="str">
        <f aca="false">IFERROR(INDEX(Positions!$E$2:$E$6912,MATCH($A1195&amp;"|64",Positions!$A$2:$A$6912,0)),"-")</f>
        <v>G</v>
      </c>
      <c r="H1195" s="3" t="str">
        <f aca="false">F1195&amp;"-"&amp;G1195</f>
        <v>C-G</v>
      </c>
      <c r="I1195" s="4" t="n">
        <f aca="false">(F1195="G")+(G1195="G")</f>
        <v>1</v>
      </c>
      <c r="J1195" s="4" t="n">
        <f aca="false">(F1195="C")+(G1195="C")</f>
        <v>1</v>
      </c>
      <c r="K1195" s="3" t="n">
        <f aca="false">I1195+J1195</f>
        <v>2</v>
      </c>
    </row>
    <row r="1196" customFormat="false" ht="15" hidden="false" customHeight="false" outlineLevel="0" collapsed="false">
      <c r="A1196" s="4" t="s">
        <v>79</v>
      </c>
      <c r="B1196" s="4" t="s">
        <v>471</v>
      </c>
      <c r="C1196" s="4" t="s">
        <v>527</v>
      </c>
      <c r="D1196" s="4" t="n">
        <f aca="false">IFERROR(INDEX(Positions!$D$2:$D$6912,MATCH($A1196&amp;"|51",Positions!$A$2:$A$6912,0)),"-")</f>
        <v>51</v>
      </c>
      <c r="E1196" s="4" t="n">
        <f aca="false">IFERROR(INDEX(Positions!$D$2:$D$6912,MATCH($A1196&amp;"|63",Positions!$A$2:$A$6912,0)),"-")</f>
        <v>63</v>
      </c>
      <c r="F1196" s="4" t="str">
        <f aca="false">IFERROR(INDEX(Positions!$E$2:$E$6912,MATCH($A1196&amp;"|51",Positions!$A$2:$A$6912,0)),"-")</f>
        <v>A</v>
      </c>
      <c r="G1196" s="4" t="str">
        <f aca="false">IFERROR(INDEX(Positions!$E$2:$E$6912,MATCH($A1196&amp;"|63",Positions!$A$2:$A$6912,0)),"-")</f>
        <v>U</v>
      </c>
      <c r="H1196" s="3" t="str">
        <f aca="false">F1196&amp;"-"&amp;G1196</f>
        <v>A-U</v>
      </c>
      <c r="I1196" s="4" t="n">
        <f aca="false">(F1196="G")+(G1196="G")</f>
        <v>0</v>
      </c>
      <c r="J1196" s="4" t="n">
        <f aca="false">(F1196="C")+(G1196="C")</f>
        <v>0</v>
      </c>
      <c r="K1196" s="3" t="n">
        <f aca="false">I1196+J1196</f>
        <v>0</v>
      </c>
    </row>
    <row r="1197" customFormat="false" ht="15" hidden="false" customHeight="false" outlineLevel="0" collapsed="false">
      <c r="A1197" s="4" t="s">
        <v>79</v>
      </c>
      <c r="B1197" s="4" t="s">
        <v>471</v>
      </c>
      <c r="C1197" s="4" t="s">
        <v>528</v>
      </c>
      <c r="D1197" s="4" t="n">
        <f aca="false">IFERROR(INDEX(Positions!$D$2:$D$6912,MATCH($A1197&amp;"|52",Positions!$A$2:$A$6912,0)),"-")</f>
        <v>52</v>
      </c>
      <c r="E1197" s="4" t="n">
        <f aca="false">IFERROR(INDEX(Positions!$D$2:$D$6912,MATCH($A1197&amp;"|62",Positions!$A$2:$A$6912,0)),"-")</f>
        <v>62</v>
      </c>
      <c r="F1197" s="4" t="str">
        <f aca="false">IFERROR(INDEX(Positions!$E$2:$E$6912,MATCH($A1197&amp;"|52",Positions!$A$2:$A$6912,0)),"-")</f>
        <v>G</v>
      </c>
      <c r="G1197" s="4" t="str">
        <f aca="false">IFERROR(INDEX(Positions!$E$2:$E$6912,MATCH($A1197&amp;"|62",Positions!$A$2:$A$6912,0)),"-")</f>
        <v>C</v>
      </c>
      <c r="H1197" s="3" t="str">
        <f aca="false">F1197&amp;"-"&amp;G1197</f>
        <v>G-C</v>
      </c>
      <c r="I1197" s="4" t="n">
        <f aca="false">(F1197="G")+(G1197="G")</f>
        <v>1</v>
      </c>
      <c r="J1197" s="4" t="n">
        <f aca="false">(F1197="C")+(G1197="C")</f>
        <v>1</v>
      </c>
      <c r="K1197" s="3" t="n">
        <f aca="false">I1197+J1197</f>
        <v>2</v>
      </c>
    </row>
    <row r="1198" customFormat="false" ht="15" hidden="false" customHeight="false" outlineLevel="0" collapsed="false">
      <c r="A1198" s="4" t="s">
        <v>79</v>
      </c>
      <c r="B1198" s="4" t="s">
        <v>471</v>
      </c>
      <c r="C1198" s="4" t="s">
        <v>529</v>
      </c>
      <c r="D1198" s="4" t="n">
        <f aca="false">IFERROR(INDEX(Positions!$D$2:$D$6912,MATCH($A1198&amp;"|53",Positions!$A$2:$A$6912,0)),"-")</f>
        <v>53</v>
      </c>
      <c r="E1198" s="4" t="n">
        <f aca="false">IFERROR(INDEX(Positions!$D$2:$D$6912,MATCH($A1198&amp;"|61",Positions!$A$2:$A$6912,0)),"-")</f>
        <v>61</v>
      </c>
      <c r="F1198" s="4" t="str">
        <f aca="false">IFERROR(INDEX(Positions!$E$2:$E$6912,MATCH($A1198&amp;"|53",Positions!$A$2:$A$6912,0)),"-")</f>
        <v>G</v>
      </c>
      <c r="G1198" s="4" t="str">
        <f aca="false">IFERROR(INDEX(Positions!$E$2:$E$6912,MATCH($A1198&amp;"|61",Positions!$A$2:$A$6912,0)),"-")</f>
        <v>C</v>
      </c>
      <c r="H1198" s="3" t="str">
        <f aca="false">F1198&amp;"-"&amp;G1198</f>
        <v>G-C</v>
      </c>
      <c r="I1198" s="4" t="n">
        <f aca="false">(F1198="G")+(G1198="G")</f>
        <v>1</v>
      </c>
      <c r="J1198" s="4" t="n">
        <f aca="false">(F1198="C")+(G1198="C")</f>
        <v>1</v>
      </c>
      <c r="K1198" s="3" t="n">
        <f aca="false">I1198+J1198</f>
        <v>2</v>
      </c>
    </row>
    <row r="1199" customFormat="false" ht="15" hidden="false" customHeight="false" outlineLevel="0" collapsed="false">
      <c r="A1199" s="24" t="s">
        <v>79</v>
      </c>
      <c r="B1199" s="24" t="s">
        <v>530</v>
      </c>
      <c r="C1199" s="24" t="s">
        <v>531</v>
      </c>
      <c r="D1199" s="24" t="n">
        <f aca="false">IFERROR(INDEX(Positions!$D$2:$D$6912,MATCH($A1199&amp;"|8",Positions!$A$2:$A$6912,0)),"-")</f>
        <v>8</v>
      </c>
      <c r="E1199" s="24" t="n">
        <f aca="false">IFERROR(INDEX(Positions!$D$2:$D$6912,MATCH($A1199&amp;"|14",Positions!$A$2:$A$6912,0)),"-")</f>
        <v>14</v>
      </c>
      <c r="F1199" s="24" t="str">
        <f aca="false">IFERROR(INDEX(Positions!$E$2:$E$6912,MATCH($A1199&amp;"|8",Positions!$A$2:$A$6912,0)),"-")</f>
        <v>U</v>
      </c>
      <c r="G1199" s="24" t="str">
        <f aca="false">IFERROR(INDEX(Positions!$E$2:$E$6912,MATCH($A1199&amp;"|14",Positions!$A$2:$A$6912,0)),"-")</f>
        <v>A</v>
      </c>
      <c r="H1199" s="25" t="str">
        <f aca="false">F1199&amp;"-"&amp;G1199</f>
        <v>U-A</v>
      </c>
      <c r="I1199" s="24" t="n">
        <f aca="false">(F1199="G")+(G1199="G")</f>
        <v>0</v>
      </c>
      <c r="J1199" s="24" t="n">
        <f aca="false">(F1199="C")+(G1199="C")</f>
        <v>0</v>
      </c>
      <c r="K1199" s="25" t="n">
        <f aca="false">I1199+J1199</f>
        <v>0</v>
      </c>
    </row>
    <row r="1200" customFormat="false" ht="15" hidden="false" customHeight="false" outlineLevel="0" collapsed="false">
      <c r="A1200" s="24" t="s">
        <v>79</v>
      </c>
      <c r="B1200" s="24" t="s">
        <v>530</v>
      </c>
      <c r="C1200" s="24" t="s">
        <v>532</v>
      </c>
      <c r="D1200" s="24" t="n">
        <f aca="false">IFERROR(INDEX(Positions!$D$2:$D$6912,MATCH($A1200&amp;"|15",Positions!$A$2:$A$6912,0)),"-")</f>
        <v>15</v>
      </c>
      <c r="E1200" s="24" t="n">
        <f aca="false">IFERROR(INDEX(Positions!$D$2:$D$6912,MATCH($A1200&amp;"|48",Positions!$A$2:$A$6912,0)),"-")</f>
        <v>48</v>
      </c>
      <c r="F1200" s="24" t="str">
        <f aca="false">IFERROR(INDEX(Positions!$E$2:$E$6912,MATCH($A1200&amp;"|15",Positions!$A$2:$A$6912,0)),"-")</f>
        <v>A</v>
      </c>
      <c r="G1200" s="24" t="str">
        <f aca="false">IFERROR(INDEX(Positions!$E$2:$E$6912,MATCH($A1200&amp;"|48",Positions!$A$2:$A$6912,0)),"-")</f>
        <v>U</v>
      </c>
      <c r="H1200" s="25" t="str">
        <f aca="false">F1200&amp;"-"&amp;G1200</f>
        <v>A-U</v>
      </c>
      <c r="I1200" s="24" t="n">
        <f aca="false">(F1200="G")+(G1200="G")</f>
        <v>0</v>
      </c>
      <c r="J1200" s="24" t="n">
        <f aca="false">(F1200="C")+(G1200="C")</f>
        <v>0</v>
      </c>
      <c r="K1200" s="25" t="n">
        <f aca="false">I1200+J1200</f>
        <v>0</v>
      </c>
    </row>
    <row r="1201" customFormat="false" ht="15" hidden="false" customHeight="false" outlineLevel="0" collapsed="false">
      <c r="A1201" s="24" t="s">
        <v>79</v>
      </c>
      <c r="B1201" s="24" t="s">
        <v>530</v>
      </c>
      <c r="C1201" s="24" t="s">
        <v>533</v>
      </c>
      <c r="D1201" s="24" t="n">
        <f aca="false">IFERROR(INDEX(Positions!$D$2:$D$6912,MATCH($A1201&amp;"|18",Positions!$A$2:$A$6912,0)),"-")</f>
        <v>17</v>
      </c>
      <c r="E1201" s="24" t="n">
        <f aca="false">IFERROR(INDEX(Positions!$D$2:$D$6912,MATCH($A1201&amp;"|55",Positions!$A$2:$A$6912,0)),"-")</f>
        <v>55</v>
      </c>
      <c r="F1201" s="24" t="str">
        <f aca="false">IFERROR(INDEX(Positions!$E$2:$E$6912,MATCH($A1201&amp;"|18",Positions!$A$2:$A$6912,0)),"-")</f>
        <v>G</v>
      </c>
      <c r="G1201" s="24" t="str">
        <f aca="false">IFERROR(INDEX(Positions!$E$2:$E$6912,MATCH($A1201&amp;"|55",Positions!$A$2:$A$6912,0)),"-")</f>
        <v>U</v>
      </c>
      <c r="H1201" s="25" t="str">
        <f aca="false">F1201&amp;"-"&amp;G1201</f>
        <v>G-U</v>
      </c>
      <c r="I1201" s="24" t="n">
        <f aca="false">(F1201="G")+(G1201="G")</f>
        <v>1</v>
      </c>
      <c r="J1201" s="24" t="n">
        <f aca="false">(F1201="C")+(G1201="C")</f>
        <v>0</v>
      </c>
      <c r="K1201" s="25" t="n">
        <f aca="false">I1201+J1201</f>
        <v>1</v>
      </c>
    </row>
    <row r="1202" customFormat="false" ht="15" hidden="false" customHeight="false" outlineLevel="0" collapsed="false">
      <c r="A1202" s="24" t="s">
        <v>79</v>
      </c>
      <c r="B1202" s="24" t="s">
        <v>530</v>
      </c>
      <c r="C1202" s="24" t="s">
        <v>534</v>
      </c>
      <c r="D1202" s="24" t="n">
        <f aca="false">IFERROR(INDEX(Positions!$D$2:$D$6912,MATCH($A1202&amp;"|19",Positions!$A$2:$A$6912,0)),"-")</f>
        <v>18</v>
      </c>
      <c r="E1202" s="24" t="n">
        <f aca="false">IFERROR(INDEX(Positions!$D$2:$D$6912,MATCH($A1202&amp;"|56",Positions!$A$2:$A$6912,0)),"-")</f>
        <v>56</v>
      </c>
      <c r="F1202" s="24" t="str">
        <f aca="false">IFERROR(INDEX(Positions!$E$2:$E$6912,MATCH($A1202&amp;"|19",Positions!$A$2:$A$6912,0)),"-")</f>
        <v>G</v>
      </c>
      <c r="G1202" s="24" t="str">
        <f aca="false">IFERROR(INDEX(Positions!$E$2:$E$6912,MATCH($A1202&amp;"|56",Positions!$A$2:$A$6912,0)),"-")</f>
        <v>C</v>
      </c>
      <c r="H1202" s="25" t="str">
        <f aca="false">F1202&amp;"-"&amp;G1202</f>
        <v>G-C</v>
      </c>
      <c r="I1202" s="24" t="n">
        <f aca="false">(F1202="G")+(G1202="G")</f>
        <v>1</v>
      </c>
      <c r="J1202" s="24" t="n">
        <f aca="false">(F1202="C")+(G1202="C")</f>
        <v>1</v>
      </c>
      <c r="K1202" s="25" t="n">
        <f aca="false">I1202+J1202</f>
        <v>2</v>
      </c>
    </row>
    <row r="1203" customFormat="false" ht="15" hidden="false" customHeight="false" outlineLevel="0" collapsed="false">
      <c r="A1203" s="24" t="s">
        <v>79</v>
      </c>
      <c r="B1203" s="24" t="s">
        <v>530</v>
      </c>
      <c r="C1203" s="24" t="s">
        <v>535</v>
      </c>
      <c r="D1203" s="24" t="n">
        <f aca="false">IFERROR(INDEX(Positions!$D$2:$D$6912,MATCH($A1203&amp;"|26",Positions!$A$2:$A$6912,0)),"-")</f>
        <v>26</v>
      </c>
      <c r="E1203" s="24" t="n">
        <f aca="false">IFERROR(INDEX(Positions!$D$2:$D$6912,MATCH($A1203&amp;"|44",Positions!$A$2:$A$6912,0)),"-")</f>
        <v>44</v>
      </c>
      <c r="F1203" s="24" t="str">
        <f aca="false">IFERROR(INDEX(Positions!$E$2:$E$6912,MATCH($A1203&amp;"|26",Positions!$A$2:$A$6912,0)),"-")</f>
        <v>G</v>
      </c>
      <c r="G1203" s="24" t="str">
        <f aca="false">IFERROR(INDEX(Positions!$E$2:$E$6912,MATCH($A1203&amp;"|44",Positions!$A$2:$A$6912,0)),"-")</f>
        <v>A</v>
      </c>
      <c r="H1203" s="25" t="str">
        <f aca="false">F1203&amp;"-"&amp;G1203</f>
        <v>G-A</v>
      </c>
      <c r="I1203" s="24" t="n">
        <f aca="false">(F1203="G")+(G1203="G")</f>
        <v>1</v>
      </c>
      <c r="J1203" s="24" t="n">
        <f aca="false">(F1203="C")+(G1203="C")</f>
        <v>0</v>
      </c>
      <c r="K1203" s="25" t="n">
        <f aca="false">I1203+J1203</f>
        <v>1</v>
      </c>
    </row>
    <row r="1204" customFormat="false" ht="15" hidden="false" customHeight="false" outlineLevel="0" collapsed="false">
      <c r="A1204" s="24" t="s">
        <v>79</v>
      </c>
      <c r="B1204" s="24" t="s">
        <v>530</v>
      </c>
      <c r="C1204" s="24" t="s">
        <v>536</v>
      </c>
      <c r="D1204" s="24" t="n">
        <f aca="false">IFERROR(INDEX(Positions!$D$2:$D$6912,MATCH($A1204&amp;"|32",Positions!$A$2:$A$6912,0)),"-")</f>
        <v>32</v>
      </c>
      <c r="E1204" s="24" t="n">
        <f aca="false">IFERROR(INDEX(Positions!$D$2:$D$6912,MATCH($A1204&amp;"|38",Positions!$A$2:$A$6912,0)),"-")</f>
        <v>38</v>
      </c>
      <c r="F1204" s="24" t="str">
        <f aca="false">IFERROR(INDEX(Positions!$E$2:$E$6912,MATCH($A1204&amp;"|32",Positions!$A$2:$A$6912,0)),"-")</f>
        <v>C</v>
      </c>
      <c r="G1204" s="24" t="str">
        <f aca="false">IFERROR(INDEX(Positions!$E$2:$E$6912,MATCH($A1204&amp;"|38",Positions!$A$2:$A$6912,0)),"-")</f>
        <v>A</v>
      </c>
      <c r="H1204" s="25" t="str">
        <f aca="false">F1204&amp;"-"&amp;G1204</f>
        <v>C-A</v>
      </c>
      <c r="I1204" s="24" t="n">
        <f aca="false">(F1204="G")+(G1204="G")</f>
        <v>0</v>
      </c>
      <c r="J1204" s="24" t="n">
        <f aca="false">(F1204="C")+(G1204="C")</f>
        <v>1</v>
      </c>
      <c r="K1204" s="25" t="n">
        <f aca="false">I1204+J1204</f>
        <v>1</v>
      </c>
    </row>
    <row r="1205" customFormat="false" ht="15" hidden="false" customHeight="false" outlineLevel="0" collapsed="false">
      <c r="A1205" s="24" t="s">
        <v>79</v>
      </c>
      <c r="B1205" s="24" t="s">
        <v>530</v>
      </c>
      <c r="C1205" s="24" t="s">
        <v>537</v>
      </c>
      <c r="D1205" s="24" t="n">
        <f aca="false">IFERROR(INDEX(Positions!$D$2:$D$6912,MATCH($A1205&amp;"|54",Positions!$A$2:$A$6912,0)),"-")</f>
        <v>54</v>
      </c>
      <c r="E1205" s="24" t="n">
        <f aca="false">IFERROR(INDEX(Positions!$D$2:$D$6912,MATCH($A1205&amp;"|58",Positions!$A$2:$A$6912,0)),"-")</f>
        <v>58</v>
      </c>
      <c r="F1205" s="24" t="str">
        <f aca="false">IFERROR(INDEX(Positions!$E$2:$E$6912,MATCH($A1205&amp;"|54",Positions!$A$2:$A$6912,0)),"-")</f>
        <v>U</v>
      </c>
      <c r="G1205" s="24" t="str">
        <f aca="false">IFERROR(INDEX(Positions!$E$2:$E$6912,MATCH($A1205&amp;"|58",Positions!$A$2:$A$6912,0)),"-")</f>
        <v>A</v>
      </c>
      <c r="H1205" s="25" t="str">
        <f aca="false">F1205&amp;"-"&amp;G1205</f>
        <v>U-A</v>
      </c>
      <c r="I1205" s="24" t="n">
        <f aca="false">(F1205="G")+(G1205="G")</f>
        <v>0</v>
      </c>
      <c r="J1205" s="24" t="n">
        <f aca="false">(F1205="C")+(G1205="C")</f>
        <v>0</v>
      </c>
      <c r="K1205" s="25" t="n">
        <f aca="false">I1205+J1205</f>
        <v>0</v>
      </c>
    </row>
    <row r="1206" customFormat="false" ht="15" hidden="false" customHeight="false" outlineLevel="0" collapsed="false">
      <c r="A1206" s="4" t="s">
        <v>80</v>
      </c>
      <c r="B1206" s="4" t="s">
        <v>412</v>
      </c>
      <c r="C1206" s="4" t="s">
        <v>517</v>
      </c>
      <c r="D1206" s="4" t="n">
        <f aca="false">IFERROR(INDEX(Positions!$D$2:$D$6912,MATCH($A1206&amp;"|1",Positions!$A$2:$A$6912,0)),"-")</f>
        <v>1</v>
      </c>
      <c r="E1206" s="4" t="n">
        <f aca="false">IFERROR(INDEX(Positions!$D$2:$D$6912,MATCH($A1206&amp;"|72",Positions!$A$2:$A$6912,0)),"-")</f>
        <v>71</v>
      </c>
      <c r="F1206" s="4" t="str">
        <f aca="false">IFERROR(INDEX(Positions!$E$2:$E$6912,MATCH($A1206&amp;"|1",Positions!$A$2:$A$6912,0)),"-")</f>
        <v>G</v>
      </c>
      <c r="G1206" s="4" t="str">
        <f aca="false">IFERROR(INDEX(Positions!$E$2:$E$6912,MATCH($A1206&amp;"|72",Positions!$A$2:$A$6912,0)),"-")</f>
        <v>C</v>
      </c>
      <c r="H1206" s="3" t="str">
        <f aca="false">F1206&amp;"-"&amp;G1206</f>
        <v>G-C</v>
      </c>
      <c r="I1206" s="4" t="n">
        <f aca="false">(F1206="G")+(G1206="G")</f>
        <v>1</v>
      </c>
      <c r="J1206" s="4" t="n">
        <f aca="false">(F1206="C")+(G1206="C")</f>
        <v>1</v>
      </c>
      <c r="K1206" s="3" t="n">
        <f aca="false">I1206+J1206</f>
        <v>2</v>
      </c>
    </row>
    <row r="1207" customFormat="false" ht="15" hidden="false" customHeight="false" outlineLevel="0" collapsed="false">
      <c r="A1207" s="4" t="s">
        <v>80</v>
      </c>
      <c r="B1207" s="4" t="s">
        <v>412</v>
      </c>
      <c r="C1207" s="4" t="s">
        <v>518</v>
      </c>
      <c r="D1207" s="4" t="n">
        <f aca="false">IFERROR(INDEX(Positions!$D$2:$D$6912,MATCH($A1207&amp;"|2",Positions!$A$2:$A$6912,0)),"-")</f>
        <v>2</v>
      </c>
      <c r="E1207" s="4" t="n">
        <f aca="false">IFERROR(INDEX(Positions!$D$2:$D$6912,MATCH($A1207&amp;"|71",Positions!$A$2:$A$6912,0)),"-")</f>
        <v>70</v>
      </c>
      <c r="F1207" s="4" t="str">
        <f aca="false">IFERROR(INDEX(Positions!$E$2:$E$6912,MATCH($A1207&amp;"|2",Positions!$A$2:$A$6912,0)),"-")</f>
        <v>G</v>
      </c>
      <c r="G1207" s="4" t="str">
        <f aca="false">IFERROR(INDEX(Positions!$E$2:$E$6912,MATCH($A1207&amp;"|71",Positions!$A$2:$A$6912,0)),"-")</f>
        <v>C</v>
      </c>
      <c r="H1207" s="3" t="str">
        <f aca="false">F1207&amp;"-"&amp;G1207</f>
        <v>G-C</v>
      </c>
      <c r="I1207" s="4" t="n">
        <f aca="false">(F1207="G")+(G1207="G")</f>
        <v>1</v>
      </c>
      <c r="J1207" s="4" t="n">
        <f aca="false">(F1207="C")+(G1207="C")</f>
        <v>1</v>
      </c>
      <c r="K1207" s="3" t="n">
        <f aca="false">I1207+J1207</f>
        <v>2</v>
      </c>
    </row>
    <row r="1208" customFormat="false" ht="15" hidden="false" customHeight="false" outlineLevel="0" collapsed="false">
      <c r="A1208" s="4" t="s">
        <v>80</v>
      </c>
      <c r="B1208" s="4" t="s">
        <v>412</v>
      </c>
      <c r="C1208" s="4" t="s">
        <v>386</v>
      </c>
      <c r="D1208" s="4" t="n">
        <f aca="false">IFERROR(INDEX(Positions!$D$2:$D$6912,MATCH($A1208&amp;"|3",Positions!$A$2:$A$6912,0)),"-")</f>
        <v>3</v>
      </c>
      <c r="E1208" s="4" t="n">
        <f aca="false">IFERROR(INDEX(Positions!$D$2:$D$6912,MATCH($A1208&amp;"|70",Positions!$A$2:$A$6912,0)),"-")</f>
        <v>69</v>
      </c>
      <c r="F1208" s="4" t="str">
        <f aca="false">IFERROR(INDEX(Positions!$E$2:$E$6912,MATCH($A1208&amp;"|3",Positions!$A$2:$A$6912,0)),"-")</f>
        <v>U</v>
      </c>
      <c r="G1208" s="4" t="str">
        <f aca="false">IFERROR(INDEX(Positions!$E$2:$E$6912,MATCH($A1208&amp;"|70",Positions!$A$2:$A$6912,0)),"-")</f>
        <v>A</v>
      </c>
      <c r="H1208" s="3" t="str">
        <f aca="false">F1208&amp;"-"&amp;G1208</f>
        <v>U-A</v>
      </c>
      <c r="I1208" s="4" t="n">
        <f aca="false">(F1208="G")+(G1208="G")</f>
        <v>0</v>
      </c>
      <c r="J1208" s="4" t="n">
        <f aca="false">(F1208="C")+(G1208="C")</f>
        <v>0</v>
      </c>
      <c r="K1208" s="3" t="n">
        <f aca="false">I1208+J1208</f>
        <v>0</v>
      </c>
    </row>
    <row r="1209" customFormat="false" ht="15" hidden="false" customHeight="false" outlineLevel="0" collapsed="false">
      <c r="A1209" s="4" t="s">
        <v>80</v>
      </c>
      <c r="B1209" s="4" t="s">
        <v>412</v>
      </c>
      <c r="C1209" s="4" t="s">
        <v>519</v>
      </c>
      <c r="D1209" s="4" t="n">
        <f aca="false">IFERROR(INDEX(Positions!$D$2:$D$6912,MATCH($A1209&amp;"|4",Positions!$A$2:$A$6912,0)),"-")</f>
        <v>4</v>
      </c>
      <c r="E1209" s="4" t="n">
        <f aca="false">IFERROR(INDEX(Positions!$D$2:$D$6912,MATCH($A1209&amp;"|69",Positions!$A$2:$A$6912,0)),"-")</f>
        <v>68</v>
      </c>
      <c r="F1209" s="4" t="str">
        <f aca="false">IFERROR(INDEX(Positions!$E$2:$E$6912,MATCH($A1209&amp;"|4",Positions!$A$2:$A$6912,0)),"-")</f>
        <v>U</v>
      </c>
      <c r="G1209" s="4" t="str">
        <f aca="false">IFERROR(INDEX(Positions!$E$2:$E$6912,MATCH($A1209&amp;"|69",Positions!$A$2:$A$6912,0)),"-")</f>
        <v>A</v>
      </c>
      <c r="H1209" s="3" t="str">
        <f aca="false">F1209&amp;"-"&amp;G1209</f>
        <v>U-A</v>
      </c>
      <c r="I1209" s="4" t="n">
        <f aca="false">(F1209="G")+(G1209="G")</f>
        <v>0</v>
      </c>
      <c r="J1209" s="4" t="n">
        <f aca="false">(F1209="C")+(G1209="C")</f>
        <v>0</v>
      </c>
      <c r="K1209" s="3" t="n">
        <f aca="false">I1209+J1209</f>
        <v>0</v>
      </c>
    </row>
    <row r="1210" customFormat="false" ht="15" hidden="false" customHeight="false" outlineLevel="0" collapsed="false">
      <c r="A1210" s="4" t="s">
        <v>80</v>
      </c>
      <c r="B1210" s="4" t="s">
        <v>412</v>
      </c>
      <c r="C1210" s="4" t="s">
        <v>283</v>
      </c>
      <c r="D1210" s="4" t="n">
        <f aca="false">IFERROR(INDEX(Positions!$D$2:$D$6912,MATCH($A1210&amp;"|5",Positions!$A$2:$A$6912,0)),"-")</f>
        <v>5</v>
      </c>
      <c r="E1210" s="4" t="n">
        <f aca="false">IFERROR(INDEX(Positions!$D$2:$D$6912,MATCH($A1210&amp;"|68",Positions!$A$2:$A$6912,0)),"-")</f>
        <v>67</v>
      </c>
      <c r="F1210" s="4" t="str">
        <f aca="false">IFERROR(INDEX(Positions!$E$2:$E$6912,MATCH($A1210&amp;"|5",Positions!$A$2:$A$6912,0)),"-")</f>
        <v>C</v>
      </c>
      <c r="G1210" s="4" t="str">
        <f aca="false">IFERROR(INDEX(Positions!$E$2:$E$6912,MATCH($A1210&amp;"|68",Positions!$A$2:$A$6912,0)),"-")</f>
        <v>G</v>
      </c>
      <c r="H1210" s="3" t="str">
        <f aca="false">F1210&amp;"-"&amp;G1210</f>
        <v>C-G</v>
      </c>
      <c r="I1210" s="4" t="n">
        <f aca="false">(F1210="G")+(G1210="G")</f>
        <v>1</v>
      </c>
      <c r="J1210" s="4" t="n">
        <f aca="false">(F1210="C")+(G1210="C")</f>
        <v>1</v>
      </c>
      <c r="K1210" s="3" t="n">
        <f aca="false">I1210+J1210</f>
        <v>2</v>
      </c>
    </row>
    <row r="1211" customFormat="false" ht="15" hidden="false" customHeight="false" outlineLevel="0" collapsed="false">
      <c r="A1211" s="4" t="s">
        <v>80</v>
      </c>
      <c r="B1211" s="4" t="s">
        <v>412</v>
      </c>
      <c r="C1211" s="4" t="s">
        <v>520</v>
      </c>
      <c r="D1211" s="4" t="n">
        <f aca="false">IFERROR(INDEX(Positions!$D$2:$D$6912,MATCH($A1211&amp;"|6",Positions!$A$2:$A$6912,0)),"-")</f>
        <v>6</v>
      </c>
      <c r="E1211" s="4" t="n">
        <f aca="false">IFERROR(INDEX(Positions!$D$2:$D$6912,MATCH($A1211&amp;"|67",Positions!$A$2:$A$6912,0)),"-")</f>
        <v>66</v>
      </c>
      <c r="F1211" s="4" t="str">
        <f aca="false">IFERROR(INDEX(Positions!$E$2:$E$6912,MATCH($A1211&amp;"|6",Positions!$A$2:$A$6912,0)),"-")</f>
        <v>C</v>
      </c>
      <c r="G1211" s="4" t="str">
        <f aca="false">IFERROR(INDEX(Positions!$E$2:$E$6912,MATCH($A1211&amp;"|67",Positions!$A$2:$A$6912,0)),"-")</f>
        <v>G</v>
      </c>
      <c r="H1211" s="3" t="str">
        <f aca="false">F1211&amp;"-"&amp;G1211</f>
        <v>C-G</v>
      </c>
      <c r="I1211" s="4" t="n">
        <f aca="false">(F1211="G")+(G1211="G")</f>
        <v>1</v>
      </c>
      <c r="J1211" s="4" t="n">
        <f aca="false">(F1211="C")+(G1211="C")</f>
        <v>1</v>
      </c>
      <c r="K1211" s="3" t="n">
        <f aca="false">I1211+J1211</f>
        <v>2</v>
      </c>
    </row>
    <row r="1212" customFormat="false" ht="15" hidden="false" customHeight="false" outlineLevel="0" collapsed="false">
      <c r="A1212" s="4" t="s">
        <v>80</v>
      </c>
      <c r="B1212" s="4" t="s">
        <v>412</v>
      </c>
      <c r="C1212" s="4" t="s">
        <v>521</v>
      </c>
      <c r="D1212" s="4" t="n">
        <f aca="false">IFERROR(INDEX(Positions!$D$2:$D$6912,MATCH($A1212&amp;"|7",Positions!$A$2:$A$6912,0)),"-")</f>
        <v>7</v>
      </c>
      <c r="E1212" s="4" t="n">
        <f aca="false">IFERROR(INDEX(Positions!$D$2:$D$6912,MATCH($A1212&amp;"|66",Positions!$A$2:$A$6912,0)),"-")</f>
        <v>65</v>
      </c>
      <c r="F1212" s="4" t="str">
        <f aca="false">IFERROR(INDEX(Positions!$E$2:$E$6912,MATCH($A1212&amp;"|7",Positions!$A$2:$A$6912,0)),"-")</f>
        <v>A</v>
      </c>
      <c r="G1212" s="4" t="str">
        <f aca="false">IFERROR(INDEX(Positions!$E$2:$E$6912,MATCH($A1212&amp;"|66",Positions!$A$2:$A$6912,0)),"-")</f>
        <v>U</v>
      </c>
      <c r="H1212" s="3" t="str">
        <f aca="false">F1212&amp;"-"&amp;G1212</f>
        <v>A-U</v>
      </c>
      <c r="I1212" s="4" t="n">
        <f aca="false">(F1212="G")+(G1212="G")</f>
        <v>0</v>
      </c>
      <c r="J1212" s="4" t="n">
        <f aca="false">(F1212="C")+(G1212="C")</f>
        <v>0</v>
      </c>
      <c r="K1212" s="3" t="n">
        <f aca="false">I1212+J1212</f>
        <v>0</v>
      </c>
    </row>
    <row r="1213" customFormat="false" ht="15" hidden="false" customHeight="false" outlineLevel="0" collapsed="false">
      <c r="A1213" s="4" t="s">
        <v>80</v>
      </c>
      <c r="B1213" s="4" t="s">
        <v>425</v>
      </c>
      <c r="C1213" s="4" t="s">
        <v>522</v>
      </c>
      <c r="D1213" s="4" t="n">
        <f aca="false">IFERROR(INDEX(Positions!$D$2:$D$6912,MATCH($A1213&amp;"|10",Positions!$A$2:$A$6912,0)),"-")</f>
        <v>10</v>
      </c>
      <c r="E1213" s="4" t="n">
        <f aca="false">IFERROR(INDEX(Positions!$D$2:$D$6912,MATCH($A1213&amp;"|25",Positions!$A$2:$A$6912,0)),"-")</f>
        <v>25</v>
      </c>
      <c r="F1213" s="4" t="str">
        <f aca="false">IFERROR(INDEX(Positions!$E$2:$E$6912,MATCH($A1213&amp;"|10",Positions!$A$2:$A$6912,0)),"-")</f>
        <v>G</v>
      </c>
      <c r="G1213" s="4" t="str">
        <f aca="false">IFERROR(INDEX(Positions!$E$2:$E$6912,MATCH($A1213&amp;"|25",Positions!$A$2:$A$6912,0)),"-")</f>
        <v>C</v>
      </c>
      <c r="H1213" s="3" t="str">
        <f aca="false">F1213&amp;"-"&amp;G1213</f>
        <v>G-C</v>
      </c>
      <c r="I1213" s="4" t="n">
        <f aca="false">(F1213="G")+(G1213="G")</f>
        <v>1</v>
      </c>
      <c r="J1213" s="4" t="n">
        <f aca="false">(F1213="C")+(G1213="C")</f>
        <v>1</v>
      </c>
      <c r="K1213" s="3" t="n">
        <f aca="false">I1213+J1213</f>
        <v>2</v>
      </c>
    </row>
    <row r="1214" customFormat="false" ht="15" hidden="false" customHeight="false" outlineLevel="0" collapsed="false">
      <c r="A1214" s="4" t="s">
        <v>80</v>
      </c>
      <c r="B1214" s="4" t="s">
        <v>425</v>
      </c>
      <c r="C1214" s="4" t="s">
        <v>523</v>
      </c>
      <c r="D1214" s="4" t="n">
        <f aca="false">IFERROR(INDEX(Positions!$D$2:$D$6912,MATCH($A1214&amp;"|11",Positions!$A$2:$A$6912,0)),"-")</f>
        <v>11</v>
      </c>
      <c r="E1214" s="4" t="n">
        <f aca="false">IFERROR(INDEX(Positions!$D$2:$D$6912,MATCH($A1214&amp;"|24",Positions!$A$2:$A$6912,0)),"-")</f>
        <v>24</v>
      </c>
      <c r="F1214" s="4" t="str">
        <f aca="false">IFERROR(INDEX(Positions!$E$2:$E$6912,MATCH($A1214&amp;"|11",Positions!$A$2:$A$6912,0)),"-")</f>
        <v>U</v>
      </c>
      <c r="G1214" s="4" t="str">
        <f aca="false">IFERROR(INDEX(Positions!$E$2:$E$6912,MATCH($A1214&amp;"|24",Positions!$A$2:$A$6912,0)),"-")</f>
        <v>A</v>
      </c>
      <c r="H1214" s="3" t="str">
        <f aca="false">F1214&amp;"-"&amp;G1214</f>
        <v>U-A</v>
      </c>
      <c r="I1214" s="4" t="n">
        <f aca="false">(F1214="G")+(G1214="G")</f>
        <v>0</v>
      </c>
      <c r="J1214" s="4" t="n">
        <f aca="false">(F1214="C")+(G1214="C")</f>
        <v>0</v>
      </c>
      <c r="K1214" s="3" t="n">
        <f aca="false">I1214+J1214</f>
        <v>0</v>
      </c>
    </row>
    <row r="1215" customFormat="false" ht="15" hidden="false" customHeight="false" outlineLevel="0" collapsed="false">
      <c r="A1215" s="4" t="s">
        <v>80</v>
      </c>
      <c r="B1215" s="4" t="s">
        <v>425</v>
      </c>
      <c r="C1215" s="4" t="s">
        <v>250</v>
      </c>
      <c r="D1215" s="4" t="n">
        <f aca="false">IFERROR(INDEX(Positions!$D$2:$D$6912,MATCH($A1215&amp;"|12",Positions!$A$2:$A$6912,0)),"-")</f>
        <v>12</v>
      </c>
      <c r="E1215" s="4" t="n">
        <f aca="false">IFERROR(INDEX(Positions!$D$2:$D$6912,MATCH($A1215&amp;"|23",Positions!$A$2:$A$6912,0)),"-")</f>
        <v>23</v>
      </c>
      <c r="F1215" s="4" t="str">
        <f aca="false">IFERROR(INDEX(Positions!$E$2:$E$6912,MATCH($A1215&amp;"|12",Positions!$A$2:$A$6912,0)),"-")</f>
        <v>G</v>
      </c>
      <c r="G1215" s="4" t="str">
        <f aca="false">IFERROR(INDEX(Positions!$E$2:$E$6912,MATCH($A1215&amp;"|23",Positions!$A$2:$A$6912,0)),"-")</f>
        <v>C</v>
      </c>
      <c r="H1215" s="3" t="str">
        <f aca="false">F1215&amp;"-"&amp;G1215</f>
        <v>G-C</v>
      </c>
      <c r="I1215" s="4" t="n">
        <f aca="false">(F1215="G")+(G1215="G")</f>
        <v>1</v>
      </c>
      <c r="J1215" s="4" t="n">
        <f aca="false">(F1215="C")+(G1215="C")</f>
        <v>1</v>
      </c>
      <c r="K1215" s="3" t="n">
        <f aca="false">I1215+J1215</f>
        <v>2</v>
      </c>
    </row>
    <row r="1216" customFormat="false" ht="15" hidden="false" customHeight="false" outlineLevel="0" collapsed="false">
      <c r="A1216" s="4" t="s">
        <v>80</v>
      </c>
      <c r="B1216" s="4" t="s">
        <v>425</v>
      </c>
      <c r="C1216" s="4" t="s">
        <v>154</v>
      </c>
      <c r="D1216" s="4" t="n">
        <f aca="false">IFERROR(INDEX(Positions!$D$2:$D$6912,MATCH($A1216&amp;"|13",Positions!$A$2:$A$6912,0)),"-")</f>
        <v>13</v>
      </c>
      <c r="E1216" s="4" t="n">
        <f aca="false">IFERROR(INDEX(Positions!$D$2:$D$6912,MATCH($A1216&amp;"|22",Positions!$A$2:$A$6912,0)),"-")</f>
        <v>22</v>
      </c>
      <c r="F1216" s="4" t="str">
        <f aca="false">IFERROR(INDEX(Positions!$E$2:$E$6912,MATCH($A1216&amp;"|13",Positions!$A$2:$A$6912,0)),"-")</f>
        <v>U</v>
      </c>
      <c r="G1216" s="4" t="str">
        <f aca="false">IFERROR(INDEX(Positions!$E$2:$E$6912,MATCH($A1216&amp;"|22",Positions!$A$2:$A$6912,0)),"-")</f>
        <v>G</v>
      </c>
      <c r="H1216" s="3" t="str">
        <f aca="false">F1216&amp;"-"&amp;G1216</f>
        <v>U-G</v>
      </c>
      <c r="I1216" s="4" t="n">
        <f aca="false">(F1216="G")+(G1216="G")</f>
        <v>1</v>
      </c>
      <c r="J1216" s="4" t="n">
        <f aca="false">(F1216="C")+(G1216="C")</f>
        <v>0</v>
      </c>
      <c r="K1216" s="3" t="n">
        <f aca="false">I1216+J1216</f>
        <v>1</v>
      </c>
    </row>
    <row r="1217" customFormat="false" ht="15" hidden="false" customHeight="false" outlineLevel="0" collapsed="false">
      <c r="A1217" s="4" t="s">
        <v>80</v>
      </c>
      <c r="B1217" s="4" t="s">
        <v>446</v>
      </c>
      <c r="C1217" s="4" t="s">
        <v>524</v>
      </c>
      <c r="D1217" s="4" t="n">
        <f aca="false">IFERROR(INDEX(Positions!$D$2:$D$6912,MATCH($A1217&amp;"|27",Positions!$A$2:$A$6912,0)),"-")</f>
        <v>27</v>
      </c>
      <c r="E1217" s="4" t="n">
        <f aca="false">IFERROR(INDEX(Positions!$D$2:$D$6912,MATCH($A1217&amp;"|43",Positions!$A$2:$A$6912,0)),"-")</f>
        <v>43</v>
      </c>
      <c r="F1217" s="4" t="str">
        <f aca="false">IFERROR(INDEX(Positions!$E$2:$E$6912,MATCH($A1217&amp;"|27",Positions!$A$2:$A$6912,0)),"-")</f>
        <v>C</v>
      </c>
      <c r="G1217" s="4" t="str">
        <f aca="false">IFERROR(INDEX(Positions!$E$2:$E$6912,MATCH($A1217&amp;"|43",Positions!$A$2:$A$6912,0)),"-")</f>
        <v>G</v>
      </c>
      <c r="H1217" s="3" t="str">
        <f aca="false">F1217&amp;"-"&amp;G1217</f>
        <v>C-G</v>
      </c>
      <c r="I1217" s="4" t="n">
        <f aca="false">(F1217="G")+(G1217="G")</f>
        <v>1</v>
      </c>
      <c r="J1217" s="4" t="n">
        <f aca="false">(F1217="C")+(G1217="C")</f>
        <v>1</v>
      </c>
      <c r="K1217" s="3" t="n">
        <f aca="false">I1217+J1217</f>
        <v>2</v>
      </c>
    </row>
    <row r="1218" customFormat="false" ht="15" hidden="false" customHeight="false" outlineLevel="0" collapsed="false">
      <c r="A1218" s="4" t="s">
        <v>80</v>
      </c>
      <c r="B1218" s="4" t="s">
        <v>446</v>
      </c>
      <c r="C1218" s="4" t="s">
        <v>525</v>
      </c>
      <c r="D1218" s="4" t="n">
        <f aca="false">IFERROR(INDEX(Positions!$D$2:$D$6912,MATCH($A1218&amp;"|28",Positions!$A$2:$A$6912,0)),"-")</f>
        <v>28</v>
      </c>
      <c r="E1218" s="4" t="n">
        <f aca="false">IFERROR(INDEX(Positions!$D$2:$D$6912,MATCH($A1218&amp;"|42",Positions!$A$2:$A$6912,0)),"-")</f>
        <v>42</v>
      </c>
      <c r="F1218" s="4" t="str">
        <f aca="false">IFERROR(INDEX(Positions!$E$2:$E$6912,MATCH($A1218&amp;"|28",Positions!$A$2:$A$6912,0)),"-")</f>
        <v>U</v>
      </c>
      <c r="G1218" s="4" t="str">
        <f aca="false">IFERROR(INDEX(Positions!$E$2:$E$6912,MATCH($A1218&amp;"|42",Positions!$A$2:$A$6912,0)),"-")</f>
        <v>A</v>
      </c>
      <c r="H1218" s="3" t="str">
        <f aca="false">F1218&amp;"-"&amp;G1218</f>
        <v>U-A</v>
      </c>
      <c r="I1218" s="4" t="n">
        <f aca="false">(F1218="G")+(G1218="G")</f>
        <v>0</v>
      </c>
      <c r="J1218" s="4" t="n">
        <f aca="false">(F1218="C")+(G1218="C")</f>
        <v>0</v>
      </c>
      <c r="K1218" s="3" t="n">
        <f aca="false">I1218+J1218</f>
        <v>0</v>
      </c>
    </row>
    <row r="1219" customFormat="false" ht="15" hidden="false" customHeight="false" outlineLevel="0" collapsed="false">
      <c r="A1219" s="4" t="s">
        <v>80</v>
      </c>
      <c r="B1219" s="4" t="s">
        <v>446</v>
      </c>
      <c r="C1219" s="4" t="s">
        <v>256</v>
      </c>
      <c r="D1219" s="4" t="n">
        <f aca="false">IFERROR(INDEX(Positions!$D$2:$D$6912,MATCH($A1219&amp;"|29",Positions!$A$2:$A$6912,0)),"-")</f>
        <v>29</v>
      </c>
      <c r="E1219" s="4" t="n">
        <f aca="false">IFERROR(INDEX(Positions!$D$2:$D$6912,MATCH($A1219&amp;"|41",Positions!$A$2:$A$6912,0)),"-")</f>
        <v>41</v>
      </c>
      <c r="F1219" s="4" t="str">
        <f aca="false">IFERROR(INDEX(Positions!$E$2:$E$6912,MATCH($A1219&amp;"|29",Positions!$A$2:$A$6912,0)),"-")</f>
        <v>G</v>
      </c>
      <c r="G1219" s="4" t="str">
        <f aca="false">IFERROR(INDEX(Positions!$E$2:$E$6912,MATCH($A1219&amp;"|41",Positions!$A$2:$A$6912,0)),"-")</f>
        <v>C</v>
      </c>
      <c r="H1219" s="3" t="str">
        <f aca="false">F1219&amp;"-"&amp;G1219</f>
        <v>G-C</v>
      </c>
      <c r="I1219" s="4" t="n">
        <f aca="false">(F1219="G")+(G1219="G")</f>
        <v>1</v>
      </c>
      <c r="J1219" s="4" t="n">
        <f aca="false">(F1219="C")+(G1219="C")</f>
        <v>1</v>
      </c>
      <c r="K1219" s="3" t="n">
        <f aca="false">I1219+J1219</f>
        <v>2</v>
      </c>
    </row>
    <row r="1220" customFormat="false" ht="15" hidden="false" customHeight="false" outlineLevel="0" collapsed="false">
      <c r="A1220" s="4" t="s">
        <v>80</v>
      </c>
      <c r="B1220" s="4" t="s">
        <v>446</v>
      </c>
      <c r="C1220" s="4" t="s">
        <v>526</v>
      </c>
      <c r="D1220" s="4" t="n">
        <f aca="false">IFERROR(INDEX(Positions!$D$2:$D$6912,MATCH($A1220&amp;"|30",Positions!$A$2:$A$6912,0)),"-")</f>
        <v>30</v>
      </c>
      <c r="E1220" s="4" t="n">
        <f aca="false">IFERROR(INDEX(Positions!$D$2:$D$6912,MATCH($A1220&amp;"|40",Positions!$A$2:$A$6912,0)),"-")</f>
        <v>40</v>
      </c>
      <c r="F1220" s="4" t="str">
        <f aca="false">IFERROR(INDEX(Positions!$E$2:$E$6912,MATCH($A1220&amp;"|30",Positions!$A$2:$A$6912,0)),"-")</f>
        <v>G</v>
      </c>
      <c r="G1220" s="4" t="str">
        <f aca="false">IFERROR(INDEX(Positions!$E$2:$E$6912,MATCH($A1220&amp;"|40",Positions!$A$2:$A$6912,0)),"-")</f>
        <v>C</v>
      </c>
      <c r="H1220" s="3" t="str">
        <f aca="false">F1220&amp;"-"&amp;G1220</f>
        <v>G-C</v>
      </c>
      <c r="I1220" s="4" t="n">
        <f aca="false">(F1220="G")+(G1220="G")</f>
        <v>1</v>
      </c>
      <c r="J1220" s="4" t="n">
        <f aca="false">(F1220="C")+(G1220="C")</f>
        <v>1</v>
      </c>
      <c r="K1220" s="3" t="n">
        <f aca="false">I1220+J1220</f>
        <v>2</v>
      </c>
    </row>
    <row r="1221" customFormat="false" ht="15" hidden="false" customHeight="false" outlineLevel="0" collapsed="false">
      <c r="A1221" s="4" t="s">
        <v>80</v>
      </c>
      <c r="B1221" s="4" t="s">
        <v>446</v>
      </c>
      <c r="C1221" s="4" t="s">
        <v>273</v>
      </c>
      <c r="D1221" s="4" t="n">
        <f aca="false">IFERROR(INDEX(Positions!$D$2:$D$6912,MATCH($A1221&amp;"|31",Positions!$A$2:$A$6912,0)),"-")</f>
        <v>31</v>
      </c>
      <c r="E1221" s="4" t="n">
        <f aca="false">IFERROR(INDEX(Positions!$D$2:$D$6912,MATCH($A1221&amp;"|39",Positions!$A$2:$A$6912,0)),"-")</f>
        <v>39</v>
      </c>
      <c r="F1221" s="4" t="str">
        <f aca="false">IFERROR(INDEX(Positions!$E$2:$E$6912,MATCH($A1221&amp;"|31",Positions!$A$2:$A$6912,0)),"-")</f>
        <v>A</v>
      </c>
      <c r="G1221" s="4" t="str">
        <f aca="false">IFERROR(INDEX(Positions!$E$2:$E$6912,MATCH($A1221&amp;"|39",Positions!$A$2:$A$6912,0)),"-")</f>
        <v>U</v>
      </c>
      <c r="H1221" s="3" t="str">
        <f aca="false">F1221&amp;"-"&amp;G1221</f>
        <v>A-U</v>
      </c>
      <c r="I1221" s="4" t="n">
        <f aca="false">(F1221="G")+(G1221="G")</f>
        <v>0</v>
      </c>
      <c r="J1221" s="4" t="n">
        <f aca="false">(F1221="C")+(G1221="C")</f>
        <v>0</v>
      </c>
      <c r="K1221" s="3" t="n">
        <f aca="false">I1221+J1221</f>
        <v>0</v>
      </c>
    </row>
    <row r="1222" customFormat="false" ht="15" hidden="false" customHeight="false" outlineLevel="0" collapsed="false">
      <c r="A1222" s="4" t="s">
        <v>80</v>
      </c>
      <c r="B1222" s="4" t="s">
        <v>471</v>
      </c>
      <c r="C1222" s="4" t="s">
        <v>367</v>
      </c>
      <c r="D1222" s="4" t="n">
        <f aca="false">IFERROR(INDEX(Positions!$D$2:$D$6912,MATCH($A1222&amp;"|49",Positions!$A$2:$A$6912,0)),"-")</f>
        <v>48</v>
      </c>
      <c r="E1222" s="4" t="n">
        <f aca="false">IFERROR(INDEX(Positions!$D$2:$D$6912,MATCH($A1222&amp;"|65",Positions!$A$2:$A$6912,0)),"-")</f>
        <v>64</v>
      </c>
      <c r="F1222" s="4" t="str">
        <f aca="false">IFERROR(INDEX(Positions!$E$2:$E$6912,MATCH($A1222&amp;"|49",Positions!$A$2:$A$6912,0)),"-")</f>
        <v>C</v>
      </c>
      <c r="G1222" s="4" t="str">
        <f aca="false">IFERROR(INDEX(Positions!$E$2:$E$6912,MATCH($A1222&amp;"|65",Positions!$A$2:$A$6912,0)),"-")</f>
        <v>G</v>
      </c>
      <c r="H1222" s="3" t="str">
        <f aca="false">F1222&amp;"-"&amp;G1222</f>
        <v>C-G</v>
      </c>
      <c r="I1222" s="4" t="n">
        <f aca="false">(F1222="G")+(G1222="G")</f>
        <v>1</v>
      </c>
      <c r="J1222" s="4" t="n">
        <f aca="false">(F1222="C")+(G1222="C")</f>
        <v>1</v>
      </c>
      <c r="K1222" s="3" t="n">
        <f aca="false">I1222+J1222</f>
        <v>2</v>
      </c>
    </row>
    <row r="1223" customFormat="false" ht="15" hidden="false" customHeight="false" outlineLevel="0" collapsed="false">
      <c r="A1223" s="4" t="s">
        <v>80</v>
      </c>
      <c r="B1223" s="4" t="s">
        <v>471</v>
      </c>
      <c r="C1223" s="4" t="s">
        <v>233</v>
      </c>
      <c r="D1223" s="4" t="n">
        <f aca="false">IFERROR(INDEX(Positions!$D$2:$D$6912,MATCH($A1223&amp;"|50",Positions!$A$2:$A$6912,0)),"-")</f>
        <v>49</v>
      </c>
      <c r="E1223" s="4" t="n">
        <f aca="false">IFERROR(INDEX(Positions!$D$2:$D$6912,MATCH($A1223&amp;"|64",Positions!$A$2:$A$6912,0)),"-")</f>
        <v>63</v>
      </c>
      <c r="F1223" s="4" t="str">
        <f aca="false">IFERROR(INDEX(Positions!$E$2:$E$6912,MATCH($A1223&amp;"|50",Positions!$A$2:$A$6912,0)),"-")</f>
        <v>C</v>
      </c>
      <c r="G1223" s="4" t="str">
        <f aca="false">IFERROR(INDEX(Positions!$E$2:$E$6912,MATCH($A1223&amp;"|64",Positions!$A$2:$A$6912,0)),"-")</f>
        <v>G</v>
      </c>
      <c r="H1223" s="3" t="str">
        <f aca="false">F1223&amp;"-"&amp;G1223</f>
        <v>C-G</v>
      </c>
      <c r="I1223" s="4" t="n">
        <f aca="false">(F1223="G")+(G1223="G")</f>
        <v>1</v>
      </c>
      <c r="J1223" s="4" t="n">
        <f aca="false">(F1223="C")+(G1223="C")</f>
        <v>1</v>
      </c>
      <c r="K1223" s="3" t="n">
        <f aca="false">I1223+J1223</f>
        <v>2</v>
      </c>
    </row>
    <row r="1224" customFormat="false" ht="15" hidden="false" customHeight="false" outlineLevel="0" collapsed="false">
      <c r="A1224" s="4" t="s">
        <v>80</v>
      </c>
      <c r="B1224" s="4" t="s">
        <v>471</v>
      </c>
      <c r="C1224" s="4" t="s">
        <v>527</v>
      </c>
      <c r="D1224" s="4" t="n">
        <f aca="false">IFERROR(INDEX(Positions!$D$2:$D$6912,MATCH($A1224&amp;"|51",Positions!$A$2:$A$6912,0)),"-")</f>
        <v>50</v>
      </c>
      <c r="E1224" s="4" t="n">
        <f aca="false">IFERROR(INDEX(Positions!$D$2:$D$6912,MATCH($A1224&amp;"|63",Positions!$A$2:$A$6912,0)),"-")</f>
        <v>62</v>
      </c>
      <c r="F1224" s="4" t="str">
        <f aca="false">IFERROR(INDEX(Positions!$E$2:$E$6912,MATCH($A1224&amp;"|51",Positions!$A$2:$A$6912,0)),"-")</f>
        <v>G</v>
      </c>
      <c r="G1224" s="4" t="str">
        <f aca="false">IFERROR(INDEX(Positions!$E$2:$E$6912,MATCH($A1224&amp;"|63",Positions!$A$2:$A$6912,0)),"-")</f>
        <v>C</v>
      </c>
      <c r="H1224" s="3" t="str">
        <f aca="false">F1224&amp;"-"&amp;G1224</f>
        <v>G-C</v>
      </c>
      <c r="I1224" s="4" t="n">
        <f aca="false">(F1224="G")+(G1224="G")</f>
        <v>1</v>
      </c>
      <c r="J1224" s="4" t="n">
        <f aca="false">(F1224="C")+(G1224="C")</f>
        <v>1</v>
      </c>
      <c r="K1224" s="3" t="n">
        <f aca="false">I1224+J1224</f>
        <v>2</v>
      </c>
    </row>
    <row r="1225" customFormat="false" ht="15" hidden="false" customHeight="false" outlineLevel="0" collapsed="false">
      <c r="A1225" s="4" t="s">
        <v>80</v>
      </c>
      <c r="B1225" s="4" t="s">
        <v>471</v>
      </c>
      <c r="C1225" s="4" t="s">
        <v>528</v>
      </c>
      <c r="D1225" s="4" t="n">
        <f aca="false">IFERROR(INDEX(Positions!$D$2:$D$6912,MATCH($A1225&amp;"|52",Positions!$A$2:$A$6912,0)),"-")</f>
        <v>51</v>
      </c>
      <c r="E1225" s="4" t="n">
        <f aca="false">IFERROR(INDEX(Positions!$D$2:$D$6912,MATCH($A1225&amp;"|62",Positions!$A$2:$A$6912,0)),"-")</f>
        <v>61</v>
      </c>
      <c r="F1225" s="4" t="str">
        <f aca="false">IFERROR(INDEX(Positions!$E$2:$E$6912,MATCH($A1225&amp;"|52",Positions!$A$2:$A$6912,0)),"-")</f>
        <v>A</v>
      </c>
      <c r="G1225" s="4" t="str">
        <f aca="false">IFERROR(INDEX(Positions!$E$2:$E$6912,MATCH($A1225&amp;"|62",Positions!$A$2:$A$6912,0)),"-")</f>
        <v>U</v>
      </c>
      <c r="H1225" s="3" t="str">
        <f aca="false">F1225&amp;"-"&amp;G1225</f>
        <v>A-U</v>
      </c>
      <c r="I1225" s="4" t="n">
        <f aca="false">(F1225="G")+(G1225="G")</f>
        <v>0</v>
      </c>
      <c r="J1225" s="4" t="n">
        <f aca="false">(F1225="C")+(G1225="C")</f>
        <v>0</v>
      </c>
      <c r="K1225" s="3" t="n">
        <f aca="false">I1225+J1225</f>
        <v>0</v>
      </c>
    </row>
    <row r="1226" customFormat="false" ht="15" hidden="false" customHeight="false" outlineLevel="0" collapsed="false">
      <c r="A1226" s="4" t="s">
        <v>80</v>
      </c>
      <c r="B1226" s="4" t="s">
        <v>471</v>
      </c>
      <c r="C1226" s="4" t="s">
        <v>529</v>
      </c>
      <c r="D1226" s="4" t="n">
        <f aca="false">IFERROR(INDEX(Positions!$D$2:$D$6912,MATCH($A1226&amp;"|53",Positions!$A$2:$A$6912,0)),"-")</f>
        <v>52</v>
      </c>
      <c r="E1226" s="4" t="n">
        <f aca="false">IFERROR(INDEX(Positions!$D$2:$D$6912,MATCH($A1226&amp;"|61",Positions!$A$2:$A$6912,0)),"-")</f>
        <v>60</v>
      </c>
      <c r="F1226" s="4" t="str">
        <f aca="false">IFERROR(INDEX(Positions!$E$2:$E$6912,MATCH($A1226&amp;"|53",Positions!$A$2:$A$6912,0)),"-")</f>
        <v>G</v>
      </c>
      <c r="G1226" s="4" t="str">
        <f aca="false">IFERROR(INDEX(Positions!$E$2:$E$6912,MATCH($A1226&amp;"|61",Positions!$A$2:$A$6912,0)),"-")</f>
        <v>C</v>
      </c>
      <c r="H1226" s="3" t="str">
        <f aca="false">F1226&amp;"-"&amp;G1226</f>
        <v>G-C</v>
      </c>
      <c r="I1226" s="4" t="n">
        <f aca="false">(F1226="G")+(G1226="G")</f>
        <v>1</v>
      </c>
      <c r="J1226" s="4" t="n">
        <f aca="false">(F1226="C")+(G1226="C")</f>
        <v>1</v>
      </c>
      <c r="K1226" s="3" t="n">
        <f aca="false">I1226+J1226</f>
        <v>2</v>
      </c>
    </row>
    <row r="1227" customFormat="false" ht="15" hidden="false" customHeight="false" outlineLevel="0" collapsed="false">
      <c r="A1227" s="24" t="s">
        <v>80</v>
      </c>
      <c r="B1227" s="24" t="s">
        <v>530</v>
      </c>
      <c r="C1227" s="24" t="s">
        <v>531</v>
      </c>
      <c r="D1227" s="24" t="n">
        <f aca="false">IFERROR(INDEX(Positions!$D$2:$D$6912,MATCH($A1227&amp;"|8",Positions!$A$2:$A$6912,0)),"-")</f>
        <v>8</v>
      </c>
      <c r="E1227" s="24" t="n">
        <f aca="false">IFERROR(INDEX(Positions!$D$2:$D$6912,MATCH($A1227&amp;"|14",Positions!$A$2:$A$6912,0)),"-")</f>
        <v>14</v>
      </c>
      <c r="F1227" s="24" t="str">
        <f aca="false">IFERROR(INDEX(Positions!$E$2:$E$6912,MATCH($A1227&amp;"|8",Positions!$A$2:$A$6912,0)),"-")</f>
        <v>U</v>
      </c>
      <c r="G1227" s="24" t="str">
        <f aca="false">IFERROR(INDEX(Positions!$E$2:$E$6912,MATCH($A1227&amp;"|14",Positions!$A$2:$A$6912,0)),"-")</f>
        <v>A</v>
      </c>
      <c r="H1227" s="25" t="str">
        <f aca="false">F1227&amp;"-"&amp;G1227</f>
        <v>U-A</v>
      </c>
      <c r="I1227" s="24" t="n">
        <f aca="false">(F1227="G")+(G1227="G")</f>
        <v>0</v>
      </c>
      <c r="J1227" s="24" t="n">
        <f aca="false">(F1227="C")+(G1227="C")</f>
        <v>0</v>
      </c>
      <c r="K1227" s="25" t="n">
        <f aca="false">I1227+J1227</f>
        <v>0</v>
      </c>
    </row>
    <row r="1228" customFormat="false" ht="15" hidden="false" customHeight="false" outlineLevel="0" collapsed="false">
      <c r="A1228" s="24" t="s">
        <v>80</v>
      </c>
      <c r="B1228" s="24" t="s">
        <v>530</v>
      </c>
      <c r="C1228" s="24" t="s">
        <v>532</v>
      </c>
      <c r="D1228" s="24" t="n">
        <f aca="false">IFERROR(INDEX(Positions!$D$2:$D$6912,MATCH($A1228&amp;"|15",Positions!$A$2:$A$6912,0)),"-")</f>
        <v>15</v>
      </c>
      <c r="E1228" s="24" t="n">
        <f aca="false">IFERROR(INDEX(Positions!$D$2:$D$6912,MATCH($A1228&amp;"|48",Positions!$A$2:$A$6912,0)),"-")</f>
        <v>47</v>
      </c>
      <c r="F1228" s="24" t="str">
        <f aca="false">IFERROR(INDEX(Positions!$E$2:$E$6912,MATCH($A1228&amp;"|15",Positions!$A$2:$A$6912,0)),"-")</f>
        <v>A</v>
      </c>
      <c r="G1228" s="24" t="str">
        <f aca="false">IFERROR(INDEX(Positions!$E$2:$E$6912,MATCH($A1228&amp;"|48",Positions!$A$2:$A$6912,0)),"-")</f>
        <v>U</v>
      </c>
      <c r="H1228" s="25" t="str">
        <f aca="false">F1228&amp;"-"&amp;G1228</f>
        <v>A-U</v>
      </c>
      <c r="I1228" s="24" t="n">
        <f aca="false">(F1228="G")+(G1228="G")</f>
        <v>0</v>
      </c>
      <c r="J1228" s="24" t="n">
        <f aca="false">(F1228="C")+(G1228="C")</f>
        <v>0</v>
      </c>
      <c r="K1228" s="25" t="n">
        <f aca="false">I1228+J1228</f>
        <v>0</v>
      </c>
    </row>
    <row r="1229" customFormat="false" ht="15" hidden="false" customHeight="false" outlineLevel="0" collapsed="false">
      <c r="A1229" s="24" t="s">
        <v>80</v>
      </c>
      <c r="B1229" s="24" t="s">
        <v>530</v>
      </c>
      <c r="C1229" s="24" t="s">
        <v>533</v>
      </c>
      <c r="D1229" s="24" t="n">
        <f aca="false">IFERROR(INDEX(Positions!$D$2:$D$6912,MATCH($A1229&amp;"|18",Positions!$A$2:$A$6912,0)),"-")</f>
        <v>17</v>
      </c>
      <c r="E1229" s="24" t="n">
        <f aca="false">IFERROR(INDEX(Positions!$D$2:$D$6912,MATCH($A1229&amp;"|55",Positions!$A$2:$A$6912,0)),"-")</f>
        <v>54</v>
      </c>
      <c r="F1229" s="24" t="str">
        <f aca="false">IFERROR(INDEX(Positions!$E$2:$E$6912,MATCH($A1229&amp;"|18",Positions!$A$2:$A$6912,0)),"-")</f>
        <v>G</v>
      </c>
      <c r="G1229" s="24" t="str">
        <f aca="false">IFERROR(INDEX(Positions!$E$2:$E$6912,MATCH($A1229&amp;"|55",Positions!$A$2:$A$6912,0)),"-")</f>
        <v>U</v>
      </c>
      <c r="H1229" s="25" t="str">
        <f aca="false">F1229&amp;"-"&amp;G1229</f>
        <v>G-U</v>
      </c>
      <c r="I1229" s="24" t="n">
        <f aca="false">(F1229="G")+(G1229="G")</f>
        <v>1</v>
      </c>
      <c r="J1229" s="24" t="n">
        <f aca="false">(F1229="C")+(G1229="C")</f>
        <v>0</v>
      </c>
      <c r="K1229" s="25" t="n">
        <f aca="false">I1229+J1229</f>
        <v>1</v>
      </c>
    </row>
    <row r="1230" customFormat="false" ht="15" hidden="false" customHeight="false" outlineLevel="0" collapsed="false">
      <c r="A1230" s="24" t="s">
        <v>80</v>
      </c>
      <c r="B1230" s="24" t="s">
        <v>530</v>
      </c>
      <c r="C1230" s="24" t="s">
        <v>534</v>
      </c>
      <c r="D1230" s="24" t="n">
        <f aca="false">IFERROR(INDEX(Positions!$D$2:$D$6912,MATCH($A1230&amp;"|19",Positions!$A$2:$A$6912,0)),"-")</f>
        <v>18</v>
      </c>
      <c r="E1230" s="24" t="n">
        <f aca="false">IFERROR(INDEX(Positions!$D$2:$D$6912,MATCH($A1230&amp;"|56",Positions!$A$2:$A$6912,0)),"-")</f>
        <v>55</v>
      </c>
      <c r="F1230" s="24" t="str">
        <f aca="false">IFERROR(INDEX(Positions!$E$2:$E$6912,MATCH($A1230&amp;"|19",Positions!$A$2:$A$6912,0)),"-")</f>
        <v>G</v>
      </c>
      <c r="G1230" s="24" t="str">
        <f aca="false">IFERROR(INDEX(Positions!$E$2:$E$6912,MATCH($A1230&amp;"|56",Positions!$A$2:$A$6912,0)),"-")</f>
        <v>C</v>
      </c>
      <c r="H1230" s="25" t="str">
        <f aca="false">F1230&amp;"-"&amp;G1230</f>
        <v>G-C</v>
      </c>
      <c r="I1230" s="24" t="n">
        <f aca="false">(F1230="G")+(G1230="G")</f>
        <v>1</v>
      </c>
      <c r="J1230" s="24" t="n">
        <f aca="false">(F1230="C")+(G1230="C")</f>
        <v>1</v>
      </c>
      <c r="K1230" s="25" t="n">
        <f aca="false">I1230+J1230</f>
        <v>2</v>
      </c>
    </row>
    <row r="1231" customFormat="false" ht="15" hidden="false" customHeight="false" outlineLevel="0" collapsed="false">
      <c r="A1231" s="24" t="s">
        <v>80</v>
      </c>
      <c r="B1231" s="24" t="s">
        <v>530</v>
      </c>
      <c r="C1231" s="24" t="s">
        <v>535</v>
      </c>
      <c r="D1231" s="24" t="n">
        <f aca="false">IFERROR(INDEX(Positions!$D$2:$D$6912,MATCH($A1231&amp;"|26",Positions!$A$2:$A$6912,0)),"-")</f>
        <v>26</v>
      </c>
      <c r="E1231" s="24" t="n">
        <f aca="false">IFERROR(INDEX(Positions!$D$2:$D$6912,MATCH($A1231&amp;"|44",Positions!$A$2:$A$6912,0)),"-")</f>
        <v>44</v>
      </c>
      <c r="F1231" s="24" t="str">
        <f aca="false">IFERROR(INDEX(Positions!$E$2:$E$6912,MATCH($A1231&amp;"|26",Positions!$A$2:$A$6912,0)),"-")</f>
        <v>U</v>
      </c>
      <c r="G1231" s="24" t="str">
        <f aca="false">IFERROR(INDEX(Positions!$E$2:$E$6912,MATCH($A1231&amp;"|44",Positions!$A$2:$A$6912,0)),"-")</f>
        <v>C</v>
      </c>
      <c r="H1231" s="25" t="str">
        <f aca="false">F1231&amp;"-"&amp;G1231</f>
        <v>U-C</v>
      </c>
      <c r="I1231" s="24" t="n">
        <f aca="false">(F1231="G")+(G1231="G")</f>
        <v>0</v>
      </c>
      <c r="J1231" s="24" t="n">
        <f aca="false">(F1231="C")+(G1231="C")</f>
        <v>1</v>
      </c>
      <c r="K1231" s="25" t="n">
        <f aca="false">I1231+J1231</f>
        <v>1</v>
      </c>
    </row>
    <row r="1232" customFormat="false" ht="15" hidden="false" customHeight="false" outlineLevel="0" collapsed="false">
      <c r="A1232" s="24" t="s">
        <v>80</v>
      </c>
      <c r="B1232" s="24" t="s">
        <v>530</v>
      </c>
      <c r="C1232" s="24" t="s">
        <v>536</v>
      </c>
      <c r="D1232" s="24" t="n">
        <f aca="false">IFERROR(INDEX(Positions!$D$2:$D$6912,MATCH($A1232&amp;"|32",Positions!$A$2:$A$6912,0)),"-")</f>
        <v>32</v>
      </c>
      <c r="E1232" s="24" t="n">
        <f aca="false">IFERROR(INDEX(Positions!$D$2:$D$6912,MATCH($A1232&amp;"|38",Positions!$A$2:$A$6912,0)),"-")</f>
        <v>38</v>
      </c>
      <c r="F1232" s="24" t="str">
        <f aca="false">IFERROR(INDEX(Positions!$E$2:$E$6912,MATCH($A1232&amp;"|32",Positions!$A$2:$A$6912,0)),"-")</f>
        <v>C</v>
      </c>
      <c r="G1232" s="24" t="str">
        <f aca="false">IFERROR(INDEX(Positions!$E$2:$E$6912,MATCH($A1232&amp;"|38",Positions!$A$2:$A$6912,0)),"-")</f>
        <v>A</v>
      </c>
      <c r="H1232" s="25" t="str">
        <f aca="false">F1232&amp;"-"&amp;G1232</f>
        <v>C-A</v>
      </c>
      <c r="I1232" s="24" t="n">
        <f aca="false">(F1232="G")+(G1232="G")</f>
        <v>0</v>
      </c>
      <c r="J1232" s="24" t="n">
        <f aca="false">(F1232="C")+(G1232="C")</f>
        <v>1</v>
      </c>
      <c r="K1232" s="25" t="n">
        <f aca="false">I1232+J1232</f>
        <v>1</v>
      </c>
    </row>
    <row r="1233" customFormat="false" ht="15" hidden="false" customHeight="false" outlineLevel="0" collapsed="false">
      <c r="A1233" s="24" t="s">
        <v>80</v>
      </c>
      <c r="B1233" s="24" t="s">
        <v>530</v>
      </c>
      <c r="C1233" s="24" t="s">
        <v>537</v>
      </c>
      <c r="D1233" s="24" t="n">
        <f aca="false">IFERROR(INDEX(Positions!$D$2:$D$6912,MATCH($A1233&amp;"|54",Positions!$A$2:$A$6912,0)),"-")</f>
        <v>53</v>
      </c>
      <c r="E1233" s="24" t="n">
        <f aca="false">IFERROR(INDEX(Positions!$D$2:$D$6912,MATCH($A1233&amp;"|58",Positions!$A$2:$A$6912,0)),"-")</f>
        <v>57</v>
      </c>
      <c r="F1233" s="24" t="str">
        <f aca="false">IFERROR(INDEX(Positions!$E$2:$E$6912,MATCH($A1233&amp;"|54",Positions!$A$2:$A$6912,0)),"-")</f>
        <v>U</v>
      </c>
      <c r="G1233" s="24" t="str">
        <f aca="false">IFERROR(INDEX(Positions!$E$2:$E$6912,MATCH($A1233&amp;"|58",Positions!$A$2:$A$6912,0)),"-")</f>
        <v>A</v>
      </c>
      <c r="H1233" s="25" t="str">
        <f aca="false">F1233&amp;"-"&amp;G1233</f>
        <v>U-A</v>
      </c>
      <c r="I1233" s="24" t="n">
        <f aca="false">(F1233="G")+(G1233="G")</f>
        <v>0</v>
      </c>
      <c r="J1233" s="24" t="n">
        <f aca="false">(F1233="C")+(G1233="C")</f>
        <v>0</v>
      </c>
      <c r="K1233" s="25" t="n">
        <f aca="false">I1233+J1233</f>
        <v>0</v>
      </c>
    </row>
    <row r="1234" customFormat="false" ht="15" hidden="false" customHeight="false" outlineLevel="0" collapsed="false">
      <c r="A1234" s="4" t="s">
        <v>81</v>
      </c>
      <c r="B1234" s="4" t="s">
        <v>412</v>
      </c>
      <c r="C1234" s="4" t="s">
        <v>517</v>
      </c>
      <c r="D1234" s="4" t="n">
        <f aca="false">IFERROR(INDEX(Positions!$D$2:$D$6912,MATCH($A1234&amp;"|1",Positions!$A$2:$A$6912,0)),"-")</f>
        <v>1</v>
      </c>
      <c r="E1234" s="4" t="n">
        <f aca="false">IFERROR(INDEX(Positions!$D$2:$D$6912,MATCH($A1234&amp;"|72",Positions!$A$2:$A$6912,0)),"-")</f>
        <v>71</v>
      </c>
      <c r="F1234" s="4" t="str">
        <f aca="false">IFERROR(INDEX(Positions!$E$2:$E$6912,MATCH($A1234&amp;"|1",Positions!$A$2:$A$6912,0)),"-")</f>
        <v>G</v>
      </c>
      <c r="G1234" s="4" t="str">
        <f aca="false">IFERROR(INDEX(Positions!$E$2:$E$6912,MATCH($A1234&amp;"|72",Positions!$A$2:$A$6912,0)),"-")</f>
        <v>C</v>
      </c>
      <c r="H1234" s="3" t="str">
        <f aca="false">F1234&amp;"-"&amp;G1234</f>
        <v>G-C</v>
      </c>
      <c r="I1234" s="4" t="n">
        <f aca="false">(F1234="G")+(G1234="G")</f>
        <v>1</v>
      </c>
      <c r="J1234" s="4" t="n">
        <f aca="false">(F1234="C")+(G1234="C")</f>
        <v>1</v>
      </c>
      <c r="K1234" s="3" t="n">
        <f aca="false">I1234+J1234</f>
        <v>2</v>
      </c>
    </row>
    <row r="1235" customFormat="false" ht="15" hidden="false" customHeight="false" outlineLevel="0" collapsed="false">
      <c r="A1235" s="4" t="s">
        <v>81</v>
      </c>
      <c r="B1235" s="4" t="s">
        <v>412</v>
      </c>
      <c r="C1235" s="4" t="s">
        <v>518</v>
      </c>
      <c r="D1235" s="4" t="n">
        <f aca="false">IFERROR(INDEX(Positions!$D$2:$D$6912,MATCH($A1235&amp;"|2",Positions!$A$2:$A$6912,0)),"-")</f>
        <v>2</v>
      </c>
      <c r="E1235" s="4" t="n">
        <f aca="false">IFERROR(INDEX(Positions!$D$2:$D$6912,MATCH($A1235&amp;"|71",Positions!$A$2:$A$6912,0)),"-")</f>
        <v>70</v>
      </c>
      <c r="F1235" s="4" t="str">
        <f aca="false">IFERROR(INDEX(Positions!$E$2:$E$6912,MATCH($A1235&amp;"|2",Positions!$A$2:$A$6912,0)),"-")</f>
        <v>G</v>
      </c>
      <c r="G1235" s="4" t="str">
        <f aca="false">IFERROR(INDEX(Positions!$E$2:$E$6912,MATCH($A1235&amp;"|71",Positions!$A$2:$A$6912,0)),"-")</f>
        <v>C</v>
      </c>
      <c r="H1235" s="3" t="str">
        <f aca="false">F1235&amp;"-"&amp;G1235</f>
        <v>G-C</v>
      </c>
      <c r="I1235" s="4" t="n">
        <f aca="false">(F1235="G")+(G1235="G")</f>
        <v>1</v>
      </c>
      <c r="J1235" s="4" t="n">
        <f aca="false">(F1235="C")+(G1235="C")</f>
        <v>1</v>
      </c>
      <c r="K1235" s="3" t="n">
        <f aca="false">I1235+J1235</f>
        <v>2</v>
      </c>
    </row>
    <row r="1236" customFormat="false" ht="15" hidden="false" customHeight="false" outlineLevel="0" collapsed="false">
      <c r="A1236" s="4" t="s">
        <v>81</v>
      </c>
      <c r="B1236" s="4" t="s">
        <v>412</v>
      </c>
      <c r="C1236" s="4" t="s">
        <v>386</v>
      </c>
      <c r="D1236" s="4" t="n">
        <f aca="false">IFERROR(INDEX(Positions!$D$2:$D$6912,MATCH($A1236&amp;"|3",Positions!$A$2:$A$6912,0)),"-")</f>
        <v>3</v>
      </c>
      <c r="E1236" s="4" t="n">
        <f aca="false">IFERROR(INDEX(Positions!$D$2:$D$6912,MATCH($A1236&amp;"|70",Positions!$A$2:$A$6912,0)),"-")</f>
        <v>69</v>
      </c>
      <c r="F1236" s="4" t="str">
        <f aca="false">IFERROR(INDEX(Positions!$E$2:$E$6912,MATCH($A1236&amp;"|3",Positions!$A$2:$A$6912,0)),"-")</f>
        <v>U</v>
      </c>
      <c r="G1236" s="4" t="str">
        <f aca="false">IFERROR(INDEX(Positions!$E$2:$E$6912,MATCH($A1236&amp;"|70",Positions!$A$2:$A$6912,0)),"-")</f>
        <v>A</v>
      </c>
      <c r="H1236" s="3" t="str">
        <f aca="false">F1236&amp;"-"&amp;G1236</f>
        <v>U-A</v>
      </c>
      <c r="I1236" s="4" t="n">
        <f aca="false">(F1236="G")+(G1236="G")</f>
        <v>0</v>
      </c>
      <c r="J1236" s="4" t="n">
        <f aca="false">(F1236="C")+(G1236="C")</f>
        <v>0</v>
      </c>
      <c r="K1236" s="3" t="n">
        <f aca="false">I1236+J1236</f>
        <v>0</v>
      </c>
    </row>
    <row r="1237" customFormat="false" ht="15" hidden="false" customHeight="false" outlineLevel="0" collapsed="false">
      <c r="A1237" s="4" t="s">
        <v>81</v>
      </c>
      <c r="B1237" s="4" t="s">
        <v>412</v>
      </c>
      <c r="C1237" s="4" t="s">
        <v>519</v>
      </c>
      <c r="D1237" s="4" t="n">
        <f aca="false">IFERROR(INDEX(Positions!$D$2:$D$6912,MATCH($A1237&amp;"|4",Positions!$A$2:$A$6912,0)),"-")</f>
        <v>4</v>
      </c>
      <c r="E1237" s="4" t="n">
        <f aca="false">IFERROR(INDEX(Positions!$D$2:$D$6912,MATCH($A1237&amp;"|69",Positions!$A$2:$A$6912,0)),"-")</f>
        <v>68</v>
      </c>
      <c r="F1237" s="4" t="str">
        <f aca="false">IFERROR(INDEX(Positions!$E$2:$E$6912,MATCH($A1237&amp;"|4",Positions!$A$2:$A$6912,0)),"-")</f>
        <v>C</v>
      </c>
      <c r="G1237" s="4" t="str">
        <f aca="false">IFERROR(INDEX(Positions!$E$2:$E$6912,MATCH($A1237&amp;"|69",Positions!$A$2:$A$6912,0)),"-")</f>
        <v>G</v>
      </c>
      <c r="H1237" s="3" t="str">
        <f aca="false">F1237&amp;"-"&amp;G1237</f>
        <v>C-G</v>
      </c>
      <c r="I1237" s="4" t="n">
        <f aca="false">(F1237="G")+(G1237="G")</f>
        <v>1</v>
      </c>
      <c r="J1237" s="4" t="n">
        <f aca="false">(F1237="C")+(G1237="C")</f>
        <v>1</v>
      </c>
      <c r="K1237" s="3" t="n">
        <f aca="false">I1237+J1237</f>
        <v>2</v>
      </c>
    </row>
    <row r="1238" customFormat="false" ht="15" hidden="false" customHeight="false" outlineLevel="0" collapsed="false">
      <c r="A1238" s="4" t="s">
        <v>81</v>
      </c>
      <c r="B1238" s="4" t="s">
        <v>412</v>
      </c>
      <c r="C1238" s="4" t="s">
        <v>283</v>
      </c>
      <c r="D1238" s="4" t="n">
        <f aca="false">IFERROR(INDEX(Positions!$D$2:$D$6912,MATCH($A1238&amp;"|5",Positions!$A$2:$A$6912,0)),"-")</f>
        <v>5</v>
      </c>
      <c r="E1238" s="4" t="n">
        <f aca="false">IFERROR(INDEX(Positions!$D$2:$D$6912,MATCH($A1238&amp;"|68",Positions!$A$2:$A$6912,0)),"-")</f>
        <v>67</v>
      </c>
      <c r="F1238" s="4" t="str">
        <f aca="false">IFERROR(INDEX(Positions!$E$2:$E$6912,MATCH($A1238&amp;"|5",Positions!$A$2:$A$6912,0)),"-")</f>
        <v>C</v>
      </c>
      <c r="G1238" s="4" t="str">
        <f aca="false">IFERROR(INDEX(Positions!$E$2:$E$6912,MATCH($A1238&amp;"|68",Positions!$A$2:$A$6912,0)),"-")</f>
        <v>G</v>
      </c>
      <c r="H1238" s="3" t="str">
        <f aca="false">F1238&amp;"-"&amp;G1238</f>
        <v>C-G</v>
      </c>
      <c r="I1238" s="4" t="n">
        <f aca="false">(F1238="G")+(G1238="G")</f>
        <v>1</v>
      </c>
      <c r="J1238" s="4" t="n">
        <f aca="false">(F1238="C")+(G1238="C")</f>
        <v>1</v>
      </c>
      <c r="K1238" s="3" t="n">
        <f aca="false">I1238+J1238</f>
        <v>2</v>
      </c>
    </row>
    <row r="1239" customFormat="false" ht="15" hidden="false" customHeight="false" outlineLevel="0" collapsed="false">
      <c r="A1239" s="4" t="s">
        <v>81</v>
      </c>
      <c r="B1239" s="4" t="s">
        <v>412</v>
      </c>
      <c r="C1239" s="4" t="s">
        <v>520</v>
      </c>
      <c r="D1239" s="4" t="n">
        <f aca="false">IFERROR(INDEX(Positions!$D$2:$D$6912,MATCH($A1239&amp;"|6",Positions!$A$2:$A$6912,0)),"-")</f>
        <v>6</v>
      </c>
      <c r="E1239" s="4" t="n">
        <f aca="false">IFERROR(INDEX(Positions!$D$2:$D$6912,MATCH($A1239&amp;"|67",Positions!$A$2:$A$6912,0)),"-")</f>
        <v>66</v>
      </c>
      <c r="F1239" s="4" t="str">
        <f aca="false">IFERROR(INDEX(Positions!$E$2:$E$6912,MATCH($A1239&amp;"|6",Positions!$A$2:$A$6912,0)),"-")</f>
        <v>C</v>
      </c>
      <c r="G1239" s="4" t="str">
        <f aca="false">IFERROR(INDEX(Positions!$E$2:$E$6912,MATCH($A1239&amp;"|67",Positions!$A$2:$A$6912,0)),"-")</f>
        <v>G</v>
      </c>
      <c r="H1239" s="3" t="str">
        <f aca="false">F1239&amp;"-"&amp;G1239</f>
        <v>C-G</v>
      </c>
      <c r="I1239" s="4" t="n">
        <f aca="false">(F1239="G")+(G1239="G")</f>
        <v>1</v>
      </c>
      <c r="J1239" s="4" t="n">
        <f aca="false">(F1239="C")+(G1239="C")</f>
        <v>1</v>
      </c>
      <c r="K1239" s="3" t="n">
        <f aca="false">I1239+J1239</f>
        <v>2</v>
      </c>
    </row>
    <row r="1240" customFormat="false" ht="15" hidden="false" customHeight="false" outlineLevel="0" collapsed="false">
      <c r="A1240" s="4" t="s">
        <v>81</v>
      </c>
      <c r="B1240" s="4" t="s">
        <v>412</v>
      </c>
      <c r="C1240" s="4" t="s">
        <v>521</v>
      </c>
      <c r="D1240" s="4" t="n">
        <f aca="false">IFERROR(INDEX(Positions!$D$2:$D$6912,MATCH($A1240&amp;"|7",Positions!$A$2:$A$6912,0)),"-")</f>
        <v>7</v>
      </c>
      <c r="E1240" s="4" t="n">
        <f aca="false">IFERROR(INDEX(Positions!$D$2:$D$6912,MATCH($A1240&amp;"|66",Positions!$A$2:$A$6912,0)),"-")</f>
        <v>65</v>
      </c>
      <c r="F1240" s="4" t="str">
        <f aca="false">IFERROR(INDEX(Positions!$E$2:$E$6912,MATCH($A1240&amp;"|7",Positions!$A$2:$A$6912,0)),"-")</f>
        <v>A</v>
      </c>
      <c r="G1240" s="4" t="str">
        <f aca="false">IFERROR(INDEX(Positions!$E$2:$E$6912,MATCH($A1240&amp;"|66",Positions!$A$2:$A$6912,0)),"-")</f>
        <v>U</v>
      </c>
      <c r="H1240" s="3" t="str">
        <f aca="false">F1240&amp;"-"&amp;G1240</f>
        <v>A-U</v>
      </c>
      <c r="I1240" s="4" t="n">
        <f aca="false">(F1240="G")+(G1240="G")</f>
        <v>0</v>
      </c>
      <c r="J1240" s="4" t="n">
        <f aca="false">(F1240="C")+(G1240="C")</f>
        <v>0</v>
      </c>
      <c r="K1240" s="3" t="n">
        <f aca="false">I1240+J1240</f>
        <v>0</v>
      </c>
    </row>
    <row r="1241" customFormat="false" ht="15" hidden="false" customHeight="false" outlineLevel="0" collapsed="false">
      <c r="A1241" s="4" t="s">
        <v>81</v>
      </c>
      <c r="B1241" s="4" t="s">
        <v>425</v>
      </c>
      <c r="C1241" s="4" t="s">
        <v>522</v>
      </c>
      <c r="D1241" s="4" t="n">
        <f aca="false">IFERROR(INDEX(Positions!$D$2:$D$6912,MATCH($A1241&amp;"|10",Positions!$A$2:$A$6912,0)),"-")</f>
        <v>10</v>
      </c>
      <c r="E1241" s="4" t="n">
        <f aca="false">IFERROR(INDEX(Positions!$D$2:$D$6912,MATCH($A1241&amp;"|25",Positions!$A$2:$A$6912,0)),"-")</f>
        <v>25</v>
      </c>
      <c r="F1241" s="4" t="str">
        <f aca="false">IFERROR(INDEX(Positions!$E$2:$E$6912,MATCH($A1241&amp;"|10",Positions!$A$2:$A$6912,0)),"-")</f>
        <v>G</v>
      </c>
      <c r="G1241" s="4" t="str">
        <f aca="false">IFERROR(INDEX(Positions!$E$2:$E$6912,MATCH($A1241&amp;"|25",Positions!$A$2:$A$6912,0)),"-")</f>
        <v>C</v>
      </c>
      <c r="H1241" s="3" t="str">
        <f aca="false">F1241&amp;"-"&amp;G1241</f>
        <v>G-C</v>
      </c>
      <c r="I1241" s="4" t="n">
        <f aca="false">(F1241="G")+(G1241="G")</f>
        <v>1</v>
      </c>
      <c r="J1241" s="4" t="n">
        <f aca="false">(F1241="C")+(G1241="C")</f>
        <v>1</v>
      </c>
      <c r="K1241" s="3" t="n">
        <f aca="false">I1241+J1241</f>
        <v>2</v>
      </c>
    </row>
    <row r="1242" customFormat="false" ht="15" hidden="false" customHeight="false" outlineLevel="0" collapsed="false">
      <c r="A1242" s="4" t="s">
        <v>81</v>
      </c>
      <c r="B1242" s="4" t="s">
        <v>425</v>
      </c>
      <c r="C1242" s="4" t="s">
        <v>523</v>
      </c>
      <c r="D1242" s="4" t="n">
        <f aca="false">IFERROR(INDEX(Positions!$D$2:$D$6912,MATCH($A1242&amp;"|11",Positions!$A$2:$A$6912,0)),"-")</f>
        <v>11</v>
      </c>
      <c r="E1242" s="4" t="n">
        <f aca="false">IFERROR(INDEX(Positions!$D$2:$D$6912,MATCH($A1242&amp;"|24",Positions!$A$2:$A$6912,0)),"-")</f>
        <v>24</v>
      </c>
      <c r="F1242" s="4" t="str">
        <f aca="false">IFERROR(INDEX(Positions!$E$2:$E$6912,MATCH($A1242&amp;"|11",Positions!$A$2:$A$6912,0)),"-")</f>
        <v>U</v>
      </c>
      <c r="G1242" s="4" t="str">
        <f aca="false">IFERROR(INDEX(Positions!$E$2:$E$6912,MATCH($A1242&amp;"|24",Positions!$A$2:$A$6912,0)),"-")</f>
        <v>A</v>
      </c>
      <c r="H1242" s="3" t="str">
        <f aca="false">F1242&amp;"-"&amp;G1242</f>
        <v>U-A</v>
      </c>
      <c r="I1242" s="4" t="n">
        <f aca="false">(F1242="G")+(G1242="G")</f>
        <v>0</v>
      </c>
      <c r="J1242" s="4" t="n">
        <f aca="false">(F1242="C")+(G1242="C")</f>
        <v>0</v>
      </c>
      <c r="K1242" s="3" t="n">
        <f aca="false">I1242+J1242</f>
        <v>0</v>
      </c>
    </row>
    <row r="1243" customFormat="false" ht="15" hidden="false" customHeight="false" outlineLevel="0" collapsed="false">
      <c r="A1243" s="4" t="s">
        <v>81</v>
      </c>
      <c r="B1243" s="4" t="s">
        <v>425</v>
      </c>
      <c r="C1243" s="4" t="s">
        <v>250</v>
      </c>
      <c r="D1243" s="4" t="n">
        <f aca="false">IFERROR(INDEX(Positions!$D$2:$D$6912,MATCH($A1243&amp;"|12",Positions!$A$2:$A$6912,0)),"-")</f>
        <v>12</v>
      </c>
      <c r="E1243" s="4" t="n">
        <f aca="false">IFERROR(INDEX(Positions!$D$2:$D$6912,MATCH($A1243&amp;"|23",Positions!$A$2:$A$6912,0)),"-")</f>
        <v>23</v>
      </c>
      <c r="F1243" s="4" t="str">
        <f aca="false">IFERROR(INDEX(Positions!$E$2:$E$6912,MATCH($A1243&amp;"|12",Positions!$A$2:$A$6912,0)),"-")</f>
        <v>G</v>
      </c>
      <c r="G1243" s="4" t="str">
        <f aca="false">IFERROR(INDEX(Positions!$E$2:$E$6912,MATCH($A1243&amp;"|23",Positions!$A$2:$A$6912,0)),"-")</f>
        <v>C</v>
      </c>
      <c r="H1243" s="3" t="str">
        <f aca="false">F1243&amp;"-"&amp;G1243</f>
        <v>G-C</v>
      </c>
      <c r="I1243" s="4" t="n">
        <f aca="false">(F1243="G")+(G1243="G")</f>
        <v>1</v>
      </c>
      <c r="J1243" s="4" t="n">
        <f aca="false">(F1243="C")+(G1243="C")</f>
        <v>1</v>
      </c>
      <c r="K1243" s="3" t="n">
        <f aca="false">I1243+J1243</f>
        <v>2</v>
      </c>
    </row>
    <row r="1244" customFormat="false" ht="15" hidden="false" customHeight="false" outlineLevel="0" collapsed="false">
      <c r="A1244" s="4" t="s">
        <v>81</v>
      </c>
      <c r="B1244" s="4" t="s">
        <v>425</v>
      </c>
      <c r="C1244" s="4" t="s">
        <v>154</v>
      </c>
      <c r="D1244" s="4" t="n">
        <f aca="false">IFERROR(INDEX(Positions!$D$2:$D$6912,MATCH($A1244&amp;"|13",Positions!$A$2:$A$6912,0)),"-")</f>
        <v>13</v>
      </c>
      <c r="E1244" s="4" t="n">
        <f aca="false">IFERROR(INDEX(Positions!$D$2:$D$6912,MATCH($A1244&amp;"|22",Positions!$A$2:$A$6912,0)),"-")</f>
        <v>22</v>
      </c>
      <c r="F1244" s="4" t="str">
        <f aca="false">IFERROR(INDEX(Positions!$E$2:$E$6912,MATCH($A1244&amp;"|13",Positions!$A$2:$A$6912,0)),"-")</f>
        <v>U</v>
      </c>
      <c r="G1244" s="4" t="str">
        <f aca="false">IFERROR(INDEX(Positions!$E$2:$E$6912,MATCH($A1244&amp;"|22",Positions!$A$2:$A$6912,0)),"-")</f>
        <v>G</v>
      </c>
      <c r="H1244" s="3" t="str">
        <f aca="false">F1244&amp;"-"&amp;G1244</f>
        <v>U-G</v>
      </c>
      <c r="I1244" s="4" t="n">
        <f aca="false">(F1244="G")+(G1244="G")</f>
        <v>1</v>
      </c>
      <c r="J1244" s="4" t="n">
        <f aca="false">(F1244="C")+(G1244="C")</f>
        <v>0</v>
      </c>
      <c r="K1244" s="3" t="n">
        <f aca="false">I1244+J1244</f>
        <v>1</v>
      </c>
    </row>
    <row r="1245" customFormat="false" ht="15" hidden="false" customHeight="false" outlineLevel="0" collapsed="false">
      <c r="A1245" s="4" t="s">
        <v>81</v>
      </c>
      <c r="B1245" s="4" t="s">
        <v>446</v>
      </c>
      <c r="C1245" s="4" t="s">
        <v>524</v>
      </c>
      <c r="D1245" s="4" t="n">
        <f aca="false">IFERROR(INDEX(Positions!$D$2:$D$6912,MATCH($A1245&amp;"|27",Positions!$A$2:$A$6912,0)),"-")</f>
        <v>27</v>
      </c>
      <c r="E1245" s="4" t="n">
        <f aca="false">IFERROR(INDEX(Positions!$D$2:$D$6912,MATCH($A1245&amp;"|43",Positions!$A$2:$A$6912,0)),"-")</f>
        <v>43</v>
      </c>
      <c r="F1245" s="4" t="str">
        <f aca="false">IFERROR(INDEX(Positions!$E$2:$E$6912,MATCH($A1245&amp;"|27",Positions!$A$2:$A$6912,0)),"-")</f>
        <v>C</v>
      </c>
      <c r="G1245" s="4" t="str">
        <f aca="false">IFERROR(INDEX(Positions!$E$2:$E$6912,MATCH($A1245&amp;"|43",Positions!$A$2:$A$6912,0)),"-")</f>
        <v>G</v>
      </c>
      <c r="H1245" s="3" t="str">
        <f aca="false">F1245&amp;"-"&amp;G1245</f>
        <v>C-G</v>
      </c>
      <c r="I1245" s="4" t="n">
        <f aca="false">(F1245="G")+(G1245="G")</f>
        <v>1</v>
      </c>
      <c r="J1245" s="4" t="n">
        <f aca="false">(F1245="C")+(G1245="C")</f>
        <v>1</v>
      </c>
      <c r="K1245" s="3" t="n">
        <f aca="false">I1245+J1245</f>
        <v>2</v>
      </c>
    </row>
    <row r="1246" customFormat="false" ht="15" hidden="false" customHeight="false" outlineLevel="0" collapsed="false">
      <c r="A1246" s="4" t="s">
        <v>81</v>
      </c>
      <c r="B1246" s="4" t="s">
        <v>446</v>
      </c>
      <c r="C1246" s="4" t="s">
        <v>525</v>
      </c>
      <c r="D1246" s="4" t="n">
        <f aca="false">IFERROR(INDEX(Positions!$D$2:$D$6912,MATCH($A1246&amp;"|28",Positions!$A$2:$A$6912,0)),"-")</f>
        <v>28</v>
      </c>
      <c r="E1246" s="4" t="n">
        <f aca="false">IFERROR(INDEX(Positions!$D$2:$D$6912,MATCH($A1246&amp;"|42",Positions!$A$2:$A$6912,0)),"-")</f>
        <v>42</v>
      </c>
      <c r="F1246" s="4" t="str">
        <f aca="false">IFERROR(INDEX(Positions!$E$2:$E$6912,MATCH($A1246&amp;"|28",Positions!$A$2:$A$6912,0)),"-")</f>
        <v>U</v>
      </c>
      <c r="G1246" s="4" t="str">
        <f aca="false">IFERROR(INDEX(Positions!$E$2:$E$6912,MATCH($A1246&amp;"|42",Positions!$A$2:$A$6912,0)),"-")</f>
        <v>A</v>
      </c>
      <c r="H1246" s="3" t="str">
        <f aca="false">F1246&amp;"-"&amp;G1246</f>
        <v>U-A</v>
      </c>
      <c r="I1246" s="4" t="n">
        <f aca="false">(F1246="G")+(G1246="G")</f>
        <v>0</v>
      </c>
      <c r="J1246" s="4" t="n">
        <f aca="false">(F1246="C")+(G1246="C")</f>
        <v>0</v>
      </c>
      <c r="K1246" s="3" t="n">
        <f aca="false">I1246+J1246</f>
        <v>0</v>
      </c>
    </row>
    <row r="1247" customFormat="false" ht="15" hidden="false" customHeight="false" outlineLevel="0" collapsed="false">
      <c r="A1247" s="4" t="s">
        <v>81</v>
      </c>
      <c r="B1247" s="4" t="s">
        <v>446</v>
      </c>
      <c r="C1247" s="4" t="s">
        <v>256</v>
      </c>
      <c r="D1247" s="4" t="n">
        <f aca="false">IFERROR(INDEX(Positions!$D$2:$D$6912,MATCH($A1247&amp;"|29",Positions!$A$2:$A$6912,0)),"-")</f>
        <v>29</v>
      </c>
      <c r="E1247" s="4" t="n">
        <f aca="false">IFERROR(INDEX(Positions!$D$2:$D$6912,MATCH($A1247&amp;"|41",Positions!$A$2:$A$6912,0)),"-")</f>
        <v>41</v>
      </c>
      <c r="F1247" s="4" t="str">
        <f aca="false">IFERROR(INDEX(Positions!$E$2:$E$6912,MATCH($A1247&amp;"|29",Positions!$A$2:$A$6912,0)),"-")</f>
        <v>G</v>
      </c>
      <c r="G1247" s="4" t="str">
        <f aca="false">IFERROR(INDEX(Positions!$E$2:$E$6912,MATCH($A1247&amp;"|41",Positions!$A$2:$A$6912,0)),"-")</f>
        <v>C</v>
      </c>
      <c r="H1247" s="3" t="str">
        <f aca="false">F1247&amp;"-"&amp;G1247</f>
        <v>G-C</v>
      </c>
      <c r="I1247" s="4" t="n">
        <f aca="false">(F1247="G")+(G1247="G")</f>
        <v>1</v>
      </c>
      <c r="J1247" s="4" t="n">
        <f aca="false">(F1247="C")+(G1247="C")</f>
        <v>1</v>
      </c>
      <c r="K1247" s="3" t="n">
        <f aca="false">I1247+J1247</f>
        <v>2</v>
      </c>
    </row>
    <row r="1248" customFormat="false" ht="15" hidden="false" customHeight="false" outlineLevel="0" collapsed="false">
      <c r="A1248" s="4" t="s">
        <v>81</v>
      </c>
      <c r="B1248" s="4" t="s">
        <v>446</v>
      </c>
      <c r="C1248" s="4" t="s">
        <v>526</v>
      </c>
      <c r="D1248" s="4" t="n">
        <f aca="false">IFERROR(INDEX(Positions!$D$2:$D$6912,MATCH($A1248&amp;"|30",Positions!$A$2:$A$6912,0)),"-")</f>
        <v>30</v>
      </c>
      <c r="E1248" s="4" t="n">
        <f aca="false">IFERROR(INDEX(Positions!$D$2:$D$6912,MATCH($A1248&amp;"|40",Positions!$A$2:$A$6912,0)),"-")</f>
        <v>40</v>
      </c>
      <c r="F1248" s="4" t="str">
        <f aca="false">IFERROR(INDEX(Positions!$E$2:$E$6912,MATCH($A1248&amp;"|30",Positions!$A$2:$A$6912,0)),"-")</f>
        <v>G</v>
      </c>
      <c r="G1248" s="4" t="str">
        <f aca="false">IFERROR(INDEX(Positions!$E$2:$E$6912,MATCH($A1248&amp;"|40",Positions!$A$2:$A$6912,0)),"-")</f>
        <v>C</v>
      </c>
      <c r="H1248" s="3" t="str">
        <f aca="false">F1248&amp;"-"&amp;G1248</f>
        <v>G-C</v>
      </c>
      <c r="I1248" s="4" t="n">
        <f aca="false">(F1248="G")+(G1248="G")</f>
        <v>1</v>
      </c>
      <c r="J1248" s="4" t="n">
        <f aca="false">(F1248="C")+(G1248="C")</f>
        <v>1</v>
      </c>
      <c r="K1248" s="3" t="n">
        <f aca="false">I1248+J1248</f>
        <v>2</v>
      </c>
    </row>
    <row r="1249" customFormat="false" ht="15" hidden="false" customHeight="false" outlineLevel="0" collapsed="false">
      <c r="A1249" s="4" t="s">
        <v>81</v>
      </c>
      <c r="B1249" s="4" t="s">
        <v>446</v>
      </c>
      <c r="C1249" s="4" t="s">
        <v>273</v>
      </c>
      <c r="D1249" s="4" t="n">
        <f aca="false">IFERROR(INDEX(Positions!$D$2:$D$6912,MATCH($A1249&amp;"|31",Positions!$A$2:$A$6912,0)),"-")</f>
        <v>31</v>
      </c>
      <c r="E1249" s="4" t="n">
        <f aca="false">IFERROR(INDEX(Positions!$D$2:$D$6912,MATCH($A1249&amp;"|39",Positions!$A$2:$A$6912,0)),"-")</f>
        <v>39</v>
      </c>
      <c r="F1249" s="4" t="str">
        <f aca="false">IFERROR(INDEX(Positions!$E$2:$E$6912,MATCH($A1249&amp;"|31",Positions!$A$2:$A$6912,0)),"-")</f>
        <v>A</v>
      </c>
      <c r="G1249" s="4" t="str">
        <f aca="false">IFERROR(INDEX(Positions!$E$2:$E$6912,MATCH($A1249&amp;"|39",Positions!$A$2:$A$6912,0)),"-")</f>
        <v>U</v>
      </c>
      <c r="H1249" s="3" t="str">
        <f aca="false">F1249&amp;"-"&amp;G1249</f>
        <v>A-U</v>
      </c>
      <c r="I1249" s="4" t="n">
        <f aca="false">(F1249="G")+(G1249="G")</f>
        <v>0</v>
      </c>
      <c r="J1249" s="4" t="n">
        <f aca="false">(F1249="C")+(G1249="C")</f>
        <v>0</v>
      </c>
      <c r="K1249" s="3" t="n">
        <f aca="false">I1249+J1249</f>
        <v>0</v>
      </c>
    </row>
    <row r="1250" customFormat="false" ht="15" hidden="false" customHeight="false" outlineLevel="0" collapsed="false">
      <c r="A1250" s="4" t="s">
        <v>81</v>
      </c>
      <c r="B1250" s="4" t="s">
        <v>471</v>
      </c>
      <c r="C1250" s="4" t="s">
        <v>367</v>
      </c>
      <c r="D1250" s="4" t="n">
        <f aca="false">IFERROR(INDEX(Positions!$D$2:$D$6912,MATCH($A1250&amp;"|49",Positions!$A$2:$A$6912,0)),"-")</f>
        <v>48</v>
      </c>
      <c r="E1250" s="4" t="n">
        <f aca="false">IFERROR(INDEX(Positions!$D$2:$D$6912,MATCH($A1250&amp;"|65",Positions!$A$2:$A$6912,0)),"-")</f>
        <v>64</v>
      </c>
      <c r="F1250" s="4" t="str">
        <f aca="false">IFERROR(INDEX(Positions!$E$2:$E$6912,MATCH($A1250&amp;"|49",Positions!$A$2:$A$6912,0)),"-")</f>
        <v>C</v>
      </c>
      <c r="G1250" s="4" t="str">
        <f aca="false">IFERROR(INDEX(Positions!$E$2:$E$6912,MATCH($A1250&amp;"|65",Positions!$A$2:$A$6912,0)),"-")</f>
        <v>G</v>
      </c>
      <c r="H1250" s="3" t="str">
        <f aca="false">F1250&amp;"-"&amp;G1250</f>
        <v>C-G</v>
      </c>
      <c r="I1250" s="4" t="n">
        <f aca="false">(F1250="G")+(G1250="G")</f>
        <v>1</v>
      </c>
      <c r="J1250" s="4" t="n">
        <f aca="false">(F1250="C")+(G1250="C")</f>
        <v>1</v>
      </c>
      <c r="K1250" s="3" t="n">
        <f aca="false">I1250+J1250</f>
        <v>2</v>
      </c>
    </row>
    <row r="1251" customFormat="false" ht="15" hidden="false" customHeight="false" outlineLevel="0" collapsed="false">
      <c r="A1251" s="4" t="s">
        <v>81</v>
      </c>
      <c r="B1251" s="4" t="s">
        <v>471</v>
      </c>
      <c r="C1251" s="4" t="s">
        <v>233</v>
      </c>
      <c r="D1251" s="4" t="n">
        <f aca="false">IFERROR(INDEX(Positions!$D$2:$D$6912,MATCH($A1251&amp;"|50",Positions!$A$2:$A$6912,0)),"-")</f>
        <v>49</v>
      </c>
      <c r="E1251" s="4" t="n">
        <f aca="false">IFERROR(INDEX(Positions!$D$2:$D$6912,MATCH($A1251&amp;"|64",Positions!$A$2:$A$6912,0)),"-")</f>
        <v>63</v>
      </c>
      <c r="F1251" s="4" t="str">
        <f aca="false">IFERROR(INDEX(Positions!$E$2:$E$6912,MATCH($A1251&amp;"|50",Positions!$A$2:$A$6912,0)),"-")</f>
        <v>C</v>
      </c>
      <c r="G1251" s="4" t="str">
        <f aca="false">IFERROR(INDEX(Positions!$E$2:$E$6912,MATCH($A1251&amp;"|64",Positions!$A$2:$A$6912,0)),"-")</f>
        <v>G</v>
      </c>
      <c r="H1251" s="3" t="str">
        <f aca="false">F1251&amp;"-"&amp;G1251</f>
        <v>C-G</v>
      </c>
      <c r="I1251" s="4" t="n">
        <f aca="false">(F1251="G")+(G1251="G")</f>
        <v>1</v>
      </c>
      <c r="J1251" s="4" t="n">
        <f aca="false">(F1251="C")+(G1251="C")</f>
        <v>1</v>
      </c>
      <c r="K1251" s="3" t="n">
        <f aca="false">I1251+J1251</f>
        <v>2</v>
      </c>
    </row>
    <row r="1252" customFormat="false" ht="15" hidden="false" customHeight="false" outlineLevel="0" collapsed="false">
      <c r="A1252" s="4" t="s">
        <v>81</v>
      </c>
      <c r="B1252" s="4" t="s">
        <v>471</v>
      </c>
      <c r="C1252" s="4" t="s">
        <v>527</v>
      </c>
      <c r="D1252" s="4" t="n">
        <f aca="false">IFERROR(INDEX(Positions!$D$2:$D$6912,MATCH($A1252&amp;"|51",Positions!$A$2:$A$6912,0)),"-")</f>
        <v>50</v>
      </c>
      <c r="E1252" s="4" t="n">
        <f aca="false">IFERROR(INDEX(Positions!$D$2:$D$6912,MATCH($A1252&amp;"|63",Positions!$A$2:$A$6912,0)),"-")</f>
        <v>62</v>
      </c>
      <c r="F1252" s="4" t="str">
        <f aca="false">IFERROR(INDEX(Positions!$E$2:$E$6912,MATCH($A1252&amp;"|51",Positions!$A$2:$A$6912,0)),"-")</f>
        <v>G</v>
      </c>
      <c r="G1252" s="4" t="str">
        <f aca="false">IFERROR(INDEX(Positions!$E$2:$E$6912,MATCH($A1252&amp;"|63",Positions!$A$2:$A$6912,0)),"-")</f>
        <v>C</v>
      </c>
      <c r="H1252" s="3" t="str">
        <f aca="false">F1252&amp;"-"&amp;G1252</f>
        <v>G-C</v>
      </c>
      <c r="I1252" s="4" t="n">
        <f aca="false">(F1252="G")+(G1252="G")</f>
        <v>1</v>
      </c>
      <c r="J1252" s="4" t="n">
        <f aca="false">(F1252="C")+(G1252="C")</f>
        <v>1</v>
      </c>
      <c r="K1252" s="3" t="n">
        <f aca="false">I1252+J1252</f>
        <v>2</v>
      </c>
    </row>
    <row r="1253" customFormat="false" ht="15" hidden="false" customHeight="false" outlineLevel="0" collapsed="false">
      <c r="A1253" s="4" t="s">
        <v>81</v>
      </c>
      <c r="B1253" s="4" t="s">
        <v>471</v>
      </c>
      <c r="C1253" s="4" t="s">
        <v>528</v>
      </c>
      <c r="D1253" s="4" t="n">
        <f aca="false">IFERROR(INDEX(Positions!$D$2:$D$6912,MATCH($A1253&amp;"|52",Positions!$A$2:$A$6912,0)),"-")</f>
        <v>51</v>
      </c>
      <c r="E1253" s="4" t="n">
        <f aca="false">IFERROR(INDEX(Positions!$D$2:$D$6912,MATCH($A1253&amp;"|62",Positions!$A$2:$A$6912,0)),"-")</f>
        <v>61</v>
      </c>
      <c r="F1253" s="4" t="str">
        <f aca="false">IFERROR(INDEX(Positions!$E$2:$E$6912,MATCH($A1253&amp;"|52",Positions!$A$2:$A$6912,0)),"-")</f>
        <v>A</v>
      </c>
      <c r="G1253" s="4" t="str">
        <f aca="false">IFERROR(INDEX(Positions!$E$2:$E$6912,MATCH($A1253&amp;"|62",Positions!$A$2:$A$6912,0)),"-")</f>
        <v>U</v>
      </c>
      <c r="H1253" s="3" t="str">
        <f aca="false">F1253&amp;"-"&amp;G1253</f>
        <v>A-U</v>
      </c>
      <c r="I1253" s="4" t="n">
        <f aca="false">(F1253="G")+(G1253="G")</f>
        <v>0</v>
      </c>
      <c r="J1253" s="4" t="n">
        <f aca="false">(F1253="C")+(G1253="C")</f>
        <v>0</v>
      </c>
      <c r="K1253" s="3" t="n">
        <f aca="false">I1253+J1253</f>
        <v>0</v>
      </c>
    </row>
    <row r="1254" customFormat="false" ht="15" hidden="false" customHeight="false" outlineLevel="0" collapsed="false">
      <c r="A1254" s="4" t="s">
        <v>81</v>
      </c>
      <c r="B1254" s="4" t="s">
        <v>471</v>
      </c>
      <c r="C1254" s="4" t="s">
        <v>529</v>
      </c>
      <c r="D1254" s="4" t="n">
        <f aca="false">IFERROR(INDEX(Positions!$D$2:$D$6912,MATCH($A1254&amp;"|53",Positions!$A$2:$A$6912,0)),"-")</f>
        <v>52</v>
      </c>
      <c r="E1254" s="4" t="n">
        <f aca="false">IFERROR(INDEX(Positions!$D$2:$D$6912,MATCH($A1254&amp;"|61",Positions!$A$2:$A$6912,0)),"-")</f>
        <v>60</v>
      </c>
      <c r="F1254" s="4" t="str">
        <f aca="false">IFERROR(INDEX(Positions!$E$2:$E$6912,MATCH($A1254&amp;"|53",Positions!$A$2:$A$6912,0)),"-")</f>
        <v>G</v>
      </c>
      <c r="G1254" s="4" t="str">
        <f aca="false">IFERROR(INDEX(Positions!$E$2:$E$6912,MATCH($A1254&amp;"|61",Positions!$A$2:$A$6912,0)),"-")</f>
        <v>C</v>
      </c>
      <c r="H1254" s="3" t="str">
        <f aca="false">F1254&amp;"-"&amp;G1254</f>
        <v>G-C</v>
      </c>
      <c r="I1254" s="4" t="n">
        <f aca="false">(F1254="G")+(G1254="G")</f>
        <v>1</v>
      </c>
      <c r="J1254" s="4" t="n">
        <f aca="false">(F1254="C")+(G1254="C")</f>
        <v>1</v>
      </c>
      <c r="K1254" s="3" t="n">
        <f aca="false">I1254+J1254</f>
        <v>2</v>
      </c>
    </row>
    <row r="1255" customFormat="false" ht="15" hidden="false" customHeight="false" outlineLevel="0" collapsed="false">
      <c r="A1255" s="24" t="s">
        <v>81</v>
      </c>
      <c r="B1255" s="24" t="s">
        <v>530</v>
      </c>
      <c r="C1255" s="24" t="s">
        <v>531</v>
      </c>
      <c r="D1255" s="24" t="n">
        <f aca="false">IFERROR(INDEX(Positions!$D$2:$D$6912,MATCH($A1255&amp;"|8",Positions!$A$2:$A$6912,0)),"-")</f>
        <v>8</v>
      </c>
      <c r="E1255" s="24" t="n">
        <f aca="false">IFERROR(INDEX(Positions!$D$2:$D$6912,MATCH($A1255&amp;"|14",Positions!$A$2:$A$6912,0)),"-")</f>
        <v>14</v>
      </c>
      <c r="F1255" s="24" t="str">
        <f aca="false">IFERROR(INDEX(Positions!$E$2:$E$6912,MATCH($A1255&amp;"|8",Positions!$A$2:$A$6912,0)),"-")</f>
        <v>U</v>
      </c>
      <c r="G1255" s="24" t="str">
        <f aca="false">IFERROR(INDEX(Positions!$E$2:$E$6912,MATCH($A1255&amp;"|14",Positions!$A$2:$A$6912,0)),"-")</f>
        <v>A</v>
      </c>
      <c r="H1255" s="25" t="str">
        <f aca="false">F1255&amp;"-"&amp;G1255</f>
        <v>U-A</v>
      </c>
      <c r="I1255" s="24" t="n">
        <f aca="false">(F1255="G")+(G1255="G")</f>
        <v>0</v>
      </c>
      <c r="J1255" s="24" t="n">
        <f aca="false">(F1255="C")+(G1255="C")</f>
        <v>0</v>
      </c>
      <c r="K1255" s="25" t="n">
        <f aca="false">I1255+J1255</f>
        <v>0</v>
      </c>
    </row>
    <row r="1256" customFormat="false" ht="15" hidden="false" customHeight="false" outlineLevel="0" collapsed="false">
      <c r="A1256" s="24" t="s">
        <v>81</v>
      </c>
      <c r="B1256" s="24" t="s">
        <v>530</v>
      </c>
      <c r="C1256" s="24" t="s">
        <v>532</v>
      </c>
      <c r="D1256" s="24" t="n">
        <f aca="false">IFERROR(INDEX(Positions!$D$2:$D$6912,MATCH($A1256&amp;"|15",Positions!$A$2:$A$6912,0)),"-")</f>
        <v>15</v>
      </c>
      <c r="E1256" s="24" t="n">
        <f aca="false">IFERROR(INDEX(Positions!$D$2:$D$6912,MATCH($A1256&amp;"|48",Positions!$A$2:$A$6912,0)),"-")</f>
        <v>47</v>
      </c>
      <c r="F1256" s="24" t="str">
        <f aca="false">IFERROR(INDEX(Positions!$E$2:$E$6912,MATCH($A1256&amp;"|15",Positions!$A$2:$A$6912,0)),"-")</f>
        <v>A</v>
      </c>
      <c r="G1256" s="24" t="str">
        <f aca="false">IFERROR(INDEX(Positions!$E$2:$E$6912,MATCH($A1256&amp;"|48",Positions!$A$2:$A$6912,0)),"-")</f>
        <v>U</v>
      </c>
      <c r="H1256" s="25" t="str">
        <f aca="false">F1256&amp;"-"&amp;G1256</f>
        <v>A-U</v>
      </c>
      <c r="I1256" s="24" t="n">
        <f aca="false">(F1256="G")+(G1256="G")</f>
        <v>0</v>
      </c>
      <c r="J1256" s="24" t="n">
        <f aca="false">(F1256="C")+(G1256="C")</f>
        <v>0</v>
      </c>
      <c r="K1256" s="25" t="n">
        <f aca="false">I1256+J1256</f>
        <v>0</v>
      </c>
    </row>
    <row r="1257" customFormat="false" ht="15" hidden="false" customHeight="false" outlineLevel="0" collapsed="false">
      <c r="A1257" s="24" t="s">
        <v>81</v>
      </c>
      <c r="B1257" s="24" t="s">
        <v>530</v>
      </c>
      <c r="C1257" s="24" t="s">
        <v>533</v>
      </c>
      <c r="D1257" s="24" t="n">
        <f aca="false">IFERROR(INDEX(Positions!$D$2:$D$6912,MATCH($A1257&amp;"|18",Positions!$A$2:$A$6912,0)),"-")</f>
        <v>17</v>
      </c>
      <c r="E1257" s="24" t="n">
        <f aca="false">IFERROR(INDEX(Positions!$D$2:$D$6912,MATCH($A1257&amp;"|55",Positions!$A$2:$A$6912,0)),"-")</f>
        <v>54</v>
      </c>
      <c r="F1257" s="24" t="str">
        <f aca="false">IFERROR(INDEX(Positions!$E$2:$E$6912,MATCH($A1257&amp;"|18",Positions!$A$2:$A$6912,0)),"-")</f>
        <v>G</v>
      </c>
      <c r="G1257" s="24" t="str">
        <f aca="false">IFERROR(INDEX(Positions!$E$2:$E$6912,MATCH($A1257&amp;"|55",Positions!$A$2:$A$6912,0)),"-")</f>
        <v>U</v>
      </c>
      <c r="H1257" s="25" t="str">
        <f aca="false">F1257&amp;"-"&amp;G1257</f>
        <v>G-U</v>
      </c>
      <c r="I1257" s="24" t="n">
        <f aca="false">(F1257="G")+(G1257="G")</f>
        <v>1</v>
      </c>
      <c r="J1257" s="24" t="n">
        <f aca="false">(F1257="C")+(G1257="C")</f>
        <v>0</v>
      </c>
      <c r="K1257" s="25" t="n">
        <f aca="false">I1257+J1257</f>
        <v>1</v>
      </c>
    </row>
    <row r="1258" customFormat="false" ht="15" hidden="false" customHeight="false" outlineLevel="0" collapsed="false">
      <c r="A1258" s="24" t="s">
        <v>81</v>
      </c>
      <c r="B1258" s="24" t="s">
        <v>530</v>
      </c>
      <c r="C1258" s="24" t="s">
        <v>534</v>
      </c>
      <c r="D1258" s="24" t="n">
        <f aca="false">IFERROR(INDEX(Positions!$D$2:$D$6912,MATCH($A1258&amp;"|19",Positions!$A$2:$A$6912,0)),"-")</f>
        <v>18</v>
      </c>
      <c r="E1258" s="24" t="n">
        <f aca="false">IFERROR(INDEX(Positions!$D$2:$D$6912,MATCH($A1258&amp;"|56",Positions!$A$2:$A$6912,0)),"-")</f>
        <v>55</v>
      </c>
      <c r="F1258" s="24" t="str">
        <f aca="false">IFERROR(INDEX(Positions!$E$2:$E$6912,MATCH($A1258&amp;"|19",Positions!$A$2:$A$6912,0)),"-")</f>
        <v>G</v>
      </c>
      <c r="G1258" s="24" t="str">
        <f aca="false">IFERROR(INDEX(Positions!$E$2:$E$6912,MATCH($A1258&amp;"|56",Positions!$A$2:$A$6912,0)),"-")</f>
        <v>C</v>
      </c>
      <c r="H1258" s="25" t="str">
        <f aca="false">F1258&amp;"-"&amp;G1258</f>
        <v>G-C</v>
      </c>
      <c r="I1258" s="24" t="n">
        <f aca="false">(F1258="G")+(G1258="G")</f>
        <v>1</v>
      </c>
      <c r="J1258" s="24" t="n">
        <f aca="false">(F1258="C")+(G1258="C")</f>
        <v>1</v>
      </c>
      <c r="K1258" s="25" t="n">
        <f aca="false">I1258+J1258</f>
        <v>2</v>
      </c>
    </row>
    <row r="1259" customFormat="false" ht="15" hidden="false" customHeight="false" outlineLevel="0" collapsed="false">
      <c r="A1259" s="24" t="s">
        <v>81</v>
      </c>
      <c r="B1259" s="24" t="s">
        <v>530</v>
      </c>
      <c r="C1259" s="24" t="s">
        <v>535</v>
      </c>
      <c r="D1259" s="24" t="n">
        <f aca="false">IFERROR(INDEX(Positions!$D$2:$D$6912,MATCH($A1259&amp;"|26",Positions!$A$2:$A$6912,0)),"-")</f>
        <v>26</v>
      </c>
      <c r="E1259" s="24" t="n">
        <f aca="false">IFERROR(INDEX(Positions!$D$2:$D$6912,MATCH($A1259&amp;"|44",Positions!$A$2:$A$6912,0)),"-")</f>
        <v>44</v>
      </c>
      <c r="F1259" s="24" t="str">
        <f aca="false">IFERROR(INDEX(Positions!$E$2:$E$6912,MATCH($A1259&amp;"|26",Positions!$A$2:$A$6912,0)),"-")</f>
        <v>U</v>
      </c>
      <c r="G1259" s="24" t="str">
        <f aca="false">IFERROR(INDEX(Positions!$E$2:$E$6912,MATCH($A1259&amp;"|44",Positions!$A$2:$A$6912,0)),"-")</f>
        <v>C</v>
      </c>
      <c r="H1259" s="25" t="str">
        <f aca="false">F1259&amp;"-"&amp;G1259</f>
        <v>U-C</v>
      </c>
      <c r="I1259" s="24" t="n">
        <f aca="false">(F1259="G")+(G1259="G")</f>
        <v>0</v>
      </c>
      <c r="J1259" s="24" t="n">
        <f aca="false">(F1259="C")+(G1259="C")</f>
        <v>1</v>
      </c>
      <c r="K1259" s="25" t="n">
        <f aca="false">I1259+J1259</f>
        <v>1</v>
      </c>
    </row>
    <row r="1260" customFormat="false" ht="15" hidden="false" customHeight="false" outlineLevel="0" collapsed="false">
      <c r="A1260" s="24" t="s">
        <v>81</v>
      </c>
      <c r="B1260" s="24" t="s">
        <v>530</v>
      </c>
      <c r="C1260" s="24" t="s">
        <v>536</v>
      </c>
      <c r="D1260" s="24" t="n">
        <f aca="false">IFERROR(INDEX(Positions!$D$2:$D$6912,MATCH($A1260&amp;"|32",Positions!$A$2:$A$6912,0)),"-")</f>
        <v>32</v>
      </c>
      <c r="E1260" s="24" t="n">
        <f aca="false">IFERROR(INDEX(Positions!$D$2:$D$6912,MATCH($A1260&amp;"|38",Positions!$A$2:$A$6912,0)),"-")</f>
        <v>38</v>
      </c>
      <c r="F1260" s="24" t="str">
        <f aca="false">IFERROR(INDEX(Positions!$E$2:$E$6912,MATCH($A1260&amp;"|32",Positions!$A$2:$A$6912,0)),"-")</f>
        <v>C</v>
      </c>
      <c r="G1260" s="24" t="str">
        <f aca="false">IFERROR(INDEX(Positions!$E$2:$E$6912,MATCH($A1260&amp;"|38",Positions!$A$2:$A$6912,0)),"-")</f>
        <v>A</v>
      </c>
      <c r="H1260" s="25" t="str">
        <f aca="false">F1260&amp;"-"&amp;G1260</f>
        <v>C-A</v>
      </c>
      <c r="I1260" s="24" t="n">
        <f aca="false">(F1260="G")+(G1260="G")</f>
        <v>0</v>
      </c>
      <c r="J1260" s="24" t="n">
        <f aca="false">(F1260="C")+(G1260="C")</f>
        <v>1</v>
      </c>
      <c r="K1260" s="25" t="n">
        <f aca="false">I1260+J1260</f>
        <v>1</v>
      </c>
    </row>
    <row r="1261" customFormat="false" ht="15" hidden="false" customHeight="false" outlineLevel="0" collapsed="false">
      <c r="A1261" s="24" t="s">
        <v>81</v>
      </c>
      <c r="B1261" s="24" t="s">
        <v>530</v>
      </c>
      <c r="C1261" s="24" t="s">
        <v>537</v>
      </c>
      <c r="D1261" s="24" t="n">
        <f aca="false">IFERROR(INDEX(Positions!$D$2:$D$6912,MATCH($A1261&amp;"|54",Positions!$A$2:$A$6912,0)),"-")</f>
        <v>53</v>
      </c>
      <c r="E1261" s="24" t="n">
        <f aca="false">IFERROR(INDEX(Positions!$D$2:$D$6912,MATCH($A1261&amp;"|58",Positions!$A$2:$A$6912,0)),"-")</f>
        <v>57</v>
      </c>
      <c r="F1261" s="24" t="str">
        <f aca="false">IFERROR(INDEX(Positions!$E$2:$E$6912,MATCH($A1261&amp;"|54",Positions!$A$2:$A$6912,0)),"-")</f>
        <v>U</v>
      </c>
      <c r="G1261" s="24" t="str">
        <f aca="false">IFERROR(INDEX(Positions!$E$2:$E$6912,MATCH($A1261&amp;"|58",Positions!$A$2:$A$6912,0)),"-")</f>
        <v>A</v>
      </c>
      <c r="H1261" s="25" t="str">
        <f aca="false">F1261&amp;"-"&amp;G1261</f>
        <v>U-A</v>
      </c>
      <c r="I1261" s="24" t="n">
        <f aca="false">(F1261="G")+(G1261="G")</f>
        <v>0</v>
      </c>
      <c r="J1261" s="24" t="n">
        <f aca="false">(F1261="C")+(G1261="C")</f>
        <v>0</v>
      </c>
      <c r="K1261" s="25" t="n">
        <f aca="false">I1261+J1261</f>
        <v>0</v>
      </c>
    </row>
    <row r="1262" customFormat="false" ht="15" hidden="false" customHeight="false" outlineLevel="0" collapsed="false">
      <c r="A1262" s="4" t="s">
        <v>82</v>
      </c>
      <c r="B1262" s="4" t="s">
        <v>412</v>
      </c>
      <c r="C1262" s="4" t="s">
        <v>517</v>
      </c>
      <c r="D1262" s="4" t="n">
        <f aca="false">IFERROR(INDEX(Positions!$D$2:$D$6912,MATCH($A1262&amp;"|1",Positions!$A$2:$A$6912,0)),"-")</f>
        <v>1</v>
      </c>
      <c r="E1262" s="4" t="n">
        <f aca="false">IFERROR(INDEX(Positions!$D$2:$D$6912,MATCH($A1262&amp;"|72",Positions!$A$2:$A$6912,0)),"-")</f>
        <v>72</v>
      </c>
      <c r="F1262" s="4" t="str">
        <f aca="false">IFERROR(INDEX(Positions!$E$2:$E$6912,MATCH($A1262&amp;"|1",Positions!$A$2:$A$6912,0)),"-")</f>
        <v>G</v>
      </c>
      <c r="G1262" s="4" t="str">
        <f aca="false">IFERROR(INDEX(Positions!$E$2:$E$6912,MATCH($A1262&amp;"|72",Positions!$A$2:$A$6912,0)),"-")</f>
        <v>C</v>
      </c>
      <c r="H1262" s="3" t="str">
        <f aca="false">F1262&amp;"-"&amp;G1262</f>
        <v>G-C</v>
      </c>
      <c r="I1262" s="4" t="n">
        <f aca="false">(F1262="G")+(G1262="G")</f>
        <v>1</v>
      </c>
      <c r="J1262" s="4" t="n">
        <f aca="false">(F1262="C")+(G1262="C")</f>
        <v>1</v>
      </c>
      <c r="K1262" s="3" t="n">
        <f aca="false">I1262+J1262</f>
        <v>2</v>
      </c>
    </row>
    <row r="1263" customFormat="false" ht="15" hidden="false" customHeight="false" outlineLevel="0" collapsed="false">
      <c r="A1263" s="4" t="s">
        <v>82</v>
      </c>
      <c r="B1263" s="4" t="s">
        <v>412</v>
      </c>
      <c r="C1263" s="4" t="s">
        <v>518</v>
      </c>
      <c r="D1263" s="4" t="n">
        <f aca="false">IFERROR(INDEX(Positions!$D$2:$D$6912,MATCH($A1263&amp;"|2",Positions!$A$2:$A$6912,0)),"-")</f>
        <v>2</v>
      </c>
      <c r="E1263" s="4" t="n">
        <f aca="false">IFERROR(INDEX(Positions!$D$2:$D$6912,MATCH($A1263&amp;"|71",Positions!$A$2:$A$6912,0)),"-")</f>
        <v>71</v>
      </c>
      <c r="F1263" s="4" t="str">
        <f aca="false">IFERROR(INDEX(Positions!$E$2:$E$6912,MATCH($A1263&amp;"|2",Positions!$A$2:$A$6912,0)),"-")</f>
        <v>C</v>
      </c>
      <c r="G1263" s="4" t="str">
        <f aca="false">IFERROR(INDEX(Positions!$E$2:$E$6912,MATCH($A1263&amp;"|71",Positions!$A$2:$A$6912,0)),"-")</f>
        <v>G</v>
      </c>
      <c r="H1263" s="3" t="str">
        <f aca="false">F1263&amp;"-"&amp;G1263</f>
        <v>C-G</v>
      </c>
      <c r="I1263" s="4" t="n">
        <f aca="false">(F1263="G")+(G1263="G")</f>
        <v>1</v>
      </c>
      <c r="J1263" s="4" t="n">
        <f aca="false">(F1263="C")+(G1263="C")</f>
        <v>1</v>
      </c>
      <c r="K1263" s="3" t="n">
        <f aca="false">I1263+J1263</f>
        <v>2</v>
      </c>
    </row>
    <row r="1264" customFormat="false" ht="15" hidden="false" customHeight="false" outlineLevel="0" collapsed="false">
      <c r="A1264" s="4" t="s">
        <v>82</v>
      </c>
      <c r="B1264" s="4" t="s">
        <v>412</v>
      </c>
      <c r="C1264" s="4" t="s">
        <v>386</v>
      </c>
      <c r="D1264" s="4" t="n">
        <f aca="false">IFERROR(INDEX(Positions!$D$2:$D$6912,MATCH($A1264&amp;"|3",Positions!$A$2:$A$6912,0)),"-")</f>
        <v>3</v>
      </c>
      <c r="E1264" s="4" t="n">
        <f aca="false">IFERROR(INDEX(Positions!$D$2:$D$6912,MATCH($A1264&amp;"|70",Positions!$A$2:$A$6912,0)),"-")</f>
        <v>70</v>
      </c>
      <c r="F1264" s="4" t="str">
        <f aca="false">IFERROR(INDEX(Positions!$E$2:$E$6912,MATCH($A1264&amp;"|3",Positions!$A$2:$A$6912,0)),"-")</f>
        <v>C</v>
      </c>
      <c r="G1264" s="4" t="str">
        <f aca="false">IFERROR(INDEX(Positions!$E$2:$E$6912,MATCH($A1264&amp;"|70",Positions!$A$2:$A$6912,0)),"-")</f>
        <v>G</v>
      </c>
      <c r="H1264" s="3" t="str">
        <f aca="false">F1264&amp;"-"&amp;G1264</f>
        <v>C-G</v>
      </c>
      <c r="I1264" s="4" t="n">
        <f aca="false">(F1264="G")+(G1264="G")</f>
        <v>1</v>
      </c>
      <c r="J1264" s="4" t="n">
        <f aca="false">(F1264="C")+(G1264="C")</f>
        <v>1</v>
      </c>
      <c r="K1264" s="3" t="n">
        <f aca="false">I1264+J1264</f>
        <v>2</v>
      </c>
    </row>
    <row r="1265" customFormat="false" ht="15" hidden="false" customHeight="false" outlineLevel="0" collapsed="false">
      <c r="A1265" s="4" t="s">
        <v>82</v>
      </c>
      <c r="B1265" s="4" t="s">
        <v>412</v>
      </c>
      <c r="C1265" s="4" t="s">
        <v>519</v>
      </c>
      <c r="D1265" s="4" t="n">
        <f aca="false">IFERROR(INDEX(Positions!$D$2:$D$6912,MATCH($A1265&amp;"|4",Positions!$A$2:$A$6912,0)),"-")</f>
        <v>4</v>
      </c>
      <c r="E1265" s="4" t="n">
        <f aca="false">IFERROR(INDEX(Positions!$D$2:$D$6912,MATCH($A1265&amp;"|69",Positions!$A$2:$A$6912,0)),"-")</f>
        <v>69</v>
      </c>
      <c r="F1265" s="4" t="str">
        <f aca="false">IFERROR(INDEX(Positions!$E$2:$E$6912,MATCH($A1265&amp;"|4",Positions!$A$2:$A$6912,0)),"-")</f>
        <v>G</v>
      </c>
      <c r="G1265" s="4" t="str">
        <f aca="false">IFERROR(INDEX(Positions!$E$2:$E$6912,MATCH($A1265&amp;"|69",Positions!$A$2:$A$6912,0)),"-")</f>
        <v>C</v>
      </c>
      <c r="H1265" s="3" t="str">
        <f aca="false">F1265&amp;"-"&amp;G1265</f>
        <v>G-C</v>
      </c>
      <c r="I1265" s="4" t="n">
        <f aca="false">(F1265="G")+(G1265="G")</f>
        <v>1</v>
      </c>
      <c r="J1265" s="4" t="n">
        <f aca="false">(F1265="C")+(G1265="C")</f>
        <v>1</v>
      </c>
      <c r="K1265" s="3" t="n">
        <f aca="false">I1265+J1265</f>
        <v>2</v>
      </c>
    </row>
    <row r="1266" customFormat="false" ht="15" hidden="false" customHeight="false" outlineLevel="0" collapsed="false">
      <c r="A1266" s="4" t="s">
        <v>82</v>
      </c>
      <c r="B1266" s="4" t="s">
        <v>412</v>
      </c>
      <c r="C1266" s="4" t="s">
        <v>283</v>
      </c>
      <c r="D1266" s="4" t="n">
        <f aca="false">IFERROR(INDEX(Positions!$D$2:$D$6912,MATCH($A1266&amp;"|5",Positions!$A$2:$A$6912,0)),"-")</f>
        <v>5</v>
      </c>
      <c r="E1266" s="4" t="n">
        <f aca="false">IFERROR(INDEX(Positions!$D$2:$D$6912,MATCH($A1266&amp;"|68",Positions!$A$2:$A$6912,0)),"-")</f>
        <v>68</v>
      </c>
      <c r="F1266" s="4" t="str">
        <f aca="false">IFERROR(INDEX(Positions!$E$2:$E$6912,MATCH($A1266&amp;"|5",Positions!$A$2:$A$6912,0)),"-")</f>
        <v>A</v>
      </c>
      <c r="G1266" s="4" t="str">
        <f aca="false">IFERROR(INDEX(Positions!$E$2:$E$6912,MATCH($A1266&amp;"|68",Positions!$A$2:$A$6912,0)),"-")</f>
        <v>U</v>
      </c>
      <c r="H1266" s="3" t="str">
        <f aca="false">F1266&amp;"-"&amp;G1266</f>
        <v>A-U</v>
      </c>
      <c r="I1266" s="4" t="n">
        <f aca="false">(F1266="G")+(G1266="G")</f>
        <v>0</v>
      </c>
      <c r="J1266" s="4" t="n">
        <f aca="false">(F1266="C")+(G1266="C")</f>
        <v>0</v>
      </c>
      <c r="K1266" s="3" t="n">
        <f aca="false">I1266+J1266</f>
        <v>0</v>
      </c>
    </row>
    <row r="1267" customFormat="false" ht="15" hidden="false" customHeight="false" outlineLevel="0" collapsed="false">
      <c r="A1267" s="4" t="s">
        <v>82</v>
      </c>
      <c r="B1267" s="4" t="s">
        <v>412</v>
      </c>
      <c r="C1267" s="4" t="s">
        <v>520</v>
      </c>
      <c r="D1267" s="4" t="n">
        <f aca="false">IFERROR(INDEX(Positions!$D$2:$D$6912,MATCH($A1267&amp;"|6",Positions!$A$2:$A$6912,0)),"-")</f>
        <v>6</v>
      </c>
      <c r="E1267" s="4" t="n">
        <f aca="false">IFERROR(INDEX(Positions!$D$2:$D$6912,MATCH($A1267&amp;"|67",Positions!$A$2:$A$6912,0)),"-")</f>
        <v>67</v>
      </c>
      <c r="F1267" s="4" t="str">
        <f aca="false">IFERROR(INDEX(Positions!$E$2:$E$6912,MATCH($A1267&amp;"|6",Positions!$A$2:$A$6912,0)),"-")</f>
        <v>A</v>
      </c>
      <c r="G1267" s="4" t="str">
        <f aca="false">IFERROR(INDEX(Positions!$E$2:$E$6912,MATCH($A1267&amp;"|67",Positions!$A$2:$A$6912,0)),"-")</f>
        <v>U</v>
      </c>
      <c r="H1267" s="3" t="str">
        <f aca="false">F1267&amp;"-"&amp;G1267</f>
        <v>A-U</v>
      </c>
      <c r="I1267" s="4" t="n">
        <f aca="false">(F1267="G")+(G1267="G")</f>
        <v>0</v>
      </c>
      <c r="J1267" s="4" t="n">
        <f aca="false">(F1267="C")+(G1267="C")</f>
        <v>0</v>
      </c>
      <c r="K1267" s="3" t="n">
        <f aca="false">I1267+J1267</f>
        <v>0</v>
      </c>
    </row>
    <row r="1268" customFormat="false" ht="15" hidden="false" customHeight="false" outlineLevel="0" collapsed="false">
      <c r="A1268" s="4" t="s">
        <v>82</v>
      </c>
      <c r="B1268" s="4" t="s">
        <v>412</v>
      </c>
      <c r="C1268" s="4" t="s">
        <v>521</v>
      </c>
      <c r="D1268" s="4" t="n">
        <f aca="false">IFERROR(INDEX(Positions!$D$2:$D$6912,MATCH($A1268&amp;"|7",Positions!$A$2:$A$6912,0)),"-")</f>
        <v>7</v>
      </c>
      <c r="E1268" s="4" t="n">
        <f aca="false">IFERROR(INDEX(Positions!$D$2:$D$6912,MATCH($A1268&amp;"|66",Positions!$A$2:$A$6912,0)),"-")</f>
        <v>66</v>
      </c>
      <c r="F1268" s="4" t="str">
        <f aca="false">IFERROR(INDEX(Positions!$E$2:$E$6912,MATCH($A1268&amp;"|7",Positions!$A$2:$A$6912,0)),"-")</f>
        <v>A</v>
      </c>
      <c r="G1268" s="4" t="str">
        <f aca="false">IFERROR(INDEX(Positions!$E$2:$E$6912,MATCH($A1268&amp;"|66",Positions!$A$2:$A$6912,0)),"-")</f>
        <v>U</v>
      </c>
      <c r="H1268" s="3" t="str">
        <f aca="false">F1268&amp;"-"&amp;G1268</f>
        <v>A-U</v>
      </c>
      <c r="I1268" s="4" t="n">
        <f aca="false">(F1268="G")+(G1268="G")</f>
        <v>0</v>
      </c>
      <c r="J1268" s="4" t="n">
        <f aca="false">(F1268="C")+(G1268="C")</f>
        <v>0</v>
      </c>
      <c r="K1268" s="3" t="n">
        <f aca="false">I1268+J1268</f>
        <v>0</v>
      </c>
    </row>
    <row r="1269" customFormat="false" ht="15" hidden="false" customHeight="false" outlineLevel="0" collapsed="false">
      <c r="A1269" s="4" t="s">
        <v>82</v>
      </c>
      <c r="B1269" s="4" t="s">
        <v>425</v>
      </c>
      <c r="C1269" s="4" t="s">
        <v>522</v>
      </c>
      <c r="D1269" s="4" t="n">
        <f aca="false">IFERROR(INDEX(Positions!$D$2:$D$6912,MATCH($A1269&amp;"|10",Positions!$A$2:$A$6912,0)),"-")</f>
        <v>10</v>
      </c>
      <c r="E1269" s="4" t="n">
        <f aca="false">IFERROR(INDEX(Positions!$D$2:$D$6912,MATCH($A1269&amp;"|25",Positions!$A$2:$A$6912,0)),"-")</f>
        <v>25</v>
      </c>
      <c r="F1269" s="4" t="str">
        <f aca="false">IFERROR(INDEX(Positions!$E$2:$E$6912,MATCH($A1269&amp;"|10",Positions!$A$2:$A$6912,0)),"-")</f>
        <v>G</v>
      </c>
      <c r="G1269" s="4" t="str">
        <f aca="false">IFERROR(INDEX(Positions!$E$2:$E$6912,MATCH($A1269&amp;"|25",Positions!$A$2:$A$6912,0)),"-")</f>
        <v>C</v>
      </c>
      <c r="H1269" s="3" t="str">
        <f aca="false">F1269&amp;"-"&amp;G1269</f>
        <v>G-C</v>
      </c>
      <c r="I1269" s="4" t="n">
        <f aca="false">(F1269="G")+(G1269="G")</f>
        <v>1</v>
      </c>
      <c r="J1269" s="4" t="n">
        <f aca="false">(F1269="C")+(G1269="C")</f>
        <v>1</v>
      </c>
      <c r="K1269" s="3" t="n">
        <f aca="false">I1269+J1269</f>
        <v>2</v>
      </c>
    </row>
    <row r="1270" customFormat="false" ht="15" hidden="false" customHeight="false" outlineLevel="0" collapsed="false">
      <c r="A1270" s="4" t="s">
        <v>82</v>
      </c>
      <c r="B1270" s="4" t="s">
        <v>425</v>
      </c>
      <c r="C1270" s="4" t="s">
        <v>523</v>
      </c>
      <c r="D1270" s="4" t="n">
        <f aca="false">IFERROR(INDEX(Positions!$D$2:$D$6912,MATCH($A1270&amp;"|11",Positions!$A$2:$A$6912,0)),"-")</f>
        <v>11</v>
      </c>
      <c r="E1270" s="4" t="n">
        <f aca="false">IFERROR(INDEX(Positions!$D$2:$D$6912,MATCH($A1270&amp;"|24",Positions!$A$2:$A$6912,0)),"-")</f>
        <v>24</v>
      </c>
      <c r="F1270" s="4" t="str">
        <f aca="false">IFERROR(INDEX(Positions!$E$2:$E$6912,MATCH($A1270&amp;"|11",Positions!$A$2:$A$6912,0)),"-")</f>
        <v>C</v>
      </c>
      <c r="G1270" s="4" t="str">
        <f aca="false">IFERROR(INDEX(Positions!$E$2:$E$6912,MATCH($A1270&amp;"|24",Positions!$A$2:$A$6912,0)),"-")</f>
        <v>G</v>
      </c>
      <c r="H1270" s="3" t="str">
        <f aca="false">F1270&amp;"-"&amp;G1270</f>
        <v>C-G</v>
      </c>
      <c r="I1270" s="4" t="n">
        <f aca="false">(F1270="G")+(G1270="G")</f>
        <v>1</v>
      </c>
      <c r="J1270" s="4" t="n">
        <f aca="false">(F1270="C")+(G1270="C")</f>
        <v>1</v>
      </c>
      <c r="K1270" s="3" t="n">
        <f aca="false">I1270+J1270</f>
        <v>2</v>
      </c>
    </row>
    <row r="1271" customFormat="false" ht="15" hidden="false" customHeight="false" outlineLevel="0" collapsed="false">
      <c r="A1271" s="4" t="s">
        <v>82</v>
      </c>
      <c r="B1271" s="4" t="s">
        <v>425</v>
      </c>
      <c r="C1271" s="4" t="s">
        <v>250</v>
      </c>
      <c r="D1271" s="4" t="n">
        <f aca="false">IFERROR(INDEX(Positions!$D$2:$D$6912,MATCH($A1271&amp;"|12",Positions!$A$2:$A$6912,0)),"-")</f>
        <v>12</v>
      </c>
      <c r="E1271" s="4" t="n">
        <f aca="false">IFERROR(INDEX(Positions!$D$2:$D$6912,MATCH($A1271&amp;"|23",Positions!$A$2:$A$6912,0)),"-")</f>
        <v>23</v>
      </c>
      <c r="F1271" s="4" t="str">
        <f aca="false">IFERROR(INDEX(Positions!$E$2:$E$6912,MATCH($A1271&amp;"|12",Positions!$A$2:$A$6912,0)),"-")</f>
        <v>U</v>
      </c>
      <c r="G1271" s="4" t="str">
        <f aca="false">IFERROR(INDEX(Positions!$E$2:$E$6912,MATCH($A1271&amp;"|23",Positions!$A$2:$A$6912,0)),"-")</f>
        <v>A</v>
      </c>
      <c r="H1271" s="3" t="str">
        <f aca="false">F1271&amp;"-"&amp;G1271</f>
        <v>U-A</v>
      </c>
      <c r="I1271" s="4" t="n">
        <f aca="false">(F1271="G")+(G1271="G")</f>
        <v>0</v>
      </c>
      <c r="J1271" s="4" t="n">
        <f aca="false">(F1271="C")+(G1271="C")</f>
        <v>0</v>
      </c>
      <c r="K1271" s="3" t="n">
        <f aca="false">I1271+J1271</f>
        <v>0</v>
      </c>
    </row>
    <row r="1272" customFormat="false" ht="15" hidden="false" customHeight="false" outlineLevel="0" collapsed="false">
      <c r="A1272" s="4" t="s">
        <v>82</v>
      </c>
      <c r="B1272" s="4" t="s">
        <v>425</v>
      </c>
      <c r="C1272" s="4" t="s">
        <v>154</v>
      </c>
      <c r="D1272" s="4" t="n">
        <f aca="false">IFERROR(INDEX(Positions!$D$2:$D$6912,MATCH($A1272&amp;"|13",Positions!$A$2:$A$6912,0)),"-")</f>
        <v>13</v>
      </c>
      <c r="E1272" s="4" t="n">
        <f aca="false">IFERROR(INDEX(Positions!$D$2:$D$6912,MATCH($A1272&amp;"|22",Positions!$A$2:$A$6912,0)),"-")</f>
        <v>22</v>
      </c>
      <c r="F1272" s="4" t="str">
        <f aca="false">IFERROR(INDEX(Positions!$E$2:$E$6912,MATCH($A1272&amp;"|13",Positions!$A$2:$A$6912,0)),"-")</f>
        <v>C</v>
      </c>
      <c r="G1272" s="4" t="str">
        <f aca="false">IFERROR(INDEX(Positions!$E$2:$E$6912,MATCH($A1272&amp;"|22",Positions!$A$2:$A$6912,0)),"-")</f>
        <v>G</v>
      </c>
      <c r="H1272" s="3" t="str">
        <f aca="false">F1272&amp;"-"&amp;G1272</f>
        <v>C-G</v>
      </c>
      <c r="I1272" s="4" t="n">
        <f aca="false">(F1272="G")+(G1272="G")</f>
        <v>1</v>
      </c>
      <c r="J1272" s="4" t="n">
        <f aca="false">(F1272="C")+(G1272="C")</f>
        <v>1</v>
      </c>
      <c r="K1272" s="3" t="n">
        <f aca="false">I1272+J1272</f>
        <v>2</v>
      </c>
    </row>
    <row r="1273" customFormat="false" ht="15" hidden="false" customHeight="false" outlineLevel="0" collapsed="false">
      <c r="A1273" s="4" t="s">
        <v>82</v>
      </c>
      <c r="B1273" s="4" t="s">
        <v>446</v>
      </c>
      <c r="C1273" s="4" t="s">
        <v>524</v>
      </c>
      <c r="D1273" s="4" t="n">
        <f aca="false">IFERROR(INDEX(Positions!$D$2:$D$6912,MATCH($A1273&amp;"|27",Positions!$A$2:$A$6912,0)),"-")</f>
        <v>27</v>
      </c>
      <c r="E1273" s="4" t="n">
        <f aca="false">IFERROR(INDEX(Positions!$D$2:$D$6912,MATCH($A1273&amp;"|43",Positions!$A$2:$A$6912,0)),"-")</f>
        <v>43</v>
      </c>
      <c r="F1273" s="4" t="str">
        <f aca="false">IFERROR(INDEX(Positions!$E$2:$E$6912,MATCH($A1273&amp;"|27",Positions!$A$2:$A$6912,0)),"-")</f>
        <v>U</v>
      </c>
      <c r="G1273" s="4" t="str">
        <f aca="false">IFERROR(INDEX(Positions!$E$2:$E$6912,MATCH($A1273&amp;"|43",Positions!$A$2:$A$6912,0)),"-")</f>
        <v>A</v>
      </c>
      <c r="H1273" s="3" t="str">
        <f aca="false">F1273&amp;"-"&amp;G1273</f>
        <v>U-A</v>
      </c>
      <c r="I1273" s="4" t="n">
        <f aca="false">(F1273="G")+(G1273="G")</f>
        <v>0</v>
      </c>
      <c r="J1273" s="4" t="n">
        <f aca="false">(F1273="C")+(G1273="C")</f>
        <v>0</v>
      </c>
      <c r="K1273" s="3" t="n">
        <f aca="false">I1273+J1273</f>
        <v>0</v>
      </c>
    </row>
    <row r="1274" customFormat="false" ht="15" hidden="false" customHeight="false" outlineLevel="0" collapsed="false">
      <c r="A1274" s="4" t="s">
        <v>82</v>
      </c>
      <c r="B1274" s="4" t="s">
        <v>446</v>
      </c>
      <c r="C1274" s="4" t="s">
        <v>525</v>
      </c>
      <c r="D1274" s="4" t="n">
        <f aca="false">IFERROR(INDEX(Positions!$D$2:$D$6912,MATCH($A1274&amp;"|28",Positions!$A$2:$A$6912,0)),"-")</f>
        <v>28</v>
      </c>
      <c r="E1274" s="4" t="n">
        <f aca="false">IFERROR(INDEX(Positions!$D$2:$D$6912,MATCH($A1274&amp;"|42",Positions!$A$2:$A$6912,0)),"-")</f>
        <v>42</v>
      </c>
      <c r="F1274" s="4" t="str">
        <f aca="false">IFERROR(INDEX(Positions!$E$2:$E$6912,MATCH($A1274&amp;"|28",Positions!$A$2:$A$6912,0)),"-")</f>
        <v>U</v>
      </c>
      <c r="G1274" s="4" t="str">
        <f aca="false">IFERROR(INDEX(Positions!$E$2:$E$6912,MATCH($A1274&amp;"|42",Positions!$A$2:$A$6912,0)),"-")</f>
        <v>A</v>
      </c>
      <c r="H1274" s="3" t="str">
        <f aca="false">F1274&amp;"-"&amp;G1274</f>
        <v>U-A</v>
      </c>
      <c r="I1274" s="4" t="n">
        <f aca="false">(F1274="G")+(G1274="G")</f>
        <v>0</v>
      </c>
      <c r="J1274" s="4" t="n">
        <f aca="false">(F1274="C")+(G1274="C")</f>
        <v>0</v>
      </c>
      <c r="K1274" s="3" t="n">
        <f aca="false">I1274+J1274</f>
        <v>0</v>
      </c>
    </row>
    <row r="1275" customFormat="false" ht="15" hidden="false" customHeight="false" outlineLevel="0" collapsed="false">
      <c r="A1275" s="4" t="s">
        <v>82</v>
      </c>
      <c r="B1275" s="4" t="s">
        <v>446</v>
      </c>
      <c r="C1275" s="4" t="s">
        <v>256</v>
      </c>
      <c r="D1275" s="4" t="n">
        <f aca="false">IFERROR(INDEX(Positions!$D$2:$D$6912,MATCH($A1275&amp;"|29",Positions!$A$2:$A$6912,0)),"-")</f>
        <v>29</v>
      </c>
      <c r="E1275" s="4" t="n">
        <f aca="false">IFERROR(INDEX(Positions!$D$2:$D$6912,MATCH($A1275&amp;"|41",Positions!$A$2:$A$6912,0)),"-")</f>
        <v>41</v>
      </c>
      <c r="F1275" s="4" t="str">
        <f aca="false">IFERROR(INDEX(Positions!$E$2:$E$6912,MATCH($A1275&amp;"|29",Positions!$A$2:$A$6912,0)),"-")</f>
        <v>A</v>
      </c>
      <c r="G1275" s="4" t="str">
        <f aca="false">IFERROR(INDEX(Positions!$E$2:$E$6912,MATCH($A1275&amp;"|41",Positions!$A$2:$A$6912,0)),"-")</f>
        <v>U</v>
      </c>
      <c r="H1275" s="3" t="str">
        <f aca="false">F1275&amp;"-"&amp;G1275</f>
        <v>A-U</v>
      </c>
      <c r="I1275" s="4" t="n">
        <f aca="false">(F1275="G")+(G1275="G")</f>
        <v>0</v>
      </c>
      <c r="J1275" s="4" t="n">
        <f aca="false">(F1275="C")+(G1275="C")</f>
        <v>0</v>
      </c>
      <c r="K1275" s="3" t="n">
        <f aca="false">I1275+J1275</f>
        <v>0</v>
      </c>
    </row>
    <row r="1276" customFormat="false" ht="15" hidden="false" customHeight="false" outlineLevel="0" collapsed="false">
      <c r="A1276" s="4" t="s">
        <v>82</v>
      </c>
      <c r="B1276" s="4" t="s">
        <v>446</v>
      </c>
      <c r="C1276" s="4" t="s">
        <v>526</v>
      </c>
      <c r="D1276" s="4" t="n">
        <f aca="false">IFERROR(INDEX(Positions!$D$2:$D$6912,MATCH($A1276&amp;"|30",Positions!$A$2:$A$6912,0)),"-")</f>
        <v>30</v>
      </c>
      <c r="E1276" s="4" t="n">
        <f aca="false">IFERROR(INDEX(Positions!$D$2:$D$6912,MATCH($A1276&amp;"|40",Positions!$A$2:$A$6912,0)),"-")</f>
        <v>40</v>
      </c>
      <c r="F1276" s="4" t="str">
        <f aca="false">IFERROR(INDEX(Positions!$E$2:$E$6912,MATCH($A1276&amp;"|30",Positions!$A$2:$A$6912,0)),"-")</f>
        <v>G</v>
      </c>
      <c r="G1276" s="4" t="str">
        <f aca="false">IFERROR(INDEX(Positions!$E$2:$E$6912,MATCH($A1276&amp;"|40",Positions!$A$2:$A$6912,0)),"-")</f>
        <v>C</v>
      </c>
      <c r="H1276" s="3" t="str">
        <f aca="false">F1276&amp;"-"&amp;G1276</f>
        <v>G-C</v>
      </c>
      <c r="I1276" s="4" t="n">
        <f aca="false">(F1276="G")+(G1276="G")</f>
        <v>1</v>
      </c>
      <c r="J1276" s="4" t="n">
        <f aca="false">(F1276="C")+(G1276="C")</f>
        <v>1</v>
      </c>
      <c r="K1276" s="3" t="n">
        <f aca="false">I1276+J1276</f>
        <v>2</v>
      </c>
    </row>
    <row r="1277" customFormat="false" ht="15" hidden="false" customHeight="false" outlineLevel="0" collapsed="false">
      <c r="A1277" s="4" t="s">
        <v>82</v>
      </c>
      <c r="B1277" s="4" t="s">
        <v>446</v>
      </c>
      <c r="C1277" s="4" t="s">
        <v>273</v>
      </c>
      <c r="D1277" s="4" t="n">
        <f aca="false">IFERROR(INDEX(Positions!$D$2:$D$6912,MATCH($A1277&amp;"|31",Positions!$A$2:$A$6912,0)),"-")</f>
        <v>31</v>
      </c>
      <c r="E1277" s="4" t="n">
        <f aca="false">IFERROR(INDEX(Positions!$D$2:$D$6912,MATCH($A1277&amp;"|39",Positions!$A$2:$A$6912,0)),"-")</f>
        <v>39</v>
      </c>
      <c r="F1277" s="4" t="str">
        <f aca="false">IFERROR(INDEX(Positions!$E$2:$E$6912,MATCH($A1277&amp;"|31",Positions!$A$2:$A$6912,0)),"-")</f>
        <v>A</v>
      </c>
      <c r="G1277" s="4" t="str">
        <f aca="false">IFERROR(INDEX(Positions!$E$2:$E$6912,MATCH($A1277&amp;"|39",Positions!$A$2:$A$6912,0)),"-")</f>
        <v>U</v>
      </c>
      <c r="H1277" s="3" t="str">
        <f aca="false">F1277&amp;"-"&amp;G1277</f>
        <v>A-U</v>
      </c>
      <c r="I1277" s="4" t="n">
        <f aca="false">(F1277="G")+(G1277="G")</f>
        <v>0</v>
      </c>
      <c r="J1277" s="4" t="n">
        <f aca="false">(F1277="C")+(G1277="C")</f>
        <v>0</v>
      </c>
      <c r="K1277" s="3" t="n">
        <f aca="false">I1277+J1277</f>
        <v>0</v>
      </c>
    </row>
    <row r="1278" customFormat="false" ht="15" hidden="false" customHeight="false" outlineLevel="0" collapsed="false">
      <c r="A1278" s="4" t="s">
        <v>82</v>
      </c>
      <c r="B1278" s="4" t="s">
        <v>471</v>
      </c>
      <c r="C1278" s="4" t="s">
        <v>367</v>
      </c>
      <c r="D1278" s="4" t="n">
        <f aca="false">IFERROR(INDEX(Positions!$D$2:$D$6912,MATCH($A1278&amp;"|49",Positions!$A$2:$A$6912,0)),"-")</f>
        <v>49</v>
      </c>
      <c r="E1278" s="4" t="n">
        <f aca="false">IFERROR(INDEX(Positions!$D$2:$D$6912,MATCH($A1278&amp;"|65",Positions!$A$2:$A$6912,0)),"-")</f>
        <v>65</v>
      </c>
      <c r="F1278" s="4" t="str">
        <f aca="false">IFERROR(INDEX(Positions!$E$2:$E$6912,MATCH($A1278&amp;"|49",Positions!$A$2:$A$6912,0)),"-")</f>
        <v>C</v>
      </c>
      <c r="G1278" s="4" t="str">
        <f aca="false">IFERROR(INDEX(Positions!$E$2:$E$6912,MATCH($A1278&amp;"|65",Positions!$A$2:$A$6912,0)),"-")</f>
        <v>G</v>
      </c>
      <c r="H1278" s="3" t="str">
        <f aca="false">F1278&amp;"-"&amp;G1278</f>
        <v>C-G</v>
      </c>
      <c r="I1278" s="4" t="n">
        <f aca="false">(F1278="G")+(G1278="G")</f>
        <v>1</v>
      </c>
      <c r="J1278" s="4" t="n">
        <f aca="false">(F1278="C")+(G1278="C")</f>
        <v>1</v>
      </c>
      <c r="K1278" s="3" t="n">
        <f aca="false">I1278+J1278</f>
        <v>2</v>
      </c>
    </row>
    <row r="1279" customFormat="false" ht="15" hidden="false" customHeight="false" outlineLevel="0" collapsed="false">
      <c r="A1279" s="4" t="s">
        <v>82</v>
      </c>
      <c r="B1279" s="4" t="s">
        <v>471</v>
      </c>
      <c r="C1279" s="4" t="s">
        <v>233</v>
      </c>
      <c r="D1279" s="4" t="n">
        <f aca="false">IFERROR(INDEX(Positions!$D$2:$D$6912,MATCH($A1279&amp;"|50",Positions!$A$2:$A$6912,0)),"-")</f>
        <v>50</v>
      </c>
      <c r="E1279" s="4" t="n">
        <f aca="false">IFERROR(INDEX(Positions!$D$2:$D$6912,MATCH($A1279&amp;"|64",Positions!$A$2:$A$6912,0)),"-")</f>
        <v>64</v>
      </c>
      <c r="F1279" s="4" t="str">
        <f aca="false">IFERROR(INDEX(Positions!$E$2:$E$6912,MATCH($A1279&amp;"|50",Positions!$A$2:$A$6912,0)),"-")</f>
        <v>C</v>
      </c>
      <c r="G1279" s="4" t="str">
        <f aca="false">IFERROR(INDEX(Positions!$E$2:$E$6912,MATCH($A1279&amp;"|64",Positions!$A$2:$A$6912,0)),"-")</f>
        <v>G</v>
      </c>
      <c r="H1279" s="3" t="str">
        <f aca="false">F1279&amp;"-"&amp;G1279</f>
        <v>C-G</v>
      </c>
      <c r="I1279" s="4" t="n">
        <f aca="false">(F1279="G")+(G1279="G")</f>
        <v>1</v>
      </c>
      <c r="J1279" s="4" t="n">
        <f aca="false">(F1279="C")+(G1279="C")</f>
        <v>1</v>
      </c>
      <c r="K1279" s="3" t="n">
        <f aca="false">I1279+J1279</f>
        <v>2</v>
      </c>
    </row>
    <row r="1280" customFormat="false" ht="15" hidden="false" customHeight="false" outlineLevel="0" collapsed="false">
      <c r="A1280" s="4" t="s">
        <v>82</v>
      </c>
      <c r="B1280" s="4" t="s">
        <v>471</v>
      </c>
      <c r="C1280" s="4" t="s">
        <v>527</v>
      </c>
      <c r="D1280" s="4" t="n">
        <f aca="false">IFERROR(INDEX(Positions!$D$2:$D$6912,MATCH($A1280&amp;"|51",Positions!$A$2:$A$6912,0)),"-")</f>
        <v>51</v>
      </c>
      <c r="E1280" s="4" t="n">
        <f aca="false">IFERROR(INDEX(Positions!$D$2:$D$6912,MATCH($A1280&amp;"|63",Positions!$A$2:$A$6912,0)),"-")</f>
        <v>63</v>
      </c>
      <c r="F1280" s="4" t="str">
        <f aca="false">IFERROR(INDEX(Positions!$E$2:$E$6912,MATCH($A1280&amp;"|51",Positions!$A$2:$A$6912,0)),"-")</f>
        <v>U</v>
      </c>
      <c r="G1280" s="4" t="str">
        <f aca="false">IFERROR(INDEX(Positions!$E$2:$E$6912,MATCH($A1280&amp;"|63",Positions!$A$2:$A$6912,0)),"-")</f>
        <v>G</v>
      </c>
      <c r="H1280" s="3" t="str">
        <f aca="false">F1280&amp;"-"&amp;G1280</f>
        <v>U-G</v>
      </c>
      <c r="I1280" s="4" t="n">
        <f aca="false">(F1280="G")+(G1280="G")</f>
        <v>1</v>
      </c>
      <c r="J1280" s="4" t="n">
        <f aca="false">(F1280="C")+(G1280="C")</f>
        <v>0</v>
      </c>
      <c r="K1280" s="3" t="n">
        <f aca="false">I1280+J1280</f>
        <v>1</v>
      </c>
    </row>
    <row r="1281" customFormat="false" ht="15" hidden="false" customHeight="false" outlineLevel="0" collapsed="false">
      <c r="A1281" s="4" t="s">
        <v>82</v>
      </c>
      <c r="B1281" s="4" t="s">
        <v>471</v>
      </c>
      <c r="C1281" s="4" t="s">
        <v>528</v>
      </c>
      <c r="D1281" s="4" t="n">
        <f aca="false">IFERROR(INDEX(Positions!$D$2:$D$6912,MATCH($A1281&amp;"|52",Positions!$A$2:$A$6912,0)),"-")</f>
        <v>52</v>
      </c>
      <c r="E1281" s="4" t="n">
        <f aca="false">IFERROR(INDEX(Positions!$D$2:$D$6912,MATCH($A1281&amp;"|62",Positions!$A$2:$A$6912,0)),"-")</f>
        <v>62</v>
      </c>
      <c r="F1281" s="4" t="str">
        <f aca="false">IFERROR(INDEX(Positions!$E$2:$E$6912,MATCH($A1281&amp;"|52",Positions!$A$2:$A$6912,0)),"-")</f>
        <v>G</v>
      </c>
      <c r="G1281" s="4" t="str">
        <f aca="false">IFERROR(INDEX(Positions!$E$2:$E$6912,MATCH($A1281&amp;"|62",Positions!$A$2:$A$6912,0)),"-")</f>
        <v>C</v>
      </c>
      <c r="H1281" s="3" t="str">
        <f aca="false">F1281&amp;"-"&amp;G1281</f>
        <v>G-C</v>
      </c>
      <c r="I1281" s="4" t="n">
        <f aca="false">(F1281="G")+(G1281="G")</f>
        <v>1</v>
      </c>
      <c r="J1281" s="4" t="n">
        <f aca="false">(F1281="C")+(G1281="C")</f>
        <v>1</v>
      </c>
      <c r="K1281" s="3" t="n">
        <f aca="false">I1281+J1281</f>
        <v>2</v>
      </c>
    </row>
    <row r="1282" customFormat="false" ht="15" hidden="false" customHeight="false" outlineLevel="0" collapsed="false">
      <c r="A1282" s="4" t="s">
        <v>82</v>
      </c>
      <c r="B1282" s="4" t="s">
        <v>471</v>
      </c>
      <c r="C1282" s="4" t="s">
        <v>529</v>
      </c>
      <c r="D1282" s="4" t="n">
        <f aca="false">IFERROR(INDEX(Positions!$D$2:$D$6912,MATCH($A1282&amp;"|53",Positions!$A$2:$A$6912,0)),"-")</f>
        <v>53</v>
      </c>
      <c r="E1282" s="4" t="n">
        <f aca="false">IFERROR(INDEX(Positions!$D$2:$D$6912,MATCH($A1282&amp;"|61",Positions!$A$2:$A$6912,0)),"-")</f>
        <v>61</v>
      </c>
      <c r="F1282" s="4" t="str">
        <f aca="false">IFERROR(INDEX(Positions!$E$2:$E$6912,MATCH($A1282&amp;"|53",Positions!$A$2:$A$6912,0)),"-")</f>
        <v>G</v>
      </c>
      <c r="G1282" s="4" t="str">
        <f aca="false">IFERROR(INDEX(Positions!$E$2:$E$6912,MATCH($A1282&amp;"|61",Positions!$A$2:$A$6912,0)),"-")</f>
        <v>C</v>
      </c>
      <c r="H1282" s="3" t="str">
        <f aca="false">F1282&amp;"-"&amp;G1282</f>
        <v>G-C</v>
      </c>
      <c r="I1282" s="4" t="n">
        <f aca="false">(F1282="G")+(G1282="G")</f>
        <v>1</v>
      </c>
      <c r="J1282" s="4" t="n">
        <f aca="false">(F1282="C")+(G1282="C")</f>
        <v>1</v>
      </c>
      <c r="K1282" s="3" t="n">
        <f aca="false">I1282+J1282</f>
        <v>2</v>
      </c>
    </row>
    <row r="1283" customFormat="false" ht="15" hidden="false" customHeight="false" outlineLevel="0" collapsed="false">
      <c r="A1283" s="24" t="s">
        <v>82</v>
      </c>
      <c r="B1283" s="24" t="s">
        <v>530</v>
      </c>
      <c r="C1283" s="24" t="s">
        <v>531</v>
      </c>
      <c r="D1283" s="24" t="n">
        <f aca="false">IFERROR(INDEX(Positions!$D$2:$D$6912,MATCH($A1283&amp;"|8",Positions!$A$2:$A$6912,0)),"-")</f>
        <v>8</v>
      </c>
      <c r="E1283" s="24" t="n">
        <f aca="false">IFERROR(INDEX(Positions!$D$2:$D$6912,MATCH($A1283&amp;"|14",Positions!$A$2:$A$6912,0)),"-")</f>
        <v>14</v>
      </c>
      <c r="F1283" s="24" t="str">
        <f aca="false">IFERROR(INDEX(Positions!$E$2:$E$6912,MATCH($A1283&amp;"|8",Positions!$A$2:$A$6912,0)),"-")</f>
        <v>U</v>
      </c>
      <c r="G1283" s="24" t="str">
        <f aca="false">IFERROR(INDEX(Positions!$E$2:$E$6912,MATCH($A1283&amp;"|14",Positions!$A$2:$A$6912,0)),"-")</f>
        <v>A</v>
      </c>
      <c r="H1283" s="25" t="str">
        <f aca="false">F1283&amp;"-"&amp;G1283</f>
        <v>U-A</v>
      </c>
      <c r="I1283" s="24" t="n">
        <f aca="false">(F1283="G")+(G1283="G")</f>
        <v>0</v>
      </c>
      <c r="J1283" s="24" t="n">
        <f aca="false">(F1283="C")+(G1283="C")</f>
        <v>0</v>
      </c>
      <c r="K1283" s="25" t="n">
        <f aca="false">I1283+J1283</f>
        <v>0</v>
      </c>
    </row>
    <row r="1284" customFormat="false" ht="15" hidden="false" customHeight="false" outlineLevel="0" collapsed="false">
      <c r="A1284" s="24" t="s">
        <v>82</v>
      </c>
      <c r="B1284" s="24" t="s">
        <v>530</v>
      </c>
      <c r="C1284" s="24" t="s">
        <v>532</v>
      </c>
      <c r="D1284" s="24" t="n">
        <f aca="false">IFERROR(INDEX(Positions!$D$2:$D$6912,MATCH($A1284&amp;"|15",Positions!$A$2:$A$6912,0)),"-")</f>
        <v>15</v>
      </c>
      <c r="E1284" s="24" t="n">
        <f aca="false">IFERROR(INDEX(Positions!$D$2:$D$6912,MATCH($A1284&amp;"|48",Positions!$A$2:$A$6912,0)),"-")</f>
        <v>48</v>
      </c>
      <c r="F1284" s="24" t="str">
        <f aca="false">IFERROR(INDEX(Positions!$E$2:$E$6912,MATCH($A1284&amp;"|15",Positions!$A$2:$A$6912,0)),"-")</f>
        <v>G</v>
      </c>
      <c r="G1284" s="24" t="str">
        <f aca="false">IFERROR(INDEX(Positions!$E$2:$E$6912,MATCH($A1284&amp;"|48",Positions!$A$2:$A$6912,0)),"-")</f>
        <v>C</v>
      </c>
      <c r="H1284" s="25" t="str">
        <f aca="false">F1284&amp;"-"&amp;G1284</f>
        <v>G-C</v>
      </c>
      <c r="I1284" s="24" t="n">
        <f aca="false">(F1284="G")+(G1284="G")</f>
        <v>1</v>
      </c>
      <c r="J1284" s="24" t="n">
        <f aca="false">(F1284="C")+(G1284="C")</f>
        <v>1</v>
      </c>
      <c r="K1284" s="25" t="n">
        <f aca="false">I1284+J1284</f>
        <v>2</v>
      </c>
    </row>
    <row r="1285" customFormat="false" ht="15" hidden="false" customHeight="false" outlineLevel="0" collapsed="false">
      <c r="A1285" s="24" t="s">
        <v>82</v>
      </c>
      <c r="B1285" s="24" t="s">
        <v>530</v>
      </c>
      <c r="C1285" s="24" t="s">
        <v>533</v>
      </c>
      <c r="D1285" s="24" t="n">
        <f aca="false">IFERROR(INDEX(Positions!$D$2:$D$6912,MATCH($A1285&amp;"|18",Positions!$A$2:$A$6912,0)),"-")</f>
        <v>18</v>
      </c>
      <c r="E1285" s="24" t="n">
        <f aca="false">IFERROR(INDEX(Positions!$D$2:$D$6912,MATCH($A1285&amp;"|55",Positions!$A$2:$A$6912,0)),"-")</f>
        <v>55</v>
      </c>
      <c r="F1285" s="24" t="str">
        <f aca="false">IFERROR(INDEX(Positions!$E$2:$E$6912,MATCH($A1285&amp;"|18",Positions!$A$2:$A$6912,0)),"-")</f>
        <v>G</v>
      </c>
      <c r="G1285" s="24" t="str">
        <f aca="false">IFERROR(INDEX(Positions!$E$2:$E$6912,MATCH($A1285&amp;"|55",Positions!$A$2:$A$6912,0)),"-")</f>
        <v>U</v>
      </c>
      <c r="H1285" s="25" t="str">
        <f aca="false">F1285&amp;"-"&amp;G1285</f>
        <v>G-U</v>
      </c>
      <c r="I1285" s="24" t="n">
        <f aca="false">(F1285="G")+(G1285="G")</f>
        <v>1</v>
      </c>
      <c r="J1285" s="24" t="n">
        <f aca="false">(F1285="C")+(G1285="C")</f>
        <v>0</v>
      </c>
      <c r="K1285" s="25" t="n">
        <f aca="false">I1285+J1285</f>
        <v>1</v>
      </c>
    </row>
    <row r="1286" customFormat="false" ht="15" hidden="false" customHeight="false" outlineLevel="0" collapsed="false">
      <c r="A1286" s="24" t="s">
        <v>82</v>
      </c>
      <c r="B1286" s="24" t="s">
        <v>530</v>
      </c>
      <c r="C1286" s="24" t="s">
        <v>534</v>
      </c>
      <c r="D1286" s="24" t="n">
        <f aca="false">IFERROR(INDEX(Positions!$D$2:$D$6912,MATCH($A1286&amp;"|19",Positions!$A$2:$A$6912,0)),"-")</f>
        <v>19</v>
      </c>
      <c r="E1286" s="24" t="n">
        <f aca="false">IFERROR(INDEX(Positions!$D$2:$D$6912,MATCH($A1286&amp;"|56",Positions!$A$2:$A$6912,0)),"-")</f>
        <v>56</v>
      </c>
      <c r="F1286" s="24" t="str">
        <f aca="false">IFERROR(INDEX(Positions!$E$2:$E$6912,MATCH($A1286&amp;"|19",Positions!$A$2:$A$6912,0)),"-")</f>
        <v>G</v>
      </c>
      <c r="G1286" s="24" t="str">
        <f aca="false">IFERROR(INDEX(Positions!$E$2:$E$6912,MATCH($A1286&amp;"|56",Positions!$A$2:$A$6912,0)),"-")</f>
        <v>C</v>
      </c>
      <c r="H1286" s="25" t="str">
        <f aca="false">F1286&amp;"-"&amp;G1286</f>
        <v>G-C</v>
      </c>
      <c r="I1286" s="24" t="n">
        <f aca="false">(F1286="G")+(G1286="G")</f>
        <v>1</v>
      </c>
      <c r="J1286" s="24" t="n">
        <f aca="false">(F1286="C")+(G1286="C")</f>
        <v>1</v>
      </c>
      <c r="K1286" s="25" t="n">
        <f aca="false">I1286+J1286</f>
        <v>2</v>
      </c>
    </row>
    <row r="1287" customFormat="false" ht="15" hidden="false" customHeight="false" outlineLevel="0" collapsed="false">
      <c r="A1287" s="24" t="s">
        <v>82</v>
      </c>
      <c r="B1287" s="24" t="s">
        <v>530</v>
      </c>
      <c r="C1287" s="24" t="s">
        <v>535</v>
      </c>
      <c r="D1287" s="24" t="n">
        <f aca="false">IFERROR(INDEX(Positions!$D$2:$D$6912,MATCH($A1287&amp;"|26",Positions!$A$2:$A$6912,0)),"-")</f>
        <v>26</v>
      </c>
      <c r="E1287" s="24" t="n">
        <f aca="false">IFERROR(INDEX(Positions!$D$2:$D$6912,MATCH($A1287&amp;"|44",Positions!$A$2:$A$6912,0)),"-")</f>
        <v>44</v>
      </c>
      <c r="F1287" s="24" t="str">
        <f aca="false">IFERROR(INDEX(Positions!$E$2:$E$6912,MATCH($A1287&amp;"|26",Positions!$A$2:$A$6912,0)),"-")</f>
        <v>G</v>
      </c>
      <c r="G1287" s="24" t="str">
        <f aca="false">IFERROR(INDEX(Positions!$E$2:$E$6912,MATCH($A1287&amp;"|44",Positions!$A$2:$A$6912,0)),"-")</f>
        <v>A</v>
      </c>
      <c r="H1287" s="25" t="str">
        <f aca="false">F1287&amp;"-"&amp;G1287</f>
        <v>G-A</v>
      </c>
      <c r="I1287" s="24" t="n">
        <f aca="false">(F1287="G")+(G1287="G")</f>
        <v>1</v>
      </c>
      <c r="J1287" s="24" t="n">
        <f aca="false">(F1287="C")+(G1287="C")</f>
        <v>0</v>
      </c>
      <c r="K1287" s="25" t="n">
        <f aca="false">I1287+J1287</f>
        <v>1</v>
      </c>
    </row>
    <row r="1288" customFormat="false" ht="15" hidden="false" customHeight="false" outlineLevel="0" collapsed="false">
      <c r="A1288" s="24" t="s">
        <v>82</v>
      </c>
      <c r="B1288" s="24" t="s">
        <v>530</v>
      </c>
      <c r="C1288" s="24" t="s">
        <v>536</v>
      </c>
      <c r="D1288" s="24" t="n">
        <f aca="false">IFERROR(INDEX(Positions!$D$2:$D$6912,MATCH($A1288&amp;"|32",Positions!$A$2:$A$6912,0)),"-")</f>
        <v>32</v>
      </c>
      <c r="E1288" s="24" t="n">
        <f aca="false">IFERROR(INDEX(Positions!$D$2:$D$6912,MATCH($A1288&amp;"|38",Positions!$A$2:$A$6912,0)),"-")</f>
        <v>38</v>
      </c>
      <c r="F1288" s="24" t="str">
        <f aca="false">IFERROR(INDEX(Positions!$E$2:$E$6912,MATCH($A1288&amp;"|32",Positions!$A$2:$A$6912,0)),"-")</f>
        <v>C</v>
      </c>
      <c r="G1288" s="24" t="str">
        <f aca="false">IFERROR(INDEX(Positions!$E$2:$E$6912,MATCH($A1288&amp;"|38",Positions!$A$2:$A$6912,0)),"-")</f>
        <v>A</v>
      </c>
      <c r="H1288" s="25" t="str">
        <f aca="false">F1288&amp;"-"&amp;G1288</f>
        <v>C-A</v>
      </c>
      <c r="I1288" s="24" t="n">
        <f aca="false">(F1288="G")+(G1288="G")</f>
        <v>0</v>
      </c>
      <c r="J1288" s="24" t="n">
        <f aca="false">(F1288="C")+(G1288="C")</f>
        <v>1</v>
      </c>
      <c r="K1288" s="25" t="n">
        <f aca="false">I1288+J1288</f>
        <v>1</v>
      </c>
    </row>
    <row r="1289" customFormat="false" ht="15" hidden="false" customHeight="false" outlineLevel="0" collapsed="false">
      <c r="A1289" s="24" t="s">
        <v>82</v>
      </c>
      <c r="B1289" s="24" t="s">
        <v>530</v>
      </c>
      <c r="C1289" s="24" t="s">
        <v>537</v>
      </c>
      <c r="D1289" s="24" t="n">
        <f aca="false">IFERROR(INDEX(Positions!$D$2:$D$6912,MATCH($A1289&amp;"|54",Positions!$A$2:$A$6912,0)),"-")</f>
        <v>54</v>
      </c>
      <c r="E1289" s="24" t="n">
        <f aca="false">IFERROR(INDEX(Positions!$D$2:$D$6912,MATCH($A1289&amp;"|58",Positions!$A$2:$A$6912,0)),"-")</f>
        <v>58</v>
      </c>
      <c r="F1289" s="24" t="str">
        <f aca="false">IFERROR(INDEX(Positions!$E$2:$E$6912,MATCH($A1289&amp;"|54",Positions!$A$2:$A$6912,0)),"-")</f>
        <v>U</v>
      </c>
      <c r="G1289" s="24" t="str">
        <f aca="false">IFERROR(INDEX(Positions!$E$2:$E$6912,MATCH($A1289&amp;"|58",Positions!$A$2:$A$6912,0)),"-")</f>
        <v>A</v>
      </c>
      <c r="H1289" s="25" t="str">
        <f aca="false">F1289&amp;"-"&amp;G1289</f>
        <v>U-A</v>
      </c>
      <c r="I1289" s="24" t="n">
        <f aca="false">(F1289="G")+(G1289="G")</f>
        <v>0</v>
      </c>
      <c r="J1289" s="24" t="n">
        <f aca="false">(F1289="C")+(G1289="C")</f>
        <v>0</v>
      </c>
      <c r="K1289" s="25" t="n">
        <f aca="false">I1289+J1289</f>
        <v>0</v>
      </c>
    </row>
    <row r="1290" customFormat="false" ht="15" hidden="false" customHeight="false" outlineLevel="0" collapsed="false">
      <c r="A1290" s="4" t="s">
        <v>83</v>
      </c>
      <c r="B1290" s="4" t="s">
        <v>412</v>
      </c>
      <c r="C1290" s="4" t="s">
        <v>517</v>
      </c>
      <c r="D1290" s="4" t="n">
        <f aca="false">IFERROR(INDEX(Positions!$D$2:$D$6912,MATCH($A1290&amp;"|1",Positions!$A$2:$A$6912,0)),"-")</f>
        <v>1</v>
      </c>
      <c r="E1290" s="4" t="n">
        <f aca="false">IFERROR(INDEX(Positions!$D$2:$D$6912,MATCH($A1290&amp;"|72",Positions!$A$2:$A$6912,0)),"-")</f>
        <v>71</v>
      </c>
      <c r="F1290" s="4" t="str">
        <f aca="false">IFERROR(INDEX(Positions!$E$2:$E$6912,MATCH($A1290&amp;"|1",Positions!$A$2:$A$6912,0)),"-")</f>
        <v>A</v>
      </c>
      <c r="G1290" s="4" t="str">
        <f aca="false">IFERROR(INDEX(Positions!$E$2:$E$6912,MATCH($A1290&amp;"|72",Positions!$A$2:$A$6912,0)),"-")</f>
        <v>U</v>
      </c>
      <c r="H1290" s="3" t="str">
        <f aca="false">F1290&amp;"-"&amp;G1290</f>
        <v>A-U</v>
      </c>
      <c r="I1290" s="4" t="n">
        <f aca="false">(F1290="G")+(G1290="G")</f>
        <v>0</v>
      </c>
      <c r="J1290" s="4" t="n">
        <f aca="false">(F1290="C")+(G1290="C")</f>
        <v>0</v>
      </c>
      <c r="K1290" s="3" t="n">
        <f aca="false">I1290+J1290</f>
        <v>0</v>
      </c>
    </row>
    <row r="1291" customFormat="false" ht="15" hidden="false" customHeight="false" outlineLevel="0" collapsed="false">
      <c r="A1291" s="4" t="s">
        <v>83</v>
      </c>
      <c r="B1291" s="4" t="s">
        <v>412</v>
      </c>
      <c r="C1291" s="4" t="s">
        <v>518</v>
      </c>
      <c r="D1291" s="4" t="n">
        <f aca="false">IFERROR(INDEX(Positions!$D$2:$D$6912,MATCH($A1291&amp;"|2",Positions!$A$2:$A$6912,0)),"-")</f>
        <v>2</v>
      </c>
      <c r="E1291" s="4" t="n">
        <f aca="false">IFERROR(INDEX(Positions!$D$2:$D$6912,MATCH($A1291&amp;"|71",Positions!$A$2:$A$6912,0)),"-")</f>
        <v>70</v>
      </c>
      <c r="F1291" s="4" t="str">
        <f aca="false">IFERROR(INDEX(Positions!$E$2:$E$6912,MATCH($A1291&amp;"|2",Positions!$A$2:$A$6912,0)),"-")</f>
        <v>G</v>
      </c>
      <c r="G1291" s="4" t="str">
        <f aca="false">IFERROR(INDEX(Positions!$E$2:$E$6912,MATCH($A1291&amp;"|71",Positions!$A$2:$A$6912,0)),"-")</f>
        <v>C</v>
      </c>
      <c r="H1291" s="3" t="str">
        <f aca="false">F1291&amp;"-"&amp;G1291</f>
        <v>G-C</v>
      </c>
      <c r="I1291" s="4" t="n">
        <f aca="false">(F1291="G")+(G1291="G")</f>
        <v>1</v>
      </c>
      <c r="J1291" s="4" t="n">
        <f aca="false">(F1291="C")+(G1291="C")</f>
        <v>1</v>
      </c>
      <c r="K1291" s="3" t="n">
        <f aca="false">I1291+J1291</f>
        <v>2</v>
      </c>
    </row>
    <row r="1292" customFormat="false" ht="15" hidden="false" customHeight="false" outlineLevel="0" collapsed="false">
      <c r="A1292" s="4" t="s">
        <v>83</v>
      </c>
      <c r="B1292" s="4" t="s">
        <v>412</v>
      </c>
      <c r="C1292" s="4" t="s">
        <v>386</v>
      </c>
      <c r="D1292" s="4" t="n">
        <f aca="false">IFERROR(INDEX(Positions!$D$2:$D$6912,MATCH($A1292&amp;"|3",Positions!$A$2:$A$6912,0)),"-")</f>
        <v>3</v>
      </c>
      <c r="E1292" s="4" t="n">
        <f aca="false">IFERROR(INDEX(Positions!$D$2:$D$6912,MATCH($A1292&amp;"|70",Positions!$A$2:$A$6912,0)),"-")</f>
        <v>69</v>
      </c>
      <c r="F1292" s="4" t="str">
        <f aca="false">IFERROR(INDEX(Positions!$E$2:$E$6912,MATCH($A1292&amp;"|3",Positions!$A$2:$A$6912,0)),"-")</f>
        <v>C</v>
      </c>
      <c r="G1292" s="4" t="str">
        <f aca="false">IFERROR(INDEX(Positions!$E$2:$E$6912,MATCH($A1292&amp;"|70",Positions!$A$2:$A$6912,0)),"-")</f>
        <v>G</v>
      </c>
      <c r="H1292" s="3" t="str">
        <f aca="false">F1292&amp;"-"&amp;G1292</f>
        <v>C-G</v>
      </c>
      <c r="I1292" s="4" t="n">
        <f aca="false">(F1292="G")+(G1292="G")</f>
        <v>1</v>
      </c>
      <c r="J1292" s="4" t="n">
        <f aca="false">(F1292="C")+(G1292="C")</f>
        <v>1</v>
      </c>
      <c r="K1292" s="3" t="n">
        <f aca="false">I1292+J1292</f>
        <v>2</v>
      </c>
    </row>
    <row r="1293" customFormat="false" ht="15" hidden="false" customHeight="false" outlineLevel="0" collapsed="false">
      <c r="A1293" s="4" t="s">
        <v>83</v>
      </c>
      <c r="B1293" s="4" t="s">
        <v>412</v>
      </c>
      <c r="C1293" s="4" t="s">
        <v>519</v>
      </c>
      <c r="D1293" s="4" t="n">
        <f aca="false">IFERROR(INDEX(Positions!$D$2:$D$6912,MATCH($A1293&amp;"|4",Positions!$A$2:$A$6912,0)),"-")</f>
        <v>4</v>
      </c>
      <c r="E1293" s="4" t="n">
        <f aca="false">IFERROR(INDEX(Positions!$D$2:$D$6912,MATCH($A1293&amp;"|69",Positions!$A$2:$A$6912,0)),"-")</f>
        <v>68</v>
      </c>
      <c r="F1293" s="4" t="str">
        <f aca="false">IFERROR(INDEX(Positions!$E$2:$E$6912,MATCH($A1293&amp;"|4",Positions!$A$2:$A$6912,0)),"-")</f>
        <v>A</v>
      </c>
      <c r="G1293" s="4" t="str">
        <f aca="false">IFERROR(INDEX(Positions!$E$2:$E$6912,MATCH($A1293&amp;"|69",Positions!$A$2:$A$6912,0)),"-")</f>
        <v>U</v>
      </c>
      <c r="H1293" s="3" t="str">
        <f aca="false">F1293&amp;"-"&amp;G1293</f>
        <v>A-U</v>
      </c>
      <c r="I1293" s="4" t="n">
        <f aca="false">(F1293="G")+(G1293="G")</f>
        <v>0</v>
      </c>
      <c r="J1293" s="4" t="n">
        <f aca="false">(F1293="C")+(G1293="C")</f>
        <v>0</v>
      </c>
      <c r="K1293" s="3" t="n">
        <f aca="false">I1293+J1293</f>
        <v>0</v>
      </c>
    </row>
    <row r="1294" customFormat="false" ht="15" hidden="false" customHeight="false" outlineLevel="0" collapsed="false">
      <c r="A1294" s="4" t="s">
        <v>83</v>
      </c>
      <c r="B1294" s="4" t="s">
        <v>412</v>
      </c>
      <c r="C1294" s="4" t="s">
        <v>283</v>
      </c>
      <c r="D1294" s="4" t="n">
        <f aca="false">IFERROR(INDEX(Positions!$D$2:$D$6912,MATCH($A1294&amp;"|5",Positions!$A$2:$A$6912,0)),"-")</f>
        <v>5</v>
      </c>
      <c r="E1294" s="4" t="n">
        <f aca="false">IFERROR(INDEX(Positions!$D$2:$D$6912,MATCH($A1294&amp;"|68",Positions!$A$2:$A$6912,0)),"-")</f>
        <v>67</v>
      </c>
      <c r="F1294" s="4" t="str">
        <f aca="false">IFERROR(INDEX(Positions!$E$2:$E$6912,MATCH($A1294&amp;"|5",Positions!$A$2:$A$6912,0)),"-")</f>
        <v>G</v>
      </c>
      <c r="G1294" s="4" t="str">
        <f aca="false">IFERROR(INDEX(Positions!$E$2:$E$6912,MATCH($A1294&amp;"|68",Positions!$A$2:$A$6912,0)),"-")</f>
        <v>C</v>
      </c>
      <c r="H1294" s="3" t="str">
        <f aca="false">F1294&amp;"-"&amp;G1294</f>
        <v>G-C</v>
      </c>
      <c r="I1294" s="4" t="n">
        <f aca="false">(F1294="G")+(G1294="G")</f>
        <v>1</v>
      </c>
      <c r="J1294" s="4" t="n">
        <f aca="false">(F1294="C")+(G1294="C")</f>
        <v>1</v>
      </c>
      <c r="K1294" s="3" t="n">
        <f aca="false">I1294+J1294</f>
        <v>2</v>
      </c>
    </row>
    <row r="1295" customFormat="false" ht="15" hidden="false" customHeight="false" outlineLevel="0" collapsed="false">
      <c r="A1295" s="4" t="s">
        <v>83</v>
      </c>
      <c r="B1295" s="4" t="s">
        <v>412</v>
      </c>
      <c r="C1295" s="4" t="s">
        <v>520</v>
      </c>
      <c r="D1295" s="4" t="n">
        <f aca="false">IFERROR(INDEX(Positions!$D$2:$D$6912,MATCH($A1295&amp;"|6",Positions!$A$2:$A$6912,0)),"-")</f>
        <v>6</v>
      </c>
      <c r="E1295" s="4" t="n">
        <f aca="false">IFERROR(INDEX(Positions!$D$2:$D$6912,MATCH($A1295&amp;"|67",Positions!$A$2:$A$6912,0)),"-")</f>
        <v>66</v>
      </c>
      <c r="F1295" s="4" t="str">
        <f aca="false">IFERROR(INDEX(Positions!$E$2:$E$6912,MATCH($A1295&amp;"|6",Positions!$A$2:$A$6912,0)),"-")</f>
        <v>A</v>
      </c>
      <c r="G1295" s="4" t="str">
        <f aca="false">IFERROR(INDEX(Positions!$E$2:$E$6912,MATCH($A1295&amp;"|67",Positions!$A$2:$A$6912,0)),"-")</f>
        <v>U</v>
      </c>
      <c r="H1295" s="3" t="str">
        <f aca="false">F1295&amp;"-"&amp;G1295</f>
        <v>A-U</v>
      </c>
      <c r="I1295" s="4" t="n">
        <f aca="false">(F1295="G")+(G1295="G")</f>
        <v>0</v>
      </c>
      <c r="J1295" s="4" t="n">
        <f aca="false">(F1295="C")+(G1295="C")</f>
        <v>0</v>
      </c>
      <c r="K1295" s="3" t="n">
        <f aca="false">I1295+J1295</f>
        <v>0</v>
      </c>
    </row>
    <row r="1296" customFormat="false" ht="15" hidden="false" customHeight="false" outlineLevel="0" collapsed="false">
      <c r="A1296" s="4" t="s">
        <v>83</v>
      </c>
      <c r="B1296" s="4" t="s">
        <v>412</v>
      </c>
      <c r="C1296" s="4" t="s">
        <v>521</v>
      </c>
      <c r="D1296" s="4" t="n">
        <f aca="false">IFERROR(INDEX(Positions!$D$2:$D$6912,MATCH($A1296&amp;"|7",Positions!$A$2:$A$6912,0)),"-")</f>
        <v>7</v>
      </c>
      <c r="E1296" s="4" t="n">
        <f aca="false">IFERROR(INDEX(Positions!$D$2:$D$6912,MATCH($A1296&amp;"|66",Positions!$A$2:$A$6912,0)),"-")</f>
        <v>65</v>
      </c>
      <c r="F1296" s="4" t="str">
        <f aca="false">IFERROR(INDEX(Positions!$E$2:$E$6912,MATCH($A1296&amp;"|7",Positions!$A$2:$A$6912,0)),"-")</f>
        <v>G</v>
      </c>
      <c r="G1296" s="4" t="str">
        <f aca="false">IFERROR(INDEX(Positions!$E$2:$E$6912,MATCH($A1296&amp;"|66",Positions!$A$2:$A$6912,0)),"-")</f>
        <v>C</v>
      </c>
      <c r="H1296" s="3" t="str">
        <f aca="false">F1296&amp;"-"&amp;G1296</f>
        <v>G-C</v>
      </c>
      <c r="I1296" s="4" t="n">
        <f aca="false">(F1296="G")+(G1296="G")</f>
        <v>1</v>
      </c>
      <c r="J1296" s="4" t="n">
        <f aca="false">(F1296="C")+(G1296="C")</f>
        <v>1</v>
      </c>
      <c r="K1296" s="3" t="n">
        <f aca="false">I1296+J1296</f>
        <v>2</v>
      </c>
    </row>
    <row r="1297" customFormat="false" ht="15" hidden="false" customHeight="false" outlineLevel="0" collapsed="false">
      <c r="A1297" s="4" t="s">
        <v>83</v>
      </c>
      <c r="B1297" s="4" t="s">
        <v>425</v>
      </c>
      <c r="C1297" s="4" t="s">
        <v>522</v>
      </c>
      <c r="D1297" s="4" t="n">
        <f aca="false">IFERROR(INDEX(Positions!$D$2:$D$6912,MATCH($A1297&amp;"|10",Positions!$A$2:$A$6912,0)),"-")</f>
        <v>10</v>
      </c>
      <c r="E1297" s="4" t="n">
        <f aca="false">IFERROR(INDEX(Positions!$D$2:$D$6912,MATCH($A1297&amp;"|25",Positions!$A$2:$A$6912,0)),"-")</f>
        <v>24</v>
      </c>
      <c r="F1297" s="4" t="str">
        <f aca="false">IFERROR(INDEX(Positions!$E$2:$E$6912,MATCH($A1297&amp;"|10",Positions!$A$2:$A$6912,0)),"-")</f>
        <v>G</v>
      </c>
      <c r="G1297" s="4" t="str">
        <f aca="false">IFERROR(INDEX(Positions!$E$2:$E$6912,MATCH($A1297&amp;"|25",Positions!$A$2:$A$6912,0)),"-")</f>
        <v>U</v>
      </c>
      <c r="H1297" s="3" t="str">
        <f aca="false">F1297&amp;"-"&amp;G1297</f>
        <v>G-U</v>
      </c>
      <c r="I1297" s="4" t="n">
        <f aca="false">(F1297="G")+(G1297="G")</f>
        <v>1</v>
      </c>
      <c r="J1297" s="4" t="n">
        <f aca="false">(F1297="C")+(G1297="C")</f>
        <v>0</v>
      </c>
      <c r="K1297" s="3" t="n">
        <f aca="false">I1297+J1297</f>
        <v>1</v>
      </c>
    </row>
    <row r="1298" customFormat="false" ht="15" hidden="false" customHeight="false" outlineLevel="0" collapsed="false">
      <c r="A1298" s="4" t="s">
        <v>83</v>
      </c>
      <c r="B1298" s="4" t="s">
        <v>425</v>
      </c>
      <c r="C1298" s="4" t="s">
        <v>523</v>
      </c>
      <c r="D1298" s="4" t="n">
        <f aca="false">IFERROR(INDEX(Positions!$D$2:$D$6912,MATCH($A1298&amp;"|11",Positions!$A$2:$A$6912,0)),"-")</f>
        <v>11</v>
      </c>
      <c r="E1298" s="4" t="n">
        <f aca="false">IFERROR(INDEX(Positions!$D$2:$D$6912,MATCH($A1298&amp;"|24",Positions!$A$2:$A$6912,0)),"-")</f>
        <v>23</v>
      </c>
      <c r="F1298" s="4" t="str">
        <f aca="false">IFERROR(INDEX(Positions!$E$2:$E$6912,MATCH($A1298&amp;"|11",Positions!$A$2:$A$6912,0)),"-")</f>
        <v>C</v>
      </c>
      <c r="G1298" s="4" t="str">
        <f aca="false">IFERROR(INDEX(Positions!$E$2:$E$6912,MATCH($A1298&amp;"|24",Positions!$A$2:$A$6912,0)),"-")</f>
        <v>G</v>
      </c>
      <c r="H1298" s="3" t="str">
        <f aca="false">F1298&amp;"-"&amp;G1298</f>
        <v>C-G</v>
      </c>
      <c r="I1298" s="4" t="n">
        <f aca="false">(F1298="G")+(G1298="G")</f>
        <v>1</v>
      </c>
      <c r="J1298" s="4" t="n">
        <f aca="false">(F1298="C")+(G1298="C")</f>
        <v>1</v>
      </c>
      <c r="K1298" s="3" t="n">
        <f aca="false">I1298+J1298</f>
        <v>2</v>
      </c>
    </row>
    <row r="1299" customFormat="false" ht="15" hidden="false" customHeight="false" outlineLevel="0" collapsed="false">
      <c r="A1299" s="4" t="s">
        <v>83</v>
      </c>
      <c r="B1299" s="4" t="s">
        <v>425</v>
      </c>
      <c r="C1299" s="4" t="s">
        <v>250</v>
      </c>
      <c r="D1299" s="4" t="n">
        <f aca="false">IFERROR(INDEX(Positions!$D$2:$D$6912,MATCH($A1299&amp;"|12",Positions!$A$2:$A$6912,0)),"-")</f>
        <v>12</v>
      </c>
      <c r="E1299" s="4" t="n">
        <f aca="false">IFERROR(INDEX(Positions!$D$2:$D$6912,MATCH($A1299&amp;"|23",Positions!$A$2:$A$6912,0)),"-")</f>
        <v>22</v>
      </c>
      <c r="F1299" s="4" t="str">
        <f aca="false">IFERROR(INDEX(Positions!$E$2:$E$6912,MATCH($A1299&amp;"|12",Positions!$A$2:$A$6912,0)),"-")</f>
        <v>G</v>
      </c>
      <c r="G1299" s="4" t="str">
        <f aca="false">IFERROR(INDEX(Positions!$E$2:$E$6912,MATCH($A1299&amp;"|23",Positions!$A$2:$A$6912,0)),"-")</f>
        <v>C</v>
      </c>
      <c r="H1299" s="3" t="str">
        <f aca="false">F1299&amp;"-"&amp;G1299</f>
        <v>G-C</v>
      </c>
      <c r="I1299" s="4" t="n">
        <f aca="false">(F1299="G")+(G1299="G")</f>
        <v>1</v>
      </c>
      <c r="J1299" s="4" t="n">
        <f aca="false">(F1299="C")+(G1299="C")</f>
        <v>1</v>
      </c>
      <c r="K1299" s="3" t="n">
        <f aca="false">I1299+J1299</f>
        <v>2</v>
      </c>
    </row>
    <row r="1300" customFormat="false" ht="15" hidden="false" customHeight="false" outlineLevel="0" collapsed="false">
      <c r="A1300" s="4" t="s">
        <v>83</v>
      </c>
      <c r="B1300" s="4" t="s">
        <v>425</v>
      </c>
      <c r="C1300" s="4" t="s">
        <v>154</v>
      </c>
      <c r="D1300" s="4" t="n">
        <f aca="false">IFERROR(INDEX(Positions!$D$2:$D$6912,MATCH($A1300&amp;"|13",Positions!$A$2:$A$6912,0)),"-")</f>
        <v>13</v>
      </c>
      <c r="E1300" s="4" t="n">
        <f aca="false">IFERROR(INDEX(Positions!$D$2:$D$6912,MATCH($A1300&amp;"|22",Positions!$A$2:$A$6912,0)),"-")</f>
        <v>21</v>
      </c>
      <c r="F1300" s="4" t="str">
        <f aca="false">IFERROR(INDEX(Positions!$E$2:$E$6912,MATCH($A1300&amp;"|13",Positions!$A$2:$A$6912,0)),"-")</f>
        <v>C</v>
      </c>
      <c r="G1300" s="4" t="str">
        <f aca="false">IFERROR(INDEX(Positions!$E$2:$E$6912,MATCH($A1300&amp;"|22",Positions!$A$2:$A$6912,0)),"-")</f>
        <v>G</v>
      </c>
      <c r="H1300" s="3" t="str">
        <f aca="false">F1300&amp;"-"&amp;G1300</f>
        <v>C-G</v>
      </c>
      <c r="I1300" s="4" t="n">
        <f aca="false">(F1300="G")+(G1300="G")</f>
        <v>1</v>
      </c>
      <c r="J1300" s="4" t="n">
        <f aca="false">(F1300="C")+(G1300="C")</f>
        <v>1</v>
      </c>
      <c r="K1300" s="3" t="n">
        <f aca="false">I1300+J1300</f>
        <v>2</v>
      </c>
    </row>
    <row r="1301" customFormat="false" ht="15" hidden="false" customHeight="false" outlineLevel="0" collapsed="false">
      <c r="A1301" s="4" t="s">
        <v>83</v>
      </c>
      <c r="B1301" s="4" t="s">
        <v>446</v>
      </c>
      <c r="C1301" s="4" t="s">
        <v>524</v>
      </c>
      <c r="D1301" s="4" t="n">
        <f aca="false">IFERROR(INDEX(Positions!$D$2:$D$6912,MATCH($A1301&amp;"|27",Positions!$A$2:$A$6912,0)),"-")</f>
        <v>26</v>
      </c>
      <c r="E1301" s="4" t="n">
        <f aca="false">IFERROR(INDEX(Positions!$D$2:$D$6912,MATCH($A1301&amp;"|43",Positions!$A$2:$A$6912,0)),"-")</f>
        <v>42</v>
      </c>
      <c r="F1301" s="4" t="str">
        <f aca="false">IFERROR(INDEX(Positions!$E$2:$E$6912,MATCH($A1301&amp;"|27",Positions!$A$2:$A$6912,0)),"-")</f>
        <v>C</v>
      </c>
      <c r="G1301" s="4" t="str">
        <f aca="false">IFERROR(INDEX(Positions!$E$2:$E$6912,MATCH($A1301&amp;"|43",Positions!$A$2:$A$6912,0)),"-")</f>
        <v>G</v>
      </c>
      <c r="H1301" s="3" t="str">
        <f aca="false">F1301&amp;"-"&amp;G1301</f>
        <v>C-G</v>
      </c>
      <c r="I1301" s="4" t="n">
        <f aca="false">(F1301="G")+(G1301="G")</f>
        <v>1</v>
      </c>
      <c r="J1301" s="4" t="n">
        <f aca="false">(F1301="C")+(G1301="C")</f>
        <v>1</v>
      </c>
      <c r="K1301" s="3" t="n">
        <f aca="false">I1301+J1301</f>
        <v>2</v>
      </c>
    </row>
    <row r="1302" customFormat="false" ht="15" hidden="false" customHeight="false" outlineLevel="0" collapsed="false">
      <c r="A1302" s="4" t="s">
        <v>83</v>
      </c>
      <c r="B1302" s="4" t="s">
        <v>446</v>
      </c>
      <c r="C1302" s="4" t="s">
        <v>525</v>
      </c>
      <c r="D1302" s="4" t="n">
        <f aca="false">IFERROR(INDEX(Positions!$D$2:$D$6912,MATCH($A1302&amp;"|28",Positions!$A$2:$A$6912,0)),"-")</f>
        <v>27</v>
      </c>
      <c r="E1302" s="4" t="n">
        <f aca="false">IFERROR(INDEX(Positions!$D$2:$D$6912,MATCH($A1302&amp;"|42",Positions!$A$2:$A$6912,0)),"-")</f>
        <v>41</v>
      </c>
      <c r="F1302" s="4" t="str">
        <f aca="false">IFERROR(INDEX(Positions!$E$2:$E$6912,MATCH($A1302&amp;"|28",Positions!$A$2:$A$6912,0)),"-")</f>
        <v>U</v>
      </c>
      <c r="G1302" s="4" t="str">
        <f aca="false">IFERROR(INDEX(Positions!$E$2:$E$6912,MATCH($A1302&amp;"|42",Positions!$A$2:$A$6912,0)),"-")</f>
        <v>A</v>
      </c>
      <c r="H1302" s="3" t="str">
        <f aca="false">F1302&amp;"-"&amp;G1302</f>
        <v>U-A</v>
      </c>
      <c r="I1302" s="4" t="n">
        <f aca="false">(F1302="G")+(G1302="G")</f>
        <v>0</v>
      </c>
      <c r="J1302" s="4" t="n">
        <f aca="false">(F1302="C")+(G1302="C")</f>
        <v>0</v>
      </c>
      <c r="K1302" s="3" t="n">
        <f aca="false">I1302+J1302</f>
        <v>0</v>
      </c>
    </row>
    <row r="1303" customFormat="false" ht="15" hidden="false" customHeight="false" outlineLevel="0" collapsed="false">
      <c r="A1303" s="4" t="s">
        <v>83</v>
      </c>
      <c r="B1303" s="4" t="s">
        <v>446</v>
      </c>
      <c r="C1303" s="4" t="s">
        <v>256</v>
      </c>
      <c r="D1303" s="4" t="n">
        <f aca="false">IFERROR(INDEX(Positions!$D$2:$D$6912,MATCH($A1303&amp;"|29",Positions!$A$2:$A$6912,0)),"-")</f>
        <v>28</v>
      </c>
      <c r="E1303" s="4" t="n">
        <f aca="false">IFERROR(INDEX(Positions!$D$2:$D$6912,MATCH($A1303&amp;"|41",Positions!$A$2:$A$6912,0)),"-")</f>
        <v>40</v>
      </c>
      <c r="F1303" s="4" t="str">
        <f aca="false">IFERROR(INDEX(Positions!$E$2:$E$6912,MATCH($A1303&amp;"|29",Positions!$A$2:$A$6912,0)),"-")</f>
        <v>G</v>
      </c>
      <c r="G1303" s="4" t="str">
        <f aca="false">IFERROR(INDEX(Positions!$E$2:$E$6912,MATCH($A1303&amp;"|41",Positions!$A$2:$A$6912,0)),"-")</f>
        <v>C</v>
      </c>
      <c r="H1303" s="3" t="str">
        <f aca="false">F1303&amp;"-"&amp;G1303</f>
        <v>G-C</v>
      </c>
      <c r="I1303" s="4" t="n">
        <f aca="false">(F1303="G")+(G1303="G")</f>
        <v>1</v>
      </c>
      <c r="J1303" s="4" t="n">
        <f aca="false">(F1303="C")+(G1303="C")</f>
        <v>1</v>
      </c>
      <c r="K1303" s="3" t="n">
        <f aca="false">I1303+J1303</f>
        <v>2</v>
      </c>
    </row>
    <row r="1304" customFormat="false" ht="15" hidden="false" customHeight="false" outlineLevel="0" collapsed="false">
      <c r="A1304" s="4" t="s">
        <v>83</v>
      </c>
      <c r="B1304" s="4" t="s">
        <v>446</v>
      </c>
      <c r="C1304" s="4" t="s">
        <v>526</v>
      </c>
      <c r="D1304" s="4" t="n">
        <f aca="false">IFERROR(INDEX(Positions!$D$2:$D$6912,MATCH($A1304&amp;"|30",Positions!$A$2:$A$6912,0)),"-")</f>
        <v>29</v>
      </c>
      <c r="E1304" s="4" t="n">
        <f aca="false">IFERROR(INDEX(Positions!$D$2:$D$6912,MATCH($A1304&amp;"|40",Positions!$A$2:$A$6912,0)),"-")</f>
        <v>39</v>
      </c>
      <c r="F1304" s="4" t="str">
        <f aca="false">IFERROR(INDEX(Positions!$E$2:$E$6912,MATCH($A1304&amp;"|30",Positions!$A$2:$A$6912,0)),"-")</f>
        <v>G</v>
      </c>
      <c r="G1304" s="4" t="str">
        <f aca="false">IFERROR(INDEX(Positions!$E$2:$E$6912,MATCH($A1304&amp;"|40",Positions!$A$2:$A$6912,0)),"-")</f>
        <v>C</v>
      </c>
      <c r="H1304" s="3" t="str">
        <f aca="false">F1304&amp;"-"&amp;G1304</f>
        <v>G-C</v>
      </c>
      <c r="I1304" s="4" t="n">
        <f aca="false">(F1304="G")+(G1304="G")</f>
        <v>1</v>
      </c>
      <c r="J1304" s="4" t="n">
        <f aca="false">(F1304="C")+(G1304="C")</f>
        <v>1</v>
      </c>
      <c r="K1304" s="3" t="n">
        <f aca="false">I1304+J1304</f>
        <v>2</v>
      </c>
    </row>
    <row r="1305" customFormat="false" ht="15" hidden="false" customHeight="false" outlineLevel="0" collapsed="false">
      <c r="A1305" s="4" t="s">
        <v>83</v>
      </c>
      <c r="B1305" s="4" t="s">
        <v>446</v>
      </c>
      <c r="C1305" s="4" t="s">
        <v>273</v>
      </c>
      <c r="D1305" s="4" t="n">
        <f aca="false">IFERROR(INDEX(Positions!$D$2:$D$6912,MATCH($A1305&amp;"|31",Positions!$A$2:$A$6912,0)),"-")</f>
        <v>30</v>
      </c>
      <c r="E1305" s="4" t="n">
        <f aca="false">IFERROR(INDEX(Positions!$D$2:$D$6912,MATCH($A1305&amp;"|39",Positions!$A$2:$A$6912,0)),"-")</f>
        <v>38</v>
      </c>
      <c r="F1305" s="4" t="str">
        <f aca="false">IFERROR(INDEX(Positions!$E$2:$E$6912,MATCH($A1305&amp;"|31",Positions!$A$2:$A$6912,0)),"-")</f>
        <v>G</v>
      </c>
      <c r="G1305" s="4" t="str">
        <f aca="false">IFERROR(INDEX(Positions!$E$2:$E$6912,MATCH($A1305&amp;"|39",Positions!$A$2:$A$6912,0)),"-")</f>
        <v>C</v>
      </c>
      <c r="H1305" s="3" t="str">
        <f aca="false">F1305&amp;"-"&amp;G1305</f>
        <v>G-C</v>
      </c>
      <c r="I1305" s="4" t="n">
        <f aca="false">(F1305="G")+(G1305="G")</f>
        <v>1</v>
      </c>
      <c r="J1305" s="4" t="n">
        <f aca="false">(F1305="C")+(G1305="C")</f>
        <v>1</v>
      </c>
      <c r="K1305" s="3" t="n">
        <f aca="false">I1305+J1305</f>
        <v>2</v>
      </c>
    </row>
    <row r="1306" customFormat="false" ht="15" hidden="false" customHeight="false" outlineLevel="0" collapsed="false">
      <c r="A1306" s="4" t="s">
        <v>83</v>
      </c>
      <c r="B1306" s="4" t="s">
        <v>471</v>
      </c>
      <c r="C1306" s="4" t="s">
        <v>367</v>
      </c>
      <c r="D1306" s="4" t="n">
        <f aca="false">IFERROR(INDEX(Positions!$D$2:$D$6912,MATCH($A1306&amp;"|49",Positions!$A$2:$A$6912,0)),"-")</f>
        <v>48</v>
      </c>
      <c r="E1306" s="4" t="n">
        <f aca="false">IFERROR(INDEX(Positions!$D$2:$D$6912,MATCH($A1306&amp;"|65",Positions!$A$2:$A$6912,0)),"-")</f>
        <v>64</v>
      </c>
      <c r="F1306" s="4" t="str">
        <f aca="false">IFERROR(INDEX(Positions!$E$2:$E$6912,MATCH($A1306&amp;"|49",Positions!$A$2:$A$6912,0)),"-")</f>
        <v>G</v>
      </c>
      <c r="G1306" s="4" t="str">
        <f aca="false">IFERROR(INDEX(Positions!$E$2:$E$6912,MATCH($A1306&amp;"|65",Positions!$A$2:$A$6912,0)),"-")</f>
        <v>C</v>
      </c>
      <c r="H1306" s="3" t="str">
        <f aca="false">F1306&amp;"-"&amp;G1306</f>
        <v>G-C</v>
      </c>
      <c r="I1306" s="4" t="n">
        <f aca="false">(F1306="G")+(G1306="G")</f>
        <v>1</v>
      </c>
      <c r="J1306" s="4" t="n">
        <f aca="false">(F1306="C")+(G1306="C")</f>
        <v>1</v>
      </c>
      <c r="K1306" s="3" t="n">
        <f aca="false">I1306+J1306</f>
        <v>2</v>
      </c>
    </row>
    <row r="1307" customFormat="false" ht="15" hidden="false" customHeight="false" outlineLevel="0" collapsed="false">
      <c r="A1307" s="4" t="s">
        <v>83</v>
      </c>
      <c r="B1307" s="4" t="s">
        <v>471</v>
      </c>
      <c r="C1307" s="4" t="s">
        <v>233</v>
      </c>
      <c r="D1307" s="4" t="n">
        <f aca="false">IFERROR(INDEX(Positions!$D$2:$D$6912,MATCH($A1307&amp;"|50",Positions!$A$2:$A$6912,0)),"-")</f>
        <v>49</v>
      </c>
      <c r="E1307" s="4" t="n">
        <f aca="false">IFERROR(INDEX(Positions!$D$2:$D$6912,MATCH($A1307&amp;"|64",Positions!$A$2:$A$6912,0)),"-")</f>
        <v>63</v>
      </c>
      <c r="F1307" s="4" t="str">
        <f aca="false">IFERROR(INDEX(Positions!$E$2:$E$6912,MATCH($A1307&amp;"|50",Positions!$A$2:$A$6912,0)),"-")</f>
        <v>A</v>
      </c>
      <c r="G1307" s="4" t="str">
        <f aca="false">IFERROR(INDEX(Positions!$E$2:$E$6912,MATCH($A1307&amp;"|64",Positions!$A$2:$A$6912,0)),"-")</f>
        <v>U</v>
      </c>
      <c r="H1307" s="3" t="str">
        <f aca="false">F1307&amp;"-"&amp;G1307</f>
        <v>A-U</v>
      </c>
      <c r="I1307" s="4" t="n">
        <f aca="false">(F1307="G")+(G1307="G")</f>
        <v>0</v>
      </c>
      <c r="J1307" s="4" t="n">
        <f aca="false">(F1307="C")+(G1307="C")</f>
        <v>0</v>
      </c>
      <c r="K1307" s="3" t="n">
        <f aca="false">I1307+J1307</f>
        <v>0</v>
      </c>
    </row>
    <row r="1308" customFormat="false" ht="15" hidden="false" customHeight="false" outlineLevel="0" collapsed="false">
      <c r="A1308" s="4" t="s">
        <v>83</v>
      </c>
      <c r="B1308" s="4" t="s">
        <v>471</v>
      </c>
      <c r="C1308" s="4" t="s">
        <v>527</v>
      </c>
      <c r="D1308" s="4" t="n">
        <f aca="false">IFERROR(INDEX(Positions!$D$2:$D$6912,MATCH($A1308&amp;"|51",Positions!$A$2:$A$6912,0)),"-")</f>
        <v>50</v>
      </c>
      <c r="E1308" s="4" t="n">
        <f aca="false">IFERROR(INDEX(Positions!$D$2:$D$6912,MATCH($A1308&amp;"|63",Positions!$A$2:$A$6912,0)),"-")</f>
        <v>62</v>
      </c>
      <c r="F1308" s="4" t="str">
        <f aca="false">IFERROR(INDEX(Positions!$E$2:$E$6912,MATCH($A1308&amp;"|51",Positions!$A$2:$A$6912,0)),"-")</f>
        <v>U</v>
      </c>
      <c r="G1308" s="4" t="str">
        <f aca="false">IFERROR(INDEX(Positions!$E$2:$E$6912,MATCH($A1308&amp;"|63",Positions!$A$2:$A$6912,0)),"-")</f>
        <v>A</v>
      </c>
      <c r="H1308" s="3" t="str">
        <f aca="false">F1308&amp;"-"&amp;G1308</f>
        <v>U-A</v>
      </c>
      <c r="I1308" s="4" t="n">
        <f aca="false">(F1308="G")+(G1308="G")</f>
        <v>0</v>
      </c>
      <c r="J1308" s="4" t="n">
        <f aca="false">(F1308="C")+(G1308="C")</f>
        <v>0</v>
      </c>
      <c r="K1308" s="3" t="n">
        <f aca="false">I1308+J1308</f>
        <v>0</v>
      </c>
    </row>
    <row r="1309" customFormat="false" ht="15" hidden="false" customHeight="false" outlineLevel="0" collapsed="false">
      <c r="A1309" s="4" t="s">
        <v>83</v>
      </c>
      <c r="B1309" s="4" t="s">
        <v>471</v>
      </c>
      <c r="C1309" s="4" t="s">
        <v>528</v>
      </c>
      <c r="D1309" s="4" t="n">
        <f aca="false">IFERROR(INDEX(Positions!$D$2:$D$6912,MATCH($A1309&amp;"|52",Positions!$A$2:$A$6912,0)),"-")</f>
        <v>51</v>
      </c>
      <c r="E1309" s="4" t="n">
        <f aca="false">IFERROR(INDEX(Positions!$D$2:$D$6912,MATCH($A1309&amp;"|62",Positions!$A$2:$A$6912,0)),"-")</f>
        <v>61</v>
      </c>
      <c r="F1309" s="4" t="str">
        <f aca="false">IFERROR(INDEX(Positions!$E$2:$E$6912,MATCH($A1309&amp;"|52",Positions!$A$2:$A$6912,0)),"-")</f>
        <v>G</v>
      </c>
      <c r="G1309" s="4" t="str">
        <f aca="false">IFERROR(INDEX(Positions!$E$2:$E$6912,MATCH($A1309&amp;"|62",Positions!$A$2:$A$6912,0)),"-")</f>
        <v>C</v>
      </c>
      <c r="H1309" s="3" t="str">
        <f aca="false">F1309&amp;"-"&amp;G1309</f>
        <v>G-C</v>
      </c>
      <c r="I1309" s="4" t="n">
        <f aca="false">(F1309="G")+(G1309="G")</f>
        <v>1</v>
      </c>
      <c r="J1309" s="4" t="n">
        <f aca="false">(F1309="C")+(G1309="C")</f>
        <v>1</v>
      </c>
      <c r="K1309" s="3" t="n">
        <f aca="false">I1309+J1309</f>
        <v>2</v>
      </c>
    </row>
    <row r="1310" customFormat="false" ht="15" hidden="false" customHeight="false" outlineLevel="0" collapsed="false">
      <c r="A1310" s="4" t="s">
        <v>83</v>
      </c>
      <c r="B1310" s="4" t="s">
        <v>471</v>
      </c>
      <c r="C1310" s="4" t="s">
        <v>529</v>
      </c>
      <c r="D1310" s="4" t="n">
        <f aca="false">IFERROR(INDEX(Positions!$D$2:$D$6912,MATCH($A1310&amp;"|53",Positions!$A$2:$A$6912,0)),"-")</f>
        <v>52</v>
      </c>
      <c r="E1310" s="4" t="n">
        <f aca="false">IFERROR(INDEX(Positions!$D$2:$D$6912,MATCH($A1310&amp;"|61",Positions!$A$2:$A$6912,0)),"-")</f>
        <v>60</v>
      </c>
      <c r="F1310" s="4" t="str">
        <f aca="false">IFERROR(INDEX(Positions!$E$2:$E$6912,MATCH($A1310&amp;"|53",Positions!$A$2:$A$6912,0)),"-")</f>
        <v>G</v>
      </c>
      <c r="G1310" s="4" t="str">
        <f aca="false">IFERROR(INDEX(Positions!$E$2:$E$6912,MATCH($A1310&amp;"|61",Positions!$A$2:$A$6912,0)),"-")</f>
        <v>C</v>
      </c>
      <c r="H1310" s="3" t="str">
        <f aca="false">F1310&amp;"-"&amp;G1310</f>
        <v>G-C</v>
      </c>
      <c r="I1310" s="4" t="n">
        <f aca="false">(F1310="G")+(G1310="G")</f>
        <v>1</v>
      </c>
      <c r="J1310" s="4" t="n">
        <f aca="false">(F1310="C")+(G1310="C")</f>
        <v>1</v>
      </c>
      <c r="K1310" s="3" t="n">
        <f aca="false">I1310+J1310</f>
        <v>2</v>
      </c>
    </row>
    <row r="1311" customFormat="false" ht="15" hidden="false" customHeight="false" outlineLevel="0" collapsed="false">
      <c r="A1311" s="24" t="s">
        <v>83</v>
      </c>
      <c r="B1311" s="24" t="s">
        <v>530</v>
      </c>
      <c r="C1311" s="24" t="s">
        <v>531</v>
      </c>
      <c r="D1311" s="24" t="n">
        <f aca="false">IFERROR(INDEX(Positions!$D$2:$D$6912,MATCH($A1311&amp;"|8",Positions!$A$2:$A$6912,0)),"-")</f>
        <v>8</v>
      </c>
      <c r="E1311" s="24" t="n">
        <f aca="false">IFERROR(INDEX(Positions!$D$2:$D$6912,MATCH($A1311&amp;"|14",Positions!$A$2:$A$6912,0)),"-")</f>
        <v>14</v>
      </c>
      <c r="F1311" s="24" t="str">
        <f aca="false">IFERROR(INDEX(Positions!$E$2:$E$6912,MATCH($A1311&amp;"|8",Positions!$A$2:$A$6912,0)),"-")</f>
        <v>U</v>
      </c>
      <c r="G1311" s="24" t="str">
        <f aca="false">IFERROR(INDEX(Positions!$E$2:$E$6912,MATCH($A1311&amp;"|14",Positions!$A$2:$A$6912,0)),"-")</f>
        <v>A</v>
      </c>
      <c r="H1311" s="25" t="str">
        <f aca="false">F1311&amp;"-"&amp;G1311</f>
        <v>U-A</v>
      </c>
      <c r="I1311" s="24" t="n">
        <f aca="false">(F1311="G")+(G1311="G")</f>
        <v>0</v>
      </c>
      <c r="J1311" s="24" t="n">
        <f aca="false">(F1311="C")+(G1311="C")</f>
        <v>0</v>
      </c>
      <c r="K1311" s="25" t="n">
        <f aca="false">I1311+J1311</f>
        <v>0</v>
      </c>
    </row>
    <row r="1312" customFormat="false" ht="15" hidden="false" customHeight="false" outlineLevel="0" collapsed="false">
      <c r="A1312" s="24" t="s">
        <v>83</v>
      </c>
      <c r="B1312" s="24" t="s">
        <v>530</v>
      </c>
      <c r="C1312" s="24" t="s">
        <v>532</v>
      </c>
      <c r="D1312" s="24" t="n">
        <f aca="false">IFERROR(INDEX(Positions!$D$2:$D$6912,MATCH($A1312&amp;"|15",Positions!$A$2:$A$6912,0)),"-")</f>
        <v>15</v>
      </c>
      <c r="E1312" s="24" t="n">
        <f aca="false">IFERROR(INDEX(Positions!$D$2:$D$6912,MATCH($A1312&amp;"|48",Positions!$A$2:$A$6912,0)),"-")</f>
        <v>47</v>
      </c>
      <c r="F1312" s="24" t="str">
        <f aca="false">IFERROR(INDEX(Positions!$E$2:$E$6912,MATCH($A1312&amp;"|15",Positions!$A$2:$A$6912,0)),"-")</f>
        <v>G</v>
      </c>
      <c r="G1312" s="24" t="str">
        <f aca="false">IFERROR(INDEX(Positions!$E$2:$E$6912,MATCH($A1312&amp;"|48",Positions!$A$2:$A$6912,0)),"-")</f>
        <v>C</v>
      </c>
      <c r="H1312" s="25" t="str">
        <f aca="false">F1312&amp;"-"&amp;G1312</f>
        <v>G-C</v>
      </c>
      <c r="I1312" s="24" t="n">
        <f aca="false">(F1312="G")+(G1312="G")</f>
        <v>1</v>
      </c>
      <c r="J1312" s="24" t="n">
        <f aca="false">(F1312="C")+(G1312="C")</f>
        <v>1</v>
      </c>
      <c r="K1312" s="25" t="n">
        <f aca="false">I1312+J1312</f>
        <v>2</v>
      </c>
    </row>
    <row r="1313" customFormat="false" ht="15" hidden="false" customHeight="false" outlineLevel="0" collapsed="false">
      <c r="A1313" s="24" t="s">
        <v>83</v>
      </c>
      <c r="B1313" s="24" t="s">
        <v>530</v>
      </c>
      <c r="C1313" s="24" t="s">
        <v>533</v>
      </c>
      <c r="D1313" s="24" t="n">
        <f aca="false">IFERROR(INDEX(Positions!$D$2:$D$6912,MATCH($A1313&amp;"|18",Positions!$A$2:$A$6912,0)),"-")</f>
        <v>17</v>
      </c>
      <c r="E1313" s="24" t="n">
        <f aca="false">IFERROR(INDEX(Positions!$D$2:$D$6912,MATCH($A1313&amp;"|55",Positions!$A$2:$A$6912,0)),"-")</f>
        <v>54</v>
      </c>
      <c r="F1313" s="24" t="str">
        <f aca="false">IFERROR(INDEX(Positions!$E$2:$E$6912,MATCH($A1313&amp;"|18",Positions!$A$2:$A$6912,0)),"-")</f>
        <v>G</v>
      </c>
      <c r="G1313" s="24" t="str">
        <f aca="false">IFERROR(INDEX(Positions!$E$2:$E$6912,MATCH($A1313&amp;"|55",Positions!$A$2:$A$6912,0)),"-")</f>
        <v>U</v>
      </c>
      <c r="H1313" s="25" t="str">
        <f aca="false">F1313&amp;"-"&amp;G1313</f>
        <v>G-U</v>
      </c>
      <c r="I1313" s="24" t="n">
        <f aca="false">(F1313="G")+(G1313="G")</f>
        <v>1</v>
      </c>
      <c r="J1313" s="24" t="n">
        <f aca="false">(F1313="C")+(G1313="C")</f>
        <v>0</v>
      </c>
      <c r="K1313" s="25" t="n">
        <f aca="false">I1313+J1313</f>
        <v>1</v>
      </c>
    </row>
    <row r="1314" customFormat="false" ht="15" hidden="false" customHeight="false" outlineLevel="0" collapsed="false">
      <c r="A1314" s="24" t="s">
        <v>83</v>
      </c>
      <c r="B1314" s="24" t="s">
        <v>530</v>
      </c>
      <c r="C1314" s="24" t="s">
        <v>534</v>
      </c>
      <c r="D1314" s="24" t="n">
        <f aca="false">IFERROR(INDEX(Positions!$D$2:$D$6912,MATCH($A1314&amp;"|19",Positions!$A$2:$A$6912,0)),"-")</f>
        <v>18</v>
      </c>
      <c r="E1314" s="24" t="n">
        <f aca="false">IFERROR(INDEX(Positions!$D$2:$D$6912,MATCH($A1314&amp;"|56",Positions!$A$2:$A$6912,0)),"-")</f>
        <v>55</v>
      </c>
      <c r="F1314" s="24" t="str">
        <f aca="false">IFERROR(INDEX(Positions!$E$2:$E$6912,MATCH($A1314&amp;"|19",Positions!$A$2:$A$6912,0)),"-")</f>
        <v>G</v>
      </c>
      <c r="G1314" s="24" t="str">
        <f aca="false">IFERROR(INDEX(Positions!$E$2:$E$6912,MATCH($A1314&amp;"|56",Positions!$A$2:$A$6912,0)),"-")</f>
        <v>C</v>
      </c>
      <c r="H1314" s="25" t="str">
        <f aca="false">F1314&amp;"-"&amp;G1314</f>
        <v>G-C</v>
      </c>
      <c r="I1314" s="24" t="n">
        <f aca="false">(F1314="G")+(G1314="G")</f>
        <v>1</v>
      </c>
      <c r="J1314" s="24" t="n">
        <f aca="false">(F1314="C")+(G1314="C")</f>
        <v>1</v>
      </c>
      <c r="K1314" s="25" t="n">
        <f aca="false">I1314+J1314</f>
        <v>2</v>
      </c>
    </row>
    <row r="1315" customFormat="false" ht="15" hidden="false" customHeight="false" outlineLevel="0" collapsed="false">
      <c r="A1315" s="24" t="s">
        <v>83</v>
      </c>
      <c r="B1315" s="24" t="s">
        <v>530</v>
      </c>
      <c r="C1315" s="24" t="s">
        <v>535</v>
      </c>
      <c r="D1315" s="24" t="n">
        <f aca="false">IFERROR(INDEX(Positions!$D$2:$D$6912,MATCH($A1315&amp;"|26",Positions!$A$2:$A$6912,0)),"-")</f>
        <v>25</v>
      </c>
      <c r="E1315" s="24" t="n">
        <f aca="false">IFERROR(INDEX(Positions!$D$2:$D$6912,MATCH($A1315&amp;"|44",Positions!$A$2:$A$6912,0)),"-")</f>
        <v>43</v>
      </c>
      <c r="F1315" s="24" t="str">
        <f aca="false">IFERROR(INDEX(Positions!$E$2:$E$6912,MATCH($A1315&amp;"|26",Positions!$A$2:$A$6912,0)),"-")</f>
        <v>G</v>
      </c>
      <c r="G1315" s="24" t="str">
        <f aca="false">IFERROR(INDEX(Positions!$E$2:$E$6912,MATCH($A1315&amp;"|44",Positions!$A$2:$A$6912,0)),"-")</f>
        <v>A</v>
      </c>
      <c r="H1315" s="25" t="str">
        <f aca="false">F1315&amp;"-"&amp;G1315</f>
        <v>G-A</v>
      </c>
      <c r="I1315" s="24" t="n">
        <f aca="false">(F1315="G")+(G1315="G")</f>
        <v>1</v>
      </c>
      <c r="J1315" s="24" t="n">
        <f aca="false">(F1315="C")+(G1315="C")</f>
        <v>0</v>
      </c>
      <c r="K1315" s="25" t="n">
        <f aca="false">I1315+J1315</f>
        <v>1</v>
      </c>
    </row>
    <row r="1316" customFormat="false" ht="15" hidden="false" customHeight="false" outlineLevel="0" collapsed="false">
      <c r="A1316" s="24" t="s">
        <v>83</v>
      </c>
      <c r="B1316" s="24" t="s">
        <v>530</v>
      </c>
      <c r="C1316" s="24" t="s">
        <v>536</v>
      </c>
      <c r="D1316" s="24" t="n">
        <f aca="false">IFERROR(INDEX(Positions!$D$2:$D$6912,MATCH($A1316&amp;"|32",Positions!$A$2:$A$6912,0)),"-")</f>
        <v>31</v>
      </c>
      <c r="E1316" s="24" t="n">
        <f aca="false">IFERROR(INDEX(Positions!$D$2:$D$6912,MATCH($A1316&amp;"|38",Positions!$A$2:$A$6912,0)),"-")</f>
        <v>37</v>
      </c>
      <c r="F1316" s="24" t="str">
        <f aca="false">IFERROR(INDEX(Positions!$E$2:$E$6912,MATCH($A1316&amp;"|32",Positions!$A$2:$A$6912,0)),"-")</f>
        <v>C</v>
      </c>
      <c r="G1316" s="24" t="str">
        <f aca="false">IFERROR(INDEX(Positions!$E$2:$E$6912,MATCH($A1316&amp;"|38",Positions!$A$2:$A$6912,0)),"-")</f>
        <v>A</v>
      </c>
      <c r="H1316" s="25" t="str">
        <f aca="false">F1316&amp;"-"&amp;G1316</f>
        <v>C-A</v>
      </c>
      <c r="I1316" s="24" t="n">
        <f aca="false">(F1316="G")+(G1316="G")</f>
        <v>0</v>
      </c>
      <c r="J1316" s="24" t="n">
        <f aca="false">(F1316="C")+(G1316="C")</f>
        <v>1</v>
      </c>
      <c r="K1316" s="25" t="n">
        <f aca="false">I1316+J1316</f>
        <v>1</v>
      </c>
    </row>
    <row r="1317" customFormat="false" ht="15" hidden="false" customHeight="false" outlineLevel="0" collapsed="false">
      <c r="A1317" s="24" t="s">
        <v>83</v>
      </c>
      <c r="B1317" s="24" t="s">
        <v>530</v>
      </c>
      <c r="C1317" s="24" t="s">
        <v>537</v>
      </c>
      <c r="D1317" s="24" t="n">
        <f aca="false">IFERROR(INDEX(Positions!$D$2:$D$6912,MATCH($A1317&amp;"|54",Positions!$A$2:$A$6912,0)),"-")</f>
        <v>53</v>
      </c>
      <c r="E1317" s="24" t="n">
        <f aca="false">IFERROR(INDEX(Positions!$D$2:$D$6912,MATCH($A1317&amp;"|58",Positions!$A$2:$A$6912,0)),"-")</f>
        <v>57</v>
      </c>
      <c r="F1317" s="24" t="str">
        <f aca="false">IFERROR(INDEX(Positions!$E$2:$E$6912,MATCH($A1317&amp;"|54",Positions!$A$2:$A$6912,0)),"-")</f>
        <v>A</v>
      </c>
      <c r="G1317" s="24" t="str">
        <f aca="false">IFERROR(INDEX(Positions!$E$2:$E$6912,MATCH($A1317&amp;"|58",Positions!$A$2:$A$6912,0)),"-")</f>
        <v>A</v>
      </c>
      <c r="H1317" s="25" t="str">
        <f aca="false">F1317&amp;"-"&amp;G1317</f>
        <v>A-A</v>
      </c>
      <c r="I1317" s="24" t="n">
        <f aca="false">(F1317="G")+(G1317="G")</f>
        <v>0</v>
      </c>
      <c r="J1317" s="24" t="n">
        <f aca="false">(F1317="C")+(G1317="C")</f>
        <v>0</v>
      </c>
      <c r="K1317" s="25" t="n">
        <f aca="false">I1317+J1317</f>
        <v>0</v>
      </c>
    </row>
    <row r="1318" customFormat="false" ht="15" hidden="false" customHeight="false" outlineLevel="0" collapsed="false">
      <c r="A1318" s="4" t="s">
        <v>84</v>
      </c>
      <c r="B1318" s="4" t="s">
        <v>412</v>
      </c>
      <c r="C1318" s="4" t="s">
        <v>517</v>
      </c>
      <c r="D1318" s="4" t="n">
        <f aca="false">IFERROR(INDEX(Positions!$D$2:$D$6912,MATCH($A1318&amp;"|1",Positions!$A$2:$A$6912,0)),"-")</f>
        <v>1</v>
      </c>
      <c r="E1318" s="4" t="n">
        <f aca="false">IFERROR(INDEX(Positions!$D$2:$D$6912,MATCH($A1318&amp;"|72",Positions!$A$2:$A$6912,0)),"-")</f>
        <v>72</v>
      </c>
      <c r="F1318" s="4" t="str">
        <f aca="false">IFERROR(INDEX(Positions!$E$2:$E$6912,MATCH($A1318&amp;"|1",Positions!$A$2:$A$6912,0)),"-")</f>
        <v>U</v>
      </c>
      <c r="G1318" s="4" t="str">
        <f aca="false">IFERROR(INDEX(Positions!$E$2:$E$6912,MATCH($A1318&amp;"|72",Positions!$A$2:$A$6912,0)),"-")</f>
        <v>A</v>
      </c>
      <c r="H1318" s="3" t="str">
        <f aca="false">F1318&amp;"-"&amp;G1318</f>
        <v>U-A</v>
      </c>
      <c r="I1318" s="4" t="n">
        <f aca="false">(F1318="G")+(G1318="G")</f>
        <v>0</v>
      </c>
      <c r="J1318" s="4" t="n">
        <f aca="false">(F1318="C")+(G1318="C")</f>
        <v>0</v>
      </c>
      <c r="K1318" s="3" t="n">
        <f aca="false">I1318+J1318</f>
        <v>0</v>
      </c>
    </row>
    <row r="1319" customFormat="false" ht="15" hidden="false" customHeight="false" outlineLevel="0" collapsed="false">
      <c r="A1319" s="4" t="s">
        <v>84</v>
      </c>
      <c r="B1319" s="4" t="s">
        <v>412</v>
      </c>
      <c r="C1319" s="4" t="s">
        <v>518</v>
      </c>
      <c r="D1319" s="4" t="n">
        <f aca="false">IFERROR(INDEX(Positions!$D$2:$D$6912,MATCH($A1319&amp;"|2",Positions!$A$2:$A$6912,0)),"-")</f>
        <v>2</v>
      </c>
      <c r="E1319" s="4" t="n">
        <f aca="false">IFERROR(INDEX(Positions!$D$2:$D$6912,MATCH($A1319&amp;"|71",Positions!$A$2:$A$6912,0)),"-")</f>
        <v>71</v>
      </c>
      <c r="F1319" s="4" t="str">
        <f aca="false">IFERROR(INDEX(Positions!$E$2:$E$6912,MATCH($A1319&amp;"|2",Positions!$A$2:$A$6912,0)),"-")</f>
        <v>C</v>
      </c>
      <c r="G1319" s="4" t="str">
        <f aca="false">IFERROR(INDEX(Positions!$E$2:$E$6912,MATCH($A1319&amp;"|71",Positions!$A$2:$A$6912,0)),"-")</f>
        <v>G</v>
      </c>
      <c r="H1319" s="3" t="str">
        <f aca="false">F1319&amp;"-"&amp;G1319</f>
        <v>C-G</v>
      </c>
      <c r="I1319" s="4" t="n">
        <f aca="false">(F1319="G")+(G1319="G")</f>
        <v>1</v>
      </c>
      <c r="J1319" s="4" t="n">
        <f aca="false">(F1319="C")+(G1319="C")</f>
        <v>1</v>
      </c>
      <c r="K1319" s="3" t="n">
        <f aca="false">I1319+J1319</f>
        <v>2</v>
      </c>
    </row>
    <row r="1320" customFormat="false" ht="15" hidden="false" customHeight="false" outlineLevel="0" collapsed="false">
      <c r="A1320" s="4" t="s">
        <v>84</v>
      </c>
      <c r="B1320" s="4" t="s">
        <v>412</v>
      </c>
      <c r="C1320" s="4" t="s">
        <v>386</v>
      </c>
      <c r="D1320" s="4" t="n">
        <f aca="false">IFERROR(INDEX(Positions!$D$2:$D$6912,MATCH($A1320&amp;"|3",Positions!$A$2:$A$6912,0)),"-")</f>
        <v>3</v>
      </c>
      <c r="E1320" s="4" t="n">
        <f aca="false">IFERROR(INDEX(Positions!$D$2:$D$6912,MATCH($A1320&amp;"|70",Positions!$A$2:$A$6912,0)),"-")</f>
        <v>70</v>
      </c>
      <c r="F1320" s="4" t="str">
        <f aca="false">IFERROR(INDEX(Positions!$E$2:$E$6912,MATCH($A1320&amp;"|3",Positions!$A$2:$A$6912,0)),"-")</f>
        <v>C</v>
      </c>
      <c r="G1320" s="4" t="str">
        <f aca="false">IFERROR(INDEX(Positions!$E$2:$E$6912,MATCH($A1320&amp;"|70",Positions!$A$2:$A$6912,0)),"-")</f>
        <v>G</v>
      </c>
      <c r="H1320" s="3" t="str">
        <f aca="false">F1320&amp;"-"&amp;G1320</f>
        <v>C-G</v>
      </c>
      <c r="I1320" s="4" t="n">
        <f aca="false">(F1320="G")+(G1320="G")</f>
        <v>1</v>
      </c>
      <c r="J1320" s="4" t="n">
        <f aca="false">(F1320="C")+(G1320="C")</f>
        <v>1</v>
      </c>
      <c r="K1320" s="3" t="n">
        <f aca="false">I1320+J1320</f>
        <v>2</v>
      </c>
    </row>
    <row r="1321" customFormat="false" ht="15" hidden="false" customHeight="false" outlineLevel="0" collapsed="false">
      <c r="A1321" s="4" t="s">
        <v>84</v>
      </c>
      <c r="B1321" s="4" t="s">
        <v>412</v>
      </c>
      <c r="C1321" s="4" t="s">
        <v>519</v>
      </c>
      <c r="D1321" s="4" t="n">
        <f aca="false">IFERROR(INDEX(Positions!$D$2:$D$6912,MATCH($A1321&amp;"|4",Positions!$A$2:$A$6912,0)),"-")</f>
        <v>4</v>
      </c>
      <c r="E1321" s="4" t="n">
        <f aca="false">IFERROR(INDEX(Positions!$D$2:$D$6912,MATCH($A1321&amp;"|69",Positions!$A$2:$A$6912,0)),"-")</f>
        <v>69</v>
      </c>
      <c r="F1321" s="4" t="str">
        <f aca="false">IFERROR(INDEX(Positions!$E$2:$E$6912,MATCH($A1321&amp;"|4",Positions!$A$2:$A$6912,0)),"-")</f>
        <v>C</v>
      </c>
      <c r="G1321" s="4" t="str">
        <f aca="false">IFERROR(INDEX(Positions!$E$2:$E$6912,MATCH($A1321&amp;"|69",Positions!$A$2:$A$6912,0)),"-")</f>
        <v>G</v>
      </c>
      <c r="H1321" s="3" t="str">
        <f aca="false">F1321&amp;"-"&amp;G1321</f>
        <v>C-G</v>
      </c>
      <c r="I1321" s="4" t="n">
        <f aca="false">(F1321="G")+(G1321="G")</f>
        <v>1</v>
      </c>
      <c r="J1321" s="4" t="n">
        <f aca="false">(F1321="C")+(G1321="C")</f>
        <v>1</v>
      </c>
      <c r="K1321" s="3" t="n">
        <f aca="false">I1321+J1321</f>
        <v>2</v>
      </c>
    </row>
    <row r="1322" customFormat="false" ht="15" hidden="false" customHeight="false" outlineLevel="0" collapsed="false">
      <c r="A1322" s="4" t="s">
        <v>84</v>
      </c>
      <c r="B1322" s="4" t="s">
        <v>412</v>
      </c>
      <c r="C1322" s="4" t="s">
        <v>283</v>
      </c>
      <c r="D1322" s="4" t="n">
        <f aca="false">IFERROR(INDEX(Positions!$D$2:$D$6912,MATCH($A1322&amp;"|5",Positions!$A$2:$A$6912,0)),"-")</f>
        <v>5</v>
      </c>
      <c r="E1322" s="4" t="n">
        <f aca="false">IFERROR(INDEX(Positions!$D$2:$D$6912,MATCH($A1322&amp;"|68",Positions!$A$2:$A$6912,0)),"-")</f>
        <v>68</v>
      </c>
      <c r="F1322" s="4" t="str">
        <f aca="false">IFERROR(INDEX(Positions!$E$2:$E$6912,MATCH($A1322&amp;"|5",Positions!$A$2:$A$6912,0)),"-")</f>
        <v>G</v>
      </c>
      <c r="G1322" s="4" t="str">
        <f aca="false">IFERROR(INDEX(Positions!$E$2:$E$6912,MATCH($A1322&amp;"|68",Positions!$A$2:$A$6912,0)),"-")</f>
        <v>C</v>
      </c>
      <c r="H1322" s="3" t="str">
        <f aca="false">F1322&amp;"-"&amp;G1322</f>
        <v>G-C</v>
      </c>
      <c r="I1322" s="4" t="n">
        <f aca="false">(F1322="G")+(G1322="G")</f>
        <v>1</v>
      </c>
      <c r="J1322" s="4" t="n">
        <f aca="false">(F1322="C")+(G1322="C")</f>
        <v>1</v>
      </c>
      <c r="K1322" s="3" t="n">
        <f aca="false">I1322+J1322</f>
        <v>2</v>
      </c>
    </row>
    <row r="1323" customFormat="false" ht="15" hidden="false" customHeight="false" outlineLevel="0" collapsed="false">
      <c r="A1323" s="4" t="s">
        <v>84</v>
      </c>
      <c r="B1323" s="4" t="s">
        <v>412</v>
      </c>
      <c r="C1323" s="4" t="s">
        <v>520</v>
      </c>
      <c r="D1323" s="4" t="n">
        <f aca="false">IFERROR(INDEX(Positions!$D$2:$D$6912,MATCH($A1323&amp;"|6",Positions!$A$2:$A$6912,0)),"-")</f>
        <v>6</v>
      </c>
      <c r="E1323" s="4" t="n">
        <f aca="false">IFERROR(INDEX(Positions!$D$2:$D$6912,MATCH($A1323&amp;"|67",Positions!$A$2:$A$6912,0)),"-")</f>
        <v>67</v>
      </c>
      <c r="F1323" s="4" t="str">
        <f aca="false">IFERROR(INDEX(Positions!$E$2:$E$6912,MATCH($A1323&amp;"|6",Positions!$A$2:$A$6912,0)),"-")</f>
        <v>U</v>
      </c>
      <c r="G1323" s="4" t="str">
        <f aca="false">IFERROR(INDEX(Positions!$E$2:$E$6912,MATCH($A1323&amp;"|67",Positions!$A$2:$A$6912,0)),"-")</f>
        <v>A</v>
      </c>
      <c r="H1323" s="3" t="str">
        <f aca="false">F1323&amp;"-"&amp;G1323</f>
        <v>U-A</v>
      </c>
      <c r="I1323" s="4" t="n">
        <f aca="false">(F1323="G")+(G1323="G")</f>
        <v>0</v>
      </c>
      <c r="J1323" s="4" t="n">
        <f aca="false">(F1323="C")+(G1323="C")</f>
        <v>0</v>
      </c>
      <c r="K1323" s="3" t="n">
        <f aca="false">I1323+J1323</f>
        <v>0</v>
      </c>
    </row>
    <row r="1324" customFormat="false" ht="15" hidden="false" customHeight="false" outlineLevel="0" collapsed="false">
      <c r="A1324" s="4" t="s">
        <v>84</v>
      </c>
      <c r="B1324" s="4" t="s">
        <v>412</v>
      </c>
      <c r="C1324" s="4" t="s">
        <v>521</v>
      </c>
      <c r="D1324" s="4" t="n">
        <f aca="false">IFERROR(INDEX(Positions!$D$2:$D$6912,MATCH($A1324&amp;"|7",Positions!$A$2:$A$6912,0)),"-")</f>
        <v>7</v>
      </c>
      <c r="E1324" s="4" t="n">
        <f aca="false">IFERROR(INDEX(Positions!$D$2:$D$6912,MATCH($A1324&amp;"|66",Positions!$A$2:$A$6912,0)),"-")</f>
        <v>66</v>
      </c>
      <c r="F1324" s="4" t="str">
        <f aca="false">IFERROR(INDEX(Positions!$E$2:$E$6912,MATCH($A1324&amp;"|7",Positions!$A$2:$A$6912,0)),"-")</f>
        <v>C</v>
      </c>
      <c r="G1324" s="4" t="str">
        <f aca="false">IFERROR(INDEX(Positions!$E$2:$E$6912,MATCH($A1324&amp;"|66",Positions!$A$2:$A$6912,0)),"-")</f>
        <v>G</v>
      </c>
      <c r="H1324" s="3" t="str">
        <f aca="false">F1324&amp;"-"&amp;G1324</f>
        <v>C-G</v>
      </c>
      <c r="I1324" s="4" t="n">
        <f aca="false">(F1324="G")+(G1324="G")</f>
        <v>1</v>
      </c>
      <c r="J1324" s="4" t="n">
        <f aca="false">(F1324="C")+(G1324="C")</f>
        <v>1</v>
      </c>
      <c r="K1324" s="3" t="n">
        <f aca="false">I1324+J1324</f>
        <v>2</v>
      </c>
    </row>
    <row r="1325" customFormat="false" ht="15" hidden="false" customHeight="false" outlineLevel="0" collapsed="false">
      <c r="A1325" s="4" t="s">
        <v>84</v>
      </c>
      <c r="B1325" s="4" t="s">
        <v>425</v>
      </c>
      <c r="C1325" s="4" t="s">
        <v>522</v>
      </c>
      <c r="D1325" s="4" t="n">
        <f aca="false">IFERROR(INDEX(Positions!$D$2:$D$6912,MATCH($A1325&amp;"|10",Positions!$A$2:$A$6912,0)),"-")</f>
        <v>10</v>
      </c>
      <c r="E1325" s="4" t="n">
        <f aca="false">IFERROR(INDEX(Positions!$D$2:$D$6912,MATCH($A1325&amp;"|25",Positions!$A$2:$A$6912,0)),"-")</f>
        <v>25</v>
      </c>
      <c r="F1325" s="4" t="str">
        <f aca="false">IFERROR(INDEX(Positions!$E$2:$E$6912,MATCH($A1325&amp;"|10",Positions!$A$2:$A$6912,0)),"-")</f>
        <v>G</v>
      </c>
      <c r="G1325" s="4" t="str">
        <f aca="false">IFERROR(INDEX(Positions!$E$2:$E$6912,MATCH($A1325&amp;"|25",Positions!$A$2:$A$6912,0)),"-")</f>
        <v>U</v>
      </c>
      <c r="H1325" s="3" t="str">
        <f aca="false">F1325&amp;"-"&amp;G1325</f>
        <v>G-U</v>
      </c>
      <c r="I1325" s="4" t="n">
        <f aca="false">(F1325="G")+(G1325="G")</f>
        <v>1</v>
      </c>
      <c r="J1325" s="4" t="n">
        <f aca="false">(F1325="C")+(G1325="C")</f>
        <v>0</v>
      </c>
      <c r="K1325" s="3" t="n">
        <f aca="false">I1325+J1325</f>
        <v>1</v>
      </c>
    </row>
    <row r="1326" customFormat="false" ht="15" hidden="false" customHeight="false" outlineLevel="0" collapsed="false">
      <c r="A1326" s="4" t="s">
        <v>84</v>
      </c>
      <c r="B1326" s="4" t="s">
        <v>425</v>
      </c>
      <c r="C1326" s="4" t="s">
        <v>523</v>
      </c>
      <c r="D1326" s="4" t="n">
        <f aca="false">IFERROR(INDEX(Positions!$D$2:$D$6912,MATCH($A1326&amp;"|11",Positions!$A$2:$A$6912,0)),"-")</f>
        <v>11</v>
      </c>
      <c r="E1326" s="4" t="n">
        <f aca="false">IFERROR(INDEX(Positions!$D$2:$D$6912,MATCH($A1326&amp;"|24",Positions!$A$2:$A$6912,0)),"-")</f>
        <v>24</v>
      </c>
      <c r="F1326" s="4" t="str">
        <f aca="false">IFERROR(INDEX(Positions!$E$2:$E$6912,MATCH($A1326&amp;"|11",Positions!$A$2:$A$6912,0)),"-")</f>
        <v>U</v>
      </c>
      <c r="G1326" s="4" t="str">
        <f aca="false">IFERROR(INDEX(Positions!$E$2:$E$6912,MATCH($A1326&amp;"|24",Positions!$A$2:$A$6912,0)),"-")</f>
        <v>A</v>
      </c>
      <c r="H1326" s="3" t="str">
        <f aca="false">F1326&amp;"-"&amp;G1326</f>
        <v>U-A</v>
      </c>
      <c r="I1326" s="4" t="n">
        <f aca="false">(F1326="G")+(G1326="G")</f>
        <v>0</v>
      </c>
      <c r="J1326" s="4" t="n">
        <f aca="false">(F1326="C")+(G1326="C")</f>
        <v>0</v>
      </c>
      <c r="K1326" s="3" t="n">
        <f aca="false">I1326+J1326</f>
        <v>0</v>
      </c>
    </row>
    <row r="1327" customFormat="false" ht="15" hidden="false" customHeight="false" outlineLevel="0" collapsed="false">
      <c r="A1327" s="4" t="s">
        <v>84</v>
      </c>
      <c r="B1327" s="4" t="s">
        <v>425</v>
      </c>
      <c r="C1327" s="4" t="s">
        <v>250</v>
      </c>
      <c r="D1327" s="4" t="n">
        <f aca="false">IFERROR(INDEX(Positions!$D$2:$D$6912,MATCH($A1327&amp;"|12",Positions!$A$2:$A$6912,0)),"-")</f>
        <v>12</v>
      </c>
      <c r="E1327" s="4" t="n">
        <f aca="false">IFERROR(INDEX(Positions!$D$2:$D$6912,MATCH($A1327&amp;"|23",Positions!$A$2:$A$6912,0)),"-")</f>
        <v>23</v>
      </c>
      <c r="F1327" s="4" t="str">
        <f aca="false">IFERROR(INDEX(Positions!$E$2:$E$6912,MATCH($A1327&amp;"|12",Positions!$A$2:$A$6912,0)),"-")</f>
        <v>A</v>
      </c>
      <c r="G1327" s="4" t="str">
        <f aca="false">IFERROR(INDEX(Positions!$E$2:$E$6912,MATCH($A1327&amp;"|23",Positions!$A$2:$A$6912,0)),"-")</f>
        <v>U</v>
      </c>
      <c r="H1327" s="3" t="str">
        <f aca="false">F1327&amp;"-"&amp;G1327</f>
        <v>A-U</v>
      </c>
      <c r="I1327" s="4" t="n">
        <f aca="false">(F1327="G")+(G1327="G")</f>
        <v>0</v>
      </c>
      <c r="J1327" s="4" t="n">
        <f aca="false">(F1327="C")+(G1327="C")</f>
        <v>0</v>
      </c>
      <c r="K1327" s="3" t="n">
        <f aca="false">I1327+J1327</f>
        <v>0</v>
      </c>
    </row>
    <row r="1328" customFormat="false" ht="15" hidden="false" customHeight="false" outlineLevel="0" collapsed="false">
      <c r="A1328" s="4" t="s">
        <v>84</v>
      </c>
      <c r="B1328" s="4" t="s">
        <v>425</v>
      </c>
      <c r="C1328" s="4" t="s">
        <v>154</v>
      </c>
      <c r="D1328" s="4" t="n">
        <f aca="false">IFERROR(INDEX(Positions!$D$2:$D$6912,MATCH($A1328&amp;"|13",Positions!$A$2:$A$6912,0)),"-")</f>
        <v>13</v>
      </c>
      <c r="E1328" s="4" t="n">
        <f aca="false">IFERROR(INDEX(Positions!$D$2:$D$6912,MATCH($A1328&amp;"|22",Positions!$A$2:$A$6912,0)),"-")</f>
        <v>22</v>
      </c>
      <c r="F1328" s="4" t="str">
        <f aca="false">IFERROR(INDEX(Positions!$E$2:$E$6912,MATCH($A1328&amp;"|13",Positions!$A$2:$A$6912,0)),"-")</f>
        <v>U</v>
      </c>
      <c r="G1328" s="4" t="str">
        <f aca="false">IFERROR(INDEX(Positions!$E$2:$E$6912,MATCH($A1328&amp;"|22",Positions!$A$2:$A$6912,0)),"-")</f>
        <v>G</v>
      </c>
      <c r="H1328" s="3" t="str">
        <f aca="false">F1328&amp;"-"&amp;G1328</f>
        <v>U-G</v>
      </c>
      <c r="I1328" s="4" t="n">
        <f aca="false">(F1328="G")+(G1328="G")</f>
        <v>1</v>
      </c>
      <c r="J1328" s="4" t="n">
        <f aca="false">(F1328="C")+(G1328="C")</f>
        <v>0</v>
      </c>
      <c r="K1328" s="3" t="n">
        <f aca="false">I1328+J1328</f>
        <v>1</v>
      </c>
    </row>
    <row r="1329" customFormat="false" ht="15" hidden="false" customHeight="false" outlineLevel="0" collapsed="false">
      <c r="A1329" s="4" t="s">
        <v>84</v>
      </c>
      <c r="B1329" s="4" t="s">
        <v>446</v>
      </c>
      <c r="C1329" s="4" t="s">
        <v>524</v>
      </c>
      <c r="D1329" s="4" t="n">
        <f aca="false">IFERROR(INDEX(Positions!$D$2:$D$6912,MATCH($A1329&amp;"|27",Positions!$A$2:$A$6912,0)),"-")</f>
        <v>27</v>
      </c>
      <c r="E1329" s="4" t="n">
        <f aca="false">IFERROR(INDEX(Positions!$D$2:$D$6912,MATCH($A1329&amp;"|43",Positions!$A$2:$A$6912,0)),"-")</f>
        <v>43</v>
      </c>
      <c r="F1329" s="4" t="str">
        <f aca="false">IFERROR(INDEX(Positions!$E$2:$E$6912,MATCH($A1329&amp;"|27",Positions!$A$2:$A$6912,0)),"-")</f>
        <v>U</v>
      </c>
      <c r="G1329" s="4" t="str">
        <f aca="false">IFERROR(INDEX(Positions!$E$2:$E$6912,MATCH($A1329&amp;"|43",Positions!$A$2:$A$6912,0)),"-")</f>
        <v>G</v>
      </c>
      <c r="H1329" s="3" t="str">
        <f aca="false">F1329&amp;"-"&amp;G1329</f>
        <v>U-G</v>
      </c>
      <c r="I1329" s="4" t="n">
        <f aca="false">(F1329="G")+(G1329="G")</f>
        <v>1</v>
      </c>
      <c r="J1329" s="4" t="n">
        <f aca="false">(F1329="C")+(G1329="C")</f>
        <v>0</v>
      </c>
      <c r="K1329" s="3" t="n">
        <f aca="false">I1329+J1329</f>
        <v>1</v>
      </c>
    </row>
    <row r="1330" customFormat="false" ht="15" hidden="false" customHeight="false" outlineLevel="0" collapsed="false">
      <c r="A1330" s="4" t="s">
        <v>84</v>
      </c>
      <c r="B1330" s="4" t="s">
        <v>446</v>
      </c>
      <c r="C1330" s="4" t="s">
        <v>525</v>
      </c>
      <c r="D1330" s="4" t="n">
        <f aca="false">IFERROR(INDEX(Positions!$D$2:$D$6912,MATCH($A1330&amp;"|28",Positions!$A$2:$A$6912,0)),"-")</f>
        <v>28</v>
      </c>
      <c r="E1330" s="4" t="n">
        <f aca="false">IFERROR(INDEX(Positions!$D$2:$D$6912,MATCH($A1330&amp;"|42",Positions!$A$2:$A$6912,0)),"-")</f>
        <v>42</v>
      </c>
      <c r="F1330" s="4" t="str">
        <f aca="false">IFERROR(INDEX(Positions!$E$2:$E$6912,MATCH($A1330&amp;"|28",Positions!$A$2:$A$6912,0)),"-")</f>
        <v>C</v>
      </c>
      <c r="G1330" s="4" t="str">
        <f aca="false">IFERROR(INDEX(Positions!$E$2:$E$6912,MATCH($A1330&amp;"|42",Positions!$A$2:$A$6912,0)),"-")</f>
        <v>G</v>
      </c>
      <c r="H1330" s="3" t="str">
        <f aca="false">F1330&amp;"-"&amp;G1330</f>
        <v>C-G</v>
      </c>
      <c r="I1330" s="4" t="n">
        <f aca="false">(F1330="G")+(G1330="G")</f>
        <v>1</v>
      </c>
      <c r="J1330" s="4" t="n">
        <f aca="false">(F1330="C")+(G1330="C")</f>
        <v>1</v>
      </c>
      <c r="K1330" s="3" t="n">
        <f aca="false">I1330+J1330</f>
        <v>2</v>
      </c>
    </row>
    <row r="1331" customFormat="false" ht="15" hidden="false" customHeight="false" outlineLevel="0" collapsed="false">
      <c r="A1331" s="4" t="s">
        <v>84</v>
      </c>
      <c r="B1331" s="4" t="s">
        <v>446</v>
      </c>
      <c r="C1331" s="4" t="s">
        <v>256</v>
      </c>
      <c r="D1331" s="4" t="n">
        <f aca="false">IFERROR(INDEX(Positions!$D$2:$D$6912,MATCH($A1331&amp;"|29",Positions!$A$2:$A$6912,0)),"-")</f>
        <v>29</v>
      </c>
      <c r="E1331" s="4" t="n">
        <f aca="false">IFERROR(INDEX(Positions!$D$2:$D$6912,MATCH($A1331&amp;"|41",Positions!$A$2:$A$6912,0)),"-")</f>
        <v>41</v>
      </c>
      <c r="F1331" s="4" t="str">
        <f aca="false">IFERROR(INDEX(Positions!$E$2:$E$6912,MATCH($A1331&amp;"|29",Positions!$A$2:$A$6912,0)),"-")</f>
        <v>C</v>
      </c>
      <c r="G1331" s="4" t="str">
        <f aca="false">IFERROR(INDEX(Positions!$E$2:$E$6912,MATCH($A1331&amp;"|41",Positions!$A$2:$A$6912,0)),"-")</f>
        <v>G</v>
      </c>
      <c r="H1331" s="3" t="str">
        <f aca="false">F1331&amp;"-"&amp;G1331</f>
        <v>C-G</v>
      </c>
      <c r="I1331" s="4" t="n">
        <f aca="false">(F1331="G")+(G1331="G")</f>
        <v>1</v>
      </c>
      <c r="J1331" s="4" t="n">
        <f aca="false">(F1331="C")+(G1331="C")</f>
        <v>1</v>
      </c>
      <c r="K1331" s="3" t="n">
        <f aca="false">I1331+J1331</f>
        <v>2</v>
      </c>
    </row>
    <row r="1332" customFormat="false" ht="15" hidden="false" customHeight="false" outlineLevel="0" collapsed="false">
      <c r="A1332" s="4" t="s">
        <v>84</v>
      </c>
      <c r="B1332" s="4" t="s">
        <v>446</v>
      </c>
      <c r="C1332" s="4" t="s">
        <v>526</v>
      </c>
      <c r="D1332" s="4" t="n">
        <f aca="false">IFERROR(INDEX(Positions!$D$2:$D$6912,MATCH($A1332&amp;"|30",Positions!$A$2:$A$6912,0)),"-")</f>
        <v>30</v>
      </c>
      <c r="E1332" s="4" t="n">
        <f aca="false">IFERROR(INDEX(Positions!$D$2:$D$6912,MATCH($A1332&amp;"|40",Positions!$A$2:$A$6912,0)),"-")</f>
        <v>40</v>
      </c>
      <c r="F1332" s="4" t="str">
        <f aca="false">IFERROR(INDEX(Positions!$E$2:$E$6912,MATCH($A1332&amp;"|30",Positions!$A$2:$A$6912,0)),"-")</f>
        <v>G</v>
      </c>
      <c r="G1332" s="4" t="str">
        <f aca="false">IFERROR(INDEX(Positions!$E$2:$E$6912,MATCH($A1332&amp;"|40",Positions!$A$2:$A$6912,0)),"-")</f>
        <v>C</v>
      </c>
      <c r="H1332" s="3" t="str">
        <f aca="false">F1332&amp;"-"&amp;G1332</f>
        <v>G-C</v>
      </c>
      <c r="I1332" s="4" t="n">
        <f aca="false">(F1332="G")+(G1332="G")</f>
        <v>1</v>
      </c>
      <c r="J1332" s="4" t="n">
        <f aca="false">(F1332="C")+(G1332="C")</f>
        <v>1</v>
      </c>
      <c r="K1332" s="3" t="n">
        <f aca="false">I1332+J1332</f>
        <v>2</v>
      </c>
    </row>
    <row r="1333" customFormat="false" ht="15" hidden="false" customHeight="false" outlineLevel="0" collapsed="false">
      <c r="A1333" s="4" t="s">
        <v>84</v>
      </c>
      <c r="B1333" s="4" t="s">
        <v>446</v>
      </c>
      <c r="C1333" s="4" t="s">
        <v>273</v>
      </c>
      <c r="D1333" s="4" t="n">
        <f aca="false">IFERROR(INDEX(Positions!$D$2:$D$6912,MATCH($A1333&amp;"|31",Positions!$A$2:$A$6912,0)),"-")</f>
        <v>31</v>
      </c>
      <c r="E1333" s="4" t="n">
        <f aca="false">IFERROR(INDEX(Positions!$D$2:$D$6912,MATCH($A1333&amp;"|39",Positions!$A$2:$A$6912,0)),"-")</f>
        <v>39</v>
      </c>
      <c r="F1333" s="4" t="str">
        <f aca="false">IFERROR(INDEX(Positions!$E$2:$E$6912,MATCH($A1333&amp;"|31",Positions!$A$2:$A$6912,0)),"-")</f>
        <v>C</v>
      </c>
      <c r="G1333" s="4" t="str">
        <f aca="false">IFERROR(INDEX(Positions!$E$2:$E$6912,MATCH($A1333&amp;"|39",Positions!$A$2:$A$6912,0)),"-")</f>
        <v>G</v>
      </c>
      <c r="H1333" s="3" t="str">
        <f aca="false">F1333&amp;"-"&amp;G1333</f>
        <v>C-G</v>
      </c>
      <c r="I1333" s="4" t="n">
        <f aca="false">(F1333="G")+(G1333="G")</f>
        <v>1</v>
      </c>
      <c r="J1333" s="4" t="n">
        <f aca="false">(F1333="C")+(G1333="C")</f>
        <v>1</v>
      </c>
      <c r="K1333" s="3" t="n">
        <f aca="false">I1333+J1333</f>
        <v>2</v>
      </c>
    </row>
    <row r="1334" customFormat="false" ht="15" hidden="false" customHeight="false" outlineLevel="0" collapsed="false">
      <c r="A1334" s="4" t="s">
        <v>84</v>
      </c>
      <c r="B1334" s="4" t="s">
        <v>471</v>
      </c>
      <c r="C1334" s="4" t="s">
        <v>367</v>
      </c>
      <c r="D1334" s="4" t="n">
        <f aca="false">IFERROR(INDEX(Positions!$D$2:$D$6912,MATCH($A1334&amp;"|49",Positions!$A$2:$A$6912,0)),"-")</f>
        <v>49</v>
      </c>
      <c r="E1334" s="4" t="n">
        <f aca="false">IFERROR(INDEX(Positions!$D$2:$D$6912,MATCH($A1334&amp;"|65",Positions!$A$2:$A$6912,0)),"-")</f>
        <v>65</v>
      </c>
      <c r="F1334" s="4" t="str">
        <f aca="false">IFERROR(INDEX(Positions!$E$2:$E$6912,MATCH($A1334&amp;"|49",Positions!$A$2:$A$6912,0)),"-")</f>
        <v>C</v>
      </c>
      <c r="G1334" s="4" t="str">
        <f aca="false">IFERROR(INDEX(Positions!$E$2:$E$6912,MATCH($A1334&amp;"|65",Positions!$A$2:$A$6912,0)),"-")</f>
        <v>G</v>
      </c>
      <c r="H1334" s="3" t="str">
        <f aca="false">F1334&amp;"-"&amp;G1334</f>
        <v>C-G</v>
      </c>
      <c r="I1334" s="4" t="n">
        <f aca="false">(F1334="G")+(G1334="G")</f>
        <v>1</v>
      </c>
      <c r="J1334" s="4" t="n">
        <f aca="false">(F1334="C")+(G1334="C")</f>
        <v>1</v>
      </c>
      <c r="K1334" s="3" t="n">
        <f aca="false">I1334+J1334</f>
        <v>2</v>
      </c>
    </row>
    <row r="1335" customFormat="false" ht="15" hidden="false" customHeight="false" outlineLevel="0" collapsed="false">
      <c r="A1335" s="4" t="s">
        <v>84</v>
      </c>
      <c r="B1335" s="4" t="s">
        <v>471</v>
      </c>
      <c r="C1335" s="4" t="s">
        <v>233</v>
      </c>
      <c r="D1335" s="4" t="n">
        <f aca="false">IFERROR(INDEX(Positions!$D$2:$D$6912,MATCH($A1335&amp;"|50",Positions!$A$2:$A$6912,0)),"-")</f>
        <v>50</v>
      </c>
      <c r="E1335" s="4" t="n">
        <f aca="false">IFERROR(INDEX(Positions!$D$2:$D$6912,MATCH($A1335&amp;"|64",Positions!$A$2:$A$6912,0)),"-")</f>
        <v>64</v>
      </c>
      <c r="F1335" s="4" t="str">
        <f aca="false">IFERROR(INDEX(Positions!$E$2:$E$6912,MATCH($A1335&amp;"|50",Positions!$A$2:$A$6912,0)),"-")</f>
        <v>G</v>
      </c>
      <c r="G1335" s="4" t="str">
        <f aca="false">IFERROR(INDEX(Positions!$E$2:$E$6912,MATCH($A1335&amp;"|64",Positions!$A$2:$A$6912,0)),"-")</f>
        <v>C</v>
      </c>
      <c r="H1335" s="3" t="str">
        <f aca="false">F1335&amp;"-"&amp;G1335</f>
        <v>G-C</v>
      </c>
      <c r="I1335" s="4" t="n">
        <f aca="false">(F1335="G")+(G1335="G")</f>
        <v>1</v>
      </c>
      <c r="J1335" s="4" t="n">
        <f aca="false">(F1335="C")+(G1335="C")</f>
        <v>1</v>
      </c>
      <c r="K1335" s="3" t="n">
        <f aca="false">I1335+J1335</f>
        <v>2</v>
      </c>
    </row>
    <row r="1336" customFormat="false" ht="15" hidden="false" customHeight="false" outlineLevel="0" collapsed="false">
      <c r="A1336" s="4" t="s">
        <v>84</v>
      </c>
      <c r="B1336" s="4" t="s">
        <v>471</v>
      </c>
      <c r="C1336" s="4" t="s">
        <v>527</v>
      </c>
      <c r="D1336" s="4" t="n">
        <f aca="false">IFERROR(INDEX(Positions!$D$2:$D$6912,MATCH($A1336&amp;"|51",Positions!$A$2:$A$6912,0)),"-")</f>
        <v>51</v>
      </c>
      <c r="E1336" s="4" t="n">
        <f aca="false">IFERROR(INDEX(Positions!$D$2:$D$6912,MATCH($A1336&amp;"|63",Positions!$A$2:$A$6912,0)),"-")</f>
        <v>63</v>
      </c>
      <c r="F1336" s="4" t="str">
        <f aca="false">IFERROR(INDEX(Positions!$E$2:$E$6912,MATCH($A1336&amp;"|51",Positions!$A$2:$A$6912,0)),"-")</f>
        <v>G</v>
      </c>
      <c r="G1336" s="4" t="str">
        <f aca="false">IFERROR(INDEX(Positions!$E$2:$E$6912,MATCH($A1336&amp;"|63",Positions!$A$2:$A$6912,0)),"-")</f>
        <v>C</v>
      </c>
      <c r="H1336" s="3" t="str">
        <f aca="false">F1336&amp;"-"&amp;G1336</f>
        <v>G-C</v>
      </c>
      <c r="I1336" s="4" t="n">
        <f aca="false">(F1336="G")+(G1336="G")</f>
        <v>1</v>
      </c>
      <c r="J1336" s="4" t="n">
        <f aca="false">(F1336="C")+(G1336="C")</f>
        <v>1</v>
      </c>
      <c r="K1336" s="3" t="n">
        <f aca="false">I1336+J1336</f>
        <v>2</v>
      </c>
    </row>
    <row r="1337" customFormat="false" ht="15" hidden="false" customHeight="false" outlineLevel="0" collapsed="false">
      <c r="A1337" s="4" t="s">
        <v>84</v>
      </c>
      <c r="B1337" s="4" t="s">
        <v>471</v>
      </c>
      <c r="C1337" s="4" t="s">
        <v>528</v>
      </c>
      <c r="D1337" s="4" t="n">
        <f aca="false">IFERROR(INDEX(Positions!$D$2:$D$6912,MATCH($A1337&amp;"|52",Positions!$A$2:$A$6912,0)),"-")</f>
        <v>52</v>
      </c>
      <c r="E1337" s="4" t="n">
        <f aca="false">IFERROR(INDEX(Positions!$D$2:$D$6912,MATCH($A1337&amp;"|62",Positions!$A$2:$A$6912,0)),"-")</f>
        <v>62</v>
      </c>
      <c r="F1337" s="4" t="str">
        <f aca="false">IFERROR(INDEX(Positions!$E$2:$E$6912,MATCH($A1337&amp;"|52",Positions!$A$2:$A$6912,0)),"-")</f>
        <v>G</v>
      </c>
      <c r="G1337" s="4" t="str">
        <f aca="false">IFERROR(INDEX(Positions!$E$2:$E$6912,MATCH($A1337&amp;"|62",Positions!$A$2:$A$6912,0)),"-")</f>
        <v>C</v>
      </c>
      <c r="H1337" s="3" t="str">
        <f aca="false">F1337&amp;"-"&amp;G1337</f>
        <v>G-C</v>
      </c>
      <c r="I1337" s="4" t="n">
        <f aca="false">(F1337="G")+(G1337="G")</f>
        <v>1</v>
      </c>
      <c r="J1337" s="4" t="n">
        <f aca="false">(F1337="C")+(G1337="C")</f>
        <v>1</v>
      </c>
      <c r="K1337" s="3" t="n">
        <f aca="false">I1337+J1337</f>
        <v>2</v>
      </c>
    </row>
    <row r="1338" customFormat="false" ht="15" hidden="false" customHeight="false" outlineLevel="0" collapsed="false">
      <c r="A1338" s="4" t="s">
        <v>84</v>
      </c>
      <c r="B1338" s="4" t="s">
        <v>471</v>
      </c>
      <c r="C1338" s="4" t="s">
        <v>529</v>
      </c>
      <c r="D1338" s="4" t="n">
        <f aca="false">IFERROR(INDEX(Positions!$D$2:$D$6912,MATCH($A1338&amp;"|53",Positions!$A$2:$A$6912,0)),"-")</f>
        <v>53</v>
      </c>
      <c r="E1338" s="4" t="n">
        <f aca="false">IFERROR(INDEX(Positions!$D$2:$D$6912,MATCH($A1338&amp;"|61",Positions!$A$2:$A$6912,0)),"-")</f>
        <v>61</v>
      </c>
      <c r="F1338" s="4" t="str">
        <f aca="false">IFERROR(INDEX(Positions!$E$2:$E$6912,MATCH($A1338&amp;"|53",Positions!$A$2:$A$6912,0)),"-")</f>
        <v>G</v>
      </c>
      <c r="G1338" s="4" t="str">
        <f aca="false">IFERROR(INDEX(Positions!$E$2:$E$6912,MATCH($A1338&amp;"|61",Positions!$A$2:$A$6912,0)),"-")</f>
        <v>C</v>
      </c>
      <c r="H1338" s="3" t="str">
        <f aca="false">F1338&amp;"-"&amp;G1338</f>
        <v>G-C</v>
      </c>
      <c r="I1338" s="4" t="n">
        <f aca="false">(F1338="G")+(G1338="G")</f>
        <v>1</v>
      </c>
      <c r="J1338" s="4" t="n">
        <f aca="false">(F1338="C")+(G1338="C")</f>
        <v>1</v>
      </c>
      <c r="K1338" s="3" t="n">
        <f aca="false">I1338+J1338</f>
        <v>2</v>
      </c>
    </row>
    <row r="1339" customFormat="false" ht="15" hidden="false" customHeight="false" outlineLevel="0" collapsed="false">
      <c r="A1339" s="24" t="s">
        <v>84</v>
      </c>
      <c r="B1339" s="24" t="s">
        <v>530</v>
      </c>
      <c r="C1339" s="24" t="s">
        <v>531</v>
      </c>
      <c r="D1339" s="24" t="n">
        <f aca="false">IFERROR(INDEX(Positions!$D$2:$D$6912,MATCH($A1339&amp;"|8",Positions!$A$2:$A$6912,0)),"-")</f>
        <v>8</v>
      </c>
      <c r="E1339" s="24" t="n">
        <f aca="false">IFERROR(INDEX(Positions!$D$2:$D$6912,MATCH($A1339&amp;"|14",Positions!$A$2:$A$6912,0)),"-")</f>
        <v>14</v>
      </c>
      <c r="F1339" s="24" t="str">
        <f aca="false">IFERROR(INDEX(Positions!$E$2:$E$6912,MATCH($A1339&amp;"|8",Positions!$A$2:$A$6912,0)),"-")</f>
        <v>U</v>
      </c>
      <c r="G1339" s="24" t="str">
        <f aca="false">IFERROR(INDEX(Positions!$E$2:$E$6912,MATCH($A1339&amp;"|14",Positions!$A$2:$A$6912,0)),"-")</f>
        <v>A</v>
      </c>
      <c r="H1339" s="25" t="str">
        <f aca="false">F1339&amp;"-"&amp;G1339</f>
        <v>U-A</v>
      </c>
      <c r="I1339" s="24" t="n">
        <f aca="false">(F1339="G")+(G1339="G")</f>
        <v>0</v>
      </c>
      <c r="J1339" s="24" t="n">
        <f aca="false">(F1339="C")+(G1339="C")</f>
        <v>0</v>
      </c>
      <c r="K1339" s="25" t="n">
        <f aca="false">I1339+J1339</f>
        <v>0</v>
      </c>
    </row>
    <row r="1340" customFormat="false" ht="15" hidden="false" customHeight="false" outlineLevel="0" collapsed="false">
      <c r="A1340" s="24" t="s">
        <v>84</v>
      </c>
      <c r="B1340" s="24" t="s">
        <v>530</v>
      </c>
      <c r="C1340" s="24" t="s">
        <v>532</v>
      </c>
      <c r="D1340" s="24" t="n">
        <f aca="false">IFERROR(INDEX(Positions!$D$2:$D$6912,MATCH($A1340&amp;"|15",Positions!$A$2:$A$6912,0)),"-")</f>
        <v>15</v>
      </c>
      <c r="E1340" s="24" t="n">
        <f aca="false">IFERROR(INDEX(Positions!$D$2:$D$6912,MATCH($A1340&amp;"|48",Positions!$A$2:$A$6912,0)),"-")</f>
        <v>48</v>
      </c>
      <c r="F1340" s="24" t="str">
        <f aca="false">IFERROR(INDEX(Positions!$E$2:$E$6912,MATCH($A1340&amp;"|15",Positions!$A$2:$A$6912,0)),"-")</f>
        <v>G</v>
      </c>
      <c r="G1340" s="24" t="str">
        <f aca="false">IFERROR(INDEX(Positions!$E$2:$E$6912,MATCH($A1340&amp;"|48",Positions!$A$2:$A$6912,0)),"-")</f>
        <v>C</v>
      </c>
      <c r="H1340" s="25" t="str">
        <f aca="false">F1340&amp;"-"&amp;G1340</f>
        <v>G-C</v>
      </c>
      <c r="I1340" s="24" t="n">
        <f aca="false">(F1340="G")+(G1340="G")</f>
        <v>1</v>
      </c>
      <c r="J1340" s="24" t="n">
        <f aca="false">(F1340="C")+(G1340="C")</f>
        <v>1</v>
      </c>
      <c r="K1340" s="25" t="n">
        <f aca="false">I1340+J1340</f>
        <v>2</v>
      </c>
    </row>
    <row r="1341" customFormat="false" ht="15" hidden="false" customHeight="false" outlineLevel="0" collapsed="false">
      <c r="A1341" s="24" t="s">
        <v>84</v>
      </c>
      <c r="B1341" s="24" t="s">
        <v>530</v>
      </c>
      <c r="C1341" s="24" t="s">
        <v>533</v>
      </c>
      <c r="D1341" s="24" t="n">
        <f aca="false">IFERROR(INDEX(Positions!$D$2:$D$6912,MATCH($A1341&amp;"|18",Positions!$A$2:$A$6912,0)),"-")</f>
        <v>17</v>
      </c>
      <c r="E1341" s="24" t="n">
        <f aca="false">IFERROR(INDEX(Positions!$D$2:$D$6912,MATCH($A1341&amp;"|55",Positions!$A$2:$A$6912,0)),"-")</f>
        <v>55</v>
      </c>
      <c r="F1341" s="24" t="str">
        <f aca="false">IFERROR(INDEX(Positions!$E$2:$E$6912,MATCH($A1341&amp;"|18",Positions!$A$2:$A$6912,0)),"-")</f>
        <v>G</v>
      </c>
      <c r="G1341" s="24" t="str">
        <f aca="false">IFERROR(INDEX(Positions!$E$2:$E$6912,MATCH($A1341&amp;"|55",Positions!$A$2:$A$6912,0)),"-")</f>
        <v>U</v>
      </c>
      <c r="H1341" s="25" t="str">
        <f aca="false">F1341&amp;"-"&amp;G1341</f>
        <v>G-U</v>
      </c>
      <c r="I1341" s="24" t="n">
        <f aca="false">(F1341="G")+(G1341="G")</f>
        <v>1</v>
      </c>
      <c r="J1341" s="24" t="n">
        <f aca="false">(F1341="C")+(G1341="C")</f>
        <v>0</v>
      </c>
      <c r="K1341" s="25" t="n">
        <f aca="false">I1341+J1341</f>
        <v>1</v>
      </c>
    </row>
    <row r="1342" customFormat="false" ht="15" hidden="false" customHeight="false" outlineLevel="0" collapsed="false">
      <c r="A1342" s="24" t="s">
        <v>84</v>
      </c>
      <c r="B1342" s="24" t="s">
        <v>530</v>
      </c>
      <c r="C1342" s="24" t="s">
        <v>534</v>
      </c>
      <c r="D1342" s="24" t="n">
        <f aca="false">IFERROR(INDEX(Positions!$D$2:$D$6912,MATCH($A1342&amp;"|19",Positions!$A$2:$A$6912,0)),"-")</f>
        <v>18</v>
      </c>
      <c r="E1342" s="24" t="n">
        <f aca="false">IFERROR(INDEX(Positions!$D$2:$D$6912,MATCH($A1342&amp;"|56",Positions!$A$2:$A$6912,0)),"-")</f>
        <v>56</v>
      </c>
      <c r="F1342" s="24" t="str">
        <f aca="false">IFERROR(INDEX(Positions!$E$2:$E$6912,MATCH($A1342&amp;"|19",Positions!$A$2:$A$6912,0)),"-")</f>
        <v>G</v>
      </c>
      <c r="G1342" s="24" t="str">
        <f aca="false">IFERROR(INDEX(Positions!$E$2:$E$6912,MATCH($A1342&amp;"|56",Positions!$A$2:$A$6912,0)),"-")</f>
        <v>C</v>
      </c>
      <c r="H1342" s="25" t="str">
        <f aca="false">F1342&amp;"-"&amp;G1342</f>
        <v>G-C</v>
      </c>
      <c r="I1342" s="24" t="n">
        <f aca="false">(F1342="G")+(G1342="G")</f>
        <v>1</v>
      </c>
      <c r="J1342" s="24" t="n">
        <f aca="false">(F1342="C")+(G1342="C")</f>
        <v>1</v>
      </c>
      <c r="K1342" s="25" t="n">
        <f aca="false">I1342+J1342</f>
        <v>2</v>
      </c>
    </row>
    <row r="1343" customFormat="false" ht="15" hidden="false" customHeight="false" outlineLevel="0" collapsed="false">
      <c r="A1343" s="24" t="s">
        <v>84</v>
      </c>
      <c r="B1343" s="24" t="s">
        <v>530</v>
      </c>
      <c r="C1343" s="24" t="s">
        <v>535</v>
      </c>
      <c r="D1343" s="24" t="n">
        <f aca="false">IFERROR(INDEX(Positions!$D$2:$D$6912,MATCH($A1343&amp;"|26",Positions!$A$2:$A$6912,0)),"-")</f>
        <v>26</v>
      </c>
      <c r="E1343" s="24" t="n">
        <f aca="false">IFERROR(INDEX(Positions!$D$2:$D$6912,MATCH($A1343&amp;"|44",Positions!$A$2:$A$6912,0)),"-")</f>
        <v>44</v>
      </c>
      <c r="F1343" s="24" t="str">
        <f aca="false">IFERROR(INDEX(Positions!$E$2:$E$6912,MATCH($A1343&amp;"|26",Positions!$A$2:$A$6912,0)),"-")</f>
        <v>A</v>
      </c>
      <c r="G1343" s="24" t="str">
        <f aca="false">IFERROR(INDEX(Positions!$E$2:$E$6912,MATCH($A1343&amp;"|44",Positions!$A$2:$A$6912,0)),"-")</f>
        <v>A</v>
      </c>
      <c r="H1343" s="25" t="str">
        <f aca="false">F1343&amp;"-"&amp;G1343</f>
        <v>A-A</v>
      </c>
      <c r="I1343" s="24" t="n">
        <f aca="false">(F1343="G")+(G1343="G")</f>
        <v>0</v>
      </c>
      <c r="J1343" s="24" t="n">
        <f aca="false">(F1343="C")+(G1343="C")</f>
        <v>0</v>
      </c>
      <c r="K1343" s="25" t="n">
        <f aca="false">I1343+J1343</f>
        <v>0</v>
      </c>
    </row>
    <row r="1344" customFormat="false" ht="15" hidden="false" customHeight="false" outlineLevel="0" collapsed="false">
      <c r="A1344" s="24" t="s">
        <v>84</v>
      </c>
      <c r="B1344" s="24" t="s">
        <v>530</v>
      </c>
      <c r="C1344" s="24" t="s">
        <v>536</v>
      </c>
      <c r="D1344" s="24" t="n">
        <f aca="false">IFERROR(INDEX(Positions!$D$2:$D$6912,MATCH($A1344&amp;"|32",Positions!$A$2:$A$6912,0)),"-")</f>
        <v>32</v>
      </c>
      <c r="E1344" s="24" t="n">
        <f aca="false">IFERROR(INDEX(Positions!$D$2:$D$6912,MATCH($A1344&amp;"|38",Positions!$A$2:$A$6912,0)),"-")</f>
        <v>38</v>
      </c>
      <c r="F1344" s="24" t="str">
        <f aca="false">IFERROR(INDEX(Positions!$E$2:$E$6912,MATCH($A1344&amp;"|32",Positions!$A$2:$A$6912,0)),"-")</f>
        <v>C</v>
      </c>
      <c r="G1344" s="24" t="str">
        <f aca="false">IFERROR(INDEX(Positions!$E$2:$E$6912,MATCH($A1344&amp;"|38",Positions!$A$2:$A$6912,0)),"-")</f>
        <v>C</v>
      </c>
      <c r="H1344" s="25" t="str">
        <f aca="false">F1344&amp;"-"&amp;G1344</f>
        <v>C-C</v>
      </c>
      <c r="I1344" s="24" t="n">
        <f aca="false">(F1344="G")+(G1344="G")</f>
        <v>0</v>
      </c>
      <c r="J1344" s="24" t="n">
        <f aca="false">(F1344="C")+(G1344="C")</f>
        <v>2</v>
      </c>
      <c r="K1344" s="25" t="n">
        <f aca="false">I1344+J1344</f>
        <v>2</v>
      </c>
    </row>
    <row r="1345" customFormat="false" ht="15" hidden="false" customHeight="false" outlineLevel="0" collapsed="false">
      <c r="A1345" s="24" t="s">
        <v>84</v>
      </c>
      <c r="B1345" s="24" t="s">
        <v>530</v>
      </c>
      <c r="C1345" s="24" t="s">
        <v>537</v>
      </c>
      <c r="D1345" s="24" t="n">
        <f aca="false">IFERROR(INDEX(Positions!$D$2:$D$6912,MATCH($A1345&amp;"|54",Positions!$A$2:$A$6912,0)),"-")</f>
        <v>54</v>
      </c>
      <c r="E1345" s="24" t="n">
        <f aca="false">IFERROR(INDEX(Positions!$D$2:$D$6912,MATCH($A1345&amp;"|58",Positions!$A$2:$A$6912,0)),"-")</f>
        <v>58</v>
      </c>
      <c r="F1345" s="24" t="str">
        <f aca="false">IFERROR(INDEX(Positions!$E$2:$E$6912,MATCH($A1345&amp;"|54",Positions!$A$2:$A$6912,0)),"-")</f>
        <v>U</v>
      </c>
      <c r="G1345" s="24" t="str">
        <f aca="false">IFERROR(INDEX(Positions!$E$2:$E$6912,MATCH($A1345&amp;"|58",Positions!$A$2:$A$6912,0)),"-")</f>
        <v>A</v>
      </c>
      <c r="H1345" s="25" t="str">
        <f aca="false">F1345&amp;"-"&amp;G1345</f>
        <v>U-A</v>
      </c>
      <c r="I1345" s="24" t="n">
        <f aca="false">(F1345="G")+(G1345="G")</f>
        <v>0</v>
      </c>
      <c r="J1345" s="24" t="n">
        <f aca="false">(F1345="C")+(G1345="C")</f>
        <v>0</v>
      </c>
      <c r="K1345" s="25" t="n">
        <f aca="false">I1345+J1345</f>
        <v>0</v>
      </c>
    </row>
    <row r="1346" customFormat="false" ht="15" hidden="false" customHeight="false" outlineLevel="0" collapsed="false">
      <c r="A1346" s="4" t="s">
        <v>85</v>
      </c>
      <c r="B1346" s="4" t="s">
        <v>412</v>
      </c>
      <c r="C1346" s="4" t="s">
        <v>517</v>
      </c>
      <c r="D1346" s="4" t="n">
        <f aca="false">IFERROR(INDEX(Positions!$D$2:$D$6912,MATCH($A1346&amp;"|1",Positions!$A$2:$A$6912,0)),"-")</f>
        <v>1</v>
      </c>
      <c r="E1346" s="4" t="n">
        <f aca="false">IFERROR(INDEX(Positions!$D$2:$D$6912,MATCH($A1346&amp;"|72",Positions!$A$2:$A$6912,0)),"-")</f>
        <v>71</v>
      </c>
      <c r="F1346" s="4" t="str">
        <f aca="false">IFERROR(INDEX(Positions!$E$2:$E$6912,MATCH($A1346&amp;"|1",Positions!$A$2:$A$6912,0)),"-")</f>
        <v>A</v>
      </c>
      <c r="G1346" s="4" t="str">
        <f aca="false">IFERROR(INDEX(Positions!$E$2:$E$6912,MATCH($A1346&amp;"|72",Positions!$A$2:$A$6912,0)),"-")</f>
        <v>U</v>
      </c>
      <c r="H1346" s="3" t="str">
        <f aca="false">F1346&amp;"-"&amp;G1346</f>
        <v>A-U</v>
      </c>
      <c r="I1346" s="4" t="n">
        <f aca="false">(F1346="G")+(G1346="G")</f>
        <v>0</v>
      </c>
      <c r="J1346" s="4" t="n">
        <f aca="false">(F1346="C")+(G1346="C")</f>
        <v>0</v>
      </c>
      <c r="K1346" s="3" t="n">
        <f aca="false">I1346+J1346</f>
        <v>0</v>
      </c>
    </row>
    <row r="1347" customFormat="false" ht="15" hidden="false" customHeight="false" outlineLevel="0" collapsed="false">
      <c r="A1347" s="4" t="s">
        <v>85</v>
      </c>
      <c r="B1347" s="4" t="s">
        <v>412</v>
      </c>
      <c r="C1347" s="4" t="s">
        <v>518</v>
      </c>
      <c r="D1347" s="4" t="n">
        <f aca="false">IFERROR(INDEX(Positions!$D$2:$D$6912,MATCH($A1347&amp;"|2",Positions!$A$2:$A$6912,0)),"-")</f>
        <v>2</v>
      </c>
      <c r="E1347" s="4" t="n">
        <f aca="false">IFERROR(INDEX(Positions!$D$2:$D$6912,MATCH($A1347&amp;"|71",Positions!$A$2:$A$6912,0)),"-")</f>
        <v>70</v>
      </c>
      <c r="F1347" s="4" t="str">
        <f aca="false">IFERROR(INDEX(Positions!$E$2:$E$6912,MATCH($A1347&amp;"|2",Positions!$A$2:$A$6912,0)),"-")</f>
        <v>G</v>
      </c>
      <c r="G1347" s="4" t="str">
        <f aca="false">IFERROR(INDEX(Positions!$E$2:$E$6912,MATCH($A1347&amp;"|71",Positions!$A$2:$A$6912,0)),"-")</f>
        <v>C</v>
      </c>
      <c r="H1347" s="3" t="str">
        <f aca="false">F1347&amp;"-"&amp;G1347</f>
        <v>G-C</v>
      </c>
      <c r="I1347" s="4" t="n">
        <f aca="false">(F1347="G")+(G1347="G")</f>
        <v>1</v>
      </c>
      <c r="J1347" s="4" t="n">
        <f aca="false">(F1347="C")+(G1347="C")</f>
        <v>1</v>
      </c>
      <c r="K1347" s="3" t="n">
        <f aca="false">I1347+J1347</f>
        <v>2</v>
      </c>
    </row>
    <row r="1348" customFormat="false" ht="15" hidden="false" customHeight="false" outlineLevel="0" collapsed="false">
      <c r="A1348" s="4" t="s">
        <v>85</v>
      </c>
      <c r="B1348" s="4" t="s">
        <v>412</v>
      </c>
      <c r="C1348" s="4" t="s">
        <v>386</v>
      </c>
      <c r="D1348" s="4" t="n">
        <f aca="false">IFERROR(INDEX(Positions!$D$2:$D$6912,MATCH($A1348&amp;"|3",Positions!$A$2:$A$6912,0)),"-")</f>
        <v>3</v>
      </c>
      <c r="E1348" s="4" t="n">
        <f aca="false">IFERROR(INDEX(Positions!$D$2:$D$6912,MATCH($A1348&amp;"|70",Positions!$A$2:$A$6912,0)),"-")</f>
        <v>69</v>
      </c>
      <c r="F1348" s="4" t="str">
        <f aca="false">IFERROR(INDEX(Positions!$E$2:$E$6912,MATCH($A1348&amp;"|3",Positions!$A$2:$A$6912,0)),"-")</f>
        <v>C</v>
      </c>
      <c r="G1348" s="4" t="str">
        <f aca="false">IFERROR(INDEX(Positions!$E$2:$E$6912,MATCH($A1348&amp;"|70",Positions!$A$2:$A$6912,0)),"-")</f>
        <v>G</v>
      </c>
      <c r="H1348" s="3" t="str">
        <f aca="false">F1348&amp;"-"&amp;G1348</f>
        <v>C-G</v>
      </c>
      <c r="I1348" s="4" t="n">
        <f aca="false">(F1348="G")+(G1348="G")</f>
        <v>1</v>
      </c>
      <c r="J1348" s="4" t="n">
        <f aca="false">(F1348="C")+(G1348="C")</f>
        <v>1</v>
      </c>
      <c r="K1348" s="3" t="n">
        <f aca="false">I1348+J1348</f>
        <v>2</v>
      </c>
    </row>
    <row r="1349" customFormat="false" ht="15" hidden="false" customHeight="false" outlineLevel="0" collapsed="false">
      <c r="A1349" s="4" t="s">
        <v>85</v>
      </c>
      <c r="B1349" s="4" t="s">
        <v>412</v>
      </c>
      <c r="C1349" s="4" t="s">
        <v>519</v>
      </c>
      <c r="D1349" s="4" t="n">
        <f aca="false">IFERROR(INDEX(Positions!$D$2:$D$6912,MATCH($A1349&amp;"|4",Positions!$A$2:$A$6912,0)),"-")</f>
        <v>4</v>
      </c>
      <c r="E1349" s="4" t="n">
        <f aca="false">IFERROR(INDEX(Positions!$D$2:$D$6912,MATCH($A1349&amp;"|69",Positions!$A$2:$A$6912,0)),"-")</f>
        <v>68</v>
      </c>
      <c r="F1349" s="4" t="str">
        <f aca="false">IFERROR(INDEX(Positions!$E$2:$E$6912,MATCH($A1349&amp;"|4",Positions!$A$2:$A$6912,0)),"-")</f>
        <v>A</v>
      </c>
      <c r="G1349" s="4" t="str">
        <f aca="false">IFERROR(INDEX(Positions!$E$2:$E$6912,MATCH($A1349&amp;"|69",Positions!$A$2:$A$6912,0)),"-")</f>
        <v>U</v>
      </c>
      <c r="H1349" s="3" t="str">
        <f aca="false">F1349&amp;"-"&amp;G1349</f>
        <v>A-U</v>
      </c>
      <c r="I1349" s="4" t="n">
        <f aca="false">(F1349="G")+(G1349="G")</f>
        <v>0</v>
      </c>
      <c r="J1349" s="4" t="n">
        <f aca="false">(F1349="C")+(G1349="C")</f>
        <v>0</v>
      </c>
      <c r="K1349" s="3" t="n">
        <f aca="false">I1349+J1349</f>
        <v>0</v>
      </c>
    </row>
    <row r="1350" customFormat="false" ht="15" hidden="false" customHeight="false" outlineLevel="0" collapsed="false">
      <c r="A1350" s="4" t="s">
        <v>85</v>
      </c>
      <c r="B1350" s="4" t="s">
        <v>412</v>
      </c>
      <c r="C1350" s="4" t="s">
        <v>283</v>
      </c>
      <c r="D1350" s="4" t="n">
        <f aca="false">IFERROR(INDEX(Positions!$D$2:$D$6912,MATCH($A1350&amp;"|5",Positions!$A$2:$A$6912,0)),"-")</f>
        <v>5</v>
      </c>
      <c r="E1350" s="4" t="n">
        <f aca="false">IFERROR(INDEX(Positions!$D$2:$D$6912,MATCH($A1350&amp;"|68",Positions!$A$2:$A$6912,0)),"-")</f>
        <v>67</v>
      </c>
      <c r="F1350" s="4" t="str">
        <f aca="false">IFERROR(INDEX(Positions!$E$2:$E$6912,MATCH($A1350&amp;"|5",Positions!$A$2:$A$6912,0)),"-")</f>
        <v>G</v>
      </c>
      <c r="G1350" s="4" t="str">
        <f aca="false">IFERROR(INDEX(Positions!$E$2:$E$6912,MATCH($A1350&amp;"|68",Positions!$A$2:$A$6912,0)),"-")</f>
        <v>C</v>
      </c>
      <c r="H1350" s="3" t="str">
        <f aca="false">F1350&amp;"-"&amp;G1350</f>
        <v>G-C</v>
      </c>
      <c r="I1350" s="4" t="n">
        <f aca="false">(F1350="G")+(G1350="G")</f>
        <v>1</v>
      </c>
      <c r="J1350" s="4" t="n">
        <f aca="false">(F1350="C")+(G1350="C")</f>
        <v>1</v>
      </c>
      <c r="K1350" s="3" t="n">
        <f aca="false">I1350+J1350</f>
        <v>2</v>
      </c>
    </row>
    <row r="1351" customFormat="false" ht="15" hidden="false" customHeight="false" outlineLevel="0" collapsed="false">
      <c r="A1351" s="4" t="s">
        <v>85</v>
      </c>
      <c r="B1351" s="4" t="s">
        <v>412</v>
      </c>
      <c r="C1351" s="4" t="s">
        <v>520</v>
      </c>
      <c r="D1351" s="4" t="n">
        <f aca="false">IFERROR(INDEX(Positions!$D$2:$D$6912,MATCH($A1351&amp;"|6",Positions!$A$2:$A$6912,0)),"-")</f>
        <v>6</v>
      </c>
      <c r="E1351" s="4" t="n">
        <f aca="false">IFERROR(INDEX(Positions!$D$2:$D$6912,MATCH($A1351&amp;"|67",Positions!$A$2:$A$6912,0)),"-")</f>
        <v>66</v>
      </c>
      <c r="F1351" s="4" t="str">
        <f aca="false">IFERROR(INDEX(Positions!$E$2:$E$6912,MATCH($A1351&amp;"|6",Positions!$A$2:$A$6912,0)),"-")</f>
        <v>A</v>
      </c>
      <c r="G1351" s="4" t="str">
        <f aca="false">IFERROR(INDEX(Positions!$E$2:$E$6912,MATCH($A1351&amp;"|67",Positions!$A$2:$A$6912,0)),"-")</f>
        <v>U</v>
      </c>
      <c r="H1351" s="3" t="str">
        <f aca="false">F1351&amp;"-"&amp;G1351</f>
        <v>A-U</v>
      </c>
      <c r="I1351" s="4" t="n">
        <f aca="false">(F1351="G")+(G1351="G")</f>
        <v>0</v>
      </c>
      <c r="J1351" s="4" t="n">
        <f aca="false">(F1351="C")+(G1351="C")</f>
        <v>0</v>
      </c>
      <c r="K1351" s="3" t="n">
        <f aca="false">I1351+J1351</f>
        <v>0</v>
      </c>
    </row>
    <row r="1352" customFormat="false" ht="15" hidden="false" customHeight="false" outlineLevel="0" collapsed="false">
      <c r="A1352" s="4" t="s">
        <v>85</v>
      </c>
      <c r="B1352" s="4" t="s">
        <v>412</v>
      </c>
      <c r="C1352" s="4" t="s">
        <v>521</v>
      </c>
      <c r="D1352" s="4" t="n">
        <f aca="false">IFERROR(INDEX(Positions!$D$2:$D$6912,MATCH($A1352&amp;"|7",Positions!$A$2:$A$6912,0)),"-")</f>
        <v>7</v>
      </c>
      <c r="E1352" s="4" t="n">
        <f aca="false">IFERROR(INDEX(Positions!$D$2:$D$6912,MATCH($A1352&amp;"|66",Positions!$A$2:$A$6912,0)),"-")</f>
        <v>65</v>
      </c>
      <c r="F1352" s="4" t="str">
        <f aca="false">IFERROR(INDEX(Positions!$E$2:$E$6912,MATCH($A1352&amp;"|7",Positions!$A$2:$A$6912,0)),"-")</f>
        <v>G</v>
      </c>
      <c r="G1352" s="4" t="str">
        <f aca="false">IFERROR(INDEX(Positions!$E$2:$E$6912,MATCH($A1352&amp;"|66",Positions!$A$2:$A$6912,0)),"-")</f>
        <v>C</v>
      </c>
      <c r="H1352" s="3" t="str">
        <f aca="false">F1352&amp;"-"&amp;G1352</f>
        <v>G-C</v>
      </c>
      <c r="I1352" s="4" t="n">
        <f aca="false">(F1352="G")+(G1352="G")</f>
        <v>1</v>
      </c>
      <c r="J1352" s="4" t="n">
        <f aca="false">(F1352="C")+(G1352="C")</f>
        <v>1</v>
      </c>
      <c r="K1352" s="3" t="n">
        <f aca="false">I1352+J1352</f>
        <v>2</v>
      </c>
    </row>
    <row r="1353" customFormat="false" ht="15" hidden="false" customHeight="false" outlineLevel="0" collapsed="false">
      <c r="A1353" s="4" t="s">
        <v>85</v>
      </c>
      <c r="B1353" s="4" t="s">
        <v>425</v>
      </c>
      <c r="C1353" s="4" t="s">
        <v>522</v>
      </c>
      <c r="D1353" s="4" t="n">
        <f aca="false">IFERROR(INDEX(Positions!$D$2:$D$6912,MATCH($A1353&amp;"|10",Positions!$A$2:$A$6912,0)),"-")</f>
        <v>10</v>
      </c>
      <c r="E1353" s="4" t="n">
        <f aca="false">IFERROR(INDEX(Positions!$D$2:$D$6912,MATCH($A1353&amp;"|25",Positions!$A$2:$A$6912,0)),"-")</f>
        <v>24</v>
      </c>
      <c r="F1353" s="4" t="str">
        <f aca="false">IFERROR(INDEX(Positions!$E$2:$E$6912,MATCH($A1353&amp;"|10",Positions!$A$2:$A$6912,0)),"-")</f>
        <v>G</v>
      </c>
      <c r="G1353" s="4" t="str">
        <f aca="false">IFERROR(INDEX(Positions!$E$2:$E$6912,MATCH($A1353&amp;"|25",Positions!$A$2:$A$6912,0)),"-")</f>
        <v>U</v>
      </c>
      <c r="H1353" s="3" t="str">
        <f aca="false">F1353&amp;"-"&amp;G1353</f>
        <v>G-U</v>
      </c>
      <c r="I1353" s="4" t="n">
        <f aca="false">(F1353="G")+(G1353="G")</f>
        <v>1</v>
      </c>
      <c r="J1353" s="4" t="n">
        <f aca="false">(F1353="C")+(G1353="C")</f>
        <v>0</v>
      </c>
      <c r="K1353" s="3" t="n">
        <f aca="false">I1353+J1353</f>
        <v>1</v>
      </c>
    </row>
    <row r="1354" customFormat="false" ht="15" hidden="false" customHeight="false" outlineLevel="0" collapsed="false">
      <c r="A1354" s="4" t="s">
        <v>85</v>
      </c>
      <c r="B1354" s="4" t="s">
        <v>425</v>
      </c>
      <c r="C1354" s="4" t="s">
        <v>523</v>
      </c>
      <c r="D1354" s="4" t="n">
        <f aca="false">IFERROR(INDEX(Positions!$D$2:$D$6912,MATCH($A1354&amp;"|11",Positions!$A$2:$A$6912,0)),"-")</f>
        <v>11</v>
      </c>
      <c r="E1354" s="4" t="n">
        <f aca="false">IFERROR(INDEX(Positions!$D$2:$D$6912,MATCH($A1354&amp;"|24",Positions!$A$2:$A$6912,0)),"-")</f>
        <v>23</v>
      </c>
      <c r="F1354" s="4" t="str">
        <f aca="false">IFERROR(INDEX(Positions!$E$2:$E$6912,MATCH($A1354&amp;"|11",Positions!$A$2:$A$6912,0)),"-")</f>
        <v>C</v>
      </c>
      <c r="G1354" s="4" t="str">
        <f aca="false">IFERROR(INDEX(Positions!$E$2:$E$6912,MATCH($A1354&amp;"|24",Positions!$A$2:$A$6912,0)),"-")</f>
        <v>G</v>
      </c>
      <c r="H1354" s="3" t="str">
        <f aca="false">F1354&amp;"-"&amp;G1354</f>
        <v>C-G</v>
      </c>
      <c r="I1354" s="4" t="n">
        <f aca="false">(F1354="G")+(G1354="G")</f>
        <v>1</v>
      </c>
      <c r="J1354" s="4" t="n">
        <f aca="false">(F1354="C")+(G1354="C")</f>
        <v>1</v>
      </c>
      <c r="K1354" s="3" t="n">
        <f aca="false">I1354+J1354</f>
        <v>2</v>
      </c>
    </row>
    <row r="1355" customFormat="false" ht="15" hidden="false" customHeight="false" outlineLevel="0" collapsed="false">
      <c r="A1355" s="4" t="s">
        <v>85</v>
      </c>
      <c r="B1355" s="4" t="s">
        <v>425</v>
      </c>
      <c r="C1355" s="4" t="s">
        <v>250</v>
      </c>
      <c r="D1355" s="4" t="n">
        <f aca="false">IFERROR(INDEX(Positions!$D$2:$D$6912,MATCH($A1355&amp;"|12",Positions!$A$2:$A$6912,0)),"-")</f>
        <v>12</v>
      </c>
      <c r="E1355" s="4" t="n">
        <f aca="false">IFERROR(INDEX(Positions!$D$2:$D$6912,MATCH($A1355&amp;"|23",Positions!$A$2:$A$6912,0)),"-")</f>
        <v>22</v>
      </c>
      <c r="F1355" s="4" t="str">
        <f aca="false">IFERROR(INDEX(Positions!$E$2:$E$6912,MATCH($A1355&amp;"|12",Positions!$A$2:$A$6912,0)),"-")</f>
        <v>G</v>
      </c>
      <c r="G1355" s="4" t="str">
        <f aca="false">IFERROR(INDEX(Positions!$E$2:$E$6912,MATCH($A1355&amp;"|23",Positions!$A$2:$A$6912,0)),"-")</f>
        <v>C</v>
      </c>
      <c r="H1355" s="3" t="str">
        <f aca="false">F1355&amp;"-"&amp;G1355</f>
        <v>G-C</v>
      </c>
      <c r="I1355" s="4" t="n">
        <f aca="false">(F1355="G")+(G1355="G")</f>
        <v>1</v>
      </c>
      <c r="J1355" s="4" t="n">
        <f aca="false">(F1355="C")+(G1355="C")</f>
        <v>1</v>
      </c>
      <c r="K1355" s="3" t="n">
        <f aca="false">I1355+J1355</f>
        <v>2</v>
      </c>
    </row>
    <row r="1356" customFormat="false" ht="15" hidden="false" customHeight="false" outlineLevel="0" collapsed="false">
      <c r="A1356" s="4" t="s">
        <v>85</v>
      </c>
      <c r="B1356" s="4" t="s">
        <v>425</v>
      </c>
      <c r="C1356" s="4" t="s">
        <v>154</v>
      </c>
      <c r="D1356" s="4" t="n">
        <f aca="false">IFERROR(INDEX(Positions!$D$2:$D$6912,MATCH($A1356&amp;"|13",Positions!$A$2:$A$6912,0)),"-")</f>
        <v>13</v>
      </c>
      <c r="E1356" s="4" t="n">
        <f aca="false">IFERROR(INDEX(Positions!$D$2:$D$6912,MATCH($A1356&amp;"|22",Positions!$A$2:$A$6912,0)),"-")</f>
        <v>21</v>
      </c>
      <c r="F1356" s="4" t="str">
        <f aca="false">IFERROR(INDEX(Positions!$E$2:$E$6912,MATCH($A1356&amp;"|13",Positions!$A$2:$A$6912,0)),"-")</f>
        <v>C</v>
      </c>
      <c r="G1356" s="4" t="str">
        <f aca="false">IFERROR(INDEX(Positions!$E$2:$E$6912,MATCH($A1356&amp;"|22",Positions!$A$2:$A$6912,0)),"-")</f>
        <v>G</v>
      </c>
      <c r="H1356" s="3" t="str">
        <f aca="false">F1356&amp;"-"&amp;G1356</f>
        <v>C-G</v>
      </c>
      <c r="I1356" s="4" t="n">
        <f aca="false">(F1356="G")+(G1356="G")</f>
        <v>1</v>
      </c>
      <c r="J1356" s="4" t="n">
        <f aca="false">(F1356="C")+(G1356="C")</f>
        <v>1</v>
      </c>
      <c r="K1356" s="3" t="n">
        <f aca="false">I1356+J1356</f>
        <v>2</v>
      </c>
    </row>
    <row r="1357" customFormat="false" ht="15" hidden="false" customHeight="false" outlineLevel="0" collapsed="false">
      <c r="A1357" s="4" t="s">
        <v>85</v>
      </c>
      <c r="B1357" s="4" t="s">
        <v>446</v>
      </c>
      <c r="C1357" s="4" t="s">
        <v>524</v>
      </c>
      <c r="D1357" s="4" t="n">
        <f aca="false">IFERROR(INDEX(Positions!$D$2:$D$6912,MATCH($A1357&amp;"|27",Positions!$A$2:$A$6912,0)),"-")</f>
        <v>26</v>
      </c>
      <c r="E1357" s="4" t="n">
        <f aca="false">IFERROR(INDEX(Positions!$D$2:$D$6912,MATCH($A1357&amp;"|43",Positions!$A$2:$A$6912,0)),"-")</f>
        <v>42</v>
      </c>
      <c r="F1357" s="4" t="str">
        <f aca="false">IFERROR(INDEX(Positions!$E$2:$E$6912,MATCH($A1357&amp;"|27",Positions!$A$2:$A$6912,0)),"-")</f>
        <v>C</v>
      </c>
      <c r="G1357" s="4" t="str">
        <f aca="false">IFERROR(INDEX(Positions!$E$2:$E$6912,MATCH($A1357&amp;"|43",Positions!$A$2:$A$6912,0)),"-")</f>
        <v>G</v>
      </c>
      <c r="H1357" s="3" t="str">
        <f aca="false">F1357&amp;"-"&amp;G1357</f>
        <v>C-G</v>
      </c>
      <c r="I1357" s="4" t="n">
        <f aca="false">(F1357="G")+(G1357="G")</f>
        <v>1</v>
      </c>
      <c r="J1357" s="4" t="n">
        <f aca="false">(F1357="C")+(G1357="C")</f>
        <v>1</v>
      </c>
      <c r="K1357" s="3" t="n">
        <f aca="false">I1357+J1357</f>
        <v>2</v>
      </c>
    </row>
    <row r="1358" customFormat="false" ht="15" hidden="false" customHeight="false" outlineLevel="0" collapsed="false">
      <c r="A1358" s="4" t="s">
        <v>85</v>
      </c>
      <c r="B1358" s="4" t="s">
        <v>446</v>
      </c>
      <c r="C1358" s="4" t="s">
        <v>525</v>
      </c>
      <c r="D1358" s="4" t="n">
        <f aca="false">IFERROR(INDEX(Positions!$D$2:$D$6912,MATCH($A1358&amp;"|28",Positions!$A$2:$A$6912,0)),"-")</f>
        <v>27</v>
      </c>
      <c r="E1358" s="4" t="n">
        <f aca="false">IFERROR(INDEX(Positions!$D$2:$D$6912,MATCH($A1358&amp;"|42",Positions!$A$2:$A$6912,0)),"-")</f>
        <v>41</v>
      </c>
      <c r="F1358" s="4" t="str">
        <f aca="false">IFERROR(INDEX(Positions!$E$2:$E$6912,MATCH($A1358&amp;"|28",Positions!$A$2:$A$6912,0)),"-")</f>
        <v>U</v>
      </c>
      <c r="G1358" s="4" t="str">
        <f aca="false">IFERROR(INDEX(Positions!$E$2:$E$6912,MATCH($A1358&amp;"|42",Positions!$A$2:$A$6912,0)),"-")</f>
        <v>A</v>
      </c>
      <c r="H1358" s="3" t="str">
        <f aca="false">F1358&amp;"-"&amp;G1358</f>
        <v>U-A</v>
      </c>
      <c r="I1358" s="4" t="n">
        <f aca="false">(F1358="G")+(G1358="G")</f>
        <v>0</v>
      </c>
      <c r="J1358" s="4" t="n">
        <f aca="false">(F1358="C")+(G1358="C")</f>
        <v>0</v>
      </c>
      <c r="K1358" s="3" t="n">
        <f aca="false">I1358+J1358</f>
        <v>0</v>
      </c>
    </row>
    <row r="1359" customFormat="false" ht="15" hidden="false" customHeight="false" outlineLevel="0" collapsed="false">
      <c r="A1359" s="4" t="s">
        <v>85</v>
      </c>
      <c r="B1359" s="4" t="s">
        <v>446</v>
      </c>
      <c r="C1359" s="4" t="s">
        <v>256</v>
      </c>
      <c r="D1359" s="4" t="n">
        <f aca="false">IFERROR(INDEX(Positions!$D$2:$D$6912,MATCH($A1359&amp;"|29",Positions!$A$2:$A$6912,0)),"-")</f>
        <v>28</v>
      </c>
      <c r="E1359" s="4" t="n">
        <f aca="false">IFERROR(INDEX(Positions!$D$2:$D$6912,MATCH($A1359&amp;"|41",Positions!$A$2:$A$6912,0)),"-")</f>
        <v>40</v>
      </c>
      <c r="F1359" s="4" t="str">
        <f aca="false">IFERROR(INDEX(Positions!$E$2:$E$6912,MATCH($A1359&amp;"|29",Positions!$A$2:$A$6912,0)),"-")</f>
        <v>G</v>
      </c>
      <c r="G1359" s="4" t="str">
        <f aca="false">IFERROR(INDEX(Positions!$E$2:$E$6912,MATCH($A1359&amp;"|41",Positions!$A$2:$A$6912,0)),"-")</f>
        <v>C</v>
      </c>
      <c r="H1359" s="3" t="str">
        <f aca="false">F1359&amp;"-"&amp;G1359</f>
        <v>G-C</v>
      </c>
      <c r="I1359" s="4" t="n">
        <f aca="false">(F1359="G")+(G1359="G")</f>
        <v>1</v>
      </c>
      <c r="J1359" s="4" t="n">
        <f aca="false">(F1359="C")+(G1359="C")</f>
        <v>1</v>
      </c>
      <c r="K1359" s="3" t="n">
        <f aca="false">I1359+J1359</f>
        <v>2</v>
      </c>
    </row>
    <row r="1360" customFormat="false" ht="15" hidden="false" customHeight="false" outlineLevel="0" collapsed="false">
      <c r="A1360" s="4" t="s">
        <v>85</v>
      </c>
      <c r="B1360" s="4" t="s">
        <v>446</v>
      </c>
      <c r="C1360" s="4" t="s">
        <v>526</v>
      </c>
      <c r="D1360" s="4" t="n">
        <f aca="false">IFERROR(INDEX(Positions!$D$2:$D$6912,MATCH($A1360&amp;"|30",Positions!$A$2:$A$6912,0)),"-")</f>
        <v>29</v>
      </c>
      <c r="E1360" s="4" t="n">
        <f aca="false">IFERROR(INDEX(Positions!$D$2:$D$6912,MATCH($A1360&amp;"|40",Positions!$A$2:$A$6912,0)),"-")</f>
        <v>39</v>
      </c>
      <c r="F1360" s="4" t="str">
        <f aca="false">IFERROR(INDEX(Positions!$E$2:$E$6912,MATCH($A1360&amp;"|30",Positions!$A$2:$A$6912,0)),"-")</f>
        <v>G</v>
      </c>
      <c r="G1360" s="4" t="str">
        <f aca="false">IFERROR(INDEX(Positions!$E$2:$E$6912,MATCH($A1360&amp;"|40",Positions!$A$2:$A$6912,0)),"-")</f>
        <v>C</v>
      </c>
      <c r="H1360" s="3" t="str">
        <f aca="false">F1360&amp;"-"&amp;G1360</f>
        <v>G-C</v>
      </c>
      <c r="I1360" s="4" t="n">
        <f aca="false">(F1360="G")+(G1360="G")</f>
        <v>1</v>
      </c>
      <c r="J1360" s="4" t="n">
        <f aca="false">(F1360="C")+(G1360="C")</f>
        <v>1</v>
      </c>
      <c r="K1360" s="3" t="n">
        <f aca="false">I1360+J1360</f>
        <v>2</v>
      </c>
    </row>
    <row r="1361" customFormat="false" ht="15" hidden="false" customHeight="false" outlineLevel="0" collapsed="false">
      <c r="A1361" s="4" t="s">
        <v>85</v>
      </c>
      <c r="B1361" s="4" t="s">
        <v>446</v>
      </c>
      <c r="C1361" s="4" t="s">
        <v>273</v>
      </c>
      <c r="D1361" s="4" t="n">
        <f aca="false">IFERROR(INDEX(Positions!$D$2:$D$6912,MATCH($A1361&amp;"|31",Positions!$A$2:$A$6912,0)),"-")</f>
        <v>30</v>
      </c>
      <c r="E1361" s="4" t="n">
        <f aca="false">IFERROR(INDEX(Positions!$D$2:$D$6912,MATCH($A1361&amp;"|39",Positions!$A$2:$A$6912,0)),"-")</f>
        <v>38</v>
      </c>
      <c r="F1361" s="4" t="str">
        <f aca="false">IFERROR(INDEX(Positions!$E$2:$E$6912,MATCH($A1361&amp;"|31",Positions!$A$2:$A$6912,0)),"-")</f>
        <v>G</v>
      </c>
      <c r="G1361" s="4" t="str">
        <f aca="false">IFERROR(INDEX(Positions!$E$2:$E$6912,MATCH($A1361&amp;"|39",Positions!$A$2:$A$6912,0)),"-")</f>
        <v>C</v>
      </c>
      <c r="H1361" s="3" t="str">
        <f aca="false">F1361&amp;"-"&amp;G1361</f>
        <v>G-C</v>
      </c>
      <c r="I1361" s="4" t="n">
        <f aca="false">(F1361="G")+(G1361="G")</f>
        <v>1</v>
      </c>
      <c r="J1361" s="4" t="n">
        <f aca="false">(F1361="C")+(G1361="C")</f>
        <v>1</v>
      </c>
      <c r="K1361" s="3" t="n">
        <f aca="false">I1361+J1361</f>
        <v>2</v>
      </c>
    </row>
    <row r="1362" customFormat="false" ht="15" hidden="false" customHeight="false" outlineLevel="0" collapsed="false">
      <c r="A1362" s="4" t="s">
        <v>85</v>
      </c>
      <c r="B1362" s="4" t="s">
        <v>471</v>
      </c>
      <c r="C1362" s="4" t="s">
        <v>367</v>
      </c>
      <c r="D1362" s="4" t="n">
        <f aca="false">IFERROR(INDEX(Positions!$D$2:$D$6912,MATCH($A1362&amp;"|49",Positions!$A$2:$A$6912,0)),"-")</f>
        <v>48</v>
      </c>
      <c r="E1362" s="4" t="n">
        <f aca="false">IFERROR(INDEX(Positions!$D$2:$D$6912,MATCH($A1362&amp;"|65",Positions!$A$2:$A$6912,0)),"-")</f>
        <v>64</v>
      </c>
      <c r="F1362" s="4" t="str">
        <f aca="false">IFERROR(INDEX(Positions!$E$2:$E$6912,MATCH($A1362&amp;"|49",Positions!$A$2:$A$6912,0)),"-")</f>
        <v>G</v>
      </c>
      <c r="G1362" s="4" t="str">
        <f aca="false">IFERROR(INDEX(Positions!$E$2:$E$6912,MATCH($A1362&amp;"|65",Positions!$A$2:$A$6912,0)),"-")</f>
        <v>C</v>
      </c>
      <c r="H1362" s="3" t="str">
        <f aca="false">F1362&amp;"-"&amp;G1362</f>
        <v>G-C</v>
      </c>
      <c r="I1362" s="4" t="n">
        <f aca="false">(F1362="G")+(G1362="G")</f>
        <v>1</v>
      </c>
      <c r="J1362" s="4" t="n">
        <f aca="false">(F1362="C")+(G1362="C")</f>
        <v>1</v>
      </c>
      <c r="K1362" s="3" t="n">
        <f aca="false">I1362+J1362</f>
        <v>2</v>
      </c>
    </row>
    <row r="1363" customFormat="false" ht="15" hidden="false" customHeight="false" outlineLevel="0" collapsed="false">
      <c r="A1363" s="4" t="s">
        <v>85</v>
      </c>
      <c r="B1363" s="4" t="s">
        <v>471</v>
      </c>
      <c r="C1363" s="4" t="s">
        <v>233</v>
      </c>
      <c r="D1363" s="4" t="n">
        <f aca="false">IFERROR(INDEX(Positions!$D$2:$D$6912,MATCH($A1363&amp;"|50",Positions!$A$2:$A$6912,0)),"-")</f>
        <v>49</v>
      </c>
      <c r="E1363" s="4" t="n">
        <f aca="false">IFERROR(INDEX(Positions!$D$2:$D$6912,MATCH($A1363&amp;"|64",Positions!$A$2:$A$6912,0)),"-")</f>
        <v>63</v>
      </c>
      <c r="F1363" s="4" t="str">
        <f aca="false">IFERROR(INDEX(Positions!$E$2:$E$6912,MATCH($A1363&amp;"|50",Positions!$A$2:$A$6912,0)),"-")</f>
        <v>A</v>
      </c>
      <c r="G1363" s="4" t="str">
        <f aca="false">IFERROR(INDEX(Positions!$E$2:$E$6912,MATCH($A1363&amp;"|64",Positions!$A$2:$A$6912,0)),"-")</f>
        <v>U</v>
      </c>
      <c r="H1363" s="3" t="str">
        <f aca="false">F1363&amp;"-"&amp;G1363</f>
        <v>A-U</v>
      </c>
      <c r="I1363" s="4" t="n">
        <f aca="false">(F1363="G")+(G1363="G")</f>
        <v>0</v>
      </c>
      <c r="J1363" s="4" t="n">
        <f aca="false">(F1363="C")+(G1363="C")</f>
        <v>0</v>
      </c>
      <c r="K1363" s="3" t="n">
        <f aca="false">I1363+J1363</f>
        <v>0</v>
      </c>
    </row>
    <row r="1364" customFormat="false" ht="15" hidden="false" customHeight="false" outlineLevel="0" collapsed="false">
      <c r="A1364" s="4" t="s">
        <v>85</v>
      </c>
      <c r="B1364" s="4" t="s">
        <v>471</v>
      </c>
      <c r="C1364" s="4" t="s">
        <v>527</v>
      </c>
      <c r="D1364" s="4" t="n">
        <f aca="false">IFERROR(INDEX(Positions!$D$2:$D$6912,MATCH($A1364&amp;"|51",Positions!$A$2:$A$6912,0)),"-")</f>
        <v>50</v>
      </c>
      <c r="E1364" s="4" t="n">
        <f aca="false">IFERROR(INDEX(Positions!$D$2:$D$6912,MATCH($A1364&amp;"|63",Positions!$A$2:$A$6912,0)),"-")</f>
        <v>62</v>
      </c>
      <c r="F1364" s="4" t="str">
        <f aca="false">IFERROR(INDEX(Positions!$E$2:$E$6912,MATCH($A1364&amp;"|51",Positions!$A$2:$A$6912,0)),"-")</f>
        <v>U</v>
      </c>
      <c r="G1364" s="4" t="str">
        <f aca="false">IFERROR(INDEX(Positions!$E$2:$E$6912,MATCH($A1364&amp;"|63",Positions!$A$2:$A$6912,0)),"-")</f>
        <v>A</v>
      </c>
      <c r="H1364" s="3" t="str">
        <f aca="false">F1364&amp;"-"&amp;G1364</f>
        <v>U-A</v>
      </c>
      <c r="I1364" s="4" t="n">
        <f aca="false">(F1364="G")+(G1364="G")</f>
        <v>0</v>
      </c>
      <c r="J1364" s="4" t="n">
        <f aca="false">(F1364="C")+(G1364="C")</f>
        <v>0</v>
      </c>
      <c r="K1364" s="3" t="n">
        <f aca="false">I1364+J1364</f>
        <v>0</v>
      </c>
    </row>
    <row r="1365" customFormat="false" ht="15" hidden="false" customHeight="false" outlineLevel="0" collapsed="false">
      <c r="A1365" s="4" t="s">
        <v>85</v>
      </c>
      <c r="B1365" s="4" t="s">
        <v>471</v>
      </c>
      <c r="C1365" s="4" t="s">
        <v>528</v>
      </c>
      <c r="D1365" s="4" t="n">
        <f aca="false">IFERROR(INDEX(Positions!$D$2:$D$6912,MATCH($A1365&amp;"|52",Positions!$A$2:$A$6912,0)),"-")</f>
        <v>51</v>
      </c>
      <c r="E1365" s="4" t="n">
        <f aca="false">IFERROR(INDEX(Positions!$D$2:$D$6912,MATCH($A1365&amp;"|62",Positions!$A$2:$A$6912,0)),"-")</f>
        <v>61</v>
      </c>
      <c r="F1365" s="4" t="str">
        <f aca="false">IFERROR(INDEX(Positions!$E$2:$E$6912,MATCH($A1365&amp;"|52",Positions!$A$2:$A$6912,0)),"-")</f>
        <v>G</v>
      </c>
      <c r="G1365" s="4" t="str">
        <f aca="false">IFERROR(INDEX(Positions!$E$2:$E$6912,MATCH($A1365&amp;"|62",Positions!$A$2:$A$6912,0)),"-")</f>
        <v>C</v>
      </c>
      <c r="H1365" s="3" t="str">
        <f aca="false">F1365&amp;"-"&amp;G1365</f>
        <v>G-C</v>
      </c>
      <c r="I1365" s="4" t="n">
        <f aca="false">(F1365="G")+(G1365="G")</f>
        <v>1</v>
      </c>
      <c r="J1365" s="4" t="n">
        <f aca="false">(F1365="C")+(G1365="C")</f>
        <v>1</v>
      </c>
      <c r="K1365" s="3" t="n">
        <f aca="false">I1365+J1365</f>
        <v>2</v>
      </c>
    </row>
    <row r="1366" customFormat="false" ht="15" hidden="false" customHeight="false" outlineLevel="0" collapsed="false">
      <c r="A1366" s="4" t="s">
        <v>85</v>
      </c>
      <c r="B1366" s="4" t="s">
        <v>471</v>
      </c>
      <c r="C1366" s="4" t="s">
        <v>529</v>
      </c>
      <c r="D1366" s="4" t="n">
        <f aca="false">IFERROR(INDEX(Positions!$D$2:$D$6912,MATCH($A1366&amp;"|53",Positions!$A$2:$A$6912,0)),"-")</f>
        <v>52</v>
      </c>
      <c r="E1366" s="4" t="n">
        <f aca="false">IFERROR(INDEX(Positions!$D$2:$D$6912,MATCH($A1366&amp;"|61",Positions!$A$2:$A$6912,0)),"-")</f>
        <v>60</v>
      </c>
      <c r="F1366" s="4" t="str">
        <f aca="false">IFERROR(INDEX(Positions!$E$2:$E$6912,MATCH($A1366&amp;"|53",Positions!$A$2:$A$6912,0)),"-")</f>
        <v>G</v>
      </c>
      <c r="G1366" s="4" t="str">
        <f aca="false">IFERROR(INDEX(Positions!$E$2:$E$6912,MATCH($A1366&amp;"|61",Positions!$A$2:$A$6912,0)),"-")</f>
        <v>C</v>
      </c>
      <c r="H1366" s="3" t="str">
        <f aca="false">F1366&amp;"-"&amp;G1366</f>
        <v>G-C</v>
      </c>
      <c r="I1366" s="4" t="n">
        <f aca="false">(F1366="G")+(G1366="G")</f>
        <v>1</v>
      </c>
      <c r="J1366" s="4" t="n">
        <f aca="false">(F1366="C")+(G1366="C")</f>
        <v>1</v>
      </c>
      <c r="K1366" s="3" t="n">
        <f aca="false">I1366+J1366</f>
        <v>2</v>
      </c>
    </row>
    <row r="1367" customFormat="false" ht="15" hidden="false" customHeight="false" outlineLevel="0" collapsed="false">
      <c r="A1367" s="24" t="s">
        <v>85</v>
      </c>
      <c r="B1367" s="24" t="s">
        <v>530</v>
      </c>
      <c r="C1367" s="24" t="s">
        <v>531</v>
      </c>
      <c r="D1367" s="24" t="n">
        <f aca="false">IFERROR(INDEX(Positions!$D$2:$D$6912,MATCH($A1367&amp;"|8",Positions!$A$2:$A$6912,0)),"-")</f>
        <v>8</v>
      </c>
      <c r="E1367" s="24" t="n">
        <f aca="false">IFERROR(INDEX(Positions!$D$2:$D$6912,MATCH($A1367&amp;"|14",Positions!$A$2:$A$6912,0)),"-")</f>
        <v>14</v>
      </c>
      <c r="F1367" s="24" t="str">
        <f aca="false">IFERROR(INDEX(Positions!$E$2:$E$6912,MATCH($A1367&amp;"|8",Positions!$A$2:$A$6912,0)),"-")</f>
        <v>U</v>
      </c>
      <c r="G1367" s="24" t="str">
        <f aca="false">IFERROR(INDEX(Positions!$E$2:$E$6912,MATCH($A1367&amp;"|14",Positions!$A$2:$A$6912,0)),"-")</f>
        <v>A</v>
      </c>
      <c r="H1367" s="25" t="str">
        <f aca="false">F1367&amp;"-"&amp;G1367</f>
        <v>U-A</v>
      </c>
      <c r="I1367" s="24" t="n">
        <f aca="false">(F1367="G")+(G1367="G")</f>
        <v>0</v>
      </c>
      <c r="J1367" s="24" t="n">
        <f aca="false">(F1367="C")+(G1367="C")</f>
        <v>0</v>
      </c>
      <c r="K1367" s="25" t="n">
        <f aca="false">I1367+J1367</f>
        <v>0</v>
      </c>
    </row>
    <row r="1368" customFormat="false" ht="15" hidden="false" customHeight="false" outlineLevel="0" collapsed="false">
      <c r="A1368" s="24" t="s">
        <v>85</v>
      </c>
      <c r="B1368" s="24" t="s">
        <v>530</v>
      </c>
      <c r="C1368" s="24" t="s">
        <v>532</v>
      </c>
      <c r="D1368" s="24" t="n">
        <f aca="false">IFERROR(INDEX(Positions!$D$2:$D$6912,MATCH($A1368&amp;"|15",Positions!$A$2:$A$6912,0)),"-")</f>
        <v>15</v>
      </c>
      <c r="E1368" s="24" t="n">
        <f aca="false">IFERROR(INDEX(Positions!$D$2:$D$6912,MATCH($A1368&amp;"|48",Positions!$A$2:$A$6912,0)),"-")</f>
        <v>47</v>
      </c>
      <c r="F1368" s="24" t="str">
        <f aca="false">IFERROR(INDEX(Positions!$E$2:$E$6912,MATCH($A1368&amp;"|15",Positions!$A$2:$A$6912,0)),"-")</f>
        <v>G</v>
      </c>
      <c r="G1368" s="24" t="str">
        <f aca="false">IFERROR(INDEX(Positions!$E$2:$E$6912,MATCH($A1368&amp;"|48",Positions!$A$2:$A$6912,0)),"-")</f>
        <v>C</v>
      </c>
      <c r="H1368" s="25" t="str">
        <f aca="false">F1368&amp;"-"&amp;G1368</f>
        <v>G-C</v>
      </c>
      <c r="I1368" s="24" t="n">
        <f aca="false">(F1368="G")+(G1368="G")</f>
        <v>1</v>
      </c>
      <c r="J1368" s="24" t="n">
        <f aca="false">(F1368="C")+(G1368="C")</f>
        <v>1</v>
      </c>
      <c r="K1368" s="25" t="n">
        <f aca="false">I1368+J1368</f>
        <v>2</v>
      </c>
    </row>
    <row r="1369" customFormat="false" ht="15" hidden="false" customHeight="false" outlineLevel="0" collapsed="false">
      <c r="A1369" s="24" t="s">
        <v>85</v>
      </c>
      <c r="B1369" s="24" t="s">
        <v>530</v>
      </c>
      <c r="C1369" s="24" t="s">
        <v>533</v>
      </c>
      <c r="D1369" s="24" t="n">
        <f aca="false">IFERROR(INDEX(Positions!$D$2:$D$6912,MATCH($A1369&amp;"|18",Positions!$A$2:$A$6912,0)),"-")</f>
        <v>17</v>
      </c>
      <c r="E1369" s="24" t="n">
        <f aca="false">IFERROR(INDEX(Positions!$D$2:$D$6912,MATCH($A1369&amp;"|55",Positions!$A$2:$A$6912,0)),"-")</f>
        <v>54</v>
      </c>
      <c r="F1369" s="24" t="str">
        <f aca="false">IFERROR(INDEX(Positions!$E$2:$E$6912,MATCH($A1369&amp;"|18",Positions!$A$2:$A$6912,0)),"-")</f>
        <v>G</v>
      </c>
      <c r="G1369" s="24" t="str">
        <f aca="false">IFERROR(INDEX(Positions!$E$2:$E$6912,MATCH($A1369&amp;"|55",Positions!$A$2:$A$6912,0)),"-")</f>
        <v>U</v>
      </c>
      <c r="H1369" s="25" t="str">
        <f aca="false">F1369&amp;"-"&amp;G1369</f>
        <v>G-U</v>
      </c>
      <c r="I1369" s="24" t="n">
        <f aca="false">(F1369="G")+(G1369="G")</f>
        <v>1</v>
      </c>
      <c r="J1369" s="24" t="n">
        <f aca="false">(F1369="C")+(G1369="C")</f>
        <v>0</v>
      </c>
      <c r="K1369" s="25" t="n">
        <f aca="false">I1369+J1369</f>
        <v>1</v>
      </c>
    </row>
    <row r="1370" customFormat="false" ht="15" hidden="false" customHeight="false" outlineLevel="0" collapsed="false">
      <c r="A1370" s="24" t="s">
        <v>85</v>
      </c>
      <c r="B1370" s="24" t="s">
        <v>530</v>
      </c>
      <c r="C1370" s="24" t="s">
        <v>534</v>
      </c>
      <c r="D1370" s="24" t="n">
        <f aca="false">IFERROR(INDEX(Positions!$D$2:$D$6912,MATCH($A1370&amp;"|19",Positions!$A$2:$A$6912,0)),"-")</f>
        <v>18</v>
      </c>
      <c r="E1370" s="24" t="n">
        <f aca="false">IFERROR(INDEX(Positions!$D$2:$D$6912,MATCH($A1370&amp;"|56",Positions!$A$2:$A$6912,0)),"-")</f>
        <v>55</v>
      </c>
      <c r="F1370" s="24" t="str">
        <f aca="false">IFERROR(INDEX(Positions!$E$2:$E$6912,MATCH($A1370&amp;"|19",Positions!$A$2:$A$6912,0)),"-")</f>
        <v>G</v>
      </c>
      <c r="G1370" s="24" t="str">
        <f aca="false">IFERROR(INDEX(Positions!$E$2:$E$6912,MATCH($A1370&amp;"|56",Positions!$A$2:$A$6912,0)),"-")</f>
        <v>C</v>
      </c>
      <c r="H1370" s="25" t="str">
        <f aca="false">F1370&amp;"-"&amp;G1370</f>
        <v>G-C</v>
      </c>
      <c r="I1370" s="24" t="n">
        <f aca="false">(F1370="G")+(G1370="G")</f>
        <v>1</v>
      </c>
      <c r="J1370" s="24" t="n">
        <f aca="false">(F1370="C")+(G1370="C")</f>
        <v>1</v>
      </c>
      <c r="K1370" s="25" t="n">
        <f aca="false">I1370+J1370</f>
        <v>2</v>
      </c>
    </row>
    <row r="1371" customFormat="false" ht="15" hidden="false" customHeight="false" outlineLevel="0" collapsed="false">
      <c r="A1371" s="24" t="s">
        <v>85</v>
      </c>
      <c r="B1371" s="24" t="s">
        <v>530</v>
      </c>
      <c r="C1371" s="24" t="s">
        <v>535</v>
      </c>
      <c r="D1371" s="24" t="n">
        <f aca="false">IFERROR(INDEX(Positions!$D$2:$D$6912,MATCH($A1371&amp;"|26",Positions!$A$2:$A$6912,0)),"-")</f>
        <v>25</v>
      </c>
      <c r="E1371" s="24" t="n">
        <f aca="false">IFERROR(INDEX(Positions!$D$2:$D$6912,MATCH($A1371&amp;"|44",Positions!$A$2:$A$6912,0)),"-")</f>
        <v>43</v>
      </c>
      <c r="F1371" s="24" t="str">
        <f aca="false">IFERROR(INDEX(Positions!$E$2:$E$6912,MATCH($A1371&amp;"|26",Positions!$A$2:$A$6912,0)),"-")</f>
        <v>G</v>
      </c>
      <c r="G1371" s="24" t="str">
        <f aca="false">IFERROR(INDEX(Positions!$E$2:$E$6912,MATCH($A1371&amp;"|44",Positions!$A$2:$A$6912,0)),"-")</f>
        <v>A</v>
      </c>
      <c r="H1371" s="25" t="str">
        <f aca="false">F1371&amp;"-"&amp;G1371</f>
        <v>G-A</v>
      </c>
      <c r="I1371" s="24" t="n">
        <f aca="false">(F1371="G")+(G1371="G")</f>
        <v>1</v>
      </c>
      <c r="J1371" s="24" t="n">
        <f aca="false">(F1371="C")+(G1371="C")</f>
        <v>0</v>
      </c>
      <c r="K1371" s="25" t="n">
        <f aca="false">I1371+J1371</f>
        <v>1</v>
      </c>
    </row>
    <row r="1372" customFormat="false" ht="15" hidden="false" customHeight="false" outlineLevel="0" collapsed="false">
      <c r="A1372" s="24" t="s">
        <v>85</v>
      </c>
      <c r="B1372" s="24" t="s">
        <v>530</v>
      </c>
      <c r="C1372" s="24" t="s">
        <v>536</v>
      </c>
      <c r="D1372" s="24" t="n">
        <f aca="false">IFERROR(INDEX(Positions!$D$2:$D$6912,MATCH($A1372&amp;"|32",Positions!$A$2:$A$6912,0)),"-")</f>
        <v>31</v>
      </c>
      <c r="E1372" s="24" t="n">
        <f aca="false">IFERROR(INDEX(Positions!$D$2:$D$6912,MATCH($A1372&amp;"|38",Positions!$A$2:$A$6912,0)),"-")</f>
        <v>37</v>
      </c>
      <c r="F1372" s="24" t="str">
        <f aca="false">IFERROR(INDEX(Positions!$E$2:$E$6912,MATCH($A1372&amp;"|32",Positions!$A$2:$A$6912,0)),"-")</f>
        <v>C</v>
      </c>
      <c r="G1372" s="24" t="str">
        <f aca="false">IFERROR(INDEX(Positions!$E$2:$E$6912,MATCH($A1372&amp;"|38",Positions!$A$2:$A$6912,0)),"-")</f>
        <v>A</v>
      </c>
      <c r="H1372" s="25" t="str">
        <f aca="false">F1372&amp;"-"&amp;G1372</f>
        <v>C-A</v>
      </c>
      <c r="I1372" s="24" t="n">
        <f aca="false">(F1372="G")+(G1372="G")</f>
        <v>0</v>
      </c>
      <c r="J1372" s="24" t="n">
        <f aca="false">(F1372="C")+(G1372="C")</f>
        <v>1</v>
      </c>
      <c r="K1372" s="25" t="n">
        <f aca="false">I1372+J1372</f>
        <v>1</v>
      </c>
    </row>
    <row r="1373" customFormat="false" ht="15" hidden="false" customHeight="false" outlineLevel="0" collapsed="false">
      <c r="A1373" s="24" t="s">
        <v>85</v>
      </c>
      <c r="B1373" s="24" t="s">
        <v>530</v>
      </c>
      <c r="C1373" s="24" t="s">
        <v>537</v>
      </c>
      <c r="D1373" s="24" t="n">
        <f aca="false">IFERROR(INDEX(Positions!$D$2:$D$6912,MATCH($A1373&amp;"|54",Positions!$A$2:$A$6912,0)),"-")</f>
        <v>53</v>
      </c>
      <c r="E1373" s="24" t="n">
        <f aca="false">IFERROR(INDEX(Positions!$D$2:$D$6912,MATCH($A1373&amp;"|58",Positions!$A$2:$A$6912,0)),"-")</f>
        <v>57</v>
      </c>
      <c r="F1373" s="24" t="str">
        <f aca="false">IFERROR(INDEX(Positions!$E$2:$E$6912,MATCH($A1373&amp;"|54",Positions!$A$2:$A$6912,0)),"-")</f>
        <v>A</v>
      </c>
      <c r="G1373" s="24" t="str">
        <f aca="false">IFERROR(INDEX(Positions!$E$2:$E$6912,MATCH($A1373&amp;"|58",Positions!$A$2:$A$6912,0)),"-")</f>
        <v>A</v>
      </c>
      <c r="H1373" s="25" t="str">
        <f aca="false">F1373&amp;"-"&amp;G1373</f>
        <v>A-A</v>
      </c>
      <c r="I1373" s="24" t="n">
        <f aca="false">(F1373="G")+(G1373="G")</f>
        <v>0</v>
      </c>
      <c r="J1373" s="24" t="n">
        <f aca="false">(F1373="C")+(G1373="C")</f>
        <v>0</v>
      </c>
      <c r="K1373" s="25" t="n">
        <f aca="false">I1373+J1373</f>
        <v>0</v>
      </c>
    </row>
    <row r="1374" customFormat="false" ht="15" hidden="false" customHeight="false" outlineLevel="0" collapsed="false">
      <c r="A1374" s="4" t="s">
        <v>86</v>
      </c>
      <c r="B1374" s="4" t="s">
        <v>412</v>
      </c>
      <c r="C1374" s="4" t="s">
        <v>517</v>
      </c>
      <c r="D1374" s="4" t="n">
        <f aca="false">IFERROR(INDEX(Positions!$D$2:$D$6912,MATCH($A1374&amp;"|1",Positions!$A$2:$A$6912,0)),"-")</f>
        <v>1</v>
      </c>
      <c r="E1374" s="4" t="n">
        <f aca="false">IFERROR(INDEX(Positions!$D$2:$D$6912,MATCH($A1374&amp;"|72",Positions!$A$2:$A$6912,0)),"-")</f>
        <v>72</v>
      </c>
      <c r="F1374" s="4" t="str">
        <f aca="false">IFERROR(INDEX(Positions!$E$2:$E$6912,MATCH($A1374&amp;"|1",Positions!$A$2:$A$6912,0)),"-")</f>
        <v>G</v>
      </c>
      <c r="G1374" s="4" t="str">
        <f aca="false">IFERROR(INDEX(Positions!$E$2:$E$6912,MATCH($A1374&amp;"|72",Positions!$A$2:$A$6912,0)),"-")</f>
        <v>C</v>
      </c>
      <c r="H1374" s="3" t="str">
        <f aca="false">F1374&amp;"-"&amp;G1374</f>
        <v>G-C</v>
      </c>
      <c r="I1374" s="4" t="n">
        <f aca="false">(F1374="G")+(G1374="G")</f>
        <v>1</v>
      </c>
      <c r="J1374" s="4" t="n">
        <f aca="false">(F1374="C")+(G1374="C")</f>
        <v>1</v>
      </c>
      <c r="K1374" s="3" t="n">
        <f aca="false">I1374+J1374</f>
        <v>2</v>
      </c>
    </row>
    <row r="1375" customFormat="false" ht="15" hidden="false" customHeight="false" outlineLevel="0" collapsed="false">
      <c r="A1375" s="4" t="s">
        <v>86</v>
      </c>
      <c r="B1375" s="4" t="s">
        <v>412</v>
      </c>
      <c r="C1375" s="4" t="s">
        <v>518</v>
      </c>
      <c r="D1375" s="4" t="n">
        <f aca="false">IFERROR(INDEX(Positions!$D$2:$D$6912,MATCH($A1375&amp;"|2",Positions!$A$2:$A$6912,0)),"-")</f>
        <v>2</v>
      </c>
      <c r="E1375" s="4" t="n">
        <f aca="false">IFERROR(INDEX(Positions!$D$2:$D$6912,MATCH($A1375&amp;"|71",Positions!$A$2:$A$6912,0)),"-")</f>
        <v>71</v>
      </c>
      <c r="F1375" s="4" t="str">
        <f aca="false">IFERROR(INDEX(Positions!$E$2:$E$6912,MATCH($A1375&amp;"|2",Positions!$A$2:$A$6912,0)),"-")</f>
        <v>C</v>
      </c>
      <c r="G1375" s="4" t="str">
        <f aca="false">IFERROR(INDEX(Positions!$E$2:$E$6912,MATCH($A1375&amp;"|71",Positions!$A$2:$A$6912,0)),"-")</f>
        <v>G</v>
      </c>
      <c r="H1375" s="3" t="str">
        <f aca="false">F1375&amp;"-"&amp;G1375</f>
        <v>C-G</v>
      </c>
      <c r="I1375" s="4" t="n">
        <f aca="false">(F1375="G")+(G1375="G")</f>
        <v>1</v>
      </c>
      <c r="J1375" s="4" t="n">
        <f aca="false">(F1375="C")+(G1375="C")</f>
        <v>1</v>
      </c>
      <c r="K1375" s="3" t="n">
        <f aca="false">I1375+J1375</f>
        <v>2</v>
      </c>
    </row>
    <row r="1376" customFormat="false" ht="15" hidden="false" customHeight="false" outlineLevel="0" collapsed="false">
      <c r="A1376" s="4" t="s">
        <v>86</v>
      </c>
      <c r="B1376" s="4" t="s">
        <v>412</v>
      </c>
      <c r="C1376" s="4" t="s">
        <v>386</v>
      </c>
      <c r="D1376" s="4" t="n">
        <f aca="false">IFERROR(INDEX(Positions!$D$2:$D$6912,MATCH($A1376&amp;"|3",Positions!$A$2:$A$6912,0)),"-")</f>
        <v>3</v>
      </c>
      <c r="E1376" s="4" t="n">
        <f aca="false">IFERROR(INDEX(Positions!$D$2:$D$6912,MATCH($A1376&amp;"|70",Positions!$A$2:$A$6912,0)),"-")</f>
        <v>70</v>
      </c>
      <c r="F1376" s="4" t="str">
        <f aca="false">IFERROR(INDEX(Positions!$E$2:$E$6912,MATCH($A1376&amp;"|3",Positions!$A$2:$A$6912,0)),"-")</f>
        <v>C</v>
      </c>
      <c r="G1376" s="4" t="str">
        <f aca="false">IFERROR(INDEX(Positions!$E$2:$E$6912,MATCH($A1376&amp;"|70",Positions!$A$2:$A$6912,0)),"-")</f>
        <v>G</v>
      </c>
      <c r="H1376" s="3" t="str">
        <f aca="false">F1376&amp;"-"&amp;G1376</f>
        <v>C-G</v>
      </c>
      <c r="I1376" s="4" t="n">
        <f aca="false">(F1376="G")+(G1376="G")</f>
        <v>1</v>
      </c>
      <c r="J1376" s="4" t="n">
        <f aca="false">(F1376="C")+(G1376="C")</f>
        <v>1</v>
      </c>
      <c r="K1376" s="3" t="n">
        <f aca="false">I1376+J1376</f>
        <v>2</v>
      </c>
    </row>
    <row r="1377" customFormat="false" ht="15" hidden="false" customHeight="false" outlineLevel="0" collapsed="false">
      <c r="A1377" s="4" t="s">
        <v>86</v>
      </c>
      <c r="B1377" s="4" t="s">
        <v>412</v>
      </c>
      <c r="C1377" s="4" t="s">
        <v>519</v>
      </c>
      <c r="D1377" s="4" t="n">
        <f aca="false">IFERROR(INDEX(Positions!$D$2:$D$6912,MATCH($A1377&amp;"|4",Positions!$A$2:$A$6912,0)),"-")</f>
        <v>4</v>
      </c>
      <c r="E1377" s="4" t="n">
        <f aca="false">IFERROR(INDEX(Positions!$D$2:$D$6912,MATCH($A1377&amp;"|69",Positions!$A$2:$A$6912,0)),"-")</f>
        <v>69</v>
      </c>
      <c r="F1377" s="4" t="str">
        <f aca="false">IFERROR(INDEX(Positions!$E$2:$E$6912,MATCH($A1377&amp;"|4",Positions!$A$2:$A$6912,0)),"-")</f>
        <v>C</v>
      </c>
      <c r="G1377" s="4" t="str">
        <f aca="false">IFERROR(INDEX(Positions!$E$2:$E$6912,MATCH($A1377&amp;"|69",Positions!$A$2:$A$6912,0)),"-")</f>
        <v>G</v>
      </c>
      <c r="H1377" s="3" t="str">
        <f aca="false">F1377&amp;"-"&amp;G1377</f>
        <v>C-G</v>
      </c>
      <c r="I1377" s="4" t="n">
        <f aca="false">(F1377="G")+(G1377="G")</f>
        <v>1</v>
      </c>
      <c r="J1377" s="4" t="n">
        <f aca="false">(F1377="C")+(G1377="C")</f>
        <v>1</v>
      </c>
      <c r="K1377" s="3" t="n">
        <f aca="false">I1377+J1377</f>
        <v>2</v>
      </c>
    </row>
    <row r="1378" customFormat="false" ht="15" hidden="false" customHeight="false" outlineLevel="0" collapsed="false">
      <c r="A1378" s="4" t="s">
        <v>86</v>
      </c>
      <c r="B1378" s="4" t="s">
        <v>412</v>
      </c>
      <c r="C1378" s="4" t="s">
        <v>283</v>
      </c>
      <c r="D1378" s="4" t="n">
        <f aca="false">IFERROR(INDEX(Positions!$D$2:$D$6912,MATCH($A1378&amp;"|5",Positions!$A$2:$A$6912,0)),"-")</f>
        <v>5</v>
      </c>
      <c r="E1378" s="4" t="n">
        <f aca="false">IFERROR(INDEX(Positions!$D$2:$D$6912,MATCH($A1378&amp;"|68",Positions!$A$2:$A$6912,0)),"-")</f>
        <v>68</v>
      </c>
      <c r="F1378" s="4" t="str">
        <f aca="false">IFERROR(INDEX(Positions!$E$2:$E$6912,MATCH($A1378&amp;"|5",Positions!$A$2:$A$6912,0)),"-")</f>
        <v>G</v>
      </c>
      <c r="G1378" s="4" t="str">
        <f aca="false">IFERROR(INDEX(Positions!$E$2:$E$6912,MATCH($A1378&amp;"|68",Positions!$A$2:$A$6912,0)),"-")</f>
        <v>C</v>
      </c>
      <c r="H1378" s="3" t="str">
        <f aca="false">F1378&amp;"-"&amp;G1378</f>
        <v>G-C</v>
      </c>
      <c r="I1378" s="4" t="n">
        <f aca="false">(F1378="G")+(G1378="G")</f>
        <v>1</v>
      </c>
      <c r="J1378" s="4" t="n">
        <f aca="false">(F1378="C")+(G1378="C")</f>
        <v>1</v>
      </c>
      <c r="K1378" s="3" t="n">
        <f aca="false">I1378+J1378</f>
        <v>2</v>
      </c>
    </row>
    <row r="1379" customFormat="false" ht="15" hidden="false" customHeight="false" outlineLevel="0" collapsed="false">
      <c r="A1379" s="4" t="s">
        <v>86</v>
      </c>
      <c r="B1379" s="4" t="s">
        <v>412</v>
      </c>
      <c r="C1379" s="4" t="s">
        <v>520</v>
      </c>
      <c r="D1379" s="4" t="n">
        <f aca="false">IFERROR(INDEX(Positions!$D$2:$D$6912,MATCH($A1379&amp;"|6",Positions!$A$2:$A$6912,0)),"-")</f>
        <v>6</v>
      </c>
      <c r="E1379" s="4" t="n">
        <f aca="false">IFERROR(INDEX(Positions!$D$2:$D$6912,MATCH($A1379&amp;"|67",Positions!$A$2:$A$6912,0)),"-")</f>
        <v>67</v>
      </c>
      <c r="F1379" s="4" t="str">
        <f aca="false">IFERROR(INDEX(Positions!$E$2:$E$6912,MATCH($A1379&amp;"|6",Positions!$A$2:$A$6912,0)),"-")</f>
        <v>G</v>
      </c>
      <c r="G1379" s="4" t="str">
        <f aca="false">IFERROR(INDEX(Positions!$E$2:$E$6912,MATCH($A1379&amp;"|67",Positions!$A$2:$A$6912,0)),"-")</f>
        <v>U</v>
      </c>
      <c r="H1379" s="3" t="str">
        <f aca="false">F1379&amp;"-"&amp;G1379</f>
        <v>G-U</v>
      </c>
      <c r="I1379" s="4" t="n">
        <f aca="false">(F1379="G")+(G1379="G")</f>
        <v>1</v>
      </c>
      <c r="J1379" s="4" t="n">
        <f aca="false">(F1379="C")+(G1379="C")</f>
        <v>0</v>
      </c>
      <c r="K1379" s="3" t="n">
        <f aca="false">I1379+J1379</f>
        <v>1</v>
      </c>
    </row>
    <row r="1380" customFormat="false" ht="15" hidden="false" customHeight="false" outlineLevel="0" collapsed="false">
      <c r="A1380" s="4" t="s">
        <v>86</v>
      </c>
      <c r="B1380" s="4" t="s">
        <v>412</v>
      </c>
      <c r="C1380" s="4" t="s">
        <v>521</v>
      </c>
      <c r="D1380" s="4" t="n">
        <f aca="false">IFERROR(INDEX(Positions!$D$2:$D$6912,MATCH($A1380&amp;"|7",Positions!$A$2:$A$6912,0)),"-")</f>
        <v>7</v>
      </c>
      <c r="E1380" s="4" t="n">
        <f aca="false">IFERROR(INDEX(Positions!$D$2:$D$6912,MATCH($A1380&amp;"|66",Positions!$A$2:$A$6912,0)),"-")</f>
        <v>66</v>
      </c>
      <c r="F1380" s="4" t="str">
        <f aca="false">IFERROR(INDEX(Positions!$E$2:$E$6912,MATCH($A1380&amp;"|7",Positions!$A$2:$A$6912,0)),"-")</f>
        <v>A</v>
      </c>
      <c r="G1380" s="4" t="str">
        <f aca="false">IFERROR(INDEX(Positions!$E$2:$E$6912,MATCH($A1380&amp;"|66",Positions!$A$2:$A$6912,0)),"-")</f>
        <v>U</v>
      </c>
      <c r="H1380" s="3" t="str">
        <f aca="false">F1380&amp;"-"&amp;G1380</f>
        <v>A-U</v>
      </c>
      <c r="I1380" s="4" t="n">
        <f aca="false">(F1380="G")+(G1380="G")</f>
        <v>0</v>
      </c>
      <c r="J1380" s="4" t="n">
        <f aca="false">(F1380="C")+(G1380="C")</f>
        <v>0</v>
      </c>
      <c r="K1380" s="3" t="n">
        <f aca="false">I1380+J1380</f>
        <v>0</v>
      </c>
    </row>
    <row r="1381" customFormat="false" ht="15" hidden="false" customHeight="false" outlineLevel="0" collapsed="false">
      <c r="A1381" s="4" t="s">
        <v>86</v>
      </c>
      <c r="B1381" s="4" t="s">
        <v>425</v>
      </c>
      <c r="C1381" s="4" t="s">
        <v>522</v>
      </c>
      <c r="D1381" s="4" t="n">
        <f aca="false">IFERROR(INDEX(Positions!$D$2:$D$6912,MATCH($A1381&amp;"|10",Positions!$A$2:$A$6912,0)),"-")</f>
        <v>10</v>
      </c>
      <c r="E1381" s="4" t="n">
        <f aca="false">IFERROR(INDEX(Positions!$D$2:$D$6912,MATCH($A1381&amp;"|25",Positions!$A$2:$A$6912,0)),"-")</f>
        <v>25</v>
      </c>
      <c r="F1381" s="4" t="str">
        <f aca="false">IFERROR(INDEX(Positions!$E$2:$E$6912,MATCH($A1381&amp;"|10",Positions!$A$2:$A$6912,0)),"-")</f>
        <v>G</v>
      </c>
      <c r="G1381" s="4" t="str">
        <f aca="false">IFERROR(INDEX(Positions!$E$2:$E$6912,MATCH($A1381&amp;"|25",Positions!$A$2:$A$6912,0)),"-")</f>
        <v>C</v>
      </c>
      <c r="H1381" s="3" t="str">
        <f aca="false">F1381&amp;"-"&amp;G1381</f>
        <v>G-C</v>
      </c>
      <c r="I1381" s="4" t="n">
        <f aca="false">(F1381="G")+(G1381="G")</f>
        <v>1</v>
      </c>
      <c r="J1381" s="4" t="n">
        <f aca="false">(F1381="C")+(G1381="C")</f>
        <v>1</v>
      </c>
      <c r="K1381" s="3" t="n">
        <f aca="false">I1381+J1381</f>
        <v>2</v>
      </c>
    </row>
    <row r="1382" customFormat="false" ht="15" hidden="false" customHeight="false" outlineLevel="0" collapsed="false">
      <c r="A1382" s="4" t="s">
        <v>86</v>
      </c>
      <c r="B1382" s="4" t="s">
        <v>425</v>
      </c>
      <c r="C1382" s="4" t="s">
        <v>523</v>
      </c>
      <c r="D1382" s="4" t="n">
        <f aca="false">IFERROR(INDEX(Positions!$D$2:$D$6912,MATCH($A1382&amp;"|11",Positions!$A$2:$A$6912,0)),"-")</f>
        <v>11</v>
      </c>
      <c r="E1382" s="4" t="n">
        <f aca="false">IFERROR(INDEX(Positions!$D$2:$D$6912,MATCH($A1382&amp;"|24",Positions!$A$2:$A$6912,0)),"-")</f>
        <v>24</v>
      </c>
      <c r="F1382" s="4" t="str">
        <f aca="false">IFERROR(INDEX(Positions!$E$2:$E$6912,MATCH($A1382&amp;"|11",Positions!$A$2:$A$6912,0)),"-")</f>
        <v>C</v>
      </c>
      <c r="G1382" s="4" t="str">
        <f aca="false">IFERROR(INDEX(Positions!$E$2:$E$6912,MATCH($A1382&amp;"|24",Positions!$A$2:$A$6912,0)),"-")</f>
        <v>G</v>
      </c>
      <c r="H1382" s="3" t="str">
        <f aca="false">F1382&amp;"-"&amp;G1382</f>
        <v>C-G</v>
      </c>
      <c r="I1382" s="4" t="n">
        <f aca="false">(F1382="G")+(G1382="G")</f>
        <v>1</v>
      </c>
      <c r="J1382" s="4" t="n">
        <f aca="false">(F1382="C")+(G1382="C")</f>
        <v>1</v>
      </c>
      <c r="K1382" s="3" t="n">
        <f aca="false">I1382+J1382</f>
        <v>2</v>
      </c>
    </row>
    <row r="1383" customFormat="false" ht="15" hidden="false" customHeight="false" outlineLevel="0" collapsed="false">
      <c r="A1383" s="4" t="s">
        <v>86</v>
      </c>
      <c r="B1383" s="4" t="s">
        <v>425</v>
      </c>
      <c r="C1383" s="4" t="s">
        <v>250</v>
      </c>
      <c r="D1383" s="4" t="n">
        <f aca="false">IFERROR(INDEX(Positions!$D$2:$D$6912,MATCH($A1383&amp;"|12",Positions!$A$2:$A$6912,0)),"-")</f>
        <v>12</v>
      </c>
      <c r="E1383" s="4" t="n">
        <f aca="false">IFERROR(INDEX(Positions!$D$2:$D$6912,MATCH($A1383&amp;"|23",Positions!$A$2:$A$6912,0)),"-")</f>
        <v>23</v>
      </c>
      <c r="F1383" s="4" t="str">
        <f aca="false">IFERROR(INDEX(Positions!$E$2:$E$6912,MATCH($A1383&amp;"|12",Positions!$A$2:$A$6912,0)),"-")</f>
        <v>U</v>
      </c>
      <c r="G1383" s="4" t="str">
        <f aca="false">IFERROR(INDEX(Positions!$E$2:$E$6912,MATCH($A1383&amp;"|23",Positions!$A$2:$A$6912,0)),"-")</f>
        <v>A</v>
      </c>
      <c r="H1383" s="3" t="str">
        <f aca="false">F1383&amp;"-"&amp;G1383</f>
        <v>U-A</v>
      </c>
      <c r="I1383" s="4" t="n">
        <f aca="false">(F1383="G")+(G1383="G")</f>
        <v>0</v>
      </c>
      <c r="J1383" s="4" t="n">
        <f aca="false">(F1383="C")+(G1383="C")</f>
        <v>0</v>
      </c>
      <c r="K1383" s="3" t="n">
        <f aca="false">I1383+J1383</f>
        <v>0</v>
      </c>
    </row>
    <row r="1384" customFormat="false" ht="15" hidden="false" customHeight="false" outlineLevel="0" collapsed="false">
      <c r="A1384" s="4" t="s">
        <v>86</v>
      </c>
      <c r="B1384" s="4" t="s">
        <v>425</v>
      </c>
      <c r="C1384" s="4" t="s">
        <v>154</v>
      </c>
      <c r="D1384" s="4" t="n">
        <f aca="false">IFERROR(INDEX(Positions!$D$2:$D$6912,MATCH($A1384&amp;"|13",Positions!$A$2:$A$6912,0)),"-")</f>
        <v>13</v>
      </c>
      <c r="E1384" s="4" t="n">
        <f aca="false">IFERROR(INDEX(Positions!$D$2:$D$6912,MATCH($A1384&amp;"|22",Positions!$A$2:$A$6912,0)),"-")</f>
        <v>22</v>
      </c>
      <c r="F1384" s="4" t="str">
        <f aca="false">IFERROR(INDEX(Positions!$E$2:$E$6912,MATCH($A1384&amp;"|13",Positions!$A$2:$A$6912,0)),"-")</f>
        <v>C</v>
      </c>
      <c r="G1384" s="4" t="str">
        <f aca="false">IFERROR(INDEX(Positions!$E$2:$E$6912,MATCH($A1384&amp;"|22",Positions!$A$2:$A$6912,0)),"-")</f>
        <v>G</v>
      </c>
      <c r="H1384" s="3" t="str">
        <f aca="false">F1384&amp;"-"&amp;G1384</f>
        <v>C-G</v>
      </c>
      <c r="I1384" s="4" t="n">
        <f aca="false">(F1384="G")+(G1384="G")</f>
        <v>1</v>
      </c>
      <c r="J1384" s="4" t="n">
        <f aca="false">(F1384="C")+(G1384="C")</f>
        <v>1</v>
      </c>
      <c r="K1384" s="3" t="n">
        <f aca="false">I1384+J1384</f>
        <v>2</v>
      </c>
    </row>
    <row r="1385" customFormat="false" ht="15" hidden="false" customHeight="false" outlineLevel="0" collapsed="false">
      <c r="A1385" s="4" t="s">
        <v>86</v>
      </c>
      <c r="B1385" s="4" t="s">
        <v>446</v>
      </c>
      <c r="C1385" s="4" t="s">
        <v>524</v>
      </c>
      <c r="D1385" s="4" t="n">
        <f aca="false">IFERROR(INDEX(Positions!$D$2:$D$6912,MATCH($A1385&amp;"|27",Positions!$A$2:$A$6912,0)),"-")</f>
        <v>27</v>
      </c>
      <c r="E1385" s="4" t="n">
        <f aca="false">IFERROR(INDEX(Positions!$D$2:$D$6912,MATCH($A1385&amp;"|43",Positions!$A$2:$A$6912,0)),"-")</f>
        <v>43</v>
      </c>
      <c r="F1385" s="4" t="str">
        <f aca="false">IFERROR(INDEX(Positions!$E$2:$E$6912,MATCH($A1385&amp;"|27",Positions!$A$2:$A$6912,0)),"-")</f>
        <v>U</v>
      </c>
      <c r="G1385" s="4" t="str">
        <f aca="false">IFERROR(INDEX(Positions!$E$2:$E$6912,MATCH($A1385&amp;"|43",Positions!$A$2:$A$6912,0)),"-")</f>
        <v>A</v>
      </c>
      <c r="H1385" s="3" t="str">
        <f aca="false">F1385&amp;"-"&amp;G1385</f>
        <v>U-A</v>
      </c>
      <c r="I1385" s="4" t="n">
        <f aca="false">(F1385="G")+(G1385="G")</f>
        <v>0</v>
      </c>
      <c r="J1385" s="4" t="n">
        <f aca="false">(F1385="C")+(G1385="C")</f>
        <v>0</v>
      </c>
      <c r="K1385" s="3" t="n">
        <f aca="false">I1385+J1385</f>
        <v>0</v>
      </c>
    </row>
    <row r="1386" customFormat="false" ht="15" hidden="false" customHeight="false" outlineLevel="0" collapsed="false">
      <c r="A1386" s="4" t="s">
        <v>86</v>
      </c>
      <c r="B1386" s="4" t="s">
        <v>446</v>
      </c>
      <c r="C1386" s="4" t="s">
        <v>525</v>
      </c>
      <c r="D1386" s="4" t="n">
        <f aca="false">IFERROR(INDEX(Positions!$D$2:$D$6912,MATCH($A1386&amp;"|28",Positions!$A$2:$A$6912,0)),"-")</f>
        <v>28</v>
      </c>
      <c r="E1386" s="4" t="n">
        <f aca="false">IFERROR(INDEX(Positions!$D$2:$D$6912,MATCH($A1386&amp;"|42",Positions!$A$2:$A$6912,0)),"-")</f>
        <v>42</v>
      </c>
      <c r="F1386" s="4" t="str">
        <f aca="false">IFERROR(INDEX(Positions!$E$2:$E$6912,MATCH($A1386&amp;"|28",Positions!$A$2:$A$6912,0)),"-")</f>
        <v>C</v>
      </c>
      <c r="G1386" s="4" t="str">
        <f aca="false">IFERROR(INDEX(Positions!$E$2:$E$6912,MATCH($A1386&amp;"|42",Positions!$A$2:$A$6912,0)),"-")</f>
        <v>G</v>
      </c>
      <c r="H1386" s="3" t="str">
        <f aca="false">F1386&amp;"-"&amp;G1386</f>
        <v>C-G</v>
      </c>
      <c r="I1386" s="4" t="n">
        <f aca="false">(F1386="G")+(G1386="G")</f>
        <v>1</v>
      </c>
      <c r="J1386" s="4" t="n">
        <f aca="false">(F1386="C")+(G1386="C")</f>
        <v>1</v>
      </c>
      <c r="K1386" s="3" t="n">
        <f aca="false">I1386+J1386</f>
        <v>2</v>
      </c>
    </row>
    <row r="1387" customFormat="false" ht="15" hidden="false" customHeight="false" outlineLevel="0" collapsed="false">
      <c r="A1387" s="4" t="s">
        <v>86</v>
      </c>
      <c r="B1387" s="4" t="s">
        <v>446</v>
      </c>
      <c r="C1387" s="4" t="s">
        <v>256</v>
      </c>
      <c r="D1387" s="4" t="n">
        <f aca="false">IFERROR(INDEX(Positions!$D$2:$D$6912,MATCH($A1387&amp;"|29",Positions!$A$2:$A$6912,0)),"-")</f>
        <v>29</v>
      </c>
      <c r="E1387" s="4" t="n">
        <f aca="false">IFERROR(INDEX(Positions!$D$2:$D$6912,MATCH($A1387&amp;"|41",Positions!$A$2:$A$6912,0)),"-")</f>
        <v>41</v>
      </c>
      <c r="F1387" s="4" t="str">
        <f aca="false">IFERROR(INDEX(Positions!$E$2:$E$6912,MATCH($A1387&amp;"|29",Positions!$A$2:$A$6912,0)),"-")</f>
        <v>A</v>
      </c>
      <c r="G1387" s="4" t="str">
        <f aca="false">IFERROR(INDEX(Positions!$E$2:$E$6912,MATCH($A1387&amp;"|41",Positions!$A$2:$A$6912,0)),"-")</f>
        <v>U</v>
      </c>
      <c r="H1387" s="3" t="str">
        <f aca="false">F1387&amp;"-"&amp;G1387</f>
        <v>A-U</v>
      </c>
      <c r="I1387" s="4" t="n">
        <f aca="false">(F1387="G")+(G1387="G")</f>
        <v>0</v>
      </c>
      <c r="J1387" s="4" t="n">
        <f aca="false">(F1387="C")+(G1387="C")</f>
        <v>0</v>
      </c>
      <c r="K1387" s="3" t="n">
        <f aca="false">I1387+J1387</f>
        <v>0</v>
      </c>
    </row>
    <row r="1388" customFormat="false" ht="15" hidden="false" customHeight="false" outlineLevel="0" collapsed="false">
      <c r="A1388" s="4" t="s">
        <v>86</v>
      </c>
      <c r="B1388" s="4" t="s">
        <v>446</v>
      </c>
      <c r="C1388" s="4" t="s">
        <v>526</v>
      </c>
      <c r="D1388" s="4" t="n">
        <f aca="false">IFERROR(INDEX(Positions!$D$2:$D$6912,MATCH($A1388&amp;"|30",Positions!$A$2:$A$6912,0)),"-")</f>
        <v>30</v>
      </c>
      <c r="E1388" s="4" t="n">
        <f aca="false">IFERROR(INDEX(Positions!$D$2:$D$6912,MATCH($A1388&amp;"|40",Positions!$A$2:$A$6912,0)),"-")</f>
        <v>40</v>
      </c>
      <c r="F1388" s="4" t="str">
        <f aca="false">IFERROR(INDEX(Positions!$E$2:$E$6912,MATCH($A1388&amp;"|30",Positions!$A$2:$A$6912,0)),"-")</f>
        <v>G</v>
      </c>
      <c r="G1388" s="4" t="str">
        <f aca="false">IFERROR(INDEX(Positions!$E$2:$E$6912,MATCH($A1388&amp;"|40",Positions!$A$2:$A$6912,0)),"-")</f>
        <v>C</v>
      </c>
      <c r="H1388" s="3" t="str">
        <f aca="false">F1388&amp;"-"&amp;G1388</f>
        <v>G-C</v>
      </c>
      <c r="I1388" s="4" t="n">
        <f aca="false">(F1388="G")+(G1388="G")</f>
        <v>1</v>
      </c>
      <c r="J1388" s="4" t="n">
        <f aca="false">(F1388="C")+(G1388="C")</f>
        <v>1</v>
      </c>
      <c r="K1388" s="3" t="n">
        <f aca="false">I1388+J1388</f>
        <v>2</v>
      </c>
    </row>
    <row r="1389" customFormat="false" ht="15" hidden="false" customHeight="false" outlineLevel="0" collapsed="false">
      <c r="A1389" s="4" t="s">
        <v>86</v>
      </c>
      <c r="B1389" s="4" t="s">
        <v>446</v>
      </c>
      <c r="C1389" s="4" t="s">
        <v>273</v>
      </c>
      <c r="D1389" s="4" t="n">
        <f aca="false">IFERROR(INDEX(Positions!$D$2:$D$6912,MATCH($A1389&amp;"|31",Positions!$A$2:$A$6912,0)),"-")</f>
        <v>31</v>
      </c>
      <c r="E1389" s="4" t="n">
        <f aca="false">IFERROR(INDEX(Positions!$D$2:$D$6912,MATCH($A1389&amp;"|39",Positions!$A$2:$A$6912,0)),"-")</f>
        <v>39</v>
      </c>
      <c r="F1389" s="4" t="str">
        <f aca="false">IFERROR(INDEX(Positions!$E$2:$E$6912,MATCH($A1389&amp;"|31",Positions!$A$2:$A$6912,0)),"-")</f>
        <v>A</v>
      </c>
      <c r="G1389" s="4" t="str">
        <f aca="false">IFERROR(INDEX(Positions!$E$2:$E$6912,MATCH($A1389&amp;"|39",Positions!$A$2:$A$6912,0)),"-")</f>
        <v>U</v>
      </c>
      <c r="H1389" s="3" t="str">
        <f aca="false">F1389&amp;"-"&amp;G1389</f>
        <v>A-U</v>
      </c>
      <c r="I1389" s="4" t="n">
        <f aca="false">(F1389="G")+(G1389="G")</f>
        <v>0</v>
      </c>
      <c r="J1389" s="4" t="n">
        <f aca="false">(F1389="C")+(G1389="C")</f>
        <v>0</v>
      </c>
      <c r="K1389" s="3" t="n">
        <f aca="false">I1389+J1389</f>
        <v>0</v>
      </c>
    </row>
    <row r="1390" customFormat="false" ht="15" hidden="false" customHeight="false" outlineLevel="0" collapsed="false">
      <c r="A1390" s="4" t="s">
        <v>86</v>
      </c>
      <c r="B1390" s="4" t="s">
        <v>471</v>
      </c>
      <c r="C1390" s="4" t="s">
        <v>367</v>
      </c>
      <c r="D1390" s="4" t="n">
        <f aca="false">IFERROR(INDEX(Positions!$D$2:$D$6912,MATCH($A1390&amp;"|49",Positions!$A$2:$A$6912,0)),"-")</f>
        <v>49</v>
      </c>
      <c r="E1390" s="4" t="n">
        <f aca="false">IFERROR(INDEX(Positions!$D$2:$D$6912,MATCH($A1390&amp;"|65",Positions!$A$2:$A$6912,0)),"-")</f>
        <v>65</v>
      </c>
      <c r="F1390" s="4" t="str">
        <f aca="false">IFERROR(INDEX(Positions!$E$2:$E$6912,MATCH($A1390&amp;"|49",Positions!$A$2:$A$6912,0)),"-")</f>
        <v>C</v>
      </c>
      <c r="G1390" s="4" t="str">
        <f aca="false">IFERROR(INDEX(Positions!$E$2:$E$6912,MATCH($A1390&amp;"|65",Positions!$A$2:$A$6912,0)),"-")</f>
        <v>G</v>
      </c>
      <c r="H1390" s="3" t="str">
        <f aca="false">F1390&amp;"-"&amp;G1390</f>
        <v>C-G</v>
      </c>
      <c r="I1390" s="4" t="n">
        <f aca="false">(F1390="G")+(G1390="G")</f>
        <v>1</v>
      </c>
      <c r="J1390" s="4" t="n">
        <f aca="false">(F1390="C")+(G1390="C")</f>
        <v>1</v>
      </c>
      <c r="K1390" s="3" t="n">
        <f aca="false">I1390+J1390</f>
        <v>2</v>
      </c>
    </row>
    <row r="1391" customFormat="false" ht="15" hidden="false" customHeight="false" outlineLevel="0" collapsed="false">
      <c r="A1391" s="4" t="s">
        <v>86</v>
      </c>
      <c r="B1391" s="4" t="s">
        <v>471</v>
      </c>
      <c r="C1391" s="4" t="s">
        <v>233</v>
      </c>
      <c r="D1391" s="4" t="n">
        <f aca="false">IFERROR(INDEX(Positions!$D$2:$D$6912,MATCH($A1391&amp;"|50",Positions!$A$2:$A$6912,0)),"-")</f>
        <v>50</v>
      </c>
      <c r="E1391" s="4" t="n">
        <f aca="false">IFERROR(INDEX(Positions!$D$2:$D$6912,MATCH($A1391&amp;"|64",Positions!$A$2:$A$6912,0)),"-")</f>
        <v>64</v>
      </c>
      <c r="F1391" s="4" t="str">
        <f aca="false">IFERROR(INDEX(Positions!$E$2:$E$6912,MATCH($A1391&amp;"|50",Positions!$A$2:$A$6912,0)),"-")</f>
        <v>A</v>
      </c>
      <c r="G1391" s="4" t="str">
        <f aca="false">IFERROR(INDEX(Positions!$E$2:$E$6912,MATCH($A1391&amp;"|64",Positions!$A$2:$A$6912,0)),"-")</f>
        <v>U</v>
      </c>
      <c r="H1391" s="3" t="str">
        <f aca="false">F1391&amp;"-"&amp;G1391</f>
        <v>A-U</v>
      </c>
      <c r="I1391" s="4" t="n">
        <f aca="false">(F1391="G")+(G1391="G")</f>
        <v>0</v>
      </c>
      <c r="J1391" s="4" t="n">
        <f aca="false">(F1391="C")+(G1391="C")</f>
        <v>0</v>
      </c>
      <c r="K1391" s="3" t="n">
        <f aca="false">I1391+J1391</f>
        <v>0</v>
      </c>
    </row>
    <row r="1392" customFormat="false" ht="15" hidden="false" customHeight="false" outlineLevel="0" collapsed="false">
      <c r="A1392" s="4" t="s">
        <v>86</v>
      </c>
      <c r="B1392" s="4" t="s">
        <v>471</v>
      </c>
      <c r="C1392" s="4" t="s">
        <v>527</v>
      </c>
      <c r="D1392" s="4" t="n">
        <f aca="false">IFERROR(INDEX(Positions!$D$2:$D$6912,MATCH($A1392&amp;"|51",Positions!$A$2:$A$6912,0)),"-")</f>
        <v>51</v>
      </c>
      <c r="E1392" s="4" t="n">
        <f aca="false">IFERROR(INDEX(Positions!$D$2:$D$6912,MATCH($A1392&amp;"|63",Positions!$A$2:$A$6912,0)),"-")</f>
        <v>63</v>
      </c>
      <c r="F1392" s="4" t="str">
        <f aca="false">IFERROR(INDEX(Positions!$E$2:$E$6912,MATCH($A1392&amp;"|51",Positions!$A$2:$A$6912,0)),"-")</f>
        <v>G</v>
      </c>
      <c r="G1392" s="4" t="str">
        <f aca="false">IFERROR(INDEX(Positions!$E$2:$E$6912,MATCH($A1392&amp;"|63",Positions!$A$2:$A$6912,0)),"-")</f>
        <v>C</v>
      </c>
      <c r="H1392" s="3" t="str">
        <f aca="false">F1392&amp;"-"&amp;G1392</f>
        <v>G-C</v>
      </c>
      <c r="I1392" s="4" t="n">
        <f aca="false">(F1392="G")+(G1392="G")</f>
        <v>1</v>
      </c>
      <c r="J1392" s="4" t="n">
        <f aca="false">(F1392="C")+(G1392="C")</f>
        <v>1</v>
      </c>
      <c r="K1392" s="3" t="n">
        <f aca="false">I1392+J1392</f>
        <v>2</v>
      </c>
    </row>
    <row r="1393" customFormat="false" ht="15" hidden="false" customHeight="false" outlineLevel="0" collapsed="false">
      <c r="A1393" s="4" t="s">
        <v>86</v>
      </c>
      <c r="B1393" s="4" t="s">
        <v>471</v>
      </c>
      <c r="C1393" s="4" t="s">
        <v>528</v>
      </c>
      <c r="D1393" s="4" t="n">
        <f aca="false">IFERROR(INDEX(Positions!$D$2:$D$6912,MATCH($A1393&amp;"|52",Positions!$A$2:$A$6912,0)),"-")</f>
        <v>52</v>
      </c>
      <c r="E1393" s="4" t="n">
        <f aca="false">IFERROR(INDEX(Positions!$D$2:$D$6912,MATCH($A1393&amp;"|62",Positions!$A$2:$A$6912,0)),"-")</f>
        <v>62</v>
      </c>
      <c r="F1393" s="4" t="str">
        <f aca="false">IFERROR(INDEX(Positions!$E$2:$E$6912,MATCH($A1393&amp;"|52",Positions!$A$2:$A$6912,0)),"-")</f>
        <v>G</v>
      </c>
      <c r="G1393" s="4" t="str">
        <f aca="false">IFERROR(INDEX(Positions!$E$2:$E$6912,MATCH($A1393&amp;"|62",Positions!$A$2:$A$6912,0)),"-")</f>
        <v>C</v>
      </c>
      <c r="H1393" s="3" t="str">
        <f aca="false">F1393&amp;"-"&amp;G1393</f>
        <v>G-C</v>
      </c>
      <c r="I1393" s="4" t="n">
        <f aca="false">(F1393="G")+(G1393="G")</f>
        <v>1</v>
      </c>
      <c r="J1393" s="4" t="n">
        <f aca="false">(F1393="C")+(G1393="C")</f>
        <v>1</v>
      </c>
      <c r="K1393" s="3" t="n">
        <f aca="false">I1393+J1393</f>
        <v>2</v>
      </c>
    </row>
    <row r="1394" customFormat="false" ht="15" hidden="false" customHeight="false" outlineLevel="0" collapsed="false">
      <c r="A1394" s="4" t="s">
        <v>86</v>
      </c>
      <c r="B1394" s="4" t="s">
        <v>471</v>
      </c>
      <c r="C1394" s="4" t="s">
        <v>529</v>
      </c>
      <c r="D1394" s="4" t="n">
        <f aca="false">IFERROR(INDEX(Positions!$D$2:$D$6912,MATCH($A1394&amp;"|53",Positions!$A$2:$A$6912,0)),"-")</f>
        <v>53</v>
      </c>
      <c r="E1394" s="4" t="n">
        <f aca="false">IFERROR(INDEX(Positions!$D$2:$D$6912,MATCH($A1394&amp;"|61",Positions!$A$2:$A$6912,0)),"-")</f>
        <v>61</v>
      </c>
      <c r="F1394" s="4" t="str">
        <f aca="false">IFERROR(INDEX(Positions!$E$2:$E$6912,MATCH($A1394&amp;"|53",Positions!$A$2:$A$6912,0)),"-")</f>
        <v>G</v>
      </c>
      <c r="G1394" s="4" t="str">
        <f aca="false">IFERROR(INDEX(Positions!$E$2:$E$6912,MATCH($A1394&amp;"|61",Positions!$A$2:$A$6912,0)),"-")</f>
        <v>C</v>
      </c>
      <c r="H1394" s="3" t="str">
        <f aca="false">F1394&amp;"-"&amp;G1394</f>
        <v>G-C</v>
      </c>
      <c r="I1394" s="4" t="n">
        <f aca="false">(F1394="G")+(G1394="G")</f>
        <v>1</v>
      </c>
      <c r="J1394" s="4" t="n">
        <f aca="false">(F1394="C")+(G1394="C")</f>
        <v>1</v>
      </c>
      <c r="K1394" s="3" t="n">
        <f aca="false">I1394+J1394</f>
        <v>2</v>
      </c>
    </row>
    <row r="1395" customFormat="false" ht="15" hidden="false" customHeight="false" outlineLevel="0" collapsed="false">
      <c r="A1395" s="24" t="s">
        <v>86</v>
      </c>
      <c r="B1395" s="24" t="s">
        <v>530</v>
      </c>
      <c r="C1395" s="24" t="s">
        <v>531</v>
      </c>
      <c r="D1395" s="24" t="n">
        <f aca="false">IFERROR(INDEX(Positions!$D$2:$D$6912,MATCH($A1395&amp;"|8",Positions!$A$2:$A$6912,0)),"-")</f>
        <v>8</v>
      </c>
      <c r="E1395" s="24" t="n">
        <f aca="false">IFERROR(INDEX(Positions!$D$2:$D$6912,MATCH($A1395&amp;"|14",Positions!$A$2:$A$6912,0)),"-")</f>
        <v>14</v>
      </c>
      <c r="F1395" s="24" t="str">
        <f aca="false">IFERROR(INDEX(Positions!$E$2:$E$6912,MATCH($A1395&amp;"|8",Positions!$A$2:$A$6912,0)),"-")</f>
        <v>U</v>
      </c>
      <c r="G1395" s="24" t="str">
        <f aca="false">IFERROR(INDEX(Positions!$E$2:$E$6912,MATCH($A1395&amp;"|14",Positions!$A$2:$A$6912,0)),"-")</f>
        <v>A</v>
      </c>
      <c r="H1395" s="25" t="str">
        <f aca="false">F1395&amp;"-"&amp;G1395</f>
        <v>U-A</v>
      </c>
      <c r="I1395" s="24" t="n">
        <f aca="false">(F1395="G")+(G1395="G")</f>
        <v>0</v>
      </c>
      <c r="J1395" s="24" t="n">
        <f aca="false">(F1395="C")+(G1395="C")</f>
        <v>0</v>
      </c>
      <c r="K1395" s="25" t="n">
        <f aca="false">I1395+J1395</f>
        <v>0</v>
      </c>
    </row>
    <row r="1396" customFormat="false" ht="15" hidden="false" customHeight="false" outlineLevel="0" collapsed="false">
      <c r="A1396" s="24" t="s">
        <v>86</v>
      </c>
      <c r="B1396" s="24" t="s">
        <v>530</v>
      </c>
      <c r="C1396" s="24" t="s">
        <v>532</v>
      </c>
      <c r="D1396" s="24" t="n">
        <f aca="false">IFERROR(INDEX(Positions!$D$2:$D$6912,MATCH($A1396&amp;"|15",Positions!$A$2:$A$6912,0)),"-")</f>
        <v>15</v>
      </c>
      <c r="E1396" s="24" t="n">
        <f aca="false">IFERROR(INDEX(Positions!$D$2:$D$6912,MATCH($A1396&amp;"|48",Positions!$A$2:$A$6912,0)),"-")</f>
        <v>48</v>
      </c>
      <c r="F1396" s="24" t="str">
        <f aca="false">IFERROR(INDEX(Positions!$E$2:$E$6912,MATCH($A1396&amp;"|15",Positions!$A$2:$A$6912,0)),"-")</f>
        <v>G</v>
      </c>
      <c r="G1396" s="24" t="str">
        <f aca="false">IFERROR(INDEX(Positions!$E$2:$E$6912,MATCH($A1396&amp;"|48",Positions!$A$2:$A$6912,0)),"-")</f>
        <v>C</v>
      </c>
      <c r="H1396" s="25" t="str">
        <f aca="false">F1396&amp;"-"&amp;G1396</f>
        <v>G-C</v>
      </c>
      <c r="I1396" s="24" t="n">
        <f aca="false">(F1396="G")+(G1396="G")</f>
        <v>1</v>
      </c>
      <c r="J1396" s="24" t="n">
        <f aca="false">(F1396="C")+(G1396="C")</f>
        <v>1</v>
      </c>
      <c r="K1396" s="25" t="n">
        <f aca="false">I1396+J1396</f>
        <v>2</v>
      </c>
    </row>
    <row r="1397" customFormat="false" ht="15" hidden="false" customHeight="false" outlineLevel="0" collapsed="false">
      <c r="A1397" s="24" t="s">
        <v>86</v>
      </c>
      <c r="B1397" s="24" t="s">
        <v>530</v>
      </c>
      <c r="C1397" s="24" t="s">
        <v>533</v>
      </c>
      <c r="D1397" s="24" t="n">
        <f aca="false">IFERROR(INDEX(Positions!$D$2:$D$6912,MATCH($A1397&amp;"|18",Positions!$A$2:$A$6912,0)),"-")</f>
        <v>18</v>
      </c>
      <c r="E1397" s="24" t="n">
        <f aca="false">IFERROR(INDEX(Positions!$D$2:$D$6912,MATCH($A1397&amp;"|55",Positions!$A$2:$A$6912,0)),"-")</f>
        <v>55</v>
      </c>
      <c r="F1397" s="24" t="str">
        <f aca="false">IFERROR(INDEX(Positions!$E$2:$E$6912,MATCH($A1397&amp;"|18",Positions!$A$2:$A$6912,0)),"-")</f>
        <v>G</v>
      </c>
      <c r="G1397" s="24" t="str">
        <f aca="false">IFERROR(INDEX(Positions!$E$2:$E$6912,MATCH($A1397&amp;"|55",Positions!$A$2:$A$6912,0)),"-")</f>
        <v>U</v>
      </c>
      <c r="H1397" s="25" t="str">
        <f aca="false">F1397&amp;"-"&amp;G1397</f>
        <v>G-U</v>
      </c>
      <c r="I1397" s="24" t="n">
        <f aca="false">(F1397="G")+(G1397="G")</f>
        <v>1</v>
      </c>
      <c r="J1397" s="24" t="n">
        <f aca="false">(F1397="C")+(G1397="C")</f>
        <v>0</v>
      </c>
      <c r="K1397" s="25" t="n">
        <f aca="false">I1397+J1397</f>
        <v>1</v>
      </c>
    </row>
    <row r="1398" customFormat="false" ht="15" hidden="false" customHeight="false" outlineLevel="0" collapsed="false">
      <c r="A1398" s="24" t="s">
        <v>86</v>
      </c>
      <c r="B1398" s="24" t="s">
        <v>530</v>
      </c>
      <c r="C1398" s="24" t="s">
        <v>534</v>
      </c>
      <c r="D1398" s="24" t="n">
        <f aca="false">IFERROR(INDEX(Positions!$D$2:$D$6912,MATCH($A1398&amp;"|19",Positions!$A$2:$A$6912,0)),"-")</f>
        <v>19</v>
      </c>
      <c r="E1398" s="24" t="n">
        <f aca="false">IFERROR(INDEX(Positions!$D$2:$D$6912,MATCH($A1398&amp;"|56",Positions!$A$2:$A$6912,0)),"-")</f>
        <v>56</v>
      </c>
      <c r="F1398" s="24" t="str">
        <f aca="false">IFERROR(INDEX(Positions!$E$2:$E$6912,MATCH($A1398&amp;"|19",Positions!$A$2:$A$6912,0)),"-")</f>
        <v>G</v>
      </c>
      <c r="G1398" s="24" t="str">
        <f aca="false">IFERROR(INDEX(Positions!$E$2:$E$6912,MATCH($A1398&amp;"|56",Positions!$A$2:$A$6912,0)),"-")</f>
        <v>C</v>
      </c>
      <c r="H1398" s="25" t="str">
        <f aca="false">F1398&amp;"-"&amp;G1398</f>
        <v>G-C</v>
      </c>
      <c r="I1398" s="24" t="n">
        <f aca="false">(F1398="G")+(G1398="G")</f>
        <v>1</v>
      </c>
      <c r="J1398" s="24" t="n">
        <f aca="false">(F1398="C")+(G1398="C")</f>
        <v>1</v>
      </c>
      <c r="K1398" s="25" t="n">
        <f aca="false">I1398+J1398</f>
        <v>2</v>
      </c>
    </row>
    <row r="1399" customFormat="false" ht="15" hidden="false" customHeight="false" outlineLevel="0" collapsed="false">
      <c r="A1399" s="24" t="s">
        <v>86</v>
      </c>
      <c r="B1399" s="24" t="s">
        <v>530</v>
      </c>
      <c r="C1399" s="24" t="s">
        <v>535</v>
      </c>
      <c r="D1399" s="24" t="n">
        <f aca="false">IFERROR(INDEX(Positions!$D$2:$D$6912,MATCH($A1399&amp;"|26",Positions!$A$2:$A$6912,0)),"-")</f>
        <v>26</v>
      </c>
      <c r="E1399" s="24" t="n">
        <f aca="false">IFERROR(INDEX(Positions!$D$2:$D$6912,MATCH($A1399&amp;"|44",Positions!$A$2:$A$6912,0)),"-")</f>
        <v>44</v>
      </c>
      <c r="F1399" s="24" t="str">
        <f aca="false">IFERROR(INDEX(Positions!$E$2:$E$6912,MATCH($A1399&amp;"|26",Positions!$A$2:$A$6912,0)),"-")</f>
        <v>A</v>
      </c>
      <c r="G1399" s="24" t="str">
        <f aca="false">IFERROR(INDEX(Positions!$E$2:$E$6912,MATCH($A1399&amp;"|44",Positions!$A$2:$A$6912,0)),"-")</f>
        <v>G</v>
      </c>
      <c r="H1399" s="25" t="str">
        <f aca="false">F1399&amp;"-"&amp;G1399</f>
        <v>A-G</v>
      </c>
      <c r="I1399" s="24" t="n">
        <f aca="false">(F1399="G")+(G1399="G")</f>
        <v>1</v>
      </c>
      <c r="J1399" s="24" t="n">
        <f aca="false">(F1399="C")+(G1399="C")</f>
        <v>0</v>
      </c>
      <c r="K1399" s="25" t="n">
        <f aca="false">I1399+J1399</f>
        <v>1</v>
      </c>
    </row>
    <row r="1400" customFormat="false" ht="15" hidden="false" customHeight="false" outlineLevel="0" collapsed="false">
      <c r="A1400" s="24" t="s">
        <v>86</v>
      </c>
      <c r="B1400" s="24" t="s">
        <v>530</v>
      </c>
      <c r="C1400" s="24" t="s">
        <v>536</v>
      </c>
      <c r="D1400" s="24" t="n">
        <f aca="false">IFERROR(INDEX(Positions!$D$2:$D$6912,MATCH($A1400&amp;"|32",Positions!$A$2:$A$6912,0)),"-")</f>
        <v>32</v>
      </c>
      <c r="E1400" s="24" t="n">
        <f aca="false">IFERROR(INDEX(Positions!$D$2:$D$6912,MATCH($A1400&amp;"|38",Positions!$A$2:$A$6912,0)),"-")</f>
        <v>38</v>
      </c>
      <c r="F1400" s="24" t="str">
        <f aca="false">IFERROR(INDEX(Positions!$E$2:$E$6912,MATCH($A1400&amp;"|32",Positions!$A$2:$A$6912,0)),"-")</f>
        <v>C</v>
      </c>
      <c r="G1400" s="24" t="str">
        <f aca="false">IFERROR(INDEX(Positions!$E$2:$E$6912,MATCH($A1400&amp;"|38",Positions!$A$2:$A$6912,0)),"-")</f>
        <v>A</v>
      </c>
      <c r="H1400" s="25" t="str">
        <f aca="false">F1400&amp;"-"&amp;G1400</f>
        <v>C-A</v>
      </c>
      <c r="I1400" s="24" t="n">
        <f aca="false">(F1400="G")+(G1400="G")</f>
        <v>0</v>
      </c>
      <c r="J1400" s="24" t="n">
        <f aca="false">(F1400="C")+(G1400="C")</f>
        <v>1</v>
      </c>
      <c r="K1400" s="25" t="n">
        <f aca="false">I1400+J1400</f>
        <v>1</v>
      </c>
    </row>
    <row r="1401" customFormat="false" ht="15" hidden="false" customHeight="false" outlineLevel="0" collapsed="false">
      <c r="A1401" s="24" t="s">
        <v>86</v>
      </c>
      <c r="B1401" s="24" t="s">
        <v>530</v>
      </c>
      <c r="C1401" s="24" t="s">
        <v>537</v>
      </c>
      <c r="D1401" s="24" t="n">
        <f aca="false">IFERROR(INDEX(Positions!$D$2:$D$6912,MATCH($A1401&amp;"|54",Positions!$A$2:$A$6912,0)),"-")</f>
        <v>54</v>
      </c>
      <c r="E1401" s="24" t="n">
        <f aca="false">IFERROR(INDEX(Positions!$D$2:$D$6912,MATCH($A1401&amp;"|58",Positions!$A$2:$A$6912,0)),"-")</f>
        <v>58</v>
      </c>
      <c r="F1401" s="24" t="str">
        <f aca="false">IFERROR(INDEX(Positions!$E$2:$E$6912,MATCH($A1401&amp;"|54",Positions!$A$2:$A$6912,0)),"-")</f>
        <v>U</v>
      </c>
      <c r="G1401" s="24" t="str">
        <f aca="false">IFERROR(INDEX(Positions!$E$2:$E$6912,MATCH($A1401&amp;"|58",Positions!$A$2:$A$6912,0)),"-")</f>
        <v>A</v>
      </c>
      <c r="H1401" s="25" t="str">
        <f aca="false">F1401&amp;"-"&amp;G1401</f>
        <v>U-A</v>
      </c>
      <c r="I1401" s="24" t="n">
        <f aca="false">(F1401="G")+(G1401="G")</f>
        <v>0</v>
      </c>
      <c r="J1401" s="24" t="n">
        <f aca="false">(F1401="C")+(G1401="C")</f>
        <v>0</v>
      </c>
      <c r="K1401" s="25" t="n">
        <f aca="false">I1401+J1401</f>
        <v>0</v>
      </c>
    </row>
    <row r="1402" customFormat="false" ht="15" hidden="false" customHeight="false" outlineLevel="0" collapsed="false">
      <c r="A1402" s="4" t="s">
        <v>87</v>
      </c>
      <c r="B1402" s="4" t="s">
        <v>412</v>
      </c>
      <c r="C1402" s="4" t="s">
        <v>517</v>
      </c>
      <c r="D1402" s="4" t="n">
        <f aca="false">IFERROR(INDEX(Positions!$D$2:$D$6912,MATCH($A1402&amp;"|1",Positions!$A$2:$A$6912,0)),"-")</f>
        <v>1</v>
      </c>
      <c r="E1402" s="4" t="n">
        <f aca="false">IFERROR(INDEX(Positions!$D$2:$D$6912,MATCH($A1402&amp;"|72",Positions!$A$2:$A$6912,0)),"-")</f>
        <v>72</v>
      </c>
      <c r="F1402" s="4" t="str">
        <f aca="false">IFERROR(INDEX(Positions!$E$2:$E$6912,MATCH($A1402&amp;"|1",Positions!$A$2:$A$6912,0)),"-")</f>
        <v>G</v>
      </c>
      <c r="G1402" s="4" t="str">
        <f aca="false">IFERROR(INDEX(Positions!$E$2:$E$6912,MATCH($A1402&amp;"|72",Positions!$A$2:$A$6912,0)),"-")</f>
        <v>C</v>
      </c>
      <c r="H1402" s="3" t="str">
        <f aca="false">F1402&amp;"-"&amp;G1402</f>
        <v>G-C</v>
      </c>
      <c r="I1402" s="4" t="n">
        <f aca="false">(F1402="G")+(G1402="G")</f>
        <v>1</v>
      </c>
      <c r="J1402" s="4" t="n">
        <f aca="false">(F1402="C")+(G1402="C")</f>
        <v>1</v>
      </c>
      <c r="K1402" s="3" t="n">
        <f aca="false">I1402+J1402</f>
        <v>2</v>
      </c>
    </row>
    <row r="1403" customFormat="false" ht="15" hidden="false" customHeight="false" outlineLevel="0" collapsed="false">
      <c r="A1403" s="4" t="s">
        <v>87</v>
      </c>
      <c r="B1403" s="4" t="s">
        <v>412</v>
      </c>
      <c r="C1403" s="4" t="s">
        <v>518</v>
      </c>
      <c r="D1403" s="4" t="n">
        <f aca="false">IFERROR(INDEX(Positions!$D$2:$D$6912,MATCH($A1403&amp;"|2",Positions!$A$2:$A$6912,0)),"-")</f>
        <v>2</v>
      </c>
      <c r="E1403" s="4" t="n">
        <f aca="false">IFERROR(INDEX(Positions!$D$2:$D$6912,MATCH($A1403&amp;"|71",Positions!$A$2:$A$6912,0)),"-")</f>
        <v>71</v>
      </c>
      <c r="F1403" s="4" t="str">
        <f aca="false">IFERROR(INDEX(Positions!$E$2:$E$6912,MATCH($A1403&amp;"|2",Positions!$A$2:$A$6912,0)),"-")</f>
        <v>C</v>
      </c>
      <c r="G1403" s="4" t="str">
        <f aca="false">IFERROR(INDEX(Positions!$E$2:$E$6912,MATCH($A1403&amp;"|71",Positions!$A$2:$A$6912,0)),"-")</f>
        <v>G</v>
      </c>
      <c r="H1403" s="3" t="str">
        <f aca="false">F1403&amp;"-"&amp;G1403</f>
        <v>C-G</v>
      </c>
      <c r="I1403" s="4" t="n">
        <f aca="false">(F1403="G")+(G1403="G")</f>
        <v>1</v>
      </c>
      <c r="J1403" s="4" t="n">
        <f aca="false">(F1403="C")+(G1403="C")</f>
        <v>1</v>
      </c>
      <c r="K1403" s="3" t="n">
        <f aca="false">I1403+J1403</f>
        <v>2</v>
      </c>
    </row>
    <row r="1404" customFormat="false" ht="15" hidden="false" customHeight="false" outlineLevel="0" collapsed="false">
      <c r="A1404" s="4" t="s">
        <v>87</v>
      </c>
      <c r="B1404" s="4" t="s">
        <v>412</v>
      </c>
      <c r="C1404" s="4" t="s">
        <v>386</v>
      </c>
      <c r="D1404" s="4" t="n">
        <f aca="false">IFERROR(INDEX(Positions!$D$2:$D$6912,MATCH($A1404&amp;"|3",Positions!$A$2:$A$6912,0)),"-")</f>
        <v>3</v>
      </c>
      <c r="E1404" s="4" t="n">
        <f aca="false">IFERROR(INDEX(Positions!$D$2:$D$6912,MATCH($A1404&amp;"|70",Positions!$A$2:$A$6912,0)),"-")</f>
        <v>70</v>
      </c>
      <c r="F1404" s="4" t="str">
        <f aca="false">IFERROR(INDEX(Positions!$E$2:$E$6912,MATCH($A1404&amp;"|3",Positions!$A$2:$A$6912,0)),"-")</f>
        <v>C</v>
      </c>
      <c r="G1404" s="4" t="str">
        <f aca="false">IFERROR(INDEX(Positions!$E$2:$E$6912,MATCH($A1404&amp;"|70",Positions!$A$2:$A$6912,0)),"-")</f>
        <v>G</v>
      </c>
      <c r="H1404" s="3" t="str">
        <f aca="false">F1404&amp;"-"&amp;G1404</f>
        <v>C-G</v>
      </c>
      <c r="I1404" s="4" t="n">
        <f aca="false">(F1404="G")+(G1404="G")</f>
        <v>1</v>
      </c>
      <c r="J1404" s="4" t="n">
        <f aca="false">(F1404="C")+(G1404="C")</f>
        <v>1</v>
      </c>
      <c r="K1404" s="3" t="n">
        <f aca="false">I1404+J1404</f>
        <v>2</v>
      </c>
    </row>
    <row r="1405" customFormat="false" ht="15" hidden="false" customHeight="false" outlineLevel="0" collapsed="false">
      <c r="A1405" s="4" t="s">
        <v>87</v>
      </c>
      <c r="B1405" s="4" t="s">
        <v>412</v>
      </c>
      <c r="C1405" s="4" t="s">
        <v>519</v>
      </c>
      <c r="D1405" s="4" t="n">
        <f aca="false">IFERROR(INDEX(Positions!$D$2:$D$6912,MATCH($A1405&amp;"|4",Positions!$A$2:$A$6912,0)),"-")</f>
        <v>4</v>
      </c>
      <c r="E1405" s="4" t="n">
        <f aca="false">IFERROR(INDEX(Positions!$D$2:$D$6912,MATCH($A1405&amp;"|69",Positions!$A$2:$A$6912,0)),"-")</f>
        <v>69</v>
      </c>
      <c r="F1405" s="4" t="str">
        <f aca="false">IFERROR(INDEX(Positions!$E$2:$E$6912,MATCH($A1405&amp;"|4",Positions!$A$2:$A$6912,0)),"-")</f>
        <v>C</v>
      </c>
      <c r="G1405" s="4" t="str">
        <f aca="false">IFERROR(INDEX(Positions!$E$2:$E$6912,MATCH($A1405&amp;"|69",Positions!$A$2:$A$6912,0)),"-")</f>
        <v>G</v>
      </c>
      <c r="H1405" s="3" t="str">
        <f aca="false">F1405&amp;"-"&amp;G1405</f>
        <v>C-G</v>
      </c>
      <c r="I1405" s="4" t="n">
        <f aca="false">(F1405="G")+(G1405="G")</f>
        <v>1</v>
      </c>
      <c r="J1405" s="4" t="n">
        <f aca="false">(F1405="C")+(G1405="C")</f>
        <v>1</v>
      </c>
      <c r="K1405" s="3" t="n">
        <f aca="false">I1405+J1405</f>
        <v>2</v>
      </c>
    </row>
    <row r="1406" customFormat="false" ht="15" hidden="false" customHeight="false" outlineLevel="0" collapsed="false">
      <c r="A1406" s="4" t="s">
        <v>87</v>
      </c>
      <c r="B1406" s="4" t="s">
        <v>412</v>
      </c>
      <c r="C1406" s="4" t="s">
        <v>283</v>
      </c>
      <c r="D1406" s="4" t="n">
        <f aca="false">IFERROR(INDEX(Positions!$D$2:$D$6912,MATCH($A1406&amp;"|5",Positions!$A$2:$A$6912,0)),"-")</f>
        <v>5</v>
      </c>
      <c r="E1406" s="4" t="n">
        <f aca="false">IFERROR(INDEX(Positions!$D$2:$D$6912,MATCH($A1406&amp;"|68",Positions!$A$2:$A$6912,0)),"-")</f>
        <v>68</v>
      </c>
      <c r="F1406" s="4" t="str">
        <f aca="false">IFERROR(INDEX(Positions!$E$2:$E$6912,MATCH($A1406&amp;"|5",Positions!$A$2:$A$6912,0)),"-")</f>
        <v>G</v>
      </c>
      <c r="G1406" s="4" t="str">
        <f aca="false">IFERROR(INDEX(Positions!$E$2:$E$6912,MATCH($A1406&amp;"|68",Positions!$A$2:$A$6912,0)),"-")</f>
        <v>U</v>
      </c>
      <c r="H1406" s="3" t="str">
        <f aca="false">F1406&amp;"-"&amp;G1406</f>
        <v>G-U</v>
      </c>
      <c r="I1406" s="4" t="n">
        <f aca="false">(F1406="G")+(G1406="G")</f>
        <v>1</v>
      </c>
      <c r="J1406" s="4" t="n">
        <f aca="false">(F1406="C")+(G1406="C")</f>
        <v>0</v>
      </c>
      <c r="K1406" s="3" t="n">
        <f aca="false">I1406+J1406</f>
        <v>1</v>
      </c>
    </row>
    <row r="1407" customFormat="false" ht="15" hidden="false" customHeight="false" outlineLevel="0" collapsed="false">
      <c r="A1407" s="4" t="s">
        <v>87</v>
      </c>
      <c r="B1407" s="4" t="s">
        <v>412</v>
      </c>
      <c r="C1407" s="4" t="s">
        <v>520</v>
      </c>
      <c r="D1407" s="4" t="n">
        <f aca="false">IFERROR(INDEX(Positions!$D$2:$D$6912,MATCH($A1407&amp;"|6",Positions!$A$2:$A$6912,0)),"-")</f>
        <v>6</v>
      </c>
      <c r="E1407" s="4" t="n">
        <f aca="false">IFERROR(INDEX(Positions!$D$2:$D$6912,MATCH($A1407&amp;"|67",Positions!$A$2:$A$6912,0)),"-")</f>
        <v>67</v>
      </c>
      <c r="F1407" s="4" t="str">
        <f aca="false">IFERROR(INDEX(Positions!$E$2:$E$6912,MATCH($A1407&amp;"|6",Positions!$A$2:$A$6912,0)),"-")</f>
        <v>G</v>
      </c>
      <c r="G1407" s="4" t="str">
        <f aca="false">IFERROR(INDEX(Positions!$E$2:$E$6912,MATCH($A1407&amp;"|67",Positions!$A$2:$A$6912,0)),"-")</f>
        <v>U</v>
      </c>
      <c r="H1407" s="3" t="str">
        <f aca="false">F1407&amp;"-"&amp;G1407</f>
        <v>G-U</v>
      </c>
      <c r="I1407" s="4" t="n">
        <f aca="false">(F1407="G")+(G1407="G")</f>
        <v>1</v>
      </c>
      <c r="J1407" s="4" t="n">
        <f aca="false">(F1407="C")+(G1407="C")</f>
        <v>0</v>
      </c>
      <c r="K1407" s="3" t="n">
        <f aca="false">I1407+J1407</f>
        <v>1</v>
      </c>
    </row>
    <row r="1408" customFormat="false" ht="15" hidden="false" customHeight="false" outlineLevel="0" collapsed="false">
      <c r="A1408" s="4" t="s">
        <v>87</v>
      </c>
      <c r="B1408" s="4" t="s">
        <v>412</v>
      </c>
      <c r="C1408" s="4" t="s">
        <v>521</v>
      </c>
      <c r="D1408" s="4" t="n">
        <f aca="false">IFERROR(INDEX(Positions!$D$2:$D$6912,MATCH($A1408&amp;"|7",Positions!$A$2:$A$6912,0)),"-")</f>
        <v>7</v>
      </c>
      <c r="E1408" s="4" t="n">
        <f aca="false">IFERROR(INDEX(Positions!$D$2:$D$6912,MATCH($A1408&amp;"|66",Positions!$A$2:$A$6912,0)),"-")</f>
        <v>66</v>
      </c>
      <c r="F1408" s="4" t="str">
        <f aca="false">IFERROR(INDEX(Positions!$E$2:$E$6912,MATCH($A1408&amp;"|7",Positions!$A$2:$A$6912,0)),"-")</f>
        <v>C</v>
      </c>
      <c r="G1408" s="4" t="str">
        <f aca="false">IFERROR(INDEX(Positions!$E$2:$E$6912,MATCH($A1408&amp;"|66",Positions!$A$2:$A$6912,0)),"-")</f>
        <v>G</v>
      </c>
      <c r="H1408" s="3" t="str">
        <f aca="false">F1408&amp;"-"&amp;G1408</f>
        <v>C-G</v>
      </c>
      <c r="I1408" s="4" t="n">
        <f aca="false">(F1408="G")+(G1408="G")</f>
        <v>1</v>
      </c>
      <c r="J1408" s="4" t="n">
        <f aca="false">(F1408="C")+(G1408="C")</f>
        <v>1</v>
      </c>
      <c r="K1408" s="3" t="n">
        <f aca="false">I1408+J1408</f>
        <v>2</v>
      </c>
    </row>
    <row r="1409" customFormat="false" ht="15" hidden="false" customHeight="false" outlineLevel="0" collapsed="false">
      <c r="A1409" s="4" t="s">
        <v>87</v>
      </c>
      <c r="B1409" s="4" t="s">
        <v>425</v>
      </c>
      <c r="C1409" s="4" t="s">
        <v>522</v>
      </c>
      <c r="D1409" s="4" t="n">
        <f aca="false">IFERROR(INDEX(Positions!$D$2:$D$6912,MATCH($A1409&amp;"|10",Positions!$A$2:$A$6912,0)),"-")</f>
        <v>10</v>
      </c>
      <c r="E1409" s="4" t="n">
        <f aca="false">IFERROR(INDEX(Positions!$D$2:$D$6912,MATCH($A1409&amp;"|25",Positions!$A$2:$A$6912,0)),"-")</f>
        <v>25</v>
      </c>
      <c r="F1409" s="4" t="str">
        <f aca="false">IFERROR(INDEX(Positions!$E$2:$E$6912,MATCH($A1409&amp;"|10",Positions!$A$2:$A$6912,0)),"-")</f>
        <v>G</v>
      </c>
      <c r="G1409" s="4" t="str">
        <f aca="false">IFERROR(INDEX(Positions!$E$2:$E$6912,MATCH($A1409&amp;"|25",Positions!$A$2:$A$6912,0)),"-")</f>
        <v>C</v>
      </c>
      <c r="H1409" s="3" t="str">
        <f aca="false">F1409&amp;"-"&amp;G1409</f>
        <v>G-C</v>
      </c>
      <c r="I1409" s="4" t="n">
        <f aca="false">(F1409="G")+(G1409="G")</f>
        <v>1</v>
      </c>
      <c r="J1409" s="4" t="n">
        <f aca="false">(F1409="C")+(G1409="C")</f>
        <v>1</v>
      </c>
      <c r="K1409" s="3" t="n">
        <f aca="false">I1409+J1409</f>
        <v>2</v>
      </c>
    </row>
    <row r="1410" customFormat="false" ht="15" hidden="false" customHeight="false" outlineLevel="0" collapsed="false">
      <c r="A1410" s="4" t="s">
        <v>87</v>
      </c>
      <c r="B1410" s="4" t="s">
        <v>425</v>
      </c>
      <c r="C1410" s="4" t="s">
        <v>523</v>
      </c>
      <c r="D1410" s="4" t="n">
        <f aca="false">IFERROR(INDEX(Positions!$D$2:$D$6912,MATCH($A1410&amp;"|11",Positions!$A$2:$A$6912,0)),"-")</f>
        <v>11</v>
      </c>
      <c r="E1410" s="4" t="n">
        <f aca="false">IFERROR(INDEX(Positions!$D$2:$D$6912,MATCH($A1410&amp;"|24",Positions!$A$2:$A$6912,0)),"-")</f>
        <v>24</v>
      </c>
      <c r="F1410" s="4" t="str">
        <f aca="false">IFERROR(INDEX(Positions!$E$2:$E$6912,MATCH($A1410&amp;"|11",Positions!$A$2:$A$6912,0)),"-")</f>
        <v>C</v>
      </c>
      <c r="G1410" s="4" t="str">
        <f aca="false">IFERROR(INDEX(Positions!$E$2:$E$6912,MATCH($A1410&amp;"|24",Positions!$A$2:$A$6912,0)),"-")</f>
        <v>G</v>
      </c>
      <c r="H1410" s="3" t="str">
        <f aca="false">F1410&amp;"-"&amp;G1410</f>
        <v>C-G</v>
      </c>
      <c r="I1410" s="4" t="n">
        <f aca="false">(F1410="G")+(G1410="G")</f>
        <v>1</v>
      </c>
      <c r="J1410" s="4" t="n">
        <f aca="false">(F1410="C")+(G1410="C")</f>
        <v>1</v>
      </c>
      <c r="K1410" s="3" t="n">
        <f aca="false">I1410+J1410</f>
        <v>2</v>
      </c>
    </row>
    <row r="1411" customFormat="false" ht="15" hidden="false" customHeight="false" outlineLevel="0" collapsed="false">
      <c r="A1411" s="4" t="s">
        <v>87</v>
      </c>
      <c r="B1411" s="4" t="s">
        <v>425</v>
      </c>
      <c r="C1411" s="4" t="s">
        <v>250</v>
      </c>
      <c r="D1411" s="4" t="n">
        <f aca="false">IFERROR(INDEX(Positions!$D$2:$D$6912,MATCH($A1411&amp;"|12",Positions!$A$2:$A$6912,0)),"-")</f>
        <v>12</v>
      </c>
      <c r="E1411" s="4" t="n">
        <f aca="false">IFERROR(INDEX(Positions!$D$2:$D$6912,MATCH($A1411&amp;"|23",Positions!$A$2:$A$6912,0)),"-")</f>
        <v>23</v>
      </c>
      <c r="F1411" s="4" t="str">
        <f aca="false">IFERROR(INDEX(Positions!$E$2:$E$6912,MATCH($A1411&amp;"|12",Positions!$A$2:$A$6912,0)),"-")</f>
        <v>U</v>
      </c>
      <c r="G1411" s="4" t="str">
        <f aca="false">IFERROR(INDEX(Positions!$E$2:$E$6912,MATCH($A1411&amp;"|23",Positions!$A$2:$A$6912,0)),"-")</f>
        <v>A</v>
      </c>
      <c r="H1411" s="3" t="str">
        <f aca="false">F1411&amp;"-"&amp;G1411</f>
        <v>U-A</v>
      </c>
      <c r="I1411" s="4" t="n">
        <f aca="false">(F1411="G")+(G1411="G")</f>
        <v>0</v>
      </c>
      <c r="J1411" s="4" t="n">
        <f aca="false">(F1411="C")+(G1411="C")</f>
        <v>0</v>
      </c>
      <c r="K1411" s="3" t="n">
        <f aca="false">I1411+J1411</f>
        <v>0</v>
      </c>
    </row>
    <row r="1412" customFormat="false" ht="15" hidden="false" customHeight="false" outlineLevel="0" collapsed="false">
      <c r="A1412" s="4" t="s">
        <v>87</v>
      </c>
      <c r="B1412" s="4" t="s">
        <v>425</v>
      </c>
      <c r="C1412" s="4" t="s">
        <v>154</v>
      </c>
      <c r="D1412" s="4" t="n">
        <f aca="false">IFERROR(INDEX(Positions!$D$2:$D$6912,MATCH($A1412&amp;"|13",Positions!$A$2:$A$6912,0)),"-")</f>
        <v>13</v>
      </c>
      <c r="E1412" s="4" t="n">
        <f aca="false">IFERROR(INDEX(Positions!$D$2:$D$6912,MATCH($A1412&amp;"|22",Positions!$A$2:$A$6912,0)),"-")</f>
        <v>22</v>
      </c>
      <c r="F1412" s="4" t="str">
        <f aca="false">IFERROR(INDEX(Positions!$E$2:$E$6912,MATCH($A1412&amp;"|13",Positions!$A$2:$A$6912,0)),"-")</f>
        <v>C</v>
      </c>
      <c r="G1412" s="4" t="str">
        <f aca="false">IFERROR(INDEX(Positions!$E$2:$E$6912,MATCH($A1412&amp;"|22",Positions!$A$2:$A$6912,0)),"-")</f>
        <v>G</v>
      </c>
      <c r="H1412" s="3" t="str">
        <f aca="false">F1412&amp;"-"&amp;G1412</f>
        <v>C-G</v>
      </c>
      <c r="I1412" s="4" t="n">
        <f aca="false">(F1412="G")+(G1412="G")</f>
        <v>1</v>
      </c>
      <c r="J1412" s="4" t="n">
        <f aca="false">(F1412="C")+(G1412="C")</f>
        <v>1</v>
      </c>
      <c r="K1412" s="3" t="n">
        <f aca="false">I1412+J1412</f>
        <v>2</v>
      </c>
    </row>
    <row r="1413" customFormat="false" ht="15" hidden="false" customHeight="false" outlineLevel="0" collapsed="false">
      <c r="A1413" s="4" t="s">
        <v>87</v>
      </c>
      <c r="B1413" s="4" t="s">
        <v>446</v>
      </c>
      <c r="C1413" s="4" t="s">
        <v>524</v>
      </c>
      <c r="D1413" s="4" t="n">
        <f aca="false">IFERROR(INDEX(Positions!$D$2:$D$6912,MATCH($A1413&amp;"|27",Positions!$A$2:$A$6912,0)),"-")</f>
        <v>27</v>
      </c>
      <c r="E1413" s="4" t="n">
        <f aca="false">IFERROR(INDEX(Positions!$D$2:$D$6912,MATCH($A1413&amp;"|43",Positions!$A$2:$A$6912,0)),"-")</f>
        <v>43</v>
      </c>
      <c r="F1413" s="4" t="str">
        <f aca="false">IFERROR(INDEX(Positions!$E$2:$E$6912,MATCH($A1413&amp;"|27",Positions!$A$2:$A$6912,0)),"-")</f>
        <v>U</v>
      </c>
      <c r="G1413" s="4" t="str">
        <f aca="false">IFERROR(INDEX(Positions!$E$2:$E$6912,MATCH($A1413&amp;"|43",Positions!$A$2:$A$6912,0)),"-")</f>
        <v>A</v>
      </c>
      <c r="H1413" s="3" t="str">
        <f aca="false">F1413&amp;"-"&amp;G1413</f>
        <v>U-A</v>
      </c>
      <c r="I1413" s="4" t="n">
        <f aca="false">(F1413="G")+(G1413="G")</f>
        <v>0</v>
      </c>
      <c r="J1413" s="4" t="n">
        <f aca="false">(F1413="C")+(G1413="C")</f>
        <v>0</v>
      </c>
      <c r="K1413" s="3" t="n">
        <f aca="false">I1413+J1413</f>
        <v>0</v>
      </c>
    </row>
    <row r="1414" customFormat="false" ht="15" hidden="false" customHeight="false" outlineLevel="0" collapsed="false">
      <c r="A1414" s="4" t="s">
        <v>87</v>
      </c>
      <c r="B1414" s="4" t="s">
        <v>446</v>
      </c>
      <c r="C1414" s="4" t="s">
        <v>525</v>
      </c>
      <c r="D1414" s="4" t="n">
        <f aca="false">IFERROR(INDEX(Positions!$D$2:$D$6912,MATCH($A1414&amp;"|28",Positions!$A$2:$A$6912,0)),"-")</f>
        <v>28</v>
      </c>
      <c r="E1414" s="4" t="n">
        <f aca="false">IFERROR(INDEX(Positions!$D$2:$D$6912,MATCH($A1414&amp;"|42",Positions!$A$2:$A$6912,0)),"-")</f>
        <v>42</v>
      </c>
      <c r="F1414" s="4" t="str">
        <f aca="false">IFERROR(INDEX(Positions!$E$2:$E$6912,MATCH($A1414&amp;"|28",Positions!$A$2:$A$6912,0)),"-")</f>
        <v>G</v>
      </c>
      <c r="G1414" s="4" t="str">
        <f aca="false">IFERROR(INDEX(Positions!$E$2:$E$6912,MATCH($A1414&amp;"|42",Positions!$A$2:$A$6912,0)),"-")</f>
        <v>C</v>
      </c>
      <c r="H1414" s="3" t="str">
        <f aca="false">F1414&amp;"-"&amp;G1414</f>
        <v>G-C</v>
      </c>
      <c r="I1414" s="4" t="n">
        <f aca="false">(F1414="G")+(G1414="G")</f>
        <v>1</v>
      </c>
      <c r="J1414" s="4" t="n">
        <f aca="false">(F1414="C")+(G1414="C")</f>
        <v>1</v>
      </c>
      <c r="K1414" s="3" t="n">
        <f aca="false">I1414+J1414</f>
        <v>2</v>
      </c>
    </row>
    <row r="1415" customFormat="false" ht="15" hidden="false" customHeight="false" outlineLevel="0" collapsed="false">
      <c r="A1415" s="4" t="s">
        <v>87</v>
      </c>
      <c r="B1415" s="4" t="s">
        <v>446</v>
      </c>
      <c r="C1415" s="4" t="s">
        <v>256</v>
      </c>
      <c r="D1415" s="4" t="n">
        <f aca="false">IFERROR(INDEX(Positions!$D$2:$D$6912,MATCH($A1415&amp;"|29",Positions!$A$2:$A$6912,0)),"-")</f>
        <v>29</v>
      </c>
      <c r="E1415" s="4" t="n">
        <f aca="false">IFERROR(INDEX(Positions!$D$2:$D$6912,MATCH($A1415&amp;"|41",Positions!$A$2:$A$6912,0)),"-")</f>
        <v>41</v>
      </c>
      <c r="F1415" s="4" t="str">
        <f aca="false">IFERROR(INDEX(Positions!$E$2:$E$6912,MATCH($A1415&amp;"|29",Positions!$A$2:$A$6912,0)),"-")</f>
        <v>G</v>
      </c>
      <c r="G1415" s="4" t="str">
        <f aca="false">IFERROR(INDEX(Positions!$E$2:$E$6912,MATCH($A1415&amp;"|41",Positions!$A$2:$A$6912,0)),"-")</f>
        <v>C</v>
      </c>
      <c r="H1415" s="3" t="str">
        <f aca="false">F1415&amp;"-"&amp;G1415</f>
        <v>G-C</v>
      </c>
      <c r="I1415" s="4" t="n">
        <f aca="false">(F1415="G")+(G1415="G")</f>
        <v>1</v>
      </c>
      <c r="J1415" s="4" t="n">
        <f aca="false">(F1415="C")+(G1415="C")</f>
        <v>1</v>
      </c>
      <c r="K1415" s="3" t="n">
        <f aca="false">I1415+J1415</f>
        <v>2</v>
      </c>
    </row>
    <row r="1416" customFormat="false" ht="15" hidden="false" customHeight="false" outlineLevel="0" collapsed="false">
      <c r="A1416" s="4" t="s">
        <v>87</v>
      </c>
      <c r="B1416" s="4" t="s">
        <v>446</v>
      </c>
      <c r="C1416" s="4" t="s">
        <v>526</v>
      </c>
      <c r="D1416" s="4" t="n">
        <f aca="false">IFERROR(INDEX(Positions!$D$2:$D$6912,MATCH($A1416&amp;"|30",Positions!$A$2:$A$6912,0)),"-")</f>
        <v>30</v>
      </c>
      <c r="E1416" s="4" t="n">
        <f aca="false">IFERROR(INDEX(Positions!$D$2:$D$6912,MATCH($A1416&amp;"|40",Positions!$A$2:$A$6912,0)),"-")</f>
        <v>40</v>
      </c>
      <c r="F1416" s="4" t="str">
        <f aca="false">IFERROR(INDEX(Positions!$E$2:$E$6912,MATCH($A1416&amp;"|30",Positions!$A$2:$A$6912,0)),"-")</f>
        <v>G</v>
      </c>
      <c r="G1416" s="4" t="str">
        <f aca="false">IFERROR(INDEX(Positions!$E$2:$E$6912,MATCH($A1416&amp;"|40",Positions!$A$2:$A$6912,0)),"-")</f>
        <v>C</v>
      </c>
      <c r="H1416" s="3" t="str">
        <f aca="false">F1416&amp;"-"&amp;G1416</f>
        <v>G-C</v>
      </c>
      <c r="I1416" s="4" t="n">
        <f aca="false">(F1416="G")+(G1416="G")</f>
        <v>1</v>
      </c>
      <c r="J1416" s="4" t="n">
        <f aca="false">(F1416="C")+(G1416="C")</f>
        <v>1</v>
      </c>
      <c r="K1416" s="3" t="n">
        <f aca="false">I1416+J1416</f>
        <v>2</v>
      </c>
    </row>
    <row r="1417" customFormat="false" ht="15" hidden="false" customHeight="false" outlineLevel="0" collapsed="false">
      <c r="A1417" s="4" t="s">
        <v>87</v>
      </c>
      <c r="B1417" s="4" t="s">
        <v>446</v>
      </c>
      <c r="C1417" s="4" t="s">
        <v>273</v>
      </c>
      <c r="D1417" s="4" t="n">
        <f aca="false">IFERROR(INDEX(Positions!$D$2:$D$6912,MATCH($A1417&amp;"|31",Positions!$A$2:$A$6912,0)),"-")</f>
        <v>31</v>
      </c>
      <c r="E1417" s="4" t="n">
        <f aca="false">IFERROR(INDEX(Positions!$D$2:$D$6912,MATCH($A1417&amp;"|39",Positions!$A$2:$A$6912,0)),"-")</f>
        <v>39</v>
      </c>
      <c r="F1417" s="4" t="str">
        <f aca="false">IFERROR(INDEX(Positions!$E$2:$E$6912,MATCH($A1417&amp;"|31",Positions!$A$2:$A$6912,0)),"-")</f>
        <v>A</v>
      </c>
      <c r="G1417" s="4" t="str">
        <f aca="false">IFERROR(INDEX(Positions!$E$2:$E$6912,MATCH($A1417&amp;"|39",Positions!$A$2:$A$6912,0)),"-")</f>
        <v>U</v>
      </c>
      <c r="H1417" s="3" t="str">
        <f aca="false">F1417&amp;"-"&amp;G1417</f>
        <v>A-U</v>
      </c>
      <c r="I1417" s="4" t="n">
        <f aca="false">(F1417="G")+(G1417="G")</f>
        <v>0</v>
      </c>
      <c r="J1417" s="4" t="n">
        <f aca="false">(F1417="C")+(G1417="C")</f>
        <v>0</v>
      </c>
      <c r="K1417" s="3" t="n">
        <f aca="false">I1417+J1417</f>
        <v>0</v>
      </c>
    </row>
    <row r="1418" customFormat="false" ht="15" hidden="false" customHeight="false" outlineLevel="0" collapsed="false">
      <c r="A1418" s="4" t="s">
        <v>87</v>
      </c>
      <c r="B1418" s="4" t="s">
        <v>471</v>
      </c>
      <c r="C1418" s="4" t="s">
        <v>367</v>
      </c>
      <c r="D1418" s="4" t="n">
        <f aca="false">IFERROR(INDEX(Positions!$D$2:$D$6912,MATCH($A1418&amp;"|49",Positions!$A$2:$A$6912,0)),"-")</f>
        <v>49</v>
      </c>
      <c r="E1418" s="4" t="n">
        <f aca="false">IFERROR(INDEX(Positions!$D$2:$D$6912,MATCH($A1418&amp;"|65",Positions!$A$2:$A$6912,0)),"-")</f>
        <v>65</v>
      </c>
      <c r="F1418" s="4" t="str">
        <f aca="false">IFERROR(INDEX(Positions!$E$2:$E$6912,MATCH($A1418&amp;"|49",Positions!$A$2:$A$6912,0)),"-")</f>
        <v>G</v>
      </c>
      <c r="G1418" s="4" t="str">
        <f aca="false">IFERROR(INDEX(Positions!$E$2:$E$6912,MATCH($A1418&amp;"|65",Positions!$A$2:$A$6912,0)),"-")</f>
        <v>C</v>
      </c>
      <c r="H1418" s="3" t="str">
        <f aca="false">F1418&amp;"-"&amp;G1418</f>
        <v>G-C</v>
      </c>
      <c r="I1418" s="4" t="n">
        <f aca="false">(F1418="G")+(G1418="G")</f>
        <v>1</v>
      </c>
      <c r="J1418" s="4" t="n">
        <f aca="false">(F1418="C")+(G1418="C")</f>
        <v>1</v>
      </c>
      <c r="K1418" s="3" t="n">
        <f aca="false">I1418+J1418</f>
        <v>2</v>
      </c>
    </row>
    <row r="1419" customFormat="false" ht="15" hidden="false" customHeight="false" outlineLevel="0" collapsed="false">
      <c r="A1419" s="4" t="s">
        <v>87</v>
      </c>
      <c r="B1419" s="4" t="s">
        <v>471</v>
      </c>
      <c r="C1419" s="4" t="s">
        <v>233</v>
      </c>
      <c r="D1419" s="4" t="n">
        <f aca="false">IFERROR(INDEX(Positions!$D$2:$D$6912,MATCH($A1419&amp;"|50",Positions!$A$2:$A$6912,0)),"-")</f>
        <v>50</v>
      </c>
      <c r="E1419" s="4" t="n">
        <f aca="false">IFERROR(INDEX(Positions!$D$2:$D$6912,MATCH($A1419&amp;"|64",Positions!$A$2:$A$6912,0)),"-")</f>
        <v>64</v>
      </c>
      <c r="F1419" s="4" t="str">
        <f aca="false">IFERROR(INDEX(Positions!$E$2:$E$6912,MATCH($A1419&amp;"|50",Positions!$A$2:$A$6912,0)),"-")</f>
        <v>U</v>
      </c>
      <c r="G1419" s="4" t="str">
        <f aca="false">IFERROR(INDEX(Positions!$E$2:$E$6912,MATCH($A1419&amp;"|64",Positions!$A$2:$A$6912,0)),"-")</f>
        <v>A</v>
      </c>
      <c r="H1419" s="3" t="str">
        <f aca="false">F1419&amp;"-"&amp;G1419</f>
        <v>U-A</v>
      </c>
      <c r="I1419" s="4" t="n">
        <f aca="false">(F1419="G")+(G1419="G")</f>
        <v>0</v>
      </c>
      <c r="J1419" s="4" t="n">
        <f aca="false">(F1419="C")+(G1419="C")</f>
        <v>0</v>
      </c>
      <c r="K1419" s="3" t="n">
        <f aca="false">I1419+J1419</f>
        <v>0</v>
      </c>
    </row>
    <row r="1420" customFormat="false" ht="15" hidden="false" customHeight="false" outlineLevel="0" collapsed="false">
      <c r="A1420" s="4" t="s">
        <v>87</v>
      </c>
      <c r="B1420" s="4" t="s">
        <v>471</v>
      </c>
      <c r="C1420" s="4" t="s">
        <v>527</v>
      </c>
      <c r="D1420" s="4" t="n">
        <f aca="false">IFERROR(INDEX(Positions!$D$2:$D$6912,MATCH($A1420&amp;"|51",Positions!$A$2:$A$6912,0)),"-")</f>
        <v>51</v>
      </c>
      <c r="E1420" s="4" t="n">
        <f aca="false">IFERROR(INDEX(Positions!$D$2:$D$6912,MATCH($A1420&amp;"|63",Positions!$A$2:$A$6912,0)),"-")</f>
        <v>63</v>
      </c>
      <c r="F1420" s="4" t="str">
        <f aca="false">IFERROR(INDEX(Positions!$E$2:$E$6912,MATCH($A1420&amp;"|51",Positions!$A$2:$A$6912,0)),"-")</f>
        <v>G</v>
      </c>
      <c r="G1420" s="4" t="str">
        <f aca="false">IFERROR(INDEX(Positions!$E$2:$E$6912,MATCH($A1420&amp;"|63",Positions!$A$2:$A$6912,0)),"-")</f>
        <v>C</v>
      </c>
      <c r="H1420" s="3" t="str">
        <f aca="false">F1420&amp;"-"&amp;G1420</f>
        <v>G-C</v>
      </c>
      <c r="I1420" s="4" t="n">
        <f aca="false">(F1420="G")+(G1420="G")</f>
        <v>1</v>
      </c>
      <c r="J1420" s="4" t="n">
        <f aca="false">(F1420="C")+(G1420="C")</f>
        <v>1</v>
      </c>
      <c r="K1420" s="3" t="n">
        <f aca="false">I1420+J1420</f>
        <v>2</v>
      </c>
    </row>
    <row r="1421" customFormat="false" ht="15" hidden="false" customHeight="false" outlineLevel="0" collapsed="false">
      <c r="A1421" s="4" t="s">
        <v>87</v>
      </c>
      <c r="B1421" s="4" t="s">
        <v>471</v>
      </c>
      <c r="C1421" s="4" t="s">
        <v>528</v>
      </c>
      <c r="D1421" s="4" t="n">
        <f aca="false">IFERROR(INDEX(Positions!$D$2:$D$6912,MATCH($A1421&amp;"|52",Positions!$A$2:$A$6912,0)),"-")</f>
        <v>52</v>
      </c>
      <c r="E1421" s="4" t="n">
        <f aca="false">IFERROR(INDEX(Positions!$D$2:$D$6912,MATCH($A1421&amp;"|62",Positions!$A$2:$A$6912,0)),"-")</f>
        <v>62</v>
      </c>
      <c r="F1421" s="4" t="str">
        <f aca="false">IFERROR(INDEX(Positions!$E$2:$E$6912,MATCH($A1421&amp;"|52",Positions!$A$2:$A$6912,0)),"-")</f>
        <v>G</v>
      </c>
      <c r="G1421" s="4" t="str">
        <f aca="false">IFERROR(INDEX(Positions!$E$2:$E$6912,MATCH($A1421&amp;"|62",Positions!$A$2:$A$6912,0)),"-")</f>
        <v>C</v>
      </c>
      <c r="H1421" s="3" t="str">
        <f aca="false">F1421&amp;"-"&amp;G1421</f>
        <v>G-C</v>
      </c>
      <c r="I1421" s="4" t="n">
        <f aca="false">(F1421="G")+(G1421="G")</f>
        <v>1</v>
      </c>
      <c r="J1421" s="4" t="n">
        <f aca="false">(F1421="C")+(G1421="C")</f>
        <v>1</v>
      </c>
      <c r="K1421" s="3" t="n">
        <f aca="false">I1421+J1421</f>
        <v>2</v>
      </c>
    </row>
    <row r="1422" customFormat="false" ht="15" hidden="false" customHeight="false" outlineLevel="0" collapsed="false">
      <c r="A1422" s="4" t="s">
        <v>87</v>
      </c>
      <c r="B1422" s="4" t="s">
        <v>471</v>
      </c>
      <c r="C1422" s="4" t="s">
        <v>529</v>
      </c>
      <c r="D1422" s="4" t="n">
        <f aca="false">IFERROR(INDEX(Positions!$D$2:$D$6912,MATCH($A1422&amp;"|53",Positions!$A$2:$A$6912,0)),"-")</f>
        <v>53</v>
      </c>
      <c r="E1422" s="4" t="n">
        <f aca="false">IFERROR(INDEX(Positions!$D$2:$D$6912,MATCH($A1422&amp;"|61",Positions!$A$2:$A$6912,0)),"-")</f>
        <v>61</v>
      </c>
      <c r="F1422" s="4" t="str">
        <f aca="false">IFERROR(INDEX(Positions!$E$2:$E$6912,MATCH($A1422&amp;"|53",Positions!$A$2:$A$6912,0)),"-")</f>
        <v>G</v>
      </c>
      <c r="G1422" s="4" t="str">
        <f aca="false">IFERROR(INDEX(Positions!$E$2:$E$6912,MATCH($A1422&amp;"|61",Positions!$A$2:$A$6912,0)),"-")</f>
        <v>C</v>
      </c>
      <c r="H1422" s="3" t="str">
        <f aca="false">F1422&amp;"-"&amp;G1422</f>
        <v>G-C</v>
      </c>
      <c r="I1422" s="4" t="n">
        <f aca="false">(F1422="G")+(G1422="G")</f>
        <v>1</v>
      </c>
      <c r="J1422" s="4" t="n">
        <f aca="false">(F1422="C")+(G1422="C")</f>
        <v>1</v>
      </c>
      <c r="K1422" s="3" t="n">
        <f aca="false">I1422+J1422</f>
        <v>2</v>
      </c>
    </row>
    <row r="1423" customFormat="false" ht="15" hidden="false" customHeight="false" outlineLevel="0" collapsed="false">
      <c r="A1423" s="24" t="s">
        <v>87</v>
      </c>
      <c r="B1423" s="24" t="s">
        <v>530</v>
      </c>
      <c r="C1423" s="24" t="s">
        <v>531</v>
      </c>
      <c r="D1423" s="24" t="n">
        <f aca="false">IFERROR(INDEX(Positions!$D$2:$D$6912,MATCH($A1423&amp;"|8",Positions!$A$2:$A$6912,0)),"-")</f>
        <v>8</v>
      </c>
      <c r="E1423" s="24" t="n">
        <f aca="false">IFERROR(INDEX(Positions!$D$2:$D$6912,MATCH($A1423&amp;"|14",Positions!$A$2:$A$6912,0)),"-")</f>
        <v>14</v>
      </c>
      <c r="F1423" s="24" t="str">
        <f aca="false">IFERROR(INDEX(Positions!$E$2:$E$6912,MATCH($A1423&amp;"|8",Positions!$A$2:$A$6912,0)),"-")</f>
        <v>U</v>
      </c>
      <c r="G1423" s="24" t="str">
        <f aca="false">IFERROR(INDEX(Positions!$E$2:$E$6912,MATCH($A1423&amp;"|14",Positions!$A$2:$A$6912,0)),"-")</f>
        <v>A</v>
      </c>
      <c r="H1423" s="25" t="str">
        <f aca="false">F1423&amp;"-"&amp;G1423</f>
        <v>U-A</v>
      </c>
      <c r="I1423" s="24" t="n">
        <f aca="false">(F1423="G")+(G1423="G")</f>
        <v>0</v>
      </c>
      <c r="J1423" s="24" t="n">
        <f aca="false">(F1423="C")+(G1423="C")</f>
        <v>0</v>
      </c>
      <c r="K1423" s="25" t="n">
        <f aca="false">I1423+J1423</f>
        <v>0</v>
      </c>
    </row>
    <row r="1424" customFormat="false" ht="15" hidden="false" customHeight="false" outlineLevel="0" collapsed="false">
      <c r="A1424" s="24" t="s">
        <v>87</v>
      </c>
      <c r="B1424" s="24" t="s">
        <v>530</v>
      </c>
      <c r="C1424" s="24" t="s">
        <v>532</v>
      </c>
      <c r="D1424" s="24" t="n">
        <f aca="false">IFERROR(INDEX(Positions!$D$2:$D$6912,MATCH($A1424&amp;"|15",Positions!$A$2:$A$6912,0)),"-")</f>
        <v>15</v>
      </c>
      <c r="E1424" s="24" t="n">
        <f aca="false">IFERROR(INDEX(Positions!$D$2:$D$6912,MATCH($A1424&amp;"|48",Positions!$A$2:$A$6912,0)),"-")</f>
        <v>48</v>
      </c>
      <c r="F1424" s="24" t="str">
        <f aca="false">IFERROR(INDEX(Positions!$E$2:$E$6912,MATCH($A1424&amp;"|15",Positions!$A$2:$A$6912,0)),"-")</f>
        <v>G</v>
      </c>
      <c r="G1424" s="24" t="str">
        <f aca="false">IFERROR(INDEX(Positions!$E$2:$E$6912,MATCH($A1424&amp;"|48",Positions!$A$2:$A$6912,0)),"-")</f>
        <v>C</v>
      </c>
      <c r="H1424" s="25" t="str">
        <f aca="false">F1424&amp;"-"&amp;G1424</f>
        <v>G-C</v>
      </c>
      <c r="I1424" s="24" t="n">
        <f aca="false">(F1424="G")+(G1424="G")</f>
        <v>1</v>
      </c>
      <c r="J1424" s="24" t="n">
        <f aca="false">(F1424="C")+(G1424="C")</f>
        <v>1</v>
      </c>
      <c r="K1424" s="25" t="n">
        <f aca="false">I1424+J1424</f>
        <v>2</v>
      </c>
    </row>
    <row r="1425" customFormat="false" ht="15" hidden="false" customHeight="false" outlineLevel="0" collapsed="false">
      <c r="A1425" s="24" t="s">
        <v>87</v>
      </c>
      <c r="B1425" s="24" t="s">
        <v>530</v>
      </c>
      <c r="C1425" s="24" t="s">
        <v>533</v>
      </c>
      <c r="D1425" s="24" t="n">
        <f aca="false">IFERROR(INDEX(Positions!$D$2:$D$6912,MATCH($A1425&amp;"|18",Positions!$A$2:$A$6912,0)),"-")</f>
        <v>18</v>
      </c>
      <c r="E1425" s="24" t="n">
        <f aca="false">IFERROR(INDEX(Positions!$D$2:$D$6912,MATCH($A1425&amp;"|55",Positions!$A$2:$A$6912,0)),"-")</f>
        <v>55</v>
      </c>
      <c r="F1425" s="24" t="str">
        <f aca="false">IFERROR(INDEX(Positions!$E$2:$E$6912,MATCH($A1425&amp;"|18",Positions!$A$2:$A$6912,0)),"-")</f>
        <v>G</v>
      </c>
      <c r="G1425" s="24" t="str">
        <f aca="false">IFERROR(INDEX(Positions!$E$2:$E$6912,MATCH($A1425&amp;"|55",Positions!$A$2:$A$6912,0)),"-")</f>
        <v>U</v>
      </c>
      <c r="H1425" s="25" t="str">
        <f aca="false">F1425&amp;"-"&amp;G1425</f>
        <v>G-U</v>
      </c>
      <c r="I1425" s="24" t="n">
        <f aca="false">(F1425="G")+(G1425="G")</f>
        <v>1</v>
      </c>
      <c r="J1425" s="24" t="n">
        <f aca="false">(F1425="C")+(G1425="C")</f>
        <v>0</v>
      </c>
      <c r="K1425" s="25" t="n">
        <f aca="false">I1425+J1425</f>
        <v>1</v>
      </c>
    </row>
    <row r="1426" customFormat="false" ht="15" hidden="false" customHeight="false" outlineLevel="0" collapsed="false">
      <c r="A1426" s="24" t="s">
        <v>87</v>
      </c>
      <c r="B1426" s="24" t="s">
        <v>530</v>
      </c>
      <c r="C1426" s="24" t="s">
        <v>534</v>
      </c>
      <c r="D1426" s="24" t="n">
        <f aca="false">IFERROR(INDEX(Positions!$D$2:$D$6912,MATCH($A1426&amp;"|19",Positions!$A$2:$A$6912,0)),"-")</f>
        <v>19</v>
      </c>
      <c r="E1426" s="24" t="n">
        <f aca="false">IFERROR(INDEX(Positions!$D$2:$D$6912,MATCH($A1426&amp;"|56",Positions!$A$2:$A$6912,0)),"-")</f>
        <v>56</v>
      </c>
      <c r="F1426" s="24" t="str">
        <f aca="false">IFERROR(INDEX(Positions!$E$2:$E$6912,MATCH($A1426&amp;"|19",Positions!$A$2:$A$6912,0)),"-")</f>
        <v>G</v>
      </c>
      <c r="G1426" s="24" t="str">
        <f aca="false">IFERROR(INDEX(Positions!$E$2:$E$6912,MATCH($A1426&amp;"|56",Positions!$A$2:$A$6912,0)),"-")</f>
        <v>C</v>
      </c>
      <c r="H1426" s="25" t="str">
        <f aca="false">F1426&amp;"-"&amp;G1426</f>
        <v>G-C</v>
      </c>
      <c r="I1426" s="24" t="n">
        <f aca="false">(F1426="G")+(G1426="G")</f>
        <v>1</v>
      </c>
      <c r="J1426" s="24" t="n">
        <f aca="false">(F1426="C")+(G1426="C")</f>
        <v>1</v>
      </c>
      <c r="K1426" s="25" t="n">
        <f aca="false">I1426+J1426</f>
        <v>2</v>
      </c>
    </row>
    <row r="1427" customFormat="false" ht="15" hidden="false" customHeight="false" outlineLevel="0" collapsed="false">
      <c r="A1427" s="24" t="s">
        <v>87</v>
      </c>
      <c r="B1427" s="24" t="s">
        <v>530</v>
      </c>
      <c r="C1427" s="24" t="s">
        <v>535</v>
      </c>
      <c r="D1427" s="24" t="n">
        <f aca="false">IFERROR(INDEX(Positions!$D$2:$D$6912,MATCH($A1427&amp;"|26",Positions!$A$2:$A$6912,0)),"-")</f>
        <v>26</v>
      </c>
      <c r="E1427" s="24" t="n">
        <f aca="false">IFERROR(INDEX(Positions!$D$2:$D$6912,MATCH($A1427&amp;"|44",Positions!$A$2:$A$6912,0)),"-")</f>
        <v>44</v>
      </c>
      <c r="F1427" s="24" t="str">
        <f aca="false">IFERROR(INDEX(Positions!$E$2:$E$6912,MATCH($A1427&amp;"|26",Positions!$A$2:$A$6912,0)),"-")</f>
        <v>A</v>
      </c>
      <c r="G1427" s="24" t="str">
        <f aca="false">IFERROR(INDEX(Positions!$E$2:$E$6912,MATCH($A1427&amp;"|44",Positions!$A$2:$A$6912,0)),"-")</f>
        <v>G</v>
      </c>
      <c r="H1427" s="25" t="str">
        <f aca="false">F1427&amp;"-"&amp;G1427</f>
        <v>A-G</v>
      </c>
      <c r="I1427" s="24" t="n">
        <f aca="false">(F1427="G")+(G1427="G")</f>
        <v>1</v>
      </c>
      <c r="J1427" s="24" t="n">
        <f aca="false">(F1427="C")+(G1427="C")</f>
        <v>0</v>
      </c>
      <c r="K1427" s="25" t="n">
        <f aca="false">I1427+J1427</f>
        <v>1</v>
      </c>
    </row>
    <row r="1428" customFormat="false" ht="15" hidden="false" customHeight="false" outlineLevel="0" collapsed="false">
      <c r="A1428" s="24" t="s">
        <v>87</v>
      </c>
      <c r="B1428" s="24" t="s">
        <v>530</v>
      </c>
      <c r="C1428" s="24" t="s">
        <v>536</v>
      </c>
      <c r="D1428" s="24" t="n">
        <f aca="false">IFERROR(INDEX(Positions!$D$2:$D$6912,MATCH($A1428&amp;"|32",Positions!$A$2:$A$6912,0)),"-")</f>
        <v>32</v>
      </c>
      <c r="E1428" s="24" t="n">
        <f aca="false">IFERROR(INDEX(Positions!$D$2:$D$6912,MATCH($A1428&amp;"|38",Positions!$A$2:$A$6912,0)),"-")</f>
        <v>38</v>
      </c>
      <c r="F1428" s="24" t="str">
        <f aca="false">IFERROR(INDEX(Positions!$E$2:$E$6912,MATCH($A1428&amp;"|32",Positions!$A$2:$A$6912,0)),"-")</f>
        <v>C</v>
      </c>
      <c r="G1428" s="24" t="str">
        <f aca="false">IFERROR(INDEX(Positions!$E$2:$E$6912,MATCH($A1428&amp;"|38",Positions!$A$2:$A$6912,0)),"-")</f>
        <v>A</v>
      </c>
      <c r="H1428" s="25" t="str">
        <f aca="false">F1428&amp;"-"&amp;G1428</f>
        <v>C-A</v>
      </c>
      <c r="I1428" s="24" t="n">
        <f aca="false">(F1428="G")+(G1428="G")</f>
        <v>0</v>
      </c>
      <c r="J1428" s="24" t="n">
        <f aca="false">(F1428="C")+(G1428="C")</f>
        <v>1</v>
      </c>
      <c r="K1428" s="25" t="n">
        <f aca="false">I1428+J1428</f>
        <v>1</v>
      </c>
    </row>
    <row r="1429" customFormat="false" ht="15" hidden="false" customHeight="false" outlineLevel="0" collapsed="false">
      <c r="A1429" s="24" t="s">
        <v>87</v>
      </c>
      <c r="B1429" s="24" t="s">
        <v>530</v>
      </c>
      <c r="C1429" s="24" t="s">
        <v>537</v>
      </c>
      <c r="D1429" s="24" t="n">
        <f aca="false">IFERROR(INDEX(Positions!$D$2:$D$6912,MATCH($A1429&amp;"|54",Positions!$A$2:$A$6912,0)),"-")</f>
        <v>54</v>
      </c>
      <c r="E1429" s="24" t="n">
        <f aca="false">IFERROR(INDEX(Positions!$D$2:$D$6912,MATCH($A1429&amp;"|58",Positions!$A$2:$A$6912,0)),"-")</f>
        <v>58</v>
      </c>
      <c r="F1429" s="24" t="str">
        <f aca="false">IFERROR(INDEX(Positions!$E$2:$E$6912,MATCH($A1429&amp;"|54",Positions!$A$2:$A$6912,0)),"-")</f>
        <v>U</v>
      </c>
      <c r="G1429" s="24" t="str">
        <f aca="false">IFERROR(INDEX(Positions!$E$2:$E$6912,MATCH($A1429&amp;"|58",Positions!$A$2:$A$6912,0)),"-")</f>
        <v>A</v>
      </c>
      <c r="H1429" s="25" t="str">
        <f aca="false">F1429&amp;"-"&amp;G1429</f>
        <v>U-A</v>
      </c>
      <c r="I1429" s="24" t="n">
        <f aca="false">(F1429="G")+(G1429="G")</f>
        <v>0</v>
      </c>
      <c r="J1429" s="24" t="n">
        <f aca="false">(F1429="C")+(G1429="C")</f>
        <v>0</v>
      </c>
      <c r="K1429" s="25" t="n">
        <f aca="false">I1429+J1429</f>
        <v>0</v>
      </c>
    </row>
    <row r="1430" customFormat="false" ht="15" hidden="false" customHeight="false" outlineLevel="0" collapsed="false">
      <c r="A1430" s="4" t="s">
        <v>88</v>
      </c>
      <c r="B1430" s="4" t="s">
        <v>412</v>
      </c>
      <c r="C1430" s="4" t="s">
        <v>517</v>
      </c>
      <c r="D1430" s="4" t="n">
        <f aca="false">IFERROR(INDEX(Positions!$D$2:$D$6912,MATCH($A1430&amp;"|1",Positions!$A$2:$A$6912,0)),"-")</f>
        <v>1</v>
      </c>
      <c r="E1430" s="4" t="n">
        <f aca="false">IFERROR(INDEX(Positions!$D$2:$D$6912,MATCH($A1430&amp;"|72",Positions!$A$2:$A$6912,0)),"-")</f>
        <v>72</v>
      </c>
      <c r="F1430" s="4" t="str">
        <f aca="false">IFERROR(INDEX(Positions!$E$2:$E$6912,MATCH($A1430&amp;"|1",Positions!$A$2:$A$6912,0)),"-")</f>
        <v>G</v>
      </c>
      <c r="G1430" s="4" t="str">
        <f aca="false">IFERROR(INDEX(Positions!$E$2:$E$6912,MATCH($A1430&amp;"|72",Positions!$A$2:$A$6912,0)),"-")</f>
        <v>C</v>
      </c>
      <c r="H1430" s="3" t="str">
        <f aca="false">F1430&amp;"-"&amp;G1430</f>
        <v>G-C</v>
      </c>
      <c r="I1430" s="4" t="n">
        <f aca="false">(F1430="G")+(G1430="G")</f>
        <v>1</v>
      </c>
      <c r="J1430" s="4" t="n">
        <f aca="false">(F1430="C")+(G1430="C")</f>
        <v>1</v>
      </c>
      <c r="K1430" s="3" t="n">
        <f aca="false">I1430+J1430</f>
        <v>2</v>
      </c>
    </row>
    <row r="1431" customFormat="false" ht="15" hidden="false" customHeight="false" outlineLevel="0" collapsed="false">
      <c r="A1431" s="4" t="s">
        <v>88</v>
      </c>
      <c r="B1431" s="4" t="s">
        <v>412</v>
      </c>
      <c r="C1431" s="4" t="s">
        <v>518</v>
      </c>
      <c r="D1431" s="4" t="n">
        <f aca="false">IFERROR(INDEX(Positions!$D$2:$D$6912,MATCH($A1431&amp;"|2",Positions!$A$2:$A$6912,0)),"-")</f>
        <v>2</v>
      </c>
      <c r="E1431" s="4" t="n">
        <f aca="false">IFERROR(INDEX(Positions!$D$2:$D$6912,MATCH($A1431&amp;"|71",Positions!$A$2:$A$6912,0)),"-")</f>
        <v>71</v>
      </c>
      <c r="F1431" s="4" t="str">
        <f aca="false">IFERROR(INDEX(Positions!$E$2:$E$6912,MATCH($A1431&amp;"|2",Positions!$A$2:$A$6912,0)),"-")</f>
        <v>C</v>
      </c>
      <c r="G1431" s="4" t="str">
        <f aca="false">IFERROR(INDEX(Positions!$E$2:$E$6912,MATCH($A1431&amp;"|71",Positions!$A$2:$A$6912,0)),"-")</f>
        <v>G</v>
      </c>
      <c r="H1431" s="3" t="str">
        <f aca="false">F1431&amp;"-"&amp;G1431</f>
        <v>C-G</v>
      </c>
      <c r="I1431" s="4" t="n">
        <f aca="false">(F1431="G")+(G1431="G")</f>
        <v>1</v>
      </c>
      <c r="J1431" s="4" t="n">
        <f aca="false">(F1431="C")+(G1431="C")</f>
        <v>1</v>
      </c>
      <c r="K1431" s="3" t="n">
        <f aca="false">I1431+J1431</f>
        <v>2</v>
      </c>
    </row>
    <row r="1432" customFormat="false" ht="15" hidden="false" customHeight="false" outlineLevel="0" collapsed="false">
      <c r="A1432" s="4" t="s">
        <v>88</v>
      </c>
      <c r="B1432" s="4" t="s">
        <v>412</v>
      </c>
      <c r="C1432" s="4" t="s">
        <v>386</v>
      </c>
      <c r="D1432" s="4" t="n">
        <f aca="false">IFERROR(INDEX(Positions!$D$2:$D$6912,MATCH($A1432&amp;"|3",Positions!$A$2:$A$6912,0)),"-")</f>
        <v>3</v>
      </c>
      <c r="E1432" s="4" t="n">
        <f aca="false">IFERROR(INDEX(Positions!$D$2:$D$6912,MATCH($A1432&amp;"|70",Positions!$A$2:$A$6912,0)),"-")</f>
        <v>70</v>
      </c>
      <c r="F1432" s="4" t="str">
        <f aca="false">IFERROR(INDEX(Positions!$E$2:$E$6912,MATCH($A1432&amp;"|3",Positions!$A$2:$A$6912,0)),"-")</f>
        <v>C</v>
      </c>
      <c r="G1432" s="4" t="str">
        <f aca="false">IFERROR(INDEX(Positions!$E$2:$E$6912,MATCH($A1432&amp;"|70",Positions!$A$2:$A$6912,0)),"-")</f>
        <v>G</v>
      </c>
      <c r="H1432" s="3" t="str">
        <f aca="false">F1432&amp;"-"&amp;G1432</f>
        <v>C-G</v>
      </c>
      <c r="I1432" s="4" t="n">
        <f aca="false">(F1432="G")+(G1432="G")</f>
        <v>1</v>
      </c>
      <c r="J1432" s="4" t="n">
        <f aca="false">(F1432="C")+(G1432="C")</f>
        <v>1</v>
      </c>
      <c r="K1432" s="3" t="n">
        <f aca="false">I1432+J1432</f>
        <v>2</v>
      </c>
    </row>
    <row r="1433" customFormat="false" ht="15" hidden="false" customHeight="false" outlineLevel="0" collapsed="false">
      <c r="A1433" s="4" t="s">
        <v>88</v>
      </c>
      <c r="B1433" s="4" t="s">
        <v>412</v>
      </c>
      <c r="C1433" s="4" t="s">
        <v>519</v>
      </c>
      <c r="D1433" s="4" t="n">
        <f aca="false">IFERROR(INDEX(Positions!$D$2:$D$6912,MATCH($A1433&amp;"|4",Positions!$A$2:$A$6912,0)),"-")</f>
        <v>4</v>
      </c>
      <c r="E1433" s="4" t="n">
        <f aca="false">IFERROR(INDEX(Positions!$D$2:$D$6912,MATCH($A1433&amp;"|69",Positions!$A$2:$A$6912,0)),"-")</f>
        <v>69</v>
      </c>
      <c r="F1433" s="4" t="str">
        <f aca="false">IFERROR(INDEX(Positions!$E$2:$E$6912,MATCH($A1433&amp;"|4",Positions!$A$2:$A$6912,0)),"-")</f>
        <v>C</v>
      </c>
      <c r="G1433" s="4" t="str">
        <f aca="false">IFERROR(INDEX(Positions!$E$2:$E$6912,MATCH($A1433&amp;"|69",Positions!$A$2:$A$6912,0)),"-")</f>
        <v>G</v>
      </c>
      <c r="H1433" s="3" t="str">
        <f aca="false">F1433&amp;"-"&amp;G1433</f>
        <v>C-G</v>
      </c>
      <c r="I1433" s="4" t="n">
        <f aca="false">(F1433="G")+(G1433="G")</f>
        <v>1</v>
      </c>
      <c r="J1433" s="4" t="n">
        <f aca="false">(F1433="C")+(G1433="C")</f>
        <v>1</v>
      </c>
      <c r="K1433" s="3" t="n">
        <f aca="false">I1433+J1433</f>
        <v>2</v>
      </c>
    </row>
    <row r="1434" customFormat="false" ht="15" hidden="false" customHeight="false" outlineLevel="0" collapsed="false">
      <c r="A1434" s="4" t="s">
        <v>88</v>
      </c>
      <c r="B1434" s="4" t="s">
        <v>412</v>
      </c>
      <c r="C1434" s="4" t="s">
        <v>283</v>
      </c>
      <c r="D1434" s="4" t="n">
        <f aca="false">IFERROR(INDEX(Positions!$D$2:$D$6912,MATCH($A1434&amp;"|5",Positions!$A$2:$A$6912,0)),"-")</f>
        <v>5</v>
      </c>
      <c r="E1434" s="4" t="n">
        <f aca="false">IFERROR(INDEX(Positions!$D$2:$D$6912,MATCH($A1434&amp;"|68",Positions!$A$2:$A$6912,0)),"-")</f>
        <v>68</v>
      </c>
      <c r="F1434" s="4" t="str">
        <f aca="false">IFERROR(INDEX(Positions!$E$2:$E$6912,MATCH($A1434&amp;"|5",Positions!$A$2:$A$6912,0)),"-")</f>
        <v>G</v>
      </c>
      <c r="G1434" s="4" t="str">
        <f aca="false">IFERROR(INDEX(Positions!$E$2:$E$6912,MATCH($A1434&amp;"|68",Positions!$A$2:$A$6912,0)),"-")</f>
        <v>U</v>
      </c>
      <c r="H1434" s="3" t="str">
        <f aca="false">F1434&amp;"-"&amp;G1434</f>
        <v>G-U</v>
      </c>
      <c r="I1434" s="4" t="n">
        <f aca="false">(F1434="G")+(G1434="G")</f>
        <v>1</v>
      </c>
      <c r="J1434" s="4" t="n">
        <f aca="false">(F1434="C")+(G1434="C")</f>
        <v>0</v>
      </c>
      <c r="K1434" s="3" t="n">
        <f aca="false">I1434+J1434</f>
        <v>1</v>
      </c>
    </row>
    <row r="1435" customFormat="false" ht="15" hidden="false" customHeight="false" outlineLevel="0" collapsed="false">
      <c r="A1435" s="4" t="s">
        <v>88</v>
      </c>
      <c r="B1435" s="4" t="s">
        <v>412</v>
      </c>
      <c r="C1435" s="4" t="s">
        <v>520</v>
      </c>
      <c r="D1435" s="4" t="n">
        <f aca="false">IFERROR(INDEX(Positions!$D$2:$D$6912,MATCH($A1435&amp;"|6",Positions!$A$2:$A$6912,0)),"-")</f>
        <v>6</v>
      </c>
      <c r="E1435" s="4" t="n">
        <f aca="false">IFERROR(INDEX(Positions!$D$2:$D$6912,MATCH($A1435&amp;"|67",Positions!$A$2:$A$6912,0)),"-")</f>
        <v>67</v>
      </c>
      <c r="F1435" s="4" t="str">
        <f aca="false">IFERROR(INDEX(Positions!$E$2:$E$6912,MATCH($A1435&amp;"|6",Positions!$A$2:$A$6912,0)),"-")</f>
        <v>G</v>
      </c>
      <c r="G1435" s="4" t="str">
        <f aca="false">IFERROR(INDEX(Positions!$E$2:$E$6912,MATCH($A1435&amp;"|67",Positions!$A$2:$A$6912,0)),"-")</f>
        <v>U</v>
      </c>
      <c r="H1435" s="3" t="str">
        <f aca="false">F1435&amp;"-"&amp;G1435</f>
        <v>G-U</v>
      </c>
      <c r="I1435" s="4" t="n">
        <f aca="false">(F1435="G")+(G1435="G")</f>
        <v>1</v>
      </c>
      <c r="J1435" s="4" t="n">
        <f aca="false">(F1435="C")+(G1435="C")</f>
        <v>0</v>
      </c>
      <c r="K1435" s="3" t="n">
        <f aca="false">I1435+J1435</f>
        <v>1</v>
      </c>
    </row>
    <row r="1436" customFormat="false" ht="15" hidden="false" customHeight="false" outlineLevel="0" collapsed="false">
      <c r="A1436" s="4" t="s">
        <v>88</v>
      </c>
      <c r="B1436" s="4" t="s">
        <v>412</v>
      </c>
      <c r="C1436" s="4" t="s">
        <v>521</v>
      </c>
      <c r="D1436" s="4" t="n">
        <f aca="false">IFERROR(INDEX(Positions!$D$2:$D$6912,MATCH($A1436&amp;"|7",Positions!$A$2:$A$6912,0)),"-")</f>
        <v>7</v>
      </c>
      <c r="E1436" s="4" t="n">
        <f aca="false">IFERROR(INDEX(Positions!$D$2:$D$6912,MATCH($A1436&amp;"|66",Positions!$A$2:$A$6912,0)),"-")</f>
        <v>66</v>
      </c>
      <c r="F1436" s="4" t="str">
        <f aca="false">IFERROR(INDEX(Positions!$E$2:$E$6912,MATCH($A1436&amp;"|7",Positions!$A$2:$A$6912,0)),"-")</f>
        <v>C</v>
      </c>
      <c r="G1436" s="4" t="str">
        <f aca="false">IFERROR(INDEX(Positions!$E$2:$E$6912,MATCH($A1436&amp;"|66",Positions!$A$2:$A$6912,0)),"-")</f>
        <v>G</v>
      </c>
      <c r="H1436" s="3" t="str">
        <f aca="false">F1436&amp;"-"&amp;G1436</f>
        <v>C-G</v>
      </c>
      <c r="I1436" s="4" t="n">
        <f aca="false">(F1436="G")+(G1436="G")</f>
        <v>1</v>
      </c>
      <c r="J1436" s="4" t="n">
        <f aca="false">(F1436="C")+(G1436="C")</f>
        <v>1</v>
      </c>
      <c r="K1436" s="3" t="n">
        <f aca="false">I1436+J1436</f>
        <v>2</v>
      </c>
    </row>
    <row r="1437" customFormat="false" ht="15" hidden="false" customHeight="false" outlineLevel="0" collapsed="false">
      <c r="A1437" s="4" t="s">
        <v>88</v>
      </c>
      <c r="B1437" s="4" t="s">
        <v>425</v>
      </c>
      <c r="C1437" s="4" t="s">
        <v>522</v>
      </c>
      <c r="D1437" s="4" t="n">
        <f aca="false">IFERROR(INDEX(Positions!$D$2:$D$6912,MATCH($A1437&amp;"|10",Positions!$A$2:$A$6912,0)),"-")</f>
        <v>10</v>
      </c>
      <c r="E1437" s="4" t="n">
        <f aca="false">IFERROR(INDEX(Positions!$D$2:$D$6912,MATCH($A1437&amp;"|25",Positions!$A$2:$A$6912,0)),"-")</f>
        <v>25</v>
      </c>
      <c r="F1437" s="4" t="str">
        <f aca="false">IFERROR(INDEX(Positions!$E$2:$E$6912,MATCH($A1437&amp;"|10",Positions!$A$2:$A$6912,0)),"-")</f>
        <v>G</v>
      </c>
      <c r="G1437" s="4" t="str">
        <f aca="false">IFERROR(INDEX(Positions!$E$2:$E$6912,MATCH($A1437&amp;"|25",Positions!$A$2:$A$6912,0)),"-")</f>
        <v>C</v>
      </c>
      <c r="H1437" s="3" t="str">
        <f aca="false">F1437&amp;"-"&amp;G1437</f>
        <v>G-C</v>
      </c>
      <c r="I1437" s="4" t="n">
        <f aca="false">(F1437="G")+(G1437="G")</f>
        <v>1</v>
      </c>
      <c r="J1437" s="4" t="n">
        <f aca="false">(F1437="C")+(G1437="C")</f>
        <v>1</v>
      </c>
      <c r="K1437" s="3" t="n">
        <f aca="false">I1437+J1437</f>
        <v>2</v>
      </c>
    </row>
    <row r="1438" customFormat="false" ht="15" hidden="false" customHeight="false" outlineLevel="0" collapsed="false">
      <c r="A1438" s="4" t="s">
        <v>88</v>
      </c>
      <c r="B1438" s="4" t="s">
        <v>425</v>
      </c>
      <c r="C1438" s="4" t="s">
        <v>523</v>
      </c>
      <c r="D1438" s="4" t="n">
        <f aca="false">IFERROR(INDEX(Positions!$D$2:$D$6912,MATCH($A1438&amp;"|11",Positions!$A$2:$A$6912,0)),"-")</f>
        <v>11</v>
      </c>
      <c r="E1438" s="4" t="n">
        <f aca="false">IFERROR(INDEX(Positions!$D$2:$D$6912,MATCH($A1438&amp;"|24",Positions!$A$2:$A$6912,0)),"-")</f>
        <v>24</v>
      </c>
      <c r="F1438" s="4" t="str">
        <f aca="false">IFERROR(INDEX(Positions!$E$2:$E$6912,MATCH($A1438&amp;"|11",Positions!$A$2:$A$6912,0)),"-")</f>
        <v>C</v>
      </c>
      <c r="G1438" s="4" t="str">
        <f aca="false">IFERROR(INDEX(Positions!$E$2:$E$6912,MATCH($A1438&amp;"|24",Positions!$A$2:$A$6912,0)),"-")</f>
        <v>G</v>
      </c>
      <c r="H1438" s="3" t="str">
        <f aca="false">F1438&amp;"-"&amp;G1438</f>
        <v>C-G</v>
      </c>
      <c r="I1438" s="4" t="n">
        <f aca="false">(F1438="G")+(G1438="G")</f>
        <v>1</v>
      </c>
      <c r="J1438" s="4" t="n">
        <f aca="false">(F1438="C")+(G1438="C")</f>
        <v>1</v>
      </c>
      <c r="K1438" s="3" t="n">
        <f aca="false">I1438+J1438</f>
        <v>2</v>
      </c>
    </row>
    <row r="1439" customFormat="false" ht="15" hidden="false" customHeight="false" outlineLevel="0" collapsed="false">
      <c r="A1439" s="4" t="s">
        <v>88</v>
      </c>
      <c r="B1439" s="4" t="s">
        <v>425</v>
      </c>
      <c r="C1439" s="4" t="s">
        <v>250</v>
      </c>
      <c r="D1439" s="4" t="n">
        <f aca="false">IFERROR(INDEX(Positions!$D$2:$D$6912,MATCH($A1439&amp;"|12",Positions!$A$2:$A$6912,0)),"-")</f>
        <v>12</v>
      </c>
      <c r="E1439" s="4" t="n">
        <f aca="false">IFERROR(INDEX(Positions!$D$2:$D$6912,MATCH($A1439&amp;"|23",Positions!$A$2:$A$6912,0)),"-")</f>
        <v>23</v>
      </c>
      <c r="F1439" s="4" t="str">
        <f aca="false">IFERROR(INDEX(Positions!$E$2:$E$6912,MATCH($A1439&amp;"|12",Positions!$A$2:$A$6912,0)),"-")</f>
        <v>U</v>
      </c>
      <c r="G1439" s="4" t="str">
        <f aca="false">IFERROR(INDEX(Positions!$E$2:$E$6912,MATCH($A1439&amp;"|23",Positions!$A$2:$A$6912,0)),"-")</f>
        <v>A</v>
      </c>
      <c r="H1439" s="3" t="str">
        <f aca="false">F1439&amp;"-"&amp;G1439</f>
        <v>U-A</v>
      </c>
      <c r="I1439" s="4" t="n">
        <f aca="false">(F1439="G")+(G1439="G")</f>
        <v>0</v>
      </c>
      <c r="J1439" s="4" t="n">
        <f aca="false">(F1439="C")+(G1439="C")</f>
        <v>0</v>
      </c>
      <c r="K1439" s="3" t="n">
        <f aca="false">I1439+J1439</f>
        <v>0</v>
      </c>
    </row>
    <row r="1440" customFormat="false" ht="15" hidden="false" customHeight="false" outlineLevel="0" collapsed="false">
      <c r="A1440" s="4" t="s">
        <v>88</v>
      </c>
      <c r="B1440" s="4" t="s">
        <v>425</v>
      </c>
      <c r="C1440" s="4" t="s">
        <v>154</v>
      </c>
      <c r="D1440" s="4" t="n">
        <f aca="false">IFERROR(INDEX(Positions!$D$2:$D$6912,MATCH($A1440&amp;"|13",Positions!$A$2:$A$6912,0)),"-")</f>
        <v>13</v>
      </c>
      <c r="E1440" s="4" t="n">
        <f aca="false">IFERROR(INDEX(Positions!$D$2:$D$6912,MATCH($A1440&amp;"|22",Positions!$A$2:$A$6912,0)),"-")</f>
        <v>22</v>
      </c>
      <c r="F1440" s="4" t="str">
        <f aca="false">IFERROR(INDEX(Positions!$E$2:$E$6912,MATCH($A1440&amp;"|13",Positions!$A$2:$A$6912,0)),"-")</f>
        <v>C</v>
      </c>
      <c r="G1440" s="4" t="str">
        <f aca="false">IFERROR(INDEX(Positions!$E$2:$E$6912,MATCH($A1440&amp;"|22",Positions!$A$2:$A$6912,0)),"-")</f>
        <v>G</v>
      </c>
      <c r="H1440" s="3" t="str">
        <f aca="false">F1440&amp;"-"&amp;G1440</f>
        <v>C-G</v>
      </c>
      <c r="I1440" s="4" t="n">
        <f aca="false">(F1440="G")+(G1440="G")</f>
        <v>1</v>
      </c>
      <c r="J1440" s="4" t="n">
        <f aca="false">(F1440="C")+(G1440="C")</f>
        <v>1</v>
      </c>
      <c r="K1440" s="3" t="n">
        <f aca="false">I1440+J1440</f>
        <v>2</v>
      </c>
    </row>
    <row r="1441" customFormat="false" ht="15" hidden="false" customHeight="false" outlineLevel="0" collapsed="false">
      <c r="A1441" s="4" t="s">
        <v>88</v>
      </c>
      <c r="B1441" s="4" t="s">
        <v>446</v>
      </c>
      <c r="C1441" s="4" t="s">
        <v>524</v>
      </c>
      <c r="D1441" s="4" t="n">
        <f aca="false">IFERROR(INDEX(Positions!$D$2:$D$6912,MATCH($A1441&amp;"|27",Positions!$A$2:$A$6912,0)),"-")</f>
        <v>27</v>
      </c>
      <c r="E1441" s="4" t="n">
        <f aca="false">IFERROR(INDEX(Positions!$D$2:$D$6912,MATCH($A1441&amp;"|43",Positions!$A$2:$A$6912,0)),"-")</f>
        <v>43</v>
      </c>
      <c r="F1441" s="4" t="str">
        <f aca="false">IFERROR(INDEX(Positions!$E$2:$E$6912,MATCH($A1441&amp;"|27",Positions!$A$2:$A$6912,0)),"-")</f>
        <v>U</v>
      </c>
      <c r="G1441" s="4" t="str">
        <f aca="false">IFERROR(INDEX(Positions!$E$2:$E$6912,MATCH($A1441&amp;"|43",Positions!$A$2:$A$6912,0)),"-")</f>
        <v>A</v>
      </c>
      <c r="H1441" s="3" t="str">
        <f aca="false">F1441&amp;"-"&amp;G1441</f>
        <v>U-A</v>
      </c>
      <c r="I1441" s="4" t="n">
        <f aca="false">(F1441="G")+(G1441="G")</f>
        <v>0</v>
      </c>
      <c r="J1441" s="4" t="n">
        <f aca="false">(F1441="C")+(G1441="C")</f>
        <v>0</v>
      </c>
      <c r="K1441" s="3" t="n">
        <f aca="false">I1441+J1441</f>
        <v>0</v>
      </c>
    </row>
    <row r="1442" customFormat="false" ht="15" hidden="false" customHeight="false" outlineLevel="0" collapsed="false">
      <c r="A1442" s="4" t="s">
        <v>88</v>
      </c>
      <c r="B1442" s="4" t="s">
        <v>446</v>
      </c>
      <c r="C1442" s="4" t="s">
        <v>525</v>
      </c>
      <c r="D1442" s="4" t="n">
        <f aca="false">IFERROR(INDEX(Positions!$D$2:$D$6912,MATCH($A1442&amp;"|28",Positions!$A$2:$A$6912,0)),"-")</f>
        <v>28</v>
      </c>
      <c r="E1442" s="4" t="n">
        <f aca="false">IFERROR(INDEX(Positions!$D$2:$D$6912,MATCH($A1442&amp;"|42",Positions!$A$2:$A$6912,0)),"-")</f>
        <v>42</v>
      </c>
      <c r="F1442" s="4" t="str">
        <f aca="false">IFERROR(INDEX(Positions!$E$2:$E$6912,MATCH($A1442&amp;"|28",Positions!$A$2:$A$6912,0)),"-")</f>
        <v>G</v>
      </c>
      <c r="G1442" s="4" t="str">
        <f aca="false">IFERROR(INDEX(Positions!$E$2:$E$6912,MATCH($A1442&amp;"|42",Positions!$A$2:$A$6912,0)),"-")</f>
        <v>C</v>
      </c>
      <c r="H1442" s="3" t="str">
        <f aca="false">F1442&amp;"-"&amp;G1442</f>
        <v>G-C</v>
      </c>
      <c r="I1442" s="4" t="n">
        <f aca="false">(F1442="G")+(G1442="G")</f>
        <v>1</v>
      </c>
      <c r="J1442" s="4" t="n">
        <f aca="false">(F1442="C")+(G1442="C")</f>
        <v>1</v>
      </c>
      <c r="K1442" s="3" t="n">
        <f aca="false">I1442+J1442</f>
        <v>2</v>
      </c>
    </row>
    <row r="1443" customFormat="false" ht="15" hidden="false" customHeight="false" outlineLevel="0" collapsed="false">
      <c r="A1443" s="4" t="s">
        <v>88</v>
      </c>
      <c r="B1443" s="4" t="s">
        <v>446</v>
      </c>
      <c r="C1443" s="4" t="s">
        <v>256</v>
      </c>
      <c r="D1443" s="4" t="n">
        <f aca="false">IFERROR(INDEX(Positions!$D$2:$D$6912,MATCH($A1443&amp;"|29",Positions!$A$2:$A$6912,0)),"-")</f>
        <v>29</v>
      </c>
      <c r="E1443" s="4" t="n">
        <f aca="false">IFERROR(INDEX(Positions!$D$2:$D$6912,MATCH($A1443&amp;"|41",Positions!$A$2:$A$6912,0)),"-")</f>
        <v>41</v>
      </c>
      <c r="F1443" s="4" t="str">
        <f aca="false">IFERROR(INDEX(Positions!$E$2:$E$6912,MATCH($A1443&amp;"|29",Positions!$A$2:$A$6912,0)),"-")</f>
        <v>A</v>
      </c>
      <c r="G1443" s="4" t="str">
        <f aca="false">IFERROR(INDEX(Positions!$E$2:$E$6912,MATCH($A1443&amp;"|41",Positions!$A$2:$A$6912,0)),"-")</f>
        <v>U</v>
      </c>
      <c r="H1443" s="3" t="str">
        <f aca="false">F1443&amp;"-"&amp;G1443</f>
        <v>A-U</v>
      </c>
      <c r="I1443" s="4" t="n">
        <f aca="false">(F1443="G")+(G1443="G")</f>
        <v>0</v>
      </c>
      <c r="J1443" s="4" t="n">
        <f aca="false">(F1443="C")+(G1443="C")</f>
        <v>0</v>
      </c>
      <c r="K1443" s="3" t="n">
        <f aca="false">I1443+J1443</f>
        <v>0</v>
      </c>
    </row>
    <row r="1444" customFormat="false" ht="15" hidden="false" customHeight="false" outlineLevel="0" collapsed="false">
      <c r="A1444" s="4" t="s">
        <v>88</v>
      </c>
      <c r="B1444" s="4" t="s">
        <v>446</v>
      </c>
      <c r="C1444" s="4" t="s">
        <v>526</v>
      </c>
      <c r="D1444" s="4" t="n">
        <f aca="false">IFERROR(INDEX(Positions!$D$2:$D$6912,MATCH($A1444&amp;"|30",Positions!$A$2:$A$6912,0)),"-")</f>
        <v>30</v>
      </c>
      <c r="E1444" s="4" t="n">
        <f aca="false">IFERROR(INDEX(Positions!$D$2:$D$6912,MATCH($A1444&amp;"|40",Positions!$A$2:$A$6912,0)),"-")</f>
        <v>40</v>
      </c>
      <c r="F1444" s="4" t="str">
        <f aca="false">IFERROR(INDEX(Positions!$E$2:$E$6912,MATCH($A1444&amp;"|30",Positions!$A$2:$A$6912,0)),"-")</f>
        <v>G</v>
      </c>
      <c r="G1444" s="4" t="str">
        <f aca="false">IFERROR(INDEX(Positions!$E$2:$E$6912,MATCH($A1444&amp;"|40",Positions!$A$2:$A$6912,0)),"-")</f>
        <v>C</v>
      </c>
      <c r="H1444" s="3" t="str">
        <f aca="false">F1444&amp;"-"&amp;G1444</f>
        <v>G-C</v>
      </c>
      <c r="I1444" s="4" t="n">
        <f aca="false">(F1444="G")+(G1444="G")</f>
        <v>1</v>
      </c>
      <c r="J1444" s="4" t="n">
        <f aca="false">(F1444="C")+(G1444="C")</f>
        <v>1</v>
      </c>
      <c r="K1444" s="3" t="n">
        <f aca="false">I1444+J1444</f>
        <v>2</v>
      </c>
    </row>
    <row r="1445" customFormat="false" ht="15" hidden="false" customHeight="false" outlineLevel="0" collapsed="false">
      <c r="A1445" s="4" t="s">
        <v>88</v>
      </c>
      <c r="B1445" s="4" t="s">
        <v>446</v>
      </c>
      <c r="C1445" s="4" t="s">
        <v>273</v>
      </c>
      <c r="D1445" s="4" t="n">
        <f aca="false">IFERROR(INDEX(Positions!$D$2:$D$6912,MATCH($A1445&amp;"|31",Positions!$A$2:$A$6912,0)),"-")</f>
        <v>31</v>
      </c>
      <c r="E1445" s="4" t="n">
        <f aca="false">IFERROR(INDEX(Positions!$D$2:$D$6912,MATCH($A1445&amp;"|39",Positions!$A$2:$A$6912,0)),"-")</f>
        <v>39</v>
      </c>
      <c r="F1445" s="4" t="str">
        <f aca="false">IFERROR(INDEX(Positions!$E$2:$E$6912,MATCH($A1445&amp;"|31",Positions!$A$2:$A$6912,0)),"-")</f>
        <v>A</v>
      </c>
      <c r="G1445" s="4" t="str">
        <f aca="false">IFERROR(INDEX(Positions!$E$2:$E$6912,MATCH($A1445&amp;"|39",Positions!$A$2:$A$6912,0)),"-")</f>
        <v>U</v>
      </c>
      <c r="H1445" s="3" t="str">
        <f aca="false">F1445&amp;"-"&amp;G1445</f>
        <v>A-U</v>
      </c>
      <c r="I1445" s="4" t="n">
        <f aca="false">(F1445="G")+(G1445="G")</f>
        <v>0</v>
      </c>
      <c r="J1445" s="4" t="n">
        <f aca="false">(F1445="C")+(G1445="C")</f>
        <v>0</v>
      </c>
      <c r="K1445" s="3" t="n">
        <f aca="false">I1445+J1445</f>
        <v>0</v>
      </c>
    </row>
    <row r="1446" customFormat="false" ht="15" hidden="false" customHeight="false" outlineLevel="0" collapsed="false">
      <c r="A1446" s="4" t="s">
        <v>88</v>
      </c>
      <c r="B1446" s="4" t="s">
        <v>471</v>
      </c>
      <c r="C1446" s="4" t="s">
        <v>367</v>
      </c>
      <c r="D1446" s="4" t="n">
        <f aca="false">IFERROR(INDEX(Positions!$D$2:$D$6912,MATCH($A1446&amp;"|49",Positions!$A$2:$A$6912,0)),"-")</f>
        <v>49</v>
      </c>
      <c r="E1446" s="4" t="n">
        <f aca="false">IFERROR(INDEX(Positions!$D$2:$D$6912,MATCH($A1446&amp;"|65",Positions!$A$2:$A$6912,0)),"-")</f>
        <v>65</v>
      </c>
      <c r="F1446" s="4" t="str">
        <f aca="false">IFERROR(INDEX(Positions!$E$2:$E$6912,MATCH($A1446&amp;"|49",Positions!$A$2:$A$6912,0)),"-")</f>
        <v>G</v>
      </c>
      <c r="G1446" s="4" t="str">
        <f aca="false">IFERROR(INDEX(Positions!$E$2:$E$6912,MATCH($A1446&amp;"|65",Positions!$A$2:$A$6912,0)),"-")</f>
        <v>C</v>
      </c>
      <c r="H1446" s="3" t="str">
        <f aca="false">F1446&amp;"-"&amp;G1446</f>
        <v>G-C</v>
      </c>
      <c r="I1446" s="4" t="n">
        <f aca="false">(F1446="G")+(G1446="G")</f>
        <v>1</v>
      </c>
      <c r="J1446" s="4" t="n">
        <f aca="false">(F1446="C")+(G1446="C")</f>
        <v>1</v>
      </c>
      <c r="K1446" s="3" t="n">
        <f aca="false">I1446+J1446</f>
        <v>2</v>
      </c>
    </row>
    <row r="1447" customFormat="false" ht="15" hidden="false" customHeight="false" outlineLevel="0" collapsed="false">
      <c r="A1447" s="4" t="s">
        <v>88</v>
      </c>
      <c r="B1447" s="4" t="s">
        <v>471</v>
      </c>
      <c r="C1447" s="4" t="s">
        <v>233</v>
      </c>
      <c r="D1447" s="4" t="n">
        <f aca="false">IFERROR(INDEX(Positions!$D$2:$D$6912,MATCH($A1447&amp;"|50",Positions!$A$2:$A$6912,0)),"-")</f>
        <v>50</v>
      </c>
      <c r="E1447" s="4" t="n">
        <f aca="false">IFERROR(INDEX(Positions!$D$2:$D$6912,MATCH($A1447&amp;"|64",Positions!$A$2:$A$6912,0)),"-")</f>
        <v>64</v>
      </c>
      <c r="F1447" s="4" t="str">
        <f aca="false">IFERROR(INDEX(Positions!$E$2:$E$6912,MATCH($A1447&amp;"|50",Positions!$A$2:$A$6912,0)),"-")</f>
        <v>U</v>
      </c>
      <c r="G1447" s="4" t="str">
        <f aca="false">IFERROR(INDEX(Positions!$E$2:$E$6912,MATCH($A1447&amp;"|64",Positions!$A$2:$A$6912,0)),"-")</f>
        <v>A</v>
      </c>
      <c r="H1447" s="3" t="str">
        <f aca="false">F1447&amp;"-"&amp;G1447</f>
        <v>U-A</v>
      </c>
      <c r="I1447" s="4" t="n">
        <f aca="false">(F1447="G")+(G1447="G")</f>
        <v>0</v>
      </c>
      <c r="J1447" s="4" t="n">
        <f aca="false">(F1447="C")+(G1447="C")</f>
        <v>0</v>
      </c>
      <c r="K1447" s="3" t="n">
        <f aca="false">I1447+J1447</f>
        <v>0</v>
      </c>
    </row>
    <row r="1448" customFormat="false" ht="15" hidden="false" customHeight="false" outlineLevel="0" collapsed="false">
      <c r="A1448" s="4" t="s">
        <v>88</v>
      </c>
      <c r="B1448" s="4" t="s">
        <v>471</v>
      </c>
      <c r="C1448" s="4" t="s">
        <v>527</v>
      </c>
      <c r="D1448" s="4" t="n">
        <f aca="false">IFERROR(INDEX(Positions!$D$2:$D$6912,MATCH($A1448&amp;"|51",Positions!$A$2:$A$6912,0)),"-")</f>
        <v>51</v>
      </c>
      <c r="E1448" s="4" t="n">
        <f aca="false">IFERROR(INDEX(Positions!$D$2:$D$6912,MATCH($A1448&amp;"|63",Positions!$A$2:$A$6912,0)),"-")</f>
        <v>63</v>
      </c>
      <c r="F1448" s="4" t="str">
        <f aca="false">IFERROR(INDEX(Positions!$E$2:$E$6912,MATCH($A1448&amp;"|51",Positions!$A$2:$A$6912,0)),"-")</f>
        <v>G</v>
      </c>
      <c r="G1448" s="4" t="str">
        <f aca="false">IFERROR(INDEX(Positions!$E$2:$E$6912,MATCH($A1448&amp;"|63",Positions!$A$2:$A$6912,0)),"-")</f>
        <v>C</v>
      </c>
      <c r="H1448" s="3" t="str">
        <f aca="false">F1448&amp;"-"&amp;G1448</f>
        <v>G-C</v>
      </c>
      <c r="I1448" s="4" t="n">
        <f aca="false">(F1448="G")+(G1448="G")</f>
        <v>1</v>
      </c>
      <c r="J1448" s="4" t="n">
        <f aca="false">(F1448="C")+(G1448="C")</f>
        <v>1</v>
      </c>
      <c r="K1448" s="3" t="n">
        <f aca="false">I1448+J1448</f>
        <v>2</v>
      </c>
    </row>
    <row r="1449" customFormat="false" ht="15" hidden="false" customHeight="false" outlineLevel="0" collapsed="false">
      <c r="A1449" s="4" t="s">
        <v>88</v>
      </c>
      <c r="B1449" s="4" t="s">
        <v>471</v>
      </c>
      <c r="C1449" s="4" t="s">
        <v>528</v>
      </c>
      <c r="D1449" s="4" t="n">
        <f aca="false">IFERROR(INDEX(Positions!$D$2:$D$6912,MATCH($A1449&amp;"|52",Positions!$A$2:$A$6912,0)),"-")</f>
        <v>52</v>
      </c>
      <c r="E1449" s="4" t="n">
        <f aca="false">IFERROR(INDEX(Positions!$D$2:$D$6912,MATCH($A1449&amp;"|62",Positions!$A$2:$A$6912,0)),"-")</f>
        <v>62</v>
      </c>
      <c r="F1449" s="4" t="str">
        <f aca="false">IFERROR(INDEX(Positions!$E$2:$E$6912,MATCH($A1449&amp;"|52",Positions!$A$2:$A$6912,0)),"-")</f>
        <v>G</v>
      </c>
      <c r="G1449" s="4" t="str">
        <f aca="false">IFERROR(INDEX(Positions!$E$2:$E$6912,MATCH($A1449&amp;"|62",Positions!$A$2:$A$6912,0)),"-")</f>
        <v>C</v>
      </c>
      <c r="H1449" s="3" t="str">
        <f aca="false">F1449&amp;"-"&amp;G1449</f>
        <v>G-C</v>
      </c>
      <c r="I1449" s="4" t="n">
        <f aca="false">(F1449="G")+(G1449="G")</f>
        <v>1</v>
      </c>
      <c r="J1449" s="4" t="n">
        <f aca="false">(F1449="C")+(G1449="C")</f>
        <v>1</v>
      </c>
      <c r="K1449" s="3" t="n">
        <f aca="false">I1449+J1449</f>
        <v>2</v>
      </c>
    </row>
    <row r="1450" customFormat="false" ht="15" hidden="false" customHeight="false" outlineLevel="0" collapsed="false">
      <c r="A1450" s="4" t="s">
        <v>88</v>
      </c>
      <c r="B1450" s="4" t="s">
        <v>471</v>
      </c>
      <c r="C1450" s="4" t="s">
        <v>529</v>
      </c>
      <c r="D1450" s="4" t="n">
        <f aca="false">IFERROR(INDEX(Positions!$D$2:$D$6912,MATCH($A1450&amp;"|53",Positions!$A$2:$A$6912,0)),"-")</f>
        <v>53</v>
      </c>
      <c r="E1450" s="4" t="n">
        <f aca="false">IFERROR(INDEX(Positions!$D$2:$D$6912,MATCH($A1450&amp;"|61",Positions!$A$2:$A$6912,0)),"-")</f>
        <v>61</v>
      </c>
      <c r="F1450" s="4" t="str">
        <f aca="false">IFERROR(INDEX(Positions!$E$2:$E$6912,MATCH($A1450&amp;"|53",Positions!$A$2:$A$6912,0)),"-")</f>
        <v>G</v>
      </c>
      <c r="G1450" s="4" t="str">
        <f aca="false">IFERROR(INDEX(Positions!$E$2:$E$6912,MATCH($A1450&amp;"|61",Positions!$A$2:$A$6912,0)),"-")</f>
        <v>C</v>
      </c>
      <c r="H1450" s="3" t="str">
        <f aca="false">F1450&amp;"-"&amp;G1450</f>
        <v>G-C</v>
      </c>
      <c r="I1450" s="4" t="n">
        <f aca="false">(F1450="G")+(G1450="G")</f>
        <v>1</v>
      </c>
      <c r="J1450" s="4" t="n">
        <f aca="false">(F1450="C")+(G1450="C")</f>
        <v>1</v>
      </c>
      <c r="K1450" s="3" t="n">
        <f aca="false">I1450+J1450</f>
        <v>2</v>
      </c>
    </row>
    <row r="1451" customFormat="false" ht="15" hidden="false" customHeight="false" outlineLevel="0" collapsed="false">
      <c r="A1451" s="24" t="s">
        <v>88</v>
      </c>
      <c r="B1451" s="24" t="s">
        <v>530</v>
      </c>
      <c r="C1451" s="24" t="s">
        <v>531</v>
      </c>
      <c r="D1451" s="24" t="n">
        <f aca="false">IFERROR(INDEX(Positions!$D$2:$D$6912,MATCH($A1451&amp;"|8",Positions!$A$2:$A$6912,0)),"-")</f>
        <v>8</v>
      </c>
      <c r="E1451" s="24" t="n">
        <f aca="false">IFERROR(INDEX(Positions!$D$2:$D$6912,MATCH($A1451&amp;"|14",Positions!$A$2:$A$6912,0)),"-")</f>
        <v>14</v>
      </c>
      <c r="F1451" s="24" t="str">
        <f aca="false">IFERROR(INDEX(Positions!$E$2:$E$6912,MATCH($A1451&amp;"|8",Positions!$A$2:$A$6912,0)),"-")</f>
        <v>U</v>
      </c>
      <c r="G1451" s="24" t="str">
        <f aca="false">IFERROR(INDEX(Positions!$E$2:$E$6912,MATCH($A1451&amp;"|14",Positions!$A$2:$A$6912,0)),"-")</f>
        <v>A</v>
      </c>
      <c r="H1451" s="25" t="str">
        <f aca="false">F1451&amp;"-"&amp;G1451</f>
        <v>U-A</v>
      </c>
      <c r="I1451" s="24" t="n">
        <f aca="false">(F1451="G")+(G1451="G")</f>
        <v>0</v>
      </c>
      <c r="J1451" s="24" t="n">
        <f aca="false">(F1451="C")+(G1451="C")</f>
        <v>0</v>
      </c>
      <c r="K1451" s="25" t="n">
        <f aca="false">I1451+J1451</f>
        <v>0</v>
      </c>
    </row>
    <row r="1452" customFormat="false" ht="15" hidden="false" customHeight="false" outlineLevel="0" collapsed="false">
      <c r="A1452" s="24" t="s">
        <v>88</v>
      </c>
      <c r="B1452" s="24" t="s">
        <v>530</v>
      </c>
      <c r="C1452" s="24" t="s">
        <v>532</v>
      </c>
      <c r="D1452" s="24" t="n">
        <f aca="false">IFERROR(INDEX(Positions!$D$2:$D$6912,MATCH($A1452&amp;"|15",Positions!$A$2:$A$6912,0)),"-")</f>
        <v>15</v>
      </c>
      <c r="E1452" s="24" t="n">
        <f aca="false">IFERROR(INDEX(Positions!$D$2:$D$6912,MATCH($A1452&amp;"|48",Positions!$A$2:$A$6912,0)),"-")</f>
        <v>48</v>
      </c>
      <c r="F1452" s="24" t="str">
        <f aca="false">IFERROR(INDEX(Positions!$E$2:$E$6912,MATCH($A1452&amp;"|15",Positions!$A$2:$A$6912,0)),"-")</f>
        <v>G</v>
      </c>
      <c r="G1452" s="24" t="str">
        <f aca="false">IFERROR(INDEX(Positions!$E$2:$E$6912,MATCH($A1452&amp;"|48",Positions!$A$2:$A$6912,0)),"-")</f>
        <v>C</v>
      </c>
      <c r="H1452" s="25" t="str">
        <f aca="false">F1452&amp;"-"&amp;G1452</f>
        <v>G-C</v>
      </c>
      <c r="I1452" s="24" t="n">
        <f aca="false">(F1452="G")+(G1452="G")</f>
        <v>1</v>
      </c>
      <c r="J1452" s="24" t="n">
        <f aca="false">(F1452="C")+(G1452="C")</f>
        <v>1</v>
      </c>
      <c r="K1452" s="25" t="n">
        <f aca="false">I1452+J1452</f>
        <v>2</v>
      </c>
    </row>
    <row r="1453" customFormat="false" ht="15" hidden="false" customHeight="false" outlineLevel="0" collapsed="false">
      <c r="A1453" s="24" t="s">
        <v>88</v>
      </c>
      <c r="B1453" s="24" t="s">
        <v>530</v>
      </c>
      <c r="C1453" s="24" t="s">
        <v>533</v>
      </c>
      <c r="D1453" s="24" t="n">
        <f aca="false">IFERROR(INDEX(Positions!$D$2:$D$6912,MATCH($A1453&amp;"|18",Positions!$A$2:$A$6912,0)),"-")</f>
        <v>18</v>
      </c>
      <c r="E1453" s="24" t="n">
        <f aca="false">IFERROR(INDEX(Positions!$D$2:$D$6912,MATCH($A1453&amp;"|55",Positions!$A$2:$A$6912,0)),"-")</f>
        <v>55</v>
      </c>
      <c r="F1453" s="24" t="str">
        <f aca="false">IFERROR(INDEX(Positions!$E$2:$E$6912,MATCH($A1453&amp;"|18",Positions!$A$2:$A$6912,0)),"-")</f>
        <v>G</v>
      </c>
      <c r="G1453" s="24" t="str">
        <f aca="false">IFERROR(INDEX(Positions!$E$2:$E$6912,MATCH($A1453&amp;"|55",Positions!$A$2:$A$6912,0)),"-")</f>
        <v>U</v>
      </c>
      <c r="H1453" s="25" t="str">
        <f aca="false">F1453&amp;"-"&amp;G1453</f>
        <v>G-U</v>
      </c>
      <c r="I1453" s="24" t="n">
        <f aca="false">(F1453="G")+(G1453="G")</f>
        <v>1</v>
      </c>
      <c r="J1453" s="24" t="n">
        <f aca="false">(F1453="C")+(G1453="C")</f>
        <v>0</v>
      </c>
      <c r="K1453" s="25" t="n">
        <f aca="false">I1453+J1453</f>
        <v>1</v>
      </c>
    </row>
    <row r="1454" customFormat="false" ht="15" hidden="false" customHeight="false" outlineLevel="0" collapsed="false">
      <c r="A1454" s="24" t="s">
        <v>88</v>
      </c>
      <c r="B1454" s="24" t="s">
        <v>530</v>
      </c>
      <c r="C1454" s="24" t="s">
        <v>534</v>
      </c>
      <c r="D1454" s="24" t="n">
        <f aca="false">IFERROR(INDEX(Positions!$D$2:$D$6912,MATCH($A1454&amp;"|19",Positions!$A$2:$A$6912,0)),"-")</f>
        <v>19</v>
      </c>
      <c r="E1454" s="24" t="n">
        <f aca="false">IFERROR(INDEX(Positions!$D$2:$D$6912,MATCH($A1454&amp;"|56",Positions!$A$2:$A$6912,0)),"-")</f>
        <v>56</v>
      </c>
      <c r="F1454" s="24" t="str">
        <f aca="false">IFERROR(INDEX(Positions!$E$2:$E$6912,MATCH($A1454&amp;"|19",Positions!$A$2:$A$6912,0)),"-")</f>
        <v>G</v>
      </c>
      <c r="G1454" s="24" t="str">
        <f aca="false">IFERROR(INDEX(Positions!$E$2:$E$6912,MATCH($A1454&amp;"|56",Positions!$A$2:$A$6912,0)),"-")</f>
        <v>C</v>
      </c>
      <c r="H1454" s="25" t="str">
        <f aca="false">F1454&amp;"-"&amp;G1454</f>
        <v>G-C</v>
      </c>
      <c r="I1454" s="24" t="n">
        <f aca="false">(F1454="G")+(G1454="G")</f>
        <v>1</v>
      </c>
      <c r="J1454" s="24" t="n">
        <f aca="false">(F1454="C")+(G1454="C")</f>
        <v>1</v>
      </c>
      <c r="K1454" s="25" t="n">
        <f aca="false">I1454+J1454</f>
        <v>2</v>
      </c>
    </row>
    <row r="1455" customFormat="false" ht="15" hidden="false" customHeight="false" outlineLevel="0" collapsed="false">
      <c r="A1455" s="24" t="s">
        <v>88</v>
      </c>
      <c r="B1455" s="24" t="s">
        <v>530</v>
      </c>
      <c r="C1455" s="24" t="s">
        <v>535</v>
      </c>
      <c r="D1455" s="24" t="n">
        <f aca="false">IFERROR(INDEX(Positions!$D$2:$D$6912,MATCH($A1455&amp;"|26",Positions!$A$2:$A$6912,0)),"-")</f>
        <v>26</v>
      </c>
      <c r="E1455" s="24" t="n">
        <f aca="false">IFERROR(INDEX(Positions!$D$2:$D$6912,MATCH($A1455&amp;"|44",Positions!$A$2:$A$6912,0)),"-")</f>
        <v>44</v>
      </c>
      <c r="F1455" s="24" t="str">
        <f aca="false">IFERROR(INDEX(Positions!$E$2:$E$6912,MATCH($A1455&amp;"|26",Positions!$A$2:$A$6912,0)),"-")</f>
        <v>A</v>
      </c>
      <c r="G1455" s="24" t="str">
        <f aca="false">IFERROR(INDEX(Positions!$E$2:$E$6912,MATCH($A1455&amp;"|44",Positions!$A$2:$A$6912,0)),"-")</f>
        <v>G</v>
      </c>
      <c r="H1455" s="25" t="str">
        <f aca="false">F1455&amp;"-"&amp;G1455</f>
        <v>A-G</v>
      </c>
      <c r="I1455" s="24" t="n">
        <f aca="false">(F1455="G")+(G1455="G")</f>
        <v>1</v>
      </c>
      <c r="J1455" s="24" t="n">
        <f aca="false">(F1455="C")+(G1455="C")</f>
        <v>0</v>
      </c>
      <c r="K1455" s="25" t="n">
        <f aca="false">I1455+J1455</f>
        <v>1</v>
      </c>
    </row>
    <row r="1456" customFormat="false" ht="15" hidden="false" customHeight="false" outlineLevel="0" collapsed="false">
      <c r="A1456" s="24" t="s">
        <v>88</v>
      </c>
      <c r="B1456" s="24" t="s">
        <v>530</v>
      </c>
      <c r="C1456" s="24" t="s">
        <v>536</v>
      </c>
      <c r="D1456" s="24" t="n">
        <f aca="false">IFERROR(INDEX(Positions!$D$2:$D$6912,MATCH($A1456&amp;"|32",Positions!$A$2:$A$6912,0)),"-")</f>
        <v>32</v>
      </c>
      <c r="E1456" s="24" t="n">
        <f aca="false">IFERROR(INDEX(Positions!$D$2:$D$6912,MATCH($A1456&amp;"|38",Positions!$A$2:$A$6912,0)),"-")</f>
        <v>38</v>
      </c>
      <c r="F1456" s="24" t="str">
        <f aca="false">IFERROR(INDEX(Positions!$E$2:$E$6912,MATCH($A1456&amp;"|32",Positions!$A$2:$A$6912,0)),"-")</f>
        <v>C</v>
      </c>
      <c r="G1456" s="24" t="str">
        <f aca="false">IFERROR(INDEX(Positions!$E$2:$E$6912,MATCH($A1456&amp;"|38",Positions!$A$2:$A$6912,0)),"-")</f>
        <v>A</v>
      </c>
      <c r="H1456" s="25" t="str">
        <f aca="false">F1456&amp;"-"&amp;G1456</f>
        <v>C-A</v>
      </c>
      <c r="I1456" s="24" t="n">
        <f aca="false">(F1456="G")+(G1456="G")</f>
        <v>0</v>
      </c>
      <c r="J1456" s="24" t="n">
        <f aca="false">(F1456="C")+(G1456="C")</f>
        <v>1</v>
      </c>
      <c r="K1456" s="25" t="n">
        <f aca="false">I1456+J1456</f>
        <v>1</v>
      </c>
    </row>
    <row r="1457" customFormat="false" ht="15" hidden="false" customHeight="false" outlineLevel="0" collapsed="false">
      <c r="A1457" s="24" t="s">
        <v>88</v>
      </c>
      <c r="B1457" s="24" t="s">
        <v>530</v>
      </c>
      <c r="C1457" s="24" t="s">
        <v>537</v>
      </c>
      <c r="D1457" s="24" t="n">
        <f aca="false">IFERROR(INDEX(Positions!$D$2:$D$6912,MATCH($A1457&amp;"|54",Positions!$A$2:$A$6912,0)),"-")</f>
        <v>54</v>
      </c>
      <c r="E1457" s="24" t="n">
        <f aca="false">IFERROR(INDEX(Positions!$D$2:$D$6912,MATCH($A1457&amp;"|58",Positions!$A$2:$A$6912,0)),"-")</f>
        <v>58</v>
      </c>
      <c r="F1457" s="24" t="str">
        <f aca="false">IFERROR(INDEX(Positions!$E$2:$E$6912,MATCH($A1457&amp;"|54",Positions!$A$2:$A$6912,0)),"-")</f>
        <v>U</v>
      </c>
      <c r="G1457" s="24" t="str">
        <f aca="false">IFERROR(INDEX(Positions!$E$2:$E$6912,MATCH($A1457&amp;"|58",Positions!$A$2:$A$6912,0)),"-")</f>
        <v>A</v>
      </c>
      <c r="H1457" s="25" t="str">
        <f aca="false">F1457&amp;"-"&amp;G1457</f>
        <v>U-A</v>
      </c>
      <c r="I1457" s="24" t="n">
        <f aca="false">(F1457="G")+(G1457="G")</f>
        <v>0</v>
      </c>
      <c r="J1457" s="24" t="n">
        <f aca="false">(F1457="C")+(G1457="C")</f>
        <v>0</v>
      </c>
      <c r="K1457" s="25" t="n">
        <f aca="false">I1457+J1457</f>
        <v>0</v>
      </c>
    </row>
    <row r="1458" customFormat="false" ht="15" hidden="false" customHeight="false" outlineLevel="0" collapsed="false">
      <c r="A1458" s="4" t="s">
        <v>89</v>
      </c>
      <c r="B1458" s="4" t="s">
        <v>412</v>
      </c>
      <c r="C1458" s="4" t="s">
        <v>517</v>
      </c>
      <c r="D1458" s="4" t="n">
        <f aca="false">IFERROR(INDEX(Positions!$D$2:$D$6912,MATCH($A1458&amp;"|1",Positions!$A$2:$A$6912,0)),"-")</f>
        <v>1</v>
      </c>
      <c r="E1458" s="4" t="n">
        <f aca="false">IFERROR(INDEX(Positions!$D$2:$D$6912,MATCH($A1458&amp;"|72",Positions!$A$2:$A$6912,0)),"-")</f>
        <v>72</v>
      </c>
      <c r="F1458" s="4" t="str">
        <f aca="false">IFERROR(INDEX(Positions!$E$2:$E$6912,MATCH($A1458&amp;"|1",Positions!$A$2:$A$6912,0)),"-")</f>
        <v>G</v>
      </c>
      <c r="G1458" s="4" t="str">
        <f aca="false">IFERROR(INDEX(Positions!$E$2:$E$6912,MATCH($A1458&amp;"|72",Positions!$A$2:$A$6912,0)),"-")</f>
        <v>C</v>
      </c>
      <c r="H1458" s="3" t="str">
        <f aca="false">F1458&amp;"-"&amp;G1458</f>
        <v>G-C</v>
      </c>
      <c r="I1458" s="4" t="n">
        <f aca="false">(F1458="G")+(G1458="G")</f>
        <v>1</v>
      </c>
      <c r="J1458" s="4" t="n">
        <f aca="false">(F1458="C")+(G1458="C")</f>
        <v>1</v>
      </c>
      <c r="K1458" s="3" t="n">
        <f aca="false">I1458+J1458</f>
        <v>2</v>
      </c>
    </row>
    <row r="1459" customFormat="false" ht="15" hidden="false" customHeight="false" outlineLevel="0" collapsed="false">
      <c r="A1459" s="4" t="s">
        <v>89</v>
      </c>
      <c r="B1459" s="4" t="s">
        <v>412</v>
      </c>
      <c r="C1459" s="4" t="s">
        <v>518</v>
      </c>
      <c r="D1459" s="4" t="n">
        <f aca="false">IFERROR(INDEX(Positions!$D$2:$D$6912,MATCH($A1459&amp;"|2",Positions!$A$2:$A$6912,0)),"-")</f>
        <v>2</v>
      </c>
      <c r="E1459" s="4" t="n">
        <f aca="false">IFERROR(INDEX(Positions!$D$2:$D$6912,MATCH($A1459&amp;"|71",Positions!$A$2:$A$6912,0)),"-")</f>
        <v>71</v>
      </c>
      <c r="F1459" s="4" t="str">
        <f aca="false">IFERROR(INDEX(Positions!$E$2:$E$6912,MATCH($A1459&amp;"|2",Positions!$A$2:$A$6912,0)),"-")</f>
        <v>C</v>
      </c>
      <c r="G1459" s="4" t="str">
        <f aca="false">IFERROR(INDEX(Positions!$E$2:$E$6912,MATCH($A1459&amp;"|71",Positions!$A$2:$A$6912,0)),"-")</f>
        <v>G</v>
      </c>
      <c r="H1459" s="3" t="str">
        <f aca="false">F1459&amp;"-"&amp;G1459</f>
        <v>C-G</v>
      </c>
      <c r="I1459" s="4" t="n">
        <f aca="false">(F1459="G")+(G1459="G")</f>
        <v>1</v>
      </c>
      <c r="J1459" s="4" t="n">
        <f aca="false">(F1459="C")+(G1459="C")</f>
        <v>1</v>
      </c>
      <c r="K1459" s="3" t="n">
        <f aca="false">I1459+J1459</f>
        <v>2</v>
      </c>
    </row>
    <row r="1460" customFormat="false" ht="15" hidden="false" customHeight="false" outlineLevel="0" collapsed="false">
      <c r="A1460" s="4" t="s">
        <v>89</v>
      </c>
      <c r="B1460" s="4" t="s">
        <v>412</v>
      </c>
      <c r="C1460" s="4" t="s">
        <v>386</v>
      </c>
      <c r="D1460" s="4" t="n">
        <f aca="false">IFERROR(INDEX(Positions!$D$2:$D$6912,MATCH($A1460&amp;"|3",Positions!$A$2:$A$6912,0)),"-")</f>
        <v>3</v>
      </c>
      <c r="E1460" s="4" t="n">
        <f aca="false">IFERROR(INDEX(Positions!$D$2:$D$6912,MATCH($A1460&amp;"|70",Positions!$A$2:$A$6912,0)),"-")</f>
        <v>70</v>
      </c>
      <c r="F1460" s="4" t="str">
        <f aca="false">IFERROR(INDEX(Positions!$E$2:$E$6912,MATCH($A1460&amp;"|3",Positions!$A$2:$A$6912,0)),"-")</f>
        <v>C</v>
      </c>
      <c r="G1460" s="4" t="str">
        <f aca="false">IFERROR(INDEX(Positions!$E$2:$E$6912,MATCH($A1460&amp;"|70",Positions!$A$2:$A$6912,0)),"-")</f>
        <v>G</v>
      </c>
      <c r="H1460" s="3" t="str">
        <f aca="false">F1460&amp;"-"&amp;G1460</f>
        <v>C-G</v>
      </c>
      <c r="I1460" s="4" t="n">
        <f aca="false">(F1460="G")+(G1460="G")</f>
        <v>1</v>
      </c>
      <c r="J1460" s="4" t="n">
        <f aca="false">(F1460="C")+(G1460="C")</f>
        <v>1</v>
      </c>
      <c r="K1460" s="3" t="n">
        <f aca="false">I1460+J1460</f>
        <v>2</v>
      </c>
    </row>
    <row r="1461" customFormat="false" ht="15" hidden="false" customHeight="false" outlineLevel="0" collapsed="false">
      <c r="A1461" s="4" t="s">
        <v>89</v>
      </c>
      <c r="B1461" s="4" t="s">
        <v>412</v>
      </c>
      <c r="C1461" s="4" t="s">
        <v>519</v>
      </c>
      <c r="D1461" s="4" t="n">
        <f aca="false">IFERROR(INDEX(Positions!$D$2:$D$6912,MATCH($A1461&amp;"|4",Positions!$A$2:$A$6912,0)),"-")</f>
        <v>4</v>
      </c>
      <c r="E1461" s="4" t="n">
        <f aca="false">IFERROR(INDEX(Positions!$D$2:$D$6912,MATCH($A1461&amp;"|69",Positions!$A$2:$A$6912,0)),"-")</f>
        <v>69</v>
      </c>
      <c r="F1461" s="4" t="str">
        <f aca="false">IFERROR(INDEX(Positions!$E$2:$E$6912,MATCH($A1461&amp;"|4",Positions!$A$2:$A$6912,0)),"-")</f>
        <v>U</v>
      </c>
      <c r="G1461" s="4" t="str">
        <f aca="false">IFERROR(INDEX(Positions!$E$2:$E$6912,MATCH($A1461&amp;"|69",Positions!$A$2:$A$6912,0)),"-")</f>
        <v>G</v>
      </c>
      <c r="H1461" s="3" t="str">
        <f aca="false">F1461&amp;"-"&amp;G1461</f>
        <v>U-G</v>
      </c>
      <c r="I1461" s="4" t="n">
        <f aca="false">(F1461="G")+(G1461="G")</f>
        <v>1</v>
      </c>
      <c r="J1461" s="4" t="n">
        <f aca="false">(F1461="C")+(G1461="C")</f>
        <v>0</v>
      </c>
      <c r="K1461" s="3" t="n">
        <f aca="false">I1461+J1461</f>
        <v>1</v>
      </c>
    </row>
    <row r="1462" customFormat="false" ht="15" hidden="false" customHeight="false" outlineLevel="0" collapsed="false">
      <c r="A1462" s="4" t="s">
        <v>89</v>
      </c>
      <c r="B1462" s="4" t="s">
        <v>412</v>
      </c>
      <c r="C1462" s="4" t="s">
        <v>283</v>
      </c>
      <c r="D1462" s="4" t="n">
        <f aca="false">IFERROR(INDEX(Positions!$D$2:$D$6912,MATCH($A1462&amp;"|5",Positions!$A$2:$A$6912,0)),"-")</f>
        <v>5</v>
      </c>
      <c r="E1462" s="4" t="n">
        <f aca="false">IFERROR(INDEX(Positions!$D$2:$D$6912,MATCH($A1462&amp;"|68",Positions!$A$2:$A$6912,0)),"-")</f>
        <v>68</v>
      </c>
      <c r="F1462" s="4" t="str">
        <f aca="false">IFERROR(INDEX(Positions!$E$2:$E$6912,MATCH($A1462&amp;"|5",Positions!$A$2:$A$6912,0)),"-")</f>
        <v>C</v>
      </c>
      <c r="G1462" s="4" t="str">
        <f aca="false">IFERROR(INDEX(Positions!$E$2:$E$6912,MATCH($A1462&amp;"|68",Positions!$A$2:$A$6912,0)),"-")</f>
        <v>G</v>
      </c>
      <c r="H1462" s="3" t="str">
        <f aca="false">F1462&amp;"-"&amp;G1462</f>
        <v>C-G</v>
      </c>
      <c r="I1462" s="4" t="n">
        <f aca="false">(F1462="G")+(G1462="G")</f>
        <v>1</v>
      </c>
      <c r="J1462" s="4" t="n">
        <f aca="false">(F1462="C")+(G1462="C")</f>
        <v>1</v>
      </c>
      <c r="K1462" s="3" t="n">
        <f aca="false">I1462+J1462</f>
        <v>2</v>
      </c>
    </row>
    <row r="1463" customFormat="false" ht="15" hidden="false" customHeight="false" outlineLevel="0" collapsed="false">
      <c r="A1463" s="4" t="s">
        <v>89</v>
      </c>
      <c r="B1463" s="4" t="s">
        <v>412</v>
      </c>
      <c r="C1463" s="4" t="s">
        <v>520</v>
      </c>
      <c r="D1463" s="4" t="n">
        <f aca="false">IFERROR(INDEX(Positions!$D$2:$D$6912,MATCH($A1463&amp;"|6",Positions!$A$2:$A$6912,0)),"-")</f>
        <v>6</v>
      </c>
      <c r="E1463" s="4" t="n">
        <f aca="false">IFERROR(INDEX(Positions!$D$2:$D$6912,MATCH($A1463&amp;"|67",Positions!$A$2:$A$6912,0)),"-")</f>
        <v>67</v>
      </c>
      <c r="F1463" s="4" t="str">
        <f aca="false">IFERROR(INDEX(Positions!$E$2:$E$6912,MATCH($A1463&amp;"|6",Positions!$A$2:$A$6912,0)),"-")</f>
        <v>G</v>
      </c>
      <c r="G1463" s="4" t="str">
        <f aca="false">IFERROR(INDEX(Positions!$E$2:$E$6912,MATCH($A1463&amp;"|67",Positions!$A$2:$A$6912,0)),"-")</f>
        <v>C</v>
      </c>
      <c r="H1463" s="3" t="str">
        <f aca="false">F1463&amp;"-"&amp;G1463</f>
        <v>G-C</v>
      </c>
      <c r="I1463" s="4" t="n">
        <f aca="false">(F1463="G")+(G1463="G")</f>
        <v>1</v>
      </c>
      <c r="J1463" s="4" t="n">
        <f aca="false">(F1463="C")+(G1463="C")</f>
        <v>1</v>
      </c>
      <c r="K1463" s="3" t="n">
        <f aca="false">I1463+J1463</f>
        <v>2</v>
      </c>
    </row>
    <row r="1464" customFormat="false" ht="15" hidden="false" customHeight="false" outlineLevel="0" collapsed="false">
      <c r="A1464" s="4" t="s">
        <v>89</v>
      </c>
      <c r="B1464" s="4" t="s">
        <v>412</v>
      </c>
      <c r="C1464" s="4" t="s">
        <v>521</v>
      </c>
      <c r="D1464" s="4" t="n">
        <f aca="false">IFERROR(INDEX(Positions!$D$2:$D$6912,MATCH($A1464&amp;"|7",Positions!$A$2:$A$6912,0)),"-")</f>
        <v>7</v>
      </c>
      <c r="E1464" s="4" t="n">
        <f aca="false">IFERROR(INDEX(Positions!$D$2:$D$6912,MATCH($A1464&amp;"|66",Positions!$A$2:$A$6912,0)),"-")</f>
        <v>66</v>
      </c>
      <c r="F1464" s="4" t="str">
        <f aca="false">IFERROR(INDEX(Positions!$E$2:$E$6912,MATCH($A1464&amp;"|7",Positions!$A$2:$A$6912,0)),"-")</f>
        <v>U</v>
      </c>
      <c r="G1464" s="4" t="str">
        <f aca="false">IFERROR(INDEX(Positions!$E$2:$E$6912,MATCH($A1464&amp;"|66",Positions!$A$2:$A$6912,0)),"-")</f>
        <v>A</v>
      </c>
      <c r="H1464" s="3" t="str">
        <f aca="false">F1464&amp;"-"&amp;G1464</f>
        <v>U-A</v>
      </c>
      <c r="I1464" s="4" t="n">
        <f aca="false">(F1464="G")+(G1464="G")</f>
        <v>0</v>
      </c>
      <c r="J1464" s="4" t="n">
        <f aca="false">(F1464="C")+(G1464="C")</f>
        <v>0</v>
      </c>
      <c r="K1464" s="3" t="n">
        <f aca="false">I1464+J1464</f>
        <v>0</v>
      </c>
    </row>
    <row r="1465" customFormat="false" ht="15" hidden="false" customHeight="false" outlineLevel="0" collapsed="false">
      <c r="A1465" s="4" t="s">
        <v>89</v>
      </c>
      <c r="B1465" s="4" t="s">
        <v>425</v>
      </c>
      <c r="C1465" s="4" t="s">
        <v>522</v>
      </c>
      <c r="D1465" s="4" t="n">
        <f aca="false">IFERROR(INDEX(Positions!$D$2:$D$6912,MATCH($A1465&amp;"|10",Positions!$A$2:$A$6912,0)),"-")</f>
        <v>10</v>
      </c>
      <c r="E1465" s="4" t="n">
        <f aca="false">IFERROR(INDEX(Positions!$D$2:$D$6912,MATCH($A1465&amp;"|25",Positions!$A$2:$A$6912,0)),"-")</f>
        <v>25</v>
      </c>
      <c r="F1465" s="4" t="str">
        <f aca="false">IFERROR(INDEX(Positions!$E$2:$E$6912,MATCH($A1465&amp;"|10",Positions!$A$2:$A$6912,0)),"-")</f>
        <v>G</v>
      </c>
      <c r="G1465" s="4" t="str">
        <f aca="false">IFERROR(INDEX(Positions!$E$2:$E$6912,MATCH($A1465&amp;"|25",Positions!$A$2:$A$6912,0)),"-")</f>
        <v>C</v>
      </c>
      <c r="H1465" s="3" t="str">
        <f aca="false">F1465&amp;"-"&amp;G1465</f>
        <v>G-C</v>
      </c>
      <c r="I1465" s="4" t="n">
        <f aca="false">(F1465="G")+(G1465="G")</f>
        <v>1</v>
      </c>
      <c r="J1465" s="4" t="n">
        <f aca="false">(F1465="C")+(G1465="C")</f>
        <v>1</v>
      </c>
      <c r="K1465" s="3" t="n">
        <f aca="false">I1465+J1465</f>
        <v>2</v>
      </c>
    </row>
    <row r="1466" customFormat="false" ht="15" hidden="false" customHeight="false" outlineLevel="0" collapsed="false">
      <c r="A1466" s="4" t="s">
        <v>89</v>
      </c>
      <c r="B1466" s="4" t="s">
        <v>425</v>
      </c>
      <c r="C1466" s="4" t="s">
        <v>523</v>
      </c>
      <c r="D1466" s="4" t="n">
        <f aca="false">IFERROR(INDEX(Positions!$D$2:$D$6912,MATCH($A1466&amp;"|11",Positions!$A$2:$A$6912,0)),"-")</f>
        <v>11</v>
      </c>
      <c r="E1466" s="4" t="n">
        <f aca="false">IFERROR(INDEX(Positions!$D$2:$D$6912,MATCH($A1466&amp;"|24",Positions!$A$2:$A$6912,0)),"-")</f>
        <v>24</v>
      </c>
      <c r="F1466" s="4" t="str">
        <f aca="false">IFERROR(INDEX(Positions!$E$2:$E$6912,MATCH($A1466&amp;"|11",Positions!$A$2:$A$6912,0)),"-")</f>
        <v>C</v>
      </c>
      <c r="G1466" s="4" t="str">
        <f aca="false">IFERROR(INDEX(Positions!$E$2:$E$6912,MATCH($A1466&amp;"|24",Positions!$A$2:$A$6912,0)),"-")</f>
        <v>G</v>
      </c>
      <c r="H1466" s="3" t="str">
        <f aca="false">F1466&amp;"-"&amp;G1466</f>
        <v>C-G</v>
      </c>
      <c r="I1466" s="4" t="n">
        <f aca="false">(F1466="G")+(G1466="G")</f>
        <v>1</v>
      </c>
      <c r="J1466" s="4" t="n">
        <f aca="false">(F1466="C")+(G1466="C")</f>
        <v>1</v>
      </c>
      <c r="K1466" s="3" t="n">
        <f aca="false">I1466+J1466</f>
        <v>2</v>
      </c>
    </row>
    <row r="1467" customFormat="false" ht="15" hidden="false" customHeight="false" outlineLevel="0" collapsed="false">
      <c r="A1467" s="4" t="s">
        <v>89</v>
      </c>
      <c r="B1467" s="4" t="s">
        <v>425</v>
      </c>
      <c r="C1467" s="4" t="s">
        <v>250</v>
      </c>
      <c r="D1467" s="4" t="n">
        <f aca="false">IFERROR(INDEX(Positions!$D$2:$D$6912,MATCH($A1467&amp;"|12",Positions!$A$2:$A$6912,0)),"-")</f>
        <v>12</v>
      </c>
      <c r="E1467" s="4" t="n">
        <f aca="false">IFERROR(INDEX(Positions!$D$2:$D$6912,MATCH($A1467&amp;"|23",Positions!$A$2:$A$6912,0)),"-")</f>
        <v>23</v>
      </c>
      <c r="F1467" s="4" t="str">
        <f aca="false">IFERROR(INDEX(Positions!$E$2:$E$6912,MATCH($A1467&amp;"|12",Positions!$A$2:$A$6912,0)),"-")</f>
        <v>G</v>
      </c>
      <c r="G1467" s="4" t="str">
        <f aca="false">IFERROR(INDEX(Positions!$E$2:$E$6912,MATCH($A1467&amp;"|23",Positions!$A$2:$A$6912,0)),"-")</f>
        <v>C</v>
      </c>
      <c r="H1467" s="3" t="str">
        <f aca="false">F1467&amp;"-"&amp;G1467</f>
        <v>G-C</v>
      </c>
      <c r="I1467" s="4" t="n">
        <f aca="false">(F1467="G")+(G1467="G")</f>
        <v>1</v>
      </c>
      <c r="J1467" s="4" t="n">
        <f aca="false">(F1467="C")+(G1467="C")</f>
        <v>1</v>
      </c>
      <c r="K1467" s="3" t="n">
        <f aca="false">I1467+J1467</f>
        <v>2</v>
      </c>
    </row>
    <row r="1468" customFormat="false" ht="15" hidden="false" customHeight="false" outlineLevel="0" collapsed="false">
      <c r="A1468" s="4" t="s">
        <v>89</v>
      </c>
      <c r="B1468" s="4" t="s">
        <v>425</v>
      </c>
      <c r="C1468" s="4" t="s">
        <v>154</v>
      </c>
      <c r="D1468" s="4" t="n">
        <f aca="false">IFERROR(INDEX(Positions!$D$2:$D$6912,MATCH($A1468&amp;"|13",Positions!$A$2:$A$6912,0)),"-")</f>
        <v>13</v>
      </c>
      <c r="E1468" s="4" t="n">
        <f aca="false">IFERROR(INDEX(Positions!$D$2:$D$6912,MATCH($A1468&amp;"|22",Positions!$A$2:$A$6912,0)),"-")</f>
        <v>22</v>
      </c>
      <c r="F1468" s="4" t="str">
        <f aca="false">IFERROR(INDEX(Positions!$E$2:$E$6912,MATCH($A1468&amp;"|13",Positions!$A$2:$A$6912,0)),"-")</f>
        <v>C</v>
      </c>
      <c r="G1468" s="4" t="str">
        <f aca="false">IFERROR(INDEX(Positions!$E$2:$E$6912,MATCH($A1468&amp;"|22",Positions!$A$2:$A$6912,0)),"-")</f>
        <v>G</v>
      </c>
      <c r="H1468" s="3" t="str">
        <f aca="false">F1468&amp;"-"&amp;G1468</f>
        <v>C-G</v>
      </c>
      <c r="I1468" s="4" t="n">
        <f aca="false">(F1468="G")+(G1468="G")</f>
        <v>1</v>
      </c>
      <c r="J1468" s="4" t="n">
        <f aca="false">(F1468="C")+(G1468="C")</f>
        <v>1</v>
      </c>
      <c r="K1468" s="3" t="n">
        <f aca="false">I1468+J1468</f>
        <v>2</v>
      </c>
    </row>
    <row r="1469" customFormat="false" ht="15" hidden="false" customHeight="false" outlineLevel="0" collapsed="false">
      <c r="A1469" s="4" t="s">
        <v>89</v>
      </c>
      <c r="B1469" s="4" t="s">
        <v>446</v>
      </c>
      <c r="C1469" s="4" t="s">
        <v>524</v>
      </c>
      <c r="D1469" s="4" t="n">
        <f aca="false">IFERROR(INDEX(Positions!$D$2:$D$6912,MATCH($A1469&amp;"|27",Positions!$A$2:$A$6912,0)),"-")</f>
        <v>27</v>
      </c>
      <c r="E1469" s="4" t="n">
        <f aca="false">IFERROR(INDEX(Positions!$D$2:$D$6912,MATCH($A1469&amp;"|43",Positions!$A$2:$A$6912,0)),"-")</f>
        <v>43</v>
      </c>
      <c r="F1469" s="4" t="str">
        <f aca="false">IFERROR(INDEX(Positions!$E$2:$E$6912,MATCH($A1469&amp;"|27",Positions!$A$2:$A$6912,0)),"-")</f>
        <v>U</v>
      </c>
      <c r="G1469" s="4" t="str">
        <f aca="false">IFERROR(INDEX(Positions!$E$2:$E$6912,MATCH($A1469&amp;"|43",Positions!$A$2:$A$6912,0)),"-")</f>
        <v>A</v>
      </c>
      <c r="H1469" s="3" t="str">
        <f aca="false">F1469&amp;"-"&amp;G1469</f>
        <v>U-A</v>
      </c>
      <c r="I1469" s="4" t="n">
        <f aca="false">(F1469="G")+(G1469="G")</f>
        <v>0</v>
      </c>
      <c r="J1469" s="4" t="n">
        <f aca="false">(F1469="C")+(G1469="C")</f>
        <v>0</v>
      </c>
      <c r="K1469" s="3" t="n">
        <f aca="false">I1469+J1469</f>
        <v>0</v>
      </c>
    </row>
    <row r="1470" customFormat="false" ht="15" hidden="false" customHeight="false" outlineLevel="0" collapsed="false">
      <c r="A1470" s="4" t="s">
        <v>89</v>
      </c>
      <c r="B1470" s="4" t="s">
        <v>446</v>
      </c>
      <c r="C1470" s="4" t="s">
        <v>525</v>
      </c>
      <c r="D1470" s="4" t="n">
        <f aca="false">IFERROR(INDEX(Positions!$D$2:$D$6912,MATCH($A1470&amp;"|28",Positions!$A$2:$A$6912,0)),"-")</f>
        <v>28</v>
      </c>
      <c r="E1470" s="4" t="n">
        <f aca="false">IFERROR(INDEX(Positions!$D$2:$D$6912,MATCH($A1470&amp;"|42",Positions!$A$2:$A$6912,0)),"-")</f>
        <v>42</v>
      </c>
      <c r="F1470" s="4" t="str">
        <f aca="false">IFERROR(INDEX(Positions!$E$2:$E$6912,MATCH($A1470&amp;"|28",Positions!$A$2:$A$6912,0)),"-")</f>
        <v>C</v>
      </c>
      <c r="G1470" s="4" t="str">
        <f aca="false">IFERROR(INDEX(Positions!$E$2:$E$6912,MATCH($A1470&amp;"|42",Positions!$A$2:$A$6912,0)),"-")</f>
        <v>G</v>
      </c>
      <c r="H1470" s="3" t="str">
        <f aca="false">F1470&amp;"-"&amp;G1470</f>
        <v>C-G</v>
      </c>
      <c r="I1470" s="4" t="n">
        <f aca="false">(F1470="G")+(G1470="G")</f>
        <v>1</v>
      </c>
      <c r="J1470" s="4" t="n">
        <f aca="false">(F1470="C")+(G1470="C")</f>
        <v>1</v>
      </c>
      <c r="K1470" s="3" t="n">
        <f aca="false">I1470+J1470</f>
        <v>2</v>
      </c>
    </row>
    <row r="1471" customFormat="false" ht="15" hidden="false" customHeight="false" outlineLevel="0" collapsed="false">
      <c r="A1471" s="4" t="s">
        <v>89</v>
      </c>
      <c r="B1471" s="4" t="s">
        <v>446</v>
      </c>
      <c r="C1471" s="4" t="s">
        <v>256</v>
      </c>
      <c r="D1471" s="4" t="n">
        <f aca="false">IFERROR(INDEX(Positions!$D$2:$D$6912,MATCH($A1471&amp;"|29",Positions!$A$2:$A$6912,0)),"-")</f>
        <v>29</v>
      </c>
      <c r="E1471" s="4" t="n">
        <f aca="false">IFERROR(INDEX(Positions!$D$2:$D$6912,MATCH($A1471&amp;"|41",Positions!$A$2:$A$6912,0)),"-")</f>
        <v>41</v>
      </c>
      <c r="F1471" s="4" t="str">
        <f aca="false">IFERROR(INDEX(Positions!$E$2:$E$6912,MATCH($A1471&amp;"|29",Positions!$A$2:$A$6912,0)),"-")</f>
        <v>A</v>
      </c>
      <c r="G1471" s="4" t="str">
        <f aca="false">IFERROR(INDEX(Positions!$E$2:$E$6912,MATCH($A1471&amp;"|41",Positions!$A$2:$A$6912,0)),"-")</f>
        <v>U</v>
      </c>
      <c r="H1471" s="3" t="str">
        <f aca="false">F1471&amp;"-"&amp;G1471</f>
        <v>A-U</v>
      </c>
      <c r="I1471" s="4" t="n">
        <f aca="false">(F1471="G")+(G1471="G")</f>
        <v>0</v>
      </c>
      <c r="J1471" s="4" t="n">
        <f aca="false">(F1471="C")+(G1471="C")</f>
        <v>0</v>
      </c>
      <c r="K1471" s="3" t="n">
        <f aca="false">I1471+J1471</f>
        <v>0</v>
      </c>
    </row>
    <row r="1472" customFormat="false" ht="15" hidden="false" customHeight="false" outlineLevel="0" collapsed="false">
      <c r="A1472" s="4" t="s">
        <v>89</v>
      </c>
      <c r="B1472" s="4" t="s">
        <v>446</v>
      </c>
      <c r="C1472" s="4" t="s">
        <v>526</v>
      </c>
      <c r="D1472" s="4" t="n">
        <f aca="false">IFERROR(INDEX(Positions!$D$2:$D$6912,MATCH($A1472&amp;"|30",Positions!$A$2:$A$6912,0)),"-")</f>
        <v>30</v>
      </c>
      <c r="E1472" s="4" t="n">
        <f aca="false">IFERROR(INDEX(Positions!$D$2:$D$6912,MATCH($A1472&amp;"|40",Positions!$A$2:$A$6912,0)),"-")</f>
        <v>40</v>
      </c>
      <c r="F1472" s="4" t="str">
        <f aca="false">IFERROR(INDEX(Positions!$E$2:$E$6912,MATCH($A1472&amp;"|30",Positions!$A$2:$A$6912,0)),"-")</f>
        <v>G</v>
      </c>
      <c r="G1472" s="4" t="str">
        <f aca="false">IFERROR(INDEX(Positions!$E$2:$E$6912,MATCH($A1472&amp;"|40",Positions!$A$2:$A$6912,0)),"-")</f>
        <v>C</v>
      </c>
      <c r="H1472" s="3" t="str">
        <f aca="false">F1472&amp;"-"&amp;G1472</f>
        <v>G-C</v>
      </c>
      <c r="I1472" s="4" t="n">
        <f aca="false">(F1472="G")+(G1472="G")</f>
        <v>1</v>
      </c>
      <c r="J1472" s="4" t="n">
        <f aca="false">(F1472="C")+(G1472="C")</f>
        <v>1</v>
      </c>
      <c r="K1472" s="3" t="n">
        <f aca="false">I1472+J1472</f>
        <v>2</v>
      </c>
    </row>
    <row r="1473" customFormat="false" ht="15" hidden="false" customHeight="false" outlineLevel="0" collapsed="false">
      <c r="A1473" s="4" t="s">
        <v>89</v>
      </c>
      <c r="B1473" s="4" t="s">
        <v>446</v>
      </c>
      <c r="C1473" s="4" t="s">
        <v>273</v>
      </c>
      <c r="D1473" s="4" t="n">
        <f aca="false">IFERROR(INDEX(Positions!$D$2:$D$6912,MATCH($A1473&amp;"|31",Positions!$A$2:$A$6912,0)),"-")</f>
        <v>31</v>
      </c>
      <c r="E1473" s="4" t="n">
        <f aca="false">IFERROR(INDEX(Positions!$D$2:$D$6912,MATCH($A1473&amp;"|39",Positions!$A$2:$A$6912,0)),"-")</f>
        <v>39</v>
      </c>
      <c r="F1473" s="4" t="str">
        <f aca="false">IFERROR(INDEX(Positions!$E$2:$E$6912,MATCH($A1473&amp;"|31",Positions!$A$2:$A$6912,0)),"-")</f>
        <v>U</v>
      </c>
      <c r="G1473" s="4" t="str">
        <f aca="false">IFERROR(INDEX(Positions!$E$2:$E$6912,MATCH($A1473&amp;"|39",Positions!$A$2:$A$6912,0)),"-")</f>
        <v>U</v>
      </c>
      <c r="H1473" s="3" t="str">
        <f aca="false">F1473&amp;"-"&amp;G1473</f>
        <v>U-U</v>
      </c>
      <c r="I1473" s="4" t="n">
        <f aca="false">(F1473="G")+(G1473="G")</f>
        <v>0</v>
      </c>
      <c r="J1473" s="4" t="n">
        <f aca="false">(F1473="C")+(G1473="C")</f>
        <v>0</v>
      </c>
      <c r="K1473" s="3" t="n">
        <f aca="false">I1473+J1473</f>
        <v>0</v>
      </c>
    </row>
    <row r="1474" customFormat="false" ht="15" hidden="false" customHeight="false" outlineLevel="0" collapsed="false">
      <c r="A1474" s="4" t="s">
        <v>89</v>
      </c>
      <c r="B1474" s="4" t="s">
        <v>471</v>
      </c>
      <c r="C1474" s="4" t="s">
        <v>367</v>
      </c>
      <c r="D1474" s="4" t="n">
        <f aca="false">IFERROR(INDEX(Positions!$D$2:$D$6912,MATCH($A1474&amp;"|49",Positions!$A$2:$A$6912,0)),"-")</f>
        <v>49</v>
      </c>
      <c r="E1474" s="4" t="n">
        <f aca="false">IFERROR(INDEX(Positions!$D$2:$D$6912,MATCH($A1474&amp;"|65",Positions!$A$2:$A$6912,0)),"-")</f>
        <v>65</v>
      </c>
      <c r="F1474" s="4" t="str">
        <f aca="false">IFERROR(INDEX(Positions!$E$2:$E$6912,MATCH($A1474&amp;"|49",Positions!$A$2:$A$6912,0)),"-")</f>
        <v>G</v>
      </c>
      <c r="G1474" s="4" t="str">
        <f aca="false">IFERROR(INDEX(Positions!$E$2:$E$6912,MATCH($A1474&amp;"|65",Positions!$A$2:$A$6912,0)),"-")</f>
        <v>C</v>
      </c>
      <c r="H1474" s="3" t="str">
        <f aca="false">F1474&amp;"-"&amp;G1474</f>
        <v>G-C</v>
      </c>
      <c r="I1474" s="4" t="n">
        <f aca="false">(F1474="G")+(G1474="G")</f>
        <v>1</v>
      </c>
      <c r="J1474" s="4" t="n">
        <f aca="false">(F1474="C")+(G1474="C")</f>
        <v>1</v>
      </c>
      <c r="K1474" s="3" t="n">
        <f aca="false">I1474+J1474</f>
        <v>2</v>
      </c>
    </row>
    <row r="1475" customFormat="false" ht="15" hidden="false" customHeight="false" outlineLevel="0" collapsed="false">
      <c r="A1475" s="4" t="s">
        <v>89</v>
      </c>
      <c r="B1475" s="4" t="s">
        <v>471</v>
      </c>
      <c r="C1475" s="4" t="s">
        <v>233</v>
      </c>
      <c r="D1475" s="4" t="n">
        <f aca="false">IFERROR(INDEX(Positions!$D$2:$D$6912,MATCH($A1475&amp;"|50",Positions!$A$2:$A$6912,0)),"-")</f>
        <v>50</v>
      </c>
      <c r="E1475" s="4" t="n">
        <f aca="false">IFERROR(INDEX(Positions!$D$2:$D$6912,MATCH($A1475&amp;"|64",Positions!$A$2:$A$6912,0)),"-")</f>
        <v>64</v>
      </c>
      <c r="F1475" s="4" t="str">
        <f aca="false">IFERROR(INDEX(Positions!$E$2:$E$6912,MATCH($A1475&amp;"|50",Positions!$A$2:$A$6912,0)),"-")</f>
        <v>U</v>
      </c>
      <c r="G1475" s="4" t="str">
        <f aca="false">IFERROR(INDEX(Positions!$E$2:$E$6912,MATCH($A1475&amp;"|64",Positions!$A$2:$A$6912,0)),"-")</f>
        <v>A</v>
      </c>
      <c r="H1475" s="3" t="str">
        <f aca="false">F1475&amp;"-"&amp;G1475</f>
        <v>U-A</v>
      </c>
      <c r="I1475" s="4" t="n">
        <f aca="false">(F1475="G")+(G1475="G")</f>
        <v>0</v>
      </c>
      <c r="J1475" s="4" t="n">
        <f aca="false">(F1475="C")+(G1475="C")</f>
        <v>0</v>
      </c>
      <c r="K1475" s="3" t="n">
        <f aca="false">I1475+J1475</f>
        <v>0</v>
      </c>
    </row>
    <row r="1476" customFormat="false" ht="15" hidden="false" customHeight="false" outlineLevel="0" collapsed="false">
      <c r="A1476" s="4" t="s">
        <v>89</v>
      </c>
      <c r="B1476" s="4" t="s">
        <v>471</v>
      </c>
      <c r="C1476" s="4" t="s">
        <v>527</v>
      </c>
      <c r="D1476" s="4" t="n">
        <f aca="false">IFERROR(INDEX(Positions!$D$2:$D$6912,MATCH($A1476&amp;"|51",Positions!$A$2:$A$6912,0)),"-")</f>
        <v>51</v>
      </c>
      <c r="E1476" s="4" t="n">
        <f aca="false">IFERROR(INDEX(Positions!$D$2:$D$6912,MATCH($A1476&amp;"|63",Positions!$A$2:$A$6912,0)),"-")</f>
        <v>63</v>
      </c>
      <c r="F1476" s="4" t="str">
        <f aca="false">IFERROR(INDEX(Positions!$E$2:$E$6912,MATCH($A1476&amp;"|51",Positions!$A$2:$A$6912,0)),"-")</f>
        <v>G</v>
      </c>
      <c r="G1476" s="4" t="str">
        <f aca="false">IFERROR(INDEX(Positions!$E$2:$E$6912,MATCH($A1476&amp;"|63",Positions!$A$2:$A$6912,0)),"-")</f>
        <v>C</v>
      </c>
      <c r="H1476" s="3" t="str">
        <f aca="false">F1476&amp;"-"&amp;G1476</f>
        <v>G-C</v>
      </c>
      <c r="I1476" s="4" t="n">
        <f aca="false">(F1476="G")+(G1476="G")</f>
        <v>1</v>
      </c>
      <c r="J1476" s="4" t="n">
        <f aca="false">(F1476="C")+(G1476="C")</f>
        <v>1</v>
      </c>
      <c r="K1476" s="3" t="n">
        <f aca="false">I1476+J1476</f>
        <v>2</v>
      </c>
    </row>
    <row r="1477" customFormat="false" ht="15" hidden="false" customHeight="false" outlineLevel="0" collapsed="false">
      <c r="A1477" s="4" t="s">
        <v>89</v>
      </c>
      <c r="B1477" s="4" t="s">
        <v>471</v>
      </c>
      <c r="C1477" s="4" t="s">
        <v>528</v>
      </c>
      <c r="D1477" s="4" t="n">
        <f aca="false">IFERROR(INDEX(Positions!$D$2:$D$6912,MATCH($A1477&amp;"|52",Positions!$A$2:$A$6912,0)),"-")</f>
        <v>52</v>
      </c>
      <c r="E1477" s="4" t="n">
        <f aca="false">IFERROR(INDEX(Positions!$D$2:$D$6912,MATCH($A1477&amp;"|62",Positions!$A$2:$A$6912,0)),"-")</f>
        <v>62</v>
      </c>
      <c r="F1477" s="4" t="str">
        <f aca="false">IFERROR(INDEX(Positions!$E$2:$E$6912,MATCH($A1477&amp;"|52",Positions!$A$2:$A$6912,0)),"-")</f>
        <v>A</v>
      </c>
      <c r="G1477" s="4" t="str">
        <f aca="false">IFERROR(INDEX(Positions!$E$2:$E$6912,MATCH($A1477&amp;"|62",Positions!$A$2:$A$6912,0)),"-")</f>
        <v>U</v>
      </c>
      <c r="H1477" s="3" t="str">
        <f aca="false">F1477&amp;"-"&amp;G1477</f>
        <v>A-U</v>
      </c>
      <c r="I1477" s="4" t="n">
        <f aca="false">(F1477="G")+(G1477="G")</f>
        <v>0</v>
      </c>
      <c r="J1477" s="4" t="n">
        <f aca="false">(F1477="C")+(G1477="C")</f>
        <v>0</v>
      </c>
      <c r="K1477" s="3" t="n">
        <f aca="false">I1477+J1477</f>
        <v>0</v>
      </c>
    </row>
    <row r="1478" customFormat="false" ht="15" hidden="false" customHeight="false" outlineLevel="0" collapsed="false">
      <c r="A1478" s="4" t="s">
        <v>89</v>
      </c>
      <c r="B1478" s="4" t="s">
        <v>471</v>
      </c>
      <c r="C1478" s="4" t="s">
        <v>529</v>
      </c>
      <c r="D1478" s="4" t="n">
        <f aca="false">IFERROR(INDEX(Positions!$D$2:$D$6912,MATCH($A1478&amp;"|53",Positions!$A$2:$A$6912,0)),"-")</f>
        <v>53</v>
      </c>
      <c r="E1478" s="4" t="n">
        <f aca="false">IFERROR(INDEX(Positions!$D$2:$D$6912,MATCH($A1478&amp;"|61",Positions!$A$2:$A$6912,0)),"-")</f>
        <v>61</v>
      </c>
      <c r="F1478" s="4" t="str">
        <f aca="false">IFERROR(INDEX(Positions!$E$2:$E$6912,MATCH($A1478&amp;"|53",Positions!$A$2:$A$6912,0)),"-")</f>
        <v>G</v>
      </c>
      <c r="G1478" s="4" t="str">
        <f aca="false">IFERROR(INDEX(Positions!$E$2:$E$6912,MATCH($A1478&amp;"|61",Positions!$A$2:$A$6912,0)),"-")</f>
        <v>C</v>
      </c>
      <c r="H1478" s="3" t="str">
        <f aca="false">F1478&amp;"-"&amp;G1478</f>
        <v>G-C</v>
      </c>
      <c r="I1478" s="4" t="n">
        <f aca="false">(F1478="G")+(G1478="G")</f>
        <v>1</v>
      </c>
      <c r="J1478" s="4" t="n">
        <f aca="false">(F1478="C")+(G1478="C")</f>
        <v>1</v>
      </c>
      <c r="K1478" s="3" t="n">
        <f aca="false">I1478+J1478</f>
        <v>2</v>
      </c>
    </row>
    <row r="1479" customFormat="false" ht="15" hidden="false" customHeight="false" outlineLevel="0" collapsed="false">
      <c r="A1479" s="24" t="s">
        <v>89</v>
      </c>
      <c r="B1479" s="24" t="s">
        <v>530</v>
      </c>
      <c r="C1479" s="24" t="s">
        <v>531</v>
      </c>
      <c r="D1479" s="24" t="n">
        <f aca="false">IFERROR(INDEX(Positions!$D$2:$D$6912,MATCH($A1479&amp;"|8",Positions!$A$2:$A$6912,0)),"-")</f>
        <v>8</v>
      </c>
      <c r="E1479" s="24" t="n">
        <f aca="false">IFERROR(INDEX(Positions!$D$2:$D$6912,MATCH($A1479&amp;"|14",Positions!$A$2:$A$6912,0)),"-")</f>
        <v>14</v>
      </c>
      <c r="F1479" s="24" t="str">
        <f aca="false">IFERROR(INDEX(Positions!$E$2:$E$6912,MATCH($A1479&amp;"|8",Positions!$A$2:$A$6912,0)),"-")</f>
        <v>U</v>
      </c>
      <c r="G1479" s="24" t="str">
        <f aca="false">IFERROR(INDEX(Positions!$E$2:$E$6912,MATCH($A1479&amp;"|14",Positions!$A$2:$A$6912,0)),"-")</f>
        <v>A</v>
      </c>
      <c r="H1479" s="25" t="str">
        <f aca="false">F1479&amp;"-"&amp;G1479</f>
        <v>U-A</v>
      </c>
      <c r="I1479" s="24" t="n">
        <f aca="false">(F1479="G")+(G1479="G")</f>
        <v>0</v>
      </c>
      <c r="J1479" s="24" t="n">
        <f aca="false">(F1479="C")+(G1479="C")</f>
        <v>0</v>
      </c>
      <c r="K1479" s="25" t="n">
        <f aca="false">I1479+J1479</f>
        <v>0</v>
      </c>
    </row>
    <row r="1480" customFormat="false" ht="15" hidden="false" customHeight="false" outlineLevel="0" collapsed="false">
      <c r="A1480" s="24" t="s">
        <v>89</v>
      </c>
      <c r="B1480" s="24" t="s">
        <v>530</v>
      </c>
      <c r="C1480" s="24" t="s">
        <v>532</v>
      </c>
      <c r="D1480" s="24" t="n">
        <f aca="false">IFERROR(INDEX(Positions!$D$2:$D$6912,MATCH($A1480&amp;"|15",Positions!$A$2:$A$6912,0)),"-")</f>
        <v>15</v>
      </c>
      <c r="E1480" s="24" t="n">
        <f aca="false">IFERROR(INDEX(Positions!$D$2:$D$6912,MATCH($A1480&amp;"|48",Positions!$A$2:$A$6912,0)),"-")</f>
        <v>48</v>
      </c>
      <c r="F1480" s="24" t="str">
        <f aca="false">IFERROR(INDEX(Positions!$E$2:$E$6912,MATCH($A1480&amp;"|15",Positions!$A$2:$A$6912,0)),"-")</f>
        <v>G</v>
      </c>
      <c r="G1480" s="24" t="str">
        <f aca="false">IFERROR(INDEX(Positions!$E$2:$E$6912,MATCH($A1480&amp;"|48",Positions!$A$2:$A$6912,0)),"-")</f>
        <v>C</v>
      </c>
      <c r="H1480" s="25" t="str">
        <f aca="false">F1480&amp;"-"&amp;G1480</f>
        <v>G-C</v>
      </c>
      <c r="I1480" s="24" t="n">
        <f aca="false">(F1480="G")+(G1480="G")</f>
        <v>1</v>
      </c>
      <c r="J1480" s="24" t="n">
        <f aca="false">(F1480="C")+(G1480="C")</f>
        <v>1</v>
      </c>
      <c r="K1480" s="25" t="n">
        <f aca="false">I1480+J1480</f>
        <v>2</v>
      </c>
    </row>
    <row r="1481" customFormat="false" ht="15" hidden="false" customHeight="false" outlineLevel="0" collapsed="false">
      <c r="A1481" s="24" t="s">
        <v>89</v>
      </c>
      <c r="B1481" s="24" t="s">
        <v>530</v>
      </c>
      <c r="C1481" s="24" t="s">
        <v>533</v>
      </c>
      <c r="D1481" s="24" t="n">
        <f aca="false">IFERROR(INDEX(Positions!$D$2:$D$6912,MATCH($A1481&amp;"|18",Positions!$A$2:$A$6912,0)),"-")</f>
        <v>18</v>
      </c>
      <c r="E1481" s="24" t="n">
        <f aca="false">IFERROR(INDEX(Positions!$D$2:$D$6912,MATCH($A1481&amp;"|55",Positions!$A$2:$A$6912,0)),"-")</f>
        <v>55</v>
      </c>
      <c r="F1481" s="24" t="str">
        <f aca="false">IFERROR(INDEX(Positions!$E$2:$E$6912,MATCH($A1481&amp;"|18",Positions!$A$2:$A$6912,0)),"-")</f>
        <v>G</v>
      </c>
      <c r="G1481" s="24" t="str">
        <f aca="false">IFERROR(INDEX(Positions!$E$2:$E$6912,MATCH($A1481&amp;"|55",Positions!$A$2:$A$6912,0)),"-")</f>
        <v>U</v>
      </c>
      <c r="H1481" s="25" t="str">
        <f aca="false">F1481&amp;"-"&amp;G1481</f>
        <v>G-U</v>
      </c>
      <c r="I1481" s="24" t="n">
        <f aca="false">(F1481="G")+(G1481="G")</f>
        <v>1</v>
      </c>
      <c r="J1481" s="24" t="n">
        <f aca="false">(F1481="C")+(G1481="C")</f>
        <v>0</v>
      </c>
      <c r="K1481" s="25" t="n">
        <f aca="false">I1481+J1481</f>
        <v>1</v>
      </c>
    </row>
    <row r="1482" customFormat="false" ht="15" hidden="false" customHeight="false" outlineLevel="0" collapsed="false">
      <c r="A1482" s="24" t="s">
        <v>89</v>
      </c>
      <c r="B1482" s="24" t="s">
        <v>530</v>
      </c>
      <c r="C1482" s="24" t="s">
        <v>534</v>
      </c>
      <c r="D1482" s="24" t="n">
        <f aca="false">IFERROR(INDEX(Positions!$D$2:$D$6912,MATCH($A1482&amp;"|19",Positions!$A$2:$A$6912,0)),"-")</f>
        <v>19</v>
      </c>
      <c r="E1482" s="24" t="n">
        <f aca="false">IFERROR(INDEX(Positions!$D$2:$D$6912,MATCH($A1482&amp;"|56",Positions!$A$2:$A$6912,0)),"-")</f>
        <v>56</v>
      </c>
      <c r="F1482" s="24" t="str">
        <f aca="false">IFERROR(INDEX(Positions!$E$2:$E$6912,MATCH($A1482&amp;"|19",Positions!$A$2:$A$6912,0)),"-")</f>
        <v>G</v>
      </c>
      <c r="G1482" s="24" t="str">
        <f aca="false">IFERROR(INDEX(Positions!$E$2:$E$6912,MATCH($A1482&amp;"|56",Positions!$A$2:$A$6912,0)),"-")</f>
        <v>C</v>
      </c>
      <c r="H1482" s="25" t="str">
        <f aca="false">F1482&amp;"-"&amp;G1482</f>
        <v>G-C</v>
      </c>
      <c r="I1482" s="24" t="n">
        <f aca="false">(F1482="G")+(G1482="G")</f>
        <v>1</v>
      </c>
      <c r="J1482" s="24" t="n">
        <f aca="false">(F1482="C")+(G1482="C")</f>
        <v>1</v>
      </c>
      <c r="K1482" s="25" t="n">
        <f aca="false">I1482+J1482</f>
        <v>2</v>
      </c>
    </row>
    <row r="1483" customFormat="false" ht="15" hidden="false" customHeight="false" outlineLevel="0" collapsed="false">
      <c r="A1483" s="24" t="s">
        <v>89</v>
      </c>
      <c r="B1483" s="24" t="s">
        <v>530</v>
      </c>
      <c r="C1483" s="24" t="s">
        <v>535</v>
      </c>
      <c r="D1483" s="24" t="n">
        <f aca="false">IFERROR(INDEX(Positions!$D$2:$D$6912,MATCH($A1483&amp;"|26",Positions!$A$2:$A$6912,0)),"-")</f>
        <v>26</v>
      </c>
      <c r="E1483" s="24" t="n">
        <f aca="false">IFERROR(INDEX(Positions!$D$2:$D$6912,MATCH($A1483&amp;"|44",Positions!$A$2:$A$6912,0)),"-")</f>
        <v>44</v>
      </c>
      <c r="F1483" s="24" t="str">
        <f aca="false">IFERROR(INDEX(Positions!$E$2:$E$6912,MATCH($A1483&amp;"|26",Positions!$A$2:$A$6912,0)),"-")</f>
        <v>G</v>
      </c>
      <c r="G1483" s="24" t="str">
        <f aca="false">IFERROR(INDEX(Positions!$E$2:$E$6912,MATCH($A1483&amp;"|44",Positions!$A$2:$A$6912,0)),"-")</f>
        <v>A</v>
      </c>
      <c r="H1483" s="25" t="str">
        <f aca="false">F1483&amp;"-"&amp;G1483</f>
        <v>G-A</v>
      </c>
      <c r="I1483" s="24" t="n">
        <f aca="false">(F1483="G")+(G1483="G")</f>
        <v>1</v>
      </c>
      <c r="J1483" s="24" t="n">
        <f aca="false">(F1483="C")+(G1483="C")</f>
        <v>0</v>
      </c>
      <c r="K1483" s="25" t="n">
        <f aca="false">I1483+J1483</f>
        <v>1</v>
      </c>
    </row>
    <row r="1484" customFormat="false" ht="15" hidden="false" customHeight="false" outlineLevel="0" collapsed="false">
      <c r="A1484" s="24" t="s">
        <v>89</v>
      </c>
      <c r="B1484" s="24" t="s">
        <v>530</v>
      </c>
      <c r="C1484" s="24" t="s">
        <v>536</v>
      </c>
      <c r="D1484" s="24" t="n">
        <f aca="false">IFERROR(INDEX(Positions!$D$2:$D$6912,MATCH($A1484&amp;"|32",Positions!$A$2:$A$6912,0)),"-")</f>
        <v>32</v>
      </c>
      <c r="E1484" s="24" t="n">
        <f aca="false">IFERROR(INDEX(Positions!$D$2:$D$6912,MATCH($A1484&amp;"|38",Positions!$A$2:$A$6912,0)),"-")</f>
        <v>38</v>
      </c>
      <c r="F1484" s="24" t="str">
        <f aca="false">IFERROR(INDEX(Positions!$E$2:$E$6912,MATCH($A1484&amp;"|32",Positions!$A$2:$A$6912,0)),"-")</f>
        <v>C</v>
      </c>
      <c r="G1484" s="24" t="str">
        <f aca="false">IFERROR(INDEX(Positions!$E$2:$E$6912,MATCH($A1484&amp;"|38",Positions!$A$2:$A$6912,0)),"-")</f>
        <v>A</v>
      </c>
      <c r="H1484" s="25" t="str">
        <f aca="false">F1484&amp;"-"&amp;G1484</f>
        <v>C-A</v>
      </c>
      <c r="I1484" s="24" t="n">
        <f aca="false">(F1484="G")+(G1484="G")</f>
        <v>0</v>
      </c>
      <c r="J1484" s="24" t="n">
        <f aca="false">(F1484="C")+(G1484="C")</f>
        <v>1</v>
      </c>
      <c r="K1484" s="25" t="n">
        <f aca="false">I1484+J1484</f>
        <v>1</v>
      </c>
    </row>
    <row r="1485" customFormat="false" ht="15" hidden="false" customHeight="false" outlineLevel="0" collapsed="false">
      <c r="A1485" s="24" t="s">
        <v>89</v>
      </c>
      <c r="B1485" s="24" t="s">
        <v>530</v>
      </c>
      <c r="C1485" s="24" t="s">
        <v>537</v>
      </c>
      <c r="D1485" s="24" t="n">
        <f aca="false">IFERROR(INDEX(Positions!$D$2:$D$6912,MATCH($A1485&amp;"|54",Positions!$A$2:$A$6912,0)),"-")</f>
        <v>54</v>
      </c>
      <c r="E1485" s="24" t="n">
        <f aca="false">IFERROR(INDEX(Positions!$D$2:$D$6912,MATCH($A1485&amp;"|58",Positions!$A$2:$A$6912,0)),"-")</f>
        <v>58</v>
      </c>
      <c r="F1485" s="24" t="str">
        <f aca="false">IFERROR(INDEX(Positions!$E$2:$E$6912,MATCH($A1485&amp;"|54",Positions!$A$2:$A$6912,0)),"-")</f>
        <v>U</v>
      </c>
      <c r="G1485" s="24" t="str">
        <f aca="false">IFERROR(INDEX(Positions!$E$2:$E$6912,MATCH($A1485&amp;"|58",Positions!$A$2:$A$6912,0)),"-")</f>
        <v>A</v>
      </c>
      <c r="H1485" s="25" t="str">
        <f aca="false">F1485&amp;"-"&amp;G1485</f>
        <v>U-A</v>
      </c>
      <c r="I1485" s="24" t="n">
        <f aca="false">(F1485="G")+(G1485="G")</f>
        <v>0</v>
      </c>
      <c r="J1485" s="24" t="n">
        <f aca="false">(F1485="C")+(G1485="C")</f>
        <v>0</v>
      </c>
      <c r="K1485" s="25" t="n">
        <f aca="false">I1485+J1485</f>
        <v>0</v>
      </c>
    </row>
    <row r="1486" customFormat="false" ht="15" hidden="false" customHeight="false" outlineLevel="0" collapsed="false">
      <c r="A1486" s="4" t="s">
        <v>90</v>
      </c>
      <c r="B1486" s="4" t="s">
        <v>412</v>
      </c>
      <c r="C1486" s="4" t="s">
        <v>517</v>
      </c>
      <c r="D1486" s="4" t="n">
        <f aca="false">IFERROR(INDEX(Positions!$D$2:$D$6912,MATCH($A1486&amp;"|1",Positions!$A$2:$A$6912,0)),"-")</f>
        <v>1</v>
      </c>
      <c r="E1486" s="4" t="n">
        <f aca="false">IFERROR(INDEX(Positions!$D$2:$D$6912,MATCH($A1486&amp;"|72",Positions!$A$2:$A$6912,0)),"-")</f>
        <v>72</v>
      </c>
      <c r="F1486" s="4" t="str">
        <f aca="false">IFERROR(INDEX(Positions!$E$2:$E$6912,MATCH($A1486&amp;"|1",Positions!$A$2:$A$6912,0)),"-")</f>
        <v>G</v>
      </c>
      <c r="G1486" s="4" t="str">
        <f aca="false">IFERROR(INDEX(Positions!$E$2:$E$6912,MATCH($A1486&amp;"|72",Positions!$A$2:$A$6912,0)),"-")</f>
        <v>C</v>
      </c>
      <c r="H1486" s="3" t="str">
        <f aca="false">F1486&amp;"-"&amp;G1486</f>
        <v>G-C</v>
      </c>
      <c r="I1486" s="4" t="n">
        <f aca="false">(F1486="G")+(G1486="G")</f>
        <v>1</v>
      </c>
      <c r="J1486" s="4" t="n">
        <f aca="false">(F1486="C")+(G1486="C")</f>
        <v>1</v>
      </c>
      <c r="K1486" s="3" t="n">
        <f aca="false">I1486+J1486</f>
        <v>2</v>
      </c>
    </row>
    <row r="1487" customFormat="false" ht="15" hidden="false" customHeight="false" outlineLevel="0" collapsed="false">
      <c r="A1487" s="4" t="s">
        <v>90</v>
      </c>
      <c r="B1487" s="4" t="s">
        <v>412</v>
      </c>
      <c r="C1487" s="4" t="s">
        <v>518</v>
      </c>
      <c r="D1487" s="4" t="n">
        <f aca="false">IFERROR(INDEX(Positions!$D$2:$D$6912,MATCH($A1487&amp;"|2",Positions!$A$2:$A$6912,0)),"-")</f>
        <v>2</v>
      </c>
      <c r="E1487" s="4" t="n">
        <f aca="false">IFERROR(INDEX(Positions!$D$2:$D$6912,MATCH($A1487&amp;"|71",Positions!$A$2:$A$6912,0)),"-")</f>
        <v>71</v>
      </c>
      <c r="F1487" s="4" t="str">
        <f aca="false">IFERROR(INDEX(Positions!$E$2:$E$6912,MATCH($A1487&amp;"|2",Positions!$A$2:$A$6912,0)),"-")</f>
        <v>C</v>
      </c>
      <c r="G1487" s="4" t="str">
        <f aca="false">IFERROR(INDEX(Positions!$E$2:$E$6912,MATCH($A1487&amp;"|71",Positions!$A$2:$A$6912,0)),"-")</f>
        <v>G</v>
      </c>
      <c r="H1487" s="3" t="str">
        <f aca="false">F1487&amp;"-"&amp;G1487</f>
        <v>C-G</v>
      </c>
      <c r="I1487" s="4" t="n">
        <f aca="false">(F1487="G")+(G1487="G")</f>
        <v>1</v>
      </c>
      <c r="J1487" s="4" t="n">
        <f aca="false">(F1487="C")+(G1487="C")</f>
        <v>1</v>
      </c>
      <c r="K1487" s="3" t="n">
        <f aca="false">I1487+J1487</f>
        <v>2</v>
      </c>
    </row>
    <row r="1488" customFormat="false" ht="15" hidden="false" customHeight="false" outlineLevel="0" collapsed="false">
      <c r="A1488" s="4" t="s">
        <v>90</v>
      </c>
      <c r="B1488" s="4" t="s">
        <v>412</v>
      </c>
      <c r="C1488" s="4" t="s">
        <v>386</v>
      </c>
      <c r="D1488" s="4" t="n">
        <f aca="false">IFERROR(INDEX(Positions!$D$2:$D$6912,MATCH($A1488&amp;"|3",Positions!$A$2:$A$6912,0)),"-")</f>
        <v>3</v>
      </c>
      <c r="E1488" s="4" t="n">
        <f aca="false">IFERROR(INDEX(Positions!$D$2:$D$6912,MATCH($A1488&amp;"|70",Positions!$A$2:$A$6912,0)),"-")</f>
        <v>70</v>
      </c>
      <c r="F1488" s="4" t="str">
        <f aca="false">IFERROR(INDEX(Positions!$E$2:$E$6912,MATCH($A1488&amp;"|3",Positions!$A$2:$A$6912,0)),"-")</f>
        <v>C</v>
      </c>
      <c r="G1488" s="4" t="str">
        <f aca="false">IFERROR(INDEX(Positions!$E$2:$E$6912,MATCH($A1488&amp;"|70",Positions!$A$2:$A$6912,0)),"-")</f>
        <v>G</v>
      </c>
      <c r="H1488" s="3" t="str">
        <f aca="false">F1488&amp;"-"&amp;G1488</f>
        <v>C-G</v>
      </c>
      <c r="I1488" s="4" t="n">
        <f aca="false">(F1488="G")+(G1488="G")</f>
        <v>1</v>
      </c>
      <c r="J1488" s="4" t="n">
        <f aca="false">(F1488="C")+(G1488="C")</f>
        <v>1</v>
      </c>
      <c r="K1488" s="3" t="n">
        <f aca="false">I1488+J1488</f>
        <v>2</v>
      </c>
    </row>
    <row r="1489" customFormat="false" ht="15" hidden="false" customHeight="false" outlineLevel="0" collapsed="false">
      <c r="A1489" s="4" t="s">
        <v>90</v>
      </c>
      <c r="B1489" s="4" t="s">
        <v>412</v>
      </c>
      <c r="C1489" s="4" t="s">
        <v>519</v>
      </c>
      <c r="D1489" s="4" t="n">
        <f aca="false">IFERROR(INDEX(Positions!$D$2:$D$6912,MATCH($A1489&amp;"|4",Positions!$A$2:$A$6912,0)),"-")</f>
        <v>4</v>
      </c>
      <c r="E1489" s="4" t="n">
        <f aca="false">IFERROR(INDEX(Positions!$D$2:$D$6912,MATCH($A1489&amp;"|69",Positions!$A$2:$A$6912,0)),"-")</f>
        <v>69</v>
      </c>
      <c r="F1489" s="4" t="str">
        <f aca="false">IFERROR(INDEX(Positions!$E$2:$E$6912,MATCH($A1489&amp;"|4",Positions!$A$2:$A$6912,0)),"-")</f>
        <v>G</v>
      </c>
      <c r="G1489" s="4" t="str">
        <f aca="false">IFERROR(INDEX(Positions!$E$2:$E$6912,MATCH($A1489&amp;"|69",Positions!$A$2:$A$6912,0)),"-")</f>
        <v>C</v>
      </c>
      <c r="H1489" s="3" t="str">
        <f aca="false">F1489&amp;"-"&amp;G1489</f>
        <v>G-C</v>
      </c>
      <c r="I1489" s="4" t="n">
        <f aca="false">(F1489="G")+(G1489="G")</f>
        <v>1</v>
      </c>
      <c r="J1489" s="4" t="n">
        <f aca="false">(F1489="C")+(G1489="C")</f>
        <v>1</v>
      </c>
      <c r="K1489" s="3" t="n">
        <f aca="false">I1489+J1489</f>
        <v>2</v>
      </c>
    </row>
    <row r="1490" customFormat="false" ht="15" hidden="false" customHeight="false" outlineLevel="0" collapsed="false">
      <c r="A1490" s="4" t="s">
        <v>90</v>
      </c>
      <c r="B1490" s="4" t="s">
        <v>412</v>
      </c>
      <c r="C1490" s="4" t="s">
        <v>283</v>
      </c>
      <c r="D1490" s="4" t="n">
        <f aca="false">IFERROR(INDEX(Positions!$D$2:$D$6912,MATCH($A1490&amp;"|5",Positions!$A$2:$A$6912,0)),"-")</f>
        <v>5</v>
      </c>
      <c r="E1490" s="4" t="n">
        <f aca="false">IFERROR(INDEX(Positions!$D$2:$D$6912,MATCH($A1490&amp;"|68",Positions!$A$2:$A$6912,0)),"-")</f>
        <v>68</v>
      </c>
      <c r="F1490" s="4" t="str">
        <f aca="false">IFERROR(INDEX(Positions!$E$2:$E$6912,MATCH($A1490&amp;"|5",Positions!$A$2:$A$6912,0)),"-")</f>
        <v>A</v>
      </c>
      <c r="G1490" s="4" t="str">
        <f aca="false">IFERROR(INDEX(Positions!$E$2:$E$6912,MATCH($A1490&amp;"|68",Positions!$A$2:$A$6912,0)),"-")</f>
        <v>U</v>
      </c>
      <c r="H1490" s="3" t="str">
        <f aca="false">F1490&amp;"-"&amp;G1490</f>
        <v>A-U</v>
      </c>
      <c r="I1490" s="4" t="n">
        <f aca="false">(F1490="G")+(G1490="G")</f>
        <v>0</v>
      </c>
      <c r="J1490" s="4" t="n">
        <f aca="false">(F1490="C")+(G1490="C")</f>
        <v>0</v>
      </c>
      <c r="K1490" s="3" t="n">
        <f aca="false">I1490+J1490</f>
        <v>0</v>
      </c>
    </row>
    <row r="1491" customFormat="false" ht="15" hidden="false" customHeight="false" outlineLevel="0" collapsed="false">
      <c r="A1491" s="4" t="s">
        <v>90</v>
      </c>
      <c r="B1491" s="4" t="s">
        <v>412</v>
      </c>
      <c r="C1491" s="4" t="s">
        <v>520</v>
      </c>
      <c r="D1491" s="4" t="n">
        <f aca="false">IFERROR(INDEX(Positions!$D$2:$D$6912,MATCH($A1491&amp;"|6",Positions!$A$2:$A$6912,0)),"-")</f>
        <v>6</v>
      </c>
      <c r="E1491" s="4" t="n">
        <f aca="false">IFERROR(INDEX(Positions!$D$2:$D$6912,MATCH($A1491&amp;"|67",Positions!$A$2:$A$6912,0)),"-")</f>
        <v>67</v>
      </c>
      <c r="F1491" s="4" t="str">
        <f aca="false">IFERROR(INDEX(Positions!$E$2:$E$6912,MATCH($A1491&amp;"|6",Positions!$A$2:$A$6912,0)),"-")</f>
        <v>A</v>
      </c>
      <c r="G1491" s="4" t="str">
        <f aca="false">IFERROR(INDEX(Positions!$E$2:$E$6912,MATCH($A1491&amp;"|67",Positions!$A$2:$A$6912,0)),"-")</f>
        <v>U</v>
      </c>
      <c r="H1491" s="3" t="str">
        <f aca="false">F1491&amp;"-"&amp;G1491</f>
        <v>A-U</v>
      </c>
      <c r="I1491" s="4" t="n">
        <f aca="false">(F1491="G")+(G1491="G")</f>
        <v>0</v>
      </c>
      <c r="J1491" s="4" t="n">
        <f aca="false">(F1491="C")+(G1491="C")</f>
        <v>0</v>
      </c>
      <c r="K1491" s="3" t="n">
        <f aca="false">I1491+J1491</f>
        <v>0</v>
      </c>
    </row>
    <row r="1492" customFormat="false" ht="15" hidden="false" customHeight="false" outlineLevel="0" collapsed="false">
      <c r="A1492" s="4" t="s">
        <v>90</v>
      </c>
      <c r="B1492" s="4" t="s">
        <v>412</v>
      </c>
      <c r="C1492" s="4" t="s">
        <v>521</v>
      </c>
      <c r="D1492" s="4" t="n">
        <f aca="false">IFERROR(INDEX(Positions!$D$2:$D$6912,MATCH($A1492&amp;"|7",Positions!$A$2:$A$6912,0)),"-")</f>
        <v>7</v>
      </c>
      <c r="E1492" s="4" t="n">
        <f aca="false">IFERROR(INDEX(Positions!$D$2:$D$6912,MATCH($A1492&amp;"|66",Positions!$A$2:$A$6912,0)),"-")</f>
        <v>66</v>
      </c>
      <c r="F1492" s="4" t="str">
        <f aca="false">IFERROR(INDEX(Positions!$E$2:$E$6912,MATCH($A1492&amp;"|7",Positions!$A$2:$A$6912,0)),"-")</f>
        <v>A</v>
      </c>
      <c r="G1492" s="4" t="str">
        <f aca="false">IFERROR(INDEX(Positions!$E$2:$E$6912,MATCH($A1492&amp;"|66",Positions!$A$2:$A$6912,0)),"-")</f>
        <v>U</v>
      </c>
      <c r="H1492" s="3" t="str">
        <f aca="false">F1492&amp;"-"&amp;G1492</f>
        <v>A-U</v>
      </c>
      <c r="I1492" s="4" t="n">
        <f aca="false">(F1492="G")+(G1492="G")</f>
        <v>0</v>
      </c>
      <c r="J1492" s="4" t="n">
        <f aca="false">(F1492="C")+(G1492="C")</f>
        <v>0</v>
      </c>
      <c r="K1492" s="3" t="n">
        <f aca="false">I1492+J1492</f>
        <v>0</v>
      </c>
    </row>
    <row r="1493" customFormat="false" ht="15" hidden="false" customHeight="false" outlineLevel="0" collapsed="false">
      <c r="A1493" s="4" t="s">
        <v>90</v>
      </c>
      <c r="B1493" s="4" t="s">
        <v>425</v>
      </c>
      <c r="C1493" s="4" t="s">
        <v>522</v>
      </c>
      <c r="D1493" s="4" t="n">
        <f aca="false">IFERROR(INDEX(Positions!$D$2:$D$6912,MATCH($A1493&amp;"|10",Positions!$A$2:$A$6912,0)),"-")</f>
        <v>10</v>
      </c>
      <c r="E1493" s="4" t="n">
        <f aca="false">IFERROR(INDEX(Positions!$D$2:$D$6912,MATCH($A1493&amp;"|25",Positions!$A$2:$A$6912,0)),"-")</f>
        <v>25</v>
      </c>
      <c r="F1493" s="4" t="str">
        <f aca="false">IFERROR(INDEX(Positions!$E$2:$E$6912,MATCH($A1493&amp;"|10",Positions!$A$2:$A$6912,0)),"-")</f>
        <v>G</v>
      </c>
      <c r="G1493" s="4" t="str">
        <f aca="false">IFERROR(INDEX(Positions!$E$2:$E$6912,MATCH($A1493&amp;"|25",Positions!$A$2:$A$6912,0)),"-")</f>
        <v>C</v>
      </c>
      <c r="H1493" s="3" t="str">
        <f aca="false">F1493&amp;"-"&amp;G1493</f>
        <v>G-C</v>
      </c>
      <c r="I1493" s="4" t="n">
        <f aca="false">(F1493="G")+(G1493="G")</f>
        <v>1</v>
      </c>
      <c r="J1493" s="4" t="n">
        <f aca="false">(F1493="C")+(G1493="C")</f>
        <v>1</v>
      </c>
      <c r="K1493" s="3" t="n">
        <f aca="false">I1493+J1493</f>
        <v>2</v>
      </c>
    </row>
    <row r="1494" customFormat="false" ht="15" hidden="false" customHeight="false" outlineLevel="0" collapsed="false">
      <c r="A1494" s="4" t="s">
        <v>90</v>
      </c>
      <c r="B1494" s="4" t="s">
        <v>425</v>
      </c>
      <c r="C1494" s="4" t="s">
        <v>523</v>
      </c>
      <c r="D1494" s="4" t="n">
        <f aca="false">IFERROR(INDEX(Positions!$D$2:$D$6912,MATCH($A1494&amp;"|11",Positions!$A$2:$A$6912,0)),"-")</f>
        <v>11</v>
      </c>
      <c r="E1494" s="4" t="n">
        <f aca="false">IFERROR(INDEX(Positions!$D$2:$D$6912,MATCH($A1494&amp;"|24",Positions!$A$2:$A$6912,0)),"-")</f>
        <v>24</v>
      </c>
      <c r="F1494" s="4" t="str">
        <f aca="false">IFERROR(INDEX(Positions!$E$2:$E$6912,MATCH($A1494&amp;"|11",Positions!$A$2:$A$6912,0)),"-")</f>
        <v>C</v>
      </c>
      <c r="G1494" s="4" t="str">
        <f aca="false">IFERROR(INDEX(Positions!$E$2:$E$6912,MATCH($A1494&amp;"|24",Positions!$A$2:$A$6912,0)),"-")</f>
        <v>G</v>
      </c>
      <c r="H1494" s="3" t="str">
        <f aca="false">F1494&amp;"-"&amp;G1494</f>
        <v>C-G</v>
      </c>
      <c r="I1494" s="4" t="n">
        <f aca="false">(F1494="G")+(G1494="G")</f>
        <v>1</v>
      </c>
      <c r="J1494" s="4" t="n">
        <f aca="false">(F1494="C")+(G1494="C")</f>
        <v>1</v>
      </c>
      <c r="K1494" s="3" t="n">
        <f aca="false">I1494+J1494</f>
        <v>2</v>
      </c>
    </row>
    <row r="1495" customFormat="false" ht="15" hidden="false" customHeight="false" outlineLevel="0" collapsed="false">
      <c r="A1495" s="4" t="s">
        <v>90</v>
      </c>
      <c r="B1495" s="4" t="s">
        <v>425</v>
      </c>
      <c r="C1495" s="4" t="s">
        <v>250</v>
      </c>
      <c r="D1495" s="4" t="n">
        <f aca="false">IFERROR(INDEX(Positions!$D$2:$D$6912,MATCH($A1495&amp;"|12",Positions!$A$2:$A$6912,0)),"-")</f>
        <v>12</v>
      </c>
      <c r="E1495" s="4" t="n">
        <f aca="false">IFERROR(INDEX(Positions!$D$2:$D$6912,MATCH($A1495&amp;"|23",Positions!$A$2:$A$6912,0)),"-")</f>
        <v>23</v>
      </c>
      <c r="F1495" s="4" t="str">
        <f aca="false">IFERROR(INDEX(Positions!$E$2:$E$6912,MATCH($A1495&amp;"|12",Positions!$A$2:$A$6912,0)),"-")</f>
        <v>U</v>
      </c>
      <c r="G1495" s="4" t="str">
        <f aca="false">IFERROR(INDEX(Positions!$E$2:$E$6912,MATCH($A1495&amp;"|23",Positions!$A$2:$A$6912,0)),"-")</f>
        <v>A</v>
      </c>
      <c r="H1495" s="3" t="str">
        <f aca="false">F1495&amp;"-"&amp;G1495</f>
        <v>U-A</v>
      </c>
      <c r="I1495" s="4" t="n">
        <f aca="false">(F1495="G")+(G1495="G")</f>
        <v>0</v>
      </c>
      <c r="J1495" s="4" t="n">
        <f aca="false">(F1495="C")+(G1495="C")</f>
        <v>0</v>
      </c>
      <c r="K1495" s="3" t="n">
        <f aca="false">I1495+J1495</f>
        <v>0</v>
      </c>
    </row>
    <row r="1496" customFormat="false" ht="15" hidden="false" customHeight="false" outlineLevel="0" collapsed="false">
      <c r="A1496" s="4" t="s">
        <v>90</v>
      </c>
      <c r="B1496" s="4" t="s">
        <v>425</v>
      </c>
      <c r="C1496" s="4" t="s">
        <v>154</v>
      </c>
      <c r="D1496" s="4" t="n">
        <f aca="false">IFERROR(INDEX(Positions!$D$2:$D$6912,MATCH($A1496&amp;"|13",Positions!$A$2:$A$6912,0)),"-")</f>
        <v>13</v>
      </c>
      <c r="E1496" s="4" t="n">
        <f aca="false">IFERROR(INDEX(Positions!$D$2:$D$6912,MATCH($A1496&amp;"|22",Positions!$A$2:$A$6912,0)),"-")</f>
        <v>22</v>
      </c>
      <c r="F1496" s="4" t="str">
        <f aca="false">IFERROR(INDEX(Positions!$E$2:$E$6912,MATCH($A1496&amp;"|13",Positions!$A$2:$A$6912,0)),"-")</f>
        <v>C</v>
      </c>
      <c r="G1496" s="4" t="str">
        <f aca="false">IFERROR(INDEX(Positions!$E$2:$E$6912,MATCH($A1496&amp;"|22",Positions!$A$2:$A$6912,0)),"-")</f>
        <v>G</v>
      </c>
      <c r="H1496" s="3" t="str">
        <f aca="false">F1496&amp;"-"&amp;G1496</f>
        <v>C-G</v>
      </c>
      <c r="I1496" s="4" t="n">
        <f aca="false">(F1496="G")+(G1496="G")</f>
        <v>1</v>
      </c>
      <c r="J1496" s="4" t="n">
        <f aca="false">(F1496="C")+(G1496="C")</f>
        <v>1</v>
      </c>
      <c r="K1496" s="3" t="n">
        <f aca="false">I1496+J1496</f>
        <v>2</v>
      </c>
    </row>
    <row r="1497" customFormat="false" ht="15" hidden="false" customHeight="false" outlineLevel="0" collapsed="false">
      <c r="A1497" s="4" t="s">
        <v>90</v>
      </c>
      <c r="B1497" s="4" t="s">
        <v>446</v>
      </c>
      <c r="C1497" s="4" t="s">
        <v>524</v>
      </c>
      <c r="D1497" s="4" t="n">
        <f aca="false">IFERROR(INDEX(Positions!$D$2:$D$6912,MATCH($A1497&amp;"|27",Positions!$A$2:$A$6912,0)),"-")</f>
        <v>27</v>
      </c>
      <c r="E1497" s="4" t="n">
        <f aca="false">IFERROR(INDEX(Positions!$D$2:$D$6912,MATCH($A1497&amp;"|43",Positions!$A$2:$A$6912,0)),"-")</f>
        <v>43</v>
      </c>
      <c r="F1497" s="4" t="str">
        <f aca="false">IFERROR(INDEX(Positions!$E$2:$E$6912,MATCH($A1497&amp;"|27",Positions!$A$2:$A$6912,0)),"-")</f>
        <v>U</v>
      </c>
      <c r="G1497" s="4" t="str">
        <f aca="false">IFERROR(INDEX(Positions!$E$2:$E$6912,MATCH($A1497&amp;"|43",Positions!$A$2:$A$6912,0)),"-")</f>
        <v>A</v>
      </c>
      <c r="H1497" s="3" t="str">
        <f aca="false">F1497&amp;"-"&amp;G1497</f>
        <v>U-A</v>
      </c>
      <c r="I1497" s="4" t="n">
        <f aca="false">(F1497="G")+(G1497="G")</f>
        <v>0</v>
      </c>
      <c r="J1497" s="4" t="n">
        <f aca="false">(F1497="C")+(G1497="C")</f>
        <v>0</v>
      </c>
      <c r="K1497" s="3" t="n">
        <f aca="false">I1497+J1497</f>
        <v>0</v>
      </c>
    </row>
    <row r="1498" customFormat="false" ht="15" hidden="false" customHeight="false" outlineLevel="0" collapsed="false">
      <c r="A1498" s="4" t="s">
        <v>90</v>
      </c>
      <c r="B1498" s="4" t="s">
        <v>446</v>
      </c>
      <c r="C1498" s="4" t="s">
        <v>525</v>
      </c>
      <c r="D1498" s="4" t="n">
        <f aca="false">IFERROR(INDEX(Positions!$D$2:$D$6912,MATCH($A1498&amp;"|28",Positions!$A$2:$A$6912,0)),"-")</f>
        <v>28</v>
      </c>
      <c r="E1498" s="4" t="n">
        <f aca="false">IFERROR(INDEX(Positions!$D$2:$D$6912,MATCH($A1498&amp;"|42",Positions!$A$2:$A$6912,0)),"-")</f>
        <v>42</v>
      </c>
      <c r="F1498" s="4" t="str">
        <f aca="false">IFERROR(INDEX(Positions!$E$2:$E$6912,MATCH($A1498&amp;"|28",Positions!$A$2:$A$6912,0)),"-")</f>
        <v>U</v>
      </c>
      <c r="G1498" s="4" t="str">
        <f aca="false">IFERROR(INDEX(Positions!$E$2:$E$6912,MATCH($A1498&amp;"|42",Positions!$A$2:$A$6912,0)),"-")</f>
        <v>A</v>
      </c>
      <c r="H1498" s="3" t="str">
        <f aca="false">F1498&amp;"-"&amp;G1498</f>
        <v>U-A</v>
      </c>
      <c r="I1498" s="4" t="n">
        <f aca="false">(F1498="G")+(G1498="G")</f>
        <v>0</v>
      </c>
      <c r="J1498" s="4" t="n">
        <f aca="false">(F1498="C")+(G1498="C")</f>
        <v>0</v>
      </c>
      <c r="K1498" s="3" t="n">
        <f aca="false">I1498+J1498</f>
        <v>0</v>
      </c>
    </row>
    <row r="1499" customFormat="false" ht="15" hidden="false" customHeight="false" outlineLevel="0" collapsed="false">
      <c r="A1499" s="4" t="s">
        <v>90</v>
      </c>
      <c r="B1499" s="4" t="s">
        <v>446</v>
      </c>
      <c r="C1499" s="4" t="s">
        <v>256</v>
      </c>
      <c r="D1499" s="4" t="n">
        <f aca="false">IFERROR(INDEX(Positions!$D$2:$D$6912,MATCH($A1499&amp;"|29",Positions!$A$2:$A$6912,0)),"-")</f>
        <v>29</v>
      </c>
      <c r="E1499" s="4" t="n">
        <f aca="false">IFERROR(INDEX(Positions!$D$2:$D$6912,MATCH($A1499&amp;"|41",Positions!$A$2:$A$6912,0)),"-")</f>
        <v>41</v>
      </c>
      <c r="F1499" s="4" t="str">
        <f aca="false">IFERROR(INDEX(Positions!$E$2:$E$6912,MATCH($A1499&amp;"|29",Positions!$A$2:$A$6912,0)),"-")</f>
        <v>A</v>
      </c>
      <c r="G1499" s="4" t="str">
        <f aca="false">IFERROR(INDEX(Positions!$E$2:$E$6912,MATCH($A1499&amp;"|41",Positions!$A$2:$A$6912,0)),"-")</f>
        <v>U</v>
      </c>
      <c r="H1499" s="3" t="str">
        <f aca="false">F1499&amp;"-"&amp;G1499</f>
        <v>A-U</v>
      </c>
      <c r="I1499" s="4" t="n">
        <f aca="false">(F1499="G")+(G1499="G")</f>
        <v>0</v>
      </c>
      <c r="J1499" s="4" t="n">
        <f aca="false">(F1499="C")+(G1499="C")</f>
        <v>0</v>
      </c>
      <c r="K1499" s="3" t="n">
        <f aca="false">I1499+J1499</f>
        <v>0</v>
      </c>
    </row>
    <row r="1500" customFormat="false" ht="15" hidden="false" customHeight="false" outlineLevel="0" collapsed="false">
      <c r="A1500" s="4" t="s">
        <v>90</v>
      </c>
      <c r="B1500" s="4" t="s">
        <v>446</v>
      </c>
      <c r="C1500" s="4" t="s">
        <v>526</v>
      </c>
      <c r="D1500" s="4" t="n">
        <f aca="false">IFERROR(INDEX(Positions!$D$2:$D$6912,MATCH($A1500&amp;"|30",Positions!$A$2:$A$6912,0)),"-")</f>
        <v>30</v>
      </c>
      <c r="E1500" s="4" t="n">
        <f aca="false">IFERROR(INDEX(Positions!$D$2:$D$6912,MATCH($A1500&amp;"|40",Positions!$A$2:$A$6912,0)),"-")</f>
        <v>40</v>
      </c>
      <c r="F1500" s="4" t="str">
        <f aca="false">IFERROR(INDEX(Positions!$E$2:$E$6912,MATCH($A1500&amp;"|30",Positions!$A$2:$A$6912,0)),"-")</f>
        <v>G</v>
      </c>
      <c r="G1500" s="4" t="str">
        <f aca="false">IFERROR(INDEX(Positions!$E$2:$E$6912,MATCH($A1500&amp;"|40",Positions!$A$2:$A$6912,0)),"-")</f>
        <v>C</v>
      </c>
      <c r="H1500" s="3" t="str">
        <f aca="false">F1500&amp;"-"&amp;G1500</f>
        <v>G-C</v>
      </c>
      <c r="I1500" s="4" t="n">
        <f aca="false">(F1500="G")+(G1500="G")</f>
        <v>1</v>
      </c>
      <c r="J1500" s="4" t="n">
        <f aca="false">(F1500="C")+(G1500="C")</f>
        <v>1</v>
      </c>
      <c r="K1500" s="3" t="n">
        <f aca="false">I1500+J1500</f>
        <v>2</v>
      </c>
    </row>
    <row r="1501" customFormat="false" ht="15" hidden="false" customHeight="false" outlineLevel="0" collapsed="false">
      <c r="A1501" s="4" t="s">
        <v>90</v>
      </c>
      <c r="B1501" s="4" t="s">
        <v>446</v>
      </c>
      <c r="C1501" s="4" t="s">
        <v>273</v>
      </c>
      <c r="D1501" s="4" t="n">
        <f aca="false">IFERROR(INDEX(Positions!$D$2:$D$6912,MATCH($A1501&amp;"|31",Positions!$A$2:$A$6912,0)),"-")</f>
        <v>31</v>
      </c>
      <c r="E1501" s="4" t="n">
        <f aca="false">IFERROR(INDEX(Positions!$D$2:$D$6912,MATCH($A1501&amp;"|39",Positions!$A$2:$A$6912,0)),"-")</f>
        <v>39</v>
      </c>
      <c r="F1501" s="4" t="str">
        <f aca="false">IFERROR(INDEX(Positions!$E$2:$E$6912,MATCH($A1501&amp;"|31",Positions!$A$2:$A$6912,0)),"-")</f>
        <v>A</v>
      </c>
      <c r="G1501" s="4" t="str">
        <f aca="false">IFERROR(INDEX(Positions!$E$2:$E$6912,MATCH($A1501&amp;"|39",Positions!$A$2:$A$6912,0)),"-")</f>
        <v>U</v>
      </c>
      <c r="H1501" s="3" t="str">
        <f aca="false">F1501&amp;"-"&amp;G1501</f>
        <v>A-U</v>
      </c>
      <c r="I1501" s="4" t="n">
        <f aca="false">(F1501="G")+(G1501="G")</f>
        <v>0</v>
      </c>
      <c r="J1501" s="4" t="n">
        <f aca="false">(F1501="C")+(G1501="C")</f>
        <v>0</v>
      </c>
      <c r="K1501" s="3" t="n">
        <f aca="false">I1501+J1501</f>
        <v>0</v>
      </c>
    </row>
    <row r="1502" customFormat="false" ht="15" hidden="false" customHeight="false" outlineLevel="0" collapsed="false">
      <c r="A1502" s="4" t="s">
        <v>90</v>
      </c>
      <c r="B1502" s="4" t="s">
        <v>471</v>
      </c>
      <c r="C1502" s="4" t="s">
        <v>367</v>
      </c>
      <c r="D1502" s="4" t="n">
        <f aca="false">IFERROR(INDEX(Positions!$D$2:$D$6912,MATCH($A1502&amp;"|49",Positions!$A$2:$A$6912,0)),"-")</f>
        <v>49</v>
      </c>
      <c r="E1502" s="4" t="n">
        <f aca="false">IFERROR(INDEX(Positions!$D$2:$D$6912,MATCH($A1502&amp;"|65",Positions!$A$2:$A$6912,0)),"-")</f>
        <v>65</v>
      </c>
      <c r="F1502" s="4" t="str">
        <f aca="false">IFERROR(INDEX(Positions!$E$2:$E$6912,MATCH($A1502&amp;"|49",Positions!$A$2:$A$6912,0)),"-")</f>
        <v>C</v>
      </c>
      <c r="G1502" s="4" t="str">
        <f aca="false">IFERROR(INDEX(Positions!$E$2:$E$6912,MATCH($A1502&amp;"|65",Positions!$A$2:$A$6912,0)),"-")</f>
        <v>G</v>
      </c>
      <c r="H1502" s="3" t="str">
        <f aca="false">F1502&amp;"-"&amp;G1502</f>
        <v>C-G</v>
      </c>
      <c r="I1502" s="4" t="n">
        <f aca="false">(F1502="G")+(G1502="G")</f>
        <v>1</v>
      </c>
      <c r="J1502" s="4" t="n">
        <f aca="false">(F1502="C")+(G1502="C")</f>
        <v>1</v>
      </c>
      <c r="K1502" s="3" t="n">
        <f aca="false">I1502+J1502</f>
        <v>2</v>
      </c>
    </row>
    <row r="1503" customFormat="false" ht="15" hidden="false" customHeight="false" outlineLevel="0" collapsed="false">
      <c r="A1503" s="4" t="s">
        <v>90</v>
      </c>
      <c r="B1503" s="4" t="s">
        <v>471</v>
      </c>
      <c r="C1503" s="4" t="s">
        <v>233</v>
      </c>
      <c r="D1503" s="4" t="n">
        <f aca="false">IFERROR(INDEX(Positions!$D$2:$D$6912,MATCH($A1503&amp;"|50",Positions!$A$2:$A$6912,0)),"-")</f>
        <v>50</v>
      </c>
      <c r="E1503" s="4" t="n">
        <f aca="false">IFERROR(INDEX(Positions!$D$2:$D$6912,MATCH($A1503&amp;"|64",Positions!$A$2:$A$6912,0)),"-")</f>
        <v>64</v>
      </c>
      <c r="F1503" s="4" t="str">
        <f aca="false">IFERROR(INDEX(Positions!$E$2:$E$6912,MATCH($A1503&amp;"|50",Positions!$A$2:$A$6912,0)),"-")</f>
        <v>C</v>
      </c>
      <c r="G1503" s="4" t="str">
        <f aca="false">IFERROR(INDEX(Positions!$E$2:$E$6912,MATCH($A1503&amp;"|64",Positions!$A$2:$A$6912,0)),"-")</f>
        <v>G</v>
      </c>
      <c r="H1503" s="3" t="str">
        <f aca="false">F1503&amp;"-"&amp;G1503</f>
        <v>C-G</v>
      </c>
      <c r="I1503" s="4" t="n">
        <f aca="false">(F1503="G")+(G1503="G")</f>
        <v>1</v>
      </c>
      <c r="J1503" s="4" t="n">
        <f aca="false">(F1503="C")+(G1503="C")</f>
        <v>1</v>
      </c>
      <c r="K1503" s="3" t="n">
        <f aca="false">I1503+J1503</f>
        <v>2</v>
      </c>
    </row>
    <row r="1504" customFormat="false" ht="15" hidden="false" customHeight="false" outlineLevel="0" collapsed="false">
      <c r="A1504" s="4" t="s">
        <v>90</v>
      </c>
      <c r="B1504" s="4" t="s">
        <v>471</v>
      </c>
      <c r="C1504" s="4" t="s">
        <v>527</v>
      </c>
      <c r="D1504" s="4" t="n">
        <f aca="false">IFERROR(INDEX(Positions!$D$2:$D$6912,MATCH($A1504&amp;"|51",Positions!$A$2:$A$6912,0)),"-")</f>
        <v>51</v>
      </c>
      <c r="E1504" s="4" t="n">
        <f aca="false">IFERROR(INDEX(Positions!$D$2:$D$6912,MATCH($A1504&amp;"|63",Positions!$A$2:$A$6912,0)),"-")</f>
        <v>63</v>
      </c>
      <c r="F1504" s="4" t="str">
        <f aca="false">IFERROR(INDEX(Positions!$E$2:$E$6912,MATCH($A1504&amp;"|51",Positions!$A$2:$A$6912,0)),"-")</f>
        <v>U</v>
      </c>
      <c r="G1504" s="4" t="str">
        <f aca="false">IFERROR(INDEX(Positions!$E$2:$E$6912,MATCH($A1504&amp;"|63",Positions!$A$2:$A$6912,0)),"-")</f>
        <v>G</v>
      </c>
      <c r="H1504" s="3" t="str">
        <f aca="false">F1504&amp;"-"&amp;G1504</f>
        <v>U-G</v>
      </c>
      <c r="I1504" s="4" t="n">
        <f aca="false">(F1504="G")+(G1504="G")</f>
        <v>1</v>
      </c>
      <c r="J1504" s="4" t="n">
        <f aca="false">(F1504="C")+(G1504="C")</f>
        <v>0</v>
      </c>
      <c r="K1504" s="3" t="n">
        <f aca="false">I1504+J1504</f>
        <v>1</v>
      </c>
    </row>
    <row r="1505" customFormat="false" ht="15" hidden="false" customHeight="false" outlineLevel="0" collapsed="false">
      <c r="A1505" s="4" t="s">
        <v>90</v>
      </c>
      <c r="B1505" s="4" t="s">
        <v>471</v>
      </c>
      <c r="C1505" s="4" t="s">
        <v>528</v>
      </c>
      <c r="D1505" s="4" t="n">
        <f aca="false">IFERROR(INDEX(Positions!$D$2:$D$6912,MATCH($A1505&amp;"|52",Positions!$A$2:$A$6912,0)),"-")</f>
        <v>52</v>
      </c>
      <c r="E1505" s="4" t="n">
        <f aca="false">IFERROR(INDEX(Positions!$D$2:$D$6912,MATCH($A1505&amp;"|62",Positions!$A$2:$A$6912,0)),"-")</f>
        <v>62</v>
      </c>
      <c r="F1505" s="4" t="str">
        <f aca="false">IFERROR(INDEX(Positions!$E$2:$E$6912,MATCH($A1505&amp;"|52",Positions!$A$2:$A$6912,0)),"-")</f>
        <v>G</v>
      </c>
      <c r="G1505" s="4" t="str">
        <f aca="false">IFERROR(INDEX(Positions!$E$2:$E$6912,MATCH($A1505&amp;"|62",Positions!$A$2:$A$6912,0)),"-")</f>
        <v>C</v>
      </c>
      <c r="H1505" s="3" t="str">
        <f aca="false">F1505&amp;"-"&amp;G1505</f>
        <v>G-C</v>
      </c>
      <c r="I1505" s="4" t="n">
        <f aca="false">(F1505="G")+(G1505="G")</f>
        <v>1</v>
      </c>
      <c r="J1505" s="4" t="n">
        <f aca="false">(F1505="C")+(G1505="C")</f>
        <v>1</v>
      </c>
      <c r="K1505" s="3" t="n">
        <f aca="false">I1505+J1505</f>
        <v>2</v>
      </c>
    </row>
    <row r="1506" customFormat="false" ht="15" hidden="false" customHeight="false" outlineLevel="0" collapsed="false">
      <c r="A1506" s="4" t="s">
        <v>90</v>
      </c>
      <c r="B1506" s="4" t="s">
        <v>471</v>
      </c>
      <c r="C1506" s="4" t="s">
        <v>529</v>
      </c>
      <c r="D1506" s="4" t="n">
        <f aca="false">IFERROR(INDEX(Positions!$D$2:$D$6912,MATCH($A1506&amp;"|53",Positions!$A$2:$A$6912,0)),"-")</f>
        <v>53</v>
      </c>
      <c r="E1506" s="4" t="n">
        <f aca="false">IFERROR(INDEX(Positions!$D$2:$D$6912,MATCH($A1506&amp;"|61",Positions!$A$2:$A$6912,0)),"-")</f>
        <v>61</v>
      </c>
      <c r="F1506" s="4" t="str">
        <f aca="false">IFERROR(INDEX(Positions!$E$2:$E$6912,MATCH($A1506&amp;"|53",Positions!$A$2:$A$6912,0)),"-")</f>
        <v>G</v>
      </c>
      <c r="G1506" s="4" t="str">
        <f aca="false">IFERROR(INDEX(Positions!$E$2:$E$6912,MATCH($A1506&amp;"|61",Positions!$A$2:$A$6912,0)),"-")</f>
        <v>C</v>
      </c>
      <c r="H1506" s="3" t="str">
        <f aca="false">F1506&amp;"-"&amp;G1506</f>
        <v>G-C</v>
      </c>
      <c r="I1506" s="4" t="n">
        <f aca="false">(F1506="G")+(G1506="G")</f>
        <v>1</v>
      </c>
      <c r="J1506" s="4" t="n">
        <f aca="false">(F1506="C")+(G1506="C")</f>
        <v>1</v>
      </c>
      <c r="K1506" s="3" t="n">
        <f aca="false">I1506+J1506</f>
        <v>2</v>
      </c>
    </row>
    <row r="1507" customFormat="false" ht="15" hidden="false" customHeight="false" outlineLevel="0" collapsed="false">
      <c r="A1507" s="24" t="s">
        <v>90</v>
      </c>
      <c r="B1507" s="24" t="s">
        <v>530</v>
      </c>
      <c r="C1507" s="24" t="s">
        <v>531</v>
      </c>
      <c r="D1507" s="24" t="n">
        <f aca="false">IFERROR(INDEX(Positions!$D$2:$D$6912,MATCH($A1507&amp;"|8",Positions!$A$2:$A$6912,0)),"-")</f>
        <v>8</v>
      </c>
      <c r="E1507" s="24" t="n">
        <f aca="false">IFERROR(INDEX(Positions!$D$2:$D$6912,MATCH($A1507&amp;"|14",Positions!$A$2:$A$6912,0)),"-")</f>
        <v>14</v>
      </c>
      <c r="F1507" s="24" t="str">
        <f aca="false">IFERROR(INDEX(Positions!$E$2:$E$6912,MATCH($A1507&amp;"|8",Positions!$A$2:$A$6912,0)),"-")</f>
        <v>U</v>
      </c>
      <c r="G1507" s="24" t="str">
        <f aca="false">IFERROR(INDEX(Positions!$E$2:$E$6912,MATCH($A1507&amp;"|14",Positions!$A$2:$A$6912,0)),"-")</f>
        <v>A</v>
      </c>
      <c r="H1507" s="25" t="str">
        <f aca="false">F1507&amp;"-"&amp;G1507</f>
        <v>U-A</v>
      </c>
      <c r="I1507" s="24" t="n">
        <f aca="false">(F1507="G")+(G1507="G")</f>
        <v>0</v>
      </c>
      <c r="J1507" s="24" t="n">
        <f aca="false">(F1507="C")+(G1507="C")</f>
        <v>0</v>
      </c>
      <c r="K1507" s="25" t="n">
        <f aca="false">I1507+J1507</f>
        <v>0</v>
      </c>
    </row>
    <row r="1508" customFormat="false" ht="15" hidden="false" customHeight="false" outlineLevel="0" collapsed="false">
      <c r="A1508" s="24" t="s">
        <v>90</v>
      </c>
      <c r="B1508" s="24" t="s">
        <v>530</v>
      </c>
      <c r="C1508" s="24" t="s">
        <v>532</v>
      </c>
      <c r="D1508" s="24" t="n">
        <f aca="false">IFERROR(INDEX(Positions!$D$2:$D$6912,MATCH($A1508&amp;"|15",Positions!$A$2:$A$6912,0)),"-")</f>
        <v>15</v>
      </c>
      <c r="E1508" s="24" t="n">
        <f aca="false">IFERROR(INDEX(Positions!$D$2:$D$6912,MATCH($A1508&amp;"|48",Positions!$A$2:$A$6912,0)),"-")</f>
        <v>48</v>
      </c>
      <c r="F1508" s="24" t="str">
        <f aca="false">IFERROR(INDEX(Positions!$E$2:$E$6912,MATCH($A1508&amp;"|15",Positions!$A$2:$A$6912,0)),"-")</f>
        <v>G</v>
      </c>
      <c r="G1508" s="24" t="str">
        <f aca="false">IFERROR(INDEX(Positions!$E$2:$E$6912,MATCH($A1508&amp;"|48",Positions!$A$2:$A$6912,0)),"-")</f>
        <v>C</v>
      </c>
      <c r="H1508" s="25" t="str">
        <f aca="false">F1508&amp;"-"&amp;G1508</f>
        <v>G-C</v>
      </c>
      <c r="I1508" s="24" t="n">
        <f aca="false">(F1508="G")+(G1508="G")</f>
        <v>1</v>
      </c>
      <c r="J1508" s="24" t="n">
        <f aca="false">(F1508="C")+(G1508="C")</f>
        <v>1</v>
      </c>
      <c r="K1508" s="25" t="n">
        <f aca="false">I1508+J1508</f>
        <v>2</v>
      </c>
    </row>
    <row r="1509" customFormat="false" ht="15" hidden="false" customHeight="false" outlineLevel="0" collapsed="false">
      <c r="A1509" s="24" t="s">
        <v>90</v>
      </c>
      <c r="B1509" s="24" t="s">
        <v>530</v>
      </c>
      <c r="C1509" s="24" t="s">
        <v>533</v>
      </c>
      <c r="D1509" s="24" t="n">
        <f aca="false">IFERROR(INDEX(Positions!$D$2:$D$6912,MATCH($A1509&amp;"|18",Positions!$A$2:$A$6912,0)),"-")</f>
        <v>18</v>
      </c>
      <c r="E1509" s="24" t="n">
        <f aca="false">IFERROR(INDEX(Positions!$D$2:$D$6912,MATCH($A1509&amp;"|55",Positions!$A$2:$A$6912,0)),"-")</f>
        <v>55</v>
      </c>
      <c r="F1509" s="24" t="str">
        <f aca="false">IFERROR(INDEX(Positions!$E$2:$E$6912,MATCH($A1509&amp;"|18",Positions!$A$2:$A$6912,0)),"-")</f>
        <v>G</v>
      </c>
      <c r="G1509" s="24" t="str">
        <f aca="false">IFERROR(INDEX(Positions!$E$2:$E$6912,MATCH($A1509&amp;"|55",Positions!$A$2:$A$6912,0)),"-")</f>
        <v>U</v>
      </c>
      <c r="H1509" s="25" t="str">
        <f aca="false">F1509&amp;"-"&amp;G1509</f>
        <v>G-U</v>
      </c>
      <c r="I1509" s="24" t="n">
        <f aca="false">(F1509="G")+(G1509="G")</f>
        <v>1</v>
      </c>
      <c r="J1509" s="24" t="n">
        <f aca="false">(F1509="C")+(G1509="C")</f>
        <v>0</v>
      </c>
      <c r="K1509" s="25" t="n">
        <f aca="false">I1509+J1509</f>
        <v>1</v>
      </c>
    </row>
    <row r="1510" customFormat="false" ht="15" hidden="false" customHeight="false" outlineLevel="0" collapsed="false">
      <c r="A1510" s="24" t="s">
        <v>90</v>
      </c>
      <c r="B1510" s="24" t="s">
        <v>530</v>
      </c>
      <c r="C1510" s="24" t="s">
        <v>534</v>
      </c>
      <c r="D1510" s="24" t="n">
        <f aca="false">IFERROR(INDEX(Positions!$D$2:$D$6912,MATCH($A1510&amp;"|19",Positions!$A$2:$A$6912,0)),"-")</f>
        <v>19</v>
      </c>
      <c r="E1510" s="24" t="n">
        <f aca="false">IFERROR(INDEX(Positions!$D$2:$D$6912,MATCH($A1510&amp;"|56",Positions!$A$2:$A$6912,0)),"-")</f>
        <v>56</v>
      </c>
      <c r="F1510" s="24" t="str">
        <f aca="false">IFERROR(INDEX(Positions!$E$2:$E$6912,MATCH($A1510&amp;"|19",Positions!$A$2:$A$6912,0)),"-")</f>
        <v>G</v>
      </c>
      <c r="G1510" s="24" t="str">
        <f aca="false">IFERROR(INDEX(Positions!$E$2:$E$6912,MATCH($A1510&amp;"|56",Positions!$A$2:$A$6912,0)),"-")</f>
        <v>C</v>
      </c>
      <c r="H1510" s="25" t="str">
        <f aca="false">F1510&amp;"-"&amp;G1510</f>
        <v>G-C</v>
      </c>
      <c r="I1510" s="24" t="n">
        <f aca="false">(F1510="G")+(G1510="G")</f>
        <v>1</v>
      </c>
      <c r="J1510" s="24" t="n">
        <f aca="false">(F1510="C")+(G1510="C")</f>
        <v>1</v>
      </c>
      <c r="K1510" s="25" t="n">
        <f aca="false">I1510+J1510</f>
        <v>2</v>
      </c>
    </row>
    <row r="1511" customFormat="false" ht="15" hidden="false" customHeight="false" outlineLevel="0" collapsed="false">
      <c r="A1511" s="24" t="s">
        <v>90</v>
      </c>
      <c r="B1511" s="24" t="s">
        <v>530</v>
      </c>
      <c r="C1511" s="24" t="s">
        <v>535</v>
      </c>
      <c r="D1511" s="24" t="n">
        <f aca="false">IFERROR(INDEX(Positions!$D$2:$D$6912,MATCH($A1511&amp;"|26",Positions!$A$2:$A$6912,0)),"-")</f>
        <v>26</v>
      </c>
      <c r="E1511" s="24" t="n">
        <f aca="false">IFERROR(INDEX(Positions!$D$2:$D$6912,MATCH($A1511&amp;"|44",Positions!$A$2:$A$6912,0)),"-")</f>
        <v>44</v>
      </c>
      <c r="F1511" s="24" t="str">
        <f aca="false">IFERROR(INDEX(Positions!$E$2:$E$6912,MATCH($A1511&amp;"|26",Positions!$A$2:$A$6912,0)),"-")</f>
        <v>G</v>
      </c>
      <c r="G1511" s="24" t="str">
        <f aca="false">IFERROR(INDEX(Positions!$E$2:$E$6912,MATCH($A1511&amp;"|44",Positions!$A$2:$A$6912,0)),"-")</f>
        <v>A</v>
      </c>
      <c r="H1511" s="25" t="str">
        <f aca="false">F1511&amp;"-"&amp;G1511</f>
        <v>G-A</v>
      </c>
      <c r="I1511" s="24" t="n">
        <f aca="false">(F1511="G")+(G1511="G")</f>
        <v>1</v>
      </c>
      <c r="J1511" s="24" t="n">
        <f aca="false">(F1511="C")+(G1511="C")</f>
        <v>0</v>
      </c>
      <c r="K1511" s="25" t="n">
        <f aca="false">I1511+J1511</f>
        <v>1</v>
      </c>
    </row>
    <row r="1512" customFormat="false" ht="15" hidden="false" customHeight="false" outlineLevel="0" collapsed="false">
      <c r="A1512" s="24" t="s">
        <v>90</v>
      </c>
      <c r="B1512" s="24" t="s">
        <v>530</v>
      </c>
      <c r="C1512" s="24" t="s">
        <v>536</v>
      </c>
      <c r="D1512" s="24" t="n">
        <f aca="false">IFERROR(INDEX(Positions!$D$2:$D$6912,MATCH($A1512&amp;"|32",Positions!$A$2:$A$6912,0)),"-")</f>
        <v>32</v>
      </c>
      <c r="E1512" s="24" t="n">
        <f aca="false">IFERROR(INDEX(Positions!$D$2:$D$6912,MATCH($A1512&amp;"|38",Positions!$A$2:$A$6912,0)),"-")</f>
        <v>38</v>
      </c>
      <c r="F1512" s="24" t="str">
        <f aca="false">IFERROR(INDEX(Positions!$E$2:$E$6912,MATCH($A1512&amp;"|32",Positions!$A$2:$A$6912,0)),"-")</f>
        <v>C</v>
      </c>
      <c r="G1512" s="24" t="str">
        <f aca="false">IFERROR(INDEX(Positions!$E$2:$E$6912,MATCH($A1512&amp;"|38",Positions!$A$2:$A$6912,0)),"-")</f>
        <v>A</v>
      </c>
      <c r="H1512" s="25" t="str">
        <f aca="false">F1512&amp;"-"&amp;G1512</f>
        <v>C-A</v>
      </c>
      <c r="I1512" s="24" t="n">
        <f aca="false">(F1512="G")+(G1512="G")</f>
        <v>0</v>
      </c>
      <c r="J1512" s="24" t="n">
        <f aca="false">(F1512="C")+(G1512="C")</f>
        <v>1</v>
      </c>
      <c r="K1512" s="25" t="n">
        <f aca="false">I1512+J1512</f>
        <v>1</v>
      </c>
    </row>
    <row r="1513" customFormat="false" ht="15" hidden="false" customHeight="false" outlineLevel="0" collapsed="false">
      <c r="A1513" s="24" t="s">
        <v>90</v>
      </c>
      <c r="B1513" s="24" t="s">
        <v>530</v>
      </c>
      <c r="C1513" s="24" t="s">
        <v>537</v>
      </c>
      <c r="D1513" s="24" t="n">
        <f aca="false">IFERROR(INDEX(Positions!$D$2:$D$6912,MATCH($A1513&amp;"|54",Positions!$A$2:$A$6912,0)),"-")</f>
        <v>54</v>
      </c>
      <c r="E1513" s="24" t="n">
        <f aca="false">IFERROR(INDEX(Positions!$D$2:$D$6912,MATCH($A1513&amp;"|58",Positions!$A$2:$A$6912,0)),"-")</f>
        <v>58</v>
      </c>
      <c r="F1513" s="24" t="str">
        <f aca="false">IFERROR(INDEX(Positions!$E$2:$E$6912,MATCH($A1513&amp;"|54",Positions!$A$2:$A$6912,0)),"-")</f>
        <v>U</v>
      </c>
      <c r="G1513" s="24" t="str">
        <f aca="false">IFERROR(INDEX(Positions!$E$2:$E$6912,MATCH($A1513&amp;"|58",Positions!$A$2:$A$6912,0)),"-")</f>
        <v>A</v>
      </c>
      <c r="H1513" s="25" t="str">
        <f aca="false">F1513&amp;"-"&amp;G1513</f>
        <v>U-A</v>
      </c>
      <c r="I1513" s="24" t="n">
        <f aca="false">(F1513="G")+(G1513="G")</f>
        <v>0</v>
      </c>
      <c r="J1513" s="24" t="n">
        <f aca="false">(F1513="C")+(G1513="C")</f>
        <v>0</v>
      </c>
      <c r="K1513" s="25" t="n">
        <f aca="false">I1513+J1513</f>
        <v>0</v>
      </c>
    </row>
    <row r="1514" customFormat="false" ht="15" hidden="false" customHeight="false" outlineLevel="0" collapsed="false">
      <c r="A1514" s="4" t="s">
        <v>91</v>
      </c>
      <c r="B1514" s="4" t="s">
        <v>412</v>
      </c>
      <c r="C1514" s="4" t="s">
        <v>517</v>
      </c>
      <c r="D1514" s="4" t="n">
        <f aca="false">IFERROR(INDEX(Positions!$D$2:$D$6912,MATCH($A1514&amp;"|1",Positions!$A$2:$A$6912,0)),"-")</f>
        <v>1</v>
      </c>
      <c r="E1514" s="4" t="n">
        <f aca="false">IFERROR(INDEX(Positions!$D$2:$D$6912,MATCH($A1514&amp;"|72",Positions!$A$2:$A$6912,0)),"-")</f>
        <v>72</v>
      </c>
      <c r="F1514" s="4" t="str">
        <f aca="false">IFERROR(INDEX(Positions!$E$2:$E$6912,MATCH($A1514&amp;"|1",Positions!$A$2:$A$6912,0)),"-")</f>
        <v>G</v>
      </c>
      <c r="G1514" s="4" t="str">
        <f aca="false">IFERROR(INDEX(Positions!$E$2:$E$6912,MATCH($A1514&amp;"|72",Positions!$A$2:$A$6912,0)),"-")</f>
        <v>C</v>
      </c>
      <c r="H1514" s="3" t="str">
        <f aca="false">F1514&amp;"-"&amp;G1514</f>
        <v>G-C</v>
      </c>
      <c r="I1514" s="4" t="n">
        <f aca="false">(F1514="G")+(G1514="G")</f>
        <v>1</v>
      </c>
      <c r="J1514" s="4" t="n">
        <f aca="false">(F1514="C")+(G1514="C")</f>
        <v>1</v>
      </c>
      <c r="K1514" s="3" t="n">
        <f aca="false">I1514+J1514</f>
        <v>2</v>
      </c>
    </row>
    <row r="1515" customFormat="false" ht="15" hidden="false" customHeight="false" outlineLevel="0" collapsed="false">
      <c r="A1515" s="4" t="s">
        <v>91</v>
      </c>
      <c r="B1515" s="4" t="s">
        <v>412</v>
      </c>
      <c r="C1515" s="4" t="s">
        <v>518</v>
      </c>
      <c r="D1515" s="4" t="n">
        <f aca="false">IFERROR(INDEX(Positions!$D$2:$D$6912,MATCH($A1515&amp;"|2",Positions!$A$2:$A$6912,0)),"-")</f>
        <v>2</v>
      </c>
      <c r="E1515" s="4" t="n">
        <f aca="false">IFERROR(INDEX(Positions!$D$2:$D$6912,MATCH($A1515&amp;"|71",Positions!$A$2:$A$6912,0)),"-")</f>
        <v>71</v>
      </c>
      <c r="F1515" s="4" t="str">
        <f aca="false">IFERROR(INDEX(Positions!$E$2:$E$6912,MATCH($A1515&amp;"|2",Positions!$A$2:$A$6912,0)),"-")</f>
        <v>U</v>
      </c>
      <c r="G1515" s="4" t="str">
        <f aca="false">IFERROR(INDEX(Positions!$E$2:$E$6912,MATCH($A1515&amp;"|71",Positions!$A$2:$A$6912,0)),"-")</f>
        <v>A</v>
      </c>
      <c r="H1515" s="3" t="str">
        <f aca="false">F1515&amp;"-"&amp;G1515</f>
        <v>U-A</v>
      </c>
      <c r="I1515" s="4" t="n">
        <f aca="false">(F1515="G")+(G1515="G")</f>
        <v>0</v>
      </c>
      <c r="J1515" s="4" t="n">
        <f aca="false">(F1515="C")+(G1515="C")</f>
        <v>0</v>
      </c>
      <c r="K1515" s="3" t="n">
        <f aca="false">I1515+J1515</f>
        <v>0</v>
      </c>
    </row>
    <row r="1516" customFormat="false" ht="15" hidden="false" customHeight="false" outlineLevel="0" collapsed="false">
      <c r="A1516" s="4" t="s">
        <v>91</v>
      </c>
      <c r="B1516" s="4" t="s">
        <v>412</v>
      </c>
      <c r="C1516" s="4" t="s">
        <v>386</v>
      </c>
      <c r="D1516" s="4" t="n">
        <f aca="false">IFERROR(INDEX(Positions!$D$2:$D$6912,MATCH($A1516&amp;"|3",Positions!$A$2:$A$6912,0)),"-")</f>
        <v>3</v>
      </c>
      <c r="E1516" s="4" t="n">
        <f aca="false">IFERROR(INDEX(Positions!$D$2:$D$6912,MATCH($A1516&amp;"|70",Positions!$A$2:$A$6912,0)),"-")</f>
        <v>70</v>
      </c>
      <c r="F1516" s="4" t="str">
        <f aca="false">IFERROR(INDEX(Positions!$E$2:$E$6912,MATCH($A1516&amp;"|3",Positions!$A$2:$A$6912,0)),"-")</f>
        <v>U</v>
      </c>
      <c r="G1516" s="4" t="str">
        <f aca="false">IFERROR(INDEX(Positions!$E$2:$E$6912,MATCH($A1516&amp;"|70",Positions!$A$2:$A$6912,0)),"-")</f>
        <v>A</v>
      </c>
      <c r="H1516" s="3" t="str">
        <f aca="false">F1516&amp;"-"&amp;G1516</f>
        <v>U-A</v>
      </c>
      <c r="I1516" s="4" t="n">
        <f aca="false">(F1516="G")+(G1516="G")</f>
        <v>0</v>
      </c>
      <c r="J1516" s="4" t="n">
        <f aca="false">(F1516="C")+(G1516="C")</f>
        <v>0</v>
      </c>
      <c r="K1516" s="3" t="n">
        <f aca="false">I1516+J1516</f>
        <v>0</v>
      </c>
    </row>
    <row r="1517" customFormat="false" ht="15" hidden="false" customHeight="false" outlineLevel="0" collapsed="false">
      <c r="A1517" s="4" t="s">
        <v>91</v>
      </c>
      <c r="B1517" s="4" t="s">
        <v>412</v>
      </c>
      <c r="C1517" s="4" t="s">
        <v>519</v>
      </c>
      <c r="D1517" s="4" t="n">
        <f aca="false">IFERROR(INDEX(Positions!$D$2:$D$6912,MATCH($A1517&amp;"|4",Positions!$A$2:$A$6912,0)),"-")</f>
        <v>4</v>
      </c>
      <c r="E1517" s="4" t="n">
        <f aca="false">IFERROR(INDEX(Positions!$D$2:$D$6912,MATCH($A1517&amp;"|69",Positions!$A$2:$A$6912,0)),"-")</f>
        <v>69</v>
      </c>
      <c r="F1517" s="4" t="str">
        <f aca="false">IFERROR(INDEX(Positions!$E$2:$E$6912,MATCH($A1517&amp;"|4",Positions!$A$2:$A$6912,0)),"-")</f>
        <v>U</v>
      </c>
      <c r="G1517" s="4" t="str">
        <f aca="false">IFERROR(INDEX(Positions!$E$2:$E$6912,MATCH($A1517&amp;"|69",Positions!$A$2:$A$6912,0)),"-")</f>
        <v>A</v>
      </c>
      <c r="H1517" s="3" t="str">
        <f aca="false">F1517&amp;"-"&amp;G1517</f>
        <v>U-A</v>
      </c>
      <c r="I1517" s="4" t="n">
        <f aca="false">(F1517="G")+(G1517="G")</f>
        <v>0</v>
      </c>
      <c r="J1517" s="4" t="n">
        <f aca="false">(F1517="C")+(G1517="C")</f>
        <v>0</v>
      </c>
      <c r="K1517" s="3" t="n">
        <f aca="false">I1517+J1517</f>
        <v>0</v>
      </c>
    </row>
    <row r="1518" customFormat="false" ht="15" hidden="false" customHeight="false" outlineLevel="0" collapsed="false">
      <c r="A1518" s="4" t="s">
        <v>91</v>
      </c>
      <c r="B1518" s="4" t="s">
        <v>412</v>
      </c>
      <c r="C1518" s="4" t="s">
        <v>283</v>
      </c>
      <c r="D1518" s="4" t="n">
        <f aca="false">IFERROR(INDEX(Positions!$D$2:$D$6912,MATCH($A1518&amp;"|5",Positions!$A$2:$A$6912,0)),"-")</f>
        <v>5</v>
      </c>
      <c r="E1518" s="4" t="n">
        <f aca="false">IFERROR(INDEX(Positions!$D$2:$D$6912,MATCH($A1518&amp;"|68",Positions!$A$2:$A$6912,0)),"-")</f>
        <v>68</v>
      </c>
      <c r="F1518" s="4" t="str">
        <f aca="false">IFERROR(INDEX(Positions!$E$2:$E$6912,MATCH($A1518&amp;"|5",Positions!$A$2:$A$6912,0)),"-")</f>
        <v>C</v>
      </c>
      <c r="G1518" s="4" t="str">
        <f aca="false">IFERROR(INDEX(Positions!$E$2:$E$6912,MATCH($A1518&amp;"|68",Positions!$A$2:$A$6912,0)),"-")</f>
        <v>G</v>
      </c>
      <c r="H1518" s="3" t="str">
        <f aca="false">F1518&amp;"-"&amp;G1518</f>
        <v>C-G</v>
      </c>
      <c r="I1518" s="4" t="n">
        <f aca="false">(F1518="G")+(G1518="G")</f>
        <v>1</v>
      </c>
      <c r="J1518" s="4" t="n">
        <f aca="false">(F1518="C")+(G1518="C")</f>
        <v>1</v>
      </c>
      <c r="K1518" s="3" t="n">
        <f aca="false">I1518+J1518</f>
        <v>2</v>
      </c>
    </row>
    <row r="1519" customFormat="false" ht="15" hidden="false" customHeight="false" outlineLevel="0" collapsed="false">
      <c r="A1519" s="4" t="s">
        <v>91</v>
      </c>
      <c r="B1519" s="4" t="s">
        <v>412</v>
      </c>
      <c r="C1519" s="4" t="s">
        <v>520</v>
      </c>
      <c r="D1519" s="4" t="n">
        <f aca="false">IFERROR(INDEX(Positions!$D$2:$D$6912,MATCH($A1519&amp;"|6",Positions!$A$2:$A$6912,0)),"-")</f>
        <v>6</v>
      </c>
      <c r="E1519" s="4" t="n">
        <f aca="false">IFERROR(INDEX(Positions!$D$2:$D$6912,MATCH($A1519&amp;"|67",Positions!$A$2:$A$6912,0)),"-")</f>
        <v>67</v>
      </c>
      <c r="F1519" s="4" t="str">
        <f aca="false">IFERROR(INDEX(Positions!$E$2:$E$6912,MATCH($A1519&amp;"|6",Positions!$A$2:$A$6912,0)),"-")</f>
        <v>C</v>
      </c>
      <c r="G1519" s="4" t="str">
        <f aca="false">IFERROR(INDEX(Positions!$E$2:$E$6912,MATCH($A1519&amp;"|67",Positions!$A$2:$A$6912,0)),"-")</f>
        <v>G</v>
      </c>
      <c r="H1519" s="3" t="str">
        <f aca="false">F1519&amp;"-"&amp;G1519</f>
        <v>C-G</v>
      </c>
      <c r="I1519" s="4" t="n">
        <f aca="false">(F1519="G")+(G1519="G")</f>
        <v>1</v>
      </c>
      <c r="J1519" s="4" t="n">
        <f aca="false">(F1519="C")+(G1519="C")</f>
        <v>1</v>
      </c>
      <c r="K1519" s="3" t="n">
        <f aca="false">I1519+J1519</f>
        <v>2</v>
      </c>
    </row>
    <row r="1520" customFormat="false" ht="15" hidden="false" customHeight="false" outlineLevel="0" collapsed="false">
      <c r="A1520" s="4" t="s">
        <v>91</v>
      </c>
      <c r="B1520" s="4" t="s">
        <v>412</v>
      </c>
      <c r="C1520" s="4" t="s">
        <v>521</v>
      </c>
      <c r="D1520" s="4" t="n">
        <f aca="false">IFERROR(INDEX(Positions!$D$2:$D$6912,MATCH($A1520&amp;"|7",Positions!$A$2:$A$6912,0)),"-")</f>
        <v>7</v>
      </c>
      <c r="E1520" s="4" t="n">
        <f aca="false">IFERROR(INDEX(Positions!$D$2:$D$6912,MATCH($A1520&amp;"|66",Positions!$A$2:$A$6912,0)),"-")</f>
        <v>66</v>
      </c>
      <c r="F1520" s="4" t="str">
        <f aca="false">IFERROR(INDEX(Positions!$E$2:$E$6912,MATCH($A1520&amp;"|7",Positions!$A$2:$A$6912,0)),"-")</f>
        <v>G</v>
      </c>
      <c r="G1520" s="4" t="str">
        <f aca="false">IFERROR(INDEX(Positions!$E$2:$E$6912,MATCH($A1520&amp;"|66",Positions!$A$2:$A$6912,0)),"-")</f>
        <v>C</v>
      </c>
      <c r="H1520" s="3" t="str">
        <f aca="false">F1520&amp;"-"&amp;G1520</f>
        <v>G-C</v>
      </c>
      <c r="I1520" s="4" t="n">
        <f aca="false">(F1520="G")+(G1520="G")</f>
        <v>1</v>
      </c>
      <c r="J1520" s="4" t="n">
        <f aca="false">(F1520="C")+(G1520="C")</f>
        <v>1</v>
      </c>
      <c r="K1520" s="3" t="n">
        <f aca="false">I1520+J1520</f>
        <v>2</v>
      </c>
    </row>
    <row r="1521" customFormat="false" ht="15" hidden="false" customHeight="false" outlineLevel="0" collapsed="false">
      <c r="A1521" s="4" t="s">
        <v>91</v>
      </c>
      <c r="B1521" s="4" t="s">
        <v>425</v>
      </c>
      <c r="C1521" s="4" t="s">
        <v>522</v>
      </c>
      <c r="D1521" s="4" t="n">
        <f aca="false">IFERROR(INDEX(Positions!$D$2:$D$6912,MATCH($A1521&amp;"|10",Positions!$A$2:$A$6912,0)),"-")</f>
        <v>10</v>
      </c>
      <c r="E1521" s="4" t="n">
        <f aca="false">IFERROR(INDEX(Positions!$D$2:$D$6912,MATCH($A1521&amp;"|25",Positions!$A$2:$A$6912,0)),"-")</f>
        <v>25</v>
      </c>
      <c r="F1521" s="4" t="str">
        <f aca="false">IFERROR(INDEX(Positions!$E$2:$E$6912,MATCH($A1521&amp;"|10",Positions!$A$2:$A$6912,0)),"-")</f>
        <v>G</v>
      </c>
      <c r="G1521" s="4" t="str">
        <f aca="false">IFERROR(INDEX(Positions!$E$2:$E$6912,MATCH($A1521&amp;"|25",Positions!$A$2:$A$6912,0)),"-")</f>
        <v>C</v>
      </c>
      <c r="H1521" s="3" t="str">
        <f aca="false">F1521&amp;"-"&amp;G1521</f>
        <v>G-C</v>
      </c>
      <c r="I1521" s="4" t="n">
        <f aca="false">(F1521="G")+(G1521="G")</f>
        <v>1</v>
      </c>
      <c r="J1521" s="4" t="n">
        <f aca="false">(F1521="C")+(G1521="C")</f>
        <v>1</v>
      </c>
      <c r="K1521" s="3" t="n">
        <f aca="false">I1521+J1521</f>
        <v>2</v>
      </c>
    </row>
    <row r="1522" customFormat="false" ht="15" hidden="false" customHeight="false" outlineLevel="0" collapsed="false">
      <c r="A1522" s="4" t="s">
        <v>91</v>
      </c>
      <c r="B1522" s="4" t="s">
        <v>425</v>
      </c>
      <c r="C1522" s="4" t="s">
        <v>523</v>
      </c>
      <c r="D1522" s="4" t="n">
        <f aca="false">IFERROR(INDEX(Positions!$D$2:$D$6912,MATCH($A1522&amp;"|11",Positions!$A$2:$A$6912,0)),"-")</f>
        <v>11</v>
      </c>
      <c r="E1522" s="4" t="n">
        <f aca="false">IFERROR(INDEX(Positions!$D$2:$D$6912,MATCH($A1522&amp;"|24",Positions!$A$2:$A$6912,0)),"-")</f>
        <v>24</v>
      </c>
      <c r="F1522" s="4" t="str">
        <f aca="false">IFERROR(INDEX(Positions!$E$2:$E$6912,MATCH($A1522&amp;"|11",Positions!$A$2:$A$6912,0)),"-")</f>
        <v>U</v>
      </c>
      <c r="G1522" s="4" t="str">
        <f aca="false">IFERROR(INDEX(Positions!$E$2:$E$6912,MATCH($A1522&amp;"|24",Positions!$A$2:$A$6912,0)),"-")</f>
        <v>A</v>
      </c>
      <c r="H1522" s="3" t="str">
        <f aca="false">F1522&amp;"-"&amp;G1522</f>
        <v>U-A</v>
      </c>
      <c r="I1522" s="4" t="n">
        <f aca="false">(F1522="G")+(G1522="G")</f>
        <v>0</v>
      </c>
      <c r="J1522" s="4" t="n">
        <f aca="false">(F1522="C")+(G1522="C")</f>
        <v>0</v>
      </c>
      <c r="K1522" s="3" t="n">
        <f aca="false">I1522+J1522</f>
        <v>0</v>
      </c>
    </row>
    <row r="1523" customFormat="false" ht="15" hidden="false" customHeight="false" outlineLevel="0" collapsed="false">
      <c r="A1523" s="4" t="s">
        <v>91</v>
      </c>
      <c r="B1523" s="4" t="s">
        <v>425</v>
      </c>
      <c r="C1523" s="4" t="s">
        <v>250</v>
      </c>
      <c r="D1523" s="4" t="n">
        <f aca="false">IFERROR(INDEX(Positions!$D$2:$D$6912,MATCH($A1523&amp;"|12",Positions!$A$2:$A$6912,0)),"-")</f>
        <v>12</v>
      </c>
      <c r="E1523" s="4" t="n">
        <f aca="false">IFERROR(INDEX(Positions!$D$2:$D$6912,MATCH($A1523&amp;"|23",Positions!$A$2:$A$6912,0)),"-")</f>
        <v>23</v>
      </c>
      <c r="F1523" s="4" t="str">
        <f aca="false">IFERROR(INDEX(Positions!$E$2:$E$6912,MATCH($A1523&amp;"|12",Positions!$A$2:$A$6912,0)),"-")</f>
        <v>G</v>
      </c>
      <c r="G1523" s="4" t="str">
        <f aca="false">IFERROR(INDEX(Positions!$E$2:$E$6912,MATCH($A1523&amp;"|23",Positions!$A$2:$A$6912,0)),"-")</f>
        <v>C</v>
      </c>
      <c r="H1523" s="3" t="str">
        <f aca="false">F1523&amp;"-"&amp;G1523</f>
        <v>G-C</v>
      </c>
      <c r="I1523" s="4" t="n">
        <f aca="false">(F1523="G")+(G1523="G")</f>
        <v>1</v>
      </c>
      <c r="J1523" s="4" t="n">
        <f aca="false">(F1523="C")+(G1523="C")</f>
        <v>1</v>
      </c>
      <c r="K1523" s="3" t="n">
        <f aca="false">I1523+J1523</f>
        <v>2</v>
      </c>
    </row>
    <row r="1524" customFormat="false" ht="15" hidden="false" customHeight="false" outlineLevel="0" collapsed="false">
      <c r="A1524" s="4" t="s">
        <v>91</v>
      </c>
      <c r="B1524" s="4" t="s">
        <v>425</v>
      </c>
      <c r="C1524" s="4" t="s">
        <v>154</v>
      </c>
      <c r="D1524" s="4" t="n">
        <f aca="false">IFERROR(INDEX(Positions!$D$2:$D$6912,MATCH($A1524&amp;"|13",Positions!$A$2:$A$6912,0)),"-")</f>
        <v>13</v>
      </c>
      <c r="E1524" s="4" t="n">
        <f aca="false">IFERROR(INDEX(Positions!$D$2:$D$6912,MATCH($A1524&amp;"|22",Positions!$A$2:$A$6912,0)),"-")</f>
        <v>22</v>
      </c>
      <c r="F1524" s="4" t="str">
        <f aca="false">IFERROR(INDEX(Positions!$E$2:$E$6912,MATCH($A1524&amp;"|13",Positions!$A$2:$A$6912,0)),"-")</f>
        <v>U</v>
      </c>
      <c r="G1524" s="4" t="str">
        <f aca="false">IFERROR(INDEX(Positions!$E$2:$E$6912,MATCH($A1524&amp;"|22",Positions!$A$2:$A$6912,0)),"-")</f>
        <v>U</v>
      </c>
      <c r="H1524" s="3" t="str">
        <f aca="false">F1524&amp;"-"&amp;G1524</f>
        <v>U-U</v>
      </c>
      <c r="I1524" s="4" t="n">
        <f aca="false">(F1524="G")+(G1524="G")</f>
        <v>0</v>
      </c>
      <c r="J1524" s="4" t="n">
        <f aca="false">(F1524="C")+(G1524="C")</f>
        <v>0</v>
      </c>
      <c r="K1524" s="3" t="n">
        <f aca="false">I1524+J1524</f>
        <v>0</v>
      </c>
    </row>
    <row r="1525" customFormat="false" ht="15" hidden="false" customHeight="false" outlineLevel="0" collapsed="false">
      <c r="A1525" s="4" t="s">
        <v>91</v>
      </c>
      <c r="B1525" s="4" t="s">
        <v>446</v>
      </c>
      <c r="C1525" s="4" t="s">
        <v>524</v>
      </c>
      <c r="D1525" s="4" t="n">
        <f aca="false">IFERROR(INDEX(Positions!$D$2:$D$6912,MATCH($A1525&amp;"|27",Positions!$A$2:$A$6912,0)),"-")</f>
        <v>27</v>
      </c>
      <c r="E1525" s="4" t="n">
        <f aca="false">IFERROR(INDEX(Positions!$D$2:$D$6912,MATCH($A1525&amp;"|43",Positions!$A$2:$A$6912,0)),"-")</f>
        <v>43</v>
      </c>
      <c r="F1525" s="4" t="str">
        <f aca="false">IFERROR(INDEX(Positions!$E$2:$E$6912,MATCH($A1525&amp;"|27",Positions!$A$2:$A$6912,0)),"-")</f>
        <v>U</v>
      </c>
      <c r="G1525" s="4" t="str">
        <f aca="false">IFERROR(INDEX(Positions!$E$2:$E$6912,MATCH($A1525&amp;"|43",Positions!$A$2:$A$6912,0)),"-")</f>
        <v>A</v>
      </c>
      <c r="H1525" s="3" t="str">
        <f aca="false">F1525&amp;"-"&amp;G1525</f>
        <v>U-A</v>
      </c>
      <c r="I1525" s="4" t="n">
        <f aca="false">(F1525="G")+(G1525="G")</f>
        <v>0</v>
      </c>
      <c r="J1525" s="4" t="n">
        <f aca="false">(F1525="C")+(G1525="C")</f>
        <v>0</v>
      </c>
      <c r="K1525" s="3" t="n">
        <f aca="false">I1525+J1525</f>
        <v>0</v>
      </c>
    </row>
    <row r="1526" customFormat="false" ht="15" hidden="false" customHeight="false" outlineLevel="0" collapsed="false">
      <c r="A1526" s="4" t="s">
        <v>91</v>
      </c>
      <c r="B1526" s="4" t="s">
        <v>446</v>
      </c>
      <c r="C1526" s="4" t="s">
        <v>525</v>
      </c>
      <c r="D1526" s="4" t="n">
        <f aca="false">IFERROR(INDEX(Positions!$D$2:$D$6912,MATCH($A1526&amp;"|28",Positions!$A$2:$A$6912,0)),"-")</f>
        <v>28</v>
      </c>
      <c r="E1526" s="4" t="n">
        <f aca="false">IFERROR(INDEX(Positions!$D$2:$D$6912,MATCH($A1526&amp;"|42",Positions!$A$2:$A$6912,0)),"-")</f>
        <v>42</v>
      </c>
      <c r="F1526" s="4" t="str">
        <f aca="false">IFERROR(INDEX(Positions!$E$2:$E$6912,MATCH($A1526&amp;"|28",Positions!$A$2:$A$6912,0)),"-")</f>
        <v>U</v>
      </c>
      <c r="G1526" s="4" t="str">
        <f aca="false">IFERROR(INDEX(Positions!$E$2:$E$6912,MATCH($A1526&amp;"|42",Positions!$A$2:$A$6912,0)),"-")</f>
        <v>A</v>
      </c>
      <c r="H1526" s="3" t="str">
        <f aca="false">F1526&amp;"-"&amp;G1526</f>
        <v>U-A</v>
      </c>
      <c r="I1526" s="4" t="n">
        <f aca="false">(F1526="G")+(G1526="G")</f>
        <v>0</v>
      </c>
      <c r="J1526" s="4" t="n">
        <f aca="false">(F1526="C")+(G1526="C")</f>
        <v>0</v>
      </c>
      <c r="K1526" s="3" t="n">
        <f aca="false">I1526+J1526</f>
        <v>0</v>
      </c>
    </row>
    <row r="1527" customFormat="false" ht="15" hidden="false" customHeight="false" outlineLevel="0" collapsed="false">
      <c r="A1527" s="4" t="s">
        <v>91</v>
      </c>
      <c r="B1527" s="4" t="s">
        <v>446</v>
      </c>
      <c r="C1527" s="4" t="s">
        <v>256</v>
      </c>
      <c r="D1527" s="4" t="n">
        <f aca="false">IFERROR(INDEX(Positions!$D$2:$D$6912,MATCH($A1527&amp;"|29",Positions!$A$2:$A$6912,0)),"-")</f>
        <v>29</v>
      </c>
      <c r="E1527" s="4" t="n">
        <f aca="false">IFERROR(INDEX(Positions!$D$2:$D$6912,MATCH($A1527&amp;"|41",Positions!$A$2:$A$6912,0)),"-")</f>
        <v>41</v>
      </c>
      <c r="F1527" s="4" t="str">
        <f aca="false">IFERROR(INDEX(Positions!$E$2:$E$6912,MATCH($A1527&amp;"|29",Positions!$A$2:$A$6912,0)),"-")</f>
        <v>C</v>
      </c>
      <c r="G1527" s="4" t="str">
        <f aca="false">IFERROR(INDEX(Positions!$E$2:$E$6912,MATCH($A1527&amp;"|41",Positions!$A$2:$A$6912,0)),"-")</f>
        <v>G</v>
      </c>
      <c r="H1527" s="3" t="str">
        <f aca="false">F1527&amp;"-"&amp;G1527</f>
        <v>C-G</v>
      </c>
      <c r="I1527" s="4" t="n">
        <f aca="false">(F1527="G")+(G1527="G")</f>
        <v>1</v>
      </c>
      <c r="J1527" s="4" t="n">
        <f aca="false">(F1527="C")+(G1527="C")</f>
        <v>1</v>
      </c>
      <c r="K1527" s="3" t="n">
        <f aca="false">I1527+J1527</f>
        <v>2</v>
      </c>
    </row>
    <row r="1528" customFormat="false" ht="15" hidden="false" customHeight="false" outlineLevel="0" collapsed="false">
      <c r="A1528" s="4" t="s">
        <v>91</v>
      </c>
      <c r="B1528" s="4" t="s">
        <v>446</v>
      </c>
      <c r="C1528" s="4" t="s">
        <v>526</v>
      </c>
      <c r="D1528" s="4" t="n">
        <f aca="false">IFERROR(INDEX(Positions!$D$2:$D$6912,MATCH($A1528&amp;"|30",Positions!$A$2:$A$6912,0)),"-")</f>
        <v>30</v>
      </c>
      <c r="E1528" s="4" t="n">
        <f aca="false">IFERROR(INDEX(Positions!$D$2:$D$6912,MATCH($A1528&amp;"|40",Positions!$A$2:$A$6912,0)),"-")</f>
        <v>40</v>
      </c>
      <c r="F1528" s="4" t="str">
        <f aca="false">IFERROR(INDEX(Positions!$E$2:$E$6912,MATCH($A1528&amp;"|30",Positions!$A$2:$A$6912,0)),"-")</f>
        <v>G</v>
      </c>
      <c r="G1528" s="4" t="str">
        <f aca="false">IFERROR(INDEX(Positions!$E$2:$E$6912,MATCH($A1528&amp;"|40",Positions!$A$2:$A$6912,0)),"-")</f>
        <v>C</v>
      </c>
      <c r="H1528" s="3" t="str">
        <f aca="false">F1528&amp;"-"&amp;G1528</f>
        <v>G-C</v>
      </c>
      <c r="I1528" s="4" t="n">
        <f aca="false">(F1528="G")+(G1528="G")</f>
        <v>1</v>
      </c>
      <c r="J1528" s="4" t="n">
        <f aca="false">(F1528="C")+(G1528="C")</f>
        <v>1</v>
      </c>
      <c r="K1528" s="3" t="n">
        <f aca="false">I1528+J1528</f>
        <v>2</v>
      </c>
    </row>
    <row r="1529" customFormat="false" ht="15" hidden="false" customHeight="false" outlineLevel="0" collapsed="false">
      <c r="A1529" s="4" t="s">
        <v>91</v>
      </c>
      <c r="B1529" s="4" t="s">
        <v>446</v>
      </c>
      <c r="C1529" s="4" t="s">
        <v>273</v>
      </c>
      <c r="D1529" s="4" t="n">
        <f aca="false">IFERROR(INDEX(Positions!$D$2:$D$6912,MATCH($A1529&amp;"|31",Positions!$A$2:$A$6912,0)),"-")</f>
        <v>31</v>
      </c>
      <c r="E1529" s="4" t="n">
        <f aca="false">IFERROR(INDEX(Positions!$D$2:$D$6912,MATCH($A1529&amp;"|39",Positions!$A$2:$A$6912,0)),"-")</f>
        <v>39</v>
      </c>
      <c r="F1529" s="4" t="str">
        <f aca="false">IFERROR(INDEX(Positions!$E$2:$E$6912,MATCH($A1529&amp;"|31",Positions!$A$2:$A$6912,0)),"-")</f>
        <v>C</v>
      </c>
      <c r="G1529" s="4" t="str">
        <f aca="false">IFERROR(INDEX(Positions!$E$2:$E$6912,MATCH($A1529&amp;"|39",Positions!$A$2:$A$6912,0)),"-")</f>
        <v>G</v>
      </c>
      <c r="H1529" s="3" t="str">
        <f aca="false">F1529&amp;"-"&amp;G1529</f>
        <v>C-G</v>
      </c>
      <c r="I1529" s="4" t="n">
        <f aca="false">(F1529="G")+(G1529="G")</f>
        <v>1</v>
      </c>
      <c r="J1529" s="4" t="n">
        <f aca="false">(F1529="C")+(G1529="C")</f>
        <v>1</v>
      </c>
      <c r="K1529" s="3" t="n">
        <f aca="false">I1529+J1529</f>
        <v>2</v>
      </c>
    </row>
    <row r="1530" customFormat="false" ht="15" hidden="false" customHeight="false" outlineLevel="0" collapsed="false">
      <c r="A1530" s="4" t="s">
        <v>91</v>
      </c>
      <c r="B1530" s="4" t="s">
        <v>471</v>
      </c>
      <c r="C1530" s="4" t="s">
        <v>367</v>
      </c>
      <c r="D1530" s="4" t="n">
        <f aca="false">IFERROR(INDEX(Positions!$D$2:$D$6912,MATCH($A1530&amp;"|49",Positions!$A$2:$A$6912,0)),"-")</f>
        <v>49</v>
      </c>
      <c r="E1530" s="4" t="n">
        <f aca="false">IFERROR(INDEX(Positions!$D$2:$D$6912,MATCH($A1530&amp;"|65",Positions!$A$2:$A$6912,0)),"-")</f>
        <v>65</v>
      </c>
      <c r="F1530" s="4" t="str">
        <f aca="false">IFERROR(INDEX(Positions!$E$2:$E$6912,MATCH($A1530&amp;"|49",Positions!$A$2:$A$6912,0)),"-")</f>
        <v>C</v>
      </c>
      <c r="G1530" s="4" t="str">
        <f aca="false">IFERROR(INDEX(Positions!$E$2:$E$6912,MATCH($A1530&amp;"|65",Positions!$A$2:$A$6912,0)),"-")</f>
        <v>G</v>
      </c>
      <c r="H1530" s="3" t="str">
        <f aca="false">F1530&amp;"-"&amp;G1530</f>
        <v>C-G</v>
      </c>
      <c r="I1530" s="4" t="n">
        <f aca="false">(F1530="G")+(G1530="G")</f>
        <v>1</v>
      </c>
      <c r="J1530" s="4" t="n">
        <f aca="false">(F1530="C")+(G1530="C")</f>
        <v>1</v>
      </c>
      <c r="K1530" s="3" t="n">
        <f aca="false">I1530+J1530</f>
        <v>2</v>
      </c>
    </row>
    <row r="1531" customFormat="false" ht="15" hidden="false" customHeight="false" outlineLevel="0" collapsed="false">
      <c r="A1531" s="4" t="s">
        <v>91</v>
      </c>
      <c r="B1531" s="4" t="s">
        <v>471</v>
      </c>
      <c r="C1531" s="4" t="s">
        <v>233</v>
      </c>
      <c r="D1531" s="4" t="n">
        <f aca="false">IFERROR(INDEX(Positions!$D$2:$D$6912,MATCH($A1531&amp;"|50",Positions!$A$2:$A$6912,0)),"-")</f>
        <v>50</v>
      </c>
      <c r="E1531" s="4" t="n">
        <f aca="false">IFERROR(INDEX(Positions!$D$2:$D$6912,MATCH($A1531&amp;"|64",Positions!$A$2:$A$6912,0)),"-")</f>
        <v>64</v>
      </c>
      <c r="F1531" s="4" t="str">
        <f aca="false">IFERROR(INDEX(Positions!$E$2:$E$6912,MATCH($A1531&amp;"|50",Positions!$A$2:$A$6912,0)),"-")</f>
        <v>C</v>
      </c>
      <c r="G1531" s="4" t="str">
        <f aca="false">IFERROR(INDEX(Positions!$E$2:$E$6912,MATCH($A1531&amp;"|64",Positions!$A$2:$A$6912,0)),"-")</f>
        <v>G</v>
      </c>
      <c r="H1531" s="3" t="str">
        <f aca="false">F1531&amp;"-"&amp;G1531</f>
        <v>C-G</v>
      </c>
      <c r="I1531" s="4" t="n">
        <f aca="false">(F1531="G")+(G1531="G")</f>
        <v>1</v>
      </c>
      <c r="J1531" s="4" t="n">
        <f aca="false">(F1531="C")+(G1531="C")</f>
        <v>1</v>
      </c>
      <c r="K1531" s="3" t="n">
        <f aca="false">I1531+J1531</f>
        <v>2</v>
      </c>
    </row>
    <row r="1532" customFormat="false" ht="15" hidden="false" customHeight="false" outlineLevel="0" collapsed="false">
      <c r="A1532" s="4" t="s">
        <v>91</v>
      </c>
      <c r="B1532" s="4" t="s">
        <v>471</v>
      </c>
      <c r="C1532" s="4" t="s">
        <v>527</v>
      </c>
      <c r="D1532" s="4" t="n">
        <f aca="false">IFERROR(INDEX(Positions!$D$2:$D$6912,MATCH($A1532&amp;"|51",Positions!$A$2:$A$6912,0)),"-")</f>
        <v>51</v>
      </c>
      <c r="E1532" s="4" t="n">
        <f aca="false">IFERROR(INDEX(Positions!$D$2:$D$6912,MATCH($A1532&amp;"|63",Positions!$A$2:$A$6912,0)),"-")</f>
        <v>63</v>
      </c>
      <c r="F1532" s="4" t="str">
        <f aca="false">IFERROR(INDEX(Positions!$E$2:$E$6912,MATCH($A1532&amp;"|51",Positions!$A$2:$A$6912,0)),"-")</f>
        <v>C</v>
      </c>
      <c r="G1532" s="4" t="str">
        <f aca="false">IFERROR(INDEX(Positions!$E$2:$E$6912,MATCH($A1532&amp;"|63",Positions!$A$2:$A$6912,0)),"-")</f>
        <v>G</v>
      </c>
      <c r="H1532" s="3" t="str">
        <f aca="false">F1532&amp;"-"&amp;G1532</f>
        <v>C-G</v>
      </c>
      <c r="I1532" s="4" t="n">
        <f aca="false">(F1532="G")+(G1532="G")</f>
        <v>1</v>
      </c>
      <c r="J1532" s="4" t="n">
        <f aca="false">(F1532="C")+(G1532="C")</f>
        <v>1</v>
      </c>
      <c r="K1532" s="3" t="n">
        <f aca="false">I1532+J1532</f>
        <v>2</v>
      </c>
    </row>
    <row r="1533" customFormat="false" ht="15" hidden="false" customHeight="false" outlineLevel="0" collapsed="false">
      <c r="A1533" s="4" t="s">
        <v>91</v>
      </c>
      <c r="B1533" s="4" t="s">
        <v>471</v>
      </c>
      <c r="C1533" s="4" t="s">
        <v>528</v>
      </c>
      <c r="D1533" s="4" t="n">
        <f aca="false">IFERROR(INDEX(Positions!$D$2:$D$6912,MATCH($A1533&amp;"|52",Positions!$A$2:$A$6912,0)),"-")</f>
        <v>52</v>
      </c>
      <c r="E1533" s="4" t="n">
        <f aca="false">IFERROR(INDEX(Positions!$D$2:$D$6912,MATCH($A1533&amp;"|62",Positions!$A$2:$A$6912,0)),"-")</f>
        <v>62</v>
      </c>
      <c r="F1533" s="4" t="str">
        <f aca="false">IFERROR(INDEX(Positions!$E$2:$E$6912,MATCH($A1533&amp;"|52",Positions!$A$2:$A$6912,0)),"-")</f>
        <v>G</v>
      </c>
      <c r="G1533" s="4" t="str">
        <f aca="false">IFERROR(INDEX(Positions!$E$2:$E$6912,MATCH($A1533&amp;"|62",Positions!$A$2:$A$6912,0)),"-")</f>
        <v>C</v>
      </c>
      <c r="H1533" s="3" t="str">
        <f aca="false">F1533&amp;"-"&amp;G1533</f>
        <v>G-C</v>
      </c>
      <c r="I1533" s="4" t="n">
        <f aca="false">(F1533="G")+(G1533="G")</f>
        <v>1</v>
      </c>
      <c r="J1533" s="4" t="n">
        <f aca="false">(F1533="C")+(G1533="C")</f>
        <v>1</v>
      </c>
      <c r="K1533" s="3" t="n">
        <f aca="false">I1533+J1533</f>
        <v>2</v>
      </c>
    </row>
    <row r="1534" customFormat="false" ht="15" hidden="false" customHeight="false" outlineLevel="0" collapsed="false">
      <c r="A1534" s="4" t="s">
        <v>91</v>
      </c>
      <c r="B1534" s="4" t="s">
        <v>471</v>
      </c>
      <c r="C1534" s="4" t="s">
        <v>529</v>
      </c>
      <c r="D1534" s="4" t="n">
        <f aca="false">IFERROR(INDEX(Positions!$D$2:$D$6912,MATCH($A1534&amp;"|53",Positions!$A$2:$A$6912,0)),"-")</f>
        <v>53</v>
      </c>
      <c r="E1534" s="4" t="n">
        <f aca="false">IFERROR(INDEX(Positions!$D$2:$D$6912,MATCH($A1534&amp;"|61",Positions!$A$2:$A$6912,0)),"-")</f>
        <v>61</v>
      </c>
      <c r="F1534" s="4" t="str">
        <f aca="false">IFERROR(INDEX(Positions!$E$2:$E$6912,MATCH($A1534&amp;"|53",Positions!$A$2:$A$6912,0)),"-")</f>
        <v>G</v>
      </c>
      <c r="G1534" s="4" t="str">
        <f aca="false">IFERROR(INDEX(Positions!$E$2:$E$6912,MATCH($A1534&amp;"|61",Positions!$A$2:$A$6912,0)),"-")</f>
        <v>C</v>
      </c>
      <c r="H1534" s="3" t="str">
        <f aca="false">F1534&amp;"-"&amp;G1534</f>
        <v>G-C</v>
      </c>
      <c r="I1534" s="4" t="n">
        <f aca="false">(F1534="G")+(G1534="G")</f>
        <v>1</v>
      </c>
      <c r="J1534" s="4" t="n">
        <f aca="false">(F1534="C")+(G1534="C")</f>
        <v>1</v>
      </c>
      <c r="K1534" s="3" t="n">
        <f aca="false">I1534+J1534</f>
        <v>2</v>
      </c>
    </row>
    <row r="1535" customFormat="false" ht="15" hidden="false" customHeight="false" outlineLevel="0" collapsed="false">
      <c r="A1535" s="24" t="s">
        <v>91</v>
      </c>
      <c r="B1535" s="24" t="s">
        <v>530</v>
      </c>
      <c r="C1535" s="24" t="s">
        <v>531</v>
      </c>
      <c r="D1535" s="24" t="n">
        <f aca="false">IFERROR(INDEX(Positions!$D$2:$D$6912,MATCH($A1535&amp;"|8",Positions!$A$2:$A$6912,0)),"-")</f>
        <v>8</v>
      </c>
      <c r="E1535" s="24" t="n">
        <f aca="false">IFERROR(INDEX(Positions!$D$2:$D$6912,MATCH($A1535&amp;"|14",Positions!$A$2:$A$6912,0)),"-")</f>
        <v>14</v>
      </c>
      <c r="F1535" s="24" t="str">
        <f aca="false">IFERROR(INDEX(Positions!$E$2:$E$6912,MATCH($A1535&amp;"|8",Positions!$A$2:$A$6912,0)),"-")</f>
        <v>U</v>
      </c>
      <c r="G1535" s="24" t="str">
        <f aca="false">IFERROR(INDEX(Positions!$E$2:$E$6912,MATCH($A1535&amp;"|14",Positions!$A$2:$A$6912,0)),"-")</f>
        <v>A</v>
      </c>
      <c r="H1535" s="25" t="str">
        <f aca="false">F1535&amp;"-"&amp;G1535</f>
        <v>U-A</v>
      </c>
      <c r="I1535" s="24" t="n">
        <f aca="false">(F1535="G")+(G1535="G")</f>
        <v>0</v>
      </c>
      <c r="J1535" s="24" t="n">
        <f aca="false">(F1535="C")+(G1535="C")</f>
        <v>0</v>
      </c>
      <c r="K1535" s="25" t="n">
        <f aca="false">I1535+J1535</f>
        <v>0</v>
      </c>
    </row>
    <row r="1536" customFormat="false" ht="15" hidden="false" customHeight="false" outlineLevel="0" collapsed="false">
      <c r="A1536" s="24" t="s">
        <v>91</v>
      </c>
      <c r="B1536" s="24" t="s">
        <v>530</v>
      </c>
      <c r="C1536" s="24" t="s">
        <v>532</v>
      </c>
      <c r="D1536" s="24" t="n">
        <f aca="false">IFERROR(INDEX(Positions!$D$2:$D$6912,MATCH($A1536&amp;"|15",Positions!$A$2:$A$6912,0)),"-")</f>
        <v>15</v>
      </c>
      <c r="E1536" s="24" t="n">
        <f aca="false">IFERROR(INDEX(Positions!$D$2:$D$6912,MATCH($A1536&amp;"|48",Positions!$A$2:$A$6912,0)),"-")</f>
        <v>48</v>
      </c>
      <c r="F1536" s="24" t="str">
        <f aca="false">IFERROR(INDEX(Positions!$E$2:$E$6912,MATCH($A1536&amp;"|15",Positions!$A$2:$A$6912,0)),"-")</f>
        <v>G</v>
      </c>
      <c r="G1536" s="24" t="str">
        <f aca="false">IFERROR(INDEX(Positions!$E$2:$E$6912,MATCH($A1536&amp;"|48",Positions!$A$2:$A$6912,0)),"-")</f>
        <v>C</v>
      </c>
      <c r="H1536" s="25" t="str">
        <f aca="false">F1536&amp;"-"&amp;G1536</f>
        <v>G-C</v>
      </c>
      <c r="I1536" s="24" t="n">
        <f aca="false">(F1536="G")+(G1536="G")</f>
        <v>1</v>
      </c>
      <c r="J1536" s="24" t="n">
        <f aca="false">(F1536="C")+(G1536="C")</f>
        <v>1</v>
      </c>
      <c r="K1536" s="25" t="n">
        <f aca="false">I1536+J1536</f>
        <v>2</v>
      </c>
    </row>
    <row r="1537" customFormat="false" ht="15" hidden="false" customHeight="false" outlineLevel="0" collapsed="false">
      <c r="A1537" s="24" t="s">
        <v>91</v>
      </c>
      <c r="B1537" s="24" t="s">
        <v>530</v>
      </c>
      <c r="C1537" s="24" t="s">
        <v>533</v>
      </c>
      <c r="D1537" s="24" t="n">
        <f aca="false">IFERROR(INDEX(Positions!$D$2:$D$6912,MATCH($A1537&amp;"|18",Positions!$A$2:$A$6912,0)),"-")</f>
        <v>17</v>
      </c>
      <c r="E1537" s="24" t="n">
        <f aca="false">IFERROR(INDEX(Positions!$D$2:$D$6912,MATCH($A1537&amp;"|55",Positions!$A$2:$A$6912,0)),"-")</f>
        <v>55</v>
      </c>
      <c r="F1537" s="24" t="str">
        <f aca="false">IFERROR(INDEX(Positions!$E$2:$E$6912,MATCH($A1537&amp;"|18",Positions!$A$2:$A$6912,0)),"-")</f>
        <v>G</v>
      </c>
      <c r="G1537" s="24" t="str">
        <f aca="false">IFERROR(INDEX(Positions!$E$2:$E$6912,MATCH($A1537&amp;"|55",Positions!$A$2:$A$6912,0)),"-")</f>
        <v>U</v>
      </c>
      <c r="H1537" s="25" t="str">
        <f aca="false">F1537&amp;"-"&amp;G1537</f>
        <v>G-U</v>
      </c>
      <c r="I1537" s="24" t="n">
        <f aca="false">(F1537="G")+(G1537="G")</f>
        <v>1</v>
      </c>
      <c r="J1537" s="24" t="n">
        <f aca="false">(F1537="C")+(G1537="C")</f>
        <v>0</v>
      </c>
      <c r="K1537" s="25" t="n">
        <f aca="false">I1537+J1537</f>
        <v>1</v>
      </c>
    </row>
    <row r="1538" customFormat="false" ht="15" hidden="false" customHeight="false" outlineLevel="0" collapsed="false">
      <c r="A1538" s="24" t="s">
        <v>91</v>
      </c>
      <c r="B1538" s="24" t="s">
        <v>530</v>
      </c>
      <c r="C1538" s="24" t="s">
        <v>534</v>
      </c>
      <c r="D1538" s="24" t="n">
        <f aca="false">IFERROR(INDEX(Positions!$D$2:$D$6912,MATCH($A1538&amp;"|19",Positions!$A$2:$A$6912,0)),"-")</f>
        <v>18</v>
      </c>
      <c r="E1538" s="24" t="n">
        <f aca="false">IFERROR(INDEX(Positions!$D$2:$D$6912,MATCH($A1538&amp;"|56",Positions!$A$2:$A$6912,0)),"-")</f>
        <v>56</v>
      </c>
      <c r="F1538" s="24" t="str">
        <f aca="false">IFERROR(INDEX(Positions!$E$2:$E$6912,MATCH($A1538&amp;"|19",Positions!$A$2:$A$6912,0)),"-")</f>
        <v>G</v>
      </c>
      <c r="G1538" s="24" t="str">
        <f aca="false">IFERROR(INDEX(Positions!$E$2:$E$6912,MATCH($A1538&amp;"|56",Positions!$A$2:$A$6912,0)),"-")</f>
        <v>C</v>
      </c>
      <c r="H1538" s="25" t="str">
        <f aca="false">F1538&amp;"-"&amp;G1538</f>
        <v>G-C</v>
      </c>
      <c r="I1538" s="24" t="n">
        <f aca="false">(F1538="G")+(G1538="G")</f>
        <v>1</v>
      </c>
      <c r="J1538" s="24" t="n">
        <f aca="false">(F1538="C")+(G1538="C")</f>
        <v>1</v>
      </c>
      <c r="K1538" s="25" t="n">
        <f aca="false">I1538+J1538</f>
        <v>2</v>
      </c>
    </row>
    <row r="1539" customFormat="false" ht="15" hidden="false" customHeight="false" outlineLevel="0" collapsed="false">
      <c r="A1539" s="24" t="s">
        <v>91</v>
      </c>
      <c r="B1539" s="24" t="s">
        <v>530</v>
      </c>
      <c r="C1539" s="24" t="s">
        <v>535</v>
      </c>
      <c r="D1539" s="24" t="n">
        <f aca="false">IFERROR(INDEX(Positions!$D$2:$D$6912,MATCH($A1539&amp;"|26",Positions!$A$2:$A$6912,0)),"-")</f>
        <v>26</v>
      </c>
      <c r="E1539" s="24" t="n">
        <f aca="false">IFERROR(INDEX(Positions!$D$2:$D$6912,MATCH($A1539&amp;"|44",Positions!$A$2:$A$6912,0)),"-")</f>
        <v>44</v>
      </c>
      <c r="F1539" s="24" t="str">
        <f aca="false">IFERROR(INDEX(Positions!$E$2:$E$6912,MATCH($A1539&amp;"|26",Positions!$A$2:$A$6912,0)),"-")</f>
        <v>G</v>
      </c>
      <c r="G1539" s="24" t="str">
        <f aca="false">IFERROR(INDEX(Positions!$E$2:$E$6912,MATCH($A1539&amp;"|44",Positions!$A$2:$A$6912,0)),"-")</f>
        <v>A</v>
      </c>
      <c r="H1539" s="25" t="str">
        <f aca="false">F1539&amp;"-"&amp;G1539</f>
        <v>G-A</v>
      </c>
      <c r="I1539" s="24" t="n">
        <f aca="false">(F1539="G")+(G1539="G")</f>
        <v>1</v>
      </c>
      <c r="J1539" s="24" t="n">
        <f aca="false">(F1539="C")+(G1539="C")</f>
        <v>0</v>
      </c>
      <c r="K1539" s="25" t="n">
        <f aca="false">I1539+J1539</f>
        <v>1</v>
      </c>
    </row>
    <row r="1540" customFormat="false" ht="15" hidden="false" customHeight="false" outlineLevel="0" collapsed="false">
      <c r="A1540" s="24" t="s">
        <v>91</v>
      </c>
      <c r="B1540" s="24" t="s">
        <v>530</v>
      </c>
      <c r="C1540" s="24" t="s">
        <v>536</v>
      </c>
      <c r="D1540" s="24" t="n">
        <f aca="false">IFERROR(INDEX(Positions!$D$2:$D$6912,MATCH($A1540&amp;"|32",Positions!$A$2:$A$6912,0)),"-")</f>
        <v>32</v>
      </c>
      <c r="E1540" s="24" t="n">
        <f aca="false">IFERROR(INDEX(Positions!$D$2:$D$6912,MATCH($A1540&amp;"|38",Positions!$A$2:$A$6912,0)),"-")</f>
        <v>38</v>
      </c>
      <c r="F1540" s="24" t="str">
        <f aca="false">IFERROR(INDEX(Positions!$E$2:$E$6912,MATCH($A1540&amp;"|32",Positions!$A$2:$A$6912,0)),"-")</f>
        <v>C</v>
      </c>
      <c r="G1540" s="24" t="str">
        <f aca="false">IFERROR(INDEX(Positions!$E$2:$E$6912,MATCH($A1540&amp;"|38",Positions!$A$2:$A$6912,0)),"-")</f>
        <v>C</v>
      </c>
      <c r="H1540" s="25" t="str">
        <f aca="false">F1540&amp;"-"&amp;G1540</f>
        <v>C-C</v>
      </c>
      <c r="I1540" s="24" t="n">
        <f aca="false">(F1540="G")+(G1540="G")</f>
        <v>0</v>
      </c>
      <c r="J1540" s="24" t="n">
        <f aca="false">(F1540="C")+(G1540="C")</f>
        <v>2</v>
      </c>
      <c r="K1540" s="25" t="n">
        <f aca="false">I1540+J1540</f>
        <v>2</v>
      </c>
    </row>
    <row r="1541" customFormat="false" ht="15" hidden="false" customHeight="false" outlineLevel="0" collapsed="false">
      <c r="A1541" s="24" t="s">
        <v>91</v>
      </c>
      <c r="B1541" s="24" t="s">
        <v>530</v>
      </c>
      <c r="C1541" s="24" t="s">
        <v>537</v>
      </c>
      <c r="D1541" s="24" t="n">
        <f aca="false">IFERROR(INDEX(Positions!$D$2:$D$6912,MATCH($A1541&amp;"|54",Positions!$A$2:$A$6912,0)),"-")</f>
        <v>54</v>
      </c>
      <c r="E1541" s="24" t="n">
        <f aca="false">IFERROR(INDEX(Positions!$D$2:$D$6912,MATCH($A1541&amp;"|58",Positions!$A$2:$A$6912,0)),"-")</f>
        <v>58</v>
      </c>
      <c r="F1541" s="24" t="str">
        <f aca="false">IFERROR(INDEX(Positions!$E$2:$E$6912,MATCH($A1541&amp;"|54",Positions!$A$2:$A$6912,0)),"-")</f>
        <v>U</v>
      </c>
      <c r="G1541" s="24" t="str">
        <f aca="false">IFERROR(INDEX(Positions!$E$2:$E$6912,MATCH($A1541&amp;"|58",Positions!$A$2:$A$6912,0)),"-")</f>
        <v>A</v>
      </c>
      <c r="H1541" s="25" t="str">
        <f aca="false">F1541&amp;"-"&amp;G1541</f>
        <v>U-A</v>
      </c>
      <c r="I1541" s="24" t="n">
        <f aca="false">(F1541="G")+(G1541="G")</f>
        <v>0</v>
      </c>
      <c r="J1541" s="24" t="n">
        <f aca="false">(F1541="C")+(G1541="C")</f>
        <v>0</v>
      </c>
      <c r="K1541" s="25" t="n">
        <f aca="false">I1541+J1541</f>
        <v>0</v>
      </c>
    </row>
    <row r="1542" customFormat="false" ht="15" hidden="false" customHeight="false" outlineLevel="0" collapsed="false">
      <c r="A1542" s="4" t="s">
        <v>92</v>
      </c>
      <c r="B1542" s="4" t="s">
        <v>412</v>
      </c>
      <c r="C1542" s="4" t="s">
        <v>517</v>
      </c>
      <c r="D1542" s="4" t="n">
        <f aca="false">IFERROR(INDEX(Positions!$D$2:$D$6912,MATCH($A1542&amp;"|1",Positions!$A$2:$A$6912,0)),"-")</f>
        <v>1</v>
      </c>
      <c r="E1542" s="4" t="n">
        <f aca="false">IFERROR(INDEX(Positions!$D$2:$D$6912,MATCH($A1542&amp;"|72",Positions!$A$2:$A$6912,0)),"-")</f>
        <v>71</v>
      </c>
      <c r="F1542" s="4" t="str">
        <f aca="false">IFERROR(INDEX(Positions!$E$2:$E$6912,MATCH($A1542&amp;"|1",Positions!$A$2:$A$6912,0)),"-")</f>
        <v>U</v>
      </c>
      <c r="G1542" s="4" t="str">
        <f aca="false">IFERROR(INDEX(Positions!$E$2:$E$6912,MATCH($A1542&amp;"|72",Positions!$A$2:$A$6912,0)),"-")</f>
        <v>A</v>
      </c>
      <c r="H1542" s="3" t="str">
        <f aca="false">F1542&amp;"-"&amp;G1542</f>
        <v>U-A</v>
      </c>
      <c r="I1542" s="4" t="n">
        <f aca="false">(F1542="G")+(G1542="G")</f>
        <v>0</v>
      </c>
      <c r="J1542" s="4" t="n">
        <f aca="false">(F1542="C")+(G1542="C")</f>
        <v>0</v>
      </c>
      <c r="K1542" s="3" t="n">
        <f aca="false">I1542+J1542</f>
        <v>0</v>
      </c>
    </row>
    <row r="1543" customFormat="false" ht="15" hidden="false" customHeight="false" outlineLevel="0" collapsed="false">
      <c r="A1543" s="4" t="s">
        <v>92</v>
      </c>
      <c r="B1543" s="4" t="s">
        <v>412</v>
      </c>
      <c r="C1543" s="4" t="s">
        <v>518</v>
      </c>
      <c r="D1543" s="4" t="n">
        <f aca="false">IFERROR(INDEX(Positions!$D$2:$D$6912,MATCH($A1543&amp;"|2",Positions!$A$2:$A$6912,0)),"-")</f>
        <v>2</v>
      </c>
      <c r="E1543" s="4" t="n">
        <f aca="false">IFERROR(INDEX(Positions!$D$2:$D$6912,MATCH($A1543&amp;"|71",Positions!$A$2:$A$6912,0)),"-")</f>
        <v>70</v>
      </c>
      <c r="F1543" s="4" t="str">
        <f aca="false">IFERROR(INDEX(Positions!$E$2:$E$6912,MATCH($A1543&amp;"|2",Positions!$A$2:$A$6912,0)),"-")</f>
        <v>C</v>
      </c>
      <c r="G1543" s="4" t="str">
        <f aca="false">IFERROR(INDEX(Positions!$E$2:$E$6912,MATCH($A1543&amp;"|71",Positions!$A$2:$A$6912,0)),"-")</f>
        <v>G</v>
      </c>
      <c r="H1543" s="3" t="str">
        <f aca="false">F1543&amp;"-"&amp;G1543</f>
        <v>C-G</v>
      </c>
      <c r="I1543" s="4" t="n">
        <f aca="false">(F1543="G")+(G1543="G")</f>
        <v>1</v>
      </c>
      <c r="J1543" s="4" t="n">
        <f aca="false">(F1543="C")+(G1543="C")</f>
        <v>1</v>
      </c>
      <c r="K1543" s="3" t="n">
        <f aca="false">I1543+J1543</f>
        <v>2</v>
      </c>
    </row>
    <row r="1544" customFormat="false" ht="15" hidden="false" customHeight="false" outlineLevel="0" collapsed="false">
      <c r="A1544" s="4" t="s">
        <v>92</v>
      </c>
      <c r="B1544" s="4" t="s">
        <v>412</v>
      </c>
      <c r="C1544" s="4" t="s">
        <v>386</v>
      </c>
      <c r="D1544" s="4" t="n">
        <f aca="false">IFERROR(INDEX(Positions!$D$2:$D$6912,MATCH($A1544&amp;"|3",Positions!$A$2:$A$6912,0)),"-")</f>
        <v>3</v>
      </c>
      <c r="E1544" s="4" t="n">
        <f aca="false">IFERROR(INDEX(Positions!$D$2:$D$6912,MATCH($A1544&amp;"|70",Positions!$A$2:$A$6912,0)),"-")</f>
        <v>69</v>
      </c>
      <c r="F1544" s="4" t="str">
        <f aca="false">IFERROR(INDEX(Positions!$E$2:$E$6912,MATCH($A1544&amp;"|3",Positions!$A$2:$A$6912,0)),"-")</f>
        <v>C</v>
      </c>
      <c r="G1544" s="4" t="str">
        <f aca="false">IFERROR(INDEX(Positions!$E$2:$E$6912,MATCH($A1544&amp;"|70",Positions!$A$2:$A$6912,0)),"-")</f>
        <v>G</v>
      </c>
      <c r="H1544" s="3" t="str">
        <f aca="false">F1544&amp;"-"&amp;G1544</f>
        <v>C-G</v>
      </c>
      <c r="I1544" s="4" t="n">
        <f aca="false">(F1544="G")+(G1544="G")</f>
        <v>1</v>
      </c>
      <c r="J1544" s="4" t="n">
        <f aca="false">(F1544="C")+(G1544="C")</f>
        <v>1</v>
      </c>
      <c r="K1544" s="3" t="n">
        <f aca="false">I1544+J1544</f>
        <v>2</v>
      </c>
    </row>
    <row r="1545" customFormat="false" ht="15" hidden="false" customHeight="false" outlineLevel="0" collapsed="false">
      <c r="A1545" s="4" t="s">
        <v>92</v>
      </c>
      <c r="B1545" s="4" t="s">
        <v>412</v>
      </c>
      <c r="C1545" s="4" t="s">
        <v>519</v>
      </c>
      <c r="D1545" s="4" t="n">
        <f aca="false">IFERROR(INDEX(Positions!$D$2:$D$6912,MATCH($A1545&amp;"|4",Positions!$A$2:$A$6912,0)),"-")</f>
        <v>4</v>
      </c>
      <c r="E1545" s="4" t="n">
        <f aca="false">IFERROR(INDEX(Positions!$D$2:$D$6912,MATCH($A1545&amp;"|69",Positions!$A$2:$A$6912,0)),"-")</f>
        <v>68</v>
      </c>
      <c r="F1545" s="4" t="str">
        <f aca="false">IFERROR(INDEX(Positions!$E$2:$E$6912,MATCH($A1545&amp;"|4",Positions!$A$2:$A$6912,0)),"-")</f>
        <v>U</v>
      </c>
      <c r="G1545" s="4" t="str">
        <f aca="false">IFERROR(INDEX(Positions!$E$2:$E$6912,MATCH($A1545&amp;"|69",Positions!$A$2:$A$6912,0)),"-")</f>
        <v>G</v>
      </c>
      <c r="H1545" s="3" t="str">
        <f aca="false">F1545&amp;"-"&amp;G1545</f>
        <v>U-G</v>
      </c>
      <c r="I1545" s="4" t="n">
        <f aca="false">(F1545="G")+(G1545="G")</f>
        <v>1</v>
      </c>
      <c r="J1545" s="4" t="n">
        <f aca="false">(F1545="C")+(G1545="C")</f>
        <v>0</v>
      </c>
      <c r="K1545" s="3" t="n">
        <f aca="false">I1545+J1545</f>
        <v>1</v>
      </c>
    </row>
    <row r="1546" customFormat="false" ht="15" hidden="false" customHeight="false" outlineLevel="0" collapsed="false">
      <c r="A1546" s="4" t="s">
        <v>92</v>
      </c>
      <c r="B1546" s="4" t="s">
        <v>412</v>
      </c>
      <c r="C1546" s="4" t="s">
        <v>283</v>
      </c>
      <c r="D1546" s="4" t="n">
        <f aca="false">IFERROR(INDEX(Positions!$D$2:$D$6912,MATCH($A1546&amp;"|5",Positions!$A$2:$A$6912,0)),"-")</f>
        <v>5</v>
      </c>
      <c r="E1546" s="4" t="n">
        <f aca="false">IFERROR(INDEX(Positions!$D$2:$D$6912,MATCH($A1546&amp;"|68",Positions!$A$2:$A$6912,0)),"-")</f>
        <v>67</v>
      </c>
      <c r="F1546" s="4" t="str">
        <f aca="false">IFERROR(INDEX(Positions!$E$2:$E$6912,MATCH($A1546&amp;"|5",Positions!$A$2:$A$6912,0)),"-")</f>
        <v>C</v>
      </c>
      <c r="G1546" s="4" t="str">
        <f aca="false">IFERROR(INDEX(Positions!$E$2:$E$6912,MATCH($A1546&amp;"|68",Positions!$A$2:$A$6912,0)),"-")</f>
        <v>G</v>
      </c>
      <c r="H1546" s="3" t="str">
        <f aca="false">F1546&amp;"-"&amp;G1546</f>
        <v>C-G</v>
      </c>
      <c r="I1546" s="4" t="n">
        <f aca="false">(F1546="G")+(G1546="G")</f>
        <v>1</v>
      </c>
      <c r="J1546" s="4" t="n">
        <f aca="false">(F1546="C")+(G1546="C")</f>
        <v>1</v>
      </c>
      <c r="K1546" s="3" t="n">
        <f aca="false">I1546+J1546</f>
        <v>2</v>
      </c>
    </row>
    <row r="1547" customFormat="false" ht="15" hidden="false" customHeight="false" outlineLevel="0" collapsed="false">
      <c r="A1547" s="4" t="s">
        <v>92</v>
      </c>
      <c r="B1547" s="4" t="s">
        <v>412</v>
      </c>
      <c r="C1547" s="4" t="s">
        <v>520</v>
      </c>
      <c r="D1547" s="4" t="n">
        <f aca="false">IFERROR(INDEX(Positions!$D$2:$D$6912,MATCH($A1547&amp;"|6",Positions!$A$2:$A$6912,0)),"-")</f>
        <v>6</v>
      </c>
      <c r="E1547" s="4" t="n">
        <f aca="false">IFERROR(INDEX(Positions!$D$2:$D$6912,MATCH($A1547&amp;"|67",Positions!$A$2:$A$6912,0)),"-")</f>
        <v>66</v>
      </c>
      <c r="F1547" s="4" t="str">
        <f aca="false">IFERROR(INDEX(Positions!$E$2:$E$6912,MATCH($A1547&amp;"|6",Positions!$A$2:$A$6912,0)),"-")</f>
        <v>G</v>
      </c>
      <c r="G1547" s="4" t="str">
        <f aca="false">IFERROR(INDEX(Positions!$E$2:$E$6912,MATCH($A1547&amp;"|67",Positions!$A$2:$A$6912,0)),"-")</f>
        <v>C</v>
      </c>
      <c r="H1547" s="3" t="str">
        <f aca="false">F1547&amp;"-"&amp;G1547</f>
        <v>G-C</v>
      </c>
      <c r="I1547" s="4" t="n">
        <f aca="false">(F1547="G")+(G1547="G")</f>
        <v>1</v>
      </c>
      <c r="J1547" s="4" t="n">
        <f aca="false">(F1547="C")+(G1547="C")</f>
        <v>1</v>
      </c>
      <c r="K1547" s="3" t="n">
        <f aca="false">I1547+J1547</f>
        <v>2</v>
      </c>
    </row>
    <row r="1548" customFormat="false" ht="15" hidden="false" customHeight="false" outlineLevel="0" collapsed="false">
      <c r="A1548" s="4" t="s">
        <v>92</v>
      </c>
      <c r="B1548" s="4" t="s">
        <v>412</v>
      </c>
      <c r="C1548" s="4" t="s">
        <v>521</v>
      </c>
      <c r="D1548" s="4" t="n">
        <f aca="false">IFERROR(INDEX(Positions!$D$2:$D$6912,MATCH($A1548&amp;"|7",Positions!$A$2:$A$6912,0)),"-")</f>
        <v>7</v>
      </c>
      <c r="E1548" s="4" t="n">
        <f aca="false">IFERROR(INDEX(Positions!$D$2:$D$6912,MATCH($A1548&amp;"|66",Positions!$A$2:$A$6912,0)),"-")</f>
        <v>65</v>
      </c>
      <c r="F1548" s="4" t="str">
        <f aca="false">IFERROR(INDEX(Positions!$E$2:$E$6912,MATCH($A1548&amp;"|7",Positions!$A$2:$A$6912,0)),"-")</f>
        <v>U</v>
      </c>
      <c r="G1548" s="4" t="str">
        <f aca="false">IFERROR(INDEX(Positions!$E$2:$E$6912,MATCH($A1548&amp;"|66",Positions!$A$2:$A$6912,0)),"-")</f>
        <v>A</v>
      </c>
      <c r="H1548" s="3" t="str">
        <f aca="false">F1548&amp;"-"&amp;G1548</f>
        <v>U-A</v>
      </c>
      <c r="I1548" s="4" t="n">
        <f aca="false">(F1548="G")+(G1548="G")</f>
        <v>0</v>
      </c>
      <c r="J1548" s="4" t="n">
        <f aca="false">(F1548="C")+(G1548="C")</f>
        <v>0</v>
      </c>
      <c r="K1548" s="3" t="n">
        <f aca="false">I1548+J1548</f>
        <v>0</v>
      </c>
    </row>
    <row r="1549" customFormat="false" ht="15" hidden="false" customHeight="false" outlineLevel="0" collapsed="false">
      <c r="A1549" s="4" t="s">
        <v>92</v>
      </c>
      <c r="B1549" s="4" t="s">
        <v>425</v>
      </c>
      <c r="C1549" s="4" t="s">
        <v>522</v>
      </c>
      <c r="D1549" s="4" t="n">
        <f aca="false">IFERROR(INDEX(Positions!$D$2:$D$6912,MATCH($A1549&amp;"|10",Positions!$A$2:$A$6912,0)),"-")</f>
        <v>10</v>
      </c>
      <c r="E1549" s="4" t="n">
        <f aca="false">IFERROR(INDEX(Positions!$D$2:$D$6912,MATCH($A1549&amp;"|25",Positions!$A$2:$A$6912,0)),"-")</f>
        <v>25</v>
      </c>
      <c r="F1549" s="4" t="str">
        <f aca="false">IFERROR(INDEX(Positions!$E$2:$E$6912,MATCH($A1549&amp;"|10",Positions!$A$2:$A$6912,0)),"-")</f>
        <v>G</v>
      </c>
      <c r="G1549" s="4" t="str">
        <f aca="false">IFERROR(INDEX(Positions!$E$2:$E$6912,MATCH($A1549&amp;"|25",Positions!$A$2:$A$6912,0)),"-")</f>
        <v>U</v>
      </c>
      <c r="H1549" s="3" t="str">
        <f aca="false">F1549&amp;"-"&amp;G1549</f>
        <v>G-U</v>
      </c>
      <c r="I1549" s="4" t="n">
        <f aca="false">(F1549="G")+(G1549="G")</f>
        <v>1</v>
      </c>
      <c r="J1549" s="4" t="n">
        <f aca="false">(F1549="C")+(G1549="C")</f>
        <v>0</v>
      </c>
      <c r="K1549" s="3" t="n">
        <f aca="false">I1549+J1549</f>
        <v>1</v>
      </c>
    </row>
    <row r="1550" customFormat="false" ht="15" hidden="false" customHeight="false" outlineLevel="0" collapsed="false">
      <c r="A1550" s="4" t="s">
        <v>92</v>
      </c>
      <c r="B1550" s="4" t="s">
        <v>425</v>
      </c>
      <c r="C1550" s="4" t="s">
        <v>523</v>
      </c>
      <c r="D1550" s="4" t="n">
        <f aca="false">IFERROR(INDEX(Positions!$D$2:$D$6912,MATCH($A1550&amp;"|11",Positions!$A$2:$A$6912,0)),"-")</f>
        <v>11</v>
      </c>
      <c r="E1550" s="4" t="n">
        <f aca="false">IFERROR(INDEX(Positions!$D$2:$D$6912,MATCH($A1550&amp;"|24",Positions!$A$2:$A$6912,0)),"-")</f>
        <v>24</v>
      </c>
      <c r="F1550" s="4" t="str">
        <f aca="false">IFERROR(INDEX(Positions!$E$2:$E$6912,MATCH($A1550&amp;"|11",Positions!$A$2:$A$6912,0)),"-")</f>
        <v>U</v>
      </c>
      <c r="G1550" s="4" t="str">
        <f aca="false">IFERROR(INDEX(Positions!$E$2:$E$6912,MATCH($A1550&amp;"|24",Positions!$A$2:$A$6912,0)),"-")</f>
        <v>A</v>
      </c>
      <c r="H1550" s="3" t="str">
        <f aca="false">F1550&amp;"-"&amp;G1550</f>
        <v>U-A</v>
      </c>
      <c r="I1550" s="4" t="n">
        <f aca="false">(F1550="G")+(G1550="G")</f>
        <v>0</v>
      </c>
      <c r="J1550" s="4" t="n">
        <f aca="false">(F1550="C")+(G1550="C")</f>
        <v>0</v>
      </c>
      <c r="K1550" s="3" t="n">
        <f aca="false">I1550+J1550</f>
        <v>0</v>
      </c>
    </row>
    <row r="1551" customFormat="false" ht="15" hidden="false" customHeight="false" outlineLevel="0" collapsed="false">
      <c r="A1551" s="4" t="s">
        <v>92</v>
      </c>
      <c r="B1551" s="4" t="s">
        <v>425</v>
      </c>
      <c r="C1551" s="4" t="s">
        <v>250</v>
      </c>
      <c r="D1551" s="4" t="n">
        <f aca="false">IFERROR(INDEX(Positions!$D$2:$D$6912,MATCH($A1551&amp;"|12",Positions!$A$2:$A$6912,0)),"-")</f>
        <v>12</v>
      </c>
      <c r="E1551" s="4" t="n">
        <f aca="false">IFERROR(INDEX(Positions!$D$2:$D$6912,MATCH($A1551&amp;"|23",Positions!$A$2:$A$6912,0)),"-")</f>
        <v>23</v>
      </c>
      <c r="F1551" s="4" t="str">
        <f aca="false">IFERROR(INDEX(Positions!$E$2:$E$6912,MATCH($A1551&amp;"|12",Positions!$A$2:$A$6912,0)),"-")</f>
        <v>A</v>
      </c>
      <c r="G1551" s="4" t="str">
        <f aca="false">IFERROR(INDEX(Positions!$E$2:$E$6912,MATCH($A1551&amp;"|23",Positions!$A$2:$A$6912,0)),"-")</f>
        <v>U</v>
      </c>
      <c r="H1551" s="3" t="str">
        <f aca="false">F1551&amp;"-"&amp;G1551</f>
        <v>A-U</v>
      </c>
      <c r="I1551" s="4" t="n">
        <f aca="false">(F1551="G")+(G1551="G")</f>
        <v>0</v>
      </c>
      <c r="J1551" s="4" t="n">
        <f aca="false">(F1551="C")+(G1551="C")</f>
        <v>0</v>
      </c>
      <c r="K1551" s="3" t="n">
        <f aca="false">I1551+J1551</f>
        <v>0</v>
      </c>
    </row>
    <row r="1552" customFormat="false" ht="15" hidden="false" customHeight="false" outlineLevel="0" collapsed="false">
      <c r="A1552" s="4" t="s">
        <v>92</v>
      </c>
      <c r="B1552" s="4" t="s">
        <v>425</v>
      </c>
      <c r="C1552" s="4" t="s">
        <v>154</v>
      </c>
      <c r="D1552" s="4" t="n">
        <f aca="false">IFERROR(INDEX(Positions!$D$2:$D$6912,MATCH($A1552&amp;"|13",Positions!$A$2:$A$6912,0)),"-")</f>
        <v>13</v>
      </c>
      <c r="E1552" s="4" t="n">
        <f aca="false">IFERROR(INDEX(Positions!$D$2:$D$6912,MATCH($A1552&amp;"|22",Positions!$A$2:$A$6912,0)),"-")</f>
        <v>22</v>
      </c>
      <c r="F1552" s="4" t="str">
        <f aca="false">IFERROR(INDEX(Positions!$E$2:$E$6912,MATCH($A1552&amp;"|13",Positions!$A$2:$A$6912,0)),"-")</f>
        <v>U</v>
      </c>
      <c r="G1552" s="4" t="str">
        <f aca="false">IFERROR(INDEX(Positions!$E$2:$E$6912,MATCH($A1552&amp;"|22",Positions!$A$2:$A$6912,0)),"-")</f>
        <v>G</v>
      </c>
      <c r="H1552" s="3" t="str">
        <f aca="false">F1552&amp;"-"&amp;G1552</f>
        <v>U-G</v>
      </c>
      <c r="I1552" s="4" t="n">
        <f aca="false">(F1552="G")+(G1552="G")</f>
        <v>1</v>
      </c>
      <c r="J1552" s="4" t="n">
        <f aca="false">(F1552="C")+(G1552="C")</f>
        <v>0</v>
      </c>
      <c r="K1552" s="3" t="n">
        <f aca="false">I1552+J1552</f>
        <v>1</v>
      </c>
    </row>
    <row r="1553" customFormat="false" ht="15" hidden="false" customHeight="false" outlineLevel="0" collapsed="false">
      <c r="A1553" s="4" t="s">
        <v>92</v>
      </c>
      <c r="B1553" s="4" t="s">
        <v>446</v>
      </c>
      <c r="C1553" s="4" t="s">
        <v>524</v>
      </c>
      <c r="D1553" s="4" t="n">
        <f aca="false">IFERROR(INDEX(Positions!$D$2:$D$6912,MATCH($A1553&amp;"|27",Positions!$A$2:$A$6912,0)),"-")</f>
        <v>27</v>
      </c>
      <c r="E1553" s="4" t="n">
        <f aca="false">IFERROR(INDEX(Positions!$D$2:$D$6912,MATCH($A1553&amp;"|43",Positions!$A$2:$A$6912,0)),"-")</f>
        <v>43</v>
      </c>
      <c r="F1553" s="4" t="str">
        <f aca="false">IFERROR(INDEX(Positions!$E$2:$E$6912,MATCH($A1553&amp;"|27",Positions!$A$2:$A$6912,0)),"-")</f>
        <v>C</v>
      </c>
      <c r="G1553" s="4" t="str">
        <f aca="false">IFERROR(INDEX(Positions!$E$2:$E$6912,MATCH($A1553&amp;"|43",Positions!$A$2:$A$6912,0)),"-")</f>
        <v>G</v>
      </c>
      <c r="H1553" s="3" t="str">
        <f aca="false">F1553&amp;"-"&amp;G1553</f>
        <v>C-G</v>
      </c>
      <c r="I1553" s="4" t="n">
        <f aca="false">(F1553="G")+(G1553="G")</f>
        <v>1</v>
      </c>
      <c r="J1553" s="4" t="n">
        <f aca="false">(F1553="C")+(G1553="C")</f>
        <v>1</v>
      </c>
      <c r="K1553" s="3" t="n">
        <f aca="false">I1553+J1553</f>
        <v>2</v>
      </c>
    </row>
    <row r="1554" customFormat="false" ht="15" hidden="false" customHeight="false" outlineLevel="0" collapsed="false">
      <c r="A1554" s="4" t="s">
        <v>92</v>
      </c>
      <c r="B1554" s="4" t="s">
        <v>446</v>
      </c>
      <c r="C1554" s="4" t="s">
        <v>525</v>
      </c>
      <c r="D1554" s="4" t="n">
        <f aca="false">IFERROR(INDEX(Positions!$D$2:$D$6912,MATCH($A1554&amp;"|28",Positions!$A$2:$A$6912,0)),"-")</f>
        <v>28</v>
      </c>
      <c r="E1554" s="4" t="n">
        <f aca="false">IFERROR(INDEX(Positions!$D$2:$D$6912,MATCH($A1554&amp;"|42",Positions!$A$2:$A$6912,0)),"-")</f>
        <v>42</v>
      </c>
      <c r="F1554" s="4" t="str">
        <f aca="false">IFERROR(INDEX(Positions!$E$2:$E$6912,MATCH($A1554&amp;"|28",Positions!$A$2:$A$6912,0)),"-")</f>
        <v>C</v>
      </c>
      <c r="G1554" s="4" t="str">
        <f aca="false">IFERROR(INDEX(Positions!$E$2:$E$6912,MATCH($A1554&amp;"|42",Positions!$A$2:$A$6912,0)),"-")</f>
        <v>G</v>
      </c>
      <c r="H1554" s="3" t="str">
        <f aca="false">F1554&amp;"-"&amp;G1554</f>
        <v>C-G</v>
      </c>
      <c r="I1554" s="4" t="n">
        <f aca="false">(F1554="G")+(G1554="G")</f>
        <v>1</v>
      </c>
      <c r="J1554" s="4" t="n">
        <f aca="false">(F1554="C")+(G1554="C")</f>
        <v>1</v>
      </c>
      <c r="K1554" s="3" t="n">
        <f aca="false">I1554+J1554</f>
        <v>2</v>
      </c>
    </row>
    <row r="1555" customFormat="false" ht="15" hidden="false" customHeight="false" outlineLevel="0" collapsed="false">
      <c r="A1555" s="4" t="s">
        <v>92</v>
      </c>
      <c r="B1555" s="4" t="s">
        <v>446</v>
      </c>
      <c r="C1555" s="4" t="s">
        <v>256</v>
      </c>
      <c r="D1555" s="4" t="n">
        <f aca="false">IFERROR(INDEX(Positions!$D$2:$D$6912,MATCH($A1555&amp;"|29",Positions!$A$2:$A$6912,0)),"-")</f>
        <v>29</v>
      </c>
      <c r="E1555" s="4" t="n">
        <f aca="false">IFERROR(INDEX(Positions!$D$2:$D$6912,MATCH($A1555&amp;"|41",Positions!$A$2:$A$6912,0)),"-")</f>
        <v>41</v>
      </c>
      <c r="F1555" s="4" t="str">
        <f aca="false">IFERROR(INDEX(Positions!$E$2:$E$6912,MATCH($A1555&amp;"|29",Positions!$A$2:$A$6912,0)),"-")</f>
        <v>C</v>
      </c>
      <c r="G1555" s="4" t="str">
        <f aca="false">IFERROR(INDEX(Positions!$E$2:$E$6912,MATCH($A1555&amp;"|41",Positions!$A$2:$A$6912,0)),"-")</f>
        <v>G</v>
      </c>
      <c r="H1555" s="3" t="str">
        <f aca="false">F1555&amp;"-"&amp;G1555</f>
        <v>C-G</v>
      </c>
      <c r="I1555" s="4" t="n">
        <f aca="false">(F1555="G")+(G1555="G")</f>
        <v>1</v>
      </c>
      <c r="J1555" s="4" t="n">
        <f aca="false">(F1555="C")+(G1555="C")</f>
        <v>1</v>
      </c>
      <c r="K1555" s="3" t="n">
        <f aca="false">I1555+J1555</f>
        <v>2</v>
      </c>
    </row>
    <row r="1556" customFormat="false" ht="15" hidden="false" customHeight="false" outlineLevel="0" collapsed="false">
      <c r="A1556" s="4" t="s">
        <v>92</v>
      </c>
      <c r="B1556" s="4" t="s">
        <v>446</v>
      </c>
      <c r="C1556" s="4" t="s">
        <v>526</v>
      </c>
      <c r="D1556" s="4" t="n">
        <f aca="false">IFERROR(INDEX(Positions!$D$2:$D$6912,MATCH($A1556&amp;"|30",Positions!$A$2:$A$6912,0)),"-")</f>
        <v>30</v>
      </c>
      <c r="E1556" s="4" t="n">
        <f aca="false">IFERROR(INDEX(Positions!$D$2:$D$6912,MATCH($A1556&amp;"|40",Positions!$A$2:$A$6912,0)),"-")</f>
        <v>40</v>
      </c>
      <c r="F1556" s="4" t="str">
        <f aca="false">IFERROR(INDEX(Positions!$E$2:$E$6912,MATCH($A1556&amp;"|30",Positions!$A$2:$A$6912,0)),"-")</f>
        <v>G</v>
      </c>
      <c r="G1556" s="4" t="str">
        <f aca="false">IFERROR(INDEX(Positions!$E$2:$E$6912,MATCH($A1556&amp;"|40",Positions!$A$2:$A$6912,0)),"-")</f>
        <v>C</v>
      </c>
      <c r="H1556" s="3" t="str">
        <f aca="false">F1556&amp;"-"&amp;G1556</f>
        <v>G-C</v>
      </c>
      <c r="I1556" s="4" t="n">
        <f aca="false">(F1556="G")+(G1556="G")</f>
        <v>1</v>
      </c>
      <c r="J1556" s="4" t="n">
        <f aca="false">(F1556="C")+(G1556="C")</f>
        <v>1</v>
      </c>
      <c r="K1556" s="3" t="n">
        <f aca="false">I1556+J1556</f>
        <v>2</v>
      </c>
    </row>
    <row r="1557" customFormat="false" ht="15" hidden="false" customHeight="false" outlineLevel="0" collapsed="false">
      <c r="A1557" s="4" t="s">
        <v>92</v>
      </c>
      <c r="B1557" s="4" t="s">
        <v>446</v>
      </c>
      <c r="C1557" s="4" t="s">
        <v>273</v>
      </c>
      <c r="D1557" s="4" t="n">
        <f aca="false">IFERROR(INDEX(Positions!$D$2:$D$6912,MATCH($A1557&amp;"|31",Positions!$A$2:$A$6912,0)),"-")</f>
        <v>31</v>
      </c>
      <c r="E1557" s="4" t="n">
        <f aca="false">IFERROR(INDEX(Positions!$D$2:$D$6912,MATCH($A1557&amp;"|39",Positions!$A$2:$A$6912,0)),"-")</f>
        <v>39</v>
      </c>
      <c r="F1557" s="4" t="str">
        <f aca="false">IFERROR(INDEX(Positions!$E$2:$E$6912,MATCH($A1557&amp;"|31",Positions!$A$2:$A$6912,0)),"-")</f>
        <v>C</v>
      </c>
      <c r="G1557" s="4" t="str">
        <f aca="false">IFERROR(INDEX(Positions!$E$2:$E$6912,MATCH($A1557&amp;"|39",Positions!$A$2:$A$6912,0)),"-")</f>
        <v>G</v>
      </c>
      <c r="H1557" s="3" t="str">
        <f aca="false">F1557&amp;"-"&amp;G1557</f>
        <v>C-G</v>
      </c>
      <c r="I1557" s="4" t="n">
        <f aca="false">(F1557="G")+(G1557="G")</f>
        <v>1</v>
      </c>
      <c r="J1557" s="4" t="n">
        <f aca="false">(F1557="C")+(G1557="C")</f>
        <v>1</v>
      </c>
      <c r="K1557" s="3" t="n">
        <f aca="false">I1557+J1557</f>
        <v>2</v>
      </c>
    </row>
    <row r="1558" customFormat="false" ht="15" hidden="false" customHeight="false" outlineLevel="0" collapsed="false">
      <c r="A1558" s="4" t="s">
        <v>92</v>
      </c>
      <c r="B1558" s="4" t="s">
        <v>471</v>
      </c>
      <c r="C1558" s="4" t="s">
        <v>367</v>
      </c>
      <c r="D1558" s="4" t="n">
        <f aca="false">IFERROR(INDEX(Positions!$D$2:$D$6912,MATCH($A1558&amp;"|49",Positions!$A$2:$A$6912,0)),"-")</f>
        <v>48</v>
      </c>
      <c r="E1558" s="4" t="n">
        <f aca="false">IFERROR(INDEX(Positions!$D$2:$D$6912,MATCH($A1558&amp;"|65",Positions!$A$2:$A$6912,0)),"-")</f>
        <v>64</v>
      </c>
      <c r="F1558" s="4" t="str">
        <f aca="false">IFERROR(INDEX(Positions!$E$2:$E$6912,MATCH($A1558&amp;"|49",Positions!$A$2:$A$6912,0)),"-")</f>
        <v>C</v>
      </c>
      <c r="G1558" s="4" t="str">
        <f aca="false">IFERROR(INDEX(Positions!$E$2:$E$6912,MATCH($A1558&amp;"|65",Positions!$A$2:$A$6912,0)),"-")</f>
        <v>G</v>
      </c>
      <c r="H1558" s="3" t="str">
        <f aca="false">F1558&amp;"-"&amp;G1558</f>
        <v>C-G</v>
      </c>
      <c r="I1558" s="4" t="n">
        <f aca="false">(F1558="G")+(G1558="G")</f>
        <v>1</v>
      </c>
      <c r="J1558" s="4" t="n">
        <f aca="false">(F1558="C")+(G1558="C")</f>
        <v>1</v>
      </c>
      <c r="K1558" s="3" t="n">
        <f aca="false">I1558+J1558</f>
        <v>2</v>
      </c>
    </row>
    <row r="1559" customFormat="false" ht="15" hidden="false" customHeight="false" outlineLevel="0" collapsed="false">
      <c r="A1559" s="4" t="s">
        <v>92</v>
      </c>
      <c r="B1559" s="4" t="s">
        <v>471</v>
      </c>
      <c r="C1559" s="4" t="s">
        <v>233</v>
      </c>
      <c r="D1559" s="4" t="n">
        <f aca="false">IFERROR(INDEX(Positions!$D$2:$D$6912,MATCH($A1559&amp;"|50",Positions!$A$2:$A$6912,0)),"-")</f>
        <v>49</v>
      </c>
      <c r="E1559" s="4" t="n">
        <f aca="false">IFERROR(INDEX(Positions!$D$2:$D$6912,MATCH($A1559&amp;"|64",Positions!$A$2:$A$6912,0)),"-")</f>
        <v>63</v>
      </c>
      <c r="F1559" s="4" t="str">
        <f aca="false">IFERROR(INDEX(Positions!$E$2:$E$6912,MATCH($A1559&amp;"|50",Positions!$A$2:$A$6912,0)),"-")</f>
        <v>G</v>
      </c>
      <c r="G1559" s="4" t="str">
        <f aca="false">IFERROR(INDEX(Positions!$E$2:$E$6912,MATCH($A1559&amp;"|64",Positions!$A$2:$A$6912,0)),"-")</f>
        <v>C</v>
      </c>
      <c r="H1559" s="3" t="str">
        <f aca="false">F1559&amp;"-"&amp;G1559</f>
        <v>G-C</v>
      </c>
      <c r="I1559" s="4" t="n">
        <f aca="false">(F1559="G")+(G1559="G")</f>
        <v>1</v>
      </c>
      <c r="J1559" s="4" t="n">
        <f aca="false">(F1559="C")+(G1559="C")</f>
        <v>1</v>
      </c>
      <c r="K1559" s="3" t="n">
        <f aca="false">I1559+J1559</f>
        <v>2</v>
      </c>
    </row>
    <row r="1560" customFormat="false" ht="15" hidden="false" customHeight="false" outlineLevel="0" collapsed="false">
      <c r="A1560" s="4" t="s">
        <v>92</v>
      </c>
      <c r="B1560" s="4" t="s">
        <v>471</v>
      </c>
      <c r="C1560" s="4" t="s">
        <v>527</v>
      </c>
      <c r="D1560" s="4" t="n">
        <f aca="false">IFERROR(INDEX(Positions!$D$2:$D$6912,MATCH($A1560&amp;"|51",Positions!$A$2:$A$6912,0)),"-")</f>
        <v>50</v>
      </c>
      <c r="E1560" s="4" t="n">
        <f aca="false">IFERROR(INDEX(Positions!$D$2:$D$6912,MATCH($A1560&amp;"|63",Positions!$A$2:$A$6912,0)),"-")</f>
        <v>62</v>
      </c>
      <c r="F1560" s="4" t="str">
        <f aca="false">IFERROR(INDEX(Positions!$E$2:$E$6912,MATCH($A1560&amp;"|51",Positions!$A$2:$A$6912,0)),"-")</f>
        <v>G</v>
      </c>
      <c r="G1560" s="4" t="str">
        <f aca="false">IFERROR(INDEX(Positions!$E$2:$E$6912,MATCH($A1560&amp;"|63",Positions!$A$2:$A$6912,0)),"-")</f>
        <v>C</v>
      </c>
      <c r="H1560" s="3" t="str">
        <f aca="false">F1560&amp;"-"&amp;G1560</f>
        <v>G-C</v>
      </c>
      <c r="I1560" s="4" t="n">
        <f aca="false">(F1560="G")+(G1560="G")</f>
        <v>1</v>
      </c>
      <c r="J1560" s="4" t="n">
        <f aca="false">(F1560="C")+(G1560="C")</f>
        <v>1</v>
      </c>
      <c r="K1560" s="3" t="n">
        <f aca="false">I1560+J1560</f>
        <v>2</v>
      </c>
    </row>
    <row r="1561" customFormat="false" ht="15" hidden="false" customHeight="false" outlineLevel="0" collapsed="false">
      <c r="A1561" s="4" t="s">
        <v>92</v>
      </c>
      <c r="B1561" s="4" t="s">
        <v>471</v>
      </c>
      <c r="C1561" s="4" t="s">
        <v>528</v>
      </c>
      <c r="D1561" s="4" t="n">
        <f aca="false">IFERROR(INDEX(Positions!$D$2:$D$6912,MATCH($A1561&amp;"|52",Positions!$A$2:$A$6912,0)),"-")</f>
        <v>51</v>
      </c>
      <c r="E1561" s="4" t="n">
        <f aca="false">IFERROR(INDEX(Positions!$D$2:$D$6912,MATCH($A1561&amp;"|62",Positions!$A$2:$A$6912,0)),"-")</f>
        <v>61</v>
      </c>
      <c r="F1561" s="4" t="str">
        <f aca="false">IFERROR(INDEX(Positions!$E$2:$E$6912,MATCH($A1561&amp;"|52",Positions!$A$2:$A$6912,0)),"-")</f>
        <v>G</v>
      </c>
      <c r="G1561" s="4" t="str">
        <f aca="false">IFERROR(INDEX(Positions!$E$2:$E$6912,MATCH($A1561&amp;"|62",Positions!$A$2:$A$6912,0)),"-")</f>
        <v>C</v>
      </c>
      <c r="H1561" s="3" t="str">
        <f aca="false">F1561&amp;"-"&amp;G1561</f>
        <v>G-C</v>
      </c>
      <c r="I1561" s="4" t="n">
        <f aca="false">(F1561="G")+(G1561="G")</f>
        <v>1</v>
      </c>
      <c r="J1561" s="4" t="n">
        <f aca="false">(F1561="C")+(G1561="C")</f>
        <v>1</v>
      </c>
      <c r="K1561" s="3" t="n">
        <f aca="false">I1561+J1561</f>
        <v>2</v>
      </c>
    </row>
    <row r="1562" customFormat="false" ht="15" hidden="false" customHeight="false" outlineLevel="0" collapsed="false">
      <c r="A1562" s="4" t="s">
        <v>92</v>
      </c>
      <c r="B1562" s="4" t="s">
        <v>471</v>
      </c>
      <c r="C1562" s="4" t="s">
        <v>529</v>
      </c>
      <c r="D1562" s="4" t="n">
        <f aca="false">IFERROR(INDEX(Positions!$D$2:$D$6912,MATCH($A1562&amp;"|53",Positions!$A$2:$A$6912,0)),"-")</f>
        <v>52</v>
      </c>
      <c r="E1562" s="4" t="n">
        <f aca="false">IFERROR(INDEX(Positions!$D$2:$D$6912,MATCH($A1562&amp;"|61",Positions!$A$2:$A$6912,0)),"-")</f>
        <v>60</v>
      </c>
      <c r="F1562" s="4" t="str">
        <f aca="false">IFERROR(INDEX(Positions!$E$2:$E$6912,MATCH($A1562&amp;"|53",Positions!$A$2:$A$6912,0)),"-")</f>
        <v>G</v>
      </c>
      <c r="G1562" s="4" t="str">
        <f aca="false">IFERROR(INDEX(Positions!$E$2:$E$6912,MATCH($A1562&amp;"|61",Positions!$A$2:$A$6912,0)),"-")</f>
        <v>C</v>
      </c>
      <c r="H1562" s="3" t="str">
        <f aca="false">F1562&amp;"-"&amp;G1562</f>
        <v>G-C</v>
      </c>
      <c r="I1562" s="4" t="n">
        <f aca="false">(F1562="G")+(G1562="G")</f>
        <v>1</v>
      </c>
      <c r="J1562" s="4" t="n">
        <f aca="false">(F1562="C")+(G1562="C")</f>
        <v>1</v>
      </c>
      <c r="K1562" s="3" t="n">
        <f aca="false">I1562+J1562</f>
        <v>2</v>
      </c>
    </row>
    <row r="1563" customFormat="false" ht="15" hidden="false" customHeight="false" outlineLevel="0" collapsed="false">
      <c r="A1563" s="24" t="s">
        <v>92</v>
      </c>
      <c r="B1563" s="24" t="s">
        <v>530</v>
      </c>
      <c r="C1563" s="24" t="s">
        <v>531</v>
      </c>
      <c r="D1563" s="24" t="n">
        <f aca="false">IFERROR(INDEX(Positions!$D$2:$D$6912,MATCH($A1563&amp;"|8",Positions!$A$2:$A$6912,0)),"-")</f>
        <v>8</v>
      </c>
      <c r="E1563" s="24" t="n">
        <f aca="false">IFERROR(INDEX(Positions!$D$2:$D$6912,MATCH($A1563&amp;"|14",Positions!$A$2:$A$6912,0)),"-")</f>
        <v>14</v>
      </c>
      <c r="F1563" s="24" t="str">
        <f aca="false">IFERROR(INDEX(Positions!$E$2:$E$6912,MATCH($A1563&amp;"|8",Positions!$A$2:$A$6912,0)),"-")</f>
        <v>U</v>
      </c>
      <c r="G1563" s="24" t="str">
        <f aca="false">IFERROR(INDEX(Positions!$E$2:$E$6912,MATCH($A1563&amp;"|14",Positions!$A$2:$A$6912,0)),"-")</f>
        <v>A</v>
      </c>
      <c r="H1563" s="25" t="str">
        <f aca="false">F1563&amp;"-"&amp;G1563</f>
        <v>U-A</v>
      </c>
      <c r="I1563" s="24" t="n">
        <f aca="false">(F1563="G")+(G1563="G")</f>
        <v>0</v>
      </c>
      <c r="J1563" s="24" t="n">
        <f aca="false">(F1563="C")+(G1563="C")</f>
        <v>0</v>
      </c>
      <c r="K1563" s="25" t="n">
        <f aca="false">I1563+J1563</f>
        <v>0</v>
      </c>
    </row>
    <row r="1564" customFormat="false" ht="15" hidden="false" customHeight="false" outlineLevel="0" collapsed="false">
      <c r="A1564" s="24" t="s">
        <v>92</v>
      </c>
      <c r="B1564" s="24" t="s">
        <v>530</v>
      </c>
      <c r="C1564" s="24" t="s">
        <v>532</v>
      </c>
      <c r="D1564" s="24" t="n">
        <f aca="false">IFERROR(INDEX(Positions!$D$2:$D$6912,MATCH($A1564&amp;"|15",Positions!$A$2:$A$6912,0)),"-")</f>
        <v>15</v>
      </c>
      <c r="E1564" s="24" t="n">
        <f aca="false">IFERROR(INDEX(Positions!$D$2:$D$6912,MATCH($A1564&amp;"|48",Positions!$A$2:$A$6912,0)),"-")</f>
        <v>47</v>
      </c>
      <c r="F1564" s="24" t="str">
        <f aca="false">IFERROR(INDEX(Positions!$E$2:$E$6912,MATCH($A1564&amp;"|15",Positions!$A$2:$A$6912,0)),"-")</f>
        <v>G</v>
      </c>
      <c r="G1564" s="24" t="str">
        <f aca="false">IFERROR(INDEX(Positions!$E$2:$E$6912,MATCH($A1564&amp;"|48",Positions!$A$2:$A$6912,0)),"-")</f>
        <v>C</v>
      </c>
      <c r="H1564" s="25" t="str">
        <f aca="false">F1564&amp;"-"&amp;G1564</f>
        <v>G-C</v>
      </c>
      <c r="I1564" s="24" t="n">
        <f aca="false">(F1564="G")+(G1564="G")</f>
        <v>1</v>
      </c>
      <c r="J1564" s="24" t="n">
        <f aca="false">(F1564="C")+(G1564="C")</f>
        <v>1</v>
      </c>
      <c r="K1564" s="25" t="n">
        <f aca="false">I1564+J1564</f>
        <v>2</v>
      </c>
    </row>
    <row r="1565" customFormat="false" ht="15" hidden="false" customHeight="false" outlineLevel="0" collapsed="false">
      <c r="A1565" s="24" t="s">
        <v>92</v>
      </c>
      <c r="B1565" s="24" t="s">
        <v>530</v>
      </c>
      <c r="C1565" s="24" t="s">
        <v>533</v>
      </c>
      <c r="D1565" s="24" t="n">
        <f aca="false">IFERROR(INDEX(Positions!$D$2:$D$6912,MATCH($A1565&amp;"|18",Positions!$A$2:$A$6912,0)),"-")</f>
        <v>17</v>
      </c>
      <c r="E1565" s="24" t="n">
        <f aca="false">IFERROR(INDEX(Positions!$D$2:$D$6912,MATCH($A1565&amp;"|55",Positions!$A$2:$A$6912,0)),"-")</f>
        <v>54</v>
      </c>
      <c r="F1565" s="24" t="str">
        <f aca="false">IFERROR(INDEX(Positions!$E$2:$E$6912,MATCH($A1565&amp;"|18",Positions!$A$2:$A$6912,0)),"-")</f>
        <v>G</v>
      </c>
      <c r="G1565" s="24" t="str">
        <f aca="false">IFERROR(INDEX(Positions!$E$2:$E$6912,MATCH($A1565&amp;"|55",Positions!$A$2:$A$6912,0)),"-")</f>
        <v>U</v>
      </c>
      <c r="H1565" s="25" t="str">
        <f aca="false">F1565&amp;"-"&amp;G1565</f>
        <v>G-U</v>
      </c>
      <c r="I1565" s="24" t="n">
        <f aca="false">(F1565="G")+(G1565="G")</f>
        <v>1</v>
      </c>
      <c r="J1565" s="24" t="n">
        <f aca="false">(F1565="C")+(G1565="C")</f>
        <v>0</v>
      </c>
      <c r="K1565" s="25" t="n">
        <f aca="false">I1565+J1565</f>
        <v>1</v>
      </c>
    </row>
    <row r="1566" customFormat="false" ht="15" hidden="false" customHeight="false" outlineLevel="0" collapsed="false">
      <c r="A1566" s="24" t="s">
        <v>92</v>
      </c>
      <c r="B1566" s="24" t="s">
        <v>530</v>
      </c>
      <c r="C1566" s="24" t="s">
        <v>534</v>
      </c>
      <c r="D1566" s="24" t="n">
        <f aca="false">IFERROR(INDEX(Positions!$D$2:$D$6912,MATCH($A1566&amp;"|19",Positions!$A$2:$A$6912,0)),"-")</f>
        <v>18</v>
      </c>
      <c r="E1566" s="24" t="n">
        <f aca="false">IFERROR(INDEX(Positions!$D$2:$D$6912,MATCH($A1566&amp;"|56",Positions!$A$2:$A$6912,0)),"-")</f>
        <v>55</v>
      </c>
      <c r="F1566" s="24" t="str">
        <f aca="false">IFERROR(INDEX(Positions!$E$2:$E$6912,MATCH($A1566&amp;"|19",Positions!$A$2:$A$6912,0)),"-")</f>
        <v>G</v>
      </c>
      <c r="G1566" s="24" t="str">
        <f aca="false">IFERROR(INDEX(Positions!$E$2:$E$6912,MATCH($A1566&amp;"|56",Positions!$A$2:$A$6912,0)),"-")</f>
        <v>C</v>
      </c>
      <c r="H1566" s="25" t="str">
        <f aca="false">F1566&amp;"-"&amp;G1566</f>
        <v>G-C</v>
      </c>
      <c r="I1566" s="24" t="n">
        <f aca="false">(F1566="G")+(G1566="G")</f>
        <v>1</v>
      </c>
      <c r="J1566" s="24" t="n">
        <f aca="false">(F1566="C")+(G1566="C")</f>
        <v>1</v>
      </c>
      <c r="K1566" s="25" t="n">
        <f aca="false">I1566+J1566</f>
        <v>2</v>
      </c>
    </row>
    <row r="1567" customFormat="false" ht="15" hidden="false" customHeight="false" outlineLevel="0" collapsed="false">
      <c r="A1567" s="24" t="s">
        <v>92</v>
      </c>
      <c r="B1567" s="24" t="s">
        <v>530</v>
      </c>
      <c r="C1567" s="24" t="s">
        <v>535</v>
      </c>
      <c r="D1567" s="24" t="n">
        <f aca="false">IFERROR(INDEX(Positions!$D$2:$D$6912,MATCH($A1567&amp;"|26",Positions!$A$2:$A$6912,0)),"-")</f>
        <v>26</v>
      </c>
      <c r="E1567" s="24" t="n">
        <f aca="false">IFERROR(INDEX(Positions!$D$2:$D$6912,MATCH($A1567&amp;"|44",Positions!$A$2:$A$6912,0)),"-")</f>
        <v>44</v>
      </c>
      <c r="F1567" s="24" t="str">
        <f aca="false">IFERROR(INDEX(Positions!$E$2:$E$6912,MATCH($A1567&amp;"|26",Positions!$A$2:$A$6912,0)),"-")</f>
        <v>C</v>
      </c>
      <c r="G1567" s="24" t="str">
        <f aca="false">IFERROR(INDEX(Positions!$E$2:$E$6912,MATCH($A1567&amp;"|44",Positions!$A$2:$A$6912,0)),"-")</f>
        <v>A</v>
      </c>
      <c r="H1567" s="25" t="str">
        <f aca="false">F1567&amp;"-"&amp;G1567</f>
        <v>C-A</v>
      </c>
      <c r="I1567" s="24" t="n">
        <f aca="false">(F1567="G")+(G1567="G")</f>
        <v>0</v>
      </c>
      <c r="J1567" s="24" t="n">
        <f aca="false">(F1567="C")+(G1567="C")</f>
        <v>1</v>
      </c>
      <c r="K1567" s="25" t="n">
        <f aca="false">I1567+J1567</f>
        <v>1</v>
      </c>
    </row>
    <row r="1568" customFormat="false" ht="15" hidden="false" customHeight="false" outlineLevel="0" collapsed="false">
      <c r="A1568" s="24" t="s">
        <v>92</v>
      </c>
      <c r="B1568" s="24" t="s">
        <v>530</v>
      </c>
      <c r="C1568" s="24" t="s">
        <v>536</v>
      </c>
      <c r="D1568" s="24" t="n">
        <f aca="false">IFERROR(INDEX(Positions!$D$2:$D$6912,MATCH($A1568&amp;"|32",Positions!$A$2:$A$6912,0)),"-")</f>
        <v>32</v>
      </c>
      <c r="E1568" s="24" t="n">
        <f aca="false">IFERROR(INDEX(Positions!$D$2:$D$6912,MATCH($A1568&amp;"|38",Positions!$A$2:$A$6912,0)),"-")</f>
        <v>38</v>
      </c>
      <c r="F1568" s="24" t="str">
        <f aca="false">IFERROR(INDEX(Positions!$E$2:$E$6912,MATCH($A1568&amp;"|32",Positions!$A$2:$A$6912,0)),"-")</f>
        <v>U</v>
      </c>
      <c r="G1568" s="24" t="str">
        <f aca="false">IFERROR(INDEX(Positions!$E$2:$E$6912,MATCH($A1568&amp;"|38",Positions!$A$2:$A$6912,0)),"-")</f>
        <v>C</v>
      </c>
      <c r="H1568" s="25" t="str">
        <f aca="false">F1568&amp;"-"&amp;G1568</f>
        <v>U-C</v>
      </c>
      <c r="I1568" s="24" t="n">
        <f aca="false">(F1568="G")+(G1568="G")</f>
        <v>0</v>
      </c>
      <c r="J1568" s="24" t="n">
        <f aca="false">(F1568="C")+(G1568="C")</f>
        <v>1</v>
      </c>
      <c r="K1568" s="25" t="n">
        <f aca="false">I1568+J1568</f>
        <v>1</v>
      </c>
    </row>
    <row r="1569" customFormat="false" ht="15" hidden="false" customHeight="false" outlineLevel="0" collapsed="false">
      <c r="A1569" s="24" t="s">
        <v>92</v>
      </c>
      <c r="B1569" s="24" t="s">
        <v>530</v>
      </c>
      <c r="C1569" s="24" t="s">
        <v>537</v>
      </c>
      <c r="D1569" s="24" t="n">
        <f aca="false">IFERROR(INDEX(Positions!$D$2:$D$6912,MATCH($A1569&amp;"|54",Positions!$A$2:$A$6912,0)),"-")</f>
        <v>53</v>
      </c>
      <c r="E1569" s="24" t="n">
        <f aca="false">IFERROR(INDEX(Positions!$D$2:$D$6912,MATCH($A1569&amp;"|58",Positions!$A$2:$A$6912,0)),"-")</f>
        <v>57</v>
      </c>
      <c r="F1569" s="24" t="str">
        <f aca="false">IFERROR(INDEX(Positions!$E$2:$E$6912,MATCH($A1569&amp;"|54",Positions!$A$2:$A$6912,0)),"-")</f>
        <v>U</v>
      </c>
      <c r="G1569" s="24" t="str">
        <f aca="false">IFERROR(INDEX(Positions!$E$2:$E$6912,MATCH($A1569&amp;"|58",Positions!$A$2:$A$6912,0)),"-")</f>
        <v>A</v>
      </c>
      <c r="H1569" s="25" t="str">
        <f aca="false">F1569&amp;"-"&amp;G1569</f>
        <v>U-A</v>
      </c>
      <c r="I1569" s="24" t="n">
        <f aca="false">(F1569="G")+(G1569="G")</f>
        <v>0</v>
      </c>
      <c r="J1569" s="24" t="n">
        <f aca="false">(F1569="C")+(G1569="C")</f>
        <v>0</v>
      </c>
      <c r="K1569" s="25" t="n">
        <f aca="false">I1569+J1569</f>
        <v>0</v>
      </c>
    </row>
    <row r="1570" customFormat="false" ht="15" hidden="false" customHeight="false" outlineLevel="0" collapsed="false">
      <c r="A1570" s="4" t="s">
        <v>93</v>
      </c>
      <c r="B1570" s="4" t="s">
        <v>412</v>
      </c>
      <c r="C1570" s="4" t="s">
        <v>517</v>
      </c>
      <c r="D1570" s="4" t="n">
        <f aca="false">IFERROR(INDEX(Positions!$D$2:$D$6912,MATCH($A1570&amp;"|1",Positions!$A$2:$A$6912,0)),"-")</f>
        <v>1</v>
      </c>
      <c r="E1570" s="4" t="n">
        <f aca="false">IFERROR(INDEX(Positions!$D$2:$D$6912,MATCH($A1570&amp;"|72",Positions!$A$2:$A$6912,0)),"-")</f>
        <v>72</v>
      </c>
      <c r="F1570" s="4" t="str">
        <f aca="false">IFERROR(INDEX(Positions!$E$2:$E$6912,MATCH($A1570&amp;"|1",Positions!$A$2:$A$6912,0)),"-")</f>
        <v>G</v>
      </c>
      <c r="G1570" s="4" t="str">
        <f aca="false">IFERROR(INDEX(Positions!$E$2:$E$6912,MATCH($A1570&amp;"|72",Positions!$A$2:$A$6912,0)),"-")</f>
        <v>C</v>
      </c>
      <c r="H1570" s="3" t="str">
        <f aca="false">F1570&amp;"-"&amp;G1570</f>
        <v>G-C</v>
      </c>
      <c r="I1570" s="4" t="n">
        <f aca="false">(F1570="G")+(G1570="G")</f>
        <v>1</v>
      </c>
      <c r="J1570" s="4" t="n">
        <f aca="false">(F1570="C")+(G1570="C")</f>
        <v>1</v>
      </c>
      <c r="K1570" s="3" t="n">
        <f aca="false">I1570+J1570</f>
        <v>2</v>
      </c>
    </row>
    <row r="1571" customFormat="false" ht="15" hidden="false" customHeight="false" outlineLevel="0" collapsed="false">
      <c r="A1571" s="4" t="s">
        <v>93</v>
      </c>
      <c r="B1571" s="4" t="s">
        <v>412</v>
      </c>
      <c r="C1571" s="4" t="s">
        <v>518</v>
      </c>
      <c r="D1571" s="4" t="n">
        <f aca="false">IFERROR(INDEX(Positions!$D$2:$D$6912,MATCH($A1571&amp;"|2",Positions!$A$2:$A$6912,0)),"-")</f>
        <v>2</v>
      </c>
      <c r="E1571" s="4" t="n">
        <f aca="false">IFERROR(INDEX(Positions!$D$2:$D$6912,MATCH($A1571&amp;"|71",Positions!$A$2:$A$6912,0)),"-")</f>
        <v>71</v>
      </c>
      <c r="F1571" s="4" t="str">
        <f aca="false">IFERROR(INDEX(Positions!$E$2:$E$6912,MATCH($A1571&amp;"|2",Positions!$A$2:$A$6912,0)),"-")</f>
        <v>U</v>
      </c>
      <c r="G1571" s="4" t="str">
        <f aca="false">IFERROR(INDEX(Positions!$E$2:$E$6912,MATCH($A1571&amp;"|71",Positions!$A$2:$A$6912,0)),"-")</f>
        <v>A</v>
      </c>
      <c r="H1571" s="3" t="str">
        <f aca="false">F1571&amp;"-"&amp;G1571</f>
        <v>U-A</v>
      </c>
      <c r="I1571" s="4" t="n">
        <f aca="false">(F1571="G")+(G1571="G")</f>
        <v>0</v>
      </c>
      <c r="J1571" s="4" t="n">
        <f aca="false">(F1571="C")+(G1571="C")</f>
        <v>0</v>
      </c>
      <c r="K1571" s="3" t="n">
        <f aca="false">I1571+J1571</f>
        <v>0</v>
      </c>
    </row>
    <row r="1572" customFormat="false" ht="15" hidden="false" customHeight="false" outlineLevel="0" collapsed="false">
      <c r="A1572" s="4" t="s">
        <v>93</v>
      </c>
      <c r="B1572" s="4" t="s">
        <v>412</v>
      </c>
      <c r="C1572" s="4" t="s">
        <v>386</v>
      </c>
      <c r="D1572" s="4" t="n">
        <f aca="false">IFERROR(INDEX(Positions!$D$2:$D$6912,MATCH($A1572&amp;"|3",Positions!$A$2:$A$6912,0)),"-")</f>
        <v>3</v>
      </c>
      <c r="E1572" s="4" t="n">
        <f aca="false">IFERROR(INDEX(Positions!$D$2:$D$6912,MATCH($A1572&amp;"|70",Positions!$A$2:$A$6912,0)),"-")</f>
        <v>70</v>
      </c>
      <c r="F1572" s="4" t="str">
        <f aca="false">IFERROR(INDEX(Positions!$E$2:$E$6912,MATCH($A1572&amp;"|3",Positions!$A$2:$A$6912,0)),"-")</f>
        <v>U</v>
      </c>
      <c r="G1572" s="4" t="str">
        <f aca="false">IFERROR(INDEX(Positions!$E$2:$E$6912,MATCH($A1572&amp;"|70",Positions!$A$2:$A$6912,0)),"-")</f>
        <v>A</v>
      </c>
      <c r="H1572" s="3" t="str">
        <f aca="false">F1572&amp;"-"&amp;G1572</f>
        <v>U-A</v>
      </c>
      <c r="I1572" s="4" t="n">
        <f aca="false">(F1572="G")+(G1572="G")</f>
        <v>0</v>
      </c>
      <c r="J1572" s="4" t="n">
        <f aca="false">(F1572="C")+(G1572="C")</f>
        <v>0</v>
      </c>
      <c r="K1572" s="3" t="n">
        <f aca="false">I1572+J1572</f>
        <v>0</v>
      </c>
    </row>
    <row r="1573" customFormat="false" ht="15" hidden="false" customHeight="false" outlineLevel="0" collapsed="false">
      <c r="A1573" s="4" t="s">
        <v>93</v>
      </c>
      <c r="B1573" s="4" t="s">
        <v>412</v>
      </c>
      <c r="C1573" s="4" t="s">
        <v>519</v>
      </c>
      <c r="D1573" s="4" t="n">
        <f aca="false">IFERROR(INDEX(Positions!$D$2:$D$6912,MATCH($A1573&amp;"|4",Positions!$A$2:$A$6912,0)),"-")</f>
        <v>4</v>
      </c>
      <c r="E1573" s="4" t="n">
        <f aca="false">IFERROR(INDEX(Positions!$D$2:$D$6912,MATCH($A1573&amp;"|69",Positions!$A$2:$A$6912,0)),"-")</f>
        <v>69</v>
      </c>
      <c r="F1573" s="4" t="str">
        <f aca="false">IFERROR(INDEX(Positions!$E$2:$E$6912,MATCH($A1573&amp;"|4",Positions!$A$2:$A$6912,0)),"-")</f>
        <v>U</v>
      </c>
      <c r="G1573" s="4" t="str">
        <f aca="false">IFERROR(INDEX(Positions!$E$2:$E$6912,MATCH($A1573&amp;"|69",Positions!$A$2:$A$6912,0)),"-")</f>
        <v>A</v>
      </c>
      <c r="H1573" s="3" t="str">
        <f aca="false">F1573&amp;"-"&amp;G1573</f>
        <v>U-A</v>
      </c>
      <c r="I1573" s="4" t="n">
        <f aca="false">(F1573="G")+(G1573="G")</f>
        <v>0</v>
      </c>
      <c r="J1573" s="4" t="n">
        <f aca="false">(F1573="C")+(G1573="C")</f>
        <v>0</v>
      </c>
      <c r="K1573" s="3" t="n">
        <f aca="false">I1573+J1573</f>
        <v>0</v>
      </c>
    </row>
    <row r="1574" customFormat="false" ht="15" hidden="false" customHeight="false" outlineLevel="0" collapsed="false">
      <c r="A1574" s="4" t="s">
        <v>93</v>
      </c>
      <c r="B1574" s="4" t="s">
        <v>412</v>
      </c>
      <c r="C1574" s="4" t="s">
        <v>283</v>
      </c>
      <c r="D1574" s="4" t="n">
        <f aca="false">IFERROR(INDEX(Positions!$D$2:$D$6912,MATCH($A1574&amp;"|5",Positions!$A$2:$A$6912,0)),"-")</f>
        <v>5</v>
      </c>
      <c r="E1574" s="4" t="n">
        <f aca="false">IFERROR(INDEX(Positions!$D$2:$D$6912,MATCH($A1574&amp;"|68",Positions!$A$2:$A$6912,0)),"-")</f>
        <v>68</v>
      </c>
      <c r="F1574" s="4" t="str">
        <f aca="false">IFERROR(INDEX(Positions!$E$2:$E$6912,MATCH($A1574&amp;"|5",Positions!$A$2:$A$6912,0)),"-")</f>
        <v>C</v>
      </c>
      <c r="G1574" s="4" t="str">
        <f aca="false">IFERROR(INDEX(Positions!$E$2:$E$6912,MATCH($A1574&amp;"|68",Positions!$A$2:$A$6912,0)),"-")</f>
        <v>G</v>
      </c>
      <c r="H1574" s="3" t="str">
        <f aca="false">F1574&amp;"-"&amp;G1574</f>
        <v>C-G</v>
      </c>
      <c r="I1574" s="4" t="n">
        <f aca="false">(F1574="G")+(G1574="G")</f>
        <v>1</v>
      </c>
      <c r="J1574" s="4" t="n">
        <f aca="false">(F1574="C")+(G1574="C")</f>
        <v>1</v>
      </c>
      <c r="K1574" s="3" t="n">
        <f aca="false">I1574+J1574</f>
        <v>2</v>
      </c>
    </row>
    <row r="1575" customFormat="false" ht="15" hidden="false" customHeight="false" outlineLevel="0" collapsed="false">
      <c r="A1575" s="4" t="s">
        <v>93</v>
      </c>
      <c r="B1575" s="4" t="s">
        <v>412</v>
      </c>
      <c r="C1575" s="4" t="s">
        <v>520</v>
      </c>
      <c r="D1575" s="4" t="n">
        <f aca="false">IFERROR(INDEX(Positions!$D$2:$D$6912,MATCH($A1575&amp;"|6",Positions!$A$2:$A$6912,0)),"-")</f>
        <v>6</v>
      </c>
      <c r="E1575" s="4" t="n">
        <f aca="false">IFERROR(INDEX(Positions!$D$2:$D$6912,MATCH($A1575&amp;"|67",Positions!$A$2:$A$6912,0)),"-")</f>
        <v>67</v>
      </c>
      <c r="F1575" s="4" t="str">
        <f aca="false">IFERROR(INDEX(Positions!$E$2:$E$6912,MATCH($A1575&amp;"|6",Positions!$A$2:$A$6912,0)),"-")</f>
        <v>C</v>
      </c>
      <c r="G1575" s="4" t="str">
        <f aca="false">IFERROR(INDEX(Positions!$E$2:$E$6912,MATCH($A1575&amp;"|67",Positions!$A$2:$A$6912,0)),"-")</f>
        <v>G</v>
      </c>
      <c r="H1575" s="3" t="str">
        <f aca="false">F1575&amp;"-"&amp;G1575</f>
        <v>C-G</v>
      </c>
      <c r="I1575" s="4" t="n">
        <f aca="false">(F1575="G")+(G1575="G")</f>
        <v>1</v>
      </c>
      <c r="J1575" s="4" t="n">
        <f aca="false">(F1575="C")+(G1575="C")</f>
        <v>1</v>
      </c>
      <c r="K1575" s="3" t="n">
        <f aca="false">I1575+J1575</f>
        <v>2</v>
      </c>
    </row>
    <row r="1576" customFormat="false" ht="15" hidden="false" customHeight="false" outlineLevel="0" collapsed="false">
      <c r="A1576" s="4" t="s">
        <v>93</v>
      </c>
      <c r="B1576" s="4" t="s">
        <v>412</v>
      </c>
      <c r="C1576" s="4" t="s">
        <v>521</v>
      </c>
      <c r="D1576" s="4" t="n">
        <f aca="false">IFERROR(INDEX(Positions!$D$2:$D$6912,MATCH($A1576&amp;"|7",Positions!$A$2:$A$6912,0)),"-")</f>
        <v>7</v>
      </c>
      <c r="E1576" s="4" t="n">
        <f aca="false">IFERROR(INDEX(Positions!$D$2:$D$6912,MATCH($A1576&amp;"|66",Positions!$A$2:$A$6912,0)),"-")</f>
        <v>66</v>
      </c>
      <c r="F1576" s="4" t="str">
        <f aca="false">IFERROR(INDEX(Positions!$E$2:$E$6912,MATCH($A1576&amp;"|7",Positions!$A$2:$A$6912,0)),"-")</f>
        <v>G</v>
      </c>
      <c r="G1576" s="4" t="str">
        <f aca="false">IFERROR(INDEX(Positions!$E$2:$E$6912,MATCH($A1576&amp;"|66",Positions!$A$2:$A$6912,0)),"-")</f>
        <v>C</v>
      </c>
      <c r="H1576" s="3" t="str">
        <f aca="false">F1576&amp;"-"&amp;G1576</f>
        <v>G-C</v>
      </c>
      <c r="I1576" s="4" t="n">
        <f aca="false">(F1576="G")+(G1576="G")</f>
        <v>1</v>
      </c>
      <c r="J1576" s="4" t="n">
        <f aca="false">(F1576="C")+(G1576="C")</f>
        <v>1</v>
      </c>
      <c r="K1576" s="3" t="n">
        <f aca="false">I1576+J1576</f>
        <v>2</v>
      </c>
    </row>
    <row r="1577" customFormat="false" ht="15" hidden="false" customHeight="false" outlineLevel="0" collapsed="false">
      <c r="A1577" s="4" t="s">
        <v>93</v>
      </c>
      <c r="B1577" s="4" t="s">
        <v>425</v>
      </c>
      <c r="C1577" s="4" t="s">
        <v>522</v>
      </c>
      <c r="D1577" s="4" t="n">
        <f aca="false">IFERROR(INDEX(Positions!$D$2:$D$6912,MATCH($A1577&amp;"|10",Positions!$A$2:$A$6912,0)),"-")</f>
        <v>10</v>
      </c>
      <c r="E1577" s="4" t="n">
        <f aca="false">IFERROR(INDEX(Positions!$D$2:$D$6912,MATCH($A1577&amp;"|25",Positions!$A$2:$A$6912,0)),"-")</f>
        <v>25</v>
      </c>
      <c r="F1577" s="4" t="str">
        <f aca="false">IFERROR(INDEX(Positions!$E$2:$E$6912,MATCH($A1577&amp;"|10",Positions!$A$2:$A$6912,0)),"-")</f>
        <v>G</v>
      </c>
      <c r="G1577" s="4" t="str">
        <f aca="false">IFERROR(INDEX(Positions!$E$2:$E$6912,MATCH($A1577&amp;"|25",Positions!$A$2:$A$6912,0)),"-")</f>
        <v>C</v>
      </c>
      <c r="H1577" s="3" t="str">
        <f aca="false">F1577&amp;"-"&amp;G1577</f>
        <v>G-C</v>
      </c>
      <c r="I1577" s="4" t="n">
        <f aca="false">(F1577="G")+(G1577="G")</f>
        <v>1</v>
      </c>
      <c r="J1577" s="4" t="n">
        <f aca="false">(F1577="C")+(G1577="C")</f>
        <v>1</v>
      </c>
      <c r="K1577" s="3" t="n">
        <f aca="false">I1577+J1577</f>
        <v>2</v>
      </c>
    </row>
    <row r="1578" customFormat="false" ht="15" hidden="false" customHeight="false" outlineLevel="0" collapsed="false">
      <c r="A1578" s="4" t="s">
        <v>93</v>
      </c>
      <c r="B1578" s="4" t="s">
        <v>425</v>
      </c>
      <c r="C1578" s="4" t="s">
        <v>523</v>
      </c>
      <c r="D1578" s="4" t="n">
        <f aca="false">IFERROR(INDEX(Positions!$D$2:$D$6912,MATCH($A1578&amp;"|11",Positions!$A$2:$A$6912,0)),"-")</f>
        <v>11</v>
      </c>
      <c r="E1578" s="4" t="n">
        <f aca="false">IFERROR(INDEX(Positions!$D$2:$D$6912,MATCH($A1578&amp;"|24",Positions!$A$2:$A$6912,0)),"-")</f>
        <v>24</v>
      </c>
      <c r="F1578" s="4" t="str">
        <f aca="false">IFERROR(INDEX(Positions!$E$2:$E$6912,MATCH($A1578&amp;"|11",Positions!$A$2:$A$6912,0)),"-")</f>
        <v>U</v>
      </c>
      <c r="G1578" s="4" t="str">
        <f aca="false">IFERROR(INDEX(Positions!$E$2:$E$6912,MATCH($A1578&amp;"|24",Positions!$A$2:$A$6912,0)),"-")</f>
        <v>A</v>
      </c>
      <c r="H1578" s="3" t="str">
        <f aca="false">F1578&amp;"-"&amp;G1578</f>
        <v>U-A</v>
      </c>
      <c r="I1578" s="4" t="n">
        <f aca="false">(F1578="G")+(G1578="G")</f>
        <v>0</v>
      </c>
      <c r="J1578" s="4" t="n">
        <f aca="false">(F1578="C")+(G1578="C")</f>
        <v>0</v>
      </c>
      <c r="K1578" s="3" t="n">
        <f aca="false">I1578+J1578</f>
        <v>0</v>
      </c>
    </row>
    <row r="1579" customFormat="false" ht="15" hidden="false" customHeight="false" outlineLevel="0" collapsed="false">
      <c r="A1579" s="4" t="s">
        <v>93</v>
      </c>
      <c r="B1579" s="4" t="s">
        <v>425</v>
      </c>
      <c r="C1579" s="4" t="s">
        <v>250</v>
      </c>
      <c r="D1579" s="4" t="n">
        <f aca="false">IFERROR(INDEX(Positions!$D$2:$D$6912,MATCH($A1579&amp;"|12",Positions!$A$2:$A$6912,0)),"-")</f>
        <v>12</v>
      </c>
      <c r="E1579" s="4" t="n">
        <f aca="false">IFERROR(INDEX(Positions!$D$2:$D$6912,MATCH($A1579&amp;"|23",Positions!$A$2:$A$6912,0)),"-")</f>
        <v>23</v>
      </c>
      <c r="F1579" s="4" t="str">
        <f aca="false">IFERROR(INDEX(Positions!$E$2:$E$6912,MATCH($A1579&amp;"|12",Positions!$A$2:$A$6912,0)),"-")</f>
        <v>G</v>
      </c>
      <c r="G1579" s="4" t="str">
        <f aca="false">IFERROR(INDEX(Positions!$E$2:$E$6912,MATCH($A1579&amp;"|23",Positions!$A$2:$A$6912,0)),"-")</f>
        <v>C</v>
      </c>
      <c r="H1579" s="3" t="str">
        <f aca="false">F1579&amp;"-"&amp;G1579</f>
        <v>G-C</v>
      </c>
      <c r="I1579" s="4" t="n">
        <f aca="false">(F1579="G")+(G1579="G")</f>
        <v>1</v>
      </c>
      <c r="J1579" s="4" t="n">
        <f aca="false">(F1579="C")+(G1579="C")</f>
        <v>1</v>
      </c>
      <c r="K1579" s="3" t="n">
        <f aca="false">I1579+J1579</f>
        <v>2</v>
      </c>
    </row>
    <row r="1580" customFormat="false" ht="15" hidden="false" customHeight="false" outlineLevel="0" collapsed="false">
      <c r="A1580" s="4" t="s">
        <v>93</v>
      </c>
      <c r="B1580" s="4" t="s">
        <v>425</v>
      </c>
      <c r="C1580" s="4" t="s">
        <v>154</v>
      </c>
      <c r="D1580" s="4" t="n">
        <f aca="false">IFERROR(INDEX(Positions!$D$2:$D$6912,MATCH($A1580&amp;"|13",Positions!$A$2:$A$6912,0)),"-")</f>
        <v>13</v>
      </c>
      <c r="E1580" s="4" t="n">
        <f aca="false">IFERROR(INDEX(Positions!$D$2:$D$6912,MATCH($A1580&amp;"|22",Positions!$A$2:$A$6912,0)),"-")</f>
        <v>22</v>
      </c>
      <c r="F1580" s="4" t="str">
        <f aca="false">IFERROR(INDEX(Positions!$E$2:$E$6912,MATCH($A1580&amp;"|13",Positions!$A$2:$A$6912,0)),"-")</f>
        <v>U</v>
      </c>
      <c r="G1580" s="4" t="str">
        <f aca="false">IFERROR(INDEX(Positions!$E$2:$E$6912,MATCH($A1580&amp;"|22",Positions!$A$2:$A$6912,0)),"-")</f>
        <v>U</v>
      </c>
      <c r="H1580" s="3" t="str">
        <f aca="false">F1580&amp;"-"&amp;G1580</f>
        <v>U-U</v>
      </c>
      <c r="I1580" s="4" t="n">
        <f aca="false">(F1580="G")+(G1580="G")</f>
        <v>0</v>
      </c>
      <c r="J1580" s="4" t="n">
        <f aca="false">(F1580="C")+(G1580="C")</f>
        <v>0</v>
      </c>
      <c r="K1580" s="3" t="n">
        <f aca="false">I1580+J1580</f>
        <v>0</v>
      </c>
    </row>
    <row r="1581" customFormat="false" ht="15" hidden="false" customHeight="false" outlineLevel="0" collapsed="false">
      <c r="A1581" s="4" t="s">
        <v>93</v>
      </c>
      <c r="B1581" s="4" t="s">
        <v>446</v>
      </c>
      <c r="C1581" s="4" t="s">
        <v>524</v>
      </c>
      <c r="D1581" s="4" t="n">
        <f aca="false">IFERROR(INDEX(Positions!$D$2:$D$6912,MATCH($A1581&amp;"|27",Positions!$A$2:$A$6912,0)),"-")</f>
        <v>27</v>
      </c>
      <c r="E1581" s="4" t="n">
        <f aca="false">IFERROR(INDEX(Positions!$D$2:$D$6912,MATCH($A1581&amp;"|43",Positions!$A$2:$A$6912,0)),"-")</f>
        <v>43</v>
      </c>
      <c r="F1581" s="4" t="str">
        <f aca="false">IFERROR(INDEX(Positions!$E$2:$E$6912,MATCH($A1581&amp;"|27",Positions!$A$2:$A$6912,0)),"-")</f>
        <v>U</v>
      </c>
      <c r="G1581" s="4" t="str">
        <f aca="false">IFERROR(INDEX(Positions!$E$2:$E$6912,MATCH($A1581&amp;"|43",Positions!$A$2:$A$6912,0)),"-")</f>
        <v>A</v>
      </c>
      <c r="H1581" s="3" t="str">
        <f aca="false">F1581&amp;"-"&amp;G1581</f>
        <v>U-A</v>
      </c>
      <c r="I1581" s="4" t="n">
        <f aca="false">(F1581="G")+(G1581="G")</f>
        <v>0</v>
      </c>
      <c r="J1581" s="4" t="n">
        <f aca="false">(F1581="C")+(G1581="C")</f>
        <v>0</v>
      </c>
      <c r="K1581" s="3" t="n">
        <f aca="false">I1581+J1581</f>
        <v>0</v>
      </c>
    </row>
    <row r="1582" customFormat="false" ht="15" hidden="false" customHeight="false" outlineLevel="0" collapsed="false">
      <c r="A1582" s="4" t="s">
        <v>93</v>
      </c>
      <c r="B1582" s="4" t="s">
        <v>446</v>
      </c>
      <c r="C1582" s="4" t="s">
        <v>525</v>
      </c>
      <c r="D1582" s="4" t="n">
        <f aca="false">IFERROR(INDEX(Positions!$D$2:$D$6912,MATCH($A1582&amp;"|28",Positions!$A$2:$A$6912,0)),"-")</f>
        <v>28</v>
      </c>
      <c r="E1582" s="4" t="n">
        <f aca="false">IFERROR(INDEX(Positions!$D$2:$D$6912,MATCH($A1582&amp;"|42",Positions!$A$2:$A$6912,0)),"-")</f>
        <v>42</v>
      </c>
      <c r="F1582" s="4" t="str">
        <f aca="false">IFERROR(INDEX(Positions!$E$2:$E$6912,MATCH($A1582&amp;"|28",Positions!$A$2:$A$6912,0)),"-")</f>
        <v>U</v>
      </c>
      <c r="G1582" s="4" t="str">
        <f aca="false">IFERROR(INDEX(Positions!$E$2:$E$6912,MATCH($A1582&amp;"|42",Positions!$A$2:$A$6912,0)),"-")</f>
        <v>A</v>
      </c>
      <c r="H1582" s="3" t="str">
        <f aca="false">F1582&amp;"-"&amp;G1582</f>
        <v>U-A</v>
      </c>
      <c r="I1582" s="4" t="n">
        <f aca="false">(F1582="G")+(G1582="G")</f>
        <v>0</v>
      </c>
      <c r="J1582" s="4" t="n">
        <f aca="false">(F1582="C")+(G1582="C")</f>
        <v>0</v>
      </c>
      <c r="K1582" s="3" t="n">
        <f aca="false">I1582+J1582</f>
        <v>0</v>
      </c>
    </row>
    <row r="1583" customFormat="false" ht="15" hidden="false" customHeight="false" outlineLevel="0" collapsed="false">
      <c r="A1583" s="4" t="s">
        <v>93</v>
      </c>
      <c r="B1583" s="4" t="s">
        <v>446</v>
      </c>
      <c r="C1583" s="4" t="s">
        <v>256</v>
      </c>
      <c r="D1583" s="4" t="n">
        <f aca="false">IFERROR(INDEX(Positions!$D$2:$D$6912,MATCH($A1583&amp;"|29",Positions!$A$2:$A$6912,0)),"-")</f>
        <v>29</v>
      </c>
      <c r="E1583" s="4" t="n">
        <f aca="false">IFERROR(INDEX(Positions!$D$2:$D$6912,MATCH($A1583&amp;"|41",Positions!$A$2:$A$6912,0)),"-")</f>
        <v>41</v>
      </c>
      <c r="F1583" s="4" t="str">
        <f aca="false">IFERROR(INDEX(Positions!$E$2:$E$6912,MATCH($A1583&amp;"|29",Positions!$A$2:$A$6912,0)),"-")</f>
        <v>C</v>
      </c>
      <c r="G1583" s="4" t="str">
        <f aca="false">IFERROR(INDEX(Positions!$E$2:$E$6912,MATCH($A1583&amp;"|41",Positions!$A$2:$A$6912,0)),"-")</f>
        <v>G</v>
      </c>
      <c r="H1583" s="3" t="str">
        <f aca="false">F1583&amp;"-"&amp;G1583</f>
        <v>C-G</v>
      </c>
      <c r="I1583" s="4" t="n">
        <f aca="false">(F1583="G")+(G1583="G")</f>
        <v>1</v>
      </c>
      <c r="J1583" s="4" t="n">
        <f aca="false">(F1583="C")+(G1583="C")</f>
        <v>1</v>
      </c>
      <c r="K1583" s="3" t="n">
        <f aca="false">I1583+J1583</f>
        <v>2</v>
      </c>
    </row>
    <row r="1584" customFormat="false" ht="15" hidden="false" customHeight="false" outlineLevel="0" collapsed="false">
      <c r="A1584" s="4" t="s">
        <v>93</v>
      </c>
      <c r="B1584" s="4" t="s">
        <v>446</v>
      </c>
      <c r="C1584" s="4" t="s">
        <v>526</v>
      </c>
      <c r="D1584" s="4" t="n">
        <f aca="false">IFERROR(INDEX(Positions!$D$2:$D$6912,MATCH($A1584&amp;"|30",Positions!$A$2:$A$6912,0)),"-")</f>
        <v>30</v>
      </c>
      <c r="E1584" s="4" t="n">
        <f aca="false">IFERROR(INDEX(Positions!$D$2:$D$6912,MATCH($A1584&amp;"|40",Positions!$A$2:$A$6912,0)),"-")</f>
        <v>40</v>
      </c>
      <c r="F1584" s="4" t="str">
        <f aca="false">IFERROR(INDEX(Positions!$E$2:$E$6912,MATCH($A1584&amp;"|30",Positions!$A$2:$A$6912,0)),"-")</f>
        <v>G</v>
      </c>
      <c r="G1584" s="4" t="str">
        <f aca="false">IFERROR(INDEX(Positions!$E$2:$E$6912,MATCH($A1584&amp;"|40",Positions!$A$2:$A$6912,0)),"-")</f>
        <v>C</v>
      </c>
      <c r="H1584" s="3" t="str">
        <f aca="false">F1584&amp;"-"&amp;G1584</f>
        <v>G-C</v>
      </c>
      <c r="I1584" s="4" t="n">
        <f aca="false">(F1584="G")+(G1584="G")</f>
        <v>1</v>
      </c>
      <c r="J1584" s="4" t="n">
        <f aca="false">(F1584="C")+(G1584="C")</f>
        <v>1</v>
      </c>
      <c r="K1584" s="3" t="n">
        <f aca="false">I1584+J1584</f>
        <v>2</v>
      </c>
    </row>
    <row r="1585" customFormat="false" ht="15" hidden="false" customHeight="false" outlineLevel="0" collapsed="false">
      <c r="A1585" s="4" t="s">
        <v>93</v>
      </c>
      <c r="B1585" s="4" t="s">
        <v>446</v>
      </c>
      <c r="C1585" s="4" t="s">
        <v>273</v>
      </c>
      <c r="D1585" s="4" t="n">
        <f aca="false">IFERROR(INDEX(Positions!$D$2:$D$6912,MATCH($A1585&amp;"|31",Positions!$A$2:$A$6912,0)),"-")</f>
        <v>31</v>
      </c>
      <c r="E1585" s="4" t="n">
        <f aca="false">IFERROR(INDEX(Positions!$D$2:$D$6912,MATCH($A1585&amp;"|39",Positions!$A$2:$A$6912,0)),"-")</f>
        <v>39</v>
      </c>
      <c r="F1585" s="4" t="str">
        <f aca="false">IFERROR(INDEX(Positions!$E$2:$E$6912,MATCH($A1585&amp;"|31",Positions!$A$2:$A$6912,0)),"-")</f>
        <v>C</v>
      </c>
      <c r="G1585" s="4" t="str">
        <f aca="false">IFERROR(INDEX(Positions!$E$2:$E$6912,MATCH($A1585&amp;"|39",Positions!$A$2:$A$6912,0)),"-")</f>
        <v>G</v>
      </c>
      <c r="H1585" s="3" t="str">
        <f aca="false">F1585&amp;"-"&amp;G1585</f>
        <v>C-G</v>
      </c>
      <c r="I1585" s="4" t="n">
        <f aca="false">(F1585="G")+(G1585="G")</f>
        <v>1</v>
      </c>
      <c r="J1585" s="4" t="n">
        <f aca="false">(F1585="C")+(G1585="C")</f>
        <v>1</v>
      </c>
      <c r="K1585" s="3" t="n">
        <f aca="false">I1585+J1585</f>
        <v>2</v>
      </c>
    </row>
    <row r="1586" customFormat="false" ht="15" hidden="false" customHeight="false" outlineLevel="0" collapsed="false">
      <c r="A1586" s="4" t="s">
        <v>93</v>
      </c>
      <c r="B1586" s="4" t="s">
        <v>471</v>
      </c>
      <c r="C1586" s="4" t="s">
        <v>367</v>
      </c>
      <c r="D1586" s="4" t="n">
        <f aca="false">IFERROR(INDEX(Positions!$D$2:$D$6912,MATCH($A1586&amp;"|49",Positions!$A$2:$A$6912,0)),"-")</f>
        <v>49</v>
      </c>
      <c r="E1586" s="4" t="n">
        <f aca="false">IFERROR(INDEX(Positions!$D$2:$D$6912,MATCH($A1586&amp;"|65",Positions!$A$2:$A$6912,0)),"-")</f>
        <v>65</v>
      </c>
      <c r="F1586" s="4" t="str">
        <f aca="false">IFERROR(INDEX(Positions!$E$2:$E$6912,MATCH($A1586&amp;"|49",Positions!$A$2:$A$6912,0)),"-")</f>
        <v>C</v>
      </c>
      <c r="G1586" s="4" t="str">
        <f aca="false">IFERROR(INDEX(Positions!$E$2:$E$6912,MATCH($A1586&amp;"|65",Positions!$A$2:$A$6912,0)),"-")</f>
        <v>G</v>
      </c>
      <c r="H1586" s="3" t="str">
        <f aca="false">F1586&amp;"-"&amp;G1586</f>
        <v>C-G</v>
      </c>
      <c r="I1586" s="4" t="n">
        <f aca="false">(F1586="G")+(G1586="G")</f>
        <v>1</v>
      </c>
      <c r="J1586" s="4" t="n">
        <f aca="false">(F1586="C")+(G1586="C")</f>
        <v>1</v>
      </c>
      <c r="K1586" s="3" t="n">
        <f aca="false">I1586+J1586</f>
        <v>2</v>
      </c>
    </row>
    <row r="1587" customFormat="false" ht="15" hidden="false" customHeight="false" outlineLevel="0" collapsed="false">
      <c r="A1587" s="4" t="s">
        <v>93</v>
      </c>
      <c r="B1587" s="4" t="s">
        <v>471</v>
      </c>
      <c r="C1587" s="4" t="s">
        <v>233</v>
      </c>
      <c r="D1587" s="4" t="n">
        <f aca="false">IFERROR(INDEX(Positions!$D$2:$D$6912,MATCH($A1587&amp;"|50",Positions!$A$2:$A$6912,0)),"-")</f>
        <v>50</v>
      </c>
      <c r="E1587" s="4" t="n">
        <f aca="false">IFERROR(INDEX(Positions!$D$2:$D$6912,MATCH($A1587&amp;"|64",Positions!$A$2:$A$6912,0)),"-")</f>
        <v>64</v>
      </c>
      <c r="F1587" s="4" t="str">
        <f aca="false">IFERROR(INDEX(Positions!$E$2:$E$6912,MATCH($A1587&amp;"|50",Positions!$A$2:$A$6912,0)),"-")</f>
        <v>C</v>
      </c>
      <c r="G1587" s="4" t="str">
        <f aca="false">IFERROR(INDEX(Positions!$E$2:$E$6912,MATCH($A1587&amp;"|64",Positions!$A$2:$A$6912,0)),"-")</f>
        <v>G</v>
      </c>
      <c r="H1587" s="3" t="str">
        <f aca="false">F1587&amp;"-"&amp;G1587</f>
        <v>C-G</v>
      </c>
      <c r="I1587" s="4" t="n">
        <f aca="false">(F1587="G")+(G1587="G")</f>
        <v>1</v>
      </c>
      <c r="J1587" s="4" t="n">
        <f aca="false">(F1587="C")+(G1587="C")</f>
        <v>1</v>
      </c>
      <c r="K1587" s="3" t="n">
        <f aca="false">I1587+J1587</f>
        <v>2</v>
      </c>
    </row>
    <row r="1588" customFormat="false" ht="15" hidden="false" customHeight="false" outlineLevel="0" collapsed="false">
      <c r="A1588" s="4" t="s">
        <v>93</v>
      </c>
      <c r="B1588" s="4" t="s">
        <v>471</v>
      </c>
      <c r="C1588" s="4" t="s">
        <v>527</v>
      </c>
      <c r="D1588" s="4" t="n">
        <f aca="false">IFERROR(INDEX(Positions!$D$2:$D$6912,MATCH($A1588&amp;"|51",Positions!$A$2:$A$6912,0)),"-")</f>
        <v>51</v>
      </c>
      <c r="E1588" s="4" t="n">
        <f aca="false">IFERROR(INDEX(Positions!$D$2:$D$6912,MATCH($A1588&amp;"|63",Positions!$A$2:$A$6912,0)),"-")</f>
        <v>63</v>
      </c>
      <c r="F1588" s="4" t="str">
        <f aca="false">IFERROR(INDEX(Positions!$E$2:$E$6912,MATCH($A1588&amp;"|51",Positions!$A$2:$A$6912,0)),"-")</f>
        <v>C</v>
      </c>
      <c r="G1588" s="4" t="str">
        <f aca="false">IFERROR(INDEX(Positions!$E$2:$E$6912,MATCH($A1588&amp;"|63",Positions!$A$2:$A$6912,0)),"-")</f>
        <v>G</v>
      </c>
      <c r="H1588" s="3" t="str">
        <f aca="false">F1588&amp;"-"&amp;G1588</f>
        <v>C-G</v>
      </c>
      <c r="I1588" s="4" t="n">
        <f aca="false">(F1588="G")+(G1588="G")</f>
        <v>1</v>
      </c>
      <c r="J1588" s="4" t="n">
        <f aca="false">(F1588="C")+(G1588="C")</f>
        <v>1</v>
      </c>
      <c r="K1588" s="3" t="n">
        <f aca="false">I1588+J1588</f>
        <v>2</v>
      </c>
    </row>
    <row r="1589" customFormat="false" ht="15" hidden="false" customHeight="false" outlineLevel="0" collapsed="false">
      <c r="A1589" s="4" t="s">
        <v>93</v>
      </c>
      <c r="B1589" s="4" t="s">
        <v>471</v>
      </c>
      <c r="C1589" s="4" t="s">
        <v>528</v>
      </c>
      <c r="D1589" s="4" t="n">
        <f aca="false">IFERROR(INDEX(Positions!$D$2:$D$6912,MATCH($A1589&amp;"|52",Positions!$A$2:$A$6912,0)),"-")</f>
        <v>52</v>
      </c>
      <c r="E1589" s="4" t="n">
        <f aca="false">IFERROR(INDEX(Positions!$D$2:$D$6912,MATCH($A1589&amp;"|62",Positions!$A$2:$A$6912,0)),"-")</f>
        <v>62</v>
      </c>
      <c r="F1589" s="4" t="str">
        <f aca="false">IFERROR(INDEX(Positions!$E$2:$E$6912,MATCH($A1589&amp;"|52",Positions!$A$2:$A$6912,0)),"-")</f>
        <v>G</v>
      </c>
      <c r="G1589" s="4" t="str">
        <f aca="false">IFERROR(INDEX(Positions!$E$2:$E$6912,MATCH($A1589&amp;"|62",Positions!$A$2:$A$6912,0)),"-")</f>
        <v>C</v>
      </c>
      <c r="H1589" s="3" t="str">
        <f aca="false">F1589&amp;"-"&amp;G1589</f>
        <v>G-C</v>
      </c>
      <c r="I1589" s="4" t="n">
        <f aca="false">(F1589="G")+(G1589="G")</f>
        <v>1</v>
      </c>
      <c r="J1589" s="4" t="n">
        <f aca="false">(F1589="C")+(G1589="C")</f>
        <v>1</v>
      </c>
      <c r="K1589" s="3" t="n">
        <f aca="false">I1589+J1589</f>
        <v>2</v>
      </c>
    </row>
    <row r="1590" customFormat="false" ht="15" hidden="false" customHeight="false" outlineLevel="0" collapsed="false">
      <c r="A1590" s="4" t="s">
        <v>93</v>
      </c>
      <c r="B1590" s="4" t="s">
        <v>471</v>
      </c>
      <c r="C1590" s="4" t="s">
        <v>529</v>
      </c>
      <c r="D1590" s="4" t="n">
        <f aca="false">IFERROR(INDEX(Positions!$D$2:$D$6912,MATCH($A1590&amp;"|53",Positions!$A$2:$A$6912,0)),"-")</f>
        <v>53</v>
      </c>
      <c r="E1590" s="4" t="n">
        <f aca="false">IFERROR(INDEX(Positions!$D$2:$D$6912,MATCH($A1590&amp;"|61",Positions!$A$2:$A$6912,0)),"-")</f>
        <v>61</v>
      </c>
      <c r="F1590" s="4" t="str">
        <f aca="false">IFERROR(INDEX(Positions!$E$2:$E$6912,MATCH($A1590&amp;"|53",Positions!$A$2:$A$6912,0)),"-")</f>
        <v>G</v>
      </c>
      <c r="G1590" s="4" t="str">
        <f aca="false">IFERROR(INDEX(Positions!$E$2:$E$6912,MATCH($A1590&amp;"|61",Positions!$A$2:$A$6912,0)),"-")</f>
        <v>C</v>
      </c>
      <c r="H1590" s="3" t="str">
        <f aca="false">F1590&amp;"-"&amp;G1590</f>
        <v>G-C</v>
      </c>
      <c r="I1590" s="4" t="n">
        <f aca="false">(F1590="G")+(G1590="G")</f>
        <v>1</v>
      </c>
      <c r="J1590" s="4" t="n">
        <f aca="false">(F1590="C")+(G1590="C")</f>
        <v>1</v>
      </c>
      <c r="K1590" s="3" t="n">
        <f aca="false">I1590+J1590</f>
        <v>2</v>
      </c>
    </row>
    <row r="1591" customFormat="false" ht="15" hidden="false" customHeight="false" outlineLevel="0" collapsed="false">
      <c r="A1591" s="24" t="s">
        <v>93</v>
      </c>
      <c r="B1591" s="24" t="s">
        <v>530</v>
      </c>
      <c r="C1591" s="24" t="s">
        <v>531</v>
      </c>
      <c r="D1591" s="24" t="n">
        <f aca="false">IFERROR(INDEX(Positions!$D$2:$D$6912,MATCH($A1591&amp;"|8",Positions!$A$2:$A$6912,0)),"-")</f>
        <v>8</v>
      </c>
      <c r="E1591" s="24" t="n">
        <f aca="false">IFERROR(INDEX(Positions!$D$2:$D$6912,MATCH($A1591&amp;"|14",Positions!$A$2:$A$6912,0)),"-")</f>
        <v>14</v>
      </c>
      <c r="F1591" s="24" t="str">
        <f aca="false">IFERROR(INDEX(Positions!$E$2:$E$6912,MATCH($A1591&amp;"|8",Positions!$A$2:$A$6912,0)),"-")</f>
        <v>U</v>
      </c>
      <c r="G1591" s="24" t="str">
        <f aca="false">IFERROR(INDEX(Positions!$E$2:$E$6912,MATCH($A1591&amp;"|14",Positions!$A$2:$A$6912,0)),"-")</f>
        <v>A</v>
      </c>
      <c r="H1591" s="25" t="str">
        <f aca="false">F1591&amp;"-"&amp;G1591</f>
        <v>U-A</v>
      </c>
      <c r="I1591" s="24" t="n">
        <f aca="false">(F1591="G")+(G1591="G")</f>
        <v>0</v>
      </c>
      <c r="J1591" s="24" t="n">
        <f aca="false">(F1591="C")+(G1591="C")</f>
        <v>0</v>
      </c>
      <c r="K1591" s="25" t="n">
        <f aca="false">I1591+J1591</f>
        <v>0</v>
      </c>
    </row>
    <row r="1592" customFormat="false" ht="15" hidden="false" customHeight="false" outlineLevel="0" collapsed="false">
      <c r="A1592" s="24" t="s">
        <v>93</v>
      </c>
      <c r="B1592" s="24" t="s">
        <v>530</v>
      </c>
      <c r="C1592" s="24" t="s">
        <v>532</v>
      </c>
      <c r="D1592" s="24" t="n">
        <f aca="false">IFERROR(INDEX(Positions!$D$2:$D$6912,MATCH($A1592&amp;"|15",Positions!$A$2:$A$6912,0)),"-")</f>
        <v>15</v>
      </c>
      <c r="E1592" s="24" t="n">
        <f aca="false">IFERROR(INDEX(Positions!$D$2:$D$6912,MATCH($A1592&amp;"|48",Positions!$A$2:$A$6912,0)),"-")</f>
        <v>48</v>
      </c>
      <c r="F1592" s="24" t="str">
        <f aca="false">IFERROR(INDEX(Positions!$E$2:$E$6912,MATCH($A1592&amp;"|15",Positions!$A$2:$A$6912,0)),"-")</f>
        <v>G</v>
      </c>
      <c r="G1592" s="24" t="str">
        <f aca="false">IFERROR(INDEX(Positions!$E$2:$E$6912,MATCH($A1592&amp;"|48",Positions!$A$2:$A$6912,0)),"-")</f>
        <v>C</v>
      </c>
      <c r="H1592" s="25" t="str">
        <f aca="false">F1592&amp;"-"&amp;G1592</f>
        <v>G-C</v>
      </c>
      <c r="I1592" s="24" t="n">
        <f aca="false">(F1592="G")+(G1592="G")</f>
        <v>1</v>
      </c>
      <c r="J1592" s="24" t="n">
        <f aca="false">(F1592="C")+(G1592="C")</f>
        <v>1</v>
      </c>
      <c r="K1592" s="25" t="n">
        <f aca="false">I1592+J1592</f>
        <v>2</v>
      </c>
    </row>
    <row r="1593" customFormat="false" ht="15" hidden="false" customHeight="false" outlineLevel="0" collapsed="false">
      <c r="A1593" s="24" t="s">
        <v>93</v>
      </c>
      <c r="B1593" s="24" t="s">
        <v>530</v>
      </c>
      <c r="C1593" s="24" t="s">
        <v>533</v>
      </c>
      <c r="D1593" s="24" t="n">
        <f aca="false">IFERROR(INDEX(Positions!$D$2:$D$6912,MATCH($A1593&amp;"|18",Positions!$A$2:$A$6912,0)),"-")</f>
        <v>17</v>
      </c>
      <c r="E1593" s="24" t="n">
        <f aca="false">IFERROR(INDEX(Positions!$D$2:$D$6912,MATCH($A1593&amp;"|55",Positions!$A$2:$A$6912,0)),"-")</f>
        <v>55</v>
      </c>
      <c r="F1593" s="24" t="str">
        <f aca="false">IFERROR(INDEX(Positions!$E$2:$E$6912,MATCH($A1593&amp;"|18",Positions!$A$2:$A$6912,0)),"-")</f>
        <v>G</v>
      </c>
      <c r="G1593" s="24" t="str">
        <f aca="false">IFERROR(INDEX(Positions!$E$2:$E$6912,MATCH($A1593&amp;"|55",Positions!$A$2:$A$6912,0)),"-")</f>
        <v>U</v>
      </c>
      <c r="H1593" s="25" t="str">
        <f aca="false">F1593&amp;"-"&amp;G1593</f>
        <v>G-U</v>
      </c>
      <c r="I1593" s="24" t="n">
        <f aca="false">(F1593="G")+(G1593="G")</f>
        <v>1</v>
      </c>
      <c r="J1593" s="24" t="n">
        <f aca="false">(F1593="C")+(G1593="C")</f>
        <v>0</v>
      </c>
      <c r="K1593" s="25" t="n">
        <f aca="false">I1593+J1593</f>
        <v>1</v>
      </c>
    </row>
    <row r="1594" customFormat="false" ht="15" hidden="false" customHeight="false" outlineLevel="0" collapsed="false">
      <c r="A1594" s="24" t="s">
        <v>93</v>
      </c>
      <c r="B1594" s="24" t="s">
        <v>530</v>
      </c>
      <c r="C1594" s="24" t="s">
        <v>534</v>
      </c>
      <c r="D1594" s="24" t="n">
        <f aca="false">IFERROR(INDEX(Positions!$D$2:$D$6912,MATCH($A1594&amp;"|19",Positions!$A$2:$A$6912,0)),"-")</f>
        <v>18</v>
      </c>
      <c r="E1594" s="24" t="n">
        <f aca="false">IFERROR(INDEX(Positions!$D$2:$D$6912,MATCH($A1594&amp;"|56",Positions!$A$2:$A$6912,0)),"-")</f>
        <v>56</v>
      </c>
      <c r="F1594" s="24" t="str">
        <f aca="false">IFERROR(INDEX(Positions!$E$2:$E$6912,MATCH($A1594&amp;"|19",Positions!$A$2:$A$6912,0)),"-")</f>
        <v>G</v>
      </c>
      <c r="G1594" s="24" t="str">
        <f aca="false">IFERROR(INDEX(Positions!$E$2:$E$6912,MATCH($A1594&amp;"|56",Positions!$A$2:$A$6912,0)),"-")</f>
        <v>C</v>
      </c>
      <c r="H1594" s="25" t="str">
        <f aca="false">F1594&amp;"-"&amp;G1594</f>
        <v>G-C</v>
      </c>
      <c r="I1594" s="24" t="n">
        <f aca="false">(F1594="G")+(G1594="G")</f>
        <v>1</v>
      </c>
      <c r="J1594" s="24" t="n">
        <f aca="false">(F1594="C")+(G1594="C")</f>
        <v>1</v>
      </c>
      <c r="K1594" s="25" t="n">
        <f aca="false">I1594+J1594</f>
        <v>2</v>
      </c>
    </row>
    <row r="1595" customFormat="false" ht="15" hidden="false" customHeight="false" outlineLevel="0" collapsed="false">
      <c r="A1595" s="24" t="s">
        <v>93</v>
      </c>
      <c r="B1595" s="24" t="s">
        <v>530</v>
      </c>
      <c r="C1595" s="24" t="s">
        <v>535</v>
      </c>
      <c r="D1595" s="24" t="n">
        <f aca="false">IFERROR(INDEX(Positions!$D$2:$D$6912,MATCH($A1595&amp;"|26",Positions!$A$2:$A$6912,0)),"-")</f>
        <v>26</v>
      </c>
      <c r="E1595" s="24" t="n">
        <f aca="false">IFERROR(INDEX(Positions!$D$2:$D$6912,MATCH($A1595&amp;"|44",Positions!$A$2:$A$6912,0)),"-")</f>
        <v>44</v>
      </c>
      <c r="F1595" s="24" t="str">
        <f aca="false">IFERROR(INDEX(Positions!$E$2:$E$6912,MATCH($A1595&amp;"|26",Positions!$A$2:$A$6912,0)),"-")</f>
        <v>G</v>
      </c>
      <c r="G1595" s="24" t="str">
        <f aca="false">IFERROR(INDEX(Positions!$E$2:$E$6912,MATCH($A1595&amp;"|44",Positions!$A$2:$A$6912,0)),"-")</f>
        <v>A</v>
      </c>
      <c r="H1595" s="25" t="str">
        <f aca="false">F1595&amp;"-"&amp;G1595</f>
        <v>G-A</v>
      </c>
      <c r="I1595" s="24" t="n">
        <f aca="false">(F1595="G")+(G1595="G")</f>
        <v>1</v>
      </c>
      <c r="J1595" s="24" t="n">
        <f aca="false">(F1595="C")+(G1595="C")</f>
        <v>0</v>
      </c>
      <c r="K1595" s="25" t="n">
        <f aca="false">I1595+J1595</f>
        <v>1</v>
      </c>
    </row>
    <row r="1596" customFormat="false" ht="15" hidden="false" customHeight="false" outlineLevel="0" collapsed="false">
      <c r="A1596" s="24" t="s">
        <v>93</v>
      </c>
      <c r="B1596" s="24" t="s">
        <v>530</v>
      </c>
      <c r="C1596" s="24" t="s">
        <v>536</v>
      </c>
      <c r="D1596" s="24" t="n">
        <f aca="false">IFERROR(INDEX(Positions!$D$2:$D$6912,MATCH($A1596&amp;"|32",Positions!$A$2:$A$6912,0)),"-")</f>
        <v>32</v>
      </c>
      <c r="E1596" s="24" t="n">
        <f aca="false">IFERROR(INDEX(Positions!$D$2:$D$6912,MATCH($A1596&amp;"|38",Positions!$A$2:$A$6912,0)),"-")</f>
        <v>38</v>
      </c>
      <c r="F1596" s="24" t="str">
        <f aca="false">IFERROR(INDEX(Positions!$E$2:$E$6912,MATCH($A1596&amp;"|32",Positions!$A$2:$A$6912,0)),"-")</f>
        <v>C</v>
      </c>
      <c r="G1596" s="24" t="str">
        <f aca="false">IFERROR(INDEX(Positions!$E$2:$E$6912,MATCH($A1596&amp;"|38",Positions!$A$2:$A$6912,0)),"-")</f>
        <v>C</v>
      </c>
      <c r="H1596" s="25" t="str">
        <f aca="false">F1596&amp;"-"&amp;G1596</f>
        <v>C-C</v>
      </c>
      <c r="I1596" s="24" t="n">
        <f aca="false">(F1596="G")+(G1596="G")</f>
        <v>0</v>
      </c>
      <c r="J1596" s="24" t="n">
        <f aca="false">(F1596="C")+(G1596="C")</f>
        <v>2</v>
      </c>
      <c r="K1596" s="25" t="n">
        <f aca="false">I1596+J1596</f>
        <v>2</v>
      </c>
    </row>
    <row r="1597" customFormat="false" ht="15" hidden="false" customHeight="false" outlineLevel="0" collapsed="false">
      <c r="A1597" s="24" t="s">
        <v>93</v>
      </c>
      <c r="B1597" s="24" t="s">
        <v>530</v>
      </c>
      <c r="C1597" s="24" t="s">
        <v>537</v>
      </c>
      <c r="D1597" s="24" t="n">
        <f aca="false">IFERROR(INDEX(Positions!$D$2:$D$6912,MATCH($A1597&amp;"|54",Positions!$A$2:$A$6912,0)),"-")</f>
        <v>54</v>
      </c>
      <c r="E1597" s="24" t="n">
        <f aca="false">IFERROR(INDEX(Positions!$D$2:$D$6912,MATCH($A1597&amp;"|58",Positions!$A$2:$A$6912,0)),"-")</f>
        <v>58</v>
      </c>
      <c r="F1597" s="24" t="str">
        <f aca="false">IFERROR(INDEX(Positions!$E$2:$E$6912,MATCH($A1597&amp;"|54",Positions!$A$2:$A$6912,0)),"-")</f>
        <v>U</v>
      </c>
      <c r="G1597" s="24" t="str">
        <f aca="false">IFERROR(INDEX(Positions!$E$2:$E$6912,MATCH($A1597&amp;"|58",Positions!$A$2:$A$6912,0)),"-")</f>
        <v>A</v>
      </c>
      <c r="H1597" s="25" t="str">
        <f aca="false">F1597&amp;"-"&amp;G1597</f>
        <v>U-A</v>
      </c>
      <c r="I1597" s="24" t="n">
        <f aca="false">(F1597="G")+(G1597="G")</f>
        <v>0</v>
      </c>
      <c r="J1597" s="24" t="n">
        <f aca="false">(F1597="C")+(G1597="C")</f>
        <v>0</v>
      </c>
      <c r="K1597" s="25" t="n">
        <f aca="false">I1597+J1597</f>
        <v>0</v>
      </c>
    </row>
    <row r="1598" customFormat="false" ht="15" hidden="false" customHeight="false" outlineLevel="0" collapsed="false">
      <c r="A1598" s="4" t="s">
        <v>94</v>
      </c>
      <c r="B1598" s="4" t="s">
        <v>412</v>
      </c>
      <c r="C1598" s="4" t="s">
        <v>517</v>
      </c>
      <c r="D1598" s="4" t="n">
        <f aca="false">IFERROR(INDEX(Positions!$D$2:$D$6912,MATCH($A1598&amp;"|1",Positions!$A$2:$A$6912,0)),"-")</f>
        <v>1</v>
      </c>
      <c r="E1598" s="4" t="n">
        <f aca="false">IFERROR(INDEX(Positions!$D$2:$D$6912,MATCH($A1598&amp;"|72",Positions!$A$2:$A$6912,0)),"-")</f>
        <v>71</v>
      </c>
      <c r="F1598" s="4" t="str">
        <f aca="false">IFERROR(INDEX(Positions!$E$2:$E$6912,MATCH($A1598&amp;"|1",Positions!$A$2:$A$6912,0)),"-")</f>
        <v>U</v>
      </c>
      <c r="G1598" s="4" t="str">
        <f aca="false">IFERROR(INDEX(Positions!$E$2:$E$6912,MATCH($A1598&amp;"|72",Positions!$A$2:$A$6912,0)),"-")</f>
        <v>A</v>
      </c>
      <c r="H1598" s="3" t="str">
        <f aca="false">F1598&amp;"-"&amp;G1598</f>
        <v>U-A</v>
      </c>
      <c r="I1598" s="4" t="n">
        <f aca="false">(F1598="G")+(G1598="G")</f>
        <v>0</v>
      </c>
      <c r="J1598" s="4" t="n">
        <f aca="false">(F1598="C")+(G1598="C")</f>
        <v>0</v>
      </c>
      <c r="K1598" s="3" t="n">
        <f aca="false">I1598+J1598</f>
        <v>0</v>
      </c>
    </row>
    <row r="1599" customFormat="false" ht="15" hidden="false" customHeight="false" outlineLevel="0" collapsed="false">
      <c r="A1599" s="4" t="s">
        <v>94</v>
      </c>
      <c r="B1599" s="4" t="s">
        <v>412</v>
      </c>
      <c r="C1599" s="4" t="s">
        <v>518</v>
      </c>
      <c r="D1599" s="4" t="n">
        <f aca="false">IFERROR(INDEX(Positions!$D$2:$D$6912,MATCH($A1599&amp;"|2",Positions!$A$2:$A$6912,0)),"-")</f>
        <v>2</v>
      </c>
      <c r="E1599" s="4" t="n">
        <f aca="false">IFERROR(INDEX(Positions!$D$2:$D$6912,MATCH($A1599&amp;"|71",Positions!$A$2:$A$6912,0)),"-")</f>
        <v>70</v>
      </c>
      <c r="F1599" s="4" t="str">
        <f aca="false">IFERROR(INDEX(Positions!$E$2:$E$6912,MATCH($A1599&amp;"|2",Positions!$A$2:$A$6912,0)),"-")</f>
        <v>C</v>
      </c>
      <c r="G1599" s="4" t="str">
        <f aca="false">IFERROR(INDEX(Positions!$E$2:$E$6912,MATCH($A1599&amp;"|71",Positions!$A$2:$A$6912,0)),"-")</f>
        <v>G</v>
      </c>
      <c r="H1599" s="3" t="str">
        <f aca="false">F1599&amp;"-"&amp;G1599</f>
        <v>C-G</v>
      </c>
      <c r="I1599" s="4" t="n">
        <f aca="false">(F1599="G")+(G1599="G")</f>
        <v>1</v>
      </c>
      <c r="J1599" s="4" t="n">
        <f aca="false">(F1599="C")+(G1599="C")</f>
        <v>1</v>
      </c>
      <c r="K1599" s="3" t="n">
        <f aca="false">I1599+J1599</f>
        <v>2</v>
      </c>
    </row>
    <row r="1600" customFormat="false" ht="15" hidden="false" customHeight="false" outlineLevel="0" collapsed="false">
      <c r="A1600" s="4" t="s">
        <v>94</v>
      </c>
      <c r="B1600" s="4" t="s">
        <v>412</v>
      </c>
      <c r="C1600" s="4" t="s">
        <v>386</v>
      </c>
      <c r="D1600" s="4" t="n">
        <f aca="false">IFERROR(INDEX(Positions!$D$2:$D$6912,MATCH($A1600&amp;"|3",Positions!$A$2:$A$6912,0)),"-")</f>
        <v>3</v>
      </c>
      <c r="E1600" s="4" t="n">
        <f aca="false">IFERROR(INDEX(Positions!$D$2:$D$6912,MATCH($A1600&amp;"|70",Positions!$A$2:$A$6912,0)),"-")</f>
        <v>69</v>
      </c>
      <c r="F1600" s="4" t="str">
        <f aca="false">IFERROR(INDEX(Positions!$E$2:$E$6912,MATCH($A1600&amp;"|3",Positions!$A$2:$A$6912,0)),"-")</f>
        <v>C</v>
      </c>
      <c r="G1600" s="4" t="str">
        <f aca="false">IFERROR(INDEX(Positions!$E$2:$E$6912,MATCH($A1600&amp;"|70",Positions!$A$2:$A$6912,0)),"-")</f>
        <v>G</v>
      </c>
      <c r="H1600" s="3" t="str">
        <f aca="false">F1600&amp;"-"&amp;G1600</f>
        <v>C-G</v>
      </c>
      <c r="I1600" s="4" t="n">
        <f aca="false">(F1600="G")+(G1600="G")</f>
        <v>1</v>
      </c>
      <c r="J1600" s="4" t="n">
        <f aca="false">(F1600="C")+(G1600="C")</f>
        <v>1</v>
      </c>
      <c r="K1600" s="3" t="n">
        <f aca="false">I1600+J1600</f>
        <v>2</v>
      </c>
    </row>
    <row r="1601" customFormat="false" ht="15" hidden="false" customHeight="false" outlineLevel="0" collapsed="false">
      <c r="A1601" s="4" t="s">
        <v>94</v>
      </c>
      <c r="B1601" s="4" t="s">
        <v>412</v>
      </c>
      <c r="C1601" s="4" t="s">
        <v>519</v>
      </c>
      <c r="D1601" s="4" t="n">
        <f aca="false">IFERROR(INDEX(Positions!$D$2:$D$6912,MATCH($A1601&amp;"|4",Positions!$A$2:$A$6912,0)),"-")</f>
        <v>4</v>
      </c>
      <c r="E1601" s="4" t="n">
        <f aca="false">IFERROR(INDEX(Positions!$D$2:$D$6912,MATCH($A1601&amp;"|69",Positions!$A$2:$A$6912,0)),"-")</f>
        <v>68</v>
      </c>
      <c r="F1601" s="4" t="str">
        <f aca="false">IFERROR(INDEX(Positions!$E$2:$E$6912,MATCH($A1601&amp;"|4",Positions!$A$2:$A$6912,0)),"-")</f>
        <v>U</v>
      </c>
      <c r="G1601" s="4" t="str">
        <f aca="false">IFERROR(INDEX(Positions!$E$2:$E$6912,MATCH($A1601&amp;"|69",Positions!$A$2:$A$6912,0)),"-")</f>
        <v>G</v>
      </c>
      <c r="H1601" s="3" t="str">
        <f aca="false">F1601&amp;"-"&amp;G1601</f>
        <v>U-G</v>
      </c>
      <c r="I1601" s="4" t="n">
        <f aca="false">(F1601="G")+(G1601="G")</f>
        <v>1</v>
      </c>
      <c r="J1601" s="4" t="n">
        <f aca="false">(F1601="C")+(G1601="C")</f>
        <v>0</v>
      </c>
      <c r="K1601" s="3" t="n">
        <f aca="false">I1601+J1601</f>
        <v>1</v>
      </c>
    </row>
    <row r="1602" customFormat="false" ht="15" hidden="false" customHeight="false" outlineLevel="0" collapsed="false">
      <c r="A1602" s="4" t="s">
        <v>94</v>
      </c>
      <c r="B1602" s="4" t="s">
        <v>412</v>
      </c>
      <c r="C1602" s="4" t="s">
        <v>283</v>
      </c>
      <c r="D1602" s="4" t="n">
        <f aca="false">IFERROR(INDEX(Positions!$D$2:$D$6912,MATCH($A1602&amp;"|5",Positions!$A$2:$A$6912,0)),"-")</f>
        <v>5</v>
      </c>
      <c r="E1602" s="4" t="n">
        <f aca="false">IFERROR(INDEX(Positions!$D$2:$D$6912,MATCH($A1602&amp;"|68",Positions!$A$2:$A$6912,0)),"-")</f>
        <v>67</v>
      </c>
      <c r="F1602" s="4" t="str">
        <f aca="false">IFERROR(INDEX(Positions!$E$2:$E$6912,MATCH($A1602&amp;"|5",Positions!$A$2:$A$6912,0)),"-")</f>
        <v>C</v>
      </c>
      <c r="G1602" s="4" t="str">
        <f aca="false">IFERROR(INDEX(Positions!$E$2:$E$6912,MATCH($A1602&amp;"|68",Positions!$A$2:$A$6912,0)),"-")</f>
        <v>G</v>
      </c>
      <c r="H1602" s="3" t="str">
        <f aca="false">F1602&amp;"-"&amp;G1602</f>
        <v>C-G</v>
      </c>
      <c r="I1602" s="4" t="n">
        <f aca="false">(F1602="G")+(G1602="G")</f>
        <v>1</v>
      </c>
      <c r="J1602" s="4" t="n">
        <f aca="false">(F1602="C")+(G1602="C")</f>
        <v>1</v>
      </c>
      <c r="K1602" s="3" t="n">
        <f aca="false">I1602+J1602</f>
        <v>2</v>
      </c>
    </row>
    <row r="1603" customFormat="false" ht="15" hidden="false" customHeight="false" outlineLevel="0" collapsed="false">
      <c r="A1603" s="4" t="s">
        <v>94</v>
      </c>
      <c r="B1603" s="4" t="s">
        <v>412</v>
      </c>
      <c r="C1603" s="4" t="s">
        <v>520</v>
      </c>
      <c r="D1603" s="4" t="n">
        <f aca="false">IFERROR(INDEX(Positions!$D$2:$D$6912,MATCH($A1603&amp;"|6",Positions!$A$2:$A$6912,0)),"-")</f>
        <v>6</v>
      </c>
      <c r="E1603" s="4" t="n">
        <f aca="false">IFERROR(INDEX(Positions!$D$2:$D$6912,MATCH($A1603&amp;"|67",Positions!$A$2:$A$6912,0)),"-")</f>
        <v>66</v>
      </c>
      <c r="F1603" s="4" t="str">
        <f aca="false">IFERROR(INDEX(Positions!$E$2:$E$6912,MATCH($A1603&amp;"|6",Positions!$A$2:$A$6912,0)),"-")</f>
        <v>G</v>
      </c>
      <c r="G1603" s="4" t="str">
        <f aca="false">IFERROR(INDEX(Positions!$E$2:$E$6912,MATCH($A1603&amp;"|67",Positions!$A$2:$A$6912,0)),"-")</f>
        <v>C</v>
      </c>
      <c r="H1603" s="3" t="str">
        <f aca="false">F1603&amp;"-"&amp;G1603</f>
        <v>G-C</v>
      </c>
      <c r="I1603" s="4" t="n">
        <f aca="false">(F1603="G")+(G1603="G")</f>
        <v>1</v>
      </c>
      <c r="J1603" s="4" t="n">
        <f aca="false">(F1603="C")+(G1603="C")</f>
        <v>1</v>
      </c>
      <c r="K1603" s="3" t="n">
        <f aca="false">I1603+J1603</f>
        <v>2</v>
      </c>
    </row>
    <row r="1604" customFormat="false" ht="15" hidden="false" customHeight="false" outlineLevel="0" collapsed="false">
      <c r="A1604" s="4" t="s">
        <v>94</v>
      </c>
      <c r="B1604" s="4" t="s">
        <v>412</v>
      </c>
      <c r="C1604" s="4" t="s">
        <v>521</v>
      </c>
      <c r="D1604" s="4" t="n">
        <f aca="false">IFERROR(INDEX(Positions!$D$2:$D$6912,MATCH($A1604&amp;"|7",Positions!$A$2:$A$6912,0)),"-")</f>
        <v>7</v>
      </c>
      <c r="E1604" s="4" t="n">
        <f aca="false">IFERROR(INDEX(Positions!$D$2:$D$6912,MATCH($A1604&amp;"|66",Positions!$A$2:$A$6912,0)),"-")</f>
        <v>65</v>
      </c>
      <c r="F1604" s="4" t="str">
        <f aca="false">IFERROR(INDEX(Positions!$E$2:$E$6912,MATCH($A1604&amp;"|7",Positions!$A$2:$A$6912,0)),"-")</f>
        <v>U</v>
      </c>
      <c r="G1604" s="4" t="str">
        <f aca="false">IFERROR(INDEX(Positions!$E$2:$E$6912,MATCH($A1604&amp;"|66",Positions!$A$2:$A$6912,0)),"-")</f>
        <v>A</v>
      </c>
      <c r="H1604" s="3" t="str">
        <f aca="false">F1604&amp;"-"&amp;G1604</f>
        <v>U-A</v>
      </c>
      <c r="I1604" s="4" t="n">
        <f aca="false">(F1604="G")+(G1604="G")</f>
        <v>0</v>
      </c>
      <c r="J1604" s="4" t="n">
        <f aca="false">(F1604="C")+(G1604="C")</f>
        <v>0</v>
      </c>
      <c r="K1604" s="3" t="n">
        <f aca="false">I1604+J1604</f>
        <v>0</v>
      </c>
    </row>
    <row r="1605" customFormat="false" ht="15" hidden="false" customHeight="false" outlineLevel="0" collapsed="false">
      <c r="A1605" s="4" t="s">
        <v>94</v>
      </c>
      <c r="B1605" s="4" t="s">
        <v>425</v>
      </c>
      <c r="C1605" s="4" t="s">
        <v>522</v>
      </c>
      <c r="D1605" s="4" t="n">
        <f aca="false">IFERROR(INDEX(Positions!$D$2:$D$6912,MATCH($A1605&amp;"|10",Positions!$A$2:$A$6912,0)),"-")</f>
        <v>10</v>
      </c>
      <c r="E1605" s="4" t="n">
        <f aca="false">IFERROR(INDEX(Positions!$D$2:$D$6912,MATCH($A1605&amp;"|25",Positions!$A$2:$A$6912,0)),"-")</f>
        <v>25</v>
      </c>
      <c r="F1605" s="4" t="str">
        <f aca="false">IFERROR(INDEX(Positions!$E$2:$E$6912,MATCH($A1605&amp;"|10",Positions!$A$2:$A$6912,0)),"-")</f>
        <v>G</v>
      </c>
      <c r="G1605" s="4" t="str">
        <f aca="false">IFERROR(INDEX(Positions!$E$2:$E$6912,MATCH($A1605&amp;"|25",Positions!$A$2:$A$6912,0)),"-")</f>
        <v>U</v>
      </c>
      <c r="H1605" s="3" t="str">
        <f aca="false">F1605&amp;"-"&amp;G1605</f>
        <v>G-U</v>
      </c>
      <c r="I1605" s="4" t="n">
        <f aca="false">(F1605="G")+(G1605="G")</f>
        <v>1</v>
      </c>
      <c r="J1605" s="4" t="n">
        <f aca="false">(F1605="C")+(G1605="C")</f>
        <v>0</v>
      </c>
      <c r="K1605" s="3" t="n">
        <f aca="false">I1605+J1605</f>
        <v>1</v>
      </c>
    </row>
    <row r="1606" customFormat="false" ht="15" hidden="false" customHeight="false" outlineLevel="0" collapsed="false">
      <c r="A1606" s="4" t="s">
        <v>94</v>
      </c>
      <c r="B1606" s="4" t="s">
        <v>425</v>
      </c>
      <c r="C1606" s="4" t="s">
        <v>523</v>
      </c>
      <c r="D1606" s="4" t="n">
        <f aca="false">IFERROR(INDEX(Positions!$D$2:$D$6912,MATCH($A1606&amp;"|11",Positions!$A$2:$A$6912,0)),"-")</f>
        <v>11</v>
      </c>
      <c r="E1606" s="4" t="n">
        <f aca="false">IFERROR(INDEX(Positions!$D$2:$D$6912,MATCH($A1606&amp;"|24",Positions!$A$2:$A$6912,0)),"-")</f>
        <v>24</v>
      </c>
      <c r="F1606" s="4" t="str">
        <f aca="false">IFERROR(INDEX(Positions!$E$2:$E$6912,MATCH($A1606&amp;"|11",Positions!$A$2:$A$6912,0)),"-")</f>
        <v>U</v>
      </c>
      <c r="G1606" s="4" t="str">
        <f aca="false">IFERROR(INDEX(Positions!$E$2:$E$6912,MATCH($A1606&amp;"|24",Positions!$A$2:$A$6912,0)),"-")</f>
        <v>A</v>
      </c>
      <c r="H1606" s="3" t="str">
        <f aca="false">F1606&amp;"-"&amp;G1606</f>
        <v>U-A</v>
      </c>
      <c r="I1606" s="4" t="n">
        <f aca="false">(F1606="G")+(G1606="G")</f>
        <v>0</v>
      </c>
      <c r="J1606" s="4" t="n">
        <f aca="false">(F1606="C")+(G1606="C")</f>
        <v>0</v>
      </c>
      <c r="K1606" s="3" t="n">
        <f aca="false">I1606+J1606</f>
        <v>0</v>
      </c>
    </row>
    <row r="1607" customFormat="false" ht="15" hidden="false" customHeight="false" outlineLevel="0" collapsed="false">
      <c r="A1607" s="4" t="s">
        <v>94</v>
      </c>
      <c r="B1607" s="4" t="s">
        <v>425</v>
      </c>
      <c r="C1607" s="4" t="s">
        <v>250</v>
      </c>
      <c r="D1607" s="4" t="n">
        <f aca="false">IFERROR(INDEX(Positions!$D$2:$D$6912,MATCH($A1607&amp;"|12",Positions!$A$2:$A$6912,0)),"-")</f>
        <v>12</v>
      </c>
      <c r="E1607" s="4" t="n">
        <f aca="false">IFERROR(INDEX(Positions!$D$2:$D$6912,MATCH($A1607&amp;"|23",Positions!$A$2:$A$6912,0)),"-")</f>
        <v>23</v>
      </c>
      <c r="F1607" s="4" t="str">
        <f aca="false">IFERROR(INDEX(Positions!$E$2:$E$6912,MATCH($A1607&amp;"|12",Positions!$A$2:$A$6912,0)),"-")</f>
        <v>A</v>
      </c>
      <c r="G1607" s="4" t="str">
        <f aca="false">IFERROR(INDEX(Positions!$E$2:$E$6912,MATCH($A1607&amp;"|23",Positions!$A$2:$A$6912,0)),"-")</f>
        <v>U</v>
      </c>
      <c r="H1607" s="3" t="str">
        <f aca="false">F1607&amp;"-"&amp;G1607</f>
        <v>A-U</v>
      </c>
      <c r="I1607" s="4" t="n">
        <f aca="false">(F1607="G")+(G1607="G")</f>
        <v>0</v>
      </c>
      <c r="J1607" s="4" t="n">
        <f aca="false">(F1607="C")+(G1607="C")</f>
        <v>0</v>
      </c>
      <c r="K1607" s="3" t="n">
        <f aca="false">I1607+J1607</f>
        <v>0</v>
      </c>
    </row>
    <row r="1608" customFormat="false" ht="15" hidden="false" customHeight="false" outlineLevel="0" collapsed="false">
      <c r="A1608" s="4" t="s">
        <v>94</v>
      </c>
      <c r="B1608" s="4" t="s">
        <v>425</v>
      </c>
      <c r="C1608" s="4" t="s">
        <v>154</v>
      </c>
      <c r="D1608" s="4" t="n">
        <f aca="false">IFERROR(INDEX(Positions!$D$2:$D$6912,MATCH($A1608&amp;"|13",Positions!$A$2:$A$6912,0)),"-")</f>
        <v>13</v>
      </c>
      <c r="E1608" s="4" t="n">
        <f aca="false">IFERROR(INDEX(Positions!$D$2:$D$6912,MATCH($A1608&amp;"|22",Positions!$A$2:$A$6912,0)),"-")</f>
        <v>22</v>
      </c>
      <c r="F1608" s="4" t="str">
        <f aca="false">IFERROR(INDEX(Positions!$E$2:$E$6912,MATCH($A1608&amp;"|13",Positions!$A$2:$A$6912,0)),"-")</f>
        <v>U</v>
      </c>
      <c r="G1608" s="4" t="str">
        <f aca="false">IFERROR(INDEX(Positions!$E$2:$E$6912,MATCH($A1608&amp;"|22",Positions!$A$2:$A$6912,0)),"-")</f>
        <v>G</v>
      </c>
      <c r="H1608" s="3" t="str">
        <f aca="false">F1608&amp;"-"&amp;G1608</f>
        <v>U-G</v>
      </c>
      <c r="I1608" s="4" t="n">
        <f aca="false">(F1608="G")+(G1608="G")</f>
        <v>1</v>
      </c>
      <c r="J1608" s="4" t="n">
        <f aca="false">(F1608="C")+(G1608="C")</f>
        <v>0</v>
      </c>
      <c r="K1608" s="3" t="n">
        <f aca="false">I1608+J1608</f>
        <v>1</v>
      </c>
    </row>
    <row r="1609" customFormat="false" ht="15" hidden="false" customHeight="false" outlineLevel="0" collapsed="false">
      <c r="A1609" s="4" t="s">
        <v>94</v>
      </c>
      <c r="B1609" s="4" t="s">
        <v>446</v>
      </c>
      <c r="C1609" s="4" t="s">
        <v>524</v>
      </c>
      <c r="D1609" s="4" t="n">
        <f aca="false">IFERROR(INDEX(Positions!$D$2:$D$6912,MATCH($A1609&amp;"|27",Positions!$A$2:$A$6912,0)),"-")</f>
        <v>27</v>
      </c>
      <c r="E1609" s="4" t="n">
        <f aca="false">IFERROR(INDEX(Positions!$D$2:$D$6912,MATCH($A1609&amp;"|43",Positions!$A$2:$A$6912,0)),"-")</f>
        <v>43</v>
      </c>
      <c r="F1609" s="4" t="str">
        <f aca="false">IFERROR(INDEX(Positions!$E$2:$E$6912,MATCH($A1609&amp;"|27",Positions!$A$2:$A$6912,0)),"-")</f>
        <v>C</v>
      </c>
      <c r="G1609" s="4" t="str">
        <f aca="false">IFERROR(INDEX(Positions!$E$2:$E$6912,MATCH($A1609&amp;"|43",Positions!$A$2:$A$6912,0)),"-")</f>
        <v>G</v>
      </c>
      <c r="H1609" s="3" t="str">
        <f aca="false">F1609&amp;"-"&amp;G1609</f>
        <v>C-G</v>
      </c>
      <c r="I1609" s="4" t="n">
        <f aca="false">(F1609="G")+(G1609="G")</f>
        <v>1</v>
      </c>
      <c r="J1609" s="4" t="n">
        <f aca="false">(F1609="C")+(G1609="C")</f>
        <v>1</v>
      </c>
      <c r="K1609" s="3" t="n">
        <f aca="false">I1609+J1609</f>
        <v>2</v>
      </c>
    </row>
    <row r="1610" customFormat="false" ht="15" hidden="false" customHeight="false" outlineLevel="0" collapsed="false">
      <c r="A1610" s="4" t="s">
        <v>94</v>
      </c>
      <c r="B1610" s="4" t="s">
        <v>446</v>
      </c>
      <c r="C1610" s="4" t="s">
        <v>525</v>
      </c>
      <c r="D1610" s="4" t="n">
        <f aca="false">IFERROR(INDEX(Positions!$D$2:$D$6912,MATCH($A1610&amp;"|28",Positions!$A$2:$A$6912,0)),"-")</f>
        <v>28</v>
      </c>
      <c r="E1610" s="4" t="n">
        <f aca="false">IFERROR(INDEX(Positions!$D$2:$D$6912,MATCH($A1610&amp;"|42",Positions!$A$2:$A$6912,0)),"-")</f>
        <v>42</v>
      </c>
      <c r="F1610" s="4" t="str">
        <f aca="false">IFERROR(INDEX(Positions!$E$2:$E$6912,MATCH($A1610&amp;"|28",Positions!$A$2:$A$6912,0)),"-")</f>
        <v>C</v>
      </c>
      <c r="G1610" s="4" t="str">
        <f aca="false">IFERROR(INDEX(Positions!$E$2:$E$6912,MATCH($A1610&amp;"|42",Positions!$A$2:$A$6912,0)),"-")</f>
        <v>G</v>
      </c>
      <c r="H1610" s="3" t="str">
        <f aca="false">F1610&amp;"-"&amp;G1610</f>
        <v>C-G</v>
      </c>
      <c r="I1610" s="4" t="n">
        <f aca="false">(F1610="G")+(G1610="G")</f>
        <v>1</v>
      </c>
      <c r="J1610" s="4" t="n">
        <f aca="false">(F1610="C")+(G1610="C")</f>
        <v>1</v>
      </c>
      <c r="K1610" s="3" t="n">
        <f aca="false">I1610+J1610</f>
        <v>2</v>
      </c>
    </row>
    <row r="1611" customFormat="false" ht="15" hidden="false" customHeight="false" outlineLevel="0" collapsed="false">
      <c r="A1611" s="4" t="s">
        <v>94</v>
      </c>
      <c r="B1611" s="4" t="s">
        <v>446</v>
      </c>
      <c r="C1611" s="4" t="s">
        <v>256</v>
      </c>
      <c r="D1611" s="4" t="n">
        <f aca="false">IFERROR(INDEX(Positions!$D$2:$D$6912,MATCH($A1611&amp;"|29",Positions!$A$2:$A$6912,0)),"-")</f>
        <v>29</v>
      </c>
      <c r="E1611" s="4" t="n">
        <f aca="false">IFERROR(INDEX(Positions!$D$2:$D$6912,MATCH($A1611&amp;"|41",Positions!$A$2:$A$6912,0)),"-")</f>
        <v>41</v>
      </c>
      <c r="F1611" s="4" t="str">
        <f aca="false">IFERROR(INDEX(Positions!$E$2:$E$6912,MATCH($A1611&amp;"|29",Positions!$A$2:$A$6912,0)),"-")</f>
        <v>C</v>
      </c>
      <c r="G1611" s="4" t="str">
        <f aca="false">IFERROR(INDEX(Positions!$E$2:$E$6912,MATCH($A1611&amp;"|41",Positions!$A$2:$A$6912,0)),"-")</f>
        <v>G</v>
      </c>
      <c r="H1611" s="3" t="str">
        <f aca="false">F1611&amp;"-"&amp;G1611</f>
        <v>C-G</v>
      </c>
      <c r="I1611" s="4" t="n">
        <f aca="false">(F1611="G")+(G1611="G")</f>
        <v>1</v>
      </c>
      <c r="J1611" s="4" t="n">
        <f aca="false">(F1611="C")+(G1611="C")</f>
        <v>1</v>
      </c>
      <c r="K1611" s="3" t="n">
        <f aca="false">I1611+J1611</f>
        <v>2</v>
      </c>
    </row>
    <row r="1612" customFormat="false" ht="15" hidden="false" customHeight="false" outlineLevel="0" collapsed="false">
      <c r="A1612" s="4" t="s">
        <v>94</v>
      </c>
      <c r="B1612" s="4" t="s">
        <v>446</v>
      </c>
      <c r="C1612" s="4" t="s">
        <v>526</v>
      </c>
      <c r="D1612" s="4" t="n">
        <f aca="false">IFERROR(INDEX(Positions!$D$2:$D$6912,MATCH($A1612&amp;"|30",Positions!$A$2:$A$6912,0)),"-")</f>
        <v>30</v>
      </c>
      <c r="E1612" s="4" t="n">
        <f aca="false">IFERROR(INDEX(Positions!$D$2:$D$6912,MATCH($A1612&amp;"|40",Positions!$A$2:$A$6912,0)),"-")</f>
        <v>40</v>
      </c>
      <c r="F1612" s="4" t="str">
        <f aca="false">IFERROR(INDEX(Positions!$E$2:$E$6912,MATCH($A1612&amp;"|30",Positions!$A$2:$A$6912,0)),"-")</f>
        <v>G</v>
      </c>
      <c r="G1612" s="4" t="str">
        <f aca="false">IFERROR(INDEX(Positions!$E$2:$E$6912,MATCH($A1612&amp;"|40",Positions!$A$2:$A$6912,0)),"-")</f>
        <v>C</v>
      </c>
      <c r="H1612" s="3" t="str">
        <f aca="false">F1612&amp;"-"&amp;G1612</f>
        <v>G-C</v>
      </c>
      <c r="I1612" s="4" t="n">
        <f aca="false">(F1612="G")+(G1612="G")</f>
        <v>1</v>
      </c>
      <c r="J1612" s="4" t="n">
        <f aca="false">(F1612="C")+(G1612="C")</f>
        <v>1</v>
      </c>
      <c r="K1612" s="3" t="n">
        <f aca="false">I1612+J1612</f>
        <v>2</v>
      </c>
    </row>
    <row r="1613" customFormat="false" ht="15" hidden="false" customHeight="false" outlineLevel="0" collapsed="false">
      <c r="A1613" s="4" t="s">
        <v>94</v>
      </c>
      <c r="B1613" s="4" t="s">
        <v>446</v>
      </c>
      <c r="C1613" s="4" t="s">
        <v>273</v>
      </c>
      <c r="D1613" s="4" t="n">
        <f aca="false">IFERROR(INDEX(Positions!$D$2:$D$6912,MATCH($A1613&amp;"|31",Positions!$A$2:$A$6912,0)),"-")</f>
        <v>31</v>
      </c>
      <c r="E1613" s="4" t="n">
        <f aca="false">IFERROR(INDEX(Positions!$D$2:$D$6912,MATCH($A1613&amp;"|39",Positions!$A$2:$A$6912,0)),"-")</f>
        <v>39</v>
      </c>
      <c r="F1613" s="4" t="str">
        <f aca="false">IFERROR(INDEX(Positions!$E$2:$E$6912,MATCH($A1613&amp;"|31",Positions!$A$2:$A$6912,0)),"-")</f>
        <v>C</v>
      </c>
      <c r="G1613" s="4" t="str">
        <f aca="false">IFERROR(INDEX(Positions!$E$2:$E$6912,MATCH($A1613&amp;"|39",Positions!$A$2:$A$6912,0)),"-")</f>
        <v>G</v>
      </c>
      <c r="H1613" s="3" t="str">
        <f aca="false">F1613&amp;"-"&amp;G1613</f>
        <v>C-G</v>
      </c>
      <c r="I1613" s="4" t="n">
        <f aca="false">(F1613="G")+(G1613="G")</f>
        <v>1</v>
      </c>
      <c r="J1613" s="4" t="n">
        <f aca="false">(F1613="C")+(G1613="C")</f>
        <v>1</v>
      </c>
      <c r="K1613" s="3" t="n">
        <f aca="false">I1613+J1613</f>
        <v>2</v>
      </c>
    </row>
    <row r="1614" customFormat="false" ht="15" hidden="false" customHeight="false" outlineLevel="0" collapsed="false">
      <c r="A1614" s="4" t="s">
        <v>94</v>
      </c>
      <c r="B1614" s="4" t="s">
        <v>471</v>
      </c>
      <c r="C1614" s="4" t="s">
        <v>367</v>
      </c>
      <c r="D1614" s="4" t="n">
        <f aca="false">IFERROR(INDEX(Positions!$D$2:$D$6912,MATCH($A1614&amp;"|49",Positions!$A$2:$A$6912,0)),"-")</f>
        <v>48</v>
      </c>
      <c r="E1614" s="4" t="n">
        <f aca="false">IFERROR(INDEX(Positions!$D$2:$D$6912,MATCH($A1614&amp;"|65",Positions!$A$2:$A$6912,0)),"-")</f>
        <v>64</v>
      </c>
      <c r="F1614" s="4" t="str">
        <f aca="false">IFERROR(INDEX(Positions!$E$2:$E$6912,MATCH($A1614&amp;"|49",Positions!$A$2:$A$6912,0)),"-")</f>
        <v>C</v>
      </c>
      <c r="G1614" s="4" t="str">
        <f aca="false">IFERROR(INDEX(Positions!$E$2:$E$6912,MATCH($A1614&amp;"|65",Positions!$A$2:$A$6912,0)),"-")</f>
        <v>G</v>
      </c>
      <c r="H1614" s="3" t="str">
        <f aca="false">F1614&amp;"-"&amp;G1614</f>
        <v>C-G</v>
      </c>
      <c r="I1614" s="4" t="n">
        <f aca="false">(F1614="G")+(G1614="G")</f>
        <v>1</v>
      </c>
      <c r="J1614" s="4" t="n">
        <f aca="false">(F1614="C")+(G1614="C")</f>
        <v>1</v>
      </c>
      <c r="K1614" s="3" t="n">
        <f aca="false">I1614+J1614</f>
        <v>2</v>
      </c>
    </row>
    <row r="1615" customFormat="false" ht="15" hidden="false" customHeight="false" outlineLevel="0" collapsed="false">
      <c r="A1615" s="4" t="s">
        <v>94</v>
      </c>
      <c r="B1615" s="4" t="s">
        <v>471</v>
      </c>
      <c r="C1615" s="4" t="s">
        <v>233</v>
      </c>
      <c r="D1615" s="4" t="n">
        <f aca="false">IFERROR(INDEX(Positions!$D$2:$D$6912,MATCH($A1615&amp;"|50",Positions!$A$2:$A$6912,0)),"-")</f>
        <v>49</v>
      </c>
      <c r="E1615" s="4" t="n">
        <f aca="false">IFERROR(INDEX(Positions!$D$2:$D$6912,MATCH($A1615&amp;"|64",Positions!$A$2:$A$6912,0)),"-")</f>
        <v>63</v>
      </c>
      <c r="F1615" s="4" t="str">
        <f aca="false">IFERROR(INDEX(Positions!$E$2:$E$6912,MATCH($A1615&amp;"|50",Positions!$A$2:$A$6912,0)),"-")</f>
        <v>G</v>
      </c>
      <c r="G1615" s="4" t="str">
        <f aca="false">IFERROR(INDEX(Positions!$E$2:$E$6912,MATCH($A1615&amp;"|64",Positions!$A$2:$A$6912,0)),"-")</f>
        <v>C</v>
      </c>
      <c r="H1615" s="3" t="str">
        <f aca="false">F1615&amp;"-"&amp;G1615</f>
        <v>G-C</v>
      </c>
      <c r="I1615" s="4" t="n">
        <f aca="false">(F1615="G")+(G1615="G")</f>
        <v>1</v>
      </c>
      <c r="J1615" s="4" t="n">
        <f aca="false">(F1615="C")+(G1615="C")</f>
        <v>1</v>
      </c>
      <c r="K1615" s="3" t="n">
        <f aca="false">I1615+J1615</f>
        <v>2</v>
      </c>
    </row>
    <row r="1616" customFormat="false" ht="15" hidden="false" customHeight="false" outlineLevel="0" collapsed="false">
      <c r="A1616" s="4" t="s">
        <v>94</v>
      </c>
      <c r="B1616" s="4" t="s">
        <v>471</v>
      </c>
      <c r="C1616" s="4" t="s">
        <v>527</v>
      </c>
      <c r="D1616" s="4" t="n">
        <f aca="false">IFERROR(INDEX(Positions!$D$2:$D$6912,MATCH($A1616&amp;"|51",Positions!$A$2:$A$6912,0)),"-")</f>
        <v>50</v>
      </c>
      <c r="E1616" s="4" t="n">
        <f aca="false">IFERROR(INDEX(Positions!$D$2:$D$6912,MATCH($A1616&amp;"|63",Positions!$A$2:$A$6912,0)),"-")</f>
        <v>62</v>
      </c>
      <c r="F1616" s="4" t="str">
        <f aca="false">IFERROR(INDEX(Positions!$E$2:$E$6912,MATCH($A1616&amp;"|51",Positions!$A$2:$A$6912,0)),"-")</f>
        <v>G</v>
      </c>
      <c r="G1616" s="4" t="str">
        <f aca="false">IFERROR(INDEX(Positions!$E$2:$E$6912,MATCH($A1616&amp;"|63",Positions!$A$2:$A$6912,0)),"-")</f>
        <v>C</v>
      </c>
      <c r="H1616" s="3" t="str">
        <f aca="false">F1616&amp;"-"&amp;G1616</f>
        <v>G-C</v>
      </c>
      <c r="I1616" s="4" t="n">
        <f aca="false">(F1616="G")+(G1616="G")</f>
        <v>1</v>
      </c>
      <c r="J1616" s="4" t="n">
        <f aca="false">(F1616="C")+(G1616="C")</f>
        <v>1</v>
      </c>
      <c r="K1616" s="3" t="n">
        <f aca="false">I1616+J1616</f>
        <v>2</v>
      </c>
    </row>
    <row r="1617" customFormat="false" ht="15" hidden="false" customHeight="false" outlineLevel="0" collapsed="false">
      <c r="A1617" s="4" t="s">
        <v>94</v>
      </c>
      <c r="B1617" s="4" t="s">
        <v>471</v>
      </c>
      <c r="C1617" s="4" t="s">
        <v>528</v>
      </c>
      <c r="D1617" s="4" t="n">
        <f aca="false">IFERROR(INDEX(Positions!$D$2:$D$6912,MATCH($A1617&amp;"|52",Positions!$A$2:$A$6912,0)),"-")</f>
        <v>51</v>
      </c>
      <c r="E1617" s="4" t="n">
        <f aca="false">IFERROR(INDEX(Positions!$D$2:$D$6912,MATCH($A1617&amp;"|62",Positions!$A$2:$A$6912,0)),"-")</f>
        <v>61</v>
      </c>
      <c r="F1617" s="4" t="str">
        <f aca="false">IFERROR(INDEX(Positions!$E$2:$E$6912,MATCH($A1617&amp;"|52",Positions!$A$2:$A$6912,0)),"-")</f>
        <v>G</v>
      </c>
      <c r="G1617" s="4" t="str">
        <f aca="false">IFERROR(INDEX(Positions!$E$2:$E$6912,MATCH($A1617&amp;"|62",Positions!$A$2:$A$6912,0)),"-")</f>
        <v>C</v>
      </c>
      <c r="H1617" s="3" t="str">
        <f aca="false">F1617&amp;"-"&amp;G1617</f>
        <v>G-C</v>
      </c>
      <c r="I1617" s="4" t="n">
        <f aca="false">(F1617="G")+(G1617="G")</f>
        <v>1</v>
      </c>
      <c r="J1617" s="4" t="n">
        <f aca="false">(F1617="C")+(G1617="C")</f>
        <v>1</v>
      </c>
      <c r="K1617" s="3" t="n">
        <f aca="false">I1617+J1617</f>
        <v>2</v>
      </c>
    </row>
    <row r="1618" customFormat="false" ht="15" hidden="false" customHeight="false" outlineLevel="0" collapsed="false">
      <c r="A1618" s="4" t="s">
        <v>94</v>
      </c>
      <c r="B1618" s="4" t="s">
        <v>471</v>
      </c>
      <c r="C1618" s="4" t="s">
        <v>529</v>
      </c>
      <c r="D1618" s="4" t="n">
        <f aca="false">IFERROR(INDEX(Positions!$D$2:$D$6912,MATCH($A1618&amp;"|53",Positions!$A$2:$A$6912,0)),"-")</f>
        <v>52</v>
      </c>
      <c r="E1618" s="4" t="n">
        <f aca="false">IFERROR(INDEX(Positions!$D$2:$D$6912,MATCH($A1618&amp;"|61",Positions!$A$2:$A$6912,0)),"-")</f>
        <v>60</v>
      </c>
      <c r="F1618" s="4" t="str">
        <f aca="false">IFERROR(INDEX(Positions!$E$2:$E$6912,MATCH($A1618&amp;"|53",Positions!$A$2:$A$6912,0)),"-")</f>
        <v>G</v>
      </c>
      <c r="G1618" s="4" t="str">
        <f aca="false">IFERROR(INDEX(Positions!$E$2:$E$6912,MATCH($A1618&amp;"|61",Positions!$A$2:$A$6912,0)),"-")</f>
        <v>C</v>
      </c>
      <c r="H1618" s="3" t="str">
        <f aca="false">F1618&amp;"-"&amp;G1618</f>
        <v>G-C</v>
      </c>
      <c r="I1618" s="4" t="n">
        <f aca="false">(F1618="G")+(G1618="G")</f>
        <v>1</v>
      </c>
      <c r="J1618" s="4" t="n">
        <f aca="false">(F1618="C")+(G1618="C")</f>
        <v>1</v>
      </c>
      <c r="K1618" s="3" t="n">
        <f aca="false">I1618+J1618</f>
        <v>2</v>
      </c>
    </row>
    <row r="1619" customFormat="false" ht="15" hidden="false" customHeight="false" outlineLevel="0" collapsed="false">
      <c r="A1619" s="24" t="s">
        <v>94</v>
      </c>
      <c r="B1619" s="24" t="s">
        <v>530</v>
      </c>
      <c r="C1619" s="24" t="s">
        <v>531</v>
      </c>
      <c r="D1619" s="24" t="n">
        <f aca="false">IFERROR(INDEX(Positions!$D$2:$D$6912,MATCH($A1619&amp;"|8",Positions!$A$2:$A$6912,0)),"-")</f>
        <v>8</v>
      </c>
      <c r="E1619" s="24" t="n">
        <f aca="false">IFERROR(INDEX(Positions!$D$2:$D$6912,MATCH($A1619&amp;"|14",Positions!$A$2:$A$6912,0)),"-")</f>
        <v>14</v>
      </c>
      <c r="F1619" s="24" t="str">
        <f aca="false">IFERROR(INDEX(Positions!$E$2:$E$6912,MATCH($A1619&amp;"|8",Positions!$A$2:$A$6912,0)),"-")</f>
        <v>U</v>
      </c>
      <c r="G1619" s="24" t="str">
        <f aca="false">IFERROR(INDEX(Positions!$E$2:$E$6912,MATCH($A1619&amp;"|14",Positions!$A$2:$A$6912,0)),"-")</f>
        <v>A</v>
      </c>
      <c r="H1619" s="25" t="str">
        <f aca="false">F1619&amp;"-"&amp;G1619</f>
        <v>U-A</v>
      </c>
      <c r="I1619" s="24" t="n">
        <f aca="false">(F1619="G")+(G1619="G")</f>
        <v>0</v>
      </c>
      <c r="J1619" s="24" t="n">
        <f aca="false">(F1619="C")+(G1619="C")</f>
        <v>0</v>
      </c>
      <c r="K1619" s="25" t="n">
        <f aca="false">I1619+J1619</f>
        <v>0</v>
      </c>
    </row>
    <row r="1620" customFormat="false" ht="15" hidden="false" customHeight="false" outlineLevel="0" collapsed="false">
      <c r="A1620" s="24" t="s">
        <v>94</v>
      </c>
      <c r="B1620" s="24" t="s">
        <v>530</v>
      </c>
      <c r="C1620" s="24" t="s">
        <v>532</v>
      </c>
      <c r="D1620" s="24" t="n">
        <f aca="false">IFERROR(INDEX(Positions!$D$2:$D$6912,MATCH($A1620&amp;"|15",Positions!$A$2:$A$6912,0)),"-")</f>
        <v>15</v>
      </c>
      <c r="E1620" s="24" t="n">
        <f aca="false">IFERROR(INDEX(Positions!$D$2:$D$6912,MATCH($A1620&amp;"|48",Positions!$A$2:$A$6912,0)),"-")</f>
        <v>47</v>
      </c>
      <c r="F1620" s="24" t="str">
        <f aca="false">IFERROR(INDEX(Positions!$E$2:$E$6912,MATCH($A1620&amp;"|15",Positions!$A$2:$A$6912,0)),"-")</f>
        <v>G</v>
      </c>
      <c r="G1620" s="24" t="str">
        <f aca="false">IFERROR(INDEX(Positions!$E$2:$E$6912,MATCH($A1620&amp;"|48",Positions!$A$2:$A$6912,0)),"-")</f>
        <v>C</v>
      </c>
      <c r="H1620" s="25" t="str">
        <f aca="false">F1620&amp;"-"&amp;G1620</f>
        <v>G-C</v>
      </c>
      <c r="I1620" s="24" t="n">
        <f aca="false">(F1620="G")+(G1620="G")</f>
        <v>1</v>
      </c>
      <c r="J1620" s="24" t="n">
        <f aca="false">(F1620="C")+(G1620="C")</f>
        <v>1</v>
      </c>
      <c r="K1620" s="25" t="n">
        <f aca="false">I1620+J1620</f>
        <v>2</v>
      </c>
    </row>
    <row r="1621" customFormat="false" ht="15" hidden="false" customHeight="false" outlineLevel="0" collapsed="false">
      <c r="A1621" s="24" t="s">
        <v>94</v>
      </c>
      <c r="B1621" s="24" t="s">
        <v>530</v>
      </c>
      <c r="C1621" s="24" t="s">
        <v>533</v>
      </c>
      <c r="D1621" s="24" t="n">
        <f aca="false">IFERROR(INDEX(Positions!$D$2:$D$6912,MATCH($A1621&amp;"|18",Positions!$A$2:$A$6912,0)),"-")</f>
        <v>17</v>
      </c>
      <c r="E1621" s="24" t="n">
        <f aca="false">IFERROR(INDEX(Positions!$D$2:$D$6912,MATCH($A1621&amp;"|55",Positions!$A$2:$A$6912,0)),"-")</f>
        <v>54</v>
      </c>
      <c r="F1621" s="24" t="str">
        <f aca="false">IFERROR(INDEX(Positions!$E$2:$E$6912,MATCH($A1621&amp;"|18",Positions!$A$2:$A$6912,0)),"-")</f>
        <v>G</v>
      </c>
      <c r="G1621" s="24" t="str">
        <f aca="false">IFERROR(INDEX(Positions!$E$2:$E$6912,MATCH($A1621&amp;"|55",Positions!$A$2:$A$6912,0)),"-")</f>
        <v>U</v>
      </c>
      <c r="H1621" s="25" t="str">
        <f aca="false">F1621&amp;"-"&amp;G1621</f>
        <v>G-U</v>
      </c>
      <c r="I1621" s="24" t="n">
        <f aca="false">(F1621="G")+(G1621="G")</f>
        <v>1</v>
      </c>
      <c r="J1621" s="24" t="n">
        <f aca="false">(F1621="C")+(G1621="C")</f>
        <v>0</v>
      </c>
      <c r="K1621" s="25" t="n">
        <f aca="false">I1621+J1621</f>
        <v>1</v>
      </c>
    </row>
    <row r="1622" customFormat="false" ht="15" hidden="false" customHeight="false" outlineLevel="0" collapsed="false">
      <c r="A1622" s="24" t="s">
        <v>94</v>
      </c>
      <c r="B1622" s="24" t="s">
        <v>530</v>
      </c>
      <c r="C1622" s="24" t="s">
        <v>534</v>
      </c>
      <c r="D1622" s="24" t="n">
        <f aca="false">IFERROR(INDEX(Positions!$D$2:$D$6912,MATCH($A1622&amp;"|19",Positions!$A$2:$A$6912,0)),"-")</f>
        <v>18</v>
      </c>
      <c r="E1622" s="24" t="n">
        <f aca="false">IFERROR(INDEX(Positions!$D$2:$D$6912,MATCH($A1622&amp;"|56",Positions!$A$2:$A$6912,0)),"-")</f>
        <v>55</v>
      </c>
      <c r="F1622" s="24" t="str">
        <f aca="false">IFERROR(INDEX(Positions!$E$2:$E$6912,MATCH($A1622&amp;"|19",Positions!$A$2:$A$6912,0)),"-")</f>
        <v>G</v>
      </c>
      <c r="G1622" s="24" t="str">
        <f aca="false">IFERROR(INDEX(Positions!$E$2:$E$6912,MATCH($A1622&amp;"|56",Positions!$A$2:$A$6912,0)),"-")</f>
        <v>C</v>
      </c>
      <c r="H1622" s="25" t="str">
        <f aca="false">F1622&amp;"-"&amp;G1622</f>
        <v>G-C</v>
      </c>
      <c r="I1622" s="24" t="n">
        <f aca="false">(F1622="G")+(G1622="G")</f>
        <v>1</v>
      </c>
      <c r="J1622" s="24" t="n">
        <f aca="false">(F1622="C")+(G1622="C")</f>
        <v>1</v>
      </c>
      <c r="K1622" s="25" t="n">
        <f aca="false">I1622+J1622</f>
        <v>2</v>
      </c>
    </row>
    <row r="1623" customFormat="false" ht="15" hidden="false" customHeight="false" outlineLevel="0" collapsed="false">
      <c r="A1623" s="24" t="s">
        <v>94</v>
      </c>
      <c r="B1623" s="24" t="s">
        <v>530</v>
      </c>
      <c r="C1623" s="24" t="s">
        <v>535</v>
      </c>
      <c r="D1623" s="24" t="n">
        <f aca="false">IFERROR(INDEX(Positions!$D$2:$D$6912,MATCH($A1623&amp;"|26",Positions!$A$2:$A$6912,0)),"-")</f>
        <v>26</v>
      </c>
      <c r="E1623" s="24" t="n">
        <f aca="false">IFERROR(INDEX(Positions!$D$2:$D$6912,MATCH($A1623&amp;"|44",Positions!$A$2:$A$6912,0)),"-")</f>
        <v>44</v>
      </c>
      <c r="F1623" s="24" t="str">
        <f aca="false">IFERROR(INDEX(Positions!$E$2:$E$6912,MATCH($A1623&amp;"|26",Positions!$A$2:$A$6912,0)),"-")</f>
        <v>C</v>
      </c>
      <c r="G1623" s="24" t="str">
        <f aca="false">IFERROR(INDEX(Positions!$E$2:$E$6912,MATCH($A1623&amp;"|44",Positions!$A$2:$A$6912,0)),"-")</f>
        <v>A</v>
      </c>
      <c r="H1623" s="25" t="str">
        <f aca="false">F1623&amp;"-"&amp;G1623</f>
        <v>C-A</v>
      </c>
      <c r="I1623" s="24" t="n">
        <f aca="false">(F1623="G")+(G1623="G")</f>
        <v>0</v>
      </c>
      <c r="J1623" s="24" t="n">
        <f aca="false">(F1623="C")+(G1623="C")</f>
        <v>1</v>
      </c>
      <c r="K1623" s="25" t="n">
        <f aca="false">I1623+J1623</f>
        <v>1</v>
      </c>
    </row>
    <row r="1624" customFormat="false" ht="15" hidden="false" customHeight="false" outlineLevel="0" collapsed="false">
      <c r="A1624" s="24" t="s">
        <v>94</v>
      </c>
      <c r="B1624" s="24" t="s">
        <v>530</v>
      </c>
      <c r="C1624" s="24" t="s">
        <v>536</v>
      </c>
      <c r="D1624" s="24" t="n">
        <f aca="false">IFERROR(INDEX(Positions!$D$2:$D$6912,MATCH($A1624&amp;"|32",Positions!$A$2:$A$6912,0)),"-")</f>
        <v>32</v>
      </c>
      <c r="E1624" s="24" t="n">
        <f aca="false">IFERROR(INDEX(Positions!$D$2:$D$6912,MATCH($A1624&amp;"|38",Positions!$A$2:$A$6912,0)),"-")</f>
        <v>38</v>
      </c>
      <c r="F1624" s="24" t="str">
        <f aca="false">IFERROR(INDEX(Positions!$E$2:$E$6912,MATCH($A1624&amp;"|32",Positions!$A$2:$A$6912,0)),"-")</f>
        <v>U</v>
      </c>
      <c r="G1624" s="24" t="str">
        <f aca="false">IFERROR(INDEX(Positions!$E$2:$E$6912,MATCH($A1624&amp;"|38",Positions!$A$2:$A$6912,0)),"-")</f>
        <v>C</v>
      </c>
      <c r="H1624" s="25" t="str">
        <f aca="false">F1624&amp;"-"&amp;G1624</f>
        <v>U-C</v>
      </c>
      <c r="I1624" s="24" t="n">
        <f aca="false">(F1624="G")+(G1624="G")</f>
        <v>0</v>
      </c>
      <c r="J1624" s="24" t="n">
        <f aca="false">(F1624="C")+(G1624="C")</f>
        <v>1</v>
      </c>
      <c r="K1624" s="25" t="n">
        <f aca="false">I1624+J1624</f>
        <v>1</v>
      </c>
    </row>
    <row r="1625" customFormat="false" ht="15" hidden="false" customHeight="false" outlineLevel="0" collapsed="false">
      <c r="A1625" s="24" t="s">
        <v>94</v>
      </c>
      <c r="B1625" s="24" t="s">
        <v>530</v>
      </c>
      <c r="C1625" s="24" t="s">
        <v>537</v>
      </c>
      <c r="D1625" s="24" t="n">
        <f aca="false">IFERROR(INDEX(Positions!$D$2:$D$6912,MATCH($A1625&amp;"|54",Positions!$A$2:$A$6912,0)),"-")</f>
        <v>53</v>
      </c>
      <c r="E1625" s="24" t="n">
        <f aca="false">IFERROR(INDEX(Positions!$D$2:$D$6912,MATCH($A1625&amp;"|58",Positions!$A$2:$A$6912,0)),"-")</f>
        <v>57</v>
      </c>
      <c r="F1625" s="24" t="str">
        <f aca="false">IFERROR(INDEX(Positions!$E$2:$E$6912,MATCH($A1625&amp;"|54",Positions!$A$2:$A$6912,0)),"-")</f>
        <v>U</v>
      </c>
      <c r="G1625" s="24" t="str">
        <f aca="false">IFERROR(INDEX(Positions!$E$2:$E$6912,MATCH($A1625&amp;"|58",Positions!$A$2:$A$6912,0)),"-")</f>
        <v>A</v>
      </c>
      <c r="H1625" s="25" t="str">
        <f aca="false">F1625&amp;"-"&amp;G1625</f>
        <v>U-A</v>
      </c>
      <c r="I1625" s="24" t="n">
        <f aca="false">(F1625="G")+(G1625="G")</f>
        <v>0</v>
      </c>
      <c r="J1625" s="24" t="n">
        <f aca="false">(F1625="C")+(G1625="C")</f>
        <v>0</v>
      </c>
      <c r="K1625" s="25" t="n">
        <f aca="false">I1625+J1625</f>
        <v>0</v>
      </c>
    </row>
    <row r="1626" customFormat="false" ht="15" hidden="false" customHeight="false" outlineLevel="0" collapsed="false">
      <c r="A1626" s="4" t="s">
        <v>95</v>
      </c>
      <c r="B1626" s="4" t="s">
        <v>412</v>
      </c>
      <c r="C1626" s="4" t="s">
        <v>517</v>
      </c>
      <c r="D1626" s="4" t="n">
        <f aca="false">IFERROR(INDEX(Positions!$D$2:$D$6912,MATCH($A1626&amp;"|1",Positions!$A$2:$A$6912,0)),"-")</f>
        <v>1</v>
      </c>
      <c r="E1626" s="4" t="n">
        <f aca="false">IFERROR(INDEX(Positions!$D$2:$D$6912,MATCH($A1626&amp;"|72",Positions!$A$2:$A$6912,0)),"-")</f>
        <v>71</v>
      </c>
      <c r="F1626" s="4" t="str">
        <f aca="false">IFERROR(INDEX(Positions!$E$2:$E$6912,MATCH($A1626&amp;"|1",Positions!$A$2:$A$6912,0)),"-")</f>
        <v>G</v>
      </c>
      <c r="G1626" s="4" t="str">
        <f aca="false">IFERROR(INDEX(Positions!$E$2:$E$6912,MATCH($A1626&amp;"|72",Positions!$A$2:$A$6912,0)),"-")</f>
        <v>C</v>
      </c>
      <c r="H1626" s="3" t="str">
        <f aca="false">F1626&amp;"-"&amp;G1626</f>
        <v>G-C</v>
      </c>
      <c r="I1626" s="4" t="n">
        <f aca="false">(F1626="G")+(G1626="G")</f>
        <v>1</v>
      </c>
      <c r="J1626" s="4" t="n">
        <f aca="false">(F1626="C")+(G1626="C")</f>
        <v>1</v>
      </c>
      <c r="K1626" s="3" t="n">
        <f aca="false">I1626+J1626</f>
        <v>2</v>
      </c>
    </row>
    <row r="1627" customFormat="false" ht="15" hidden="false" customHeight="false" outlineLevel="0" collapsed="false">
      <c r="A1627" s="4" t="s">
        <v>95</v>
      </c>
      <c r="B1627" s="4" t="s">
        <v>412</v>
      </c>
      <c r="C1627" s="4" t="s">
        <v>518</v>
      </c>
      <c r="D1627" s="4" t="n">
        <f aca="false">IFERROR(INDEX(Positions!$D$2:$D$6912,MATCH($A1627&amp;"|2",Positions!$A$2:$A$6912,0)),"-")</f>
        <v>2</v>
      </c>
      <c r="E1627" s="4" t="n">
        <f aca="false">IFERROR(INDEX(Positions!$D$2:$D$6912,MATCH($A1627&amp;"|71",Positions!$A$2:$A$6912,0)),"-")</f>
        <v>70</v>
      </c>
      <c r="F1627" s="4" t="str">
        <f aca="false">IFERROR(INDEX(Positions!$E$2:$E$6912,MATCH($A1627&amp;"|2",Positions!$A$2:$A$6912,0)),"-")</f>
        <v>G</v>
      </c>
      <c r="G1627" s="4" t="str">
        <f aca="false">IFERROR(INDEX(Positions!$E$2:$E$6912,MATCH($A1627&amp;"|71",Positions!$A$2:$A$6912,0)),"-")</f>
        <v>C</v>
      </c>
      <c r="H1627" s="3" t="str">
        <f aca="false">F1627&amp;"-"&amp;G1627</f>
        <v>G-C</v>
      </c>
      <c r="I1627" s="4" t="n">
        <f aca="false">(F1627="G")+(G1627="G")</f>
        <v>1</v>
      </c>
      <c r="J1627" s="4" t="n">
        <f aca="false">(F1627="C")+(G1627="C")</f>
        <v>1</v>
      </c>
      <c r="K1627" s="3" t="n">
        <f aca="false">I1627+J1627</f>
        <v>2</v>
      </c>
    </row>
    <row r="1628" customFormat="false" ht="15" hidden="false" customHeight="false" outlineLevel="0" collapsed="false">
      <c r="A1628" s="4" t="s">
        <v>95</v>
      </c>
      <c r="B1628" s="4" t="s">
        <v>412</v>
      </c>
      <c r="C1628" s="4" t="s">
        <v>386</v>
      </c>
      <c r="D1628" s="4" t="n">
        <f aca="false">IFERROR(INDEX(Positions!$D$2:$D$6912,MATCH($A1628&amp;"|3",Positions!$A$2:$A$6912,0)),"-")</f>
        <v>3</v>
      </c>
      <c r="E1628" s="4" t="n">
        <f aca="false">IFERROR(INDEX(Positions!$D$2:$D$6912,MATCH($A1628&amp;"|70",Positions!$A$2:$A$6912,0)),"-")</f>
        <v>69</v>
      </c>
      <c r="F1628" s="4" t="str">
        <f aca="false">IFERROR(INDEX(Positions!$E$2:$E$6912,MATCH($A1628&amp;"|3",Positions!$A$2:$A$6912,0)),"-")</f>
        <v>U</v>
      </c>
      <c r="G1628" s="4" t="str">
        <f aca="false">IFERROR(INDEX(Positions!$E$2:$E$6912,MATCH($A1628&amp;"|70",Positions!$A$2:$A$6912,0)),"-")</f>
        <v>A</v>
      </c>
      <c r="H1628" s="3" t="str">
        <f aca="false">F1628&amp;"-"&amp;G1628</f>
        <v>U-A</v>
      </c>
      <c r="I1628" s="4" t="n">
        <f aca="false">(F1628="G")+(G1628="G")</f>
        <v>0</v>
      </c>
      <c r="J1628" s="4" t="n">
        <f aca="false">(F1628="C")+(G1628="C")</f>
        <v>0</v>
      </c>
      <c r="K1628" s="3" t="n">
        <f aca="false">I1628+J1628</f>
        <v>0</v>
      </c>
    </row>
    <row r="1629" customFormat="false" ht="15" hidden="false" customHeight="false" outlineLevel="0" collapsed="false">
      <c r="A1629" s="4" t="s">
        <v>95</v>
      </c>
      <c r="B1629" s="4" t="s">
        <v>412</v>
      </c>
      <c r="C1629" s="4" t="s">
        <v>519</v>
      </c>
      <c r="D1629" s="4" t="n">
        <f aca="false">IFERROR(INDEX(Positions!$D$2:$D$6912,MATCH($A1629&amp;"|4",Positions!$A$2:$A$6912,0)),"-")</f>
        <v>4</v>
      </c>
      <c r="E1629" s="4" t="n">
        <f aca="false">IFERROR(INDEX(Positions!$D$2:$D$6912,MATCH($A1629&amp;"|69",Positions!$A$2:$A$6912,0)),"-")</f>
        <v>68</v>
      </c>
      <c r="F1629" s="4" t="str">
        <f aca="false">IFERROR(INDEX(Positions!$E$2:$E$6912,MATCH($A1629&amp;"|4",Positions!$A$2:$A$6912,0)),"-")</f>
        <v>U</v>
      </c>
      <c r="G1629" s="4" t="str">
        <f aca="false">IFERROR(INDEX(Positions!$E$2:$E$6912,MATCH($A1629&amp;"|69",Positions!$A$2:$A$6912,0)),"-")</f>
        <v>A</v>
      </c>
      <c r="H1629" s="3" t="str">
        <f aca="false">F1629&amp;"-"&amp;G1629</f>
        <v>U-A</v>
      </c>
      <c r="I1629" s="4" t="n">
        <f aca="false">(F1629="G")+(G1629="G")</f>
        <v>0</v>
      </c>
      <c r="J1629" s="4" t="n">
        <f aca="false">(F1629="C")+(G1629="C")</f>
        <v>0</v>
      </c>
      <c r="K1629" s="3" t="n">
        <f aca="false">I1629+J1629</f>
        <v>0</v>
      </c>
    </row>
    <row r="1630" customFormat="false" ht="15" hidden="false" customHeight="false" outlineLevel="0" collapsed="false">
      <c r="A1630" s="4" t="s">
        <v>95</v>
      </c>
      <c r="B1630" s="4" t="s">
        <v>412</v>
      </c>
      <c r="C1630" s="4" t="s">
        <v>283</v>
      </c>
      <c r="D1630" s="4" t="n">
        <f aca="false">IFERROR(INDEX(Positions!$D$2:$D$6912,MATCH($A1630&amp;"|5",Positions!$A$2:$A$6912,0)),"-")</f>
        <v>5</v>
      </c>
      <c r="E1630" s="4" t="n">
        <f aca="false">IFERROR(INDEX(Positions!$D$2:$D$6912,MATCH($A1630&amp;"|68",Positions!$A$2:$A$6912,0)),"-")</f>
        <v>67</v>
      </c>
      <c r="F1630" s="4" t="str">
        <f aca="false">IFERROR(INDEX(Positions!$E$2:$E$6912,MATCH($A1630&amp;"|5",Positions!$A$2:$A$6912,0)),"-")</f>
        <v>C</v>
      </c>
      <c r="G1630" s="4" t="str">
        <f aca="false">IFERROR(INDEX(Positions!$E$2:$E$6912,MATCH($A1630&amp;"|68",Positions!$A$2:$A$6912,0)),"-")</f>
        <v>G</v>
      </c>
      <c r="H1630" s="3" t="str">
        <f aca="false">F1630&amp;"-"&amp;G1630</f>
        <v>C-G</v>
      </c>
      <c r="I1630" s="4" t="n">
        <f aca="false">(F1630="G")+(G1630="G")</f>
        <v>1</v>
      </c>
      <c r="J1630" s="4" t="n">
        <f aca="false">(F1630="C")+(G1630="C")</f>
        <v>1</v>
      </c>
      <c r="K1630" s="3" t="n">
        <f aca="false">I1630+J1630</f>
        <v>2</v>
      </c>
    </row>
    <row r="1631" customFormat="false" ht="15" hidden="false" customHeight="false" outlineLevel="0" collapsed="false">
      <c r="A1631" s="4" t="s">
        <v>95</v>
      </c>
      <c r="B1631" s="4" t="s">
        <v>412</v>
      </c>
      <c r="C1631" s="4" t="s">
        <v>520</v>
      </c>
      <c r="D1631" s="4" t="n">
        <f aca="false">IFERROR(INDEX(Positions!$D$2:$D$6912,MATCH($A1631&amp;"|6",Positions!$A$2:$A$6912,0)),"-")</f>
        <v>6</v>
      </c>
      <c r="E1631" s="4" t="n">
        <f aca="false">IFERROR(INDEX(Positions!$D$2:$D$6912,MATCH($A1631&amp;"|67",Positions!$A$2:$A$6912,0)),"-")</f>
        <v>66</v>
      </c>
      <c r="F1631" s="4" t="str">
        <f aca="false">IFERROR(INDEX(Positions!$E$2:$E$6912,MATCH($A1631&amp;"|6",Positions!$A$2:$A$6912,0)),"-")</f>
        <v>C</v>
      </c>
      <c r="G1631" s="4" t="str">
        <f aca="false">IFERROR(INDEX(Positions!$E$2:$E$6912,MATCH($A1631&amp;"|67",Positions!$A$2:$A$6912,0)),"-")</f>
        <v>G</v>
      </c>
      <c r="H1631" s="3" t="str">
        <f aca="false">F1631&amp;"-"&amp;G1631</f>
        <v>C-G</v>
      </c>
      <c r="I1631" s="4" t="n">
        <f aca="false">(F1631="G")+(G1631="G")</f>
        <v>1</v>
      </c>
      <c r="J1631" s="4" t="n">
        <f aca="false">(F1631="C")+(G1631="C")</f>
        <v>1</v>
      </c>
      <c r="K1631" s="3" t="n">
        <f aca="false">I1631+J1631</f>
        <v>2</v>
      </c>
    </row>
    <row r="1632" customFormat="false" ht="15" hidden="false" customHeight="false" outlineLevel="0" collapsed="false">
      <c r="A1632" s="4" t="s">
        <v>95</v>
      </c>
      <c r="B1632" s="4" t="s">
        <v>412</v>
      </c>
      <c r="C1632" s="4" t="s">
        <v>521</v>
      </c>
      <c r="D1632" s="4" t="n">
        <f aca="false">IFERROR(INDEX(Positions!$D$2:$D$6912,MATCH($A1632&amp;"|7",Positions!$A$2:$A$6912,0)),"-")</f>
        <v>7</v>
      </c>
      <c r="E1632" s="4" t="n">
        <f aca="false">IFERROR(INDEX(Positions!$D$2:$D$6912,MATCH($A1632&amp;"|66",Positions!$A$2:$A$6912,0)),"-")</f>
        <v>65</v>
      </c>
      <c r="F1632" s="4" t="str">
        <f aca="false">IFERROR(INDEX(Positions!$E$2:$E$6912,MATCH($A1632&amp;"|7",Positions!$A$2:$A$6912,0)),"-")</f>
        <v>A</v>
      </c>
      <c r="G1632" s="4" t="str">
        <f aca="false">IFERROR(INDEX(Positions!$E$2:$E$6912,MATCH($A1632&amp;"|66",Positions!$A$2:$A$6912,0)),"-")</f>
        <v>U</v>
      </c>
      <c r="H1632" s="3" t="str">
        <f aca="false">F1632&amp;"-"&amp;G1632</f>
        <v>A-U</v>
      </c>
      <c r="I1632" s="4" t="n">
        <f aca="false">(F1632="G")+(G1632="G")</f>
        <v>0</v>
      </c>
      <c r="J1632" s="4" t="n">
        <f aca="false">(F1632="C")+(G1632="C")</f>
        <v>0</v>
      </c>
      <c r="K1632" s="3" t="n">
        <f aca="false">I1632+J1632</f>
        <v>0</v>
      </c>
    </row>
    <row r="1633" customFormat="false" ht="15" hidden="false" customHeight="false" outlineLevel="0" collapsed="false">
      <c r="A1633" s="4" t="s">
        <v>95</v>
      </c>
      <c r="B1633" s="4" t="s">
        <v>425</v>
      </c>
      <c r="C1633" s="4" t="s">
        <v>522</v>
      </c>
      <c r="D1633" s="4" t="n">
        <f aca="false">IFERROR(INDEX(Positions!$D$2:$D$6912,MATCH($A1633&amp;"|10",Positions!$A$2:$A$6912,0)),"-")</f>
        <v>10</v>
      </c>
      <c r="E1633" s="4" t="n">
        <f aca="false">IFERROR(INDEX(Positions!$D$2:$D$6912,MATCH($A1633&amp;"|25",Positions!$A$2:$A$6912,0)),"-")</f>
        <v>25</v>
      </c>
      <c r="F1633" s="4" t="str">
        <f aca="false">IFERROR(INDEX(Positions!$E$2:$E$6912,MATCH($A1633&amp;"|10",Positions!$A$2:$A$6912,0)),"-")</f>
        <v>G</v>
      </c>
      <c r="G1633" s="4" t="str">
        <f aca="false">IFERROR(INDEX(Positions!$E$2:$E$6912,MATCH($A1633&amp;"|25",Positions!$A$2:$A$6912,0)),"-")</f>
        <v>C</v>
      </c>
      <c r="H1633" s="3" t="str">
        <f aca="false">F1633&amp;"-"&amp;G1633</f>
        <v>G-C</v>
      </c>
      <c r="I1633" s="4" t="n">
        <f aca="false">(F1633="G")+(G1633="G")</f>
        <v>1</v>
      </c>
      <c r="J1633" s="4" t="n">
        <f aca="false">(F1633="C")+(G1633="C")</f>
        <v>1</v>
      </c>
      <c r="K1633" s="3" t="n">
        <f aca="false">I1633+J1633</f>
        <v>2</v>
      </c>
    </row>
    <row r="1634" customFormat="false" ht="15" hidden="false" customHeight="false" outlineLevel="0" collapsed="false">
      <c r="A1634" s="4" t="s">
        <v>95</v>
      </c>
      <c r="B1634" s="4" t="s">
        <v>425</v>
      </c>
      <c r="C1634" s="4" t="s">
        <v>523</v>
      </c>
      <c r="D1634" s="4" t="n">
        <f aca="false">IFERROR(INDEX(Positions!$D$2:$D$6912,MATCH($A1634&amp;"|11",Positions!$A$2:$A$6912,0)),"-")</f>
        <v>11</v>
      </c>
      <c r="E1634" s="4" t="n">
        <f aca="false">IFERROR(INDEX(Positions!$D$2:$D$6912,MATCH($A1634&amp;"|24",Positions!$A$2:$A$6912,0)),"-")</f>
        <v>24</v>
      </c>
      <c r="F1634" s="4" t="str">
        <f aca="false">IFERROR(INDEX(Positions!$E$2:$E$6912,MATCH($A1634&amp;"|11",Positions!$A$2:$A$6912,0)),"-")</f>
        <v>U</v>
      </c>
      <c r="G1634" s="4" t="str">
        <f aca="false">IFERROR(INDEX(Positions!$E$2:$E$6912,MATCH($A1634&amp;"|24",Positions!$A$2:$A$6912,0)),"-")</f>
        <v>A</v>
      </c>
      <c r="H1634" s="3" t="str">
        <f aca="false">F1634&amp;"-"&amp;G1634</f>
        <v>U-A</v>
      </c>
      <c r="I1634" s="4" t="n">
        <f aca="false">(F1634="G")+(G1634="G")</f>
        <v>0</v>
      </c>
      <c r="J1634" s="4" t="n">
        <f aca="false">(F1634="C")+(G1634="C")</f>
        <v>0</v>
      </c>
      <c r="K1634" s="3" t="n">
        <f aca="false">I1634+J1634</f>
        <v>0</v>
      </c>
    </row>
    <row r="1635" customFormat="false" ht="15" hidden="false" customHeight="false" outlineLevel="0" collapsed="false">
      <c r="A1635" s="4" t="s">
        <v>95</v>
      </c>
      <c r="B1635" s="4" t="s">
        <v>425</v>
      </c>
      <c r="C1635" s="4" t="s">
        <v>250</v>
      </c>
      <c r="D1635" s="4" t="n">
        <f aca="false">IFERROR(INDEX(Positions!$D$2:$D$6912,MATCH($A1635&amp;"|12",Positions!$A$2:$A$6912,0)),"-")</f>
        <v>12</v>
      </c>
      <c r="E1635" s="4" t="n">
        <f aca="false">IFERROR(INDEX(Positions!$D$2:$D$6912,MATCH($A1635&amp;"|23",Positions!$A$2:$A$6912,0)),"-")</f>
        <v>23</v>
      </c>
      <c r="F1635" s="4" t="str">
        <f aca="false">IFERROR(INDEX(Positions!$E$2:$E$6912,MATCH($A1635&amp;"|12",Positions!$A$2:$A$6912,0)),"-")</f>
        <v>G</v>
      </c>
      <c r="G1635" s="4" t="str">
        <f aca="false">IFERROR(INDEX(Positions!$E$2:$E$6912,MATCH($A1635&amp;"|23",Positions!$A$2:$A$6912,0)),"-")</f>
        <v>C</v>
      </c>
      <c r="H1635" s="3" t="str">
        <f aca="false">F1635&amp;"-"&amp;G1635</f>
        <v>G-C</v>
      </c>
      <c r="I1635" s="4" t="n">
        <f aca="false">(F1635="G")+(G1635="G")</f>
        <v>1</v>
      </c>
      <c r="J1635" s="4" t="n">
        <f aca="false">(F1635="C")+(G1635="C")</f>
        <v>1</v>
      </c>
      <c r="K1635" s="3" t="n">
        <f aca="false">I1635+J1635</f>
        <v>2</v>
      </c>
    </row>
    <row r="1636" customFormat="false" ht="15" hidden="false" customHeight="false" outlineLevel="0" collapsed="false">
      <c r="A1636" s="4" t="s">
        <v>95</v>
      </c>
      <c r="B1636" s="4" t="s">
        <v>425</v>
      </c>
      <c r="C1636" s="4" t="s">
        <v>154</v>
      </c>
      <c r="D1636" s="4" t="n">
        <f aca="false">IFERROR(INDEX(Positions!$D$2:$D$6912,MATCH($A1636&amp;"|13",Positions!$A$2:$A$6912,0)),"-")</f>
        <v>13</v>
      </c>
      <c r="E1636" s="4" t="n">
        <f aca="false">IFERROR(INDEX(Positions!$D$2:$D$6912,MATCH($A1636&amp;"|22",Positions!$A$2:$A$6912,0)),"-")</f>
        <v>22</v>
      </c>
      <c r="F1636" s="4" t="str">
        <f aca="false">IFERROR(INDEX(Positions!$E$2:$E$6912,MATCH($A1636&amp;"|13",Positions!$A$2:$A$6912,0)),"-")</f>
        <v>U</v>
      </c>
      <c r="G1636" s="4" t="str">
        <f aca="false">IFERROR(INDEX(Positions!$E$2:$E$6912,MATCH($A1636&amp;"|22",Positions!$A$2:$A$6912,0)),"-")</f>
        <v>G</v>
      </c>
      <c r="H1636" s="3" t="str">
        <f aca="false">F1636&amp;"-"&amp;G1636</f>
        <v>U-G</v>
      </c>
      <c r="I1636" s="4" t="n">
        <f aca="false">(F1636="G")+(G1636="G")</f>
        <v>1</v>
      </c>
      <c r="J1636" s="4" t="n">
        <f aca="false">(F1636="C")+(G1636="C")</f>
        <v>0</v>
      </c>
      <c r="K1636" s="3" t="n">
        <f aca="false">I1636+J1636</f>
        <v>1</v>
      </c>
    </row>
    <row r="1637" customFormat="false" ht="15" hidden="false" customHeight="false" outlineLevel="0" collapsed="false">
      <c r="A1637" s="4" t="s">
        <v>95</v>
      </c>
      <c r="B1637" s="4" t="s">
        <v>446</v>
      </c>
      <c r="C1637" s="4" t="s">
        <v>524</v>
      </c>
      <c r="D1637" s="4" t="n">
        <f aca="false">IFERROR(INDEX(Positions!$D$2:$D$6912,MATCH($A1637&amp;"|27",Positions!$A$2:$A$6912,0)),"-")</f>
        <v>27</v>
      </c>
      <c r="E1637" s="4" t="n">
        <f aca="false">IFERROR(INDEX(Positions!$D$2:$D$6912,MATCH($A1637&amp;"|43",Positions!$A$2:$A$6912,0)),"-")</f>
        <v>43</v>
      </c>
      <c r="F1637" s="4" t="str">
        <f aca="false">IFERROR(INDEX(Positions!$E$2:$E$6912,MATCH($A1637&amp;"|27",Positions!$A$2:$A$6912,0)),"-")</f>
        <v>C</v>
      </c>
      <c r="G1637" s="4" t="str">
        <f aca="false">IFERROR(INDEX(Positions!$E$2:$E$6912,MATCH($A1637&amp;"|43",Positions!$A$2:$A$6912,0)),"-")</f>
        <v>G</v>
      </c>
      <c r="H1637" s="3" t="str">
        <f aca="false">F1637&amp;"-"&amp;G1637</f>
        <v>C-G</v>
      </c>
      <c r="I1637" s="4" t="n">
        <f aca="false">(F1637="G")+(G1637="G")</f>
        <v>1</v>
      </c>
      <c r="J1637" s="4" t="n">
        <f aca="false">(F1637="C")+(G1637="C")</f>
        <v>1</v>
      </c>
      <c r="K1637" s="3" t="n">
        <f aca="false">I1637+J1637</f>
        <v>2</v>
      </c>
    </row>
    <row r="1638" customFormat="false" ht="15" hidden="false" customHeight="false" outlineLevel="0" collapsed="false">
      <c r="A1638" s="4" t="s">
        <v>95</v>
      </c>
      <c r="B1638" s="4" t="s">
        <v>446</v>
      </c>
      <c r="C1638" s="4" t="s">
        <v>525</v>
      </c>
      <c r="D1638" s="4" t="n">
        <f aca="false">IFERROR(INDEX(Positions!$D$2:$D$6912,MATCH($A1638&amp;"|28",Positions!$A$2:$A$6912,0)),"-")</f>
        <v>28</v>
      </c>
      <c r="E1638" s="4" t="n">
        <f aca="false">IFERROR(INDEX(Positions!$D$2:$D$6912,MATCH($A1638&amp;"|42",Positions!$A$2:$A$6912,0)),"-")</f>
        <v>42</v>
      </c>
      <c r="F1638" s="4" t="str">
        <f aca="false">IFERROR(INDEX(Positions!$E$2:$E$6912,MATCH($A1638&amp;"|28",Positions!$A$2:$A$6912,0)),"-")</f>
        <v>U</v>
      </c>
      <c r="G1638" s="4" t="str">
        <f aca="false">IFERROR(INDEX(Positions!$E$2:$E$6912,MATCH($A1638&amp;"|42",Positions!$A$2:$A$6912,0)),"-")</f>
        <v>A</v>
      </c>
      <c r="H1638" s="3" t="str">
        <f aca="false">F1638&amp;"-"&amp;G1638</f>
        <v>U-A</v>
      </c>
      <c r="I1638" s="4" t="n">
        <f aca="false">(F1638="G")+(G1638="G")</f>
        <v>0</v>
      </c>
      <c r="J1638" s="4" t="n">
        <f aca="false">(F1638="C")+(G1638="C")</f>
        <v>0</v>
      </c>
      <c r="K1638" s="3" t="n">
        <f aca="false">I1638+J1638</f>
        <v>0</v>
      </c>
    </row>
    <row r="1639" customFormat="false" ht="15" hidden="false" customHeight="false" outlineLevel="0" collapsed="false">
      <c r="A1639" s="4" t="s">
        <v>95</v>
      </c>
      <c r="B1639" s="4" t="s">
        <v>446</v>
      </c>
      <c r="C1639" s="4" t="s">
        <v>256</v>
      </c>
      <c r="D1639" s="4" t="n">
        <f aca="false">IFERROR(INDEX(Positions!$D$2:$D$6912,MATCH($A1639&amp;"|29",Positions!$A$2:$A$6912,0)),"-")</f>
        <v>29</v>
      </c>
      <c r="E1639" s="4" t="n">
        <f aca="false">IFERROR(INDEX(Positions!$D$2:$D$6912,MATCH($A1639&amp;"|41",Positions!$A$2:$A$6912,0)),"-")</f>
        <v>41</v>
      </c>
      <c r="F1639" s="4" t="str">
        <f aca="false">IFERROR(INDEX(Positions!$E$2:$E$6912,MATCH($A1639&amp;"|29",Positions!$A$2:$A$6912,0)),"-")</f>
        <v>G</v>
      </c>
      <c r="G1639" s="4" t="str">
        <f aca="false">IFERROR(INDEX(Positions!$E$2:$E$6912,MATCH($A1639&amp;"|41",Positions!$A$2:$A$6912,0)),"-")</f>
        <v>C</v>
      </c>
      <c r="H1639" s="3" t="str">
        <f aca="false">F1639&amp;"-"&amp;G1639</f>
        <v>G-C</v>
      </c>
      <c r="I1639" s="4" t="n">
        <f aca="false">(F1639="G")+(G1639="G")</f>
        <v>1</v>
      </c>
      <c r="J1639" s="4" t="n">
        <f aca="false">(F1639="C")+(G1639="C")</f>
        <v>1</v>
      </c>
      <c r="K1639" s="3" t="n">
        <f aca="false">I1639+J1639</f>
        <v>2</v>
      </c>
    </row>
    <row r="1640" customFormat="false" ht="15" hidden="false" customHeight="false" outlineLevel="0" collapsed="false">
      <c r="A1640" s="4" t="s">
        <v>95</v>
      </c>
      <c r="B1640" s="4" t="s">
        <v>446</v>
      </c>
      <c r="C1640" s="4" t="s">
        <v>526</v>
      </c>
      <c r="D1640" s="4" t="n">
        <f aca="false">IFERROR(INDEX(Positions!$D$2:$D$6912,MATCH($A1640&amp;"|30",Positions!$A$2:$A$6912,0)),"-")</f>
        <v>30</v>
      </c>
      <c r="E1640" s="4" t="n">
        <f aca="false">IFERROR(INDEX(Positions!$D$2:$D$6912,MATCH($A1640&amp;"|40",Positions!$A$2:$A$6912,0)),"-")</f>
        <v>40</v>
      </c>
      <c r="F1640" s="4" t="str">
        <f aca="false">IFERROR(INDEX(Positions!$E$2:$E$6912,MATCH($A1640&amp;"|30",Positions!$A$2:$A$6912,0)),"-")</f>
        <v>G</v>
      </c>
      <c r="G1640" s="4" t="str">
        <f aca="false">IFERROR(INDEX(Positions!$E$2:$E$6912,MATCH($A1640&amp;"|40",Positions!$A$2:$A$6912,0)),"-")</f>
        <v>C</v>
      </c>
      <c r="H1640" s="3" t="str">
        <f aca="false">F1640&amp;"-"&amp;G1640</f>
        <v>G-C</v>
      </c>
      <c r="I1640" s="4" t="n">
        <f aca="false">(F1640="G")+(G1640="G")</f>
        <v>1</v>
      </c>
      <c r="J1640" s="4" t="n">
        <f aca="false">(F1640="C")+(G1640="C")</f>
        <v>1</v>
      </c>
      <c r="K1640" s="3" t="n">
        <f aca="false">I1640+J1640</f>
        <v>2</v>
      </c>
    </row>
    <row r="1641" customFormat="false" ht="15" hidden="false" customHeight="false" outlineLevel="0" collapsed="false">
      <c r="A1641" s="4" t="s">
        <v>95</v>
      </c>
      <c r="B1641" s="4" t="s">
        <v>446</v>
      </c>
      <c r="C1641" s="4" t="s">
        <v>273</v>
      </c>
      <c r="D1641" s="4" t="n">
        <f aca="false">IFERROR(INDEX(Positions!$D$2:$D$6912,MATCH($A1641&amp;"|31",Positions!$A$2:$A$6912,0)),"-")</f>
        <v>31</v>
      </c>
      <c r="E1641" s="4" t="n">
        <f aca="false">IFERROR(INDEX(Positions!$D$2:$D$6912,MATCH($A1641&amp;"|39",Positions!$A$2:$A$6912,0)),"-")</f>
        <v>39</v>
      </c>
      <c r="F1641" s="4" t="str">
        <f aca="false">IFERROR(INDEX(Positions!$E$2:$E$6912,MATCH($A1641&amp;"|31",Positions!$A$2:$A$6912,0)),"-")</f>
        <v>A</v>
      </c>
      <c r="G1641" s="4" t="str">
        <f aca="false">IFERROR(INDEX(Positions!$E$2:$E$6912,MATCH($A1641&amp;"|39",Positions!$A$2:$A$6912,0)),"-")</f>
        <v>U</v>
      </c>
      <c r="H1641" s="3" t="str">
        <f aca="false">F1641&amp;"-"&amp;G1641</f>
        <v>A-U</v>
      </c>
      <c r="I1641" s="4" t="n">
        <f aca="false">(F1641="G")+(G1641="G")</f>
        <v>0</v>
      </c>
      <c r="J1641" s="4" t="n">
        <f aca="false">(F1641="C")+(G1641="C")</f>
        <v>0</v>
      </c>
      <c r="K1641" s="3" t="n">
        <f aca="false">I1641+J1641</f>
        <v>0</v>
      </c>
    </row>
    <row r="1642" customFormat="false" ht="15" hidden="false" customHeight="false" outlineLevel="0" collapsed="false">
      <c r="A1642" s="4" t="s">
        <v>95</v>
      </c>
      <c r="B1642" s="4" t="s">
        <v>471</v>
      </c>
      <c r="C1642" s="4" t="s">
        <v>367</v>
      </c>
      <c r="D1642" s="4" t="n">
        <f aca="false">IFERROR(INDEX(Positions!$D$2:$D$6912,MATCH($A1642&amp;"|49",Positions!$A$2:$A$6912,0)),"-")</f>
        <v>48</v>
      </c>
      <c r="E1642" s="4" t="n">
        <f aca="false">IFERROR(INDEX(Positions!$D$2:$D$6912,MATCH($A1642&amp;"|65",Positions!$A$2:$A$6912,0)),"-")</f>
        <v>64</v>
      </c>
      <c r="F1642" s="4" t="str">
        <f aca="false">IFERROR(INDEX(Positions!$E$2:$E$6912,MATCH($A1642&amp;"|49",Positions!$A$2:$A$6912,0)),"-")</f>
        <v>C</v>
      </c>
      <c r="G1642" s="4" t="str">
        <f aca="false">IFERROR(INDEX(Positions!$E$2:$E$6912,MATCH($A1642&amp;"|65",Positions!$A$2:$A$6912,0)),"-")</f>
        <v>G</v>
      </c>
      <c r="H1642" s="3" t="str">
        <f aca="false">F1642&amp;"-"&amp;G1642</f>
        <v>C-G</v>
      </c>
      <c r="I1642" s="4" t="n">
        <f aca="false">(F1642="G")+(G1642="G")</f>
        <v>1</v>
      </c>
      <c r="J1642" s="4" t="n">
        <f aca="false">(F1642="C")+(G1642="C")</f>
        <v>1</v>
      </c>
      <c r="K1642" s="3" t="n">
        <f aca="false">I1642+J1642</f>
        <v>2</v>
      </c>
    </row>
    <row r="1643" customFormat="false" ht="15" hidden="false" customHeight="false" outlineLevel="0" collapsed="false">
      <c r="A1643" s="4" t="s">
        <v>95</v>
      </c>
      <c r="B1643" s="4" t="s">
        <v>471</v>
      </c>
      <c r="C1643" s="4" t="s">
        <v>233</v>
      </c>
      <c r="D1643" s="4" t="n">
        <f aca="false">IFERROR(INDEX(Positions!$D$2:$D$6912,MATCH($A1643&amp;"|50",Positions!$A$2:$A$6912,0)),"-")</f>
        <v>49</v>
      </c>
      <c r="E1643" s="4" t="n">
        <f aca="false">IFERROR(INDEX(Positions!$D$2:$D$6912,MATCH($A1643&amp;"|64",Positions!$A$2:$A$6912,0)),"-")</f>
        <v>63</v>
      </c>
      <c r="F1643" s="4" t="str">
        <f aca="false">IFERROR(INDEX(Positions!$E$2:$E$6912,MATCH($A1643&amp;"|50",Positions!$A$2:$A$6912,0)),"-")</f>
        <v>C</v>
      </c>
      <c r="G1643" s="4" t="str">
        <f aca="false">IFERROR(INDEX(Positions!$E$2:$E$6912,MATCH($A1643&amp;"|64",Positions!$A$2:$A$6912,0)),"-")</f>
        <v>G</v>
      </c>
      <c r="H1643" s="3" t="str">
        <f aca="false">F1643&amp;"-"&amp;G1643</f>
        <v>C-G</v>
      </c>
      <c r="I1643" s="4" t="n">
        <f aca="false">(F1643="G")+(G1643="G")</f>
        <v>1</v>
      </c>
      <c r="J1643" s="4" t="n">
        <f aca="false">(F1643="C")+(G1643="C")</f>
        <v>1</v>
      </c>
      <c r="K1643" s="3" t="n">
        <f aca="false">I1643+J1643</f>
        <v>2</v>
      </c>
    </row>
    <row r="1644" customFormat="false" ht="15" hidden="false" customHeight="false" outlineLevel="0" collapsed="false">
      <c r="A1644" s="4" t="s">
        <v>95</v>
      </c>
      <c r="B1644" s="4" t="s">
        <v>471</v>
      </c>
      <c r="C1644" s="4" t="s">
        <v>527</v>
      </c>
      <c r="D1644" s="4" t="n">
        <f aca="false">IFERROR(INDEX(Positions!$D$2:$D$6912,MATCH($A1644&amp;"|51",Positions!$A$2:$A$6912,0)),"-")</f>
        <v>50</v>
      </c>
      <c r="E1644" s="4" t="n">
        <f aca="false">IFERROR(INDEX(Positions!$D$2:$D$6912,MATCH($A1644&amp;"|63",Positions!$A$2:$A$6912,0)),"-")</f>
        <v>62</v>
      </c>
      <c r="F1644" s="4" t="str">
        <f aca="false">IFERROR(INDEX(Positions!$E$2:$E$6912,MATCH($A1644&amp;"|51",Positions!$A$2:$A$6912,0)),"-")</f>
        <v>G</v>
      </c>
      <c r="G1644" s="4" t="str">
        <f aca="false">IFERROR(INDEX(Positions!$E$2:$E$6912,MATCH($A1644&amp;"|63",Positions!$A$2:$A$6912,0)),"-")</f>
        <v>C</v>
      </c>
      <c r="H1644" s="3" t="str">
        <f aca="false">F1644&amp;"-"&amp;G1644</f>
        <v>G-C</v>
      </c>
      <c r="I1644" s="4" t="n">
        <f aca="false">(F1644="G")+(G1644="G")</f>
        <v>1</v>
      </c>
      <c r="J1644" s="4" t="n">
        <f aca="false">(F1644="C")+(G1644="C")</f>
        <v>1</v>
      </c>
      <c r="K1644" s="3" t="n">
        <f aca="false">I1644+J1644</f>
        <v>2</v>
      </c>
    </row>
    <row r="1645" customFormat="false" ht="15" hidden="false" customHeight="false" outlineLevel="0" collapsed="false">
      <c r="A1645" s="4" t="s">
        <v>95</v>
      </c>
      <c r="B1645" s="4" t="s">
        <v>471</v>
      </c>
      <c r="C1645" s="4" t="s">
        <v>528</v>
      </c>
      <c r="D1645" s="4" t="n">
        <f aca="false">IFERROR(INDEX(Positions!$D$2:$D$6912,MATCH($A1645&amp;"|52",Positions!$A$2:$A$6912,0)),"-")</f>
        <v>51</v>
      </c>
      <c r="E1645" s="4" t="n">
        <f aca="false">IFERROR(INDEX(Positions!$D$2:$D$6912,MATCH($A1645&amp;"|62",Positions!$A$2:$A$6912,0)),"-")</f>
        <v>61</v>
      </c>
      <c r="F1645" s="4" t="str">
        <f aca="false">IFERROR(INDEX(Positions!$E$2:$E$6912,MATCH($A1645&amp;"|52",Positions!$A$2:$A$6912,0)),"-")</f>
        <v>A</v>
      </c>
      <c r="G1645" s="4" t="str">
        <f aca="false">IFERROR(INDEX(Positions!$E$2:$E$6912,MATCH($A1645&amp;"|62",Positions!$A$2:$A$6912,0)),"-")</f>
        <v>U</v>
      </c>
      <c r="H1645" s="3" t="str">
        <f aca="false">F1645&amp;"-"&amp;G1645</f>
        <v>A-U</v>
      </c>
      <c r="I1645" s="4" t="n">
        <f aca="false">(F1645="G")+(G1645="G")</f>
        <v>0</v>
      </c>
      <c r="J1645" s="4" t="n">
        <f aca="false">(F1645="C")+(G1645="C")</f>
        <v>0</v>
      </c>
      <c r="K1645" s="3" t="n">
        <f aca="false">I1645+J1645</f>
        <v>0</v>
      </c>
    </row>
    <row r="1646" customFormat="false" ht="15" hidden="false" customHeight="false" outlineLevel="0" collapsed="false">
      <c r="A1646" s="4" t="s">
        <v>95</v>
      </c>
      <c r="B1646" s="4" t="s">
        <v>471</v>
      </c>
      <c r="C1646" s="4" t="s">
        <v>529</v>
      </c>
      <c r="D1646" s="4" t="n">
        <f aca="false">IFERROR(INDEX(Positions!$D$2:$D$6912,MATCH($A1646&amp;"|53",Positions!$A$2:$A$6912,0)),"-")</f>
        <v>52</v>
      </c>
      <c r="E1646" s="4" t="n">
        <f aca="false">IFERROR(INDEX(Positions!$D$2:$D$6912,MATCH($A1646&amp;"|61",Positions!$A$2:$A$6912,0)),"-")</f>
        <v>60</v>
      </c>
      <c r="F1646" s="4" t="str">
        <f aca="false">IFERROR(INDEX(Positions!$E$2:$E$6912,MATCH($A1646&amp;"|53",Positions!$A$2:$A$6912,0)),"-")</f>
        <v>G</v>
      </c>
      <c r="G1646" s="4" t="str">
        <f aca="false">IFERROR(INDEX(Positions!$E$2:$E$6912,MATCH($A1646&amp;"|61",Positions!$A$2:$A$6912,0)),"-")</f>
        <v>C</v>
      </c>
      <c r="H1646" s="3" t="str">
        <f aca="false">F1646&amp;"-"&amp;G1646</f>
        <v>G-C</v>
      </c>
      <c r="I1646" s="4" t="n">
        <f aca="false">(F1646="G")+(G1646="G")</f>
        <v>1</v>
      </c>
      <c r="J1646" s="4" t="n">
        <f aca="false">(F1646="C")+(G1646="C")</f>
        <v>1</v>
      </c>
      <c r="K1646" s="3" t="n">
        <f aca="false">I1646+J1646</f>
        <v>2</v>
      </c>
    </row>
    <row r="1647" customFormat="false" ht="15" hidden="false" customHeight="false" outlineLevel="0" collapsed="false">
      <c r="A1647" s="24" t="s">
        <v>95</v>
      </c>
      <c r="B1647" s="24" t="s">
        <v>530</v>
      </c>
      <c r="C1647" s="24" t="s">
        <v>531</v>
      </c>
      <c r="D1647" s="24" t="n">
        <f aca="false">IFERROR(INDEX(Positions!$D$2:$D$6912,MATCH($A1647&amp;"|8",Positions!$A$2:$A$6912,0)),"-")</f>
        <v>8</v>
      </c>
      <c r="E1647" s="24" t="n">
        <f aca="false">IFERROR(INDEX(Positions!$D$2:$D$6912,MATCH($A1647&amp;"|14",Positions!$A$2:$A$6912,0)),"-")</f>
        <v>14</v>
      </c>
      <c r="F1647" s="24" t="str">
        <f aca="false">IFERROR(INDEX(Positions!$E$2:$E$6912,MATCH($A1647&amp;"|8",Positions!$A$2:$A$6912,0)),"-")</f>
        <v>U</v>
      </c>
      <c r="G1647" s="24" t="str">
        <f aca="false">IFERROR(INDEX(Positions!$E$2:$E$6912,MATCH($A1647&amp;"|14",Positions!$A$2:$A$6912,0)),"-")</f>
        <v>A</v>
      </c>
      <c r="H1647" s="25" t="str">
        <f aca="false">F1647&amp;"-"&amp;G1647</f>
        <v>U-A</v>
      </c>
      <c r="I1647" s="24" t="n">
        <f aca="false">(F1647="G")+(G1647="G")</f>
        <v>0</v>
      </c>
      <c r="J1647" s="24" t="n">
        <f aca="false">(F1647="C")+(G1647="C")</f>
        <v>0</v>
      </c>
      <c r="K1647" s="25" t="n">
        <f aca="false">I1647+J1647</f>
        <v>0</v>
      </c>
    </row>
    <row r="1648" customFormat="false" ht="15" hidden="false" customHeight="false" outlineLevel="0" collapsed="false">
      <c r="A1648" s="24" t="s">
        <v>95</v>
      </c>
      <c r="B1648" s="24" t="s">
        <v>530</v>
      </c>
      <c r="C1648" s="24" t="s">
        <v>532</v>
      </c>
      <c r="D1648" s="24" t="n">
        <f aca="false">IFERROR(INDEX(Positions!$D$2:$D$6912,MATCH($A1648&amp;"|15",Positions!$A$2:$A$6912,0)),"-")</f>
        <v>15</v>
      </c>
      <c r="E1648" s="24" t="n">
        <f aca="false">IFERROR(INDEX(Positions!$D$2:$D$6912,MATCH($A1648&amp;"|48",Positions!$A$2:$A$6912,0)),"-")</f>
        <v>47</v>
      </c>
      <c r="F1648" s="24" t="str">
        <f aca="false">IFERROR(INDEX(Positions!$E$2:$E$6912,MATCH($A1648&amp;"|15",Positions!$A$2:$A$6912,0)),"-")</f>
        <v>A</v>
      </c>
      <c r="G1648" s="24" t="str">
        <f aca="false">IFERROR(INDEX(Positions!$E$2:$E$6912,MATCH($A1648&amp;"|48",Positions!$A$2:$A$6912,0)),"-")</f>
        <v>U</v>
      </c>
      <c r="H1648" s="25" t="str">
        <f aca="false">F1648&amp;"-"&amp;G1648</f>
        <v>A-U</v>
      </c>
      <c r="I1648" s="24" t="n">
        <f aca="false">(F1648="G")+(G1648="G")</f>
        <v>0</v>
      </c>
      <c r="J1648" s="24" t="n">
        <f aca="false">(F1648="C")+(G1648="C")</f>
        <v>0</v>
      </c>
      <c r="K1648" s="25" t="n">
        <f aca="false">I1648+J1648</f>
        <v>0</v>
      </c>
    </row>
    <row r="1649" customFormat="false" ht="15" hidden="false" customHeight="false" outlineLevel="0" collapsed="false">
      <c r="A1649" s="24" t="s">
        <v>95</v>
      </c>
      <c r="B1649" s="24" t="s">
        <v>530</v>
      </c>
      <c r="C1649" s="24" t="s">
        <v>533</v>
      </c>
      <c r="D1649" s="24" t="n">
        <f aca="false">IFERROR(INDEX(Positions!$D$2:$D$6912,MATCH($A1649&amp;"|18",Positions!$A$2:$A$6912,0)),"-")</f>
        <v>17</v>
      </c>
      <c r="E1649" s="24" t="n">
        <f aca="false">IFERROR(INDEX(Positions!$D$2:$D$6912,MATCH($A1649&amp;"|55",Positions!$A$2:$A$6912,0)),"-")</f>
        <v>54</v>
      </c>
      <c r="F1649" s="24" t="str">
        <f aca="false">IFERROR(INDEX(Positions!$E$2:$E$6912,MATCH($A1649&amp;"|18",Positions!$A$2:$A$6912,0)),"-")</f>
        <v>G</v>
      </c>
      <c r="G1649" s="24" t="str">
        <f aca="false">IFERROR(INDEX(Positions!$E$2:$E$6912,MATCH($A1649&amp;"|55",Positions!$A$2:$A$6912,0)),"-")</f>
        <v>U</v>
      </c>
      <c r="H1649" s="25" t="str">
        <f aca="false">F1649&amp;"-"&amp;G1649</f>
        <v>G-U</v>
      </c>
      <c r="I1649" s="24" t="n">
        <f aca="false">(F1649="G")+(G1649="G")</f>
        <v>1</v>
      </c>
      <c r="J1649" s="24" t="n">
        <f aca="false">(F1649="C")+(G1649="C")</f>
        <v>0</v>
      </c>
      <c r="K1649" s="25" t="n">
        <f aca="false">I1649+J1649</f>
        <v>1</v>
      </c>
    </row>
    <row r="1650" customFormat="false" ht="15" hidden="false" customHeight="false" outlineLevel="0" collapsed="false">
      <c r="A1650" s="24" t="s">
        <v>95</v>
      </c>
      <c r="B1650" s="24" t="s">
        <v>530</v>
      </c>
      <c r="C1650" s="24" t="s">
        <v>534</v>
      </c>
      <c r="D1650" s="24" t="n">
        <f aca="false">IFERROR(INDEX(Positions!$D$2:$D$6912,MATCH($A1650&amp;"|19",Positions!$A$2:$A$6912,0)),"-")</f>
        <v>18</v>
      </c>
      <c r="E1650" s="24" t="n">
        <f aca="false">IFERROR(INDEX(Positions!$D$2:$D$6912,MATCH($A1650&amp;"|56",Positions!$A$2:$A$6912,0)),"-")</f>
        <v>55</v>
      </c>
      <c r="F1650" s="24" t="str">
        <f aca="false">IFERROR(INDEX(Positions!$E$2:$E$6912,MATCH($A1650&amp;"|19",Positions!$A$2:$A$6912,0)),"-")</f>
        <v>G</v>
      </c>
      <c r="G1650" s="24" t="str">
        <f aca="false">IFERROR(INDEX(Positions!$E$2:$E$6912,MATCH($A1650&amp;"|56",Positions!$A$2:$A$6912,0)),"-")</f>
        <v>C</v>
      </c>
      <c r="H1650" s="25" t="str">
        <f aca="false">F1650&amp;"-"&amp;G1650</f>
        <v>G-C</v>
      </c>
      <c r="I1650" s="24" t="n">
        <f aca="false">(F1650="G")+(G1650="G")</f>
        <v>1</v>
      </c>
      <c r="J1650" s="24" t="n">
        <f aca="false">(F1650="C")+(G1650="C")</f>
        <v>1</v>
      </c>
      <c r="K1650" s="25" t="n">
        <f aca="false">I1650+J1650</f>
        <v>2</v>
      </c>
    </row>
    <row r="1651" customFormat="false" ht="15" hidden="false" customHeight="false" outlineLevel="0" collapsed="false">
      <c r="A1651" s="24" t="s">
        <v>95</v>
      </c>
      <c r="B1651" s="24" t="s">
        <v>530</v>
      </c>
      <c r="C1651" s="24" t="s">
        <v>535</v>
      </c>
      <c r="D1651" s="24" t="n">
        <f aca="false">IFERROR(INDEX(Positions!$D$2:$D$6912,MATCH($A1651&amp;"|26",Positions!$A$2:$A$6912,0)),"-")</f>
        <v>26</v>
      </c>
      <c r="E1651" s="24" t="n">
        <f aca="false">IFERROR(INDEX(Positions!$D$2:$D$6912,MATCH($A1651&amp;"|44",Positions!$A$2:$A$6912,0)),"-")</f>
        <v>44</v>
      </c>
      <c r="F1651" s="24" t="str">
        <f aca="false">IFERROR(INDEX(Positions!$E$2:$E$6912,MATCH($A1651&amp;"|26",Positions!$A$2:$A$6912,0)),"-")</f>
        <v>U</v>
      </c>
      <c r="G1651" s="24" t="str">
        <f aca="false">IFERROR(INDEX(Positions!$E$2:$E$6912,MATCH($A1651&amp;"|44",Positions!$A$2:$A$6912,0)),"-")</f>
        <v>C</v>
      </c>
      <c r="H1651" s="25" t="str">
        <f aca="false">F1651&amp;"-"&amp;G1651</f>
        <v>U-C</v>
      </c>
      <c r="I1651" s="24" t="n">
        <f aca="false">(F1651="G")+(G1651="G")</f>
        <v>0</v>
      </c>
      <c r="J1651" s="24" t="n">
        <f aca="false">(F1651="C")+(G1651="C")</f>
        <v>1</v>
      </c>
      <c r="K1651" s="25" t="n">
        <f aca="false">I1651+J1651</f>
        <v>1</v>
      </c>
    </row>
    <row r="1652" customFormat="false" ht="15" hidden="false" customHeight="false" outlineLevel="0" collapsed="false">
      <c r="A1652" s="24" t="s">
        <v>95</v>
      </c>
      <c r="B1652" s="24" t="s">
        <v>530</v>
      </c>
      <c r="C1652" s="24" t="s">
        <v>536</v>
      </c>
      <c r="D1652" s="24" t="n">
        <f aca="false">IFERROR(INDEX(Positions!$D$2:$D$6912,MATCH($A1652&amp;"|32",Positions!$A$2:$A$6912,0)),"-")</f>
        <v>32</v>
      </c>
      <c r="E1652" s="24" t="n">
        <f aca="false">IFERROR(INDEX(Positions!$D$2:$D$6912,MATCH($A1652&amp;"|38",Positions!$A$2:$A$6912,0)),"-")</f>
        <v>38</v>
      </c>
      <c r="F1652" s="24" t="str">
        <f aca="false">IFERROR(INDEX(Positions!$E$2:$E$6912,MATCH($A1652&amp;"|32",Positions!$A$2:$A$6912,0)),"-")</f>
        <v>C</v>
      </c>
      <c r="G1652" s="24" t="str">
        <f aca="false">IFERROR(INDEX(Positions!$E$2:$E$6912,MATCH($A1652&amp;"|38",Positions!$A$2:$A$6912,0)),"-")</f>
        <v>A</v>
      </c>
      <c r="H1652" s="25" t="str">
        <f aca="false">F1652&amp;"-"&amp;G1652</f>
        <v>C-A</v>
      </c>
      <c r="I1652" s="24" t="n">
        <f aca="false">(F1652="G")+(G1652="G")</f>
        <v>0</v>
      </c>
      <c r="J1652" s="24" t="n">
        <f aca="false">(F1652="C")+(G1652="C")</f>
        <v>1</v>
      </c>
      <c r="K1652" s="25" t="n">
        <f aca="false">I1652+J1652</f>
        <v>1</v>
      </c>
    </row>
    <row r="1653" customFormat="false" ht="15" hidden="false" customHeight="false" outlineLevel="0" collapsed="false">
      <c r="A1653" s="24" t="s">
        <v>95</v>
      </c>
      <c r="B1653" s="24" t="s">
        <v>530</v>
      </c>
      <c r="C1653" s="24" t="s">
        <v>537</v>
      </c>
      <c r="D1653" s="24" t="n">
        <f aca="false">IFERROR(INDEX(Positions!$D$2:$D$6912,MATCH($A1653&amp;"|54",Positions!$A$2:$A$6912,0)),"-")</f>
        <v>53</v>
      </c>
      <c r="E1653" s="24" t="n">
        <f aca="false">IFERROR(INDEX(Positions!$D$2:$D$6912,MATCH($A1653&amp;"|58",Positions!$A$2:$A$6912,0)),"-")</f>
        <v>57</v>
      </c>
      <c r="F1653" s="24" t="str">
        <f aca="false">IFERROR(INDEX(Positions!$E$2:$E$6912,MATCH($A1653&amp;"|54",Positions!$A$2:$A$6912,0)),"-")</f>
        <v>U</v>
      </c>
      <c r="G1653" s="24" t="str">
        <f aca="false">IFERROR(INDEX(Positions!$E$2:$E$6912,MATCH($A1653&amp;"|58",Positions!$A$2:$A$6912,0)),"-")</f>
        <v>A</v>
      </c>
      <c r="H1653" s="25" t="str">
        <f aca="false">F1653&amp;"-"&amp;G1653</f>
        <v>U-A</v>
      </c>
      <c r="I1653" s="24" t="n">
        <f aca="false">(F1653="G")+(G1653="G")</f>
        <v>0</v>
      </c>
      <c r="J1653" s="24" t="n">
        <f aca="false">(F1653="C")+(G1653="C")</f>
        <v>0</v>
      </c>
      <c r="K1653" s="25" t="n">
        <f aca="false">I1653+J1653</f>
        <v>0</v>
      </c>
    </row>
    <row r="1654" customFormat="false" ht="15" hidden="false" customHeight="false" outlineLevel="0" collapsed="false">
      <c r="A1654" s="4" t="s">
        <v>96</v>
      </c>
      <c r="B1654" s="4" t="s">
        <v>412</v>
      </c>
      <c r="C1654" s="4" t="s">
        <v>517</v>
      </c>
      <c r="D1654" s="4" t="n">
        <f aca="false">IFERROR(INDEX(Positions!$D$2:$D$6912,MATCH($A1654&amp;"|1",Positions!$A$2:$A$6912,0)),"-")</f>
        <v>1</v>
      </c>
      <c r="E1654" s="4" t="n">
        <f aca="false">IFERROR(INDEX(Positions!$D$2:$D$6912,MATCH($A1654&amp;"|72",Positions!$A$2:$A$6912,0)),"-")</f>
        <v>71</v>
      </c>
      <c r="F1654" s="4" t="str">
        <f aca="false">IFERROR(INDEX(Positions!$E$2:$E$6912,MATCH($A1654&amp;"|1",Positions!$A$2:$A$6912,0)),"-")</f>
        <v>U</v>
      </c>
      <c r="G1654" s="4" t="str">
        <f aca="false">IFERROR(INDEX(Positions!$E$2:$E$6912,MATCH($A1654&amp;"|72",Positions!$A$2:$A$6912,0)),"-")</f>
        <v>A</v>
      </c>
      <c r="H1654" s="3" t="str">
        <f aca="false">F1654&amp;"-"&amp;G1654</f>
        <v>U-A</v>
      </c>
      <c r="I1654" s="4" t="n">
        <f aca="false">(F1654="G")+(G1654="G")</f>
        <v>0</v>
      </c>
      <c r="J1654" s="4" t="n">
        <f aca="false">(F1654="C")+(G1654="C")</f>
        <v>0</v>
      </c>
      <c r="K1654" s="3" t="n">
        <f aca="false">I1654+J1654</f>
        <v>0</v>
      </c>
    </row>
    <row r="1655" customFormat="false" ht="15" hidden="false" customHeight="false" outlineLevel="0" collapsed="false">
      <c r="A1655" s="4" t="s">
        <v>96</v>
      </c>
      <c r="B1655" s="4" t="s">
        <v>412</v>
      </c>
      <c r="C1655" s="4" t="s">
        <v>518</v>
      </c>
      <c r="D1655" s="4" t="n">
        <f aca="false">IFERROR(INDEX(Positions!$D$2:$D$6912,MATCH($A1655&amp;"|2",Positions!$A$2:$A$6912,0)),"-")</f>
        <v>2</v>
      </c>
      <c r="E1655" s="4" t="n">
        <f aca="false">IFERROR(INDEX(Positions!$D$2:$D$6912,MATCH($A1655&amp;"|71",Positions!$A$2:$A$6912,0)),"-")</f>
        <v>70</v>
      </c>
      <c r="F1655" s="4" t="str">
        <f aca="false">IFERROR(INDEX(Positions!$E$2:$E$6912,MATCH($A1655&amp;"|2",Positions!$A$2:$A$6912,0)),"-")</f>
        <v>C</v>
      </c>
      <c r="G1655" s="4" t="str">
        <f aca="false">IFERROR(INDEX(Positions!$E$2:$E$6912,MATCH($A1655&amp;"|71",Positions!$A$2:$A$6912,0)),"-")</f>
        <v>G</v>
      </c>
      <c r="H1655" s="3" t="str">
        <f aca="false">F1655&amp;"-"&amp;G1655</f>
        <v>C-G</v>
      </c>
      <c r="I1655" s="4" t="n">
        <f aca="false">(F1655="G")+(G1655="G")</f>
        <v>1</v>
      </c>
      <c r="J1655" s="4" t="n">
        <f aca="false">(F1655="C")+(G1655="C")</f>
        <v>1</v>
      </c>
      <c r="K1655" s="3" t="n">
        <f aca="false">I1655+J1655</f>
        <v>2</v>
      </c>
    </row>
    <row r="1656" customFormat="false" ht="15" hidden="false" customHeight="false" outlineLevel="0" collapsed="false">
      <c r="A1656" s="4" t="s">
        <v>96</v>
      </c>
      <c r="B1656" s="4" t="s">
        <v>412</v>
      </c>
      <c r="C1656" s="4" t="s">
        <v>386</v>
      </c>
      <c r="D1656" s="4" t="n">
        <f aca="false">IFERROR(INDEX(Positions!$D$2:$D$6912,MATCH($A1656&amp;"|3",Positions!$A$2:$A$6912,0)),"-")</f>
        <v>3</v>
      </c>
      <c r="E1656" s="4" t="n">
        <f aca="false">IFERROR(INDEX(Positions!$D$2:$D$6912,MATCH($A1656&amp;"|70",Positions!$A$2:$A$6912,0)),"-")</f>
        <v>69</v>
      </c>
      <c r="F1656" s="4" t="str">
        <f aca="false">IFERROR(INDEX(Positions!$E$2:$E$6912,MATCH($A1656&amp;"|3",Positions!$A$2:$A$6912,0)),"-")</f>
        <v>C</v>
      </c>
      <c r="G1656" s="4" t="str">
        <f aca="false">IFERROR(INDEX(Positions!$E$2:$E$6912,MATCH($A1656&amp;"|70",Positions!$A$2:$A$6912,0)),"-")</f>
        <v>G</v>
      </c>
      <c r="H1656" s="3" t="str">
        <f aca="false">F1656&amp;"-"&amp;G1656</f>
        <v>C-G</v>
      </c>
      <c r="I1656" s="4" t="n">
        <f aca="false">(F1656="G")+(G1656="G")</f>
        <v>1</v>
      </c>
      <c r="J1656" s="4" t="n">
        <f aca="false">(F1656="C")+(G1656="C")</f>
        <v>1</v>
      </c>
      <c r="K1656" s="3" t="n">
        <f aca="false">I1656+J1656</f>
        <v>2</v>
      </c>
    </row>
    <row r="1657" customFormat="false" ht="15" hidden="false" customHeight="false" outlineLevel="0" collapsed="false">
      <c r="A1657" s="4" t="s">
        <v>96</v>
      </c>
      <c r="B1657" s="4" t="s">
        <v>412</v>
      </c>
      <c r="C1657" s="4" t="s">
        <v>519</v>
      </c>
      <c r="D1657" s="4" t="n">
        <f aca="false">IFERROR(INDEX(Positions!$D$2:$D$6912,MATCH($A1657&amp;"|4",Positions!$A$2:$A$6912,0)),"-")</f>
        <v>4</v>
      </c>
      <c r="E1657" s="4" t="n">
        <f aca="false">IFERROR(INDEX(Positions!$D$2:$D$6912,MATCH($A1657&amp;"|69",Positions!$A$2:$A$6912,0)),"-")</f>
        <v>68</v>
      </c>
      <c r="F1657" s="4" t="str">
        <f aca="false">IFERROR(INDEX(Positions!$E$2:$E$6912,MATCH($A1657&amp;"|4",Positions!$A$2:$A$6912,0)),"-")</f>
        <v>C</v>
      </c>
      <c r="G1657" s="4" t="str">
        <f aca="false">IFERROR(INDEX(Positions!$E$2:$E$6912,MATCH($A1657&amp;"|69",Positions!$A$2:$A$6912,0)),"-")</f>
        <v>G</v>
      </c>
      <c r="H1657" s="3" t="str">
        <f aca="false">F1657&amp;"-"&amp;G1657</f>
        <v>C-G</v>
      </c>
      <c r="I1657" s="4" t="n">
        <f aca="false">(F1657="G")+(G1657="G")</f>
        <v>1</v>
      </c>
      <c r="J1657" s="4" t="n">
        <f aca="false">(F1657="C")+(G1657="C")</f>
        <v>1</v>
      </c>
      <c r="K1657" s="3" t="n">
        <f aca="false">I1657+J1657</f>
        <v>2</v>
      </c>
    </row>
    <row r="1658" customFormat="false" ht="15" hidden="false" customHeight="false" outlineLevel="0" collapsed="false">
      <c r="A1658" s="4" t="s">
        <v>96</v>
      </c>
      <c r="B1658" s="4" t="s">
        <v>412</v>
      </c>
      <c r="C1658" s="4" t="s">
        <v>283</v>
      </c>
      <c r="D1658" s="4" t="n">
        <f aca="false">IFERROR(INDEX(Positions!$D$2:$D$6912,MATCH($A1658&amp;"|5",Positions!$A$2:$A$6912,0)),"-")</f>
        <v>5</v>
      </c>
      <c r="E1658" s="4" t="n">
        <f aca="false">IFERROR(INDEX(Positions!$D$2:$D$6912,MATCH($A1658&amp;"|68",Positions!$A$2:$A$6912,0)),"-")</f>
        <v>67</v>
      </c>
      <c r="F1658" s="4" t="str">
        <f aca="false">IFERROR(INDEX(Positions!$E$2:$E$6912,MATCH($A1658&amp;"|5",Positions!$A$2:$A$6912,0)),"-")</f>
        <v>A</v>
      </c>
      <c r="G1658" s="4" t="str">
        <f aca="false">IFERROR(INDEX(Positions!$E$2:$E$6912,MATCH($A1658&amp;"|68",Positions!$A$2:$A$6912,0)),"-")</f>
        <v>U</v>
      </c>
      <c r="H1658" s="3" t="str">
        <f aca="false">F1658&amp;"-"&amp;G1658</f>
        <v>A-U</v>
      </c>
      <c r="I1658" s="4" t="n">
        <f aca="false">(F1658="G")+(G1658="G")</f>
        <v>0</v>
      </c>
      <c r="J1658" s="4" t="n">
        <f aca="false">(F1658="C")+(G1658="C")</f>
        <v>0</v>
      </c>
      <c r="K1658" s="3" t="n">
        <f aca="false">I1658+J1658</f>
        <v>0</v>
      </c>
    </row>
    <row r="1659" customFormat="false" ht="15" hidden="false" customHeight="false" outlineLevel="0" collapsed="false">
      <c r="A1659" s="4" t="s">
        <v>96</v>
      </c>
      <c r="B1659" s="4" t="s">
        <v>412</v>
      </c>
      <c r="C1659" s="4" t="s">
        <v>520</v>
      </c>
      <c r="D1659" s="4" t="n">
        <f aca="false">IFERROR(INDEX(Positions!$D$2:$D$6912,MATCH($A1659&amp;"|6",Positions!$A$2:$A$6912,0)),"-")</f>
        <v>6</v>
      </c>
      <c r="E1659" s="4" t="n">
        <f aca="false">IFERROR(INDEX(Positions!$D$2:$D$6912,MATCH($A1659&amp;"|67",Positions!$A$2:$A$6912,0)),"-")</f>
        <v>66</v>
      </c>
      <c r="F1659" s="4" t="str">
        <f aca="false">IFERROR(INDEX(Positions!$E$2:$E$6912,MATCH($A1659&amp;"|6",Positions!$A$2:$A$6912,0)),"-")</f>
        <v>C</v>
      </c>
      <c r="G1659" s="4" t="str">
        <f aca="false">IFERROR(INDEX(Positions!$E$2:$E$6912,MATCH($A1659&amp;"|67",Positions!$A$2:$A$6912,0)),"-")</f>
        <v>G</v>
      </c>
      <c r="H1659" s="3" t="str">
        <f aca="false">F1659&amp;"-"&amp;G1659</f>
        <v>C-G</v>
      </c>
      <c r="I1659" s="4" t="n">
        <f aca="false">(F1659="G")+(G1659="G")</f>
        <v>1</v>
      </c>
      <c r="J1659" s="4" t="n">
        <f aca="false">(F1659="C")+(G1659="C")</f>
        <v>1</v>
      </c>
      <c r="K1659" s="3" t="n">
        <f aca="false">I1659+J1659</f>
        <v>2</v>
      </c>
    </row>
    <row r="1660" customFormat="false" ht="15" hidden="false" customHeight="false" outlineLevel="0" collapsed="false">
      <c r="A1660" s="4" t="s">
        <v>96</v>
      </c>
      <c r="B1660" s="4" t="s">
        <v>412</v>
      </c>
      <c r="C1660" s="4" t="s">
        <v>521</v>
      </c>
      <c r="D1660" s="4" t="n">
        <f aca="false">IFERROR(INDEX(Positions!$D$2:$D$6912,MATCH($A1660&amp;"|7",Positions!$A$2:$A$6912,0)),"-")</f>
        <v>7</v>
      </c>
      <c r="E1660" s="4" t="n">
        <f aca="false">IFERROR(INDEX(Positions!$D$2:$D$6912,MATCH($A1660&amp;"|66",Positions!$A$2:$A$6912,0)),"-")</f>
        <v>65</v>
      </c>
      <c r="F1660" s="4" t="str">
        <f aca="false">IFERROR(INDEX(Positions!$E$2:$E$6912,MATCH($A1660&amp;"|7",Positions!$A$2:$A$6912,0)),"-")</f>
        <v>A</v>
      </c>
      <c r="G1660" s="4" t="str">
        <f aca="false">IFERROR(INDEX(Positions!$E$2:$E$6912,MATCH($A1660&amp;"|66",Positions!$A$2:$A$6912,0)),"-")</f>
        <v>U</v>
      </c>
      <c r="H1660" s="3" t="str">
        <f aca="false">F1660&amp;"-"&amp;G1660</f>
        <v>A-U</v>
      </c>
      <c r="I1660" s="4" t="n">
        <f aca="false">(F1660="G")+(G1660="G")</f>
        <v>0</v>
      </c>
      <c r="J1660" s="4" t="n">
        <f aca="false">(F1660="C")+(G1660="C")</f>
        <v>0</v>
      </c>
      <c r="K1660" s="3" t="n">
        <f aca="false">I1660+J1660</f>
        <v>0</v>
      </c>
    </row>
    <row r="1661" customFormat="false" ht="15" hidden="false" customHeight="false" outlineLevel="0" collapsed="false">
      <c r="A1661" s="4" t="s">
        <v>96</v>
      </c>
      <c r="B1661" s="4" t="s">
        <v>425</v>
      </c>
      <c r="C1661" s="4" t="s">
        <v>522</v>
      </c>
      <c r="D1661" s="4" t="n">
        <f aca="false">IFERROR(INDEX(Positions!$D$2:$D$6912,MATCH($A1661&amp;"|10",Positions!$A$2:$A$6912,0)),"-")</f>
        <v>10</v>
      </c>
      <c r="E1661" s="4" t="n">
        <f aca="false">IFERROR(INDEX(Positions!$D$2:$D$6912,MATCH($A1661&amp;"|25",Positions!$A$2:$A$6912,0)),"-")</f>
        <v>25</v>
      </c>
      <c r="F1661" s="4" t="str">
        <f aca="false">IFERROR(INDEX(Positions!$E$2:$E$6912,MATCH($A1661&amp;"|10",Positions!$A$2:$A$6912,0)),"-")</f>
        <v>G</v>
      </c>
      <c r="G1661" s="4" t="str">
        <f aca="false">IFERROR(INDEX(Positions!$E$2:$E$6912,MATCH($A1661&amp;"|25",Positions!$A$2:$A$6912,0)),"-")</f>
        <v>U</v>
      </c>
      <c r="H1661" s="3" t="str">
        <f aca="false">F1661&amp;"-"&amp;G1661</f>
        <v>G-U</v>
      </c>
      <c r="I1661" s="4" t="n">
        <f aca="false">(F1661="G")+(G1661="G")</f>
        <v>1</v>
      </c>
      <c r="J1661" s="4" t="n">
        <f aca="false">(F1661="C")+(G1661="C")</f>
        <v>0</v>
      </c>
      <c r="K1661" s="3" t="n">
        <f aca="false">I1661+J1661</f>
        <v>1</v>
      </c>
    </row>
    <row r="1662" customFormat="false" ht="15" hidden="false" customHeight="false" outlineLevel="0" collapsed="false">
      <c r="A1662" s="4" t="s">
        <v>96</v>
      </c>
      <c r="B1662" s="4" t="s">
        <v>425</v>
      </c>
      <c r="C1662" s="4" t="s">
        <v>523</v>
      </c>
      <c r="D1662" s="4" t="n">
        <f aca="false">IFERROR(INDEX(Positions!$D$2:$D$6912,MATCH($A1662&amp;"|11",Positions!$A$2:$A$6912,0)),"-")</f>
        <v>11</v>
      </c>
      <c r="E1662" s="4" t="n">
        <f aca="false">IFERROR(INDEX(Positions!$D$2:$D$6912,MATCH($A1662&amp;"|24",Positions!$A$2:$A$6912,0)),"-")</f>
        <v>24</v>
      </c>
      <c r="F1662" s="4" t="str">
        <f aca="false">IFERROR(INDEX(Positions!$E$2:$E$6912,MATCH($A1662&amp;"|11",Positions!$A$2:$A$6912,0)),"-")</f>
        <v>U</v>
      </c>
      <c r="G1662" s="4" t="str">
        <f aca="false">IFERROR(INDEX(Positions!$E$2:$E$6912,MATCH($A1662&amp;"|24",Positions!$A$2:$A$6912,0)),"-")</f>
        <v>A</v>
      </c>
      <c r="H1662" s="3" t="str">
        <f aca="false">F1662&amp;"-"&amp;G1662</f>
        <v>U-A</v>
      </c>
      <c r="I1662" s="4" t="n">
        <f aca="false">(F1662="G")+(G1662="G")</f>
        <v>0</v>
      </c>
      <c r="J1662" s="4" t="n">
        <f aca="false">(F1662="C")+(G1662="C")</f>
        <v>0</v>
      </c>
      <c r="K1662" s="3" t="n">
        <f aca="false">I1662+J1662</f>
        <v>0</v>
      </c>
    </row>
    <row r="1663" customFormat="false" ht="15" hidden="false" customHeight="false" outlineLevel="0" collapsed="false">
      <c r="A1663" s="4" t="s">
        <v>96</v>
      </c>
      <c r="B1663" s="4" t="s">
        <v>425</v>
      </c>
      <c r="C1663" s="4" t="s">
        <v>250</v>
      </c>
      <c r="D1663" s="4" t="n">
        <f aca="false">IFERROR(INDEX(Positions!$D$2:$D$6912,MATCH($A1663&amp;"|12",Positions!$A$2:$A$6912,0)),"-")</f>
        <v>12</v>
      </c>
      <c r="E1663" s="4" t="n">
        <f aca="false">IFERROR(INDEX(Positions!$D$2:$D$6912,MATCH($A1663&amp;"|23",Positions!$A$2:$A$6912,0)),"-")</f>
        <v>23</v>
      </c>
      <c r="F1663" s="4" t="str">
        <f aca="false">IFERROR(INDEX(Positions!$E$2:$E$6912,MATCH($A1663&amp;"|12",Positions!$A$2:$A$6912,0)),"-")</f>
        <v>C</v>
      </c>
      <c r="G1663" s="4" t="str">
        <f aca="false">IFERROR(INDEX(Positions!$E$2:$E$6912,MATCH($A1663&amp;"|23",Positions!$A$2:$A$6912,0)),"-")</f>
        <v>G</v>
      </c>
      <c r="H1663" s="3" t="str">
        <f aca="false">F1663&amp;"-"&amp;G1663</f>
        <v>C-G</v>
      </c>
      <c r="I1663" s="4" t="n">
        <f aca="false">(F1663="G")+(G1663="G")</f>
        <v>1</v>
      </c>
      <c r="J1663" s="4" t="n">
        <f aca="false">(F1663="C")+(G1663="C")</f>
        <v>1</v>
      </c>
      <c r="K1663" s="3" t="n">
        <f aca="false">I1663+J1663</f>
        <v>2</v>
      </c>
    </row>
    <row r="1664" customFormat="false" ht="15" hidden="false" customHeight="false" outlineLevel="0" collapsed="false">
      <c r="A1664" s="4" t="s">
        <v>96</v>
      </c>
      <c r="B1664" s="4" t="s">
        <v>425</v>
      </c>
      <c r="C1664" s="4" t="s">
        <v>154</v>
      </c>
      <c r="D1664" s="4" t="n">
        <f aca="false">IFERROR(INDEX(Positions!$D$2:$D$6912,MATCH($A1664&amp;"|13",Positions!$A$2:$A$6912,0)),"-")</f>
        <v>13</v>
      </c>
      <c r="E1664" s="4" t="n">
        <f aca="false">IFERROR(INDEX(Positions!$D$2:$D$6912,MATCH($A1664&amp;"|22",Positions!$A$2:$A$6912,0)),"-")</f>
        <v>22</v>
      </c>
      <c r="F1664" s="4" t="str">
        <f aca="false">IFERROR(INDEX(Positions!$E$2:$E$6912,MATCH($A1664&amp;"|13",Positions!$A$2:$A$6912,0)),"-")</f>
        <v>U</v>
      </c>
      <c r="G1664" s="4" t="str">
        <f aca="false">IFERROR(INDEX(Positions!$E$2:$E$6912,MATCH($A1664&amp;"|22",Positions!$A$2:$A$6912,0)),"-")</f>
        <v>G</v>
      </c>
      <c r="H1664" s="3" t="str">
        <f aca="false">F1664&amp;"-"&amp;G1664</f>
        <v>U-G</v>
      </c>
      <c r="I1664" s="4" t="n">
        <f aca="false">(F1664="G")+(G1664="G")</f>
        <v>1</v>
      </c>
      <c r="J1664" s="4" t="n">
        <f aca="false">(F1664="C")+(G1664="C")</f>
        <v>0</v>
      </c>
      <c r="K1664" s="3" t="n">
        <f aca="false">I1664+J1664</f>
        <v>1</v>
      </c>
    </row>
    <row r="1665" customFormat="false" ht="15" hidden="false" customHeight="false" outlineLevel="0" collapsed="false">
      <c r="A1665" s="4" t="s">
        <v>96</v>
      </c>
      <c r="B1665" s="4" t="s">
        <v>446</v>
      </c>
      <c r="C1665" s="4" t="s">
        <v>524</v>
      </c>
      <c r="D1665" s="4" t="n">
        <f aca="false">IFERROR(INDEX(Positions!$D$2:$D$6912,MATCH($A1665&amp;"|27",Positions!$A$2:$A$6912,0)),"-")</f>
        <v>27</v>
      </c>
      <c r="E1665" s="4" t="n">
        <f aca="false">IFERROR(INDEX(Positions!$D$2:$D$6912,MATCH($A1665&amp;"|43",Positions!$A$2:$A$6912,0)),"-")</f>
        <v>43</v>
      </c>
      <c r="F1665" s="4" t="str">
        <f aca="false">IFERROR(INDEX(Positions!$E$2:$E$6912,MATCH($A1665&amp;"|27",Positions!$A$2:$A$6912,0)),"-")</f>
        <v>C</v>
      </c>
      <c r="G1665" s="4" t="str">
        <f aca="false">IFERROR(INDEX(Positions!$E$2:$E$6912,MATCH($A1665&amp;"|43",Positions!$A$2:$A$6912,0)),"-")</f>
        <v>G</v>
      </c>
      <c r="H1665" s="3" t="str">
        <f aca="false">F1665&amp;"-"&amp;G1665</f>
        <v>C-G</v>
      </c>
      <c r="I1665" s="4" t="n">
        <f aca="false">(F1665="G")+(G1665="G")</f>
        <v>1</v>
      </c>
      <c r="J1665" s="4" t="n">
        <f aca="false">(F1665="C")+(G1665="C")</f>
        <v>1</v>
      </c>
      <c r="K1665" s="3" t="n">
        <f aca="false">I1665+J1665</f>
        <v>2</v>
      </c>
    </row>
    <row r="1666" customFormat="false" ht="15" hidden="false" customHeight="false" outlineLevel="0" collapsed="false">
      <c r="A1666" s="4" t="s">
        <v>96</v>
      </c>
      <c r="B1666" s="4" t="s">
        <v>446</v>
      </c>
      <c r="C1666" s="4" t="s">
        <v>525</v>
      </c>
      <c r="D1666" s="4" t="n">
        <f aca="false">IFERROR(INDEX(Positions!$D$2:$D$6912,MATCH($A1666&amp;"|28",Positions!$A$2:$A$6912,0)),"-")</f>
        <v>28</v>
      </c>
      <c r="E1666" s="4" t="n">
        <f aca="false">IFERROR(INDEX(Positions!$D$2:$D$6912,MATCH($A1666&amp;"|42",Positions!$A$2:$A$6912,0)),"-")</f>
        <v>42</v>
      </c>
      <c r="F1666" s="4" t="str">
        <f aca="false">IFERROR(INDEX(Positions!$E$2:$E$6912,MATCH($A1666&amp;"|28",Positions!$A$2:$A$6912,0)),"-")</f>
        <v>C</v>
      </c>
      <c r="G1666" s="4" t="str">
        <f aca="false">IFERROR(INDEX(Positions!$E$2:$E$6912,MATCH($A1666&amp;"|42",Positions!$A$2:$A$6912,0)),"-")</f>
        <v>G</v>
      </c>
      <c r="H1666" s="3" t="str">
        <f aca="false">F1666&amp;"-"&amp;G1666</f>
        <v>C-G</v>
      </c>
      <c r="I1666" s="4" t="n">
        <f aca="false">(F1666="G")+(G1666="G")</f>
        <v>1</v>
      </c>
      <c r="J1666" s="4" t="n">
        <f aca="false">(F1666="C")+(G1666="C")</f>
        <v>1</v>
      </c>
      <c r="K1666" s="3" t="n">
        <f aca="false">I1666+J1666</f>
        <v>2</v>
      </c>
    </row>
    <row r="1667" customFormat="false" ht="15" hidden="false" customHeight="false" outlineLevel="0" collapsed="false">
      <c r="A1667" s="4" t="s">
        <v>96</v>
      </c>
      <c r="B1667" s="4" t="s">
        <v>446</v>
      </c>
      <c r="C1667" s="4" t="s">
        <v>256</v>
      </c>
      <c r="D1667" s="4" t="n">
        <f aca="false">IFERROR(INDEX(Positions!$D$2:$D$6912,MATCH($A1667&amp;"|29",Positions!$A$2:$A$6912,0)),"-")</f>
        <v>29</v>
      </c>
      <c r="E1667" s="4" t="n">
        <f aca="false">IFERROR(INDEX(Positions!$D$2:$D$6912,MATCH($A1667&amp;"|41",Positions!$A$2:$A$6912,0)),"-")</f>
        <v>41</v>
      </c>
      <c r="F1667" s="4" t="str">
        <f aca="false">IFERROR(INDEX(Positions!$E$2:$E$6912,MATCH($A1667&amp;"|29",Positions!$A$2:$A$6912,0)),"-")</f>
        <v>U</v>
      </c>
      <c r="G1667" s="4" t="str">
        <f aca="false">IFERROR(INDEX(Positions!$E$2:$E$6912,MATCH($A1667&amp;"|41",Positions!$A$2:$A$6912,0)),"-")</f>
        <v>A</v>
      </c>
      <c r="H1667" s="3" t="str">
        <f aca="false">F1667&amp;"-"&amp;G1667</f>
        <v>U-A</v>
      </c>
      <c r="I1667" s="4" t="n">
        <f aca="false">(F1667="G")+(G1667="G")</f>
        <v>0</v>
      </c>
      <c r="J1667" s="4" t="n">
        <f aca="false">(F1667="C")+(G1667="C")</f>
        <v>0</v>
      </c>
      <c r="K1667" s="3" t="n">
        <f aca="false">I1667+J1667</f>
        <v>0</v>
      </c>
    </row>
    <row r="1668" customFormat="false" ht="15" hidden="false" customHeight="false" outlineLevel="0" collapsed="false">
      <c r="A1668" s="4" t="s">
        <v>96</v>
      </c>
      <c r="B1668" s="4" t="s">
        <v>446</v>
      </c>
      <c r="C1668" s="4" t="s">
        <v>526</v>
      </c>
      <c r="D1668" s="4" t="n">
        <f aca="false">IFERROR(INDEX(Positions!$D$2:$D$6912,MATCH($A1668&amp;"|30",Positions!$A$2:$A$6912,0)),"-")</f>
        <v>30</v>
      </c>
      <c r="E1668" s="4" t="n">
        <f aca="false">IFERROR(INDEX(Positions!$D$2:$D$6912,MATCH($A1668&amp;"|40",Positions!$A$2:$A$6912,0)),"-")</f>
        <v>40</v>
      </c>
      <c r="F1668" s="4" t="str">
        <f aca="false">IFERROR(INDEX(Positions!$E$2:$E$6912,MATCH($A1668&amp;"|30",Positions!$A$2:$A$6912,0)),"-")</f>
        <v>G</v>
      </c>
      <c r="G1668" s="4" t="str">
        <f aca="false">IFERROR(INDEX(Positions!$E$2:$E$6912,MATCH($A1668&amp;"|40",Positions!$A$2:$A$6912,0)),"-")</f>
        <v>C</v>
      </c>
      <c r="H1668" s="3" t="str">
        <f aca="false">F1668&amp;"-"&amp;G1668</f>
        <v>G-C</v>
      </c>
      <c r="I1668" s="4" t="n">
        <f aca="false">(F1668="G")+(G1668="G")</f>
        <v>1</v>
      </c>
      <c r="J1668" s="4" t="n">
        <f aca="false">(F1668="C")+(G1668="C")</f>
        <v>1</v>
      </c>
      <c r="K1668" s="3" t="n">
        <f aca="false">I1668+J1668</f>
        <v>2</v>
      </c>
    </row>
    <row r="1669" customFormat="false" ht="15" hidden="false" customHeight="false" outlineLevel="0" collapsed="false">
      <c r="A1669" s="4" t="s">
        <v>96</v>
      </c>
      <c r="B1669" s="4" t="s">
        <v>446</v>
      </c>
      <c r="C1669" s="4" t="s">
        <v>273</v>
      </c>
      <c r="D1669" s="4" t="n">
        <f aca="false">IFERROR(INDEX(Positions!$D$2:$D$6912,MATCH($A1669&amp;"|31",Positions!$A$2:$A$6912,0)),"-")</f>
        <v>31</v>
      </c>
      <c r="E1669" s="4" t="n">
        <f aca="false">IFERROR(INDEX(Positions!$D$2:$D$6912,MATCH($A1669&amp;"|39",Positions!$A$2:$A$6912,0)),"-")</f>
        <v>39</v>
      </c>
      <c r="F1669" s="4" t="str">
        <f aca="false">IFERROR(INDEX(Positions!$E$2:$E$6912,MATCH($A1669&amp;"|31",Positions!$A$2:$A$6912,0)),"-")</f>
        <v>G</v>
      </c>
      <c r="G1669" s="4" t="str">
        <f aca="false">IFERROR(INDEX(Positions!$E$2:$E$6912,MATCH($A1669&amp;"|39",Positions!$A$2:$A$6912,0)),"-")</f>
        <v>C</v>
      </c>
      <c r="H1669" s="3" t="str">
        <f aca="false">F1669&amp;"-"&amp;G1669</f>
        <v>G-C</v>
      </c>
      <c r="I1669" s="4" t="n">
        <f aca="false">(F1669="G")+(G1669="G")</f>
        <v>1</v>
      </c>
      <c r="J1669" s="4" t="n">
        <f aca="false">(F1669="C")+(G1669="C")</f>
        <v>1</v>
      </c>
      <c r="K1669" s="3" t="n">
        <f aca="false">I1669+J1669</f>
        <v>2</v>
      </c>
    </row>
    <row r="1670" customFormat="false" ht="15" hidden="false" customHeight="false" outlineLevel="0" collapsed="false">
      <c r="A1670" s="4" t="s">
        <v>96</v>
      </c>
      <c r="B1670" s="4" t="s">
        <v>471</v>
      </c>
      <c r="C1670" s="4" t="s">
        <v>367</v>
      </c>
      <c r="D1670" s="4" t="n">
        <f aca="false">IFERROR(INDEX(Positions!$D$2:$D$6912,MATCH($A1670&amp;"|49",Positions!$A$2:$A$6912,0)),"-")</f>
        <v>48</v>
      </c>
      <c r="E1670" s="4" t="n">
        <f aca="false">IFERROR(INDEX(Positions!$D$2:$D$6912,MATCH($A1670&amp;"|65",Positions!$A$2:$A$6912,0)),"-")</f>
        <v>64</v>
      </c>
      <c r="F1670" s="4" t="str">
        <f aca="false">IFERROR(INDEX(Positions!$E$2:$E$6912,MATCH($A1670&amp;"|49",Positions!$A$2:$A$6912,0)),"-")</f>
        <v>C</v>
      </c>
      <c r="G1670" s="4" t="str">
        <f aca="false">IFERROR(INDEX(Positions!$E$2:$E$6912,MATCH($A1670&amp;"|65",Positions!$A$2:$A$6912,0)),"-")</f>
        <v>G</v>
      </c>
      <c r="H1670" s="3" t="str">
        <f aca="false">F1670&amp;"-"&amp;G1670</f>
        <v>C-G</v>
      </c>
      <c r="I1670" s="4" t="n">
        <f aca="false">(F1670="G")+(G1670="G")</f>
        <v>1</v>
      </c>
      <c r="J1670" s="4" t="n">
        <f aca="false">(F1670="C")+(G1670="C")</f>
        <v>1</v>
      </c>
      <c r="K1670" s="3" t="n">
        <f aca="false">I1670+J1670</f>
        <v>2</v>
      </c>
    </row>
    <row r="1671" customFormat="false" ht="15" hidden="false" customHeight="false" outlineLevel="0" collapsed="false">
      <c r="A1671" s="4" t="s">
        <v>96</v>
      </c>
      <c r="B1671" s="4" t="s">
        <v>471</v>
      </c>
      <c r="C1671" s="4" t="s">
        <v>233</v>
      </c>
      <c r="D1671" s="4" t="n">
        <f aca="false">IFERROR(INDEX(Positions!$D$2:$D$6912,MATCH($A1671&amp;"|50",Positions!$A$2:$A$6912,0)),"-")</f>
        <v>49</v>
      </c>
      <c r="E1671" s="4" t="n">
        <f aca="false">IFERROR(INDEX(Positions!$D$2:$D$6912,MATCH($A1671&amp;"|64",Positions!$A$2:$A$6912,0)),"-")</f>
        <v>63</v>
      </c>
      <c r="F1671" s="4" t="str">
        <f aca="false">IFERROR(INDEX(Positions!$E$2:$E$6912,MATCH($A1671&amp;"|50",Positions!$A$2:$A$6912,0)),"-")</f>
        <v>C</v>
      </c>
      <c r="G1671" s="4" t="str">
        <f aca="false">IFERROR(INDEX(Positions!$E$2:$E$6912,MATCH($A1671&amp;"|64",Positions!$A$2:$A$6912,0)),"-")</f>
        <v>G</v>
      </c>
      <c r="H1671" s="3" t="str">
        <f aca="false">F1671&amp;"-"&amp;G1671</f>
        <v>C-G</v>
      </c>
      <c r="I1671" s="4" t="n">
        <f aca="false">(F1671="G")+(G1671="G")</f>
        <v>1</v>
      </c>
      <c r="J1671" s="4" t="n">
        <f aca="false">(F1671="C")+(G1671="C")</f>
        <v>1</v>
      </c>
      <c r="K1671" s="3" t="n">
        <f aca="false">I1671+J1671</f>
        <v>2</v>
      </c>
    </row>
    <row r="1672" customFormat="false" ht="15" hidden="false" customHeight="false" outlineLevel="0" collapsed="false">
      <c r="A1672" s="4" t="s">
        <v>96</v>
      </c>
      <c r="B1672" s="4" t="s">
        <v>471</v>
      </c>
      <c r="C1672" s="4" t="s">
        <v>527</v>
      </c>
      <c r="D1672" s="4" t="n">
        <f aca="false">IFERROR(INDEX(Positions!$D$2:$D$6912,MATCH($A1672&amp;"|51",Positions!$A$2:$A$6912,0)),"-")</f>
        <v>50</v>
      </c>
      <c r="E1672" s="4" t="n">
        <f aca="false">IFERROR(INDEX(Positions!$D$2:$D$6912,MATCH($A1672&amp;"|63",Positions!$A$2:$A$6912,0)),"-")</f>
        <v>62</v>
      </c>
      <c r="F1672" s="4" t="str">
        <f aca="false">IFERROR(INDEX(Positions!$E$2:$E$6912,MATCH($A1672&amp;"|51",Positions!$A$2:$A$6912,0)),"-")</f>
        <v>G</v>
      </c>
      <c r="G1672" s="4" t="str">
        <f aca="false">IFERROR(INDEX(Positions!$E$2:$E$6912,MATCH($A1672&amp;"|63",Positions!$A$2:$A$6912,0)),"-")</f>
        <v>C</v>
      </c>
      <c r="H1672" s="3" t="str">
        <f aca="false">F1672&amp;"-"&amp;G1672</f>
        <v>G-C</v>
      </c>
      <c r="I1672" s="4" t="n">
        <f aca="false">(F1672="G")+(G1672="G")</f>
        <v>1</v>
      </c>
      <c r="J1672" s="4" t="n">
        <f aca="false">(F1672="C")+(G1672="C")</f>
        <v>1</v>
      </c>
      <c r="K1672" s="3" t="n">
        <f aca="false">I1672+J1672</f>
        <v>2</v>
      </c>
    </row>
    <row r="1673" customFormat="false" ht="15" hidden="false" customHeight="false" outlineLevel="0" collapsed="false">
      <c r="A1673" s="4" t="s">
        <v>96</v>
      </c>
      <c r="B1673" s="4" t="s">
        <v>471</v>
      </c>
      <c r="C1673" s="4" t="s">
        <v>528</v>
      </c>
      <c r="D1673" s="4" t="n">
        <f aca="false">IFERROR(INDEX(Positions!$D$2:$D$6912,MATCH($A1673&amp;"|52",Positions!$A$2:$A$6912,0)),"-")</f>
        <v>51</v>
      </c>
      <c r="E1673" s="4" t="n">
        <f aca="false">IFERROR(INDEX(Positions!$D$2:$D$6912,MATCH($A1673&amp;"|62",Positions!$A$2:$A$6912,0)),"-")</f>
        <v>61</v>
      </c>
      <c r="F1673" s="4" t="str">
        <f aca="false">IFERROR(INDEX(Positions!$E$2:$E$6912,MATCH($A1673&amp;"|52",Positions!$A$2:$A$6912,0)),"-")</f>
        <v>G</v>
      </c>
      <c r="G1673" s="4" t="str">
        <f aca="false">IFERROR(INDEX(Positions!$E$2:$E$6912,MATCH($A1673&amp;"|62",Positions!$A$2:$A$6912,0)),"-")</f>
        <v>C</v>
      </c>
      <c r="H1673" s="3" t="str">
        <f aca="false">F1673&amp;"-"&amp;G1673</f>
        <v>G-C</v>
      </c>
      <c r="I1673" s="4" t="n">
        <f aca="false">(F1673="G")+(G1673="G")</f>
        <v>1</v>
      </c>
      <c r="J1673" s="4" t="n">
        <f aca="false">(F1673="C")+(G1673="C")</f>
        <v>1</v>
      </c>
      <c r="K1673" s="3" t="n">
        <f aca="false">I1673+J1673</f>
        <v>2</v>
      </c>
    </row>
    <row r="1674" customFormat="false" ht="15" hidden="false" customHeight="false" outlineLevel="0" collapsed="false">
      <c r="A1674" s="4" t="s">
        <v>96</v>
      </c>
      <c r="B1674" s="4" t="s">
        <v>471</v>
      </c>
      <c r="C1674" s="4" t="s">
        <v>529</v>
      </c>
      <c r="D1674" s="4" t="n">
        <f aca="false">IFERROR(INDEX(Positions!$D$2:$D$6912,MATCH($A1674&amp;"|53",Positions!$A$2:$A$6912,0)),"-")</f>
        <v>52</v>
      </c>
      <c r="E1674" s="4" t="n">
        <f aca="false">IFERROR(INDEX(Positions!$D$2:$D$6912,MATCH($A1674&amp;"|61",Positions!$A$2:$A$6912,0)),"-")</f>
        <v>60</v>
      </c>
      <c r="F1674" s="4" t="str">
        <f aca="false">IFERROR(INDEX(Positions!$E$2:$E$6912,MATCH($A1674&amp;"|53",Positions!$A$2:$A$6912,0)),"-")</f>
        <v>G</v>
      </c>
      <c r="G1674" s="4" t="str">
        <f aca="false">IFERROR(INDEX(Positions!$E$2:$E$6912,MATCH($A1674&amp;"|61",Positions!$A$2:$A$6912,0)),"-")</f>
        <v>C</v>
      </c>
      <c r="H1674" s="3" t="str">
        <f aca="false">F1674&amp;"-"&amp;G1674</f>
        <v>G-C</v>
      </c>
      <c r="I1674" s="4" t="n">
        <f aca="false">(F1674="G")+(G1674="G")</f>
        <v>1</v>
      </c>
      <c r="J1674" s="4" t="n">
        <f aca="false">(F1674="C")+(G1674="C")</f>
        <v>1</v>
      </c>
      <c r="K1674" s="3" t="n">
        <f aca="false">I1674+J1674</f>
        <v>2</v>
      </c>
    </row>
    <row r="1675" customFormat="false" ht="15" hidden="false" customHeight="false" outlineLevel="0" collapsed="false">
      <c r="A1675" s="24" t="s">
        <v>96</v>
      </c>
      <c r="B1675" s="24" t="s">
        <v>530</v>
      </c>
      <c r="C1675" s="24" t="s">
        <v>531</v>
      </c>
      <c r="D1675" s="24" t="n">
        <f aca="false">IFERROR(INDEX(Positions!$D$2:$D$6912,MATCH($A1675&amp;"|8",Positions!$A$2:$A$6912,0)),"-")</f>
        <v>8</v>
      </c>
      <c r="E1675" s="24" t="n">
        <f aca="false">IFERROR(INDEX(Positions!$D$2:$D$6912,MATCH($A1675&amp;"|14",Positions!$A$2:$A$6912,0)),"-")</f>
        <v>14</v>
      </c>
      <c r="F1675" s="24" t="str">
        <f aca="false">IFERROR(INDEX(Positions!$E$2:$E$6912,MATCH($A1675&amp;"|8",Positions!$A$2:$A$6912,0)),"-")</f>
        <v>U</v>
      </c>
      <c r="G1675" s="24" t="str">
        <f aca="false">IFERROR(INDEX(Positions!$E$2:$E$6912,MATCH($A1675&amp;"|14",Positions!$A$2:$A$6912,0)),"-")</f>
        <v>A</v>
      </c>
      <c r="H1675" s="25" t="str">
        <f aca="false">F1675&amp;"-"&amp;G1675</f>
        <v>U-A</v>
      </c>
      <c r="I1675" s="24" t="n">
        <f aca="false">(F1675="G")+(G1675="G")</f>
        <v>0</v>
      </c>
      <c r="J1675" s="24" t="n">
        <f aca="false">(F1675="C")+(G1675="C")</f>
        <v>0</v>
      </c>
      <c r="K1675" s="25" t="n">
        <f aca="false">I1675+J1675</f>
        <v>0</v>
      </c>
    </row>
    <row r="1676" customFormat="false" ht="15" hidden="false" customHeight="false" outlineLevel="0" collapsed="false">
      <c r="A1676" s="24" t="s">
        <v>96</v>
      </c>
      <c r="B1676" s="24" t="s">
        <v>530</v>
      </c>
      <c r="C1676" s="24" t="s">
        <v>532</v>
      </c>
      <c r="D1676" s="24" t="n">
        <f aca="false">IFERROR(INDEX(Positions!$D$2:$D$6912,MATCH($A1676&amp;"|15",Positions!$A$2:$A$6912,0)),"-")</f>
        <v>15</v>
      </c>
      <c r="E1676" s="24" t="n">
        <f aca="false">IFERROR(INDEX(Positions!$D$2:$D$6912,MATCH($A1676&amp;"|48",Positions!$A$2:$A$6912,0)),"-")</f>
        <v>47</v>
      </c>
      <c r="F1676" s="24" t="str">
        <f aca="false">IFERROR(INDEX(Positions!$E$2:$E$6912,MATCH($A1676&amp;"|15",Positions!$A$2:$A$6912,0)),"-")</f>
        <v>G</v>
      </c>
      <c r="G1676" s="24" t="str">
        <f aca="false">IFERROR(INDEX(Positions!$E$2:$E$6912,MATCH($A1676&amp;"|48",Positions!$A$2:$A$6912,0)),"-")</f>
        <v>C</v>
      </c>
      <c r="H1676" s="25" t="str">
        <f aca="false">F1676&amp;"-"&amp;G1676</f>
        <v>G-C</v>
      </c>
      <c r="I1676" s="24" t="n">
        <f aca="false">(F1676="G")+(G1676="G")</f>
        <v>1</v>
      </c>
      <c r="J1676" s="24" t="n">
        <f aca="false">(F1676="C")+(G1676="C")</f>
        <v>1</v>
      </c>
      <c r="K1676" s="25" t="n">
        <f aca="false">I1676+J1676</f>
        <v>2</v>
      </c>
    </row>
    <row r="1677" customFormat="false" ht="15" hidden="false" customHeight="false" outlineLevel="0" collapsed="false">
      <c r="A1677" s="24" t="s">
        <v>96</v>
      </c>
      <c r="B1677" s="24" t="s">
        <v>530</v>
      </c>
      <c r="C1677" s="24" t="s">
        <v>533</v>
      </c>
      <c r="D1677" s="24" t="n">
        <f aca="false">IFERROR(INDEX(Positions!$D$2:$D$6912,MATCH($A1677&amp;"|18",Positions!$A$2:$A$6912,0)),"-")</f>
        <v>17</v>
      </c>
      <c r="E1677" s="24" t="n">
        <f aca="false">IFERROR(INDEX(Positions!$D$2:$D$6912,MATCH($A1677&amp;"|55",Positions!$A$2:$A$6912,0)),"-")</f>
        <v>54</v>
      </c>
      <c r="F1677" s="24" t="str">
        <f aca="false">IFERROR(INDEX(Positions!$E$2:$E$6912,MATCH($A1677&amp;"|18",Positions!$A$2:$A$6912,0)),"-")</f>
        <v>G</v>
      </c>
      <c r="G1677" s="24" t="str">
        <f aca="false">IFERROR(INDEX(Positions!$E$2:$E$6912,MATCH($A1677&amp;"|55",Positions!$A$2:$A$6912,0)),"-")</f>
        <v>U</v>
      </c>
      <c r="H1677" s="25" t="str">
        <f aca="false">F1677&amp;"-"&amp;G1677</f>
        <v>G-U</v>
      </c>
      <c r="I1677" s="24" t="n">
        <f aca="false">(F1677="G")+(G1677="G")</f>
        <v>1</v>
      </c>
      <c r="J1677" s="24" t="n">
        <f aca="false">(F1677="C")+(G1677="C")</f>
        <v>0</v>
      </c>
      <c r="K1677" s="25" t="n">
        <f aca="false">I1677+J1677</f>
        <v>1</v>
      </c>
    </row>
    <row r="1678" customFormat="false" ht="15" hidden="false" customHeight="false" outlineLevel="0" collapsed="false">
      <c r="A1678" s="24" t="s">
        <v>96</v>
      </c>
      <c r="B1678" s="24" t="s">
        <v>530</v>
      </c>
      <c r="C1678" s="24" t="s">
        <v>534</v>
      </c>
      <c r="D1678" s="24" t="n">
        <f aca="false">IFERROR(INDEX(Positions!$D$2:$D$6912,MATCH($A1678&amp;"|19",Positions!$A$2:$A$6912,0)),"-")</f>
        <v>18</v>
      </c>
      <c r="E1678" s="24" t="n">
        <f aca="false">IFERROR(INDEX(Positions!$D$2:$D$6912,MATCH($A1678&amp;"|56",Positions!$A$2:$A$6912,0)),"-")</f>
        <v>55</v>
      </c>
      <c r="F1678" s="24" t="str">
        <f aca="false">IFERROR(INDEX(Positions!$E$2:$E$6912,MATCH($A1678&amp;"|19",Positions!$A$2:$A$6912,0)),"-")</f>
        <v>G</v>
      </c>
      <c r="G1678" s="24" t="str">
        <f aca="false">IFERROR(INDEX(Positions!$E$2:$E$6912,MATCH($A1678&amp;"|56",Positions!$A$2:$A$6912,0)),"-")</f>
        <v>C</v>
      </c>
      <c r="H1678" s="25" t="str">
        <f aca="false">F1678&amp;"-"&amp;G1678</f>
        <v>G-C</v>
      </c>
      <c r="I1678" s="24" t="n">
        <f aca="false">(F1678="G")+(G1678="G")</f>
        <v>1</v>
      </c>
      <c r="J1678" s="24" t="n">
        <f aca="false">(F1678="C")+(G1678="C")</f>
        <v>1</v>
      </c>
      <c r="K1678" s="25" t="n">
        <f aca="false">I1678+J1678</f>
        <v>2</v>
      </c>
    </row>
    <row r="1679" customFormat="false" ht="15" hidden="false" customHeight="false" outlineLevel="0" collapsed="false">
      <c r="A1679" s="24" t="s">
        <v>96</v>
      </c>
      <c r="B1679" s="24" t="s">
        <v>530</v>
      </c>
      <c r="C1679" s="24" t="s">
        <v>535</v>
      </c>
      <c r="D1679" s="24" t="n">
        <f aca="false">IFERROR(INDEX(Positions!$D$2:$D$6912,MATCH($A1679&amp;"|26",Positions!$A$2:$A$6912,0)),"-")</f>
        <v>26</v>
      </c>
      <c r="E1679" s="24" t="n">
        <f aca="false">IFERROR(INDEX(Positions!$D$2:$D$6912,MATCH($A1679&amp;"|44",Positions!$A$2:$A$6912,0)),"-")</f>
        <v>44</v>
      </c>
      <c r="F1679" s="24" t="str">
        <f aca="false">IFERROR(INDEX(Positions!$E$2:$E$6912,MATCH($A1679&amp;"|26",Positions!$A$2:$A$6912,0)),"-")</f>
        <v>U</v>
      </c>
      <c r="G1679" s="24" t="str">
        <f aca="false">IFERROR(INDEX(Positions!$E$2:$E$6912,MATCH($A1679&amp;"|44",Positions!$A$2:$A$6912,0)),"-")</f>
        <v>C</v>
      </c>
      <c r="H1679" s="25" t="str">
        <f aca="false">F1679&amp;"-"&amp;G1679</f>
        <v>U-C</v>
      </c>
      <c r="I1679" s="24" t="n">
        <f aca="false">(F1679="G")+(G1679="G")</f>
        <v>0</v>
      </c>
      <c r="J1679" s="24" t="n">
        <f aca="false">(F1679="C")+(G1679="C")</f>
        <v>1</v>
      </c>
      <c r="K1679" s="25" t="n">
        <f aca="false">I1679+J1679</f>
        <v>1</v>
      </c>
    </row>
    <row r="1680" customFormat="false" ht="15" hidden="false" customHeight="false" outlineLevel="0" collapsed="false">
      <c r="A1680" s="24" t="s">
        <v>96</v>
      </c>
      <c r="B1680" s="24" t="s">
        <v>530</v>
      </c>
      <c r="C1680" s="24" t="s">
        <v>536</v>
      </c>
      <c r="D1680" s="24" t="n">
        <f aca="false">IFERROR(INDEX(Positions!$D$2:$D$6912,MATCH($A1680&amp;"|32",Positions!$A$2:$A$6912,0)),"-")</f>
        <v>32</v>
      </c>
      <c r="E1680" s="24" t="n">
        <f aca="false">IFERROR(INDEX(Positions!$D$2:$D$6912,MATCH($A1680&amp;"|38",Positions!$A$2:$A$6912,0)),"-")</f>
        <v>38</v>
      </c>
      <c r="F1680" s="24" t="str">
        <f aca="false">IFERROR(INDEX(Positions!$E$2:$E$6912,MATCH($A1680&amp;"|32",Positions!$A$2:$A$6912,0)),"-")</f>
        <v>U</v>
      </c>
      <c r="G1680" s="24" t="str">
        <f aca="false">IFERROR(INDEX(Positions!$E$2:$E$6912,MATCH($A1680&amp;"|38",Positions!$A$2:$A$6912,0)),"-")</f>
        <v>C</v>
      </c>
      <c r="H1680" s="25" t="str">
        <f aca="false">F1680&amp;"-"&amp;G1680</f>
        <v>U-C</v>
      </c>
      <c r="I1680" s="24" t="n">
        <f aca="false">(F1680="G")+(G1680="G")</f>
        <v>0</v>
      </c>
      <c r="J1680" s="24" t="n">
        <f aca="false">(F1680="C")+(G1680="C")</f>
        <v>1</v>
      </c>
      <c r="K1680" s="25" t="n">
        <f aca="false">I1680+J1680</f>
        <v>1</v>
      </c>
    </row>
    <row r="1681" customFormat="false" ht="15" hidden="false" customHeight="false" outlineLevel="0" collapsed="false">
      <c r="A1681" s="24" t="s">
        <v>96</v>
      </c>
      <c r="B1681" s="24" t="s">
        <v>530</v>
      </c>
      <c r="C1681" s="24" t="s">
        <v>537</v>
      </c>
      <c r="D1681" s="24" t="n">
        <f aca="false">IFERROR(INDEX(Positions!$D$2:$D$6912,MATCH($A1681&amp;"|54",Positions!$A$2:$A$6912,0)),"-")</f>
        <v>53</v>
      </c>
      <c r="E1681" s="24" t="n">
        <f aca="false">IFERROR(INDEX(Positions!$D$2:$D$6912,MATCH($A1681&amp;"|58",Positions!$A$2:$A$6912,0)),"-")</f>
        <v>57</v>
      </c>
      <c r="F1681" s="24" t="str">
        <f aca="false">IFERROR(INDEX(Positions!$E$2:$E$6912,MATCH($A1681&amp;"|54",Positions!$A$2:$A$6912,0)),"-")</f>
        <v>U</v>
      </c>
      <c r="G1681" s="24" t="str">
        <f aca="false">IFERROR(INDEX(Positions!$E$2:$E$6912,MATCH($A1681&amp;"|58",Positions!$A$2:$A$6912,0)),"-")</f>
        <v>A</v>
      </c>
      <c r="H1681" s="25" t="str">
        <f aca="false">F1681&amp;"-"&amp;G1681</f>
        <v>U-A</v>
      </c>
      <c r="I1681" s="24" t="n">
        <f aca="false">(F1681="G")+(G1681="G")</f>
        <v>0</v>
      </c>
      <c r="J1681" s="24" t="n">
        <f aca="false">(F1681="C")+(G1681="C")</f>
        <v>0</v>
      </c>
      <c r="K1681" s="25" t="n">
        <f aca="false">I1681+J1681</f>
        <v>0</v>
      </c>
    </row>
    <row r="1682" customFormat="false" ht="15" hidden="false" customHeight="false" outlineLevel="0" collapsed="false">
      <c r="A1682" s="4" t="s">
        <v>97</v>
      </c>
      <c r="B1682" s="4" t="s">
        <v>412</v>
      </c>
      <c r="C1682" s="4" t="s">
        <v>517</v>
      </c>
      <c r="D1682" s="4" t="n">
        <f aca="false">IFERROR(INDEX(Positions!$D$2:$D$6912,MATCH($A1682&amp;"|1",Positions!$A$2:$A$6912,0)),"-")</f>
        <v>1</v>
      </c>
      <c r="E1682" s="4" t="n">
        <f aca="false">IFERROR(INDEX(Positions!$D$2:$D$6912,MATCH($A1682&amp;"|72",Positions!$A$2:$A$6912,0)),"-")</f>
        <v>72</v>
      </c>
      <c r="F1682" s="4" t="str">
        <f aca="false">IFERROR(INDEX(Positions!$E$2:$E$6912,MATCH($A1682&amp;"|1",Positions!$A$2:$A$6912,0)),"-")</f>
        <v>G</v>
      </c>
      <c r="G1682" s="4" t="str">
        <f aca="false">IFERROR(INDEX(Positions!$E$2:$E$6912,MATCH($A1682&amp;"|72",Positions!$A$2:$A$6912,0)),"-")</f>
        <v>C</v>
      </c>
      <c r="H1682" s="3" t="str">
        <f aca="false">F1682&amp;"-"&amp;G1682</f>
        <v>G-C</v>
      </c>
      <c r="I1682" s="4" t="n">
        <f aca="false">(F1682="G")+(G1682="G")</f>
        <v>1</v>
      </c>
      <c r="J1682" s="4" t="n">
        <f aca="false">(F1682="C")+(G1682="C")</f>
        <v>1</v>
      </c>
      <c r="K1682" s="3" t="n">
        <f aca="false">I1682+J1682</f>
        <v>2</v>
      </c>
    </row>
    <row r="1683" customFormat="false" ht="15" hidden="false" customHeight="false" outlineLevel="0" collapsed="false">
      <c r="A1683" s="4" t="s">
        <v>97</v>
      </c>
      <c r="B1683" s="4" t="s">
        <v>412</v>
      </c>
      <c r="C1683" s="4" t="s">
        <v>518</v>
      </c>
      <c r="D1683" s="4" t="n">
        <f aca="false">IFERROR(INDEX(Positions!$D$2:$D$6912,MATCH($A1683&amp;"|2",Positions!$A$2:$A$6912,0)),"-")</f>
        <v>2</v>
      </c>
      <c r="E1683" s="4" t="n">
        <f aca="false">IFERROR(INDEX(Positions!$D$2:$D$6912,MATCH($A1683&amp;"|71",Positions!$A$2:$A$6912,0)),"-")</f>
        <v>71</v>
      </c>
      <c r="F1683" s="4" t="str">
        <f aca="false">IFERROR(INDEX(Positions!$E$2:$E$6912,MATCH($A1683&amp;"|2",Positions!$A$2:$A$6912,0)),"-")</f>
        <v>C</v>
      </c>
      <c r="G1683" s="4" t="str">
        <f aca="false">IFERROR(INDEX(Positions!$E$2:$E$6912,MATCH($A1683&amp;"|71",Positions!$A$2:$A$6912,0)),"-")</f>
        <v>G</v>
      </c>
      <c r="H1683" s="3" t="str">
        <f aca="false">F1683&amp;"-"&amp;G1683</f>
        <v>C-G</v>
      </c>
      <c r="I1683" s="4" t="n">
        <f aca="false">(F1683="G")+(G1683="G")</f>
        <v>1</v>
      </c>
      <c r="J1683" s="4" t="n">
        <f aca="false">(F1683="C")+(G1683="C")</f>
        <v>1</v>
      </c>
      <c r="K1683" s="3" t="n">
        <f aca="false">I1683+J1683</f>
        <v>2</v>
      </c>
    </row>
    <row r="1684" customFormat="false" ht="15" hidden="false" customHeight="false" outlineLevel="0" collapsed="false">
      <c r="A1684" s="4" t="s">
        <v>97</v>
      </c>
      <c r="B1684" s="4" t="s">
        <v>412</v>
      </c>
      <c r="C1684" s="4" t="s">
        <v>386</v>
      </c>
      <c r="D1684" s="4" t="n">
        <f aca="false">IFERROR(INDEX(Positions!$D$2:$D$6912,MATCH($A1684&amp;"|3",Positions!$A$2:$A$6912,0)),"-")</f>
        <v>3</v>
      </c>
      <c r="E1684" s="4" t="n">
        <f aca="false">IFERROR(INDEX(Positions!$D$2:$D$6912,MATCH($A1684&amp;"|70",Positions!$A$2:$A$6912,0)),"-")</f>
        <v>70</v>
      </c>
      <c r="F1684" s="4" t="str">
        <f aca="false">IFERROR(INDEX(Positions!$E$2:$E$6912,MATCH($A1684&amp;"|3",Positions!$A$2:$A$6912,0)),"-")</f>
        <v>C</v>
      </c>
      <c r="G1684" s="4" t="str">
        <f aca="false">IFERROR(INDEX(Positions!$E$2:$E$6912,MATCH($A1684&amp;"|70",Positions!$A$2:$A$6912,0)),"-")</f>
        <v>G</v>
      </c>
      <c r="H1684" s="3" t="str">
        <f aca="false">F1684&amp;"-"&amp;G1684</f>
        <v>C-G</v>
      </c>
      <c r="I1684" s="4" t="n">
        <f aca="false">(F1684="G")+(G1684="G")</f>
        <v>1</v>
      </c>
      <c r="J1684" s="4" t="n">
        <f aca="false">(F1684="C")+(G1684="C")</f>
        <v>1</v>
      </c>
      <c r="K1684" s="3" t="n">
        <f aca="false">I1684+J1684</f>
        <v>2</v>
      </c>
    </row>
    <row r="1685" customFormat="false" ht="15" hidden="false" customHeight="false" outlineLevel="0" collapsed="false">
      <c r="A1685" s="4" t="s">
        <v>97</v>
      </c>
      <c r="B1685" s="4" t="s">
        <v>412</v>
      </c>
      <c r="C1685" s="4" t="s">
        <v>519</v>
      </c>
      <c r="D1685" s="4" t="n">
        <f aca="false">IFERROR(INDEX(Positions!$D$2:$D$6912,MATCH($A1685&amp;"|4",Positions!$A$2:$A$6912,0)),"-")</f>
        <v>4</v>
      </c>
      <c r="E1685" s="4" t="n">
        <f aca="false">IFERROR(INDEX(Positions!$D$2:$D$6912,MATCH($A1685&amp;"|69",Positions!$A$2:$A$6912,0)),"-")</f>
        <v>69</v>
      </c>
      <c r="F1685" s="4" t="str">
        <f aca="false">IFERROR(INDEX(Positions!$E$2:$E$6912,MATCH($A1685&amp;"|4",Positions!$A$2:$A$6912,0)),"-")</f>
        <v>C</v>
      </c>
      <c r="G1685" s="4" t="str">
        <f aca="false">IFERROR(INDEX(Positions!$E$2:$E$6912,MATCH($A1685&amp;"|69",Positions!$A$2:$A$6912,0)),"-")</f>
        <v>G</v>
      </c>
      <c r="H1685" s="3" t="str">
        <f aca="false">F1685&amp;"-"&amp;G1685</f>
        <v>C-G</v>
      </c>
      <c r="I1685" s="4" t="n">
        <f aca="false">(F1685="G")+(G1685="G")</f>
        <v>1</v>
      </c>
      <c r="J1685" s="4" t="n">
        <f aca="false">(F1685="C")+(G1685="C")</f>
        <v>1</v>
      </c>
      <c r="K1685" s="3" t="n">
        <f aca="false">I1685+J1685</f>
        <v>2</v>
      </c>
    </row>
    <row r="1686" customFormat="false" ht="15" hidden="false" customHeight="false" outlineLevel="0" collapsed="false">
      <c r="A1686" s="4" t="s">
        <v>97</v>
      </c>
      <c r="B1686" s="4" t="s">
        <v>412</v>
      </c>
      <c r="C1686" s="4" t="s">
        <v>283</v>
      </c>
      <c r="D1686" s="4" t="n">
        <f aca="false">IFERROR(INDEX(Positions!$D$2:$D$6912,MATCH($A1686&amp;"|5",Positions!$A$2:$A$6912,0)),"-")</f>
        <v>5</v>
      </c>
      <c r="E1686" s="4" t="n">
        <f aca="false">IFERROR(INDEX(Positions!$D$2:$D$6912,MATCH($A1686&amp;"|68",Positions!$A$2:$A$6912,0)),"-")</f>
        <v>68</v>
      </c>
      <c r="F1686" s="4" t="str">
        <f aca="false">IFERROR(INDEX(Positions!$E$2:$E$6912,MATCH($A1686&amp;"|5",Positions!$A$2:$A$6912,0)),"-")</f>
        <v>G</v>
      </c>
      <c r="G1686" s="4" t="str">
        <f aca="false">IFERROR(INDEX(Positions!$E$2:$E$6912,MATCH($A1686&amp;"|68",Positions!$A$2:$A$6912,0)),"-")</f>
        <v>C</v>
      </c>
      <c r="H1686" s="3" t="str">
        <f aca="false">F1686&amp;"-"&amp;G1686</f>
        <v>G-C</v>
      </c>
      <c r="I1686" s="4" t="n">
        <f aca="false">(F1686="G")+(G1686="G")</f>
        <v>1</v>
      </c>
      <c r="J1686" s="4" t="n">
        <f aca="false">(F1686="C")+(G1686="C")</f>
        <v>1</v>
      </c>
      <c r="K1686" s="3" t="n">
        <f aca="false">I1686+J1686</f>
        <v>2</v>
      </c>
    </row>
    <row r="1687" customFormat="false" ht="15" hidden="false" customHeight="false" outlineLevel="0" collapsed="false">
      <c r="A1687" s="4" t="s">
        <v>97</v>
      </c>
      <c r="B1687" s="4" t="s">
        <v>412</v>
      </c>
      <c r="C1687" s="4" t="s">
        <v>520</v>
      </c>
      <c r="D1687" s="4" t="n">
        <f aca="false">IFERROR(INDEX(Positions!$D$2:$D$6912,MATCH($A1687&amp;"|6",Positions!$A$2:$A$6912,0)),"-")</f>
        <v>6</v>
      </c>
      <c r="E1687" s="4" t="n">
        <f aca="false">IFERROR(INDEX(Positions!$D$2:$D$6912,MATCH($A1687&amp;"|67",Positions!$A$2:$A$6912,0)),"-")</f>
        <v>67</v>
      </c>
      <c r="F1687" s="4" t="str">
        <f aca="false">IFERROR(INDEX(Positions!$E$2:$E$6912,MATCH($A1687&amp;"|6",Positions!$A$2:$A$6912,0)),"-")</f>
        <v>G</v>
      </c>
      <c r="G1687" s="4" t="str">
        <f aca="false">IFERROR(INDEX(Positions!$E$2:$E$6912,MATCH($A1687&amp;"|67",Positions!$A$2:$A$6912,0)),"-")</f>
        <v>U</v>
      </c>
      <c r="H1687" s="3" t="str">
        <f aca="false">F1687&amp;"-"&amp;G1687</f>
        <v>G-U</v>
      </c>
      <c r="I1687" s="4" t="n">
        <f aca="false">(F1687="G")+(G1687="G")</f>
        <v>1</v>
      </c>
      <c r="J1687" s="4" t="n">
        <f aca="false">(F1687="C")+(G1687="C")</f>
        <v>0</v>
      </c>
      <c r="K1687" s="3" t="n">
        <f aca="false">I1687+J1687</f>
        <v>1</v>
      </c>
    </row>
    <row r="1688" customFormat="false" ht="15" hidden="false" customHeight="false" outlineLevel="0" collapsed="false">
      <c r="A1688" s="4" t="s">
        <v>97</v>
      </c>
      <c r="B1688" s="4" t="s">
        <v>412</v>
      </c>
      <c r="C1688" s="4" t="s">
        <v>521</v>
      </c>
      <c r="D1688" s="4" t="n">
        <f aca="false">IFERROR(INDEX(Positions!$D$2:$D$6912,MATCH($A1688&amp;"|7",Positions!$A$2:$A$6912,0)),"-")</f>
        <v>7</v>
      </c>
      <c r="E1688" s="4" t="n">
        <f aca="false">IFERROR(INDEX(Positions!$D$2:$D$6912,MATCH($A1688&amp;"|66",Positions!$A$2:$A$6912,0)),"-")</f>
        <v>66</v>
      </c>
      <c r="F1688" s="4" t="str">
        <f aca="false">IFERROR(INDEX(Positions!$E$2:$E$6912,MATCH($A1688&amp;"|7",Positions!$A$2:$A$6912,0)),"-")</f>
        <v>A</v>
      </c>
      <c r="G1688" s="4" t="str">
        <f aca="false">IFERROR(INDEX(Positions!$E$2:$E$6912,MATCH($A1688&amp;"|66",Positions!$A$2:$A$6912,0)),"-")</f>
        <v>U</v>
      </c>
      <c r="H1688" s="3" t="str">
        <f aca="false">F1688&amp;"-"&amp;G1688</f>
        <v>A-U</v>
      </c>
      <c r="I1688" s="4" t="n">
        <f aca="false">(F1688="G")+(G1688="G")</f>
        <v>0</v>
      </c>
      <c r="J1688" s="4" t="n">
        <f aca="false">(F1688="C")+(G1688="C")</f>
        <v>0</v>
      </c>
      <c r="K1688" s="3" t="n">
        <f aca="false">I1688+J1688</f>
        <v>0</v>
      </c>
    </row>
    <row r="1689" customFormat="false" ht="15" hidden="false" customHeight="false" outlineLevel="0" collapsed="false">
      <c r="A1689" s="4" t="s">
        <v>97</v>
      </c>
      <c r="B1689" s="4" t="s">
        <v>425</v>
      </c>
      <c r="C1689" s="4" t="s">
        <v>522</v>
      </c>
      <c r="D1689" s="4" t="n">
        <f aca="false">IFERROR(INDEX(Positions!$D$2:$D$6912,MATCH($A1689&amp;"|10",Positions!$A$2:$A$6912,0)),"-")</f>
        <v>10</v>
      </c>
      <c r="E1689" s="4" t="n">
        <f aca="false">IFERROR(INDEX(Positions!$D$2:$D$6912,MATCH($A1689&amp;"|25",Positions!$A$2:$A$6912,0)),"-")</f>
        <v>25</v>
      </c>
      <c r="F1689" s="4" t="str">
        <f aca="false">IFERROR(INDEX(Positions!$E$2:$E$6912,MATCH($A1689&amp;"|10",Positions!$A$2:$A$6912,0)),"-")</f>
        <v>G</v>
      </c>
      <c r="G1689" s="4" t="str">
        <f aca="false">IFERROR(INDEX(Positions!$E$2:$E$6912,MATCH($A1689&amp;"|25",Positions!$A$2:$A$6912,0)),"-")</f>
        <v>C</v>
      </c>
      <c r="H1689" s="3" t="str">
        <f aca="false">F1689&amp;"-"&amp;G1689</f>
        <v>G-C</v>
      </c>
      <c r="I1689" s="4" t="n">
        <f aca="false">(F1689="G")+(G1689="G")</f>
        <v>1</v>
      </c>
      <c r="J1689" s="4" t="n">
        <f aca="false">(F1689="C")+(G1689="C")</f>
        <v>1</v>
      </c>
      <c r="K1689" s="3" t="n">
        <f aca="false">I1689+J1689</f>
        <v>2</v>
      </c>
    </row>
    <row r="1690" customFormat="false" ht="15" hidden="false" customHeight="false" outlineLevel="0" collapsed="false">
      <c r="A1690" s="4" t="s">
        <v>97</v>
      </c>
      <c r="B1690" s="4" t="s">
        <v>425</v>
      </c>
      <c r="C1690" s="4" t="s">
        <v>523</v>
      </c>
      <c r="D1690" s="4" t="n">
        <f aca="false">IFERROR(INDEX(Positions!$D$2:$D$6912,MATCH($A1690&amp;"|11",Positions!$A$2:$A$6912,0)),"-")</f>
        <v>11</v>
      </c>
      <c r="E1690" s="4" t="n">
        <f aca="false">IFERROR(INDEX(Positions!$D$2:$D$6912,MATCH($A1690&amp;"|24",Positions!$A$2:$A$6912,0)),"-")</f>
        <v>24</v>
      </c>
      <c r="F1690" s="4" t="str">
        <f aca="false">IFERROR(INDEX(Positions!$E$2:$E$6912,MATCH($A1690&amp;"|11",Positions!$A$2:$A$6912,0)),"-")</f>
        <v>C</v>
      </c>
      <c r="G1690" s="4" t="str">
        <f aca="false">IFERROR(INDEX(Positions!$E$2:$E$6912,MATCH($A1690&amp;"|24",Positions!$A$2:$A$6912,0)),"-")</f>
        <v>G</v>
      </c>
      <c r="H1690" s="3" t="str">
        <f aca="false">F1690&amp;"-"&amp;G1690</f>
        <v>C-G</v>
      </c>
      <c r="I1690" s="4" t="n">
        <f aca="false">(F1690="G")+(G1690="G")</f>
        <v>1</v>
      </c>
      <c r="J1690" s="4" t="n">
        <f aca="false">(F1690="C")+(G1690="C")</f>
        <v>1</v>
      </c>
      <c r="K1690" s="3" t="n">
        <f aca="false">I1690+J1690</f>
        <v>2</v>
      </c>
    </row>
    <row r="1691" customFormat="false" ht="15" hidden="false" customHeight="false" outlineLevel="0" collapsed="false">
      <c r="A1691" s="4" t="s">
        <v>97</v>
      </c>
      <c r="B1691" s="4" t="s">
        <v>425</v>
      </c>
      <c r="C1691" s="4" t="s">
        <v>250</v>
      </c>
      <c r="D1691" s="4" t="n">
        <f aca="false">IFERROR(INDEX(Positions!$D$2:$D$6912,MATCH($A1691&amp;"|12",Positions!$A$2:$A$6912,0)),"-")</f>
        <v>12</v>
      </c>
      <c r="E1691" s="4" t="n">
        <f aca="false">IFERROR(INDEX(Positions!$D$2:$D$6912,MATCH($A1691&amp;"|23",Positions!$A$2:$A$6912,0)),"-")</f>
        <v>23</v>
      </c>
      <c r="F1691" s="4" t="str">
        <f aca="false">IFERROR(INDEX(Positions!$E$2:$E$6912,MATCH($A1691&amp;"|12",Positions!$A$2:$A$6912,0)),"-")</f>
        <v>U</v>
      </c>
      <c r="G1691" s="4" t="str">
        <f aca="false">IFERROR(INDEX(Positions!$E$2:$E$6912,MATCH($A1691&amp;"|23",Positions!$A$2:$A$6912,0)),"-")</f>
        <v>A</v>
      </c>
      <c r="H1691" s="3" t="str">
        <f aca="false">F1691&amp;"-"&amp;G1691</f>
        <v>U-A</v>
      </c>
      <c r="I1691" s="4" t="n">
        <f aca="false">(F1691="G")+(G1691="G")</f>
        <v>0</v>
      </c>
      <c r="J1691" s="4" t="n">
        <f aca="false">(F1691="C")+(G1691="C")</f>
        <v>0</v>
      </c>
      <c r="K1691" s="3" t="n">
        <f aca="false">I1691+J1691</f>
        <v>0</v>
      </c>
    </row>
    <row r="1692" customFormat="false" ht="15" hidden="false" customHeight="false" outlineLevel="0" collapsed="false">
      <c r="A1692" s="4" t="s">
        <v>97</v>
      </c>
      <c r="B1692" s="4" t="s">
        <v>425</v>
      </c>
      <c r="C1692" s="4" t="s">
        <v>154</v>
      </c>
      <c r="D1692" s="4" t="n">
        <f aca="false">IFERROR(INDEX(Positions!$D$2:$D$6912,MATCH($A1692&amp;"|13",Positions!$A$2:$A$6912,0)),"-")</f>
        <v>13</v>
      </c>
      <c r="E1692" s="4" t="n">
        <f aca="false">IFERROR(INDEX(Positions!$D$2:$D$6912,MATCH($A1692&amp;"|22",Positions!$A$2:$A$6912,0)),"-")</f>
        <v>22</v>
      </c>
      <c r="F1692" s="4" t="str">
        <f aca="false">IFERROR(INDEX(Positions!$E$2:$E$6912,MATCH($A1692&amp;"|13",Positions!$A$2:$A$6912,0)),"-")</f>
        <v>C</v>
      </c>
      <c r="G1692" s="4" t="str">
        <f aca="false">IFERROR(INDEX(Positions!$E$2:$E$6912,MATCH($A1692&amp;"|22",Positions!$A$2:$A$6912,0)),"-")</f>
        <v>G</v>
      </c>
      <c r="H1692" s="3" t="str">
        <f aca="false">F1692&amp;"-"&amp;G1692</f>
        <v>C-G</v>
      </c>
      <c r="I1692" s="4" t="n">
        <f aca="false">(F1692="G")+(G1692="G")</f>
        <v>1</v>
      </c>
      <c r="J1692" s="4" t="n">
        <f aca="false">(F1692="C")+(G1692="C")</f>
        <v>1</v>
      </c>
      <c r="K1692" s="3" t="n">
        <f aca="false">I1692+J1692</f>
        <v>2</v>
      </c>
    </row>
    <row r="1693" customFormat="false" ht="15" hidden="false" customHeight="false" outlineLevel="0" collapsed="false">
      <c r="A1693" s="4" t="s">
        <v>97</v>
      </c>
      <c r="B1693" s="4" t="s">
        <v>446</v>
      </c>
      <c r="C1693" s="4" t="s">
        <v>524</v>
      </c>
      <c r="D1693" s="4" t="n">
        <f aca="false">IFERROR(INDEX(Positions!$D$2:$D$6912,MATCH($A1693&amp;"|27",Positions!$A$2:$A$6912,0)),"-")</f>
        <v>27</v>
      </c>
      <c r="E1693" s="4" t="n">
        <f aca="false">IFERROR(INDEX(Positions!$D$2:$D$6912,MATCH($A1693&amp;"|43",Positions!$A$2:$A$6912,0)),"-")</f>
        <v>43</v>
      </c>
      <c r="F1693" s="4" t="str">
        <f aca="false">IFERROR(INDEX(Positions!$E$2:$E$6912,MATCH($A1693&amp;"|27",Positions!$A$2:$A$6912,0)),"-")</f>
        <v>U</v>
      </c>
      <c r="G1693" s="4" t="str">
        <f aca="false">IFERROR(INDEX(Positions!$E$2:$E$6912,MATCH($A1693&amp;"|43",Positions!$A$2:$A$6912,0)),"-")</f>
        <v>A</v>
      </c>
      <c r="H1693" s="3" t="str">
        <f aca="false">F1693&amp;"-"&amp;G1693</f>
        <v>U-A</v>
      </c>
      <c r="I1693" s="4" t="n">
        <f aca="false">(F1693="G")+(G1693="G")</f>
        <v>0</v>
      </c>
      <c r="J1693" s="4" t="n">
        <f aca="false">(F1693="C")+(G1693="C")</f>
        <v>0</v>
      </c>
      <c r="K1693" s="3" t="n">
        <f aca="false">I1693+J1693</f>
        <v>0</v>
      </c>
    </row>
    <row r="1694" customFormat="false" ht="15" hidden="false" customHeight="false" outlineLevel="0" collapsed="false">
      <c r="A1694" s="4" t="s">
        <v>97</v>
      </c>
      <c r="B1694" s="4" t="s">
        <v>446</v>
      </c>
      <c r="C1694" s="4" t="s">
        <v>525</v>
      </c>
      <c r="D1694" s="4" t="n">
        <f aca="false">IFERROR(INDEX(Positions!$D$2:$D$6912,MATCH($A1694&amp;"|28",Positions!$A$2:$A$6912,0)),"-")</f>
        <v>28</v>
      </c>
      <c r="E1694" s="4" t="n">
        <f aca="false">IFERROR(INDEX(Positions!$D$2:$D$6912,MATCH($A1694&amp;"|42",Positions!$A$2:$A$6912,0)),"-")</f>
        <v>42</v>
      </c>
      <c r="F1694" s="4" t="str">
        <f aca="false">IFERROR(INDEX(Positions!$E$2:$E$6912,MATCH($A1694&amp;"|28",Positions!$A$2:$A$6912,0)),"-")</f>
        <v>C</v>
      </c>
      <c r="G1694" s="4" t="str">
        <f aca="false">IFERROR(INDEX(Positions!$E$2:$E$6912,MATCH($A1694&amp;"|42",Positions!$A$2:$A$6912,0)),"-")</f>
        <v>G</v>
      </c>
      <c r="H1694" s="3" t="str">
        <f aca="false">F1694&amp;"-"&amp;G1694</f>
        <v>C-G</v>
      </c>
      <c r="I1694" s="4" t="n">
        <f aca="false">(F1694="G")+(G1694="G")</f>
        <v>1</v>
      </c>
      <c r="J1694" s="4" t="n">
        <f aca="false">(F1694="C")+(G1694="C")</f>
        <v>1</v>
      </c>
      <c r="K1694" s="3" t="n">
        <f aca="false">I1694+J1694</f>
        <v>2</v>
      </c>
    </row>
    <row r="1695" customFormat="false" ht="15" hidden="false" customHeight="false" outlineLevel="0" collapsed="false">
      <c r="A1695" s="4" t="s">
        <v>97</v>
      </c>
      <c r="B1695" s="4" t="s">
        <v>446</v>
      </c>
      <c r="C1695" s="4" t="s">
        <v>256</v>
      </c>
      <c r="D1695" s="4" t="n">
        <f aca="false">IFERROR(INDEX(Positions!$D$2:$D$6912,MATCH($A1695&amp;"|29",Positions!$A$2:$A$6912,0)),"-")</f>
        <v>29</v>
      </c>
      <c r="E1695" s="4" t="n">
        <f aca="false">IFERROR(INDEX(Positions!$D$2:$D$6912,MATCH($A1695&amp;"|41",Positions!$A$2:$A$6912,0)),"-")</f>
        <v>41</v>
      </c>
      <c r="F1695" s="4" t="str">
        <f aca="false">IFERROR(INDEX(Positions!$E$2:$E$6912,MATCH($A1695&amp;"|29",Positions!$A$2:$A$6912,0)),"-")</f>
        <v>A</v>
      </c>
      <c r="G1695" s="4" t="str">
        <f aca="false">IFERROR(INDEX(Positions!$E$2:$E$6912,MATCH($A1695&amp;"|41",Positions!$A$2:$A$6912,0)),"-")</f>
        <v>U</v>
      </c>
      <c r="H1695" s="3" t="str">
        <f aca="false">F1695&amp;"-"&amp;G1695</f>
        <v>A-U</v>
      </c>
      <c r="I1695" s="4" t="n">
        <f aca="false">(F1695="G")+(G1695="G")</f>
        <v>0</v>
      </c>
      <c r="J1695" s="4" t="n">
        <f aca="false">(F1695="C")+(G1695="C")</f>
        <v>0</v>
      </c>
      <c r="K1695" s="3" t="n">
        <f aca="false">I1695+J1695</f>
        <v>0</v>
      </c>
    </row>
    <row r="1696" customFormat="false" ht="15" hidden="false" customHeight="false" outlineLevel="0" collapsed="false">
      <c r="A1696" s="4" t="s">
        <v>97</v>
      </c>
      <c r="B1696" s="4" t="s">
        <v>446</v>
      </c>
      <c r="C1696" s="4" t="s">
        <v>526</v>
      </c>
      <c r="D1696" s="4" t="n">
        <f aca="false">IFERROR(INDEX(Positions!$D$2:$D$6912,MATCH($A1696&amp;"|30",Positions!$A$2:$A$6912,0)),"-")</f>
        <v>30</v>
      </c>
      <c r="E1696" s="4" t="n">
        <f aca="false">IFERROR(INDEX(Positions!$D$2:$D$6912,MATCH($A1696&amp;"|40",Positions!$A$2:$A$6912,0)),"-")</f>
        <v>40</v>
      </c>
      <c r="F1696" s="4" t="str">
        <f aca="false">IFERROR(INDEX(Positions!$E$2:$E$6912,MATCH($A1696&amp;"|30",Positions!$A$2:$A$6912,0)),"-")</f>
        <v>G</v>
      </c>
      <c r="G1696" s="4" t="str">
        <f aca="false">IFERROR(INDEX(Positions!$E$2:$E$6912,MATCH($A1696&amp;"|40",Positions!$A$2:$A$6912,0)),"-")</f>
        <v>C</v>
      </c>
      <c r="H1696" s="3" t="str">
        <f aca="false">F1696&amp;"-"&amp;G1696</f>
        <v>G-C</v>
      </c>
      <c r="I1696" s="4" t="n">
        <f aca="false">(F1696="G")+(G1696="G")</f>
        <v>1</v>
      </c>
      <c r="J1696" s="4" t="n">
        <f aca="false">(F1696="C")+(G1696="C")</f>
        <v>1</v>
      </c>
      <c r="K1696" s="3" t="n">
        <f aca="false">I1696+J1696</f>
        <v>2</v>
      </c>
    </row>
    <row r="1697" customFormat="false" ht="15" hidden="false" customHeight="false" outlineLevel="0" collapsed="false">
      <c r="A1697" s="4" t="s">
        <v>97</v>
      </c>
      <c r="B1697" s="4" t="s">
        <v>446</v>
      </c>
      <c r="C1697" s="4" t="s">
        <v>273</v>
      </c>
      <c r="D1697" s="4" t="n">
        <f aca="false">IFERROR(INDEX(Positions!$D$2:$D$6912,MATCH($A1697&amp;"|31",Positions!$A$2:$A$6912,0)),"-")</f>
        <v>31</v>
      </c>
      <c r="E1697" s="4" t="n">
        <f aca="false">IFERROR(INDEX(Positions!$D$2:$D$6912,MATCH($A1697&amp;"|39",Positions!$A$2:$A$6912,0)),"-")</f>
        <v>39</v>
      </c>
      <c r="F1697" s="4" t="str">
        <f aca="false">IFERROR(INDEX(Positions!$E$2:$E$6912,MATCH($A1697&amp;"|31",Positions!$A$2:$A$6912,0)),"-")</f>
        <v>A</v>
      </c>
      <c r="G1697" s="4" t="str">
        <f aca="false">IFERROR(INDEX(Positions!$E$2:$E$6912,MATCH($A1697&amp;"|39",Positions!$A$2:$A$6912,0)),"-")</f>
        <v>U</v>
      </c>
      <c r="H1697" s="3" t="str">
        <f aca="false">F1697&amp;"-"&amp;G1697</f>
        <v>A-U</v>
      </c>
      <c r="I1697" s="4" t="n">
        <f aca="false">(F1697="G")+(G1697="G")</f>
        <v>0</v>
      </c>
      <c r="J1697" s="4" t="n">
        <f aca="false">(F1697="C")+(G1697="C")</f>
        <v>0</v>
      </c>
      <c r="K1697" s="3" t="n">
        <f aca="false">I1697+J1697</f>
        <v>0</v>
      </c>
    </row>
    <row r="1698" customFormat="false" ht="15" hidden="false" customHeight="false" outlineLevel="0" collapsed="false">
      <c r="A1698" s="4" t="s">
        <v>97</v>
      </c>
      <c r="B1698" s="4" t="s">
        <v>471</v>
      </c>
      <c r="C1698" s="4" t="s">
        <v>367</v>
      </c>
      <c r="D1698" s="4" t="n">
        <f aca="false">IFERROR(INDEX(Positions!$D$2:$D$6912,MATCH($A1698&amp;"|49",Positions!$A$2:$A$6912,0)),"-")</f>
        <v>49</v>
      </c>
      <c r="E1698" s="4" t="n">
        <f aca="false">IFERROR(INDEX(Positions!$D$2:$D$6912,MATCH($A1698&amp;"|65",Positions!$A$2:$A$6912,0)),"-")</f>
        <v>65</v>
      </c>
      <c r="F1698" s="4" t="str">
        <f aca="false">IFERROR(INDEX(Positions!$E$2:$E$6912,MATCH($A1698&amp;"|49",Positions!$A$2:$A$6912,0)),"-")</f>
        <v>C</v>
      </c>
      <c r="G1698" s="4" t="str">
        <f aca="false">IFERROR(INDEX(Positions!$E$2:$E$6912,MATCH($A1698&amp;"|65",Positions!$A$2:$A$6912,0)),"-")</f>
        <v>G</v>
      </c>
      <c r="H1698" s="3" t="str">
        <f aca="false">F1698&amp;"-"&amp;G1698</f>
        <v>C-G</v>
      </c>
      <c r="I1698" s="4" t="n">
        <f aca="false">(F1698="G")+(G1698="G")</f>
        <v>1</v>
      </c>
      <c r="J1698" s="4" t="n">
        <f aca="false">(F1698="C")+(G1698="C")</f>
        <v>1</v>
      </c>
      <c r="K1698" s="3" t="n">
        <f aca="false">I1698+J1698</f>
        <v>2</v>
      </c>
    </row>
    <row r="1699" customFormat="false" ht="15" hidden="false" customHeight="false" outlineLevel="0" collapsed="false">
      <c r="A1699" s="4" t="s">
        <v>97</v>
      </c>
      <c r="B1699" s="4" t="s">
        <v>471</v>
      </c>
      <c r="C1699" s="4" t="s">
        <v>233</v>
      </c>
      <c r="D1699" s="4" t="n">
        <f aca="false">IFERROR(INDEX(Positions!$D$2:$D$6912,MATCH($A1699&amp;"|50",Positions!$A$2:$A$6912,0)),"-")</f>
        <v>50</v>
      </c>
      <c r="E1699" s="4" t="n">
        <f aca="false">IFERROR(INDEX(Positions!$D$2:$D$6912,MATCH($A1699&amp;"|64",Positions!$A$2:$A$6912,0)),"-")</f>
        <v>64</v>
      </c>
      <c r="F1699" s="4" t="str">
        <f aca="false">IFERROR(INDEX(Positions!$E$2:$E$6912,MATCH($A1699&amp;"|50",Positions!$A$2:$A$6912,0)),"-")</f>
        <v>A</v>
      </c>
      <c r="G1699" s="4" t="str">
        <f aca="false">IFERROR(INDEX(Positions!$E$2:$E$6912,MATCH($A1699&amp;"|64",Positions!$A$2:$A$6912,0)),"-")</f>
        <v>U</v>
      </c>
      <c r="H1699" s="3" t="str">
        <f aca="false">F1699&amp;"-"&amp;G1699</f>
        <v>A-U</v>
      </c>
      <c r="I1699" s="4" t="n">
        <f aca="false">(F1699="G")+(G1699="G")</f>
        <v>0</v>
      </c>
      <c r="J1699" s="4" t="n">
        <f aca="false">(F1699="C")+(G1699="C")</f>
        <v>0</v>
      </c>
      <c r="K1699" s="3" t="n">
        <f aca="false">I1699+J1699</f>
        <v>0</v>
      </c>
    </row>
    <row r="1700" customFormat="false" ht="15" hidden="false" customHeight="false" outlineLevel="0" collapsed="false">
      <c r="A1700" s="4" t="s">
        <v>97</v>
      </c>
      <c r="B1700" s="4" t="s">
        <v>471</v>
      </c>
      <c r="C1700" s="4" t="s">
        <v>527</v>
      </c>
      <c r="D1700" s="4" t="n">
        <f aca="false">IFERROR(INDEX(Positions!$D$2:$D$6912,MATCH($A1700&amp;"|51",Positions!$A$2:$A$6912,0)),"-")</f>
        <v>51</v>
      </c>
      <c r="E1700" s="4" t="n">
        <f aca="false">IFERROR(INDEX(Positions!$D$2:$D$6912,MATCH($A1700&amp;"|63",Positions!$A$2:$A$6912,0)),"-")</f>
        <v>63</v>
      </c>
      <c r="F1700" s="4" t="str">
        <f aca="false">IFERROR(INDEX(Positions!$E$2:$E$6912,MATCH($A1700&amp;"|51",Positions!$A$2:$A$6912,0)),"-")</f>
        <v>G</v>
      </c>
      <c r="G1700" s="4" t="str">
        <f aca="false">IFERROR(INDEX(Positions!$E$2:$E$6912,MATCH($A1700&amp;"|63",Positions!$A$2:$A$6912,0)),"-")</f>
        <v>C</v>
      </c>
      <c r="H1700" s="3" t="str">
        <f aca="false">F1700&amp;"-"&amp;G1700</f>
        <v>G-C</v>
      </c>
      <c r="I1700" s="4" t="n">
        <f aca="false">(F1700="G")+(G1700="G")</f>
        <v>1</v>
      </c>
      <c r="J1700" s="4" t="n">
        <f aca="false">(F1700="C")+(G1700="C")</f>
        <v>1</v>
      </c>
      <c r="K1700" s="3" t="n">
        <f aca="false">I1700+J1700</f>
        <v>2</v>
      </c>
    </row>
    <row r="1701" customFormat="false" ht="15" hidden="false" customHeight="false" outlineLevel="0" collapsed="false">
      <c r="A1701" s="4" t="s">
        <v>97</v>
      </c>
      <c r="B1701" s="4" t="s">
        <v>471</v>
      </c>
      <c r="C1701" s="4" t="s">
        <v>528</v>
      </c>
      <c r="D1701" s="4" t="n">
        <f aca="false">IFERROR(INDEX(Positions!$D$2:$D$6912,MATCH($A1701&amp;"|52",Positions!$A$2:$A$6912,0)),"-")</f>
        <v>52</v>
      </c>
      <c r="E1701" s="4" t="n">
        <f aca="false">IFERROR(INDEX(Positions!$D$2:$D$6912,MATCH($A1701&amp;"|62",Positions!$A$2:$A$6912,0)),"-")</f>
        <v>62</v>
      </c>
      <c r="F1701" s="4" t="str">
        <f aca="false">IFERROR(INDEX(Positions!$E$2:$E$6912,MATCH($A1701&amp;"|52",Positions!$A$2:$A$6912,0)),"-")</f>
        <v>G</v>
      </c>
      <c r="G1701" s="4" t="str">
        <f aca="false">IFERROR(INDEX(Positions!$E$2:$E$6912,MATCH($A1701&amp;"|62",Positions!$A$2:$A$6912,0)),"-")</f>
        <v>C</v>
      </c>
      <c r="H1701" s="3" t="str">
        <f aca="false">F1701&amp;"-"&amp;G1701</f>
        <v>G-C</v>
      </c>
      <c r="I1701" s="4" t="n">
        <f aca="false">(F1701="G")+(G1701="G")</f>
        <v>1</v>
      </c>
      <c r="J1701" s="4" t="n">
        <f aca="false">(F1701="C")+(G1701="C")</f>
        <v>1</v>
      </c>
      <c r="K1701" s="3" t="n">
        <f aca="false">I1701+J1701</f>
        <v>2</v>
      </c>
    </row>
    <row r="1702" customFormat="false" ht="15" hidden="false" customHeight="false" outlineLevel="0" collapsed="false">
      <c r="A1702" s="4" t="s">
        <v>97</v>
      </c>
      <c r="B1702" s="4" t="s">
        <v>471</v>
      </c>
      <c r="C1702" s="4" t="s">
        <v>529</v>
      </c>
      <c r="D1702" s="4" t="n">
        <f aca="false">IFERROR(INDEX(Positions!$D$2:$D$6912,MATCH($A1702&amp;"|53",Positions!$A$2:$A$6912,0)),"-")</f>
        <v>53</v>
      </c>
      <c r="E1702" s="4" t="n">
        <f aca="false">IFERROR(INDEX(Positions!$D$2:$D$6912,MATCH($A1702&amp;"|61",Positions!$A$2:$A$6912,0)),"-")</f>
        <v>61</v>
      </c>
      <c r="F1702" s="4" t="str">
        <f aca="false">IFERROR(INDEX(Positions!$E$2:$E$6912,MATCH($A1702&amp;"|53",Positions!$A$2:$A$6912,0)),"-")</f>
        <v>G</v>
      </c>
      <c r="G1702" s="4" t="str">
        <f aca="false">IFERROR(INDEX(Positions!$E$2:$E$6912,MATCH($A1702&amp;"|61",Positions!$A$2:$A$6912,0)),"-")</f>
        <v>C</v>
      </c>
      <c r="H1702" s="3" t="str">
        <f aca="false">F1702&amp;"-"&amp;G1702</f>
        <v>G-C</v>
      </c>
      <c r="I1702" s="4" t="n">
        <f aca="false">(F1702="G")+(G1702="G")</f>
        <v>1</v>
      </c>
      <c r="J1702" s="4" t="n">
        <f aca="false">(F1702="C")+(G1702="C")</f>
        <v>1</v>
      </c>
      <c r="K1702" s="3" t="n">
        <f aca="false">I1702+J1702</f>
        <v>2</v>
      </c>
    </row>
    <row r="1703" customFormat="false" ht="15" hidden="false" customHeight="false" outlineLevel="0" collapsed="false">
      <c r="A1703" s="24" t="s">
        <v>97</v>
      </c>
      <c r="B1703" s="24" t="s">
        <v>530</v>
      </c>
      <c r="C1703" s="24" t="s">
        <v>531</v>
      </c>
      <c r="D1703" s="24" t="n">
        <f aca="false">IFERROR(INDEX(Positions!$D$2:$D$6912,MATCH($A1703&amp;"|8",Positions!$A$2:$A$6912,0)),"-")</f>
        <v>8</v>
      </c>
      <c r="E1703" s="24" t="n">
        <f aca="false">IFERROR(INDEX(Positions!$D$2:$D$6912,MATCH($A1703&amp;"|14",Positions!$A$2:$A$6912,0)),"-")</f>
        <v>14</v>
      </c>
      <c r="F1703" s="24" t="str">
        <f aca="false">IFERROR(INDEX(Positions!$E$2:$E$6912,MATCH($A1703&amp;"|8",Positions!$A$2:$A$6912,0)),"-")</f>
        <v>U</v>
      </c>
      <c r="G1703" s="24" t="str">
        <f aca="false">IFERROR(INDEX(Positions!$E$2:$E$6912,MATCH($A1703&amp;"|14",Positions!$A$2:$A$6912,0)),"-")</f>
        <v>A</v>
      </c>
      <c r="H1703" s="25" t="str">
        <f aca="false">F1703&amp;"-"&amp;G1703</f>
        <v>U-A</v>
      </c>
      <c r="I1703" s="24" t="n">
        <f aca="false">(F1703="G")+(G1703="G")</f>
        <v>0</v>
      </c>
      <c r="J1703" s="24" t="n">
        <f aca="false">(F1703="C")+(G1703="C")</f>
        <v>0</v>
      </c>
      <c r="K1703" s="25" t="n">
        <f aca="false">I1703+J1703</f>
        <v>0</v>
      </c>
    </row>
    <row r="1704" customFormat="false" ht="15" hidden="false" customHeight="false" outlineLevel="0" collapsed="false">
      <c r="A1704" s="24" t="s">
        <v>97</v>
      </c>
      <c r="B1704" s="24" t="s">
        <v>530</v>
      </c>
      <c r="C1704" s="24" t="s">
        <v>532</v>
      </c>
      <c r="D1704" s="24" t="n">
        <f aca="false">IFERROR(INDEX(Positions!$D$2:$D$6912,MATCH($A1704&amp;"|15",Positions!$A$2:$A$6912,0)),"-")</f>
        <v>15</v>
      </c>
      <c r="E1704" s="24" t="n">
        <f aca="false">IFERROR(INDEX(Positions!$D$2:$D$6912,MATCH($A1704&amp;"|48",Positions!$A$2:$A$6912,0)),"-")</f>
        <v>48</v>
      </c>
      <c r="F1704" s="24" t="str">
        <f aca="false">IFERROR(INDEX(Positions!$E$2:$E$6912,MATCH($A1704&amp;"|15",Positions!$A$2:$A$6912,0)),"-")</f>
        <v>G</v>
      </c>
      <c r="G1704" s="24" t="str">
        <f aca="false">IFERROR(INDEX(Positions!$E$2:$E$6912,MATCH($A1704&amp;"|48",Positions!$A$2:$A$6912,0)),"-")</f>
        <v>C</v>
      </c>
      <c r="H1704" s="25" t="str">
        <f aca="false">F1704&amp;"-"&amp;G1704</f>
        <v>G-C</v>
      </c>
      <c r="I1704" s="24" t="n">
        <f aca="false">(F1704="G")+(G1704="G")</f>
        <v>1</v>
      </c>
      <c r="J1704" s="24" t="n">
        <f aca="false">(F1704="C")+(G1704="C")</f>
        <v>1</v>
      </c>
      <c r="K1704" s="25" t="n">
        <f aca="false">I1704+J1704</f>
        <v>2</v>
      </c>
    </row>
    <row r="1705" customFormat="false" ht="15" hidden="false" customHeight="false" outlineLevel="0" collapsed="false">
      <c r="A1705" s="24" t="s">
        <v>97</v>
      </c>
      <c r="B1705" s="24" t="s">
        <v>530</v>
      </c>
      <c r="C1705" s="24" t="s">
        <v>533</v>
      </c>
      <c r="D1705" s="24" t="n">
        <f aca="false">IFERROR(INDEX(Positions!$D$2:$D$6912,MATCH($A1705&amp;"|18",Positions!$A$2:$A$6912,0)),"-")</f>
        <v>18</v>
      </c>
      <c r="E1705" s="24" t="n">
        <f aca="false">IFERROR(INDEX(Positions!$D$2:$D$6912,MATCH($A1705&amp;"|55",Positions!$A$2:$A$6912,0)),"-")</f>
        <v>55</v>
      </c>
      <c r="F1705" s="24" t="str">
        <f aca="false">IFERROR(INDEX(Positions!$E$2:$E$6912,MATCH($A1705&amp;"|18",Positions!$A$2:$A$6912,0)),"-")</f>
        <v>G</v>
      </c>
      <c r="G1705" s="24" t="str">
        <f aca="false">IFERROR(INDEX(Positions!$E$2:$E$6912,MATCH($A1705&amp;"|55",Positions!$A$2:$A$6912,0)),"-")</f>
        <v>U</v>
      </c>
      <c r="H1705" s="25" t="str">
        <f aca="false">F1705&amp;"-"&amp;G1705</f>
        <v>G-U</v>
      </c>
      <c r="I1705" s="24" t="n">
        <f aca="false">(F1705="G")+(G1705="G")</f>
        <v>1</v>
      </c>
      <c r="J1705" s="24" t="n">
        <f aca="false">(F1705="C")+(G1705="C")</f>
        <v>0</v>
      </c>
      <c r="K1705" s="25" t="n">
        <f aca="false">I1705+J1705</f>
        <v>1</v>
      </c>
    </row>
    <row r="1706" customFormat="false" ht="15" hidden="false" customHeight="false" outlineLevel="0" collapsed="false">
      <c r="A1706" s="24" t="s">
        <v>97</v>
      </c>
      <c r="B1706" s="24" t="s">
        <v>530</v>
      </c>
      <c r="C1706" s="24" t="s">
        <v>534</v>
      </c>
      <c r="D1706" s="24" t="n">
        <f aca="false">IFERROR(INDEX(Positions!$D$2:$D$6912,MATCH($A1706&amp;"|19",Positions!$A$2:$A$6912,0)),"-")</f>
        <v>19</v>
      </c>
      <c r="E1706" s="24" t="n">
        <f aca="false">IFERROR(INDEX(Positions!$D$2:$D$6912,MATCH($A1706&amp;"|56",Positions!$A$2:$A$6912,0)),"-")</f>
        <v>56</v>
      </c>
      <c r="F1706" s="24" t="str">
        <f aca="false">IFERROR(INDEX(Positions!$E$2:$E$6912,MATCH($A1706&amp;"|19",Positions!$A$2:$A$6912,0)),"-")</f>
        <v>G</v>
      </c>
      <c r="G1706" s="24" t="str">
        <f aca="false">IFERROR(INDEX(Positions!$E$2:$E$6912,MATCH($A1706&amp;"|56",Positions!$A$2:$A$6912,0)),"-")</f>
        <v>C</v>
      </c>
      <c r="H1706" s="25" t="str">
        <f aca="false">F1706&amp;"-"&amp;G1706</f>
        <v>G-C</v>
      </c>
      <c r="I1706" s="24" t="n">
        <f aca="false">(F1706="G")+(G1706="G")</f>
        <v>1</v>
      </c>
      <c r="J1706" s="24" t="n">
        <f aca="false">(F1706="C")+(G1706="C")</f>
        <v>1</v>
      </c>
      <c r="K1706" s="25" t="n">
        <f aca="false">I1706+J1706</f>
        <v>2</v>
      </c>
    </row>
    <row r="1707" customFormat="false" ht="15" hidden="false" customHeight="false" outlineLevel="0" collapsed="false">
      <c r="A1707" s="24" t="s">
        <v>97</v>
      </c>
      <c r="B1707" s="24" t="s">
        <v>530</v>
      </c>
      <c r="C1707" s="24" t="s">
        <v>535</v>
      </c>
      <c r="D1707" s="24" t="n">
        <f aca="false">IFERROR(INDEX(Positions!$D$2:$D$6912,MATCH($A1707&amp;"|26",Positions!$A$2:$A$6912,0)),"-")</f>
        <v>26</v>
      </c>
      <c r="E1707" s="24" t="n">
        <f aca="false">IFERROR(INDEX(Positions!$D$2:$D$6912,MATCH($A1707&amp;"|44",Positions!$A$2:$A$6912,0)),"-")</f>
        <v>44</v>
      </c>
      <c r="F1707" s="24" t="str">
        <f aca="false">IFERROR(INDEX(Positions!$E$2:$E$6912,MATCH($A1707&amp;"|26",Positions!$A$2:$A$6912,0)),"-")</f>
        <v>A</v>
      </c>
      <c r="G1707" s="24" t="str">
        <f aca="false">IFERROR(INDEX(Positions!$E$2:$E$6912,MATCH($A1707&amp;"|44",Positions!$A$2:$A$6912,0)),"-")</f>
        <v>G</v>
      </c>
      <c r="H1707" s="25" t="str">
        <f aca="false">F1707&amp;"-"&amp;G1707</f>
        <v>A-G</v>
      </c>
      <c r="I1707" s="24" t="n">
        <f aca="false">(F1707="G")+(G1707="G")</f>
        <v>1</v>
      </c>
      <c r="J1707" s="24" t="n">
        <f aca="false">(F1707="C")+(G1707="C")</f>
        <v>0</v>
      </c>
      <c r="K1707" s="25" t="n">
        <f aca="false">I1707+J1707</f>
        <v>1</v>
      </c>
    </row>
    <row r="1708" customFormat="false" ht="15" hidden="false" customHeight="false" outlineLevel="0" collapsed="false">
      <c r="A1708" s="24" t="s">
        <v>97</v>
      </c>
      <c r="B1708" s="24" t="s">
        <v>530</v>
      </c>
      <c r="C1708" s="24" t="s">
        <v>536</v>
      </c>
      <c r="D1708" s="24" t="n">
        <f aca="false">IFERROR(INDEX(Positions!$D$2:$D$6912,MATCH($A1708&amp;"|32",Positions!$A$2:$A$6912,0)),"-")</f>
        <v>32</v>
      </c>
      <c r="E1708" s="24" t="n">
        <f aca="false">IFERROR(INDEX(Positions!$D$2:$D$6912,MATCH($A1708&amp;"|38",Positions!$A$2:$A$6912,0)),"-")</f>
        <v>38</v>
      </c>
      <c r="F1708" s="24" t="str">
        <f aca="false">IFERROR(INDEX(Positions!$E$2:$E$6912,MATCH($A1708&amp;"|32",Positions!$A$2:$A$6912,0)),"-")</f>
        <v>C</v>
      </c>
      <c r="G1708" s="24" t="str">
        <f aca="false">IFERROR(INDEX(Positions!$E$2:$E$6912,MATCH($A1708&amp;"|38",Positions!$A$2:$A$6912,0)),"-")</f>
        <v>A</v>
      </c>
      <c r="H1708" s="25" t="str">
        <f aca="false">F1708&amp;"-"&amp;G1708</f>
        <v>C-A</v>
      </c>
      <c r="I1708" s="24" t="n">
        <f aca="false">(F1708="G")+(G1708="G")</f>
        <v>0</v>
      </c>
      <c r="J1708" s="24" t="n">
        <f aca="false">(F1708="C")+(G1708="C")</f>
        <v>1</v>
      </c>
      <c r="K1708" s="25" t="n">
        <f aca="false">I1708+J1708</f>
        <v>1</v>
      </c>
    </row>
    <row r="1709" customFormat="false" ht="15" hidden="false" customHeight="false" outlineLevel="0" collapsed="false">
      <c r="A1709" s="24" t="s">
        <v>97</v>
      </c>
      <c r="B1709" s="24" t="s">
        <v>530</v>
      </c>
      <c r="C1709" s="24" t="s">
        <v>537</v>
      </c>
      <c r="D1709" s="24" t="n">
        <f aca="false">IFERROR(INDEX(Positions!$D$2:$D$6912,MATCH($A1709&amp;"|54",Positions!$A$2:$A$6912,0)),"-")</f>
        <v>54</v>
      </c>
      <c r="E1709" s="24" t="n">
        <f aca="false">IFERROR(INDEX(Positions!$D$2:$D$6912,MATCH($A1709&amp;"|58",Positions!$A$2:$A$6912,0)),"-")</f>
        <v>58</v>
      </c>
      <c r="F1709" s="24" t="str">
        <f aca="false">IFERROR(INDEX(Positions!$E$2:$E$6912,MATCH($A1709&amp;"|54",Positions!$A$2:$A$6912,0)),"-")</f>
        <v>U</v>
      </c>
      <c r="G1709" s="24" t="str">
        <f aca="false">IFERROR(INDEX(Positions!$E$2:$E$6912,MATCH($A1709&amp;"|58",Positions!$A$2:$A$6912,0)),"-")</f>
        <v>A</v>
      </c>
      <c r="H1709" s="25" t="str">
        <f aca="false">F1709&amp;"-"&amp;G1709</f>
        <v>U-A</v>
      </c>
      <c r="I1709" s="24" t="n">
        <f aca="false">(F1709="G")+(G1709="G")</f>
        <v>0</v>
      </c>
      <c r="J1709" s="24" t="n">
        <f aca="false">(F1709="C")+(G1709="C")</f>
        <v>0</v>
      </c>
      <c r="K1709" s="25" t="n">
        <f aca="false">I1709+J1709</f>
        <v>0</v>
      </c>
    </row>
    <row r="1710" customFormat="false" ht="15" hidden="false" customHeight="false" outlineLevel="0" collapsed="false">
      <c r="A1710" s="4" t="s">
        <v>98</v>
      </c>
      <c r="B1710" s="4" t="s">
        <v>412</v>
      </c>
      <c r="C1710" s="4" t="s">
        <v>517</v>
      </c>
      <c r="D1710" s="4" t="n">
        <f aca="false">IFERROR(INDEX(Positions!$D$2:$D$6912,MATCH($A1710&amp;"|1",Positions!$A$2:$A$6912,0)),"-")</f>
        <v>1</v>
      </c>
      <c r="E1710" s="4" t="n">
        <f aca="false">IFERROR(INDEX(Positions!$D$2:$D$6912,MATCH($A1710&amp;"|72",Positions!$A$2:$A$6912,0)),"-")</f>
        <v>72</v>
      </c>
      <c r="F1710" s="4" t="str">
        <f aca="false">IFERROR(INDEX(Positions!$E$2:$E$6912,MATCH($A1710&amp;"|1",Positions!$A$2:$A$6912,0)),"-")</f>
        <v>G</v>
      </c>
      <c r="G1710" s="4" t="str">
        <f aca="false">IFERROR(INDEX(Positions!$E$2:$E$6912,MATCH($A1710&amp;"|72",Positions!$A$2:$A$6912,0)),"-")</f>
        <v>C</v>
      </c>
      <c r="H1710" s="3" t="str">
        <f aca="false">F1710&amp;"-"&amp;G1710</f>
        <v>G-C</v>
      </c>
      <c r="I1710" s="4" t="n">
        <f aca="false">(F1710="G")+(G1710="G")</f>
        <v>1</v>
      </c>
      <c r="J1710" s="4" t="n">
        <f aca="false">(F1710="C")+(G1710="C")</f>
        <v>1</v>
      </c>
      <c r="K1710" s="3" t="n">
        <f aca="false">I1710+J1710</f>
        <v>2</v>
      </c>
    </row>
    <row r="1711" customFormat="false" ht="15" hidden="false" customHeight="false" outlineLevel="0" collapsed="false">
      <c r="A1711" s="4" t="s">
        <v>98</v>
      </c>
      <c r="B1711" s="4" t="s">
        <v>412</v>
      </c>
      <c r="C1711" s="4" t="s">
        <v>518</v>
      </c>
      <c r="D1711" s="4" t="n">
        <f aca="false">IFERROR(INDEX(Positions!$D$2:$D$6912,MATCH($A1711&amp;"|2",Positions!$A$2:$A$6912,0)),"-")</f>
        <v>2</v>
      </c>
      <c r="E1711" s="4" t="n">
        <f aca="false">IFERROR(INDEX(Positions!$D$2:$D$6912,MATCH($A1711&amp;"|71",Positions!$A$2:$A$6912,0)),"-")</f>
        <v>71</v>
      </c>
      <c r="F1711" s="4" t="str">
        <f aca="false">IFERROR(INDEX(Positions!$E$2:$E$6912,MATCH($A1711&amp;"|2",Positions!$A$2:$A$6912,0)),"-")</f>
        <v>C</v>
      </c>
      <c r="G1711" s="4" t="str">
        <f aca="false">IFERROR(INDEX(Positions!$E$2:$E$6912,MATCH($A1711&amp;"|71",Positions!$A$2:$A$6912,0)),"-")</f>
        <v>G</v>
      </c>
      <c r="H1711" s="3" t="str">
        <f aca="false">F1711&amp;"-"&amp;G1711</f>
        <v>C-G</v>
      </c>
      <c r="I1711" s="4" t="n">
        <f aca="false">(F1711="G")+(G1711="G")</f>
        <v>1</v>
      </c>
      <c r="J1711" s="4" t="n">
        <f aca="false">(F1711="C")+(G1711="C")</f>
        <v>1</v>
      </c>
      <c r="K1711" s="3" t="n">
        <f aca="false">I1711+J1711</f>
        <v>2</v>
      </c>
    </row>
    <row r="1712" customFormat="false" ht="15" hidden="false" customHeight="false" outlineLevel="0" collapsed="false">
      <c r="A1712" s="4" t="s">
        <v>98</v>
      </c>
      <c r="B1712" s="4" t="s">
        <v>412</v>
      </c>
      <c r="C1712" s="4" t="s">
        <v>386</v>
      </c>
      <c r="D1712" s="4" t="n">
        <f aca="false">IFERROR(INDEX(Positions!$D$2:$D$6912,MATCH($A1712&amp;"|3",Positions!$A$2:$A$6912,0)),"-")</f>
        <v>3</v>
      </c>
      <c r="E1712" s="4" t="n">
        <f aca="false">IFERROR(INDEX(Positions!$D$2:$D$6912,MATCH($A1712&amp;"|70",Positions!$A$2:$A$6912,0)),"-")</f>
        <v>70</v>
      </c>
      <c r="F1712" s="4" t="str">
        <f aca="false">IFERROR(INDEX(Positions!$E$2:$E$6912,MATCH($A1712&amp;"|3",Positions!$A$2:$A$6912,0)),"-")</f>
        <v>C</v>
      </c>
      <c r="G1712" s="4" t="str">
        <f aca="false">IFERROR(INDEX(Positions!$E$2:$E$6912,MATCH($A1712&amp;"|70",Positions!$A$2:$A$6912,0)),"-")</f>
        <v>G</v>
      </c>
      <c r="H1712" s="3" t="str">
        <f aca="false">F1712&amp;"-"&amp;G1712</f>
        <v>C-G</v>
      </c>
      <c r="I1712" s="4" t="n">
        <f aca="false">(F1712="G")+(G1712="G")</f>
        <v>1</v>
      </c>
      <c r="J1712" s="4" t="n">
        <f aca="false">(F1712="C")+(G1712="C")</f>
        <v>1</v>
      </c>
      <c r="K1712" s="3" t="n">
        <f aca="false">I1712+J1712</f>
        <v>2</v>
      </c>
    </row>
    <row r="1713" customFormat="false" ht="15" hidden="false" customHeight="false" outlineLevel="0" collapsed="false">
      <c r="A1713" s="4" t="s">
        <v>98</v>
      </c>
      <c r="B1713" s="4" t="s">
        <v>412</v>
      </c>
      <c r="C1713" s="4" t="s">
        <v>519</v>
      </c>
      <c r="D1713" s="4" t="n">
        <f aca="false">IFERROR(INDEX(Positions!$D$2:$D$6912,MATCH($A1713&amp;"|4",Positions!$A$2:$A$6912,0)),"-")</f>
        <v>4</v>
      </c>
      <c r="E1713" s="4" t="n">
        <f aca="false">IFERROR(INDEX(Positions!$D$2:$D$6912,MATCH($A1713&amp;"|69",Positions!$A$2:$A$6912,0)),"-")</f>
        <v>69</v>
      </c>
      <c r="F1713" s="4" t="str">
        <f aca="false">IFERROR(INDEX(Positions!$E$2:$E$6912,MATCH($A1713&amp;"|4",Positions!$A$2:$A$6912,0)),"-")</f>
        <v>C</v>
      </c>
      <c r="G1713" s="4" t="str">
        <f aca="false">IFERROR(INDEX(Positions!$E$2:$E$6912,MATCH($A1713&amp;"|69",Positions!$A$2:$A$6912,0)),"-")</f>
        <v>G</v>
      </c>
      <c r="H1713" s="3" t="str">
        <f aca="false">F1713&amp;"-"&amp;G1713</f>
        <v>C-G</v>
      </c>
      <c r="I1713" s="4" t="n">
        <f aca="false">(F1713="G")+(G1713="G")</f>
        <v>1</v>
      </c>
      <c r="J1713" s="4" t="n">
        <f aca="false">(F1713="C")+(G1713="C")</f>
        <v>1</v>
      </c>
      <c r="K1713" s="3" t="n">
        <f aca="false">I1713+J1713</f>
        <v>2</v>
      </c>
    </row>
    <row r="1714" customFormat="false" ht="15" hidden="false" customHeight="false" outlineLevel="0" collapsed="false">
      <c r="A1714" s="4" t="s">
        <v>98</v>
      </c>
      <c r="B1714" s="4" t="s">
        <v>412</v>
      </c>
      <c r="C1714" s="4" t="s">
        <v>283</v>
      </c>
      <c r="D1714" s="4" t="n">
        <f aca="false">IFERROR(INDEX(Positions!$D$2:$D$6912,MATCH($A1714&amp;"|5",Positions!$A$2:$A$6912,0)),"-")</f>
        <v>5</v>
      </c>
      <c r="E1714" s="4" t="n">
        <f aca="false">IFERROR(INDEX(Positions!$D$2:$D$6912,MATCH($A1714&amp;"|68",Positions!$A$2:$A$6912,0)),"-")</f>
        <v>68</v>
      </c>
      <c r="F1714" s="4" t="str">
        <f aca="false">IFERROR(INDEX(Positions!$E$2:$E$6912,MATCH($A1714&amp;"|5",Positions!$A$2:$A$6912,0)),"-")</f>
        <v>G</v>
      </c>
      <c r="G1714" s="4" t="str">
        <f aca="false">IFERROR(INDEX(Positions!$E$2:$E$6912,MATCH($A1714&amp;"|68",Positions!$A$2:$A$6912,0)),"-")</f>
        <v>U</v>
      </c>
      <c r="H1714" s="3" t="str">
        <f aca="false">F1714&amp;"-"&amp;G1714</f>
        <v>G-U</v>
      </c>
      <c r="I1714" s="4" t="n">
        <f aca="false">(F1714="G")+(G1714="G")</f>
        <v>1</v>
      </c>
      <c r="J1714" s="4" t="n">
        <f aca="false">(F1714="C")+(G1714="C")</f>
        <v>0</v>
      </c>
      <c r="K1714" s="3" t="n">
        <f aca="false">I1714+J1714</f>
        <v>1</v>
      </c>
    </row>
    <row r="1715" customFormat="false" ht="15" hidden="false" customHeight="false" outlineLevel="0" collapsed="false">
      <c r="A1715" s="4" t="s">
        <v>98</v>
      </c>
      <c r="B1715" s="4" t="s">
        <v>412</v>
      </c>
      <c r="C1715" s="4" t="s">
        <v>520</v>
      </c>
      <c r="D1715" s="4" t="n">
        <f aca="false">IFERROR(INDEX(Positions!$D$2:$D$6912,MATCH($A1715&amp;"|6",Positions!$A$2:$A$6912,0)),"-")</f>
        <v>6</v>
      </c>
      <c r="E1715" s="4" t="n">
        <f aca="false">IFERROR(INDEX(Positions!$D$2:$D$6912,MATCH($A1715&amp;"|67",Positions!$A$2:$A$6912,0)),"-")</f>
        <v>67</v>
      </c>
      <c r="F1715" s="4" t="str">
        <f aca="false">IFERROR(INDEX(Positions!$E$2:$E$6912,MATCH($A1715&amp;"|6",Positions!$A$2:$A$6912,0)),"-")</f>
        <v>G</v>
      </c>
      <c r="G1715" s="4" t="str">
        <f aca="false">IFERROR(INDEX(Positions!$E$2:$E$6912,MATCH($A1715&amp;"|67",Positions!$A$2:$A$6912,0)),"-")</f>
        <v>U</v>
      </c>
      <c r="H1715" s="3" t="str">
        <f aca="false">F1715&amp;"-"&amp;G1715</f>
        <v>G-U</v>
      </c>
      <c r="I1715" s="4" t="n">
        <f aca="false">(F1715="G")+(G1715="G")</f>
        <v>1</v>
      </c>
      <c r="J1715" s="4" t="n">
        <f aca="false">(F1715="C")+(G1715="C")</f>
        <v>0</v>
      </c>
      <c r="K1715" s="3" t="n">
        <f aca="false">I1715+J1715</f>
        <v>1</v>
      </c>
    </row>
    <row r="1716" customFormat="false" ht="15" hidden="false" customHeight="false" outlineLevel="0" collapsed="false">
      <c r="A1716" s="4" t="s">
        <v>98</v>
      </c>
      <c r="B1716" s="4" t="s">
        <v>412</v>
      </c>
      <c r="C1716" s="4" t="s">
        <v>521</v>
      </c>
      <c r="D1716" s="4" t="n">
        <f aca="false">IFERROR(INDEX(Positions!$D$2:$D$6912,MATCH($A1716&amp;"|7",Positions!$A$2:$A$6912,0)),"-")</f>
        <v>7</v>
      </c>
      <c r="E1716" s="4" t="n">
        <f aca="false">IFERROR(INDEX(Positions!$D$2:$D$6912,MATCH($A1716&amp;"|66",Positions!$A$2:$A$6912,0)),"-")</f>
        <v>66</v>
      </c>
      <c r="F1716" s="4" t="str">
        <f aca="false">IFERROR(INDEX(Positions!$E$2:$E$6912,MATCH($A1716&amp;"|7",Positions!$A$2:$A$6912,0)),"-")</f>
        <v>C</v>
      </c>
      <c r="G1716" s="4" t="str">
        <f aca="false">IFERROR(INDEX(Positions!$E$2:$E$6912,MATCH($A1716&amp;"|66",Positions!$A$2:$A$6912,0)),"-")</f>
        <v>G</v>
      </c>
      <c r="H1716" s="3" t="str">
        <f aca="false">F1716&amp;"-"&amp;G1716</f>
        <v>C-G</v>
      </c>
      <c r="I1716" s="4" t="n">
        <f aca="false">(F1716="G")+(G1716="G")</f>
        <v>1</v>
      </c>
      <c r="J1716" s="4" t="n">
        <f aca="false">(F1716="C")+(G1716="C")</f>
        <v>1</v>
      </c>
      <c r="K1716" s="3" t="n">
        <f aca="false">I1716+J1716</f>
        <v>2</v>
      </c>
    </row>
    <row r="1717" customFormat="false" ht="15" hidden="false" customHeight="false" outlineLevel="0" collapsed="false">
      <c r="A1717" s="4" t="s">
        <v>98</v>
      </c>
      <c r="B1717" s="4" t="s">
        <v>425</v>
      </c>
      <c r="C1717" s="4" t="s">
        <v>522</v>
      </c>
      <c r="D1717" s="4" t="n">
        <f aca="false">IFERROR(INDEX(Positions!$D$2:$D$6912,MATCH($A1717&amp;"|10",Positions!$A$2:$A$6912,0)),"-")</f>
        <v>10</v>
      </c>
      <c r="E1717" s="4" t="n">
        <f aca="false">IFERROR(INDEX(Positions!$D$2:$D$6912,MATCH($A1717&amp;"|25",Positions!$A$2:$A$6912,0)),"-")</f>
        <v>25</v>
      </c>
      <c r="F1717" s="4" t="str">
        <f aca="false">IFERROR(INDEX(Positions!$E$2:$E$6912,MATCH($A1717&amp;"|10",Positions!$A$2:$A$6912,0)),"-")</f>
        <v>G</v>
      </c>
      <c r="G1717" s="4" t="str">
        <f aca="false">IFERROR(INDEX(Positions!$E$2:$E$6912,MATCH($A1717&amp;"|25",Positions!$A$2:$A$6912,0)),"-")</f>
        <v>C</v>
      </c>
      <c r="H1717" s="3" t="str">
        <f aca="false">F1717&amp;"-"&amp;G1717</f>
        <v>G-C</v>
      </c>
      <c r="I1717" s="4" t="n">
        <f aca="false">(F1717="G")+(G1717="G")</f>
        <v>1</v>
      </c>
      <c r="J1717" s="4" t="n">
        <f aca="false">(F1717="C")+(G1717="C")</f>
        <v>1</v>
      </c>
      <c r="K1717" s="3" t="n">
        <f aca="false">I1717+J1717</f>
        <v>2</v>
      </c>
    </row>
    <row r="1718" customFormat="false" ht="15" hidden="false" customHeight="false" outlineLevel="0" collapsed="false">
      <c r="A1718" s="4" t="s">
        <v>98</v>
      </c>
      <c r="B1718" s="4" t="s">
        <v>425</v>
      </c>
      <c r="C1718" s="4" t="s">
        <v>523</v>
      </c>
      <c r="D1718" s="4" t="n">
        <f aca="false">IFERROR(INDEX(Positions!$D$2:$D$6912,MATCH($A1718&amp;"|11",Positions!$A$2:$A$6912,0)),"-")</f>
        <v>11</v>
      </c>
      <c r="E1718" s="4" t="n">
        <f aca="false">IFERROR(INDEX(Positions!$D$2:$D$6912,MATCH($A1718&amp;"|24",Positions!$A$2:$A$6912,0)),"-")</f>
        <v>24</v>
      </c>
      <c r="F1718" s="4" t="str">
        <f aca="false">IFERROR(INDEX(Positions!$E$2:$E$6912,MATCH($A1718&amp;"|11",Positions!$A$2:$A$6912,0)),"-")</f>
        <v>C</v>
      </c>
      <c r="G1718" s="4" t="str">
        <f aca="false">IFERROR(INDEX(Positions!$E$2:$E$6912,MATCH($A1718&amp;"|24",Positions!$A$2:$A$6912,0)),"-")</f>
        <v>G</v>
      </c>
      <c r="H1718" s="3" t="str">
        <f aca="false">F1718&amp;"-"&amp;G1718</f>
        <v>C-G</v>
      </c>
      <c r="I1718" s="4" t="n">
        <f aca="false">(F1718="G")+(G1718="G")</f>
        <v>1</v>
      </c>
      <c r="J1718" s="4" t="n">
        <f aca="false">(F1718="C")+(G1718="C")</f>
        <v>1</v>
      </c>
      <c r="K1718" s="3" t="n">
        <f aca="false">I1718+J1718</f>
        <v>2</v>
      </c>
    </row>
    <row r="1719" customFormat="false" ht="15" hidden="false" customHeight="false" outlineLevel="0" collapsed="false">
      <c r="A1719" s="4" t="s">
        <v>98</v>
      </c>
      <c r="B1719" s="4" t="s">
        <v>425</v>
      </c>
      <c r="C1719" s="4" t="s">
        <v>250</v>
      </c>
      <c r="D1719" s="4" t="n">
        <f aca="false">IFERROR(INDEX(Positions!$D$2:$D$6912,MATCH($A1719&amp;"|12",Positions!$A$2:$A$6912,0)),"-")</f>
        <v>12</v>
      </c>
      <c r="E1719" s="4" t="n">
        <f aca="false">IFERROR(INDEX(Positions!$D$2:$D$6912,MATCH($A1719&amp;"|23",Positions!$A$2:$A$6912,0)),"-")</f>
        <v>23</v>
      </c>
      <c r="F1719" s="4" t="str">
        <f aca="false">IFERROR(INDEX(Positions!$E$2:$E$6912,MATCH($A1719&amp;"|12",Positions!$A$2:$A$6912,0)),"-")</f>
        <v>U</v>
      </c>
      <c r="G1719" s="4" t="str">
        <f aca="false">IFERROR(INDEX(Positions!$E$2:$E$6912,MATCH($A1719&amp;"|23",Positions!$A$2:$A$6912,0)),"-")</f>
        <v>A</v>
      </c>
      <c r="H1719" s="3" t="str">
        <f aca="false">F1719&amp;"-"&amp;G1719</f>
        <v>U-A</v>
      </c>
      <c r="I1719" s="4" t="n">
        <f aca="false">(F1719="G")+(G1719="G")</f>
        <v>0</v>
      </c>
      <c r="J1719" s="4" t="n">
        <f aca="false">(F1719="C")+(G1719="C")</f>
        <v>0</v>
      </c>
      <c r="K1719" s="3" t="n">
        <f aca="false">I1719+J1719</f>
        <v>0</v>
      </c>
    </row>
    <row r="1720" customFormat="false" ht="15" hidden="false" customHeight="false" outlineLevel="0" collapsed="false">
      <c r="A1720" s="4" t="s">
        <v>98</v>
      </c>
      <c r="B1720" s="4" t="s">
        <v>425</v>
      </c>
      <c r="C1720" s="4" t="s">
        <v>154</v>
      </c>
      <c r="D1720" s="4" t="n">
        <f aca="false">IFERROR(INDEX(Positions!$D$2:$D$6912,MATCH($A1720&amp;"|13",Positions!$A$2:$A$6912,0)),"-")</f>
        <v>13</v>
      </c>
      <c r="E1720" s="4" t="n">
        <f aca="false">IFERROR(INDEX(Positions!$D$2:$D$6912,MATCH($A1720&amp;"|22",Positions!$A$2:$A$6912,0)),"-")</f>
        <v>22</v>
      </c>
      <c r="F1720" s="4" t="str">
        <f aca="false">IFERROR(INDEX(Positions!$E$2:$E$6912,MATCH($A1720&amp;"|13",Positions!$A$2:$A$6912,0)),"-")</f>
        <v>C</v>
      </c>
      <c r="G1720" s="4" t="str">
        <f aca="false">IFERROR(INDEX(Positions!$E$2:$E$6912,MATCH($A1720&amp;"|22",Positions!$A$2:$A$6912,0)),"-")</f>
        <v>G</v>
      </c>
      <c r="H1720" s="3" t="str">
        <f aca="false">F1720&amp;"-"&amp;G1720</f>
        <v>C-G</v>
      </c>
      <c r="I1720" s="4" t="n">
        <f aca="false">(F1720="G")+(G1720="G")</f>
        <v>1</v>
      </c>
      <c r="J1720" s="4" t="n">
        <f aca="false">(F1720="C")+(G1720="C")</f>
        <v>1</v>
      </c>
      <c r="K1720" s="3" t="n">
        <f aca="false">I1720+J1720</f>
        <v>2</v>
      </c>
    </row>
    <row r="1721" customFormat="false" ht="15" hidden="false" customHeight="false" outlineLevel="0" collapsed="false">
      <c r="A1721" s="4" t="s">
        <v>98</v>
      </c>
      <c r="B1721" s="4" t="s">
        <v>446</v>
      </c>
      <c r="C1721" s="4" t="s">
        <v>524</v>
      </c>
      <c r="D1721" s="4" t="n">
        <f aca="false">IFERROR(INDEX(Positions!$D$2:$D$6912,MATCH($A1721&amp;"|27",Positions!$A$2:$A$6912,0)),"-")</f>
        <v>27</v>
      </c>
      <c r="E1721" s="4" t="n">
        <f aca="false">IFERROR(INDEX(Positions!$D$2:$D$6912,MATCH($A1721&amp;"|43",Positions!$A$2:$A$6912,0)),"-")</f>
        <v>43</v>
      </c>
      <c r="F1721" s="4" t="str">
        <f aca="false">IFERROR(INDEX(Positions!$E$2:$E$6912,MATCH($A1721&amp;"|27",Positions!$A$2:$A$6912,0)),"-")</f>
        <v>U</v>
      </c>
      <c r="G1721" s="4" t="str">
        <f aca="false">IFERROR(INDEX(Positions!$E$2:$E$6912,MATCH($A1721&amp;"|43",Positions!$A$2:$A$6912,0)),"-")</f>
        <v>A</v>
      </c>
      <c r="H1721" s="3" t="str">
        <f aca="false">F1721&amp;"-"&amp;G1721</f>
        <v>U-A</v>
      </c>
      <c r="I1721" s="4" t="n">
        <f aca="false">(F1721="G")+(G1721="G")</f>
        <v>0</v>
      </c>
      <c r="J1721" s="4" t="n">
        <f aca="false">(F1721="C")+(G1721="C")</f>
        <v>0</v>
      </c>
      <c r="K1721" s="3" t="n">
        <f aca="false">I1721+J1721</f>
        <v>0</v>
      </c>
    </row>
    <row r="1722" customFormat="false" ht="15" hidden="false" customHeight="false" outlineLevel="0" collapsed="false">
      <c r="A1722" s="4" t="s">
        <v>98</v>
      </c>
      <c r="B1722" s="4" t="s">
        <v>446</v>
      </c>
      <c r="C1722" s="4" t="s">
        <v>525</v>
      </c>
      <c r="D1722" s="4" t="n">
        <f aca="false">IFERROR(INDEX(Positions!$D$2:$D$6912,MATCH($A1722&amp;"|28",Positions!$A$2:$A$6912,0)),"-")</f>
        <v>28</v>
      </c>
      <c r="E1722" s="4" t="n">
        <f aca="false">IFERROR(INDEX(Positions!$D$2:$D$6912,MATCH($A1722&amp;"|42",Positions!$A$2:$A$6912,0)),"-")</f>
        <v>42</v>
      </c>
      <c r="F1722" s="4" t="str">
        <f aca="false">IFERROR(INDEX(Positions!$E$2:$E$6912,MATCH($A1722&amp;"|28",Positions!$A$2:$A$6912,0)),"-")</f>
        <v>G</v>
      </c>
      <c r="G1722" s="4" t="str">
        <f aca="false">IFERROR(INDEX(Positions!$E$2:$E$6912,MATCH($A1722&amp;"|42",Positions!$A$2:$A$6912,0)),"-")</f>
        <v>C</v>
      </c>
      <c r="H1722" s="3" t="str">
        <f aca="false">F1722&amp;"-"&amp;G1722</f>
        <v>G-C</v>
      </c>
      <c r="I1722" s="4" t="n">
        <f aca="false">(F1722="G")+(G1722="G")</f>
        <v>1</v>
      </c>
      <c r="J1722" s="4" t="n">
        <f aca="false">(F1722="C")+(G1722="C")</f>
        <v>1</v>
      </c>
      <c r="K1722" s="3" t="n">
        <f aca="false">I1722+J1722</f>
        <v>2</v>
      </c>
    </row>
    <row r="1723" customFormat="false" ht="15" hidden="false" customHeight="false" outlineLevel="0" collapsed="false">
      <c r="A1723" s="4" t="s">
        <v>98</v>
      </c>
      <c r="B1723" s="4" t="s">
        <v>446</v>
      </c>
      <c r="C1723" s="4" t="s">
        <v>256</v>
      </c>
      <c r="D1723" s="4" t="n">
        <f aca="false">IFERROR(INDEX(Positions!$D$2:$D$6912,MATCH($A1723&amp;"|29",Positions!$A$2:$A$6912,0)),"-")</f>
        <v>29</v>
      </c>
      <c r="E1723" s="4" t="n">
        <f aca="false">IFERROR(INDEX(Positions!$D$2:$D$6912,MATCH($A1723&amp;"|41",Positions!$A$2:$A$6912,0)),"-")</f>
        <v>41</v>
      </c>
      <c r="F1723" s="4" t="str">
        <f aca="false">IFERROR(INDEX(Positions!$E$2:$E$6912,MATCH($A1723&amp;"|29",Positions!$A$2:$A$6912,0)),"-")</f>
        <v>A</v>
      </c>
      <c r="G1723" s="4" t="str">
        <f aca="false">IFERROR(INDEX(Positions!$E$2:$E$6912,MATCH($A1723&amp;"|41",Positions!$A$2:$A$6912,0)),"-")</f>
        <v>U</v>
      </c>
      <c r="H1723" s="3" t="str">
        <f aca="false">F1723&amp;"-"&amp;G1723</f>
        <v>A-U</v>
      </c>
      <c r="I1723" s="4" t="n">
        <f aca="false">(F1723="G")+(G1723="G")</f>
        <v>0</v>
      </c>
      <c r="J1723" s="4" t="n">
        <f aca="false">(F1723="C")+(G1723="C")</f>
        <v>0</v>
      </c>
      <c r="K1723" s="3" t="n">
        <f aca="false">I1723+J1723</f>
        <v>0</v>
      </c>
    </row>
    <row r="1724" customFormat="false" ht="15" hidden="false" customHeight="false" outlineLevel="0" collapsed="false">
      <c r="A1724" s="4" t="s">
        <v>98</v>
      </c>
      <c r="B1724" s="4" t="s">
        <v>446</v>
      </c>
      <c r="C1724" s="4" t="s">
        <v>526</v>
      </c>
      <c r="D1724" s="4" t="n">
        <f aca="false">IFERROR(INDEX(Positions!$D$2:$D$6912,MATCH($A1724&amp;"|30",Positions!$A$2:$A$6912,0)),"-")</f>
        <v>30</v>
      </c>
      <c r="E1724" s="4" t="n">
        <f aca="false">IFERROR(INDEX(Positions!$D$2:$D$6912,MATCH($A1724&amp;"|40",Positions!$A$2:$A$6912,0)),"-")</f>
        <v>40</v>
      </c>
      <c r="F1724" s="4" t="str">
        <f aca="false">IFERROR(INDEX(Positions!$E$2:$E$6912,MATCH($A1724&amp;"|30",Positions!$A$2:$A$6912,0)),"-")</f>
        <v>G</v>
      </c>
      <c r="G1724" s="4" t="str">
        <f aca="false">IFERROR(INDEX(Positions!$E$2:$E$6912,MATCH($A1724&amp;"|40",Positions!$A$2:$A$6912,0)),"-")</f>
        <v>C</v>
      </c>
      <c r="H1724" s="3" t="str">
        <f aca="false">F1724&amp;"-"&amp;G1724</f>
        <v>G-C</v>
      </c>
      <c r="I1724" s="4" t="n">
        <f aca="false">(F1724="G")+(G1724="G")</f>
        <v>1</v>
      </c>
      <c r="J1724" s="4" t="n">
        <f aca="false">(F1724="C")+(G1724="C")</f>
        <v>1</v>
      </c>
      <c r="K1724" s="3" t="n">
        <f aca="false">I1724+J1724</f>
        <v>2</v>
      </c>
    </row>
    <row r="1725" customFormat="false" ht="15" hidden="false" customHeight="false" outlineLevel="0" collapsed="false">
      <c r="A1725" s="4" t="s">
        <v>98</v>
      </c>
      <c r="B1725" s="4" t="s">
        <v>446</v>
      </c>
      <c r="C1725" s="4" t="s">
        <v>273</v>
      </c>
      <c r="D1725" s="4" t="n">
        <f aca="false">IFERROR(INDEX(Positions!$D$2:$D$6912,MATCH($A1725&amp;"|31",Positions!$A$2:$A$6912,0)),"-")</f>
        <v>31</v>
      </c>
      <c r="E1725" s="4" t="n">
        <f aca="false">IFERROR(INDEX(Positions!$D$2:$D$6912,MATCH($A1725&amp;"|39",Positions!$A$2:$A$6912,0)),"-")</f>
        <v>39</v>
      </c>
      <c r="F1725" s="4" t="str">
        <f aca="false">IFERROR(INDEX(Positions!$E$2:$E$6912,MATCH($A1725&amp;"|31",Positions!$A$2:$A$6912,0)),"-")</f>
        <v>A</v>
      </c>
      <c r="G1725" s="4" t="str">
        <f aca="false">IFERROR(INDEX(Positions!$E$2:$E$6912,MATCH($A1725&amp;"|39",Positions!$A$2:$A$6912,0)),"-")</f>
        <v>U</v>
      </c>
      <c r="H1725" s="3" t="str">
        <f aca="false">F1725&amp;"-"&amp;G1725</f>
        <v>A-U</v>
      </c>
      <c r="I1725" s="4" t="n">
        <f aca="false">(F1725="G")+(G1725="G")</f>
        <v>0</v>
      </c>
      <c r="J1725" s="4" t="n">
        <f aca="false">(F1725="C")+(G1725="C")</f>
        <v>0</v>
      </c>
      <c r="K1725" s="3" t="n">
        <f aca="false">I1725+J1725</f>
        <v>0</v>
      </c>
    </row>
    <row r="1726" customFormat="false" ht="15" hidden="false" customHeight="false" outlineLevel="0" collapsed="false">
      <c r="A1726" s="4" t="s">
        <v>98</v>
      </c>
      <c r="B1726" s="4" t="s">
        <v>471</v>
      </c>
      <c r="C1726" s="4" t="s">
        <v>367</v>
      </c>
      <c r="D1726" s="4" t="n">
        <f aca="false">IFERROR(INDEX(Positions!$D$2:$D$6912,MATCH($A1726&amp;"|49",Positions!$A$2:$A$6912,0)),"-")</f>
        <v>49</v>
      </c>
      <c r="E1726" s="4" t="n">
        <f aca="false">IFERROR(INDEX(Positions!$D$2:$D$6912,MATCH($A1726&amp;"|65",Positions!$A$2:$A$6912,0)),"-")</f>
        <v>65</v>
      </c>
      <c r="F1726" s="4" t="str">
        <f aca="false">IFERROR(INDEX(Positions!$E$2:$E$6912,MATCH($A1726&amp;"|49",Positions!$A$2:$A$6912,0)),"-")</f>
        <v>G</v>
      </c>
      <c r="G1726" s="4" t="str">
        <f aca="false">IFERROR(INDEX(Positions!$E$2:$E$6912,MATCH($A1726&amp;"|65",Positions!$A$2:$A$6912,0)),"-")</f>
        <v>C</v>
      </c>
      <c r="H1726" s="3" t="str">
        <f aca="false">F1726&amp;"-"&amp;G1726</f>
        <v>G-C</v>
      </c>
      <c r="I1726" s="4" t="n">
        <f aca="false">(F1726="G")+(G1726="G")</f>
        <v>1</v>
      </c>
      <c r="J1726" s="4" t="n">
        <f aca="false">(F1726="C")+(G1726="C")</f>
        <v>1</v>
      </c>
      <c r="K1726" s="3" t="n">
        <f aca="false">I1726+J1726</f>
        <v>2</v>
      </c>
    </row>
    <row r="1727" customFormat="false" ht="15" hidden="false" customHeight="false" outlineLevel="0" collapsed="false">
      <c r="A1727" s="4" t="s">
        <v>98</v>
      </c>
      <c r="B1727" s="4" t="s">
        <v>471</v>
      </c>
      <c r="C1727" s="4" t="s">
        <v>233</v>
      </c>
      <c r="D1727" s="4" t="n">
        <f aca="false">IFERROR(INDEX(Positions!$D$2:$D$6912,MATCH($A1727&amp;"|50",Positions!$A$2:$A$6912,0)),"-")</f>
        <v>50</v>
      </c>
      <c r="E1727" s="4" t="n">
        <f aca="false">IFERROR(INDEX(Positions!$D$2:$D$6912,MATCH($A1727&amp;"|64",Positions!$A$2:$A$6912,0)),"-")</f>
        <v>64</v>
      </c>
      <c r="F1727" s="4" t="str">
        <f aca="false">IFERROR(INDEX(Positions!$E$2:$E$6912,MATCH($A1727&amp;"|50",Positions!$A$2:$A$6912,0)),"-")</f>
        <v>U</v>
      </c>
      <c r="G1727" s="4" t="str">
        <f aca="false">IFERROR(INDEX(Positions!$E$2:$E$6912,MATCH($A1727&amp;"|64",Positions!$A$2:$A$6912,0)),"-")</f>
        <v>A</v>
      </c>
      <c r="H1727" s="3" t="str">
        <f aca="false">F1727&amp;"-"&amp;G1727</f>
        <v>U-A</v>
      </c>
      <c r="I1727" s="4" t="n">
        <f aca="false">(F1727="G")+(G1727="G")</f>
        <v>0</v>
      </c>
      <c r="J1727" s="4" t="n">
        <f aca="false">(F1727="C")+(G1727="C")</f>
        <v>0</v>
      </c>
      <c r="K1727" s="3" t="n">
        <f aca="false">I1727+J1727</f>
        <v>0</v>
      </c>
    </row>
    <row r="1728" customFormat="false" ht="15" hidden="false" customHeight="false" outlineLevel="0" collapsed="false">
      <c r="A1728" s="4" t="s">
        <v>98</v>
      </c>
      <c r="B1728" s="4" t="s">
        <v>471</v>
      </c>
      <c r="C1728" s="4" t="s">
        <v>527</v>
      </c>
      <c r="D1728" s="4" t="n">
        <f aca="false">IFERROR(INDEX(Positions!$D$2:$D$6912,MATCH($A1728&amp;"|51",Positions!$A$2:$A$6912,0)),"-")</f>
        <v>51</v>
      </c>
      <c r="E1728" s="4" t="n">
        <f aca="false">IFERROR(INDEX(Positions!$D$2:$D$6912,MATCH($A1728&amp;"|63",Positions!$A$2:$A$6912,0)),"-")</f>
        <v>63</v>
      </c>
      <c r="F1728" s="4" t="str">
        <f aca="false">IFERROR(INDEX(Positions!$E$2:$E$6912,MATCH($A1728&amp;"|51",Positions!$A$2:$A$6912,0)),"-")</f>
        <v>G</v>
      </c>
      <c r="G1728" s="4" t="str">
        <f aca="false">IFERROR(INDEX(Positions!$E$2:$E$6912,MATCH($A1728&amp;"|63",Positions!$A$2:$A$6912,0)),"-")</f>
        <v>C</v>
      </c>
      <c r="H1728" s="3" t="str">
        <f aca="false">F1728&amp;"-"&amp;G1728</f>
        <v>G-C</v>
      </c>
      <c r="I1728" s="4" t="n">
        <f aca="false">(F1728="G")+(G1728="G")</f>
        <v>1</v>
      </c>
      <c r="J1728" s="4" t="n">
        <f aca="false">(F1728="C")+(G1728="C")</f>
        <v>1</v>
      </c>
      <c r="K1728" s="3" t="n">
        <f aca="false">I1728+J1728</f>
        <v>2</v>
      </c>
    </row>
    <row r="1729" customFormat="false" ht="15" hidden="false" customHeight="false" outlineLevel="0" collapsed="false">
      <c r="A1729" s="4" t="s">
        <v>98</v>
      </c>
      <c r="B1729" s="4" t="s">
        <v>471</v>
      </c>
      <c r="C1729" s="4" t="s">
        <v>528</v>
      </c>
      <c r="D1729" s="4" t="n">
        <f aca="false">IFERROR(INDEX(Positions!$D$2:$D$6912,MATCH($A1729&amp;"|52",Positions!$A$2:$A$6912,0)),"-")</f>
        <v>52</v>
      </c>
      <c r="E1729" s="4" t="n">
        <f aca="false">IFERROR(INDEX(Positions!$D$2:$D$6912,MATCH($A1729&amp;"|62",Positions!$A$2:$A$6912,0)),"-")</f>
        <v>62</v>
      </c>
      <c r="F1729" s="4" t="str">
        <f aca="false">IFERROR(INDEX(Positions!$E$2:$E$6912,MATCH($A1729&amp;"|52",Positions!$A$2:$A$6912,0)),"-")</f>
        <v>G</v>
      </c>
      <c r="G1729" s="4" t="str">
        <f aca="false">IFERROR(INDEX(Positions!$E$2:$E$6912,MATCH($A1729&amp;"|62",Positions!$A$2:$A$6912,0)),"-")</f>
        <v>C</v>
      </c>
      <c r="H1729" s="3" t="str">
        <f aca="false">F1729&amp;"-"&amp;G1729</f>
        <v>G-C</v>
      </c>
      <c r="I1729" s="4" t="n">
        <f aca="false">(F1729="G")+(G1729="G")</f>
        <v>1</v>
      </c>
      <c r="J1729" s="4" t="n">
        <f aca="false">(F1729="C")+(G1729="C")</f>
        <v>1</v>
      </c>
      <c r="K1729" s="3" t="n">
        <f aca="false">I1729+J1729</f>
        <v>2</v>
      </c>
    </row>
    <row r="1730" customFormat="false" ht="15" hidden="false" customHeight="false" outlineLevel="0" collapsed="false">
      <c r="A1730" s="4" t="s">
        <v>98</v>
      </c>
      <c r="B1730" s="4" t="s">
        <v>471</v>
      </c>
      <c r="C1730" s="4" t="s">
        <v>529</v>
      </c>
      <c r="D1730" s="4" t="n">
        <f aca="false">IFERROR(INDEX(Positions!$D$2:$D$6912,MATCH($A1730&amp;"|53",Positions!$A$2:$A$6912,0)),"-")</f>
        <v>53</v>
      </c>
      <c r="E1730" s="4" t="n">
        <f aca="false">IFERROR(INDEX(Positions!$D$2:$D$6912,MATCH($A1730&amp;"|61",Positions!$A$2:$A$6912,0)),"-")</f>
        <v>61</v>
      </c>
      <c r="F1730" s="4" t="str">
        <f aca="false">IFERROR(INDEX(Positions!$E$2:$E$6912,MATCH($A1730&amp;"|53",Positions!$A$2:$A$6912,0)),"-")</f>
        <v>G</v>
      </c>
      <c r="G1730" s="4" t="str">
        <f aca="false">IFERROR(INDEX(Positions!$E$2:$E$6912,MATCH($A1730&amp;"|61",Positions!$A$2:$A$6912,0)),"-")</f>
        <v>C</v>
      </c>
      <c r="H1730" s="3" t="str">
        <f aca="false">F1730&amp;"-"&amp;G1730</f>
        <v>G-C</v>
      </c>
      <c r="I1730" s="4" t="n">
        <f aca="false">(F1730="G")+(G1730="G")</f>
        <v>1</v>
      </c>
      <c r="J1730" s="4" t="n">
        <f aca="false">(F1730="C")+(G1730="C")</f>
        <v>1</v>
      </c>
      <c r="K1730" s="3" t="n">
        <f aca="false">I1730+J1730</f>
        <v>2</v>
      </c>
    </row>
    <row r="1731" customFormat="false" ht="15" hidden="false" customHeight="false" outlineLevel="0" collapsed="false">
      <c r="A1731" s="24" t="s">
        <v>98</v>
      </c>
      <c r="B1731" s="24" t="s">
        <v>530</v>
      </c>
      <c r="C1731" s="24" t="s">
        <v>531</v>
      </c>
      <c r="D1731" s="24" t="n">
        <f aca="false">IFERROR(INDEX(Positions!$D$2:$D$6912,MATCH($A1731&amp;"|8",Positions!$A$2:$A$6912,0)),"-")</f>
        <v>8</v>
      </c>
      <c r="E1731" s="24" t="n">
        <f aca="false">IFERROR(INDEX(Positions!$D$2:$D$6912,MATCH($A1731&amp;"|14",Positions!$A$2:$A$6912,0)),"-")</f>
        <v>14</v>
      </c>
      <c r="F1731" s="24" t="str">
        <f aca="false">IFERROR(INDEX(Positions!$E$2:$E$6912,MATCH($A1731&amp;"|8",Positions!$A$2:$A$6912,0)),"-")</f>
        <v>U</v>
      </c>
      <c r="G1731" s="24" t="str">
        <f aca="false">IFERROR(INDEX(Positions!$E$2:$E$6912,MATCH($A1731&amp;"|14",Positions!$A$2:$A$6912,0)),"-")</f>
        <v>A</v>
      </c>
      <c r="H1731" s="25" t="str">
        <f aca="false">F1731&amp;"-"&amp;G1731</f>
        <v>U-A</v>
      </c>
      <c r="I1731" s="24" t="n">
        <f aca="false">(F1731="G")+(G1731="G")</f>
        <v>0</v>
      </c>
      <c r="J1731" s="24" t="n">
        <f aca="false">(F1731="C")+(G1731="C")</f>
        <v>0</v>
      </c>
      <c r="K1731" s="25" t="n">
        <f aca="false">I1731+J1731</f>
        <v>0</v>
      </c>
    </row>
    <row r="1732" customFormat="false" ht="15" hidden="false" customHeight="false" outlineLevel="0" collapsed="false">
      <c r="A1732" s="24" t="s">
        <v>98</v>
      </c>
      <c r="B1732" s="24" t="s">
        <v>530</v>
      </c>
      <c r="C1732" s="24" t="s">
        <v>532</v>
      </c>
      <c r="D1732" s="24" t="n">
        <f aca="false">IFERROR(INDEX(Positions!$D$2:$D$6912,MATCH($A1732&amp;"|15",Positions!$A$2:$A$6912,0)),"-")</f>
        <v>15</v>
      </c>
      <c r="E1732" s="24" t="n">
        <f aca="false">IFERROR(INDEX(Positions!$D$2:$D$6912,MATCH($A1732&amp;"|48",Positions!$A$2:$A$6912,0)),"-")</f>
        <v>48</v>
      </c>
      <c r="F1732" s="24" t="str">
        <f aca="false">IFERROR(INDEX(Positions!$E$2:$E$6912,MATCH($A1732&amp;"|15",Positions!$A$2:$A$6912,0)),"-")</f>
        <v>G</v>
      </c>
      <c r="G1732" s="24" t="str">
        <f aca="false">IFERROR(INDEX(Positions!$E$2:$E$6912,MATCH($A1732&amp;"|48",Positions!$A$2:$A$6912,0)),"-")</f>
        <v>C</v>
      </c>
      <c r="H1732" s="25" t="str">
        <f aca="false">F1732&amp;"-"&amp;G1732</f>
        <v>G-C</v>
      </c>
      <c r="I1732" s="24" t="n">
        <f aca="false">(F1732="G")+(G1732="G")</f>
        <v>1</v>
      </c>
      <c r="J1732" s="24" t="n">
        <f aca="false">(F1732="C")+(G1732="C")</f>
        <v>1</v>
      </c>
      <c r="K1732" s="25" t="n">
        <f aca="false">I1732+J1732</f>
        <v>2</v>
      </c>
    </row>
    <row r="1733" customFormat="false" ht="15" hidden="false" customHeight="false" outlineLevel="0" collapsed="false">
      <c r="A1733" s="24" t="s">
        <v>98</v>
      </c>
      <c r="B1733" s="24" t="s">
        <v>530</v>
      </c>
      <c r="C1733" s="24" t="s">
        <v>533</v>
      </c>
      <c r="D1733" s="24" t="n">
        <f aca="false">IFERROR(INDEX(Positions!$D$2:$D$6912,MATCH($A1733&amp;"|18",Positions!$A$2:$A$6912,0)),"-")</f>
        <v>18</v>
      </c>
      <c r="E1733" s="24" t="n">
        <f aca="false">IFERROR(INDEX(Positions!$D$2:$D$6912,MATCH($A1733&amp;"|55",Positions!$A$2:$A$6912,0)),"-")</f>
        <v>55</v>
      </c>
      <c r="F1733" s="24" t="str">
        <f aca="false">IFERROR(INDEX(Positions!$E$2:$E$6912,MATCH($A1733&amp;"|18",Positions!$A$2:$A$6912,0)),"-")</f>
        <v>G</v>
      </c>
      <c r="G1733" s="24" t="str">
        <f aca="false">IFERROR(INDEX(Positions!$E$2:$E$6912,MATCH($A1733&amp;"|55",Positions!$A$2:$A$6912,0)),"-")</f>
        <v>U</v>
      </c>
      <c r="H1733" s="25" t="str">
        <f aca="false">F1733&amp;"-"&amp;G1733</f>
        <v>G-U</v>
      </c>
      <c r="I1733" s="24" t="n">
        <f aca="false">(F1733="G")+(G1733="G")</f>
        <v>1</v>
      </c>
      <c r="J1733" s="24" t="n">
        <f aca="false">(F1733="C")+(G1733="C")</f>
        <v>0</v>
      </c>
      <c r="K1733" s="25" t="n">
        <f aca="false">I1733+J1733</f>
        <v>1</v>
      </c>
    </row>
    <row r="1734" customFormat="false" ht="15" hidden="false" customHeight="false" outlineLevel="0" collapsed="false">
      <c r="A1734" s="24" t="s">
        <v>98</v>
      </c>
      <c r="B1734" s="24" t="s">
        <v>530</v>
      </c>
      <c r="C1734" s="24" t="s">
        <v>534</v>
      </c>
      <c r="D1734" s="24" t="n">
        <f aca="false">IFERROR(INDEX(Positions!$D$2:$D$6912,MATCH($A1734&amp;"|19",Positions!$A$2:$A$6912,0)),"-")</f>
        <v>19</v>
      </c>
      <c r="E1734" s="24" t="n">
        <f aca="false">IFERROR(INDEX(Positions!$D$2:$D$6912,MATCH($A1734&amp;"|56",Positions!$A$2:$A$6912,0)),"-")</f>
        <v>56</v>
      </c>
      <c r="F1734" s="24" t="str">
        <f aca="false">IFERROR(INDEX(Positions!$E$2:$E$6912,MATCH($A1734&amp;"|19",Positions!$A$2:$A$6912,0)),"-")</f>
        <v>G</v>
      </c>
      <c r="G1734" s="24" t="str">
        <f aca="false">IFERROR(INDEX(Positions!$E$2:$E$6912,MATCH($A1734&amp;"|56",Positions!$A$2:$A$6912,0)),"-")</f>
        <v>C</v>
      </c>
      <c r="H1734" s="25" t="str">
        <f aca="false">F1734&amp;"-"&amp;G1734</f>
        <v>G-C</v>
      </c>
      <c r="I1734" s="24" t="n">
        <f aca="false">(F1734="G")+(G1734="G")</f>
        <v>1</v>
      </c>
      <c r="J1734" s="24" t="n">
        <f aca="false">(F1734="C")+(G1734="C")</f>
        <v>1</v>
      </c>
      <c r="K1734" s="25" t="n">
        <f aca="false">I1734+J1734</f>
        <v>2</v>
      </c>
    </row>
    <row r="1735" customFormat="false" ht="15" hidden="false" customHeight="false" outlineLevel="0" collapsed="false">
      <c r="A1735" s="24" t="s">
        <v>98</v>
      </c>
      <c r="B1735" s="24" t="s">
        <v>530</v>
      </c>
      <c r="C1735" s="24" t="s">
        <v>535</v>
      </c>
      <c r="D1735" s="24" t="n">
        <f aca="false">IFERROR(INDEX(Positions!$D$2:$D$6912,MATCH($A1735&amp;"|26",Positions!$A$2:$A$6912,0)),"-")</f>
        <v>26</v>
      </c>
      <c r="E1735" s="24" t="n">
        <f aca="false">IFERROR(INDEX(Positions!$D$2:$D$6912,MATCH($A1735&amp;"|44",Positions!$A$2:$A$6912,0)),"-")</f>
        <v>44</v>
      </c>
      <c r="F1735" s="24" t="str">
        <f aca="false">IFERROR(INDEX(Positions!$E$2:$E$6912,MATCH($A1735&amp;"|26",Positions!$A$2:$A$6912,0)),"-")</f>
        <v>A</v>
      </c>
      <c r="G1735" s="24" t="str">
        <f aca="false">IFERROR(INDEX(Positions!$E$2:$E$6912,MATCH($A1735&amp;"|44",Positions!$A$2:$A$6912,0)),"-")</f>
        <v>G</v>
      </c>
      <c r="H1735" s="25" t="str">
        <f aca="false">F1735&amp;"-"&amp;G1735</f>
        <v>A-G</v>
      </c>
      <c r="I1735" s="24" t="n">
        <f aca="false">(F1735="G")+(G1735="G")</f>
        <v>1</v>
      </c>
      <c r="J1735" s="24" t="n">
        <f aca="false">(F1735="C")+(G1735="C")</f>
        <v>0</v>
      </c>
      <c r="K1735" s="25" t="n">
        <f aca="false">I1735+J1735</f>
        <v>1</v>
      </c>
    </row>
    <row r="1736" customFormat="false" ht="15" hidden="false" customHeight="false" outlineLevel="0" collapsed="false">
      <c r="A1736" s="24" t="s">
        <v>98</v>
      </c>
      <c r="B1736" s="24" t="s">
        <v>530</v>
      </c>
      <c r="C1736" s="24" t="s">
        <v>536</v>
      </c>
      <c r="D1736" s="24" t="n">
        <f aca="false">IFERROR(INDEX(Positions!$D$2:$D$6912,MATCH($A1736&amp;"|32",Positions!$A$2:$A$6912,0)),"-")</f>
        <v>32</v>
      </c>
      <c r="E1736" s="24" t="n">
        <f aca="false">IFERROR(INDEX(Positions!$D$2:$D$6912,MATCH($A1736&amp;"|38",Positions!$A$2:$A$6912,0)),"-")</f>
        <v>38</v>
      </c>
      <c r="F1736" s="24" t="str">
        <f aca="false">IFERROR(INDEX(Positions!$E$2:$E$6912,MATCH($A1736&amp;"|32",Positions!$A$2:$A$6912,0)),"-")</f>
        <v>C</v>
      </c>
      <c r="G1736" s="24" t="str">
        <f aca="false">IFERROR(INDEX(Positions!$E$2:$E$6912,MATCH($A1736&amp;"|38",Positions!$A$2:$A$6912,0)),"-")</f>
        <v>A</v>
      </c>
      <c r="H1736" s="25" t="str">
        <f aca="false">F1736&amp;"-"&amp;G1736</f>
        <v>C-A</v>
      </c>
      <c r="I1736" s="24" t="n">
        <f aca="false">(F1736="G")+(G1736="G")</f>
        <v>0</v>
      </c>
      <c r="J1736" s="24" t="n">
        <f aca="false">(F1736="C")+(G1736="C")</f>
        <v>1</v>
      </c>
      <c r="K1736" s="25" t="n">
        <f aca="false">I1736+J1736</f>
        <v>1</v>
      </c>
    </row>
    <row r="1737" customFormat="false" ht="15" hidden="false" customHeight="false" outlineLevel="0" collapsed="false">
      <c r="A1737" s="24" t="s">
        <v>98</v>
      </c>
      <c r="B1737" s="24" t="s">
        <v>530</v>
      </c>
      <c r="C1737" s="24" t="s">
        <v>537</v>
      </c>
      <c r="D1737" s="24" t="n">
        <f aca="false">IFERROR(INDEX(Positions!$D$2:$D$6912,MATCH($A1737&amp;"|54",Positions!$A$2:$A$6912,0)),"-")</f>
        <v>54</v>
      </c>
      <c r="E1737" s="24" t="n">
        <f aca="false">IFERROR(INDEX(Positions!$D$2:$D$6912,MATCH($A1737&amp;"|58",Positions!$A$2:$A$6912,0)),"-")</f>
        <v>58</v>
      </c>
      <c r="F1737" s="24" t="str">
        <f aca="false">IFERROR(INDEX(Positions!$E$2:$E$6912,MATCH($A1737&amp;"|54",Positions!$A$2:$A$6912,0)),"-")</f>
        <v>U</v>
      </c>
      <c r="G1737" s="24" t="str">
        <f aca="false">IFERROR(INDEX(Positions!$E$2:$E$6912,MATCH($A1737&amp;"|58",Positions!$A$2:$A$6912,0)),"-")</f>
        <v>A</v>
      </c>
      <c r="H1737" s="25" t="str">
        <f aca="false">F1737&amp;"-"&amp;G1737</f>
        <v>U-A</v>
      </c>
      <c r="I1737" s="24" t="n">
        <f aca="false">(F1737="G")+(G1737="G")</f>
        <v>0</v>
      </c>
      <c r="J1737" s="24" t="n">
        <f aca="false">(F1737="C")+(G1737="C")</f>
        <v>0</v>
      </c>
      <c r="K1737" s="25" t="n">
        <f aca="false">I1737+J1737</f>
        <v>0</v>
      </c>
    </row>
    <row r="1738" customFormat="false" ht="15" hidden="false" customHeight="false" outlineLevel="0" collapsed="false">
      <c r="A1738" s="4" t="s">
        <v>99</v>
      </c>
      <c r="B1738" s="4" t="s">
        <v>412</v>
      </c>
      <c r="C1738" s="4" t="s">
        <v>517</v>
      </c>
      <c r="D1738" s="4" t="n">
        <f aca="false">IFERROR(INDEX(Positions!$D$2:$D$6912,MATCH($A1738&amp;"|1",Positions!$A$2:$A$6912,0)),"-")</f>
        <v>1</v>
      </c>
      <c r="E1738" s="4" t="n">
        <f aca="false">IFERROR(INDEX(Positions!$D$2:$D$6912,MATCH($A1738&amp;"|72",Positions!$A$2:$A$6912,0)),"-")</f>
        <v>72</v>
      </c>
      <c r="F1738" s="4" t="str">
        <f aca="false">IFERROR(INDEX(Positions!$E$2:$E$6912,MATCH($A1738&amp;"|1",Positions!$A$2:$A$6912,0)),"-")</f>
        <v>G</v>
      </c>
      <c r="G1738" s="4" t="str">
        <f aca="false">IFERROR(INDEX(Positions!$E$2:$E$6912,MATCH($A1738&amp;"|72",Positions!$A$2:$A$6912,0)),"-")</f>
        <v>C</v>
      </c>
      <c r="H1738" s="3" t="str">
        <f aca="false">F1738&amp;"-"&amp;G1738</f>
        <v>G-C</v>
      </c>
      <c r="I1738" s="4" t="n">
        <f aca="false">(F1738="G")+(G1738="G")</f>
        <v>1</v>
      </c>
      <c r="J1738" s="4" t="n">
        <f aca="false">(F1738="C")+(G1738="C")</f>
        <v>1</v>
      </c>
      <c r="K1738" s="3" t="n">
        <f aca="false">I1738+J1738</f>
        <v>2</v>
      </c>
    </row>
    <row r="1739" customFormat="false" ht="15" hidden="false" customHeight="false" outlineLevel="0" collapsed="false">
      <c r="A1739" s="4" t="s">
        <v>99</v>
      </c>
      <c r="B1739" s="4" t="s">
        <v>412</v>
      </c>
      <c r="C1739" s="4" t="s">
        <v>518</v>
      </c>
      <c r="D1739" s="4" t="n">
        <f aca="false">IFERROR(INDEX(Positions!$D$2:$D$6912,MATCH($A1739&amp;"|2",Positions!$A$2:$A$6912,0)),"-")</f>
        <v>2</v>
      </c>
      <c r="E1739" s="4" t="n">
        <f aca="false">IFERROR(INDEX(Positions!$D$2:$D$6912,MATCH($A1739&amp;"|71",Positions!$A$2:$A$6912,0)),"-")</f>
        <v>71</v>
      </c>
      <c r="F1739" s="4" t="str">
        <f aca="false">IFERROR(INDEX(Positions!$E$2:$E$6912,MATCH($A1739&amp;"|2",Positions!$A$2:$A$6912,0)),"-")</f>
        <v>C</v>
      </c>
      <c r="G1739" s="4" t="str">
        <f aca="false">IFERROR(INDEX(Positions!$E$2:$E$6912,MATCH($A1739&amp;"|71",Positions!$A$2:$A$6912,0)),"-")</f>
        <v>G</v>
      </c>
      <c r="H1739" s="3" t="str">
        <f aca="false">F1739&amp;"-"&amp;G1739</f>
        <v>C-G</v>
      </c>
      <c r="I1739" s="4" t="n">
        <f aca="false">(F1739="G")+(G1739="G")</f>
        <v>1</v>
      </c>
      <c r="J1739" s="4" t="n">
        <f aca="false">(F1739="C")+(G1739="C")</f>
        <v>1</v>
      </c>
      <c r="K1739" s="3" t="n">
        <f aca="false">I1739+J1739</f>
        <v>2</v>
      </c>
    </row>
    <row r="1740" customFormat="false" ht="15" hidden="false" customHeight="false" outlineLevel="0" collapsed="false">
      <c r="A1740" s="4" t="s">
        <v>99</v>
      </c>
      <c r="B1740" s="4" t="s">
        <v>412</v>
      </c>
      <c r="C1740" s="4" t="s">
        <v>386</v>
      </c>
      <c r="D1740" s="4" t="n">
        <f aca="false">IFERROR(INDEX(Positions!$D$2:$D$6912,MATCH($A1740&amp;"|3",Positions!$A$2:$A$6912,0)),"-")</f>
        <v>3</v>
      </c>
      <c r="E1740" s="4" t="n">
        <f aca="false">IFERROR(INDEX(Positions!$D$2:$D$6912,MATCH($A1740&amp;"|70",Positions!$A$2:$A$6912,0)),"-")</f>
        <v>70</v>
      </c>
      <c r="F1740" s="4" t="str">
        <f aca="false">IFERROR(INDEX(Positions!$E$2:$E$6912,MATCH($A1740&amp;"|3",Positions!$A$2:$A$6912,0)),"-")</f>
        <v>C</v>
      </c>
      <c r="G1740" s="4" t="str">
        <f aca="false">IFERROR(INDEX(Positions!$E$2:$E$6912,MATCH($A1740&amp;"|70",Positions!$A$2:$A$6912,0)),"-")</f>
        <v>G</v>
      </c>
      <c r="H1740" s="3" t="str">
        <f aca="false">F1740&amp;"-"&amp;G1740</f>
        <v>C-G</v>
      </c>
      <c r="I1740" s="4" t="n">
        <f aca="false">(F1740="G")+(G1740="G")</f>
        <v>1</v>
      </c>
      <c r="J1740" s="4" t="n">
        <f aca="false">(F1740="C")+(G1740="C")</f>
        <v>1</v>
      </c>
      <c r="K1740" s="3" t="n">
        <f aca="false">I1740+J1740</f>
        <v>2</v>
      </c>
    </row>
    <row r="1741" customFormat="false" ht="15" hidden="false" customHeight="false" outlineLevel="0" collapsed="false">
      <c r="A1741" s="4" t="s">
        <v>99</v>
      </c>
      <c r="B1741" s="4" t="s">
        <v>412</v>
      </c>
      <c r="C1741" s="4" t="s">
        <v>519</v>
      </c>
      <c r="D1741" s="4" t="n">
        <f aca="false">IFERROR(INDEX(Positions!$D$2:$D$6912,MATCH($A1741&amp;"|4",Positions!$A$2:$A$6912,0)),"-")</f>
        <v>4</v>
      </c>
      <c r="E1741" s="4" t="n">
        <f aca="false">IFERROR(INDEX(Positions!$D$2:$D$6912,MATCH($A1741&amp;"|69",Positions!$A$2:$A$6912,0)),"-")</f>
        <v>69</v>
      </c>
      <c r="F1741" s="4" t="str">
        <f aca="false">IFERROR(INDEX(Positions!$E$2:$E$6912,MATCH($A1741&amp;"|4",Positions!$A$2:$A$6912,0)),"-")</f>
        <v>C</v>
      </c>
      <c r="G1741" s="4" t="str">
        <f aca="false">IFERROR(INDEX(Positions!$E$2:$E$6912,MATCH($A1741&amp;"|69",Positions!$A$2:$A$6912,0)),"-")</f>
        <v>G</v>
      </c>
      <c r="H1741" s="3" t="str">
        <f aca="false">F1741&amp;"-"&amp;G1741</f>
        <v>C-G</v>
      </c>
      <c r="I1741" s="4" t="n">
        <f aca="false">(F1741="G")+(G1741="G")</f>
        <v>1</v>
      </c>
      <c r="J1741" s="4" t="n">
        <f aca="false">(F1741="C")+(G1741="C")</f>
        <v>1</v>
      </c>
      <c r="K1741" s="3" t="n">
        <f aca="false">I1741+J1741</f>
        <v>2</v>
      </c>
    </row>
    <row r="1742" customFormat="false" ht="15" hidden="false" customHeight="false" outlineLevel="0" collapsed="false">
      <c r="A1742" s="4" t="s">
        <v>99</v>
      </c>
      <c r="B1742" s="4" t="s">
        <v>412</v>
      </c>
      <c r="C1742" s="4" t="s">
        <v>283</v>
      </c>
      <c r="D1742" s="4" t="n">
        <f aca="false">IFERROR(INDEX(Positions!$D$2:$D$6912,MATCH($A1742&amp;"|5",Positions!$A$2:$A$6912,0)),"-")</f>
        <v>5</v>
      </c>
      <c r="E1742" s="4" t="n">
        <f aca="false">IFERROR(INDEX(Positions!$D$2:$D$6912,MATCH($A1742&amp;"|68",Positions!$A$2:$A$6912,0)),"-")</f>
        <v>68</v>
      </c>
      <c r="F1742" s="4" t="str">
        <f aca="false">IFERROR(INDEX(Positions!$E$2:$E$6912,MATCH($A1742&amp;"|5",Positions!$A$2:$A$6912,0)),"-")</f>
        <v>G</v>
      </c>
      <c r="G1742" s="4" t="str">
        <f aca="false">IFERROR(INDEX(Positions!$E$2:$E$6912,MATCH($A1742&amp;"|68",Positions!$A$2:$A$6912,0)),"-")</f>
        <v>U</v>
      </c>
      <c r="H1742" s="3" t="str">
        <f aca="false">F1742&amp;"-"&amp;G1742</f>
        <v>G-U</v>
      </c>
      <c r="I1742" s="4" t="n">
        <f aca="false">(F1742="G")+(G1742="G")</f>
        <v>1</v>
      </c>
      <c r="J1742" s="4" t="n">
        <f aca="false">(F1742="C")+(G1742="C")</f>
        <v>0</v>
      </c>
      <c r="K1742" s="3" t="n">
        <f aca="false">I1742+J1742</f>
        <v>1</v>
      </c>
    </row>
    <row r="1743" customFormat="false" ht="15" hidden="false" customHeight="false" outlineLevel="0" collapsed="false">
      <c r="A1743" s="4" t="s">
        <v>99</v>
      </c>
      <c r="B1743" s="4" t="s">
        <v>412</v>
      </c>
      <c r="C1743" s="4" t="s">
        <v>520</v>
      </c>
      <c r="D1743" s="4" t="n">
        <f aca="false">IFERROR(INDEX(Positions!$D$2:$D$6912,MATCH($A1743&amp;"|6",Positions!$A$2:$A$6912,0)),"-")</f>
        <v>6</v>
      </c>
      <c r="E1743" s="4" t="n">
        <f aca="false">IFERROR(INDEX(Positions!$D$2:$D$6912,MATCH($A1743&amp;"|67",Positions!$A$2:$A$6912,0)),"-")</f>
        <v>67</v>
      </c>
      <c r="F1743" s="4" t="str">
        <f aca="false">IFERROR(INDEX(Positions!$E$2:$E$6912,MATCH($A1743&amp;"|6",Positions!$A$2:$A$6912,0)),"-")</f>
        <v>G</v>
      </c>
      <c r="G1743" s="4" t="str">
        <f aca="false">IFERROR(INDEX(Positions!$E$2:$E$6912,MATCH($A1743&amp;"|67",Positions!$A$2:$A$6912,0)),"-")</f>
        <v>U</v>
      </c>
      <c r="H1743" s="3" t="str">
        <f aca="false">F1743&amp;"-"&amp;G1743</f>
        <v>G-U</v>
      </c>
      <c r="I1743" s="4" t="n">
        <f aca="false">(F1743="G")+(G1743="G")</f>
        <v>1</v>
      </c>
      <c r="J1743" s="4" t="n">
        <f aca="false">(F1743="C")+(G1743="C")</f>
        <v>0</v>
      </c>
      <c r="K1743" s="3" t="n">
        <f aca="false">I1743+J1743</f>
        <v>1</v>
      </c>
    </row>
    <row r="1744" customFormat="false" ht="15" hidden="false" customHeight="false" outlineLevel="0" collapsed="false">
      <c r="A1744" s="4" t="s">
        <v>99</v>
      </c>
      <c r="B1744" s="4" t="s">
        <v>412</v>
      </c>
      <c r="C1744" s="4" t="s">
        <v>521</v>
      </c>
      <c r="D1744" s="4" t="n">
        <f aca="false">IFERROR(INDEX(Positions!$D$2:$D$6912,MATCH($A1744&amp;"|7",Positions!$A$2:$A$6912,0)),"-")</f>
        <v>7</v>
      </c>
      <c r="E1744" s="4" t="n">
        <f aca="false">IFERROR(INDEX(Positions!$D$2:$D$6912,MATCH($A1744&amp;"|66",Positions!$A$2:$A$6912,0)),"-")</f>
        <v>66</v>
      </c>
      <c r="F1744" s="4" t="str">
        <f aca="false">IFERROR(INDEX(Positions!$E$2:$E$6912,MATCH($A1744&amp;"|7",Positions!$A$2:$A$6912,0)),"-")</f>
        <v>C</v>
      </c>
      <c r="G1744" s="4" t="str">
        <f aca="false">IFERROR(INDEX(Positions!$E$2:$E$6912,MATCH($A1744&amp;"|66",Positions!$A$2:$A$6912,0)),"-")</f>
        <v>G</v>
      </c>
      <c r="H1744" s="3" t="str">
        <f aca="false">F1744&amp;"-"&amp;G1744</f>
        <v>C-G</v>
      </c>
      <c r="I1744" s="4" t="n">
        <f aca="false">(F1744="G")+(G1744="G")</f>
        <v>1</v>
      </c>
      <c r="J1744" s="4" t="n">
        <f aca="false">(F1744="C")+(G1744="C")</f>
        <v>1</v>
      </c>
      <c r="K1744" s="3" t="n">
        <f aca="false">I1744+J1744</f>
        <v>2</v>
      </c>
    </row>
    <row r="1745" customFormat="false" ht="15" hidden="false" customHeight="false" outlineLevel="0" collapsed="false">
      <c r="A1745" s="4" t="s">
        <v>99</v>
      </c>
      <c r="B1745" s="4" t="s">
        <v>425</v>
      </c>
      <c r="C1745" s="4" t="s">
        <v>522</v>
      </c>
      <c r="D1745" s="4" t="n">
        <f aca="false">IFERROR(INDEX(Positions!$D$2:$D$6912,MATCH($A1745&amp;"|10",Positions!$A$2:$A$6912,0)),"-")</f>
        <v>10</v>
      </c>
      <c r="E1745" s="4" t="n">
        <f aca="false">IFERROR(INDEX(Positions!$D$2:$D$6912,MATCH($A1745&amp;"|25",Positions!$A$2:$A$6912,0)),"-")</f>
        <v>25</v>
      </c>
      <c r="F1745" s="4" t="str">
        <f aca="false">IFERROR(INDEX(Positions!$E$2:$E$6912,MATCH($A1745&amp;"|10",Positions!$A$2:$A$6912,0)),"-")</f>
        <v>G</v>
      </c>
      <c r="G1745" s="4" t="str">
        <f aca="false">IFERROR(INDEX(Positions!$E$2:$E$6912,MATCH($A1745&amp;"|25",Positions!$A$2:$A$6912,0)),"-")</f>
        <v>C</v>
      </c>
      <c r="H1745" s="3" t="str">
        <f aca="false">F1745&amp;"-"&amp;G1745</f>
        <v>G-C</v>
      </c>
      <c r="I1745" s="4" t="n">
        <f aca="false">(F1745="G")+(G1745="G")</f>
        <v>1</v>
      </c>
      <c r="J1745" s="4" t="n">
        <f aca="false">(F1745="C")+(G1745="C")</f>
        <v>1</v>
      </c>
      <c r="K1745" s="3" t="n">
        <f aca="false">I1745+J1745</f>
        <v>2</v>
      </c>
    </row>
    <row r="1746" customFormat="false" ht="15" hidden="false" customHeight="false" outlineLevel="0" collapsed="false">
      <c r="A1746" s="4" t="s">
        <v>99</v>
      </c>
      <c r="B1746" s="4" t="s">
        <v>425</v>
      </c>
      <c r="C1746" s="4" t="s">
        <v>523</v>
      </c>
      <c r="D1746" s="4" t="n">
        <f aca="false">IFERROR(INDEX(Positions!$D$2:$D$6912,MATCH($A1746&amp;"|11",Positions!$A$2:$A$6912,0)),"-")</f>
        <v>11</v>
      </c>
      <c r="E1746" s="4" t="n">
        <f aca="false">IFERROR(INDEX(Positions!$D$2:$D$6912,MATCH($A1746&amp;"|24",Positions!$A$2:$A$6912,0)),"-")</f>
        <v>24</v>
      </c>
      <c r="F1746" s="4" t="str">
        <f aca="false">IFERROR(INDEX(Positions!$E$2:$E$6912,MATCH($A1746&amp;"|11",Positions!$A$2:$A$6912,0)),"-")</f>
        <v>C</v>
      </c>
      <c r="G1746" s="4" t="str">
        <f aca="false">IFERROR(INDEX(Positions!$E$2:$E$6912,MATCH($A1746&amp;"|24",Positions!$A$2:$A$6912,0)),"-")</f>
        <v>G</v>
      </c>
      <c r="H1746" s="3" t="str">
        <f aca="false">F1746&amp;"-"&amp;G1746</f>
        <v>C-G</v>
      </c>
      <c r="I1746" s="4" t="n">
        <f aca="false">(F1746="G")+(G1746="G")</f>
        <v>1</v>
      </c>
      <c r="J1746" s="4" t="n">
        <f aca="false">(F1746="C")+(G1746="C")</f>
        <v>1</v>
      </c>
      <c r="K1746" s="3" t="n">
        <f aca="false">I1746+J1746</f>
        <v>2</v>
      </c>
    </row>
    <row r="1747" customFormat="false" ht="15" hidden="false" customHeight="false" outlineLevel="0" collapsed="false">
      <c r="A1747" s="4" t="s">
        <v>99</v>
      </c>
      <c r="B1747" s="4" t="s">
        <v>425</v>
      </c>
      <c r="C1747" s="4" t="s">
        <v>250</v>
      </c>
      <c r="D1747" s="4" t="n">
        <f aca="false">IFERROR(INDEX(Positions!$D$2:$D$6912,MATCH($A1747&amp;"|12",Positions!$A$2:$A$6912,0)),"-")</f>
        <v>12</v>
      </c>
      <c r="E1747" s="4" t="n">
        <f aca="false">IFERROR(INDEX(Positions!$D$2:$D$6912,MATCH($A1747&amp;"|23",Positions!$A$2:$A$6912,0)),"-")</f>
        <v>23</v>
      </c>
      <c r="F1747" s="4" t="str">
        <f aca="false">IFERROR(INDEX(Positions!$E$2:$E$6912,MATCH($A1747&amp;"|12",Positions!$A$2:$A$6912,0)),"-")</f>
        <v>U</v>
      </c>
      <c r="G1747" s="4" t="str">
        <f aca="false">IFERROR(INDEX(Positions!$E$2:$E$6912,MATCH($A1747&amp;"|23",Positions!$A$2:$A$6912,0)),"-")</f>
        <v>A</v>
      </c>
      <c r="H1747" s="3" t="str">
        <f aca="false">F1747&amp;"-"&amp;G1747</f>
        <v>U-A</v>
      </c>
      <c r="I1747" s="4" t="n">
        <f aca="false">(F1747="G")+(G1747="G")</f>
        <v>0</v>
      </c>
      <c r="J1747" s="4" t="n">
        <f aca="false">(F1747="C")+(G1747="C")</f>
        <v>0</v>
      </c>
      <c r="K1747" s="3" t="n">
        <f aca="false">I1747+J1747</f>
        <v>0</v>
      </c>
    </row>
    <row r="1748" customFormat="false" ht="15" hidden="false" customHeight="false" outlineLevel="0" collapsed="false">
      <c r="A1748" s="4" t="s">
        <v>99</v>
      </c>
      <c r="B1748" s="4" t="s">
        <v>425</v>
      </c>
      <c r="C1748" s="4" t="s">
        <v>154</v>
      </c>
      <c r="D1748" s="4" t="n">
        <f aca="false">IFERROR(INDEX(Positions!$D$2:$D$6912,MATCH($A1748&amp;"|13",Positions!$A$2:$A$6912,0)),"-")</f>
        <v>13</v>
      </c>
      <c r="E1748" s="4" t="n">
        <f aca="false">IFERROR(INDEX(Positions!$D$2:$D$6912,MATCH($A1748&amp;"|22",Positions!$A$2:$A$6912,0)),"-")</f>
        <v>22</v>
      </c>
      <c r="F1748" s="4" t="str">
        <f aca="false">IFERROR(INDEX(Positions!$E$2:$E$6912,MATCH($A1748&amp;"|13",Positions!$A$2:$A$6912,0)),"-")</f>
        <v>C</v>
      </c>
      <c r="G1748" s="4" t="str">
        <f aca="false">IFERROR(INDEX(Positions!$E$2:$E$6912,MATCH($A1748&amp;"|22",Positions!$A$2:$A$6912,0)),"-")</f>
        <v>G</v>
      </c>
      <c r="H1748" s="3" t="str">
        <f aca="false">F1748&amp;"-"&amp;G1748</f>
        <v>C-G</v>
      </c>
      <c r="I1748" s="4" t="n">
        <f aca="false">(F1748="G")+(G1748="G")</f>
        <v>1</v>
      </c>
      <c r="J1748" s="4" t="n">
        <f aca="false">(F1748="C")+(G1748="C")</f>
        <v>1</v>
      </c>
      <c r="K1748" s="3" t="n">
        <f aca="false">I1748+J1748</f>
        <v>2</v>
      </c>
    </row>
    <row r="1749" customFormat="false" ht="15" hidden="false" customHeight="false" outlineLevel="0" collapsed="false">
      <c r="A1749" s="4" t="s">
        <v>99</v>
      </c>
      <c r="B1749" s="4" t="s">
        <v>446</v>
      </c>
      <c r="C1749" s="4" t="s">
        <v>524</v>
      </c>
      <c r="D1749" s="4" t="n">
        <f aca="false">IFERROR(INDEX(Positions!$D$2:$D$6912,MATCH($A1749&amp;"|27",Positions!$A$2:$A$6912,0)),"-")</f>
        <v>27</v>
      </c>
      <c r="E1749" s="4" t="n">
        <f aca="false">IFERROR(INDEX(Positions!$D$2:$D$6912,MATCH($A1749&amp;"|43",Positions!$A$2:$A$6912,0)),"-")</f>
        <v>43</v>
      </c>
      <c r="F1749" s="4" t="str">
        <f aca="false">IFERROR(INDEX(Positions!$E$2:$E$6912,MATCH($A1749&amp;"|27",Positions!$A$2:$A$6912,0)),"-")</f>
        <v>U</v>
      </c>
      <c r="G1749" s="4" t="str">
        <f aca="false">IFERROR(INDEX(Positions!$E$2:$E$6912,MATCH($A1749&amp;"|43",Positions!$A$2:$A$6912,0)),"-")</f>
        <v>A</v>
      </c>
      <c r="H1749" s="3" t="str">
        <f aca="false">F1749&amp;"-"&amp;G1749</f>
        <v>U-A</v>
      </c>
      <c r="I1749" s="4" t="n">
        <f aca="false">(F1749="G")+(G1749="G")</f>
        <v>0</v>
      </c>
      <c r="J1749" s="4" t="n">
        <f aca="false">(F1749="C")+(G1749="C")</f>
        <v>0</v>
      </c>
      <c r="K1749" s="3" t="n">
        <f aca="false">I1749+J1749</f>
        <v>0</v>
      </c>
    </row>
    <row r="1750" customFormat="false" ht="15" hidden="false" customHeight="false" outlineLevel="0" collapsed="false">
      <c r="A1750" s="4" t="s">
        <v>99</v>
      </c>
      <c r="B1750" s="4" t="s">
        <v>446</v>
      </c>
      <c r="C1750" s="4" t="s">
        <v>525</v>
      </c>
      <c r="D1750" s="4" t="n">
        <f aca="false">IFERROR(INDEX(Positions!$D$2:$D$6912,MATCH($A1750&amp;"|28",Positions!$A$2:$A$6912,0)),"-")</f>
        <v>28</v>
      </c>
      <c r="E1750" s="4" t="n">
        <f aca="false">IFERROR(INDEX(Positions!$D$2:$D$6912,MATCH($A1750&amp;"|42",Positions!$A$2:$A$6912,0)),"-")</f>
        <v>42</v>
      </c>
      <c r="F1750" s="4" t="str">
        <f aca="false">IFERROR(INDEX(Positions!$E$2:$E$6912,MATCH($A1750&amp;"|28",Positions!$A$2:$A$6912,0)),"-")</f>
        <v>G</v>
      </c>
      <c r="G1750" s="4" t="str">
        <f aca="false">IFERROR(INDEX(Positions!$E$2:$E$6912,MATCH($A1750&amp;"|42",Positions!$A$2:$A$6912,0)),"-")</f>
        <v>C</v>
      </c>
      <c r="H1750" s="3" t="str">
        <f aca="false">F1750&amp;"-"&amp;G1750</f>
        <v>G-C</v>
      </c>
      <c r="I1750" s="4" t="n">
        <f aca="false">(F1750="G")+(G1750="G")</f>
        <v>1</v>
      </c>
      <c r="J1750" s="4" t="n">
        <f aca="false">(F1750="C")+(G1750="C")</f>
        <v>1</v>
      </c>
      <c r="K1750" s="3" t="n">
        <f aca="false">I1750+J1750</f>
        <v>2</v>
      </c>
    </row>
    <row r="1751" customFormat="false" ht="15" hidden="false" customHeight="false" outlineLevel="0" collapsed="false">
      <c r="A1751" s="4" t="s">
        <v>99</v>
      </c>
      <c r="B1751" s="4" t="s">
        <v>446</v>
      </c>
      <c r="C1751" s="4" t="s">
        <v>256</v>
      </c>
      <c r="D1751" s="4" t="n">
        <f aca="false">IFERROR(INDEX(Positions!$D$2:$D$6912,MATCH($A1751&amp;"|29",Positions!$A$2:$A$6912,0)),"-")</f>
        <v>29</v>
      </c>
      <c r="E1751" s="4" t="n">
        <f aca="false">IFERROR(INDEX(Positions!$D$2:$D$6912,MATCH($A1751&amp;"|41",Positions!$A$2:$A$6912,0)),"-")</f>
        <v>41</v>
      </c>
      <c r="F1751" s="4" t="str">
        <f aca="false">IFERROR(INDEX(Positions!$E$2:$E$6912,MATCH($A1751&amp;"|29",Positions!$A$2:$A$6912,0)),"-")</f>
        <v>G</v>
      </c>
      <c r="G1751" s="4" t="str">
        <f aca="false">IFERROR(INDEX(Positions!$E$2:$E$6912,MATCH($A1751&amp;"|41",Positions!$A$2:$A$6912,0)),"-")</f>
        <v>C</v>
      </c>
      <c r="H1751" s="3" t="str">
        <f aca="false">F1751&amp;"-"&amp;G1751</f>
        <v>G-C</v>
      </c>
      <c r="I1751" s="4" t="n">
        <f aca="false">(F1751="G")+(G1751="G")</f>
        <v>1</v>
      </c>
      <c r="J1751" s="4" t="n">
        <f aca="false">(F1751="C")+(G1751="C")</f>
        <v>1</v>
      </c>
      <c r="K1751" s="3" t="n">
        <f aca="false">I1751+J1751</f>
        <v>2</v>
      </c>
    </row>
    <row r="1752" customFormat="false" ht="15" hidden="false" customHeight="false" outlineLevel="0" collapsed="false">
      <c r="A1752" s="4" t="s">
        <v>99</v>
      </c>
      <c r="B1752" s="4" t="s">
        <v>446</v>
      </c>
      <c r="C1752" s="4" t="s">
        <v>526</v>
      </c>
      <c r="D1752" s="4" t="n">
        <f aca="false">IFERROR(INDEX(Positions!$D$2:$D$6912,MATCH($A1752&amp;"|30",Positions!$A$2:$A$6912,0)),"-")</f>
        <v>30</v>
      </c>
      <c r="E1752" s="4" t="n">
        <f aca="false">IFERROR(INDEX(Positions!$D$2:$D$6912,MATCH($A1752&amp;"|40",Positions!$A$2:$A$6912,0)),"-")</f>
        <v>40</v>
      </c>
      <c r="F1752" s="4" t="str">
        <f aca="false">IFERROR(INDEX(Positions!$E$2:$E$6912,MATCH($A1752&amp;"|30",Positions!$A$2:$A$6912,0)),"-")</f>
        <v>G</v>
      </c>
      <c r="G1752" s="4" t="str">
        <f aca="false">IFERROR(INDEX(Positions!$E$2:$E$6912,MATCH($A1752&amp;"|40",Positions!$A$2:$A$6912,0)),"-")</f>
        <v>C</v>
      </c>
      <c r="H1752" s="3" t="str">
        <f aca="false">F1752&amp;"-"&amp;G1752</f>
        <v>G-C</v>
      </c>
      <c r="I1752" s="4" t="n">
        <f aca="false">(F1752="G")+(G1752="G")</f>
        <v>1</v>
      </c>
      <c r="J1752" s="4" t="n">
        <f aca="false">(F1752="C")+(G1752="C")</f>
        <v>1</v>
      </c>
      <c r="K1752" s="3" t="n">
        <f aca="false">I1752+J1752</f>
        <v>2</v>
      </c>
    </row>
    <row r="1753" customFormat="false" ht="15" hidden="false" customHeight="false" outlineLevel="0" collapsed="false">
      <c r="A1753" s="4" t="s">
        <v>99</v>
      </c>
      <c r="B1753" s="4" t="s">
        <v>446</v>
      </c>
      <c r="C1753" s="4" t="s">
        <v>273</v>
      </c>
      <c r="D1753" s="4" t="n">
        <f aca="false">IFERROR(INDEX(Positions!$D$2:$D$6912,MATCH($A1753&amp;"|31",Positions!$A$2:$A$6912,0)),"-")</f>
        <v>31</v>
      </c>
      <c r="E1753" s="4" t="n">
        <f aca="false">IFERROR(INDEX(Positions!$D$2:$D$6912,MATCH($A1753&amp;"|39",Positions!$A$2:$A$6912,0)),"-")</f>
        <v>39</v>
      </c>
      <c r="F1753" s="4" t="str">
        <f aca="false">IFERROR(INDEX(Positions!$E$2:$E$6912,MATCH($A1753&amp;"|31",Positions!$A$2:$A$6912,0)),"-")</f>
        <v>A</v>
      </c>
      <c r="G1753" s="4" t="str">
        <f aca="false">IFERROR(INDEX(Positions!$E$2:$E$6912,MATCH($A1753&amp;"|39",Positions!$A$2:$A$6912,0)),"-")</f>
        <v>U</v>
      </c>
      <c r="H1753" s="3" t="str">
        <f aca="false">F1753&amp;"-"&amp;G1753</f>
        <v>A-U</v>
      </c>
      <c r="I1753" s="4" t="n">
        <f aca="false">(F1753="G")+(G1753="G")</f>
        <v>0</v>
      </c>
      <c r="J1753" s="4" t="n">
        <f aca="false">(F1753="C")+(G1753="C")</f>
        <v>0</v>
      </c>
      <c r="K1753" s="3" t="n">
        <f aca="false">I1753+J1753</f>
        <v>0</v>
      </c>
    </row>
    <row r="1754" customFormat="false" ht="15" hidden="false" customHeight="false" outlineLevel="0" collapsed="false">
      <c r="A1754" s="4" t="s">
        <v>99</v>
      </c>
      <c r="B1754" s="4" t="s">
        <v>471</v>
      </c>
      <c r="C1754" s="4" t="s">
        <v>367</v>
      </c>
      <c r="D1754" s="4" t="n">
        <f aca="false">IFERROR(INDEX(Positions!$D$2:$D$6912,MATCH($A1754&amp;"|49",Positions!$A$2:$A$6912,0)),"-")</f>
        <v>49</v>
      </c>
      <c r="E1754" s="4" t="n">
        <f aca="false">IFERROR(INDEX(Positions!$D$2:$D$6912,MATCH($A1754&amp;"|65",Positions!$A$2:$A$6912,0)),"-")</f>
        <v>65</v>
      </c>
      <c r="F1754" s="4" t="str">
        <f aca="false">IFERROR(INDEX(Positions!$E$2:$E$6912,MATCH($A1754&amp;"|49",Positions!$A$2:$A$6912,0)),"-")</f>
        <v>G</v>
      </c>
      <c r="G1754" s="4" t="str">
        <f aca="false">IFERROR(INDEX(Positions!$E$2:$E$6912,MATCH($A1754&amp;"|65",Positions!$A$2:$A$6912,0)),"-")</f>
        <v>C</v>
      </c>
      <c r="H1754" s="3" t="str">
        <f aca="false">F1754&amp;"-"&amp;G1754</f>
        <v>G-C</v>
      </c>
      <c r="I1754" s="4" t="n">
        <f aca="false">(F1754="G")+(G1754="G")</f>
        <v>1</v>
      </c>
      <c r="J1754" s="4" t="n">
        <f aca="false">(F1754="C")+(G1754="C")</f>
        <v>1</v>
      </c>
      <c r="K1754" s="3" t="n">
        <f aca="false">I1754+J1754</f>
        <v>2</v>
      </c>
    </row>
    <row r="1755" customFormat="false" ht="15" hidden="false" customHeight="false" outlineLevel="0" collapsed="false">
      <c r="A1755" s="4" t="s">
        <v>99</v>
      </c>
      <c r="B1755" s="4" t="s">
        <v>471</v>
      </c>
      <c r="C1755" s="4" t="s">
        <v>233</v>
      </c>
      <c r="D1755" s="4" t="n">
        <f aca="false">IFERROR(INDEX(Positions!$D$2:$D$6912,MATCH($A1755&amp;"|50",Positions!$A$2:$A$6912,0)),"-")</f>
        <v>50</v>
      </c>
      <c r="E1755" s="4" t="n">
        <f aca="false">IFERROR(INDEX(Positions!$D$2:$D$6912,MATCH($A1755&amp;"|64",Positions!$A$2:$A$6912,0)),"-")</f>
        <v>64</v>
      </c>
      <c r="F1755" s="4" t="str">
        <f aca="false">IFERROR(INDEX(Positions!$E$2:$E$6912,MATCH($A1755&amp;"|50",Positions!$A$2:$A$6912,0)),"-")</f>
        <v>U</v>
      </c>
      <c r="G1755" s="4" t="str">
        <f aca="false">IFERROR(INDEX(Positions!$E$2:$E$6912,MATCH($A1755&amp;"|64",Positions!$A$2:$A$6912,0)),"-")</f>
        <v>A</v>
      </c>
      <c r="H1755" s="3" t="str">
        <f aca="false">F1755&amp;"-"&amp;G1755</f>
        <v>U-A</v>
      </c>
      <c r="I1755" s="4" t="n">
        <f aca="false">(F1755="G")+(G1755="G")</f>
        <v>0</v>
      </c>
      <c r="J1755" s="4" t="n">
        <f aca="false">(F1755="C")+(G1755="C")</f>
        <v>0</v>
      </c>
      <c r="K1755" s="3" t="n">
        <f aca="false">I1755+J1755</f>
        <v>0</v>
      </c>
    </row>
    <row r="1756" customFormat="false" ht="15" hidden="false" customHeight="false" outlineLevel="0" collapsed="false">
      <c r="A1756" s="4" t="s">
        <v>99</v>
      </c>
      <c r="B1756" s="4" t="s">
        <v>471</v>
      </c>
      <c r="C1756" s="4" t="s">
        <v>527</v>
      </c>
      <c r="D1756" s="4" t="n">
        <f aca="false">IFERROR(INDEX(Positions!$D$2:$D$6912,MATCH($A1756&amp;"|51",Positions!$A$2:$A$6912,0)),"-")</f>
        <v>51</v>
      </c>
      <c r="E1756" s="4" t="n">
        <f aca="false">IFERROR(INDEX(Positions!$D$2:$D$6912,MATCH($A1756&amp;"|63",Positions!$A$2:$A$6912,0)),"-")</f>
        <v>63</v>
      </c>
      <c r="F1756" s="4" t="str">
        <f aca="false">IFERROR(INDEX(Positions!$E$2:$E$6912,MATCH($A1756&amp;"|51",Positions!$A$2:$A$6912,0)),"-")</f>
        <v>G</v>
      </c>
      <c r="G1756" s="4" t="str">
        <f aca="false">IFERROR(INDEX(Positions!$E$2:$E$6912,MATCH($A1756&amp;"|63",Positions!$A$2:$A$6912,0)),"-")</f>
        <v>C</v>
      </c>
      <c r="H1756" s="3" t="str">
        <f aca="false">F1756&amp;"-"&amp;G1756</f>
        <v>G-C</v>
      </c>
      <c r="I1756" s="4" t="n">
        <f aca="false">(F1756="G")+(G1756="G")</f>
        <v>1</v>
      </c>
      <c r="J1756" s="4" t="n">
        <f aca="false">(F1756="C")+(G1756="C")</f>
        <v>1</v>
      </c>
      <c r="K1756" s="3" t="n">
        <f aca="false">I1756+J1756</f>
        <v>2</v>
      </c>
    </row>
    <row r="1757" customFormat="false" ht="15" hidden="false" customHeight="false" outlineLevel="0" collapsed="false">
      <c r="A1757" s="4" t="s">
        <v>99</v>
      </c>
      <c r="B1757" s="4" t="s">
        <v>471</v>
      </c>
      <c r="C1757" s="4" t="s">
        <v>528</v>
      </c>
      <c r="D1757" s="4" t="n">
        <f aca="false">IFERROR(INDEX(Positions!$D$2:$D$6912,MATCH($A1757&amp;"|52",Positions!$A$2:$A$6912,0)),"-")</f>
        <v>52</v>
      </c>
      <c r="E1757" s="4" t="n">
        <f aca="false">IFERROR(INDEX(Positions!$D$2:$D$6912,MATCH($A1757&amp;"|62",Positions!$A$2:$A$6912,0)),"-")</f>
        <v>62</v>
      </c>
      <c r="F1757" s="4" t="str">
        <f aca="false">IFERROR(INDEX(Positions!$E$2:$E$6912,MATCH($A1757&amp;"|52",Positions!$A$2:$A$6912,0)),"-")</f>
        <v>G</v>
      </c>
      <c r="G1757" s="4" t="str">
        <f aca="false">IFERROR(INDEX(Positions!$E$2:$E$6912,MATCH($A1757&amp;"|62",Positions!$A$2:$A$6912,0)),"-")</f>
        <v>C</v>
      </c>
      <c r="H1757" s="3" t="str">
        <f aca="false">F1757&amp;"-"&amp;G1757</f>
        <v>G-C</v>
      </c>
      <c r="I1757" s="4" t="n">
        <f aca="false">(F1757="G")+(G1757="G")</f>
        <v>1</v>
      </c>
      <c r="J1757" s="4" t="n">
        <f aca="false">(F1757="C")+(G1757="C")</f>
        <v>1</v>
      </c>
      <c r="K1757" s="3" t="n">
        <f aca="false">I1757+J1757</f>
        <v>2</v>
      </c>
    </row>
    <row r="1758" customFormat="false" ht="15" hidden="false" customHeight="false" outlineLevel="0" collapsed="false">
      <c r="A1758" s="4" t="s">
        <v>99</v>
      </c>
      <c r="B1758" s="4" t="s">
        <v>471</v>
      </c>
      <c r="C1758" s="4" t="s">
        <v>529</v>
      </c>
      <c r="D1758" s="4" t="n">
        <f aca="false">IFERROR(INDEX(Positions!$D$2:$D$6912,MATCH($A1758&amp;"|53",Positions!$A$2:$A$6912,0)),"-")</f>
        <v>53</v>
      </c>
      <c r="E1758" s="4" t="n">
        <f aca="false">IFERROR(INDEX(Positions!$D$2:$D$6912,MATCH($A1758&amp;"|61",Positions!$A$2:$A$6912,0)),"-")</f>
        <v>61</v>
      </c>
      <c r="F1758" s="4" t="str">
        <f aca="false">IFERROR(INDEX(Positions!$E$2:$E$6912,MATCH($A1758&amp;"|53",Positions!$A$2:$A$6912,0)),"-")</f>
        <v>G</v>
      </c>
      <c r="G1758" s="4" t="str">
        <f aca="false">IFERROR(INDEX(Positions!$E$2:$E$6912,MATCH($A1758&amp;"|61",Positions!$A$2:$A$6912,0)),"-")</f>
        <v>C</v>
      </c>
      <c r="H1758" s="3" t="str">
        <f aca="false">F1758&amp;"-"&amp;G1758</f>
        <v>G-C</v>
      </c>
      <c r="I1758" s="4" t="n">
        <f aca="false">(F1758="G")+(G1758="G")</f>
        <v>1</v>
      </c>
      <c r="J1758" s="4" t="n">
        <f aca="false">(F1758="C")+(G1758="C")</f>
        <v>1</v>
      </c>
      <c r="K1758" s="3" t="n">
        <f aca="false">I1758+J1758</f>
        <v>2</v>
      </c>
    </row>
    <row r="1759" customFormat="false" ht="15" hidden="false" customHeight="false" outlineLevel="0" collapsed="false">
      <c r="A1759" s="24" t="s">
        <v>99</v>
      </c>
      <c r="B1759" s="24" t="s">
        <v>530</v>
      </c>
      <c r="C1759" s="24" t="s">
        <v>531</v>
      </c>
      <c r="D1759" s="24" t="n">
        <f aca="false">IFERROR(INDEX(Positions!$D$2:$D$6912,MATCH($A1759&amp;"|8",Positions!$A$2:$A$6912,0)),"-")</f>
        <v>8</v>
      </c>
      <c r="E1759" s="24" t="n">
        <f aca="false">IFERROR(INDEX(Positions!$D$2:$D$6912,MATCH($A1759&amp;"|14",Positions!$A$2:$A$6912,0)),"-")</f>
        <v>14</v>
      </c>
      <c r="F1759" s="24" t="str">
        <f aca="false">IFERROR(INDEX(Positions!$E$2:$E$6912,MATCH($A1759&amp;"|8",Positions!$A$2:$A$6912,0)),"-")</f>
        <v>U</v>
      </c>
      <c r="G1759" s="24" t="str">
        <f aca="false">IFERROR(INDEX(Positions!$E$2:$E$6912,MATCH($A1759&amp;"|14",Positions!$A$2:$A$6912,0)),"-")</f>
        <v>A</v>
      </c>
      <c r="H1759" s="25" t="str">
        <f aca="false">F1759&amp;"-"&amp;G1759</f>
        <v>U-A</v>
      </c>
      <c r="I1759" s="24" t="n">
        <f aca="false">(F1759="G")+(G1759="G")</f>
        <v>0</v>
      </c>
      <c r="J1759" s="24" t="n">
        <f aca="false">(F1759="C")+(G1759="C")</f>
        <v>0</v>
      </c>
      <c r="K1759" s="25" t="n">
        <f aca="false">I1759+J1759</f>
        <v>0</v>
      </c>
    </row>
    <row r="1760" customFormat="false" ht="15" hidden="false" customHeight="false" outlineLevel="0" collapsed="false">
      <c r="A1760" s="24" t="s">
        <v>99</v>
      </c>
      <c r="B1760" s="24" t="s">
        <v>530</v>
      </c>
      <c r="C1760" s="24" t="s">
        <v>532</v>
      </c>
      <c r="D1760" s="24" t="n">
        <f aca="false">IFERROR(INDEX(Positions!$D$2:$D$6912,MATCH($A1760&amp;"|15",Positions!$A$2:$A$6912,0)),"-")</f>
        <v>15</v>
      </c>
      <c r="E1760" s="24" t="n">
        <f aca="false">IFERROR(INDEX(Positions!$D$2:$D$6912,MATCH($A1760&amp;"|48",Positions!$A$2:$A$6912,0)),"-")</f>
        <v>48</v>
      </c>
      <c r="F1760" s="24" t="str">
        <f aca="false">IFERROR(INDEX(Positions!$E$2:$E$6912,MATCH($A1760&amp;"|15",Positions!$A$2:$A$6912,0)),"-")</f>
        <v>G</v>
      </c>
      <c r="G1760" s="24" t="str">
        <f aca="false">IFERROR(INDEX(Positions!$E$2:$E$6912,MATCH($A1760&amp;"|48",Positions!$A$2:$A$6912,0)),"-")</f>
        <v>C</v>
      </c>
      <c r="H1760" s="25" t="str">
        <f aca="false">F1760&amp;"-"&amp;G1760</f>
        <v>G-C</v>
      </c>
      <c r="I1760" s="24" t="n">
        <f aca="false">(F1760="G")+(G1760="G")</f>
        <v>1</v>
      </c>
      <c r="J1760" s="24" t="n">
        <f aca="false">(F1760="C")+(G1760="C")</f>
        <v>1</v>
      </c>
      <c r="K1760" s="25" t="n">
        <f aca="false">I1760+J1760</f>
        <v>2</v>
      </c>
    </row>
    <row r="1761" customFormat="false" ht="15" hidden="false" customHeight="false" outlineLevel="0" collapsed="false">
      <c r="A1761" s="24" t="s">
        <v>99</v>
      </c>
      <c r="B1761" s="24" t="s">
        <v>530</v>
      </c>
      <c r="C1761" s="24" t="s">
        <v>533</v>
      </c>
      <c r="D1761" s="24" t="n">
        <f aca="false">IFERROR(INDEX(Positions!$D$2:$D$6912,MATCH($A1761&amp;"|18",Positions!$A$2:$A$6912,0)),"-")</f>
        <v>18</v>
      </c>
      <c r="E1761" s="24" t="n">
        <f aca="false">IFERROR(INDEX(Positions!$D$2:$D$6912,MATCH($A1761&amp;"|55",Positions!$A$2:$A$6912,0)),"-")</f>
        <v>55</v>
      </c>
      <c r="F1761" s="24" t="str">
        <f aca="false">IFERROR(INDEX(Positions!$E$2:$E$6912,MATCH($A1761&amp;"|18",Positions!$A$2:$A$6912,0)),"-")</f>
        <v>G</v>
      </c>
      <c r="G1761" s="24" t="str">
        <f aca="false">IFERROR(INDEX(Positions!$E$2:$E$6912,MATCH($A1761&amp;"|55",Positions!$A$2:$A$6912,0)),"-")</f>
        <v>U</v>
      </c>
      <c r="H1761" s="25" t="str">
        <f aca="false">F1761&amp;"-"&amp;G1761</f>
        <v>G-U</v>
      </c>
      <c r="I1761" s="24" t="n">
        <f aca="false">(F1761="G")+(G1761="G")</f>
        <v>1</v>
      </c>
      <c r="J1761" s="24" t="n">
        <f aca="false">(F1761="C")+(G1761="C")</f>
        <v>0</v>
      </c>
      <c r="K1761" s="25" t="n">
        <f aca="false">I1761+J1761</f>
        <v>1</v>
      </c>
    </row>
    <row r="1762" customFormat="false" ht="15" hidden="false" customHeight="false" outlineLevel="0" collapsed="false">
      <c r="A1762" s="24" t="s">
        <v>99</v>
      </c>
      <c r="B1762" s="24" t="s">
        <v>530</v>
      </c>
      <c r="C1762" s="24" t="s">
        <v>534</v>
      </c>
      <c r="D1762" s="24" t="n">
        <f aca="false">IFERROR(INDEX(Positions!$D$2:$D$6912,MATCH($A1762&amp;"|19",Positions!$A$2:$A$6912,0)),"-")</f>
        <v>19</v>
      </c>
      <c r="E1762" s="24" t="n">
        <f aca="false">IFERROR(INDEX(Positions!$D$2:$D$6912,MATCH($A1762&amp;"|56",Positions!$A$2:$A$6912,0)),"-")</f>
        <v>56</v>
      </c>
      <c r="F1762" s="24" t="str">
        <f aca="false">IFERROR(INDEX(Positions!$E$2:$E$6912,MATCH($A1762&amp;"|19",Positions!$A$2:$A$6912,0)),"-")</f>
        <v>G</v>
      </c>
      <c r="G1762" s="24" t="str">
        <f aca="false">IFERROR(INDEX(Positions!$E$2:$E$6912,MATCH($A1762&amp;"|56",Positions!$A$2:$A$6912,0)),"-")</f>
        <v>C</v>
      </c>
      <c r="H1762" s="25" t="str">
        <f aca="false">F1762&amp;"-"&amp;G1762</f>
        <v>G-C</v>
      </c>
      <c r="I1762" s="24" t="n">
        <f aca="false">(F1762="G")+(G1762="G")</f>
        <v>1</v>
      </c>
      <c r="J1762" s="24" t="n">
        <f aca="false">(F1762="C")+(G1762="C")</f>
        <v>1</v>
      </c>
      <c r="K1762" s="25" t="n">
        <f aca="false">I1762+J1762</f>
        <v>2</v>
      </c>
    </row>
    <row r="1763" customFormat="false" ht="15" hidden="false" customHeight="false" outlineLevel="0" collapsed="false">
      <c r="A1763" s="24" t="s">
        <v>99</v>
      </c>
      <c r="B1763" s="24" t="s">
        <v>530</v>
      </c>
      <c r="C1763" s="24" t="s">
        <v>535</v>
      </c>
      <c r="D1763" s="24" t="n">
        <f aca="false">IFERROR(INDEX(Positions!$D$2:$D$6912,MATCH($A1763&amp;"|26",Positions!$A$2:$A$6912,0)),"-")</f>
        <v>26</v>
      </c>
      <c r="E1763" s="24" t="n">
        <f aca="false">IFERROR(INDEX(Positions!$D$2:$D$6912,MATCH($A1763&amp;"|44",Positions!$A$2:$A$6912,0)),"-")</f>
        <v>44</v>
      </c>
      <c r="F1763" s="24" t="str">
        <f aca="false">IFERROR(INDEX(Positions!$E$2:$E$6912,MATCH($A1763&amp;"|26",Positions!$A$2:$A$6912,0)),"-")</f>
        <v>A</v>
      </c>
      <c r="G1763" s="24" t="str">
        <f aca="false">IFERROR(INDEX(Positions!$E$2:$E$6912,MATCH($A1763&amp;"|44",Positions!$A$2:$A$6912,0)),"-")</f>
        <v>G</v>
      </c>
      <c r="H1763" s="25" t="str">
        <f aca="false">F1763&amp;"-"&amp;G1763</f>
        <v>A-G</v>
      </c>
      <c r="I1763" s="24" t="n">
        <f aca="false">(F1763="G")+(G1763="G")</f>
        <v>1</v>
      </c>
      <c r="J1763" s="24" t="n">
        <f aca="false">(F1763="C")+(G1763="C")</f>
        <v>0</v>
      </c>
      <c r="K1763" s="25" t="n">
        <f aca="false">I1763+J1763</f>
        <v>1</v>
      </c>
    </row>
    <row r="1764" customFormat="false" ht="15" hidden="false" customHeight="false" outlineLevel="0" collapsed="false">
      <c r="A1764" s="24" t="s">
        <v>99</v>
      </c>
      <c r="B1764" s="24" t="s">
        <v>530</v>
      </c>
      <c r="C1764" s="24" t="s">
        <v>536</v>
      </c>
      <c r="D1764" s="24" t="n">
        <f aca="false">IFERROR(INDEX(Positions!$D$2:$D$6912,MATCH($A1764&amp;"|32",Positions!$A$2:$A$6912,0)),"-")</f>
        <v>32</v>
      </c>
      <c r="E1764" s="24" t="n">
        <f aca="false">IFERROR(INDEX(Positions!$D$2:$D$6912,MATCH($A1764&amp;"|38",Positions!$A$2:$A$6912,0)),"-")</f>
        <v>38</v>
      </c>
      <c r="F1764" s="24" t="str">
        <f aca="false">IFERROR(INDEX(Positions!$E$2:$E$6912,MATCH($A1764&amp;"|32",Positions!$A$2:$A$6912,0)),"-")</f>
        <v>C</v>
      </c>
      <c r="G1764" s="24" t="str">
        <f aca="false">IFERROR(INDEX(Positions!$E$2:$E$6912,MATCH($A1764&amp;"|38",Positions!$A$2:$A$6912,0)),"-")</f>
        <v>A</v>
      </c>
      <c r="H1764" s="25" t="str">
        <f aca="false">F1764&amp;"-"&amp;G1764</f>
        <v>C-A</v>
      </c>
      <c r="I1764" s="24" t="n">
        <f aca="false">(F1764="G")+(G1764="G")</f>
        <v>0</v>
      </c>
      <c r="J1764" s="24" t="n">
        <f aca="false">(F1764="C")+(G1764="C")</f>
        <v>1</v>
      </c>
      <c r="K1764" s="25" t="n">
        <f aca="false">I1764+J1764</f>
        <v>1</v>
      </c>
    </row>
    <row r="1765" customFormat="false" ht="15" hidden="false" customHeight="false" outlineLevel="0" collapsed="false">
      <c r="A1765" s="24" t="s">
        <v>99</v>
      </c>
      <c r="B1765" s="24" t="s">
        <v>530</v>
      </c>
      <c r="C1765" s="24" t="s">
        <v>537</v>
      </c>
      <c r="D1765" s="24" t="n">
        <f aca="false">IFERROR(INDEX(Positions!$D$2:$D$6912,MATCH($A1765&amp;"|54",Positions!$A$2:$A$6912,0)),"-")</f>
        <v>54</v>
      </c>
      <c r="E1765" s="24" t="n">
        <f aca="false">IFERROR(INDEX(Positions!$D$2:$D$6912,MATCH($A1765&amp;"|58",Positions!$A$2:$A$6912,0)),"-")</f>
        <v>58</v>
      </c>
      <c r="F1765" s="24" t="str">
        <f aca="false">IFERROR(INDEX(Positions!$E$2:$E$6912,MATCH($A1765&amp;"|54",Positions!$A$2:$A$6912,0)),"-")</f>
        <v>U</v>
      </c>
      <c r="G1765" s="24" t="str">
        <f aca="false">IFERROR(INDEX(Positions!$E$2:$E$6912,MATCH($A1765&amp;"|58",Positions!$A$2:$A$6912,0)),"-")</f>
        <v>A</v>
      </c>
      <c r="H1765" s="25" t="str">
        <f aca="false">F1765&amp;"-"&amp;G1765</f>
        <v>U-A</v>
      </c>
      <c r="I1765" s="24" t="n">
        <f aca="false">(F1765="G")+(G1765="G")</f>
        <v>0</v>
      </c>
      <c r="J1765" s="24" t="n">
        <f aca="false">(F1765="C")+(G1765="C")</f>
        <v>0</v>
      </c>
      <c r="K1765" s="25" t="n">
        <f aca="false">I1765+J1765</f>
        <v>0</v>
      </c>
    </row>
    <row r="1766" customFormat="false" ht="15" hidden="false" customHeight="false" outlineLevel="0" collapsed="false">
      <c r="A1766" s="4" t="s">
        <v>100</v>
      </c>
      <c r="B1766" s="4" t="s">
        <v>412</v>
      </c>
      <c r="C1766" s="4" t="s">
        <v>517</v>
      </c>
      <c r="D1766" s="4" t="n">
        <f aca="false">IFERROR(INDEX(Positions!$D$2:$D$6912,MATCH($A1766&amp;"|1",Positions!$A$2:$A$6912,0)),"-")</f>
        <v>1</v>
      </c>
      <c r="E1766" s="4" t="n">
        <f aca="false">IFERROR(INDEX(Positions!$D$2:$D$6912,MATCH($A1766&amp;"|72",Positions!$A$2:$A$6912,0)),"-")</f>
        <v>67</v>
      </c>
      <c r="F1766" s="4" t="str">
        <f aca="false">IFERROR(INDEX(Positions!$E$2:$E$6912,MATCH($A1766&amp;"|1",Positions!$A$2:$A$6912,0)),"-")</f>
        <v>C</v>
      </c>
      <c r="G1766" s="4" t="str">
        <f aca="false">IFERROR(INDEX(Positions!$E$2:$E$6912,MATCH($A1766&amp;"|72",Positions!$A$2:$A$6912,0)),"-")</f>
        <v>G</v>
      </c>
      <c r="H1766" s="3" t="str">
        <f aca="false">F1766&amp;"-"&amp;G1766</f>
        <v>C-G</v>
      </c>
      <c r="I1766" s="4" t="n">
        <f aca="false">(F1766="G")+(G1766="G")</f>
        <v>1</v>
      </c>
      <c r="J1766" s="4" t="n">
        <f aca="false">(F1766="C")+(G1766="C")</f>
        <v>1</v>
      </c>
      <c r="K1766" s="3" t="n">
        <f aca="false">I1766+J1766</f>
        <v>2</v>
      </c>
    </row>
    <row r="1767" customFormat="false" ht="15" hidden="false" customHeight="false" outlineLevel="0" collapsed="false">
      <c r="A1767" s="4" t="s">
        <v>100</v>
      </c>
      <c r="B1767" s="4" t="s">
        <v>412</v>
      </c>
      <c r="C1767" s="4" t="s">
        <v>518</v>
      </c>
      <c r="D1767" s="4" t="n">
        <f aca="false">IFERROR(INDEX(Positions!$D$2:$D$6912,MATCH($A1767&amp;"|2",Positions!$A$2:$A$6912,0)),"-")</f>
        <v>2</v>
      </c>
      <c r="E1767" s="4" t="n">
        <f aca="false">IFERROR(INDEX(Positions!$D$2:$D$6912,MATCH($A1767&amp;"|71",Positions!$A$2:$A$6912,0)),"-")</f>
        <v>66</v>
      </c>
      <c r="F1767" s="4" t="str">
        <f aca="false">IFERROR(INDEX(Positions!$E$2:$E$6912,MATCH($A1767&amp;"|2",Positions!$A$2:$A$6912,0)),"-")</f>
        <v>A</v>
      </c>
      <c r="G1767" s="4" t="str">
        <f aca="false">IFERROR(INDEX(Positions!$E$2:$E$6912,MATCH($A1767&amp;"|71",Positions!$A$2:$A$6912,0)),"-")</f>
        <v>U</v>
      </c>
      <c r="H1767" s="3" t="str">
        <f aca="false">F1767&amp;"-"&amp;G1767</f>
        <v>A-U</v>
      </c>
      <c r="I1767" s="4" t="n">
        <f aca="false">(F1767="G")+(G1767="G")</f>
        <v>0</v>
      </c>
      <c r="J1767" s="4" t="n">
        <f aca="false">(F1767="C")+(G1767="C")</f>
        <v>0</v>
      </c>
      <c r="K1767" s="3" t="n">
        <f aca="false">I1767+J1767</f>
        <v>0</v>
      </c>
    </row>
    <row r="1768" customFormat="false" ht="15" hidden="false" customHeight="false" outlineLevel="0" collapsed="false">
      <c r="A1768" s="4" t="s">
        <v>100</v>
      </c>
      <c r="B1768" s="4" t="s">
        <v>412</v>
      </c>
      <c r="C1768" s="4" t="s">
        <v>386</v>
      </c>
      <c r="D1768" s="4" t="n">
        <f aca="false">IFERROR(INDEX(Positions!$D$2:$D$6912,MATCH($A1768&amp;"|3",Positions!$A$2:$A$6912,0)),"-")</f>
        <v>3</v>
      </c>
      <c r="E1768" s="4" t="n">
        <f aca="false">IFERROR(INDEX(Positions!$D$2:$D$6912,MATCH($A1768&amp;"|70",Positions!$A$2:$A$6912,0)),"-")</f>
        <v>65</v>
      </c>
      <c r="F1768" s="4" t="str">
        <f aca="false">IFERROR(INDEX(Positions!$E$2:$E$6912,MATCH($A1768&amp;"|3",Positions!$A$2:$A$6912,0)),"-")</f>
        <v>G</v>
      </c>
      <c r="G1768" s="4" t="str">
        <f aca="false">IFERROR(INDEX(Positions!$E$2:$E$6912,MATCH($A1768&amp;"|70",Positions!$A$2:$A$6912,0)),"-")</f>
        <v>U</v>
      </c>
      <c r="H1768" s="3" t="str">
        <f aca="false">F1768&amp;"-"&amp;G1768</f>
        <v>G-U</v>
      </c>
      <c r="I1768" s="4" t="n">
        <f aca="false">(F1768="G")+(G1768="G")</f>
        <v>1</v>
      </c>
      <c r="J1768" s="4" t="n">
        <f aca="false">(F1768="C")+(G1768="C")</f>
        <v>0</v>
      </c>
      <c r="K1768" s="3" t="n">
        <f aca="false">I1768+J1768</f>
        <v>1</v>
      </c>
    </row>
    <row r="1769" customFormat="false" ht="15" hidden="false" customHeight="false" outlineLevel="0" collapsed="false">
      <c r="A1769" s="4" t="s">
        <v>100</v>
      </c>
      <c r="B1769" s="4" t="s">
        <v>412</v>
      </c>
      <c r="C1769" s="4" t="s">
        <v>519</v>
      </c>
      <c r="D1769" s="4" t="n">
        <f aca="false">IFERROR(INDEX(Positions!$D$2:$D$6912,MATCH($A1769&amp;"|4",Positions!$A$2:$A$6912,0)),"-")</f>
        <v>4</v>
      </c>
      <c r="E1769" s="4" t="n">
        <f aca="false">IFERROR(INDEX(Positions!$D$2:$D$6912,MATCH($A1769&amp;"|69",Positions!$A$2:$A$6912,0)),"-")</f>
        <v>64</v>
      </c>
      <c r="F1769" s="4" t="str">
        <f aca="false">IFERROR(INDEX(Positions!$E$2:$E$6912,MATCH($A1769&amp;"|4",Positions!$A$2:$A$6912,0)),"-")</f>
        <v>A</v>
      </c>
      <c r="G1769" s="4" t="str">
        <f aca="false">IFERROR(INDEX(Positions!$E$2:$E$6912,MATCH($A1769&amp;"|69",Positions!$A$2:$A$6912,0)),"-")</f>
        <v>U</v>
      </c>
      <c r="H1769" s="3" t="str">
        <f aca="false">F1769&amp;"-"&amp;G1769</f>
        <v>A-U</v>
      </c>
      <c r="I1769" s="4" t="n">
        <f aca="false">(F1769="G")+(G1769="G")</f>
        <v>0</v>
      </c>
      <c r="J1769" s="4" t="n">
        <f aca="false">(F1769="C")+(G1769="C")</f>
        <v>0</v>
      </c>
      <c r="K1769" s="3" t="n">
        <f aca="false">I1769+J1769</f>
        <v>0</v>
      </c>
    </row>
    <row r="1770" customFormat="false" ht="15" hidden="false" customHeight="false" outlineLevel="0" collapsed="false">
      <c r="A1770" s="4" t="s">
        <v>100</v>
      </c>
      <c r="B1770" s="4" t="s">
        <v>412</v>
      </c>
      <c r="C1770" s="4" t="s">
        <v>283</v>
      </c>
      <c r="D1770" s="4" t="n">
        <f aca="false">IFERROR(INDEX(Positions!$D$2:$D$6912,MATCH($A1770&amp;"|5",Positions!$A$2:$A$6912,0)),"-")</f>
        <v>5</v>
      </c>
      <c r="E1770" s="4" t="n">
        <f aca="false">IFERROR(INDEX(Positions!$D$2:$D$6912,MATCH($A1770&amp;"|68",Positions!$A$2:$A$6912,0)),"-")</f>
        <v>63</v>
      </c>
      <c r="F1770" s="4" t="str">
        <f aca="false">IFERROR(INDEX(Positions!$E$2:$E$6912,MATCH($A1770&amp;"|5",Positions!$A$2:$A$6912,0)),"-")</f>
        <v>U</v>
      </c>
      <c r="G1770" s="4" t="str">
        <f aca="false">IFERROR(INDEX(Positions!$E$2:$E$6912,MATCH($A1770&amp;"|68",Positions!$A$2:$A$6912,0)),"-")</f>
        <v>C</v>
      </c>
      <c r="H1770" s="3" t="str">
        <f aca="false">F1770&amp;"-"&amp;G1770</f>
        <v>U-C</v>
      </c>
      <c r="I1770" s="4" t="n">
        <f aca="false">(F1770="G")+(G1770="G")</f>
        <v>0</v>
      </c>
      <c r="J1770" s="4" t="n">
        <f aca="false">(F1770="C")+(G1770="C")</f>
        <v>1</v>
      </c>
      <c r="K1770" s="3" t="n">
        <f aca="false">I1770+J1770</f>
        <v>1</v>
      </c>
    </row>
    <row r="1771" customFormat="false" ht="15" hidden="false" customHeight="false" outlineLevel="0" collapsed="false">
      <c r="A1771" s="4" t="s">
        <v>100</v>
      </c>
      <c r="B1771" s="4" t="s">
        <v>412</v>
      </c>
      <c r="C1771" s="4" t="s">
        <v>520</v>
      </c>
      <c r="D1771" s="4" t="n">
        <f aca="false">IFERROR(INDEX(Positions!$D$2:$D$6912,MATCH($A1771&amp;"|6",Positions!$A$2:$A$6912,0)),"-")</f>
        <v>6</v>
      </c>
      <c r="E1771" s="4" t="n">
        <f aca="false">IFERROR(INDEX(Positions!$D$2:$D$6912,MATCH($A1771&amp;"|67",Positions!$A$2:$A$6912,0)),"-")</f>
        <v>62</v>
      </c>
      <c r="F1771" s="4" t="str">
        <f aca="false">IFERROR(INDEX(Positions!$E$2:$E$6912,MATCH($A1771&amp;"|6",Positions!$A$2:$A$6912,0)),"-")</f>
        <v>U</v>
      </c>
      <c r="G1771" s="4" t="str">
        <f aca="false">IFERROR(INDEX(Positions!$E$2:$E$6912,MATCH($A1771&amp;"|67",Positions!$A$2:$A$6912,0)),"-")</f>
        <v>A</v>
      </c>
      <c r="H1771" s="3" t="str">
        <f aca="false">F1771&amp;"-"&amp;G1771</f>
        <v>U-A</v>
      </c>
      <c r="I1771" s="4" t="n">
        <f aca="false">(F1771="G")+(G1771="G")</f>
        <v>0</v>
      </c>
      <c r="J1771" s="4" t="n">
        <f aca="false">(F1771="C")+(G1771="C")</f>
        <v>0</v>
      </c>
      <c r="K1771" s="3" t="n">
        <f aca="false">I1771+J1771</f>
        <v>0</v>
      </c>
    </row>
    <row r="1772" customFormat="false" ht="15" hidden="false" customHeight="false" outlineLevel="0" collapsed="false">
      <c r="A1772" s="4" t="s">
        <v>100</v>
      </c>
      <c r="B1772" s="4" t="s">
        <v>412</v>
      </c>
      <c r="C1772" s="4" t="s">
        <v>521</v>
      </c>
      <c r="D1772" s="4" t="n">
        <f aca="false">IFERROR(INDEX(Positions!$D$2:$D$6912,MATCH($A1772&amp;"|7",Positions!$A$2:$A$6912,0)),"-")</f>
        <v>7</v>
      </c>
      <c r="E1772" s="4" t="n">
        <f aca="false">IFERROR(INDEX(Positions!$D$2:$D$6912,MATCH($A1772&amp;"|66",Positions!$A$2:$A$6912,0)),"-")</f>
        <v>61</v>
      </c>
      <c r="F1772" s="4" t="str">
        <f aca="false">IFERROR(INDEX(Positions!$E$2:$E$6912,MATCH($A1772&amp;"|7",Positions!$A$2:$A$6912,0)),"-")</f>
        <v>G</v>
      </c>
      <c r="G1772" s="4" t="str">
        <f aca="false">IFERROR(INDEX(Positions!$E$2:$E$6912,MATCH($A1772&amp;"|66",Positions!$A$2:$A$6912,0)),"-")</f>
        <v>C</v>
      </c>
      <c r="H1772" s="3" t="str">
        <f aca="false">F1772&amp;"-"&amp;G1772</f>
        <v>G-C</v>
      </c>
      <c r="I1772" s="4" t="n">
        <f aca="false">(F1772="G")+(G1772="G")</f>
        <v>1</v>
      </c>
      <c r="J1772" s="4" t="n">
        <f aca="false">(F1772="C")+(G1772="C")</f>
        <v>1</v>
      </c>
      <c r="K1772" s="3" t="n">
        <f aca="false">I1772+J1772</f>
        <v>2</v>
      </c>
    </row>
    <row r="1773" customFormat="false" ht="15" hidden="false" customHeight="false" outlineLevel="0" collapsed="false">
      <c r="A1773" s="4" t="s">
        <v>100</v>
      </c>
      <c r="B1773" s="4" t="s">
        <v>425</v>
      </c>
      <c r="C1773" s="4" t="s">
        <v>522</v>
      </c>
      <c r="D1773" s="4" t="n">
        <f aca="false">IFERROR(INDEX(Positions!$D$2:$D$6912,MATCH($A1773&amp;"|10",Positions!$A$2:$A$6912,0)),"-")</f>
        <v>10</v>
      </c>
      <c r="E1773" s="4" t="n">
        <f aca="false">IFERROR(INDEX(Positions!$D$2:$D$6912,MATCH($A1773&amp;"|25",Positions!$A$2:$A$6912,0)),"-")</f>
        <v>24</v>
      </c>
      <c r="F1773" s="4" t="str">
        <f aca="false">IFERROR(INDEX(Positions!$E$2:$E$6912,MATCH($A1773&amp;"|10",Positions!$A$2:$A$6912,0)),"-")</f>
        <v>G</v>
      </c>
      <c r="G1773" s="4" t="str">
        <f aca="false">IFERROR(INDEX(Positions!$E$2:$E$6912,MATCH($A1773&amp;"|25",Positions!$A$2:$A$6912,0)),"-")</f>
        <v>C</v>
      </c>
      <c r="H1773" s="3" t="str">
        <f aca="false">F1773&amp;"-"&amp;G1773</f>
        <v>G-C</v>
      </c>
      <c r="I1773" s="4" t="n">
        <f aca="false">(F1773="G")+(G1773="G")</f>
        <v>1</v>
      </c>
      <c r="J1773" s="4" t="n">
        <f aca="false">(F1773="C")+(G1773="C")</f>
        <v>1</v>
      </c>
      <c r="K1773" s="3" t="n">
        <f aca="false">I1773+J1773</f>
        <v>2</v>
      </c>
    </row>
    <row r="1774" customFormat="false" ht="15" hidden="false" customHeight="false" outlineLevel="0" collapsed="false">
      <c r="A1774" s="4" t="s">
        <v>100</v>
      </c>
      <c r="B1774" s="4" t="s">
        <v>425</v>
      </c>
      <c r="C1774" s="4" t="s">
        <v>523</v>
      </c>
      <c r="D1774" s="4" t="n">
        <f aca="false">IFERROR(INDEX(Positions!$D$2:$D$6912,MATCH($A1774&amp;"|11",Positions!$A$2:$A$6912,0)),"-")</f>
        <v>11</v>
      </c>
      <c r="E1774" s="4" t="n">
        <f aca="false">IFERROR(INDEX(Positions!$D$2:$D$6912,MATCH($A1774&amp;"|24",Positions!$A$2:$A$6912,0)),"-")</f>
        <v>23</v>
      </c>
      <c r="F1774" s="4" t="str">
        <f aca="false">IFERROR(INDEX(Positions!$E$2:$E$6912,MATCH($A1774&amp;"|11",Positions!$A$2:$A$6912,0)),"-")</f>
        <v>C</v>
      </c>
      <c r="G1774" s="4" t="str">
        <f aca="false">IFERROR(INDEX(Positions!$E$2:$E$6912,MATCH($A1774&amp;"|24",Positions!$A$2:$A$6912,0)),"-")</f>
        <v>G</v>
      </c>
      <c r="H1774" s="3" t="str">
        <f aca="false">F1774&amp;"-"&amp;G1774</f>
        <v>C-G</v>
      </c>
      <c r="I1774" s="4" t="n">
        <f aca="false">(F1774="G")+(G1774="G")</f>
        <v>1</v>
      </c>
      <c r="J1774" s="4" t="n">
        <f aca="false">(F1774="C")+(G1774="C")</f>
        <v>1</v>
      </c>
      <c r="K1774" s="3" t="n">
        <f aca="false">I1774+J1774</f>
        <v>2</v>
      </c>
    </row>
    <row r="1775" customFormat="false" ht="15" hidden="false" customHeight="false" outlineLevel="0" collapsed="false">
      <c r="A1775" s="4" t="s">
        <v>100</v>
      </c>
      <c r="B1775" s="4" t="s">
        <v>425</v>
      </c>
      <c r="C1775" s="4" t="s">
        <v>250</v>
      </c>
      <c r="D1775" s="4" t="n">
        <f aca="false">IFERROR(INDEX(Positions!$D$2:$D$6912,MATCH($A1775&amp;"|12",Positions!$A$2:$A$6912,0)),"-")</f>
        <v>12</v>
      </c>
      <c r="E1775" s="4" t="n">
        <f aca="false">IFERROR(INDEX(Positions!$D$2:$D$6912,MATCH($A1775&amp;"|23",Positions!$A$2:$A$6912,0)),"-")</f>
        <v>22</v>
      </c>
      <c r="F1775" s="4" t="str">
        <f aca="false">IFERROR(INDEX(Positions!$E$2:$E$6912,MATCH($A1775&amp;"|12",Positions!$A$2:$A$6912,0)),"-")</f>
        <v>U</v>
      </c>
      <c r="G1775" s="4" t="str">
        <f aca="false">IFERROR(INDEX(Positions!$E$2:$E$6912,MATCH($A1775&amp;"|23",Positions!$A$2:$A$6912,0)),"-")</f>
        <v>A</v>
      </c>
      <c r="H1775" s="3" t="str">
        <f aca="false">F1775&amp;"-"&amp;G1775</f>
        <v>U-A</v>
      </c>
      <c r="I1775" s="4" t="n">
        <f aca="false">(F1775="G")+(G1775="G")</f>
        <v>0</v>
      </c>
      <c r="J1775" s="4" t="n">
        <f aca="false">(F1775="C")+(G1775="C")</f>
        <v>0</v>
      </c>
      <c r="K1775" s="3" t="n">
        <f aca="false">I1775+J1775</f>
        <v>0</v>
      </c>
    </row>
    <row r="1776" customFormat="false" ht="15" hidden="false" customHeight="false" outlineLevel="0" collapsed="false">
      <c r="A1776" s="4" t="s">
        <v>100</v>
      </c>
      <c r="B1776" s="4" t="s">
        <v>425</v>
      </c>
      <c r="C1776" s="4" t="s">
        <v>154</v>
      </c>
      <c r="D1776" s="4" t="n">
        <f aca="false">IFERROR(INDEX(Positions!$D$2:$D$6912,MATCH($A1776&amp;"|13",Positions!$A$2:$A$6912,0)),"-")</f>
        <v>13</v>
      </c>
      <c r="E1776" s="4" t="n">
        <f aca="false">IFERROR(INDEX(Positions!$D$2:$D$6912,MATCH($A1776&amp;"|22",Positions!$A$2:$A$6912,0)),"-")</f>
        <v>21</v>
      </c>
      <c r="F1776" s="4" t="str">
        <f aca="false">IFERROR(INDEX(Positions!$E$2:$E$6912,MATCH($A1776&amp;"|13",Positions!$A$2:$A$6912,0)),"-")</f>
        <v>U</v>
      </c>
      <c r="G1776" s="4" t="str">
        <f aca="false">IFERROR(INDEX(Positions!$E$2:$E$6912,MATCH($A1776&amp;"|22",Positions!$A$2:$A$6912,0)),"-")</f>
        <v>A</v>
      </c>
      <c r="H1776" s="3" t="str">
        <f aca="false">F1776&amp;"-"&amp;G1776</f>
        <v>U-A</v>
      </c>
      <c r="I1776" s="4" t="n">
        <f aca="false">(F1776="G")+(G1776="G")</f>
        <v>0</v>
      </c>
      <c r="J1776" s="4" t="n">
        <f aca="false">(F1776="C")+(G1776="C")</f>
        <v>0</v>
      </c>
      <c r="K1776" s="3" t="n">
        <f aca="false">I1776+J1776</f>
        <v>0</v>
      </c>
    </row>
    <row r="1777" customFormat="false" ht="15" hidden="false" customHeight="false" outlineLevel="0" collapsed="false">
      <c r="A1777" s="4" t="s">
        <v>100</v>
      </c>
      <c r="B1777" s="4" t="s">
        <v>446</v>
      </c>
      <c r="C1777" s="4" t="s">
        <v>524</v>
      </c>
      <c r="D1777" s="4" t="n">
        <f aca="false">IFERROR(INDEX(Positions!$D$2:$D$6912,MATCH($A1777&amp;"|27",Positions!$A$2:$A$6912,0)),"-")</f>
        <v>26</v>
      </c>
      <c r="E1777" s="4" t="n">
        <f aca="false">IFERROR(INDEX(Positions!$D$2:$D$6912,MATCH($A1777&amp;"|43",Positions!$A$2:$A$6912,0)),"-")</f>
        <v>42</v>
      </c>
      <c r="F1777" s="4" t="str">
        <f aca="false">IFERROR(INDEX(Positions!$E$2:$E$6912,MATCH($A1777&amp;"|27",Positions!$A$2:$A$6912,0)),"-")</f>
        <v>U</v>
      </c>
      <c r="G1777" s="4" t="str">
        <f aca="false">IFERROR(INDEX(Positions!$E$2:$E$6912,MATCH($A1777&amp;"|43",Positions!$A$2:$A$6912,0)),"-")</f>
        <v>A</v>
      </c>
      <c r="H1777" s="3" t="str">
        <f aca="false">F1777&amp;"-"&amp;G1777</f>
        <v>U-A</v>
      </c>
      <c r="I1777" s="4" t="n">
        <f aca="false">(F1777="G")+(G1777="G")</f>
        <v>0</v>
      </c>
      <c r="J1777" s="4" t="n">
        <f aca="false">(F1777="C")+(G1777="C")</f>
        <v>0</v>
      </c>
      <c r="K1777" s="3" t="n">
        <f aca="false">I1777+J1777</f>
        <v>0</v>
      </c>
    </row>
    <row r="1778" customFormat="false" ht="15" hidden="false" customHeight="false" outlineLevel="0" collapsed="false">
      <c r="A1778" s="4" t="s">
        <v>100</v>
      </c>
      <c r="B1778" s="4" t="s">
        <v>446</v>
      </c>
      <c r="C1778" s="4" t="s">
        <v>525</v>
      </c>
      <c r="D1778" s="4" t="n">
        <f aca="false">IFERROR(INDEX(Positions!$D$2:$D$6912,MATCH($A1778&amp;"|28",Positions!$A$2:$A$6912,0)),"-")</f>
        <v>27</v>
      </c>
      <c r="E1778" s="4" t="n">
        <f aca="false">IFERROR(INDEX(Positions!$D$2:$D$6912,MATCH($A1778&amp;"|42",Positions!$A$2:$A$6912,0)),"-")</f>
        <v>41</v>
      </c>
      <c r="F1778" s="4" t="str">
        <f aca="false">IFERROR(INDEX(Positions!$E$2:$E$6912,MATCH($A1778&amp;"|28",Positions!$A$2:$A$6912,0)),"-")</f>
        <v>C</v>
      </c>
      <c r="G1778" s="4" t="str">
        <f aca="false">IFERROR(INDEX(Positions!$E$2:$E$6912,MATCH($A1778&amp;"|42",Positions!$A$2:$A$6912,0)),"-")</f>
        <v>G</v>
      </c>
      <c r="H1778" s="3" t="str">
        <f aca="false">F1778&amp;"-"&amp;G1778</f>
        <v>C-G</v>
      </c>
      <c r="I1778" s="4" t="n">
        <f aca="false">(F1778="G")+(G1778="G")</f>
        <v>1</v>
      </c>
      <c r="J1778" s="4" t="n">
        <f aca="false">(F1778="C")+(G1778="C")</f>
        <v>1</v>
      </c>
      <c r="K1778" s="3" t="n">
        <f aca="false">I1778+J1778</f>
        <v>2</v>
      </c>
    </row>
    <row r="1779" customFormat="false" ht="15" hidden="false" customHeight="false" outlineLevel="0" collapsed="false">
      <c r="A1779" s="4" t="s">
        <v>100</v>
      </c>
      <c r="B1779" s="4" t="s">
        <v>446</v>
      </c>
      <c r="C1779" s="4" t="s">
        <v>256</v>
      </c>
      <c r="D1779" s="4" t="n">
        <f aca="false">IFERROR(INDEX(Positions!$D$2:$D$6912,MATCH($A1779&amp;"|29",Positions!$A$2:$A$6912,0)),"-")</f>
        <v>28</v>
      </c>
      <c r="E1779" s="4" t="n">
        <f aca="false">IFERROR(INDEX(Positions!$D$2:$D$6912,MATCH($A1779&amp;"|41",Positions!$A$2:$A$6912,0)),"-")</f>
        <v>40</v>
      </c>
      <c r="F1779" s="4" t="str">
        <f aca="false">IFERROR(INDEX(Positions!$E$2:$E$6912,MATCH($A1779&amp;"|29",Positions!$A$2:$A$6912,0)),"-")</f>
        <v>U</v>
      </c>
      <c r="G1779" s="4" t="str">
        <f aca="false">IFERROR(INDEX(Positions!$E$2:$E$6912,MATCH($A1779&amp;"|41",Positions!$A$2:$A$6912,0)),"-")</f>
        <v>A</v>
      </c>
      <c r="H1779" s="3" t="str">
        <f aca="false">F1779&amp;"-"&amp;G1779</f>
        <v>U-A</v>
      </c>
      <c r="I1779" s="4" t="n">
        <f aca="false">(F1779="G")+(G1779="G")</f>
        <v>0</v>
      </c>
      <c r="J1779" s="4" t="n">
        <f aca="false">(F1779="C")+(G1779="C")</f>
        <v>0</v>
      </c>
      <c r="K1779" s="3" t="n">
        <f aca="false">I1779+J1779</f>
        <v>0</v>
      </c>
    </row>
    <row r="1780" customFormat="false" ht="15" hidden="false" customHeight="false" outlineLevel="0" collapsed="false">
      <c r="A1780" s="4" t="s">
        <v>100</v>
      </c>
      <c r="B1780" s="4" t="s">
        <v>446</v>
      </c>
      <c r="C1780" s="4" t="s">
        <v>526</v>
      </c>
      <c r="D1780" s="4" t="n">
        <f aca="false">IFERROR(INDEX(Positions!$D$2:$D$6912,MATCH($A1780&amp;"|30",Positions!$A$2:$A$6912,0)),"-")</f>
        <v>29</v>
      </c>
      <c r="E1780" s="4" t="n">
        <f aca="false">IFERROR(INDEX(Positions!$D$2:$D$6912,MATCH($A1780&amp;"|40",Positions!$A$2:$A$6912,0)),"-")</f>
        <v>39</v>
      </c>
      <c r="F1780" s="4" t="str">
        <f aca="false">IFERROR(INDEX(Positions!$E$2:$E$6912,MATCH($A1780&amp;"|30",Positions!$A$2:$A$6912,0)),"-")</f>
        <v>G</v>
      </c>
      <c r="G1780" s="4" t="str">
        <f aca="false">IFERROR(INDEX(Positions!$E$2:$E$6912,MATCH($A1780&amp;"|40",Positions!$A$2:$A$6912,0)),"-")</f>
        <v>C</v>
      </c>
      <c r="H1780" s="3" t="str">
        <f aca="false">F1780&amp;"-"&amp;G1780</f>
        <v>G-C</v>
      </c>
      <c r="I1780" s="4" t="n">
        <f aca="false">(F1780="G")+(G1780="G")</f>
        <v>1</v>
      </c>
      <c r="J1780" s="4" t="n">
        <f aca="false">(F1780="C")+(G1780="C")</f>
        <v>1</v>
      </c>
      <c r="K1780" s="3" t="n">
        <f aca="false">I1780+J1780</f>
        <v>2</v>
      </c>
    </row>
    <row r="1781" customFormat="false" ht="15" hidden="false" customHeight="false" outlineLevel="0" collapsed="false">
      <c r="A1781" s="4" t="s">
        <v>100</v>
      </c>
      <c r="B1781" s="4" t="s">
        <v>446</v>
      </c>
      <c r="C1781" s="4" t="s">
        <v>273</v>
      </c>
      <c r="D1781" s="4" t="n">
        <f aca="false">IFERROR(INDEX(Positions!$D$2:$D$6912,MATCH($A1781&amp;"|31",Positions!$A$2:$A$6912,0)),"-")</f>
        <v>30</v>
      </c>
      <c r="E1781" s="4" t="n">
        <f aca="false">IFERROR(INDEX(Positions!$D$2:$D$6912,MATCH($A1781&amp;"|39",Positions!$A$2:$A$6912,0)),"-")</f>
        <v>38</v>
      </c>
      <c r="F1781" s="4" t="str">
        <f aca="false">IFERROR(INDEX(Positions!$E$2:$E$6912,MATCH($A1781&amp;"|31",Positions!$A$2:$A$6912,0)),"-")</f>
        <v>G</v>
      </c>
      <c r="G1781" s="4" t="str">
        <f aca="false">IFERROR(INDEX(Positions!$E$2:$E$6912,MATCH($A1781&amp;"|39",Positions!$A$2:$A$6912,0)),"-")</f>
        <v>C</v>
      </c>
      <c r="H1781" s="3" t="str">
        <f aca="false">F1781&amp;"-"&amp;G1781</f>
        <v>G-C</v>
      </c>
      <c r="I1781" s="4" t="n">
        <f aca="false">(F1781="G")+(G1781="G")</f>
        <v>1</v>
      </c>
      <c r="J1781" s="4" t="n">
        <f aca="false">(F1781="C")+(G1781="C")</f>
        <v>1</v>
      </c>
      <c r="K1781" s="3" t="n">
        <f aca="false">I1781+J1781</f>
        <v>2</v>
      </c>
    </row>
    <row r="1782" customFormat="false" ht="15" hidden="false" customHeight="false" outlineLevel="0" collapsed="false">
      <c r="A1782" s="4" t="s">
        <v>100</v>
      </c>
      <c r="B1782" s="4" t="s">
        <v>471</v>
      </c>
      <c r="C1782" s="4" t="s">
        <v>367</v>
      </c>
      <c r="D1782" s="4" t="n">
        <f aca="false">IFERROR(INDEX(Positions!$D$2:$D$6912,MATCH($A1782&amp;"|49",Positions!$A$2:$A$6912,0)),"-")</f>
        <v>44</v>
      </c>
      <c r="E1782" s="4" t="n">
        <f aca="false">IFERROR(INDEX(Positions!$D$2:$D$6912,MATCH($A1782&amp;"|65",Positions!$A$2:$A$6912,0)),"-")</f>
        <v>60</v>
      </c>
      <c r="F1782" s="4" t="str">
        <f aca="false">IFERROR(INDEX(Positions!$E$2:$E$6912,MATCH($A1782&amp;"|49",Positions!$A$2:$A$6912,0)),"-")</f>
        <v>G</v>
      </c>
      <c r="G1782" s="4" t="str">
        <f aca="false">IFERROR(INDEX(Positions!$E$2:$E$6912,MATCH($A1782&amp;"|65",Positions!$A$2:$A$6912,0)),"-")</f>
        <v>A</v>
      </c>
      <c r="H1782" s="3" t="str">
        <f aca="false">F1782&amp;"-"&amp;G1782</f>
        <v>G-A</v>
      </c>
      <c r="I1782" s="4" t="n">
        <f aca="false">(F1782="G")+(G1782="G")</f>
        <v>1</v>
      </c>
      <c r="J1782" s="4" t="n">
        <f aca="false">(F1782="C")+(G1782="C")</f>
        <v>0</v>
      </c>
      <c r="K1782" s="3" t="n">
        <f aca="false">I1782+J1782</f>
        <v>1</v>
      </c>
    </row>
    <row r="1783" customFormat="false" ht="15" hidden="false" customHeight="false" outlineLevel="0" collapsed="false">
      <c r="A1783" s="4" t="s">
        <v>100</v>
      </c>
      <c r="B1783" s="4" t="s">
        <v>471</v>
      </c>
      <c r="C1783" s="4" t="s">
        <v>233</v>
      </c>
      <c r="D1783" s="4" t="n">
        <f aca="false">IFERROR(INDEX(Positions!$D$2:$D$6912,MATCH($A1783&amp;"|50",Positions!$A$2:$A$6912,0)),"-")</f>
        <v>45</v>
      </c>
      <c r="E1783" s="4" t="n">
        <f aca="false">IFERROR(INDEX(Positions!$D$2:$D$6912,MATCH($A1783&amp;"|64",Positions!$A$2:$A$6912,0)),"-")</f>
        <v>59</v>
      </c>
      <c r="F1783" s="4" t="str">
        <f aca="false">IFERROR(INDEX(Positions!$E$2:$E$6912,MATCH($A1783&amp;"|50",Positions!$A$2:$A$6912,0)),"-")</f>
        <v>A</v>
      </c>
      <c r="G1783" s="4" t="str">
        <f aca="false">IFERROR(INDEX(Positions!$E$2:$E$6912,MATCH($A1783&amp;"|64",Positions!$A$2:$A$6912,0)),"-")</f>
        <v>A</v>
      </c>
      <c r="H1783" s="3" t="str">
        <f aca="false">F1783&amp;"-"&amp;G1783</f>
        <v>A-A</v>
      </c>
      <c r="I1783" s="4" t="n">
        <f aca="false">(F1783="G")+(G1783="G")</f>
        <v>0</v>
      </c>
      <c r="J1783" s="4" t="n">
        <f aca="false">(F1783="C")+(G1783="C")</f>
        <v>0</v>
      </c>
      <c r="K1783" s="3" t="n">
        <f aca="false">I1783+J1783</f>
        <v>0</v>
      </c>
    </row>
    <row r="1784" customFormat="false" ht="15" hidden="false" customHeight="false" outlineLevel="0" collapsed="false">
      <c r="A1784" s="4" t="s">
        <v>100</v>
      </c>
      <c r="B1784" s="4" t="s">
        <v>471</v>
      </c>
      <c r="C1784" s="4" t="s">
        <v>527</v>
      </c>
      <c r="D1784" s="4" t="n">
        <f aca="false">IFERROR(INDEX(Positions!$D$2:$D$6912,MATCH($A1784&amp;"|51",Positions!$A$2:$A$6912,0)),"-")</f>
        <v>46</v>
      </c>
      <c r="E1784" s="4" t="n">
        <f aca="false">IFERROR(INDEX(Positions!$D$2:$D$6912,MATCH($A1784&amp;"|63",Positions!$A$2:$A$6912,0)),"-")</f>
        <v>58</v>
      </c>
      <c r="F1784" s="4" t="str">
        <f aca="false">IFERROR(INDEX(Positions!$E$2:$E$6912,MATCH($A1784&amp;"|51",Positions!$A$2:$A$6912,0)),"-")</f>
        <v>A</v>
      </c>
      <c r="G1784" s="4" t="str">
        <f aca="false">IFERROR(INDEX(Positions!$E$2:$E$6912,MATCH($A1784&amp;"|63",Positions!$A$2:$A$6912,0)),"-")</f>
        <v>G</v>
      </c>
      <c r="H1784" s="3" t="str">
        <f aca="false">F1784&amp;"-"&amp;G1784</f>
        <v>A-G</v>
      </c>
      <c r="I1784" s="4" t="n">
        <f aca="false">(F1784="G")+(G1784="G")</f>
        <v>1</v>
      </c>
      <c r="J1784" s="4" t="n">
        <f aca="false">(F1784="C")+(G1784="C")</f>
        <v>0</v>
      </c>
      <c r="K1784" s="3" t="n">
        <f aca="false">I1784+J1784</f>
        <v>1</v>
      </c>
    </row>
    <row r="1785" customFormat="false" ht="15" hidden="false" customHeight="false" outlineLevel="0" collapsed="false">
      <c r="A1785" s="4" t="s">
        <v>100</v>
      </c>
      <c r="B1785" s="4" t="s">
        <v>471</v>
      </c>
      <c r="C1785" s="4" t="s">
        <v>528</v>
      </c>
      <c r="D1785" s="4" t="n">
        <f aca="false">IFERROR(INDEX(Positions!$D$2:$D$6912,MATCH($A1785&amp;"|52",Positions!$A$2:$A$6912,0)),"-")</f>
        <v>47</v>
      </c>
      <c r="E1785" s="4" t="n">
        <f aca="false">IFERROR(INDEX(Positions!$D$2:$D$6912,MATCH($A1785&amp;"|62",Positions!$A$2:$A$6912,0)),"-")</f>
        <v>57</v>
      </c>
      <c r="F1785" s="4" t="str">
        <f aca="false">IFERROR(INDEX(Positions!$E$2:$E$6912,MATCH($A1785&amp;"|52",Positions!$A$2:$A$6912,0)),"-")</f>
        <v>U</v>
      </c>
      <c r="G1785" s="4" t="str">
        <f aca="false">IFERROR(INDEX(Positions!$E$2:$E$6912,MATCH($A1785&amp;"|62",Positions!$A$2:$A$6912,0)),"-")</f>
        <v>U</v>
      </c>
      <c r="H1785" s="3" t="str">
        <f aca="false">F1785&amp;"-"&amp;G1785</f>
        <v>U-U</v>
      </c>
      <c r="I1785" s="4" t="n">
        <f aca="false">(F1785="G")+(G1785="G")</f>
        <v>0</v>
      </c>
      <c r="J1785" s="4" t="n">
        <f aca="false">(F1785="C")+(G1785="C")</f>
        <v>0</v>
      </c>
      <c r="K1785" s="3" t="n">
        <f aca="false">I1785+J1785</f>
        <v>0</v>
      </c>
    </row>
    <row r="1786" customFormat="false" ht="15" hidden="false" customHeight="false" outlineLevel="0" collapsed="false">
      <c r="A1786" s="4" t="s">
        <v>100</v>
      </c>
      <c r="B1786" s="4" t="s">
        <v>471</v>
      </c>
      <c r="C1786" s="4" t="s">
        <v>529</v>
      </c>
      <c r="D1786" s="4" t="n">
        <f aca="false">IFERROR(INDEX(Positions!$D$2:$D$6912,MATCH($A1786&amp;"|53",Positions!$A$2:$A$6912,0)),"-")</f>
        <v>48</v>
      </c>
      <c r="E1786" s="4" t="n">
        <f aca="false">IFERROR(INDEX(Positions!$D$2:$D$6912,MATCH($A1786&amp;"|61",Positions!$A$2:$A$6912,0)),"-")</f>
        <v>56</v>
      </c>
      <c r="F1786" s="4" t="str">
        <f aca="false">IFERROR(INDEX(Positions!$E$2:$E$6912,MATCH($A1786&amp;"|53",Positions!$A$2:$A$6912,0)),"-")</f>
        <v>U</v>
      </c>
      <c r="G1786" s="4" t="str">
        <f aca="false">IFERROR(INDEX(Positions!$E$2:$E$6912,MATCH($A1786&amp;"|61",Positions!$A$2:$A$6912,0)),"-")</f>
        <v>A</v>
      </c>
      <c r="H1786" s="3" t="str">
        <f aca="false">F1786&amp;"-"&amp;G1786</f>
        <v>U-A</v>
      </c>
      <c r="I1786" s="4" t="n">
        <f aca="false">(F1786="G")+(G1786="G")</f>
        <v>0</v>
      </c>
      <c r="J1786" s="4" t="n">
        <f aca="false">(F1786="C")+(G1786="C")</f>
        <v>0</v>
      </c>
      <c r="K1786" s="3" t="n">
        <f aca="false">I1786+J1786</f>
        <v>0</v>
      </c>
    </row>
    <row r="1787" customFormat="false" ht="15" hidden="false" customHeight="false" outlineLevel="0" collapsed="false">
      <c r="A1787" s="24" t="s">
        <v>100</v>
      </c>
      <c r="B1787" s="24" t="s">
        <v>530</v>
      </c>
      <c r="C1787" s="24" t="s">
        <v>531</v>
      </c>
      <c r="D1787" s="24" t="n">
        <f aca="false">IFERROR(INDEX(Positions!$D$2:$D$6912,MATCH($A1787&amp;"|8",Positions!$A$2:$A$6912,0)),"-")</f>
        <v>8</v>
      </c>
      <c r="E1787" s="24" t="n">
        <f aca="false">IFERROR(INDEX(Positions!$D$2:$D$6912,MATCH($A1787&amp;"|14",Positions!$A$2:$A$6912,0)),"-")</f>
        <v>14</v>
      </c>
      <c r="F1787" s="24" t="str">
        <f aca="false">IFERROR(INDEX(Positions!$E$2:$E$6912,MATCH($A1787&amp;"|8",Positions!$A$2:$A$6912,0)),"-")</f>
        <v>U</v>
      </c>
      <c r="G1787" s="24" t="str">
        <f aca="false">IFERROR(INDEX(Positions!$E$2:$E$6912,MATCH($A1787&amp;"|14",Positions!$A$2:$A$6912,0)),"-")</f>
        <v>A</v>
      </c>
      <c r="H1787" s="25" t="str">
        <f aca="false">F1787&amp;"-"&amp;G1787</f>
        <v>U-A</v>
      </c>
      <c r="I1787" s="24" t="n">
        <f aca="false">(F1787="G")+(G1787="G")</f>
        <v>0</v>
      </c>
      <c r="J1787" s="24" t="n">
        <f aca="false">(F1787="C")+(G1787="C")</f>
        <v>0</v>
      </c>
      <c r="K1787" s="25" t="n">
        <f aca="false">I1787+J1787</f>
        <v>0</v>
      </c>
    </row>
    <row r="1788" customFormat="false" ht="15" hidden="false" customHeight="false" outlineLevel="0" collapsed="false">
      <c r="A1788" s="24" t="s">
        <v>100</v>
      </c>
      <c r="B1788" s="24" t="s">
        <v>530</v>
      </c>
      <c r="C1788" s="24" t="s">
        <v>532</v>
      </c>
      <c r="D1788" s="24" t="n">
        <f aca="false">IFERROR(INDEX(Positions!$D$2:$D$6912,MATCH($A1788&amp;"|15",Positions!$A$2:$A$6912,0)),"-")</f>
        <v>15</v>
      </c>
      <c r="E1788" s="24" t="n">
        <f aca="false">IFERROR(INDEX(Positions!$D$2:$D$6912,MATCH($A1788&amp;"|48",Positions!$A$2:$A$6912,0)),"-")</f>
        <v>43</v>
      </c>
      <c r="F1788" s="24" t="str">
        <f aca="false">IFERROR(INDEX(Positions!$E$2:$E$6912,MATCH($A1788&amp;"|15",Positions!$A$2:$A$6912,0)),"-")</f>
        <v>A</v>
      </c>
      <c r="G1788" s="24" t="str">
        <f aca="false">IFERROR(INDEX(Positions!$E$2:$E$6912,MATCH($A1788&amp;"|48",Positions!$A$2:$A$6912,0)),"-")</f>
        <v>A</v>
      </c>
      <c r="H1788" s="25" t="str">
        <f aca="false">F1788&amp;"-"&amp;G1788</f>
        <v>A-A</v>
      </c>
      <c r="I1788" s="24" t="n">
        <f aca="false">(F1788="G")+(G1788="G")</f>
        <v>0</v>
      </c>
      <c r="J1788" s="24" t="n">
        <f aca="false">(F1788="C")+(G1788="C")</f>
        <v>0</v>
      </c>
      <c r="K1788" s="25" t="n">
        <f aca="false">I1788+J1788</f>
        <v>0</v>
      </c>
    </row>
    <row r="1789" customFormat="false" ht="15" hidden="false" customHeight="false" outlineLevel="0" collapsed="false">
      <c r="A1789" s="24" t="s">
        <v>100</v>
      </c>
      <c r="B1789" s="24" t="s">
        <v>530</v>
      </c>
      <c r="C1789" s="24" t="s">
        <v>533</v>
      </c>
      <c r="D1789" s="24" t="n">
        <f aca="false">IFERROR(INDEX(Positions!$D$2:$D$6912,MATCH($A1789&amp;"|18",Positions!$A$2:$A$6912,0)),"-")</f>
        <v>17</v>
      </c>
      <c r="E1789" s="24" t="n">
        <f aca="false">IFERROR(INDEX(Positions!$D$2:$D$6912,MATCH($A1789&amp;"|55",Positions!$A$2:$A$6912,0)),"-")</f>
        <v>50</v>
      </c>
      <c r="F1789" s="24" t="str">
        <f aca="false">IFERROR(INDEX(Positions!$E$2:$E$6912,MATCH($A1789&amp;"|18",Positions!$A$2:$A$6912,0)),"-")</f>
        <v>C</v>
      </c>
      <c r="G1789" s="24" t="str">
        <f aca="false">IFERROR(INDEX(Positions!$E$2:$E$6912,MATCH($A1789&amp;"|55",Positions!$A$2:$A$6912,0)),"-")</f>
        <v>A</v>
      </c>
      <c r="H1789" s="25" t="str">
        <f aca="false">F1789&amp;"-"&amp;G1789</f>
        <v>C-A</v>
      </c>
      <c r="I1789" s="24" t="n">
        <f aca="false">(F1789="G")+(G1789="G")</f>
        <v>0</v>
      </c>
      <c r="J1789" s="24" t="n">
        <f aca="false">(F1789="C")+(G1789="C")</f>
        <v>1</v>
      </c>
      <c r="K1789" s="25" t="n">
        <f aca="false">I1789+J1789</f>
        <v>1</v>
      </c>
    </row>
    <row r="1790" customFormat="false" ht="15" hidden="false" customHeight="false" outlineLevel="0" collapsed="false">
      <c r="A1790" s="24" t="s">
        <v>100</v>
      </c>
      <c r="B1790" s="24" t="s">
        <v>530</v>
      </c>
      <c r="C1790" s="24" t="s">
        <v>534</v>
      </c>
      <c r="D1790" s="24" t="n">
        <f aca="false">IFERROR(INDEX(Positions!$D$2:$D$6912,MATCH($A1790&amp;"|19",Positions!$A$2:$A$6912,0)),"-")</f>
        <v>18</v>
      </c>
      <c r="E1790" s="24" t="n">
        <f aca="false">IFERROR(INDEX(Positions!$D$2:$D$6912,MATCH($A1790&amp;"|56",Positions!$A$2:$A$6912,0)),"-")</f>
        <v>51</v>
      </c>
      <c r="F1790" s="24" t="str">
        <f aca="false">IFERROR(INDEX(Positions!$E$2:$E$6912,MATCH($A1790&amp;"|19",Positions!$A$2:$A$6912,0)),"-")</f>
        <v>A</v>
      </c>
      <c r="G1790" s="24" t="str">
        <f aca="false">IFERROR(INDEX(Positions!$E$2:$E$6912,MATCH($A1790&amp;"|56",Positions!$A$2:$A$6912,0)),"-")</f>
        <v>U</v>
      </c>
      <c r="H1790" s="25" t="str">
        <f aca="false">F1790&amp;"-"&amp;G1790</f>
        <v>A-U</v>
      </c>
      <c r="I1790" s="24" t="n">
        <f aca="false">(F1790="G")+(G1790="G")</f>
        <v>0</v>
      </c>
      <c r="J1790" s="24" t="n">
        <f aca="false">(F1790="C")+(G1790="C")</f>
        <v>0</v>
      </c>
      <c r="K1790" s="25" t="n">
        <f aca="false">I1790+J1790</f>
        <v>0</v>
      </c>
    </row>
    <row r="1791" customFormat="false" ht="15" hidden="false" customHeight="false" outlineLevel="0" collapsed="false">
      <c r="A1791" s="24" t="s">
        <v>100</v>
      </c>
      <c r="B1791" s="24" t="s">
        <v>530</v>
      </c>
      <c r="C1791" s="24" t="s">
        <v>535</v>
      </c>
      <c r="D1791" s="24" t="n">
        <f aca="false">IFERROR(INDEX(Positions!$D$2:$D$6912,MATCH($A1791&amp;"|26",Positions!$A$2:$A$6912,0)),"-")</f>
        <v>25</v>
      </c>
      <c r="E1791" s="24" t="str">
        <f aca="false">IFERROR(INDEX(Positions!$D$2:$D$6912,MATCH($A1791&amp;"|44",Positions!$A$2:$A$6912,0)),"-")</f>
        <v>-</v>
      </c>
      <c r="F1791" s="24" t="str">
        <f aca="false">IFERROR(INDEX(Positions!$E$2:$E$6912,MATCH($A1791&amp;"|26",Positions!$A$2:$A$6912,0)),"-")</f>
        <v>A</v>
      </c>
      <c r="G1791" s="24" t="str">
        <f aca="false">IFERROR(INDEX(Positions!$E$2:$E$6912,MATCH($A1791&amp;"|44",Positions!$A$2:$A$6912,0)),"-")</f>
        <v>-</v>
      </c>
      <c r="H1791" s="25" t="str">
        <f aca="false">F1791&amp;"-"&amp;G1791</f>
        <v>A--</v>
      </c>
      <c r="I1791" s="24" t="n">
        <f aca="false">(F1791="G")+(G1791="G")</f>
        <v>0</v>
      </c>
      <c r="J1791" s="24" t="n">
        <f aca="false">(F1791="C")+(G1791="C")</f>
        <v>0</v>
      </c>
      <c r="K1791" s="25" t="n">
        <f aca="false">I1791+J1791</f>
        <v>0</v>
      </c>
    </row>
    <row r="1792" customFormat="false" ht="15" hidden="false" customHeight="false" outlineLevel="0" collapsed="false">
      <c r="A1792" s="24" t="s">
        <v>100</v>
      </c>
      <c r="B1792" s="24" t="s">
        <v>530</v>
      </c>
      <c r="C1792" s="24" t="s">
        <v>536</v>
      </c>
      <c r="D1792" s="24" t="n">
        <f aca="false">IFERROR(INDEX(Positions!$D$2:$D$6912,MATCH($A1792&amp;"|32",Positions!$A$2:$A$6912,0)),"-")</f>
        <v>31</v>
      </c>
      <c r="E1792" s="24" t="n">
        <f aca="false">IFERROR(INDEX(Positions!$D$2:$D$6912,MATCH($A1792&amp;"|38",Positions!$A$2:$A$6912,0)),"-")</f>
        <v>37</v>
      </c>
      <c r="F1792" s="24" t="str">
        <f aca="false">IFERROR(INDEX(Positions!$E$2:$E$6912,MATCH($A1792&amp;"|32",Positions!$A$2:$A$6912,0)),"-")</f>
        <v>C</v>
      </c>
      <c r="G1792" s="24" t="str">
        <f aca="false">IFERROR(INDEX(Positions!$E$2:$E$6912,MATCH($A1792&amp;"|38",Positions!$A$2:$A$6912,0)),"-")</f>
        <v>C</v>
      </c>
      <c r="H1792" s="25" t="str">
        <f aca="false">F1792&amp;"-"&amp;G1792</f>
        <v>C-C</v>
      </c>
      <c r="I1792" s="24" t="n">
        <f aca="false">(F1792="G")+(G1792="G")</f>
        <v>0</v>
      </c>
      <c r="J1792" s="24" t="n">
        <f aca="false">(F1792="C")+(G1792="C")</f>
        <v>2</v>
      </c>
      <c r="K1792" s="25" t="n">
        <f aca="false">I1792+J1792</f>
        <v>2</v>
      </c>
    </row>
    <row r="1793" customFormat="false" ht="15" hidden="false" customHeight="false" outlineLevel="0" collapsed="false">
      <c r="A1793" s="24" t="s">
        <v>100</v>
      </c>
      <c r="B1793" s="24" t="s">
        <v>530</v>
      </c>
      <c r="C1793" s="24" t="s">
        <v>537</v>
      </c>
      <c r="D1793" s="24" t="n">
        <f aca="false">IFERROR(INDEX(Positions!$D$2:$D$6912,MATCH($A1793&amp;"|54",Positions!$A$2:$A$6912,0)),"-")</f>
        <v>49</v>
      </c>
      <c r="E1793" s="24" t="n">
        <f aca="false">IFERROR(INDEX(Positions!$D$2:$D$6912,MATCH($A1793&amp;"|58",Positions!$A$2:$A$6912,0)),"-")</f>
        <v>53</v>
      </c>
      <c r="F1793" s="24" t="str">
        <f aca="false">IFERROR(INDEX(Positions!$E$2:$E$6912,MATCH($A1793&amp;"|54",Positions!$A$2:$A$6912,0)),"-")</f>
        <v>C</v>
      </c>
      <c r="G1793" s="24" t="str">
        <f aca="false">IFERROR(INDEX(Positions!$E$2:$E$6912,MATCH($A1793&amp;"|58",Positions!$A$2:$A$6912,0)),"-")</f>
        <v>A</v>
      </c>
      <c r="H1793" s="25" t="str">
        <f aca="false">F1793&amp;"-"&amp;G1793</f>
        <v>C-A</v>
      </c>
      <c r="I1793" s="24" t="n">
        <f aca="false">(F1793="G")+(G1793="G")</f>
        <v>0</v>
      </c>
      <c r="J1793" s="24" t="n">
        <f aca="false">(F1793="C")+(G1793="C")</f>
        <v>1</v>
      </c>
      <c r="K1793" s="25" t="n">
        <f aca="false">I1793+J1793</f>
        <v>1</v>
      </c>
    </row>
    <row r="1794" customFormat="false" ht="15" hidden="false" customHeight="false" outlineLevel="0" collapsed="false">
      <c r="A1794" s="4" t="s">
        <v>101</v>
      </c>
      <c r="B1794" s="4" t="s">
        <v>412</v>
      </c>
      <c r="C1794" s="4" t="s">
        <v>517</v>
      </c>
      <c r="D1794" s="4" t="n">
        <f aca="false">IFERROR(INDEX(Positions!$D$2:$D$6912,MATCH($A1794&amp;"|1",Positions!$A$2:$A$6912,0)),"-")</f>
        <v>1</v>
      </c>
      <c r="E1794" s="4" t="n">
        <f aca="false">IFERROR(INDEX(Positions!$D$2:$D$6912,MATCH($A1794&amp;"|72",Positions!$A$2:$A$6912,0)),"-")</f>
        <v>70</v>
      </c>
      <c r="F1794" s="4" t="str">
        <f aca="false">IFERROR(INDEX(Positions!$E$2:$E$6912,MATCH($A1794&amp;"|1",Positions!$A$2:$A$6912,0)),"-")</f>
        <v>G</v>
      </c>
      <c r="G1794" s="4" t="str">
        <f aca="false">IFERROR(INDEX(Positions!$E$2:$E$6912,MATCH($A1794&amp;"|72",Positions!$A$2:$A$6912,0)),"-")</f>
        <v>C</v>
      </c>
      <c r="H1794" s="3" t="str">
        <f aca="false">F1794&amp;"-"&amp;G1794</f>
        <v>G-C</v>
      </c>
      <c r="I1794" s="4" t="n">
        <f aca="false">(F1794="G")+(G1794="G")</f>
        <v>1</v>
      </c>
      <c r="J1794" s="4" t="n">
        <f aca="false">(F1794="C")+(G1794="C")</f>
        <v>1</v>
      </c>
      <c r="K1794" s="3" t="n">
        <f aca="false">I1794+J1794</f>
        <v>2</v>
      </c>
    </row>
    <row r="1795" customFormat="false" ht="15" hidden="false" customHeight="false" outlineLevel="0" collapsed="false">
      <c r="A1795" s="4" t="s">
        <v>101</v>
      </c>
      <c r="B1795" s="4" t="s">
        <v>412</v>
      </c>
      <c r="C1795" s="4" t="s">
        <v>518</v>
      </c>
      <c r="D1795" s="4" t="n">
        <f aca="false">IFERROR(INDEX(Positions!$D$2:$D$6912,MATCH($A1795&amp;"|2",Positions!$A$2:$A$6912,0)),"-")</f>
        <v>2</v>
      </c>
      <c r="E1795" s="4" t="n">
        <f aca="false">IFERROR(INDEX(Positions!$D$2:$D$6912,MATCH($A1795&amp;"|71",Positions!$A$2:$A$6912,0)),"-")</f>
        <v>69</v>
      </c>
      <c r="F1795" s="4" t="str">
        <f aca="false">IFERROR(INDEX(Positions!$E$2:$E$6912,MATCH($A1795&amp;"|2",Positions!$A$2:$A$6912,0)),"-")</f>
        <v>C</v>
      </c>
      <c r="G1795" s="4" t="str">
        <f aca="false">IFERROR(INDEX(Positions!$E$2:$E$6912,MATCH($A1795&amp;"|71",Positions!$A$2:$A$6912,0)),"-")</f>
        <v>G</v>
      </c>
      <c r="H1795" s="3" t="str">
        <f aca="false">F1795&amp;"-"&amp;G1795</f>
        <v>C-G</v>
      </c>
      <c r="I1795" s="4" t="n">
        <f aca="false">(F1795="G")+(G1795="G")</f>
        <v>1</v>
      </c>
      <c r="J1795" s="4" t="n">
        <f aca="false">(F1795="C")+(G1795="C")</f>
        <v>1</v>
      </c>
      <c r="K1795" s="3" t="n">
        <f aca="false">I1795+J1795</f>
        <v>2</v>
      </c>
    </row>
    <row r="1796" customFormat="false" ht="15" hidden="false" customHeight="false" outlineLevel="0" collapsed="false">
      <c r="A1796" s="4" t="s">
        <v>101</v>
      </c>
      <c r="B1796" s="4" t="s">
        <v>412</v>
      </c>
      <c r="C1796" s="4" t="s">
        <v>386</v>
      </c>
      <c r="D1796" s="4" t="n">
        <f aca="false">IFERROR(INDEX(Positions!$D$2:$D$6912,MATCH($A1796&amp;"|3",Positions!$A$2:$A$6912,0)),"-")</f>
        <v>3</v>
      </c>
      <c r="E1796" s="4" t="n">
        <f aca="false">IFERROR(INDEX(Positions!$D$2:$D$6912,MATCH($A1796&amp;"|70",Positions!$A$2:$A$6912,0)),"-")</f>
        <v>68</v>
      </c>
      <c r="F1796" s="4" t="str">
        <f aca="false">IFERROR(INDEX(Positions!$E$2:$E$6912,MATCH($A1796&amp;"|3",Positions!$A$2:$A$6912,0)),"-")</f>
        <v>G</v>
      </c>
      <c r="G1796" s="4" t="str">
        <f aca="false">IFERROR(INDEX(Positions!$E$2:$E$6912,MATCH($A1796&amp;"|70",Positions!$A$2:$A$6912,0)),"-")</f>
        <v>C</v>
      </c>
      <c r="H1796" s="3" t="str">
        <f aca="false">F1796&amp;"-"&amp;G1796</f>
        <v>G-C</v>
      </c>
      <c r="I1796" s="4" t="n">
        <f aca="false">(F1796="G")+(G1796="G")</f>
        <v>1</v>
      </c>
      <c r="J1796" s="4" t="n">
        <f aca="false">(F1796="C")+(G1796="C")</f>
        <v>1</v>
      </c>
      <c r="K1796" s="3" t="n">
        <f aca="false">I1796+J1796</f>
        <v>2</v>
      </c>
    </row>
    <row r="1797" customFormat="false" ht="15" hidden="false" customHeight="false" outlineLevel="0" collapsed="false">
      <c r="A1797" s="4" t="s">
        <v>101</v>
      </c>
      <c r="B1797" s="4" t="s">
        <v>412</v>
      </c>
      <c r="C1797" s="4" t="s">
        <v>519</v>
      </c>
      <c r="D1797" s="4" t="n">
        <f aca="false">IFERROR(INDEX(Positions!$D$2:$D$6912,MATCH($A1797&amp;"|4",Positions!$A$2:$A$6912,0)),"-")</f>
        <v>4</v>
      </c>
      <c r="E1797" s="4" t="n">
        <f aca="false">IFERROR(INDEX(Positions!$D$2:$D$6912,MATCH($A1797&amp;"|69",Positions!$A$2:$A$6912,0)),"-")</f>
        <v>67</v>
      </c>
      <c r="F1797" s="4" t="str">
        <f aca="false">IFERROR(INDEX(Positions!$E$2:$E$6912,MATCH($A1797&amp;"|4",Positions!$A$2:$A$6912,0)),"-")</f>
        <v>G</v>
      </c>
      <c r="G1797" s="4" t="str">
        <f aca="false">IFERROR(INDEX(Positions!$E$2:$E$6912,MATCH($A1797&amp;"|69",Positions!$A$2:$A$6912,0)),"-")</f>
        <v>C</v>
      </c>
      <c r="H1797" s="3" t="str">
        <f aca="false">F1797&amp;"-"&amp;G1797</f>
        <v>G-C</v>
      </c>
      <c r="I1797" s="4" t="n">
        <f aca="false">(F1797="G")+(G1797="G")</f>
        <v>1</v>
      </c>
      <c r="J1797" s="4" t="n">
        <f aca="false">(F1797="C")+(G1797="C")</f>
        <v>1</v>
      </c>
      <c r="K1797" s="3" t="n">
        <f aca="false">I1797+J1797</f>
        <v>2</v>
      </c>
    </row>
    <row r="1798" customFormat="false" ht="15" hidden="false" customHeight="false" outlineLevel="0" collapsed="false">
      <c r="A1798" s="4" t="s">
        <v>101</v>
      </c>
      <c r="B1798" s="4" t="s">
        <v>412</v>
      </c>
      <c r="C1798" s="4" t="s">
        <v>283</v>
      </c>
      <c r="D1798" s="4" t="n">
        <f aca="false">IFERROR(INDEX(Positions!$D$2:$D$6912,MATCH($A1798&amp;"|5",Positions!$A$2:$A$6912,0)),"-")</f>
        <v>5</v>
      </c>
      <c r="E1798" s="4" t="n">
        <f aca="false">IFERROR(INDEX(Positions!$D$2:$D$6912,MATCH($A1798&amp;"|68",Positions!$A$2:$A$6912,0)),"-")</f>
        <v>66</v>
      </c>
      <c r="F1798" s="4" t="str">
        <f aca="false">IFERROR(INDEX(Positions!$E$2:$E$6912,MATCH($A1798&amp;"|5",Positions!$A$2:$A$6912,0)),"-")</f>
        <v>G</v>
      </c>
      <c r="G1798" s="4" t="str">
        <f aca="false">IFERROR(INDEX(Positions!$E$2:$E$6912,MATCH($A1798&amp;"|68",Positions!$A$2:$A$6912,0)),"-")</f>
        <v>C</v>
      </c>
      <c r="H1798" s="3" t="str">
        <f aca="false">F1798&amp;"-"&amp;G1798</f>
        <v>G-C</v>
      </c>
      <c r="I1798" s="4" t="n">
        <f aca="false">(F1798="G")+(G1798="G")</f>
        <v>1</v>
      </c>
      <c r="J1798" s="4" t="n">
        <f aca="false">(F1798="C")+(G1798="C")</f>
        <v>1</v>
      </c>
      <c r="K1798" s="3" t="n">
        <f aca="false">I1798+J1798</f>
        <v>2</v>
      </c>
    </row>
    <row r="1799" customFormat="false" ht="15" hidden="false" customHeight="false" outlineLevel="0" collapsed="false">
      <c r="A1799" s="4" t="s">
        <v>101</v>
      </c>
      <c r="B1799" s="4" t="s">
        <v>412</v>
      </c>
      <c r="C1799" s="4" t="s">
        <v>520</v>
      </c>
      <c r="D1799" s="4" t="n">
        <f aca="false">IFERROR(INDEX(Positions!$D$2:$D$6912,MATCH($A1799&amp;"|6",Positions!$A$2:$A$6912,0)),"-")</f>
        <v>6</v>
      </c>
      <c r="E1799" s="4" t="n">
        <f aca="false">IFERROR(INDEX(Positions!$D$2:$D$6912,MATCH($A1799&amp;"|67",Positions!$A$2:$A$6912,0)),"-")</f>
        <v>65</v>
      </c>
      <c r="F1799" s="4" t="str">
        <f aca="false">IFERROR(INDEX(Positions!$E$2:$E$6912,MATCH($A1799&amp;"|6",Positions!$A$2:$A$6912,0)),"-")</f>
        <v>C</v>
      </c>
      <c r="G1799" s="4" t="str">
        <f aca="false">IFERROR(INDEX(Positions!$E$2:$E$6912,MATCH($A1799&amp;"|67",Positions!$A$2:$A$6912,0)),"-")</f>
        <v>G</v>
      </c>
      <c r="H1799" s="3" t="str">
        <f aca="false">F1799&amp;"-"&amp;G1799</f>
        <v>C-G</v>
      </c>
      <c r="I1799" s="4" t="n">
        <f aca="false">(F1799="G")+(G1799="G")</f>
        <v>1</v>
      </c>
      <c r="J1799" s="4" t="n">
        <f aca="false">(F1799="C")+(G1799="C")</f>
        <v>1</v>
      </c>
      <c r="K1799" s="3" t="n">
        <f aca="false">I1799+J1799</f>
        <v>2</v>
      </c>
    </row>
    <row r="1800" customFormat="false" ht="15" hidden="false" customHeight="false" outlineLevel="0" collapsed="false">
      <c r="A1800" s="4" t="s">
        <v>101</v>
      </c>
      <c r="B1800" s="4" t="s">
        <v>412</v>
      </c>
      <c r="C1800" s="4" t="s">
        <v>521</v>
      </c>
      <c r="D1800" s="4" t="n">
        <f aca="false">IFERROR(INDEX(Positions!$D$2:$D$6912,MATCH($A1800&amp;"|7",Positions!$A$2:$A$6912,0)),"-")</f>
        <v>7</v>
      </c>
      <c r="E1800" s="4" t="n">
        <f aca="false">IFERROR(INDEX(Positions!$D$2:$D$6912,MATCH($A1800&amp;"|66",Positions!$A$2:$A$6912,0)),"-")</f>
        <v>64</v>
      </c>
      <c r="F1800" s="4" t="str">
        <f aca="false">IFERROR(INDEX(Positions!$E$2:$E$6912,MATCH($A1800&amp;"|7",Positions!$A$2:$A$6912,0)),"-")</f>
        <v>G</v>
      </c>
      <c r="G1800" s="4" t="str">
        <f aca="false">IFERROR(INDEX(Positions!$E$2:$E$6912,MATCH($A1800&amp;"|66",Positions!$A$2:$A$6912,0)),"-")</f>
        <v>C</v>
      </c>
      <c r="H1800" s="3" t="str">
        <f aca="false">F1800&amp;"-"&amp;G1800</f>
        <v>G-C</v>
      </c>
      <c r="I1800" s="4" t="n">
        <f aca="false">(F1800="G")+(G1800="G")</f>
        <v>1</v>
      </c>
      <c r="J1800" s="4" t="n">
        <f aca="false">(F1800="C")+(G1800="C")</f>
        <v>1</v>
      </c>
      <c r="K1800" s="3" t="n">
        <f aca="false">I1800+J1800</f>
        <v>2</v>
      </c>
    </row>
    <row r="1801" customFormat="false" ht="15" hidden="false" customHeight="false" outlineLevel="0" collapsed="false">
      <c r="A1801" s="4" t="s">
        <v>101</v>
      </c>
      <c r="B1801" s="4" t="s">
        <v>425</v>
      </c>
      <c r="C1801" s="4" t="s">
        <v>522</v>
      </c>
      <c r="D1801" s="4" t="n">
        <f aca="false">IFERROR(INDEX(Positions!$D$2:$D$6912,MATCH($A1801&amp;"|10",Positions!$A$2:$A$6912,0)),"-")</f>
        <v>10</v>
      </c>
      <c r="E1801" s="4" t="n">
        <f aca="false">IFERROR(INDEX(Positions!$D$2:$D$6912,MATCH($A1801&amp;"|25",Positions!$A$2:$A$6912,0)),"-")</f>
        <v>24</v>
      </c>
      <c r="F1801" s="4" t="str">
        <f aca="false">IFERROR(INDEX(Positions!$E$2:$E$6912,MATCH($A1801&amp;"|10",Positions!$A$2:$A$6912,0)),"-")</f>
        <v>G</v>
      </c>
      <c r="G1801" s="4" t="str">
        <f aca="false">IFERROR(INDEX(Positions!$E$2:$E$6912,MATCH($A1801&amp;"|25",Positions!$A$2:$A$6912,0)),"-")</f>
        <v>C</v>
      </c>
      <c r="H1801" s="3" t="str">
        <f aca="false">F1801&amp;"-"&amp;G1801</f>
        <v>G-C</v>
      </c>
      <c r="I1801" s="4" t="n">
        <f aca="false">(F1801="G")+(G1801="G")</f>
        <v>1</v>
      </c>
      <c r="J1801" s="4" t="n">
        <f aca="false">(F1801="C")+(G1801="C")</f>
        <v>1</v>
      </c>
      <c r="K1801" s="3" t="n">
        <f aca="false">I1801+J1801</f>
        <v>2</v>
      </c>
    </row>
    <row r="1802" customFormat="false" ht="15" hidden="false" customHeight="false" outlineLevel="0" collapsed="false">
      <c r="A1802" s="4" t="s">
        <v>101</v>
      </c>
      <c r="B1802" s="4" t="s">
        <v>425</v>
      </c>
      <c r="C1802" s="4" t="s">
        <v>523</v>
      </c>
      <c r="D1802" s="4" t="n">
        <f aca="false">IFERROR(INDEX(Positions!$D$2:$D$6912,MATCH($A1802&amp;"|11",Positions!$A$2:$A$6912,0)),"-")</f>
        <v>11</v>
      </c>
      <c r="E1802" s="4" t="n">
        <f aca="false">IFERROR(INDEX(Positions!$D$2:$D$6912,MATCH($A1802&amp;"|24",Positions!$A$2:$A$6912,0)),"-")</f>
        <v>23</v>
      </c>
      <c r="F1802" s="4" t="str">
        <f aca="false">IFERROR(INDEX(Positions!$E$2:$E$6912,MATCH($A1802&amp;"|11",Positions!$A$2:$A$6912,0)),"-")</f>
        <v>U</v>
      </c>
      <c r="G1802" s="4" t="str">
        <f aca="false">IFERROR(INDEX(Positions!$E$2:$E$6912,MATCH($A1802&amp;"|24",Positions!$A$2:$A$6912,0)),"-")</f>
        <v>A</v>
      </c>
      <c r="H1802" s="3" t="str">
        <f aca="false">F1802&amp;"-"&amp;G1802</f>
        <v>U-A</v>
      </c>
      <c r="I1802" s="4" t="n">
        <f aca="false">(F1802="G")+(G1802="G")</f>
        <v>0</v>
      </c>
      <c r="J1802" s="4" t="n">
        <f aca="false">(F1802="C")+(G1802="C")</f>
        <v>0</v>
      </c>
      <c r="K1802" s="3" t="n">
        <f aca="false">I1802+J1802</f>
        <v>0</v>
      </c>
    </row>
    <row r="1803" customFormat="false" ht="15" hidden="false" customHeight="false" outlineLevel="0" collapsed="false">
      <c r="A1803" s="4" t="s">
        <v>101</v>
      </c>
      <c r="B1803" s="4" t="s">
        <v>425</v>
      </c>
      <c r="C1803" s="4" t="s">
        <v>250</v>
      </c>
      <c r="D1803" s="4" t="n">
        <f aca="false">IFERROR(INDEX(Positions!$D$2:$D$6912,MATCH($A1803&amp;"|12",Positions!$A$2:$A$6912,0)),"-")</f>
        <v>12</v>
      </c>
      <c r="E1803" s="4" t="n">
        <f aca="false">IFERROR(INDEX(Positions!$D$2:$D$6912,MATCH($A1803&amp;"|23",Positions!$A$2:$A$6912,0)),"-")</f>
        <v>22</v>
      </c>
      <c r="F1803" s="4" t="str">
        <f aca="false">IFERROR(INDEX(Positions!$E$2:$E$6912,MATCH($A1803&amp;"|12",Positions!$A$2:$A$6912,0)),"-")</f>
        <v>U</v>
      </c>
      <c r="G1803" s="4" t="str">
        <f aca="false">IFERROR(INDEX(Positions!$E$2:$E$6912,MATCH($A1803&amp;"|23",Positions!$A$2:$A$6912,0)),"-")</f>
        <v>A</v>
      </c>
      <c r="H1803" s="3" t="str">
        <f aca="false">F1803&amp;"-"&amp;G1803</f>
        <v>U-A</v>
      </c>
      <c r="I1803" s="4" t="n">
        <f aca="false">(F1803="G")+(G1803="G")</f>
        <v>0</v>
      </c>
      <c r="J1803" s="4" t="n">
        <f aca="false">(F1803="C")+(G1803="C")</f>
        <v>0</v>
      </c>
      <c r="K1803" s="3" t="n">
        <f aca="false">I1803+J1803</f>
        <v>0</v>
      </c>
    </row>
    <row r="1804" customFormat="false" ht="15" hidden="false" customHeight="false" outlineLevel="0" collapsed="false">
      <c r="A1804" s="4" t="s">
        <v>101</v>
      </c>
      <c r="B1804" s="4" t="s">
        <v>425</v>
      </c>
      <c r="C1804" s="4" t="s">
        <v>154</v>
      </c>
      <c r="D1804" s="4" t="n">
        <f aca="false">IFERROR(INDEX(Positions!$D$2:$D$6912,MATCH($A1804&amp;"|13",Positions!$A$2:$A$6912,0)),"-")</f>
        <v>13</v>
      </c>
      <c r="E1804" s="4" t="n">
        <f aca="false">IFERROR(INDEX(Positions!$D$2:$D$6912,MATCH($A1804&amp;"|22",Positions!$A$2:$A$6912,0)),"-")</f>
        <v>21</v>
      </c>
      <c r="F1804" s="4" t="str">
        <f aca="false">IFERROR(INDEX(Positions!$E$2:$E$6912,MATCH($A1804&amp;"|13",Positions!$A$2:$A$6912,0)),"-")</f>
        <v>C</v>
      </c>
      <c r="G1804" s="4" t="str">
        <f aca="false">IFERROR(INDEX(Positions!$E$2:$E$6912,MATCH($A1804&amp;"|22",Positions!$A$2:$A$6912,0)),"-")</f>
        <v>G</v>
      </c>
      <c r="H1804" s="3" t="str">
        <f aca="false">F1804&amp;"-"&amp;G1804</f>
        <v>C-G</v>
      </c>
      <c r="I1804" s="4" t="n">
        <f aca="false">(F1804="G")+(G1804="G")</f>
        <v>1</v>
      </c>
      <c r="J1804" s="4" t="n">
        <f aca="false">(F1804="C")+(G1804="C")</f>
        <v>1</v>
      </c>
      <c r="K1804" s="3" t="n">
        <f aca="false">I1804+J1804</f>
        <v>2</v>
      </c>
    </row>
    <row r="1805" customFormat="false" ht="15" hidden="false" customHeight="false" outlineLevel="0" collapsed="false">
      <c r="A1805" s="4" t="s">
        <v>101</v>
      </c>
      <c r="B1805" s="4" t="s">
        <v>446</v>
      </c>
      <c r="C1805" s="4" t="s">
        <v>524</v>
      </c>
      <c r="D1805" s="4" t="n">
        <f aca="false">IFERROR(INDEX(Positions!$D$2:$D$6912,MATCH($A1805&amp;"|27",Positions!$A$2:$A$6912,0)),"-")</f>
        <v>26</v>
      </c>
      <c r="E1805" s="4" t="n">
        <f aca="false">IFERROR(INDEX(Positions!$D$2:$D$6912,MATCH($A1805&amp;"|43",Positions!$A$2:$A$6912,0)),"-")</f>
        <v>42</v>
      </c>
      <c r="F1805" s="4" t="str">
        <f aca="false">IFERROR(INDEX(Positions!$E$2:$E$6912,MATCH($A1805&amp;"|27",Positions!$A$2:$A$6912,0)),"-")</f>
        <v>A</v>
      </c>
      <c r="G1805" s="4" t="str">
        <f aca="false">IFERROR(INDEX(Positions!$E$2:$E$6912,MATCH($A1805&amp;"|43",Positions!$A$2:$A$6912,0)),"-")</f>
        <v>U</v>
      </c>
      <c r="H1805" s="3" t="str">
        <f aca="false">F1805&amp;"-"&amp;G1805</f>
        <v>A-U</v>
      </c>
      <c r="I1805" s="4" t="n">
        <f aca="false">(F1805="G")+(G1805="G")</f>
        <v>0</v>
      </c>
      <c r="J1805" s="4" t="n">
        <f aca="false">(F1805="C")+(G1805="C")</f>
        <v>0</v>
      </c>
      <c r="K1805" s="3" t="n">
        <f aca="false">I1805+J1805</f>
        <v>0</v>
      </c>
    </row>
    <row r="1806" customFormat="false" ht="15" hidden="false" customHeight="false" outlineLevel="0" collapsed="false">
      <c r="A1806" s="4" t="s">
        <v>101</v>
      </c>
      <c r="B1806" s="4" t="s">
        <v>446</v>
      </c>
      <c r="C1806" s="4" t="s">
        <v>525</v>
      </c>
      <c r="D1806" s="4" t="n">
        <f aca="false">IFERROR(INDEX(Positions!$D$2:$D$6912,MATCH($A1806&amp;"|28",Positions!$A$2:$A$6912,0)),"-")</f>
        <v>27</v>
      </c>
      <c r="E1806" s="4" t="n">
        <f aca="false">IFERROR(INDEX(Positions!$D$2:$D$6912,MATCH($A1806&amp;"|42",Positions!$A$2:$A$6912,0)),"-")</f>
        <v>41</v>
      </c>
      <c r="F1806" s="4" t="str">
        <f aca="false">IFERROR(INDEX(Positions!$E$2:$E$6912,MATCH($A1806&amp;"|28",Positions!$A$2:$A$6912,0)),"-")</f>
        <v>G</v>
      </c>
      <c r="G1806" s="4" t="str">
        <f aca="false">IFERROR(INDEX(Positions!$E$2:$E$6912,MATCH($A1806&amp;"|42",Positions!$A$2:$A$6912,0)),"-")</f>
        <v>C</v>
      </c>
      <c r="H1806" s="3" t="str">
        <f aca="false">F1806&amp;"-"&amp;G1806</f>
        <v>G-C</v>
      </c>
      <c r="I1806" s="4" t="n">
        <f aca="false">(F1806="G")+(G1806="G")</f>
        <v>1</v>
      </c>
      <c r="J1806" s="4" t="n">
        <f aca="false">(F1806="C")+(G1806="C")</f>
        <v>1</v>
      </c>
      <c r="K1806" s="3" t="n">
        <f aca="false">I1806+J1806</f>
        <v>2</v>
      </c>
    </row>
    <row r="1807" customFormat="false" ht="15" hidden="false" customHeight="false" outlineLevel="0" collapsed="false">
      <c r="A1807" s="4" t="s">
        <v>101</v>
      </c>
      <c r="B1807" s="4" t="s">
        <v>446</v>
      </c>
      <c r="C1807" s="4" t="s">
        <v>256</v>
      </c>
      <c r="D1807" s="4" t="n">
        <f aca="false">IFERROR(INDEX(Positions!$D$2:$D$6912,MATCH($A1807&amp;"|29",Positions!$A$2:$A$6912,0)),"-")</f>
        <v>28</v>
      </c>
      <c r="E1807" s="4" t="n">
        <f aca="false">IFERROR(INDEX(Positions!$D$2:$D$6912,MATCH($A1807&amp;"|41",Positions!$A$2:$A$6912,0)),"-")</f>
        <v>40</v>
      </c>
      <c r="F1807" s="4" t="str">
        <f aca="false">IFERROR(INDEX(Positions!$E$2:$E$6912,MATCH($A1807&amp;"|29",Positions!$A$2:$A$6912,0)),"-")</f>
        <v>A</v>
      </c>
      <c r="G1807" s="4" t="str">
        <f aca="false">IFERROR(INDEX(Positions!$E$2:$E$6912,MATCH($A1807&amp;"|41",Positions!$A$2:$A$6912,0)),"-")</f>
        <v>U</v>
      </c>
      <c r="H1807" s="3" t="str">
        <f aca="false">F1807&amp;"-"&amp;G1807</f>
        <v>A-U</v>
      </c>
      <c r="I1807" s="4" t="n">
        <f aca="false">(F1807="G")+(G1807="G")</f>
        <v>0</v>
      </c>
      <c r="J1807" s="4" t="n">
        <f aca="false">(F1807="C")+(G1807="C")</f>
        <v>0</v>
      </c>
      <c r="K1807" s="3" t="n">
        <f aca="false">I1807+J1807</f>
        <v>0</v>
      </c>
    </row>
    <row r="1808" customFormat="false" ht="15" hidden="false" customHeight="false" outlineLevel="0" collapsed="false">
      <c r="A1808" s="4" t="s">
        <v>101</v>
      </c>
      <c r="B1808" s="4" t="s">
        <v>446</v>
      </c>
      <c r="C1808" s="4" t="s">
        <v>526</v>
      </c>
      <c r="D1808" s="4" t="n">
        <f aca="false">IFERROR(INDEX(Positions!$D$2:$D$6912,MATCH($A1808&amp;"|30",Positions!$A$2:$A$6912,0)),"-")</f>
        <v>29</v>
      </c>
      <c r="E1808" s="4" t="n">
        <f aca="false">IFERROR(INDEX(Positions!$D$2:$D$6912,MATCH($A1808&amp;"|40",Positions!$A$2:$A$6912,0)),"-")</f>
        <v>39</v>
      </c>
      <c r="F1808" s="4" t="str">
        <f aca="false">IFERROR(INDEX(Positions!$E$2:$E$6912,MATCH($A1808&amp;"|30",Positions!$A$2:$A$6912,0)),"-")</f>
        <v>G</v>
      </c>
      <c r="G1808" s="4" t="str">
        <f aca="false">IFERROR(INDEX(Positions!$E$2:$E$6912,MATCH($A1808&amp;"|40",Positions!$A$2:$A$6912,0)),"-")</f>
        <v>C</v>
      </c>
      <c r="H1808" s="3" t="str">
        <f aca="false">F1808&amp;"-"&amp;G1808</f>
        <v>G-C</v>
      </c>
      <c r="I1808" s="4" t="n">
        <f aca="false">(F1808="G")+(G1808="G")</f>
        <v>1</v>
      </c>
      <c r="J1808" s="4" t="n">
        <f aca="false">(F1808="C")+(G1808="C")</f>
        <v>1</v>
      </c>
      <c r="K1808" s="3" t="n">
        <f aca="false">I1808+J1808</f>
        <v>2</v>
      </c>
    </row>
    <row r="1809" customFormat="false" ht="15" hidden="false" customHeight="false" outlineLevel="0" collapsed="false">
      <c r="A1809" s="4" t="s">
        <v>101</v>
      </c>
      <c r="B1809" s="4" t="s">
        <v>446</v>
      </c>
      <c r="C1809" s="4" t="s">
        <v>273</v>
      </c>
      <c r="D1809" s="4" t="n">
        <f aca="false">IFERROR(INDEX(Positions!$D$2:$D$6912,MATCH($A1809&amp;"|31",Positions!$A$2:$A$6912,0)),"-")</f>
        <v>30</v>
      </c>
      <c r="E1809" s="4" t="n">
        <f aca="false">IFERROR(INDEX(Positions!$D$2:$D$6912,MATCH($A1809&amp;"|39",Positions!$A$2:$A$6912,0)),"-")</f>
        <v>38</v>
      </c>
      <c r="F1809" s="4" t="str">
        <f aca="false">IFERROR(INDEX(Positions!$E$2:$E$6912,MATCH($A1809&amp;"|31",Positions!$A$2:$A$6912,0)),"-")</f>
        <v>C</v>
      </c>
      <c r="G1809" s="4" t="str">
        <f aca="false">IFERROR(INDEX(Positions!$E$2:$E$6912,MATCH($A1809&amp;"|39",Positions!$A$2:$A$6912,0)),"-")</f>
        <v>G</v>
      </c>
      <c r="H1809" s="3" t="str">
        <f aca="false">F1809&amp;"-"&amp;G1809</f>
        <v>C-G</v>
      </c>
      <c r="I1809" s="4" t="n">
        <f aca="false">(F1809="G")+(G1809="G")</f>
        <v>1</v>
      </c>
      <c r="J1809" s="4" t="n">
        <f aca="false">(F1809="C")+(G1809="C")</f>
        <v>1</v>
      </c>
      <c r="K1809" s="3" t="n">
        <f aca="false">I1809+J1809</f>
        <v>2</v>
      </c>
    </row>
    <row r="1810" customFormat="false" ht="15" hidden="false" customHeight="false" outlineLevel="0" collapsed="false">
      <c r="A1810" s="4" t="s">
        <v>101</v>
      </c>
      <c r="B1810" s="4" t="s">
        <v>471</v>
      </c>
      <c r="C1810" s="4" t="s">
        <v>367</v>
      </c>
      <c r="D1810" s="4" t="n">
        <f aca="false">IFERROR(INDEX(Positions!$D$2:$D$6912,MATCH($A1810&amp;"|49",Positions!$A$2:$A$6912,0)),"-")</f>
        <v>47</v>
      </c>
      <c r="E1810" s="4" t="n">
        <f aca="false">IFERROR(INDEX(Positions!$D$2:$D$6912,MATCH($A1810&amp;"|65",Positions!$A$2:$A$6912,0)),"-")</f>
        <v>63</v>
      </c>
      <c r="F1810" s="4" t="str">
        <f aca="false">IFERROR(INDEX(Positions!$E$2:$E$6912,MATCH($A1810&amp;"|49",Positions!$A$2:$A$6912,0)),"-")</f>
        <v>G</v>
      </c>
      <c r="G1810" s="4" t="str">
        <f aca="false">IFERROR(INDEX(Positions!$E$2:$E$6912,MATCH($A1810&amp;"|65",Positions!$A$2:$A$6912,0)),"-")</f>
        <v>U</v>
      </c>
      <c r="H1810" s="3" t="str">
        <f aca="false">F1810&amp;"-"&amp;G1810</f>
        <v>G-U</v>
      </c>
      <c r="I1810" s="4" t="n">
        <f aca="false">(F1810="G")+(G1810="G")</f>
        <v>1</v>
      </c>
      <c r="J1810" s="4" t="n">
        <f aca="false">(F1810="C")+(G1810="C")</f>
        <v>0</v>
      </c>
      <c r="K1810" s="3" t="n">
        <f aca="false">I1810+J1810</f>
        <v>1</v>
      </c>
    </row>
    <row r="1811" customFormat="false" ht="15" hidden="false" customHeight="false" outlineLevel="0" collapsed="false">
      <c r="A1811" s="4" t="s">
        <v>101</v>
      </c>
      <c r="B1811" s="4" t="s">
        <v>471</v>
      </c>
      <c r="C1811" s="4" t="s">
        <v>233</v>
      </c>
      <c r="D1811" s="4" t="n">
        <f aca="false">IFERROR(INDEX(Positions!$D$2:$D$6912,MATCH($A1811&amp;"|50",Positions!$A$2:$A$6912,0)),"-")</f>
        <v>48</v>
      </c>
      <c r="E1811" s="4" t="n">
        <f aca="false">IFERROR(INDEX(Positions!$D$2:$D$6912,MATCH($A1811&amp;"|64",Positions!$A$2:$A$6912,0)),"-")</f>
        <v>62</v>
      </c>
      <c r="F1811" s="4" t="str">
        <f aca="false">IFERROR(INDEX(Positions!$E$2:$E$6912,MATCH($A1811&amp;"|50",Positions!$A$2:$A$6912,0)),"-")</f>
        <v>A</v>
      </c>
      <c r="G1811" s="4" t="str">
        <f aca="false">IFERROR(INDEX(Positions!$E$2:$E$6912,MATCH($A1811&amp;"|64",Positions!$A$2:$A$6912,0)),"-")</f>
        <v>U</v>
      </c>
      <c r="H1811" s="3" t="str">
        <f aca="false">F1811&amp;"-"&amp;G1811</f>
        <v>A-U</v>
      </c>
      <c r="I1811" s="4" t="n">
        <f aca="false">(F1811="G")+(G1811="G")</f>
        <v>0</v>
      </c>
      <c r="J1811" s="4" t="n">
        <f aca="false">(F1811="C")+(G1811="C")</f>
        <v>0</v>
      </c>
      <c r="K1811" s="3" t="n">
        <f aca="false">I1811+J1811</f>
        <v>0</v>
      </c>
    </row>
    <row r="1812" customFormat="false" ht="15" hidden="false" customHeight="false" outlineLevel="0" collapsed="false">
      <c r="A1812" s="4" t="s">
        <v>101</v>
      </c>
      <c r="B1812" s="4" t="s">
        <v>471</v>
      </c>
      <c r="C1812" s="4" t="s">
        <v>527</v>
      </c>
      <c r="D1812" s="4" t="n">
        <f aca="false">IFERROR(INDEX(Positions!$D$2:$D$6912,MATCH($A1812&amp;"|51",Positions!$A$2:$A$6912,0)),"-")</f>
        <v>49</v>
      </c>
      <c r="E1812" s="4" t="n">
        <f aca="false">IFERROR(INDEX(Positions!$D$2:$D$6912,MATCH($A1812&amp;"|63",Positions!$A$2:$A$6912,0)),"-")</f>
        <v>61</v>
      </c>
      <c r="F1812" s="4" t="str">
        <f aca="false">IFERROR(INDEX(Positions!$E$2:$E$6912,MATCH($A1812&amp;"|51",Positions!$A$2:$A$6912,0)),"-")</f>
        <v>G</v>
      </c>
      <c r="G1812" s="4" t="str">
        <f aca="false">IFERROR(INDEX(Positions!$E$2:$E$6912,MATCH($A1812&amp;"|63",Positions!$A$2:$A$6912,0)),"-")</f>
        <v>C</v>
      </c>
      <c r="H1812" s="3" t="str">
        <f aca="false">F1812&amp;"-"&amp;G1812</f>
        <v>G-C</v>
      </c>
      <c r="I1812" s="4" t="n">
        <f aca="false">(F1812="G")+(G1812="G")</f>
        <v>1</v>
      </c>
      <c r="J1812" s="4" t="n">
        <f aca="false">(F1812="C")+(G1812="C")</f>
        <v>1</v>
      </c>
      <c r="K1812" s="3" t="n">
        <f aca="false">I1812+J1812</f>
        <v>2</v>
      </c>
    </row>
    <row r="1813" customFormat="false" ht="15" hidden="false" customHeight="false" outlineLevel="0" collapsed="false">
      <c r="A1813" s="4" t="s">
        <v>101</v>
      </c>
      <c r="B1813" s="4" t="s">
        <v>471</v>
      </c>
      <c r="C1813" s="4" t="s">
        <v>528</v>
      </c>
      <c r="D1813" s="4" t="n">
        <f aca="false">IFERROR(INDEX(Positions!$D$2:$D$6912,MATCH($A1813&amp;"|52",Positions!$A$2:$A$6912,0)),"-")</f>
        <v>50</v>
      </c>
      <c r="E1813" s="4" t="n">
        <f aca="false">IFERROR(INDEX(Positions!$D$2:$D$6912,MATCH($A1813&amp;"|62",Positions!$A$2:$A$6912,0)),"-")</f>
        <v>60</v>
      </c>
      <c r="F1813" s="4" t="str">
        <f aca="false">IFERROR(INDEX(Positions!$E$2:$E$6912,MATCH($A1813&amp;"|52",Positions!$A$2:$A$6912,0)),"-")</f>
        <v>G</v>
      </c>
      <c r="G1813" s="4" t="str">
        <f aca="false">IFERROR(INDEX(Positions!$E$2:$E$6912,MATCH($A1813&amp;"|62",Positions!$A$2:$A$6912,0)),"-")</f>
        <v>C</v>
      </c>
      <c r="H1813" s="3" t="str">
        <f aca="false">F1813&amp;"-"&amp;G1813</f>
        <v>G-C</v>
      </c>
      <c r="I1813" s="4" t="n">
        <f aca="false">(F1813="G")+(G1813="G")</f>
        <v>1</v>
      </c>
      <c r="J1813" s="4" t="n">
        <f aca="false">(F1813="C")+(G1813="C")</f>
        <v>1</v>
      </c>
      <c r="K1813" s="3" t="n">
        <f aca="false">I1813+J1813</f>
        <v>2</v>
      </c>
    </row>
    <row r="1814" customFormat="false" ht="15" hidden="false" customHeight="false" outlineLevel="0" collapsed="false">
      <c r="A1814" s="4" t="s">
        <v>101</v>
      </c>
      <c r="B1814" s="4" t="s">
        <v>471</v>
      </c>
      <c r="C1814" s="4" t="s">
        <v>529</v>
      </c>
      <c r="D1814" s="4" t="n">
        <f aca="false">IFERROR(INDEX(Positions!$D$2:$D$6912,MATCH($A1814&amp;"|53",Positions!$A$2:$A$6912,0)),"-")</f>
        <v>51</v>
      </c>
      <c r="E1814" s="4" t="n">
        <f aca="false">IFERROR(INDEX(Positions!$D$2:$D$6912,MATCH($A1814&amp;"|61",Positions!$A$2:$A$6912,0)),"-")</f>
        <v>59</v>
      </c>
      <c r="F1814" s="4" t="str">
        <f aca="false">IFERROR(INDEX(Positions!$E$2:$E$6912,MATCH($A1814&amp;"|53",Positions!$A$2:$A$6912,0)),"-")</f>
        <v>G</v>
      </c>
      <c r="G1814" s="4" t="str">
        <f aca="false">IFERROR(INDEX(Positions!$E$2:$E$6912,MATCH($A1814&amp;"|61",Positions!$A$2:$A$6912,0)),"-")</f>
        <v>C</v>
      </c>
      <c r="H1814" s="3" t="str">
        <f aca="false">F1814&amp;"-"&amp;G1814</f>
        <v>G-C</v>
      </c>
      <c r="I1814" s="4" t="n">
        <f aca="false">(F1814="G")+(G1814="G")</f>
        <v>1</v>
      </c>
      <c r="J1814" s="4" t="n">
        <f aca="false">(F1814="C")+(G1814="C")</f>
        <v>1</v>
      </c>
      <c r="K1814" s="3" t="n">
        <f aca="false">I1814+J1814</f>
        <v>2</v>
      </c>
    </row>
    <row r="1815" customFormat="false" ht="15" hidden="false" customHeight="false" outlineLevel="0" collapsed="false">
      <c r="A1815" s="24" t="s">
        <v>101</v>
      </c>
      <c r="B1815" s="24" t="s">
        <v>530</v>
      </c>
      <c r="C1815" s="24" t="s">
        <v>531</v>
      </c>
      <c r="D1815" s="24" t="n">
        <f aca="false">IFERROR(INDEX(Positions!$D$2:$D$6912,MATCH($A1815&amp;"|8",Positions!$A$2:$A$6912,0)),"-")</f>
        <v>8</v>
      </c>
      <c r="E1815" s="24" t="n">
        <f aca="false">IFERROR(INDEX(Positions!$D$2:$D$6912,MATCH($A1815&amp;"|14",Positions!$A$2:$A$6912,0)),"-")</f>
        <v>14</v>
      </c>
      <c r="F1815" s="24" t="str">
        <f aca="false">IFERROR(INDEX(Positions!$E$2:$E$6912,MATCH($A1815&amp;"|8",Positions!$A$2:$A$6912,0)),"-")</f>
        <v>U</v>
      </c>
      <c r="G1815" s="24" t="str">
        <f aca="false">IFERROR(INDEX(Positions!$E$2:$E$6912,MATCH($A1815&amp;"|14",Positions!$A$2:$A$6912,0)),"-")</f>
        <v>A</v>
      </c>
      <c r="H1815" s="25" t="str">
        <f aca="false">F1815&amp;"-"&amp;G1815</f>
        <v>U-A</v>
      </c>
      <c r="I1815" s="24" t="n">
        <f aca="false">(F1815="G")+(G1815="G")</f>
        <v>0</v>
      </c>
      <c r="J1815" s="24" t="n">
        <f aca="false">(F1815="C")+(G1815="C")</f>
        <v>0</v>
      </c>
      <c r="K1815" s="25" t="n">
        <f aca="false">I1815+J1815</f>
        <v>0</v>
      </c>
    </row>
    <row r="1816" customFormat="false" ht="15" hidden="false" customHeight="false" outlineLevel="0" collapsed="false">
      <c r="A1816" s="24" t="s">
        <v>101</v>
      </c>
      <c r="B1816" s="24" t="s">
        <v>530</v>
      </c>
      <c r="C1816" s="24" t="s">
        <v>532</v>
      </c>
      <c r="D1816" s="24" t="n">
        <f aca="false">IFERROR(INDEX(Positions!$D$2:$D$6912,MATCH($A1816&amp;"|15",Positions!$A$2:$A$6912,0)),"-")</f>
        <v>15</v>
      </c>
      <c r="E1816" s="24" t="n">
        <f aca="false">IFERROR(INDEX(Positions!$D$2:$D$6912,MATCH($A1816&amp;"|48",Positions!$A$2:$A$6912,0)),"-")</f>
        <v>46</v>
      </c>
      <c r="F1816" s="24" t="str">
        <f aca="false">IFERROR(INDEX(Positions!$E$2:$E$6912,MATCH($A1816&amp;"|15",Positions!$A$2:$A$6912,0)),"-")</f>
        <v>A</v>
      </c>
      <c r="G1816" s="24" t="str">
        <f aca="false">IFERROR(INDEX(Positions!$E$2:$E$6912,MATCH($A1816&amp;"|48",Positions!$A$2:$A$6912,0)),"-")</f>
        <v>C</v>
      </c>
      <c r="H1816" s="25" t="str">
        <f aca="false">F1816&amp;"-"&amp;G1816</f>
        <v>A-C</v>
      </c>
      <c r="I1816" s="24" t="n">
        <f aca="false">(F1816="G")+(G1816="G")</f>
        <v>0</v>
      </c>
      <c r="J1816" s="24" t="n">
        <f aca="false">(F1816="C")+(G1816="C")</f>
        <v>1</v>
      </c>
      <c r="K1816" s="25" t="n">
        <f aca="false">I1816+J1816</f>
        <v>1</v>
      </c>
    </row>
    <row r="1817" customFormat="false" ht="15" hidden="false" customHeight="false" outlineLevel="0" collapsed="false">
      <c r="A1817" s="24" t="s">
        <v>101</v>
      </c>
      <c r="B1817" s="24" t="s">
        <v>530</v>
      </c>
      <c r="C1817" s="24" t="s">
        <v>533</v>
      </c>
      <c r="D1817" s="24" t="n">
        <f aca="false">IFERROR(INDEX(Positions!$D$2:$D$6912,MATCH($A1817&amp;"|18",Positions!$A$2:$A$6912,0)),"-")</f>
        <v>17</v>
      </c>
      <c r="E1817" s="24" t="n">
        <f aca="false">IFERROR(INDEX(Positions!$D$2:$D$6912,MATCH($A1817&amp;"|55",Positions!$A$2:$A$6912,0)),"-")</f>
        <v>53</v>
      </c>
      <c r="F1817" s="24" t="str">
        <f aca="false">IFERROR(INDEX(Positions!$E$2:$E$6912,MATCH($A1817&amp;"|18",Positions!$A$2:$A$6912,0)),"-")</f>
        <v>G</v>
      </c>
      <c r="G1817" s="24" t="str">
        <f aca="false">IFERROR(INDEX(Positions!$E$2:$E$6912,MATCH($A1817&amp;"|55",Positions!$A$2:$A$6912,0)),"-")</f>
        <v>U</v>
      </c>
      <c r="H1817" s="25" t="str">
        <f aca="false">F1817&amp;"-"&amp;G1817</f>
        <v>G-U</v>
      </c>
      <c r="I1817" s="24" t="n">
        <f aca="false">(F1817="G")+(G1817="G")</f>
        <v>1</v>
      </c>
      <c r="J1817" s="24" t="n">
        <f aca="false">(F1817="C")+(G1817="C")</f>
        <v>0</v>
      </c>
      <c r="K1817" s="25" t="n">
        <f aca="false">I1817+J1817</f>
        <v>1</v>
      </c>
    </row>
    <row r="1818" customFormat="false" ht="15" hidden="false" customHeight="false" outlineLevel="0" collapsed="false">
      <c r="A1818" s="24" t="s">
        <v>101</v>
      </c>
      <c r="B1818" s="24" t="s">
        <v>530</v>
      </c>
      <c r="C1818" s="24" t="s">
        <v>534</v>
      </c>
      <c r="D1818" s="24" t="n">
        <f aca="false">IFERROR(INDEX(Positions!$D$2:$D$6912,MATCH($A1818&amp;"|19",Positions!$A$2:$A$6912,0)),"-")</f>
        <v>18</v>
      </c>
      <c r="E1818" s="24" t="n">
        <f aca="false">IFERROR(INDEX(Positions!$D$2:$D$6912,MATCH($A1818&amp;"|56",Positions!$A$2:$A$6912,0)),"-")</f>
        <v>54</v>
      </c>
      <c r="F1818" s="24" t="str">
        <f aca="false">IFERROR(INDEX(Positions!$E$2:$E$6912,MATCH($A1818&amp;"|19",Positions!$A$2:$A$6912,0)),"-")</f>
        <v>G</v>
      </c>
      <c r="G1818" s="24" t="str">
        <f aca="false">IFERROR(INDEX(Positions!$E$2:$E$6912,MATCH($A1818&amp;"|56",Positions!$A$2:$A$6912,0)),"-")</f>
        <v>C</v>
      </c>
      <c r="H1818" s="25" t="str">
        <f aca="false">F1818&amp;"-"&amp;G1818</f>
        <v>G-C</v>
      </c>
      <c r="I1818" s="24" t="n">
        <f aca="false">(F1818="G")+(G1818="G")</f>
        <v>1</v>
      </c>
      <c r="J1818" s="24" t="n">
        <f aca="false">(F1818="C")+(G1818="C")</f>
        <v>1</v>
      </c>
      <c r="K1818" s="25" t="n">
        <f aca="false">I1818+J1818</f>
        <v>2</v>
      </c>
    </row>
    <row r="1819" customFormat="false" ht="15" hidden="false" customHeight="false" outlineLevel="0" collapsed="false">
      <c r="A1819" s="24" t="s">
        <v>101</v>
      </c>
      <c r="B1819" s="24" t="s">
        <v>530</v>
      </c>
      <c r="C1819" s="24" t="s">
        <v>535</v>
      </c>
      <c r="D1819" s="24" t="n">
        <f aca="false">IFERROR(INDEX(Positions!$D$2:$D$6912,MATCH($A1819&amp;"|26",Positions!$A$2:$A$6912,0)),"-")</f>
        <v>25</v>
      </c>
      <c r="E1819" s="24" t="n">
        <f aca="false">IFERROR(INDEX(Positions!$D$2:$D$6912,MATCH($A1819&amp;"|44",Positions!$A$2:$A$6912,0)),"-")</f>
        <v>43</v>
      </c>
      <c r="F1819" s="24" t="str">
        <f aca="false">IFERROR(INDEX(Positions!$E$2:$E$6912,MATCH($A1819&amp;"|26",Positions!$A$2:$A$6912,0)),"-")</f>
        <v>G</v>
      </c>
      <c r="G1819" s="24" t="str">
        <f aca="false">IFERROR(INDEX(Positions!$E$2:$E$6912,MATCH($A1819&amp;"|44",Positions!$A$2:$A$6912,0)),"-")</f>
        <v>A</v>
      </c>
      <c r="H1819" s="25" t="str">
        <f aca="false">F1819&amp;"-"&amp;G1819</f>
        <v>G-A</v>
      </c>
      <c r="I1819" s="24" t="n">
        <f aca="false">(F1819="G")+(G1819="G")</f>
        <v>1</v>
      </c>
      <c r="J1819" s="24" t="n">
        <f aca="false">(F1819="C")+(G1819="C")</f>
        <v>0</v>
      </c>
      <c r="K1819" s="25" t="n">
        <f aca="false">I1819+J1819</f>
        <v>1</v>
      </c>
    </row>
    <row r="1820" customFormat="false" ht="15" hidden="false" customHeight="false" outlineLevel="0" collapsed="false">
      <c r="A1820" s="24" t="s">
        <v>101</v>
      </c>
      <c r="B1820" s="24" t="s">
        <v>530</v>
      </c>
      <c r="C1820" s="24" t="s">
        <v>536</v>
      </c>
      <c r="D1820" s="24" t="n">
        <f aca="false">IFERROR(INDEX(Positions!$D$2:$D$6912,MATCH($A1820&amp;"|32",Positions!$A$2:$A$6912,0)),"-")</f>
        <v>31</v>
      </c>
      <c r="E1820" s="24" t="n">
        <f aca="false">IFERROR(INDEX(Positions!$D$2:$D$6912,MATCH($A1820&amp;"|38",Positions!$A$2:$A$6912,0)),"-")</f>
        <v>37</v>
      </c>
      <c r="F1820" s="24" t="str">
        <f aca="false">IFERROR(INDEX(Positions!$E$2:$E$6912,MATCH($A1820&amp;"|32",Positions!$A$2:$A$6912,0)),"-")</f>
        <v>U</v>
      </c>
      <c r="G1820" s="24" t="str">
        <f aca="false">IFERROR(INDEX(Positions!$E$2:$E$6912,MATCH($A1820&amp;"|38",Positions!$A$2:$A$6912,0)),"-")</f>
        <v>A</v>
      </c>
      <c r="H1820" s="25" t="str">
        <f aca="false">F1820&amp;"-"&amp;G1820</f>
        <v>U-A</v>
      </c>
      <c r="I1820" s="24" t="n">
        <f aca="false">(F1820="G")+(G1820="G")</f>
        <v>0</v>
      </c>
      <c r="J1820" s="24" t="n">
        <f aca="false">(F1820="C")+(G1820="C")</f>
        <v>0</v>
      </c>
      <c r="K1820" s="25" t="n">
        <f aca="false">I1820+J1820</f>
        <v>0</v>
      </c>
    </row>
    <row r="1821" customFormat="false" ht="15" hidden="false" customHeight="false" outlineLevel="0" collapsed="false">
      <c r="A1821" s="24" t="s">
        <v>101</v>
      </c>
      <c r="B1821" s="24" t="s">
        <v>530</v>
      </c>
      <c r="C1821" s="24" t="s">
        <v>537</v>
      </c>
      <c r="D1821" s="24" t="n">
        <f aca="false">IFERROR(INDEX(Positions!$D$2:$D$6912,MATCH($A1821&amp;"|54",Positions!$A$2:$A$6912,0)),"-")</f>
        <v>52</v>
      </c>
      <c r="E1821" s="24" t="n">
        <f aca="false">IFERROR(INDEX(Positions!$D$2:$D$6912,MATCH($A1821&amp;"|58",Positions!$A$2:$A$6912,0)),"-")</f>
        <v>56</v>
      </c>
      <c r="F1821" s="24" t="str">
        <f aca="false">IFERROR(INDEX(Positions!$E$2:$E$6912,MATCH($A1821&amp;"|54",Positions!$A$2:$A$6912,0)),"-")</f>
        <v>U</v>
      </c>
      <c r="G1821" s="24" t="str">
        <f aca="false">IFERROR(INDEX(Positions!$E$2:$E$6912,MATCH($A1821&amp;"|58",Positions!$A$2:$A$6912,0)),"-")</f>
        <v>A</v>
      </c>
      <c r="H1821" s="25" t="str">
        <f aca="false">F1821&amp;"-"&amp;G1821</f>
        <v>U-A</v>
      </c>
      <c r="I1821" s="24" t="n">
        <f aca="false">(F1821="G")+(G1821="G")</f>
        <v>0</v>
      </c>
      <c r="J1821" s="24" t="n">
        <f aca="false">(F1821="C")+(G1821="C")</f>
        <v>0</v>
      </c>
      <c r="K1821" s="25" t="n">
        <f aca="false">I1821+J1821</f>
        <v>0</v>
      </c>
    </row>
    <row r="1822" customFormat="false" ht="15" hidden="false" customHeight="false" outlineLevel="0" collapsed="false">
      <c r="A1822" s="4" t="s">
        <v>102</v>
      </c>
      <c r="B1822" s="4" t="s">
        <v>412</v>
      </c>
      <c r="C1822" s="4" t="s">
        <v>517</v>
      </c>
      <c r="D1822" s="4" t="n">
        <f aca="false">IFERROR(INDEX(Positions!$D$2:$D$6912,MATCH($A1822&amp;"|1",Positions!$A$2:$A$6912,0)),"-")</f>
        <v>1</v>
      </c>
      <c r="E1822" s="4" t="n">
        <f aca="false">IFERROR(INDEX(Positions!$D$2:$D$6912,MATCH($A1822&amp;"|72",Positions!$A$2:$A$6912,0)),"-")</f>
        <v>71</v>
      </c>
      <c r="F1822" s="4" t="str">
        <f aca="false">IFERROR(INDEX(Positions!$E$2:$E$6912,MATCH($A1822&amp;"|1",Positions!$A$2:$A$6912,0)),"-")</f>
        <v>G</v>
      </c>
      <c r="G1822" s="4" t="str">
        <f aca="false">IFERROR(INDEX(Positions!$E$2:$E$6912,MATCH($A1822&amp;"|72",Positions!$A$2:$A$6912,0)),"-")</f>
        <v>C</v>
      </c>
      <c r="H1822" s="3" t="str">
        <f aca="false">F1822&amp;"-"&amp;G1822</f>
        <v>G-C</v>
      </c>
      <c r="I1822" s="4" t="n">
        <f aca="false">(F1822="G")+(G1822="G")</f>
        <v>1</v>
      </c>
      <c r="J1822" s="4" t="n">
        <f aca="false">(F1822="C")+(G1822="C")</f>
        <v>1</v>
      </c>
      <c r="K1822" s="3" t="n">
        <f aca="false">I1822+J1822</f>
        <v>2</v>
      </c>
    </row>
    <row r="1823" customFormat="false" ht="15" hidden="false" customHeight="false" outlineLevel="0" collapsed="false">
      <c r="A1823" s="4" t="s">
        <v>102</v>
      </c>
      <c r="B1823" s="4" t="s">
        <v>412</v>
      </c>
      <c r="C1823" s="4" t="s">
        <v>518</v>
      </c>
      <c r="D1823" s="4" t="n">
        <f aca="false">IFERROR(INDEX(Positions!$D$2:$D$6912,MATCH($A1823&amp;"|2",Positions!$A$2:$A$6912,0)),"-")</f>
        <v>2</v>
      </c>
      <c r="E1823" s="4" t="n">
        <f aca="false">IFERROR(INDEX(Positions!$D$2:$D$6912,MATCH($A1823&amp;"|71",Positions!$A$2:$A$6912,0)),"-")</f>
        <v>70</v>
      </c>
      <c r="F1823" s="4" t="str">
        <f aca="false">IFERROR(INDEX(Positions!$E$2:$E$6912,MATCH($A1823&amp;"|2",Positions!$A$2:$A$6912,0)),"-")</f>
        <v>C</v>
      </c>
      <c r="G1823" s="4" t="str">
        <f aca="false">IFERROR(INDEX(Positions!$E$2:$E$6912,MATCH($A1823&amp;"|71",Positions!$A$2:$A$6912,0)),"-")</f>
        <v>G</v>
      </c>
      <c r="H1823" s="3" t="str">
        <f aca="false">F1823&amp;"-"&amp;G1823</f>
        <v>C-G</v>
      </c>
      <c r="I1823" s="4" t="n">
        <f aca="false">(F1823="G")+(G1823="G")</f>
        <v>1</v>
      </c>
      <c r="J1823" s="4" t="n">
        <f aca="false">(F1823="C")+(G1823="C")</f>
        <v>1</v>
      </c>
      <c r="K1823" s="3" t="n">
        <f aca="false">I1823+J1823</f>
        <v>2</v>
      </c>
    </row>
    <row r="1824" customFormat="false" ht="15" hidden="false" customHeight="false" outlineLevel="0" collapsed="false">
      <c r="A1824" s="4" t="s">
        <v>102</v>
      </c>
      <c r="B1824" s="4" t="s">
        <v>412</v>
      </c>
      <c r="C1824" s="4" t="s">
        <v>386</v>
      </c>
      <c r="D1824" s="4" t="n">
        <f aca="false">IFERROR(INDEX(Positions!$D$2:$D$6912,MATCH($A1824&amp;"|3",Positions!$A$2:$A$6912,0)),"-")</f>
        <v>3</v>
      </c>
      <c r="E1824" s="4" t="n">
        <f aca="false">IFERROR(INDEX(Positions!$D$2:$D$6912,MATCH($A1824&amp;"|70",Positions!$A$2:$A$6912,0)),"-")</f>
        <v>69</v>
      </c>
      <c r="F1824" s="4" t="str">
        <f aca="false">IFERROR(INDEX(Positions!$E$2:$E$6912,MATCH($A1824&amp;"|3",Positions!$A$2:$A$6912,0)),"-")</f>
        <v>G</v>
      </c>
      <c r="G1824" s="4" t="str">
        <f aca="false">IFERROR(INDEX(Positions!$E$2:$E$6912,MATCH($A1824&amp;"|70",Positions!$A$2:$A$6912,0)),"-")</f>
        <v>C</v>
      </c>
      <c r="H1824" s="3" t="str">
        <f aca="false">F1824&amp;"-"&amp;G1824</f>
        <v>G-C</v>
      </c>
      <c r="I1824" s="4" t="n">
        <f aca="false">(F1824="G")+(G1824="G")</f>
        <v>1</v>
      </c>
      <c r="J1824" s="4" t="n">
        <f aca="false">(F1824="C")+(G1824="C")</f>
        <v>1</v>
      </c>
      <c r="K1824" s="3" t="n">
        <f aca="false">I1824+J1824</f>
        <v>2</v>
      </c>
    </row>
    <row r="1825" customFormat="false" ht="15" hidden="false" customHeight="false" outlineLevel="0" collapsed="false">
      <c r="A1825" s="4" t="s">
        <v>102</v>
      </c>
      <c r="B1825" s="4" t="s">
        <v>412</v>
      </c>
      <c r="C1825" s="4" t="s">
        <v>519</v>
      </c>
      <c r="D1825" s="4" t="n">
        <f aca="false">IFERROR(INDEX(Positions!$D$2:$D$6912,MATCH($A1825&amp;"|4",Positions!$A$2:$A$6912,0)),"-")</f>
        <v>4</v>
      </c>
      <c r="E1825" s="4" t="n">
        <f aca="false">IFERROR(INDEX(Positions!$D$2:$D$6912,MATCH($A1825&amp;"|69",Positions!$A$2:$A$6912,0)),"-")</f>
        <v>68</v>
      </c>
      <c r="F1825" s="4" t="str">
        <f aca="false">IFERROR(INDEX(Positions!$E$2:$E$6912,MATCH($A1825&amp;"|4",Positions!$A$2:$A$6912,0)),"-")</f>
        <v>G</v>
      </c>
      <c r="G1825" s="4" t="str">
        <f aca="false">IFERROR(INDEX(Positions!$E$2:$E$6912,MATCH($A1825&amp;"|69",Positions!$A$2:$A$6912,0)),"-")</f>
        <v>C</v>
      </c>
      <c r="H1825" s="3" t="str">
        <f aca="false">F1825&amp;"-"&amp;G1825</f>
        <v>G-C</v>
      </c>
      <c r="I1825" s="4" t="n">
        <f aca="false">(F1825="G")+(G1825="G")</f>
        <v>1</v>
      </c>
      <c r="J1825" s="4" t="n">
        <f aca="false">(F1825="C")+(G1825="C")</f>
        <v>1</v>
      </c>
      <c r="K1825" s="3" t="n">
        <f aca="false">I1825+J1825</f>
        <v>2</v>
      </c>
    </row>
    <row r="1826" customFormat="false" ht="15" hidden="false" customHeight="false" outlineLevel="0" collapsed="false">
      <c r="A1826" s="4" t="s">
        <v>102</v>
      </c>
      <c r="B1826" s="4" t="s">
        <v>412</v>
      </c>
      <c r="C1826" s="4" t="s">
        <v>283</v>
      </c>
      <c r="D1826" s="4" t="n">
        <f aca="false">IFERROR(INDEX(Positions!$D$2:$D$6912,MATCH($A1826&amp;"|5",Positions!$A$2:$A$6912,0)),"-")</f>
        <v>5</v>
      </c>
      <c r="E1826" s="4" t="n">
        <f aca="false">IFERROR(INDEX(Positions!$D$2:$D$6912,MATCH($A1826&amp;"|68",Positions!$A$2:$A$6912,0)),"-")</f>
        <v>67</v>
      </c>
      <c r="F1826" s="4" t="str">
        <f aca="false">IFERROR(INDEX(Positions!$E$2:$E$6912,MATCH($A1826&amp;"|5",Positions!$A$2:$A$6912,0)),"-")</f>
        <v>G</v>
      </c>
      <c r="G1826" s="4" t="str">
        <f aca="false">IFERROR(INDEX(Positions!$E$2:$E$6912,MATCH($A1826&amp;"|68",Positions!$A$2:$A$6912,0)),"-")</f>
        <v>C</v>
      </c>
      <c r="H1826" s="3" t="str">
        <f aca="false">F1826&amp;"-"&amp;G1826</f>
        <v>G-C</v>
      </c>
      <c r="I1826" s="4" t="n">
        <f aca="false">(F1826="G")+(G1826="G")</f>
        <v>1</v>
      </c>
      <c r="J1826" s="4" t="n">
        <f aca="false">(F1826="C")+(G1826="C")</f>
        <v>1</v>
      </c>
      <c r="K1826" s="3" t="n">
        <f aca="false">I1826+J1826</f>
        <v>2</v>
      </c>
    </row>
    <row r="1827" customFormat="false" ht="15" hidden="false" customHeight="false" outlineLevel="0" collapsed="false">
      <c r="A1827" s="4" t="s">
        <v>102</v>
      </c>
      <c r="B1827" s="4" t="s">
        <v>412</v>
      </c>
      <c r="C1827" s="4" t="s">
        <v>520</v>
      </c>
      <c r="D1827" s="4" t="n">
        <f aca="false">IFERROR(INDEX(Positions!$D$2:$D$6912,MATCH($A1827&amp;"|6",Positions!$A$2:$A$6912,0)),"-")</f>
        <v>6</v>
      </c>
      <c r="E1827" s="4" t="n">
        <f aca="false">IFERROR(INDEX(Positions!$D$2:$D$6912,MATCH($A1827&amp;"|67",Positions!$A$2:$A$6912,0)),"-")</f>
        <v>66</v>
      </c>
      <c r="F1827" s="4" t="str">
        <f aca="false">IFERROR(INDEX(Positions!$E$2:$E$6912,MATCH($A1827&amp;"|6",Positions!$A$2:$A$6912,0)),"-")</f>
        <v>C</v>
      </c>
      <c r="G1827" s="4" t="str">
        <f aca="false">IFERROR(INDEX(Positions!$E$2:$E$6912,MATCH($A1827&amp;"|67",Positions!$A$2:$A$6912,0)),"-")</f>
        <v>G</v>
      </c>
      <c r="H1827" s="3" t="str">
        <f aca="false">F1827&amp;"-"&amp;G1827</f>
        <v>C-G</v>
      </c>
      <c r="I1827" s="4" t="n">
        <f aca="false">(F1827="G")+(G1827="G")</f>
        <v>1</v>
      </c>
      <c r="J1827" s="4" t="n">
        <f aca="false">(F1827="C")+(G1827="C")</f>
        <v>1</v>
      </c>
      <c r="K1827" s="3" t="n">
        <f aca="false">I1827+J1827</f>
        <v>2</v>
      </c>
    </row>
    <row r="1828" customFormat="false" ht="15" hidden="false" customHeight="false" outlineLevel="0" collapsed="false">
      <c r="A1828" s="4" t="s">
        <v>102</v>
      </c>
      <c r="B1828" s="4" t="s">
        <v>412</v>
      </c>
      <c r="C1828" s="4" t="s">
        <v>521</v>
      </c>
      <c r="D1828" s="4" t="n">
        <f aca="false">IFERROR(INDEX(Positions!$D$2:$D$6912,MATCH($A1828&amp;"|7",Positions!$A$2:$A$6912,0)),"-")</f>
        <v>7</v>
      </c>
      <c r="E1828" s="4" t="n">
        <f aca="false">IFERROR(INDEX(Positions!$D$2:$D$6912,MATCH($A1828&amp;"|66",Positions!$A$2:$A$6912,0)),"-")</f>
        <v>65</v>
      </c>
      <c r="F1828" s="4" t="str">
        <f aca="false">IFERROR(INDEX(Positions!$E$2:$E$6912,MATCH($A1828&amp;"|7",Positions!$A$2:$A$6912,0)),"-")</f>
        <v>A</v>
      </c>
      <c r="G1828" s="4" t="str">
        <f aca="false">IFERROR(INDEX(Positions!$E$2:$E$6912,MATCH($A1828&amp;"|66",Positions!$A$2:$A$6912,0)),"-")</f>
        <v>U</v>
      </c>
      <c r="H1828" s="3" t="str">
        <f aca="false">F1828&amp;"-"&amp;G1828</f>
        <v>A-U</v>
      </c>
      <c r="I1828" s="4" t="n">
        <f aca="false">(F1828="G")+(G1828="G")</f>
        <v>0</v>
      </c>
      <c r="J1828" s="4" t="n">
        <f aca="false">(F1828="C")+(G1828="C")</f>
        <v>0</v>
      </c>
      <c r="K1828" s="3" t="n">
        <f aca="false">I1828+J1828</f>
        <v>0</v>
      </c>
    </row>
    <row r="1829" customFormat="false" ht="15" hidden="false" customHeight="false" outlineLevel="0" collapsed="false">
      <c r="A1829" s="4" t="s">
        <v>102</v>
      </c>
      <c r="B1829" s="4" t="s">
        <v>425</v>
      </c>
      <c r="C1829" s="4" t="s">
        <v>522</v>
      </c>
      <c r="D1829" s="4" t="n">
        <f aca="false">IFERROR(INDEX(Positions!$D$2:$D$6912,MATCH($A1829&amp;"|10",Positions!$A$2:$A$6912,0)),"-")</f>
        <v>10</v>
      </c>
      <c r="E1829" s="4" t="n">
        <f aca="false">IFERROR(INDEX(Positions!$D$2:$D$6912,MATCH($A1829&amp;"|25",Positions!$A$2:$A$6912,0)),"-")</f>
        <v>25</v>
      </c>
      <c r="F1829" s="4" t="str">
        <f aca="false">IFERROR(INDEX(Positions!$E$2:$E$6912,MATCH($A1829&amp;"|10",Positions!$A$2:$A$6912,0)),"-")</f>
        <v>G</v>
      </c>
      <c r="G1829" s="4" t="str">
        <f aca="false">IFERROR(INDEX(Positions!$E$2:$E$6912,MATCH($A1829&amp;"|25",Positions!$A$2:$A$6912,0)),"-")</f>
        <v>C</v>
      </c>
      <c r="H1829" s="3" t="str">
        <f aca="false">F1829&amp;"-"&amp;G1829</f>
        <v>G-C</v>
      </c>
      <c r="I1829" s="4" t="n">
        <f aca="false">(F1829="G")+(G1829="G")</f>
        <v>1</v>
      </c>
      <c r="J1829" s="4" t="n">
        <f aca="false">(F1829="C")+(G1829="C")</f>
        <v>1</v>
      </c>
      <c r="K1829" s="3" t="n">
        <f aca="false">I1829+J1829</f>
        <v>2</v>
      </c>
    </row>
    <row r="1830" customFormat="false" ht="15" hidden="false" customHeight="false" outlineLevel="0" collapsed="false">
      <c r="A1830" s="4" t="s">
        <v>102</v>
      </c>
      <c r="B1830" s="4" t="s">
        <v>425</v>
      </c>
      <c r="C1830" s="4" t="s">
        <v>523</v>
      </c>
      <c r="D1830" s="4" t="n">
        <f aca="false">IFERROR(INDEX(Positions!$D$2:$D$6912,MATCH($A1830&amp;"|11",Positions!$A$2:$A$6912,0)),"-")</f>
        <v>11</v>
      </c>
      <c r="E1830" s="4" t="n">
        <f aca="false">IFERROR(INDEX(Positions!$D$2:$D$6912,MATCH($A1830&amp;"|24",Positions!$A$2:$A$6912,0)),"-")</f>
        <v>24</v>
      </c>
      <c r="F1830" s="4" t="str">
        <f aca="false">IFERROR(INDEX(Positions!$E$2:$E$6912,MATCH($A1830&amp;"|11",Positions!$A$2:$A$6912,0)),"-")</f>
        <v>U</v>
      </c>
      <c r="G1830" s="4" t="str">
        <f aca="false">IFERROR(INDEX(Positions!$E$2:$E$6912,MATCH($A1830&amp;"|24",Positions!$A$2:$A$6912,0)),"-")</f>
        <v>A</v>
      </c>
      <c r="H1830" s="3" t="str">
        <f aca="false">F1830&amp;"-"&amp;G1830</f>
        <v>U-A</v>
      </c>
      <c r="I1830" s="4" t="n">
        <f aca="false">(F1830="G")+(G1830="G")</f>
        <v>0</v>
      </c>
      <c r="J1830" s="4" t="n">
        <f aca="false">(F1830="C")+(G1830="C")</f>
        <v>0</v>
      </c>
      <c r="K1830" s="3" t="n">
        <f aca="false">I1830+J1830</f>
        <v>0</v>
      </c>
    </row>
    <row r="1831" customFormat="false" ht="15" hidden="false" customHeight="false" outlineLevel="0" collapsed="false">
      <c r="A1831" s="4" t="s">
        <v>102</v>
      </c>
      <c r="B1831" s="4" t="s">
        <v>425</v>
      </c>
      <c r="C1831" s="4" t="s">
        <v>250</v>
      </c>
      <c r="D1831" s="4" t="n">
        <f aca="false">IFERROR(INDEX(Positions!$D$2:$D$6912,MATCH($A1831&amp;"|12",Positions!$A$2:$A$6912,0)),"-")</f>
        <v>12</v>
      </c>
      <c r="E1831" s="4" t="n">
        <f aca="false">IFERROR(INDEX(Positions!$D$2:$D$6912,MATCH($A1831&amp;"|23",Positions!$A$2:$A$6912,0)),"-")</f>
        <v>23</v>
      </c>
      <c r="F1831" s="4" t="str">
        <f aca="false">IFERROR(INDEX(Positions!$E$2:$E$6912,MATCH($A1831&amp;"|12",Positions!$A$2:$A$6912,0)),"-")</f>
        <v>A</v>
      </c>
      <c r="G1831" s="4" t="str">
        <f aca="false">IFERROR(INDEX(Positions!$E$2:$E$6912,MATCH($A1831&amp;"|23",Positions!$A$2:$A$6912,0)),"-")</f>
        <v>U</v>
      </c>
      <c r="H1831" s="3" t="str">
        <f aca="false">F1831&amp;"-"&amp;G1831</f>
        <v>A-U</v>
      </c>
      <c r="I1831" s="4" t="n">
        <f aca="false">(F1831="G")+(G1831="G")</f>
        <v>0</v>
      </c>
      <c r="J1831" s="4" t="n">
        <f aca="false">(F1831="C")+(G1831="C")</f>
        <v>0</v>
      </c>
      <c r="K1831" s="3" t="n">
        <f aca="false">I1831+J1831</f>
        <v>0</v>
      </c>
    </row>
    <row r="1832" customFormat="false" ht="15" hidden="false" customHeight="false" outlineLevel="0" collapsed="false">
      <c r="A1832" s="4" t="s">
        <v>102</v>
      </c>
      <c r="B1832" s="4" t="s">
        <v>425</v>
      </c>
      <c r="C1832" s="4" t="s">
        <v>154</v>
      </c>
      <c r="D1832" s="4" t="n">
        <f aca="false">IFERROR(INDEX(Positions!$D$2:$D$6912,MATCH($A1832&amp;"|13",Positions!$A$2:$A$6912,0)),"-")</f>
        <v>13</v>
      </c>
      <c r="E1832" s="4" t="n">
        <f aca="false">IFERROR(INDEX(Positions!$D$2:$D$6912,MATCH($A1832&amp;"|22",Positions!$A$2:$A$6912,0)),"-")</f>
        <v>22</v>
      </c>
      <c r="F1832" s="4" t="str">
        <f aca="false">IFERROR(INDEX(Positions!$E$2:$E$6912,MATCH($A1832&amp;"|13",Positions!$A$2:$A$6912,0)),"-")</f>
        <v>U</v>
      </c>
      <c r="G1832" s="4" t="str">
        <f aca="false">IFERROR(INDEX(Positions!$E$2:$E$6912,MATCH($A1832&amp;"|22",Positions!$A$2:$A$6912,0)),"-")</f>
        <v>U</v>
      </c>
      <c r="H1832" s="3" t="str">
        <f aca="false">F1832&amp;"-"&amp;G1832</f>
        <v>U-U</v>
      </c>
      <c r="I1832" s="4" t="n">
        <f aca="false">(F1832="G")+(G1832="G")</f>
        <v>0</v>
      </c>
      <c r="J1832" s="4" t="n">
        <f aca="false">(F1832="C")+(G1832="C")</f>
        <v>0</v>
      </c>
      <c r="K1832" s="3" t="n">
        <f aca="false">I1832+J1832</f>
        <v>0</v>
      </c>
    </row>
    <row r="1833" customFormat="false" ht="15" hidden="false" customHeight="false" outlineLevel="0" collapsed="false">
      <c r="A1833" s="4" t="s">
        <v>102</v>
      </c>
      <c r="B1833" s="4" t="s">
        <v>446</v>
      </c>
      <c r="C1833" s="4" t="s">
        <v>524</v>
      </c>
      <c r="D1833" s="4" t="n">
        <f aca="false">IFERROR(INDEX(Positions!$D$2:$D$6912,MATCH($A1833&amp;"|27",Positions!$A$2:$A$6912,0)),"-")</f>
        <v>27</v>
      </c>
      <c r="E1833" s="4" t="n">
        <f aca="false">IFERROR(INDEX(Positions!$D$2:$D$6912,MATCH($A1833&amp;"|43",Positions!$A$2:$A$6912,0)),"-")</f>
        <v>43</v>
      </c>
      <c r="F1833" s="4" t="str">
        <f aca="false">IFERROR(INDEX(Positions!$E$2:$E$6912,MATCH($A1833&amp;"|27",Positions!$A$2:$A$6912,0)),"-")</f>
        <v>U</v>
      </c>
      <c r="G1833" s="4" t="str">
        <f aca="false">IFERROR(INDEX(Positions!$E$2:$E$6912,MATCH($A1833&amp;"|43",Positions!$A$2:$A$6912,0)),"-")</f>
        <v>A</v>
      </c>
      <c r="H1833" s="3" t="str">
        <f aca="false">F1833&amp;"-"&amp;G1833</f>
        <v>U-A</v>
      </c>
      <c r="I1833" s="4" t="n">
        <f aca="false">(F1833="G")+(G1833="G")</f>
        <v>0</v>
      </c>
      <c r="J1833" s="4" t="n">
        <f aca="false">(F1833="C")+(G1833="C")</f>
        <v>0</v>
      </c>
      <c r="K1833" s="3" t="n">
        <f aca="false">I1833+J1833</f>
        <v>0</v>
      </c>
    </row>
    <row r="1834" customFormat="false" ht="15" hidden="false" customHeight="false" outlineLevel="0" collapsed="false">
      <c r="A1834" s="4" t="s">
        <v>102</v>
      </c>
      <c r="B1834" s="4" t="s">
        <v>446</v>
      </c>
      <c r="C1834" s="4" t="s">
        <v>525</v>
      </c>
      <c r="D1834" s="4" t="n">
        <f aca="false">IFERROR(INDEX(Positions!$D$2:$D$6912,MATCH($A1834&amp;"|28",Positions!$A$2:$A$6912,0)),"-")</f>
        <v>28</v>
      </c>
      <c r="E1834" s="4" t="n">
        <f aca="false">IFERROR(INDEX(Positions!$D$2:$D$6912,MATCH($A1834&amp;"|42",Positions!$A$2:$A$6912,0)),"-")</f>
        <v>42</v>
      </c>
      <c r="F1834" s="4" t="str">
        <f aca="false">IFERROR(INDEX(Positions!$E$2:$E$6912,MATCH($A1834&amp;"|28",Positions!$A$2:$A$6912,0)),"-")</f>
        <v>C</v>
      </c>
      <c r="G1834" s="4" t="str">
        <f aca="false">IFERROR(INDEX(Positions!$E$2:$E$6912,MATCH($A1834&amp;"|42",Positions!$A$2:$A$6912,0)),"-")</f>
        <v>G</v>
      </c>
      <c r="H1834" s="3" t="str">
        <f aca="false">F1834&amp;"-"&amp;G1834</f>
        <v>C-G</v>
      </c>
      <c r="I1834" s="4" t="n">
        <f aca="false">(F1834="G")+(G1834="G")</f>
        <v>1</v>
      </c>
      <c r="J1834" s="4" t="n">
        <f aca="false">(F1834="C")+(G1834="C")</f>
        <v>1</v>
      </c>
      <c r="K1834" s="3" t="n">
        <f aca="false">I1834+J1834</f>
        <v>2</v>
      </c>
    </row>
    <row r="1835" customFormat="false" ht="15" hidden="false" customHeight="false" outlineLevel="0" collapsed="false">
      <c r="A1835" s="4" t="s">
        <v>102</v>
      </c>
      <c r="B1835" s="4" t="s">
        <v>446</v>
      </c>
      <c r="C1835" s="4" t="s">
        <v>256</v>
      </c>
      <c r="D1835" s="4" t="n">
        <f aca="false">IFERROR(INDEX(Positions!$D$2:$D$6912,MATCH($A1835&amp;"|29",Positions!$A$2:$A$6912,0)),"-")</f>
        <v>29</v>
      </c>
      <c r="E1835" s="4" t="n">
        <f aca="false">IFERROR(INDEX(Positions!$D$2:$D$6912,MATCH($A1835&amp;"|41",Positions!$A$2:$A$6912,0)),"-")</f>
        <v>41</v>
      </c>
      <c r="F1835" s="4" t="str">
        <f aca="false">IFERROR(INDEX(Positions!$E$2:$E$6912,MATCH($A1835&amp;"|29",Positions!$A$2:$A$6912,0)),"-")</f>
        <v>A</v>
      </c>
      <c r="G1835" s="4" t="str">
        <f aca="false">IFERROR(INDEX(Positions!$E$2:$E$6912,MATCH($A1835&amp;"|41",Positions!$A$2:$A$6912,0)),"-")</f>
        <v>U</v>
      </c>
      <c r="H1835" s="3" t="str">
        <f aca="false">F1835&amp;"-"&amp;G1835</f>
        <v>A-U</v>
      </c>
      <c r="I1835" s="4" t="n">
        <f aca="false">(F1835="G")+(G1835="G")</f>
        <v>0</v>
      </c>
      <c r="J1835" s="4" t="n">
        <f aca="false">(F1835="C")+(G1835="C")</f>
        <v>0</v>
      </c>
      <c r="K1835" s="3" t="n">
        <f aca="false">I1835+J1835</f>
        <v>0</v>
      </c>
    </row>
    <row r="1836" customFormat="false" ht="15" hidden="false" customHeight="false" outlineLevel="0" collapsed="false">
      <c r="A1836" s="4" t="s">
        <v>102</v>
      </c>
      <c r="B1836" s="4" t="s">
        <v>446</v>
      </c>
      <c r="C1836" s="4" t="s">
        <v>526</v>
      </c>
      <c r="D1836" s="4" t="n">
        <f aca="false">IFERROR(INDEX(Positions!$D$2:$D$6912,MATCH($A1836&amp;"|30",Positions!$A$2:$A$6912,0)),"-")</f>
        <v>30</v>
      </c>
      <c r="E1836" s="4" t="n">
        <f aca="false">IFERROR(INDEX(Positions!$D$2:$D$6912,MATCH($A1836&amp;"|40",Positions!$A$2:$A$6912,0)),"-")</f>
        <v>40</v>
      </c>
      <c r="F1836" s="4" t="str">
        <f aca="false">IFERROR(INDEX(Positions!$E$2:$E$6912,MATCH($A1836&amp;"|30",Positions!$A$2:$A$6912,0)),"-")</f>
        <v>G</v>
      </c>
      <c r="G1836" s="4" t="str">
        <f aca="false">IFERROR(INDEX(Positions!$E$2:$E$6912,MATCH($A1836&amp;"|40",Positions!$A$2:$A$6912,0)),"-")</f>
        <v>C</v>
      </c>
      <c r="H1836" s="3" t="str">
        <f aca="false">F1836&amp;"-"&amp;G1836</f>
        <v>G-C</v>
      </c>
      <c r="I1836" s="4" t="n">
        <f aca="false">(F1836="G")+(G1836="G")</f>
        <v>1</v>
      </c>
      <c r="J1836" s="4" t="n">
        <f aca="false">(F1836="C")+(G1836="C")</f>
        <v>1</v>
      </c>
      <c r="K1836" s="3" t="n">
        <f aca="false">I1836+J1836</f>
        <v>2</v>
      </c>
    </row>
    <row r="1837" customFormat="false" ht="15" hidden="false" customHeight="false" outlineLevel="0" collapsed="false">
      <c r="A1837" s="4" t="s">
        <v>102</v>
      </c>
      <c r="B1837" s="4" t="s">
        <v>446</v>
      </c>
      <c r="C1837" s="4" t="s">
        <v>273</v>
      </c>
      <c r="D1837" s="4" t="n">
        <f aca="false">IFERROR(INDEX(Positions!$D$2:$D$6912,MATCH($A1837&amp;"|31",Positions!$A$2:$A$6912,0)),"-")</f>
        <v>31</v>
      </c>
      <c r="E1837" s="4" t="n">
        <f aca="false">IFERROR(INDEX(Positions!$D$2:$D$6912,MATCH($A1837&amp;"|39",Positions!$A$2:$A$6912,0)),"-")</f>
        <v>39</v>
      </c>
      <c r="F1837" s="4" t="str">
        <f aca="false">IFERROR(INDEX(Positions!$E$2:$E$6912,MATCH($A1837&amp;"|31",Positions!$A$2:$A$6912,0)),"-")</f>
        <v>C</v>
      </c>
      <c r="G1837" s="4" t="str">
        <f aca="false">IFERROR(INDEX(Positions!$E$2:$E$6912,MATCH($A1837&amp;"|39",Positions!$A$2:$A$6912,0)),"-")</f>
        <v>G</v>
      </c>
      <c r="H1837" s="3" t="str">
        <f aca="false">F1837&amp;"-"&amp;G1837</f>
        <v>C-G</v>
      </c>
      <c r="I1837" s="4" t="n">
        <f aca="false">(F1837="G")+(G1837="G")</f>
        <v>1</v>
      </c>
      <c r="J1837" s="4" t="n">
        <f aca="false">(F1837="C")+(G1837="C")</f>
        <v>1</v>
      </c>
      <c r="K1837" s="3" t="n">
        <f aca="false">I1837+J1837</f>
        <v>2</v>
      </c>
    </row>
    <row r="1838" customFormat="false" ht="15" hidden="false" customHeight="false" outlineLevel="0" collapsed="false">
      <c r="A1838" s="4" t="s">
        <v>102</v>
      </c>
      <c r="B1838" s="4" t="s">
        <v>471</v>
      </c>
      <c r="C1838" s="4" t="s">
        <v>367</v>
      </c>
      <c r="D1838" s="4" t="n">
        <f aca="false">IFERROR(INDEX(Positions!$D$2:$D$6912,MATCH($A1838&amp;"|49",Positions!$A$2:$A$6912,0)),"-")</f>
        <v>48</v>
      </c>
      <c r="E1838" s="4" t="n">
        <f aca="false">IFERROR(INDEX(Positions!$D$2:$D$6912,MATCH($A1838&amp;"|65",Positions!$A$2:$A$6912,0)),"-")</f>
        <v>64</v>
      </c>
      <c r="F1838" s="4" t="str">
        <f aca="false">IFERROR(INDEX(Positions!$E$2:$E$6912,MATCH($A1838&amp;"|49",Positions!$A$2:$A$6912,0)),"-")</f>
        <v>G</v>
      </c>
      <c r="G1838" s="4" t="str">
        <f aca="false">IFERROR(INDEX(Positions!$E$2:$E$6912,MATCH($A1838&amp;"|65",Positions!$A$2:$A$6912,0)),"-")</f>
        <v>C</v>
      </c>
      <c r="H1838" s="3" t="str">
        <f aca="false">F1838&amp;"-"&amp;G1838</f>
        <v>G-C</v>
      </c>
      <c r="I1838" s="4" t="n">
        <f aca="false">(F1838="G")+(G1838="G")</f>
        <v>1</v>
      </c>
      <c r="J1838" s="4" t="n">
        <f aca="false">(F1838="C")+(G1838="C")</f>
        <v>1</v>
      </c>
      <c r="K1838" s="3" t="n">
        <f aca="false">I1838+J1838</f>
        <v>2</v>
      </c>
    </row>
    <row r="1839" customFormat="false" ht="15" hidden="false" customHeight="false" outlineLevel="0" collapsed="false">
      <c r="A1839" s="4" t="s">
        <v>102</v>
      </c>
      <c r="B1839" s="4" t="s">
        <v>471</v>
      </c>
      <c r="C1839" s="4" t="s">
        <v>233</v>
      </c>
      <c r="D1839" s="4" t="n">
        <f aca="false">IFERROR(INDEX(Positions!$D$2:$D$6912,MATCH($A1839&amp;"|50",Positions!$A$2:$A$6912,0)),"-")</f>
        <v>49</v>
      </c>
      <c r="E1839" s="4" t="n">
        <f aca="false">IFERROR(INDEX(Positions!$D$2:$D$6912,MATCH($A1839&amp;"|64",Positions!$A$2:$A$6912,0)),"-")</f>
        <v>63</v>
      </c>
      <c r="F1839" s="4" t="str">
        <f aca="false">IFERROR(INDEX(Positions!$E$2:$E$6912,MATCH($A1839&amp;"|50",Positions!$A$2:$A$6912,0)),"-")</f>
        <v>C</v>
      </c>
      <c r="G1839" s="4" t="str">
        <f aca="false">IFERROR(INDEX(Positions!$E$2:$E$6912,MATCH($A1839&amp;"|64",Positions!$A$2:$A$6912,0)),"-")</f>
        <v>G</v>
      </c>
      <c r="H1839" s="3" t="str">
        <f aca="false">F1839&amp;"-"&amp;G1839</f>
        <v>C-G</v>
      </c>
      <c r="I1839" s="4" t="n">
        <f aca="false">(F1839="G")+(G1839="G")</f>
        <v>1</v>
      </c>
      <c r="J1839" s="4" t="n">
        <f aca="false">(F1839="C")+(G1839="C")</f>
        <v>1</v>
      </c>
      <c r="K1839" s="3" t="n">
        <f aca="false">I1839+J1839</f>
        <v>2</v>
      </c>
    </row>
    <row r="1840" customFormat="false" ht="15" hidden="false" customHeight="false" outlineLevel="0" collapsed="false">
      <c r="A1840" s="4" t="s">
        <v>102</v>
      </c>
      <c r="B1840" s="4" t="s">
        <v>471</v>
      </c>
      <c r="C1840" s="4" t="s">
        <v>527</v>
      </c>
      <c r="D1840" s="4" t="n">
        <f aca="false">IFERROR(INDEX(Positions!$D$2:$D$6912,MATCH($A1840&amp;"|51",Positions!$A$2:$A$6912,0)),"-")</f>
        <v>50</v>
      </c>
      <c r="E1840" s="4" t="n">
        <f aca="false">IFERROR(INDEX(Positions!$D$2:$D$6912,MATCH($A1840&amp;"|63",Positions!$A$2:$A$6912,0)),"-")</f>
        <v>62</v>
      </c>
      <c r="F1840" s="4" t="str">
        <f aca="false">IFERROR(INDEX(Positions!$E$2:$E$6912,MATCH($A1840&amp;"|51",Positions!$A$2:$A$6912,0)),"-")</f>
        <v>G</v>
      </c>
      <c r="G1840" s="4" t="str">
        <f aca="false">IFERROR(INDEX(Positions!$E$2:$E$6912,MATCH($A1840&amp;"|63",Positions!$A$2:$A$6912,0)),"-")</f>
        <v>C</v>
      </c>
      <c r="H1840" s="3" t="str">
        <f aca="false">F1840&amp;"-"&amp;G1840</f>
        <v>G-C</v>
      </c>
      <c r="I1840" s="4" t="n">
        <f aca="false">(F1840="G")+(G1840="G")</f>
        <v>1</v>
      </c>
      <c r="J1840" s="4" t="n">
        <f aca="false">(F1840="C")+(G1840="C")</f>
        <v>1</v>
      </c>
      <c r="K1840" s="3" t="n">
        <f aca="false">I1840+J1840</f>
        <v>2</v>
      </c>
    </row>
    <row r="1841" customFormat="false" ht="15" hidden="false" customHeight="false" outlineLevel="0" collapsed="false">
      <c r="A1841" s="4" t="s">
        <v>102</v>
      </c>
      <c r="B1841" s="4" t="s">
        <v>471</v>
      </c>
      <c r="C1841" s="4" t="s">
        <v>528</v>
      </c>
      <c r="D1841" s="4" t="n">
        <f aca="false">IFERROR(INDEX(Positions!$D$2:$D$6912,MATCH($A1841&amp;"|52",Positions!$A$2:$A$6912,0)),"-")</f>
        <v>51</v>
      </c>
      <c r="E1841" s="4" t="n">
        <f aca="false">IFERROR(INDEX(Positions!$D$2:$D$6912,MATCH($A1841&amp;"|62",Positions!$A$2:$A$6912,0)),"-")</f>
        <v>61</v>
      </c>
      <c r="F1841" s="4" t="str">
        <f aca="false">IFERROR(INDEX(Positions!$E$2:$E$6912,MATCH($A1841&amp;"|52",Positions!$A$2:$A$6912,0)),"-")</f>
        <v>G</v>
      </c>
      <c r="G1841" s="4" t="str">
        <f aca="false">IFERROR(INDEX(Positions!$E$2:$E$6912,MATCH($A1841&amp;"|62",Positions!$A$2:$A$6912,0)),"-")</f>
        <v>C</v>
      </c>
      <c r="H1841" s="3" t="str">
        <f aca="false">F1841&amp;"-"&amp;G1841</f>
        <v>G-C</v>
      </c>
      <c r="I1841" s="4" t="n">
        <f aca="false">(F1841="G")+(G1841="G")</f>
        <v>1</v>
      </c>
      <c r="J1841" s="4" t="n">
        <f aca="false">(F1841="C")+(G1841="C")</f>
        <v>1</v>
      </c>
      <c r="K1841" s="3" t="n">
        <f aca="false">I1841+J1841</f>
        <v>2</v>
      </c>
    </row>
    <row r="1842" customFormat="false" ht="15" hidden="false" customHeight="false" outlineLevel="0" collapsed="false">
      <c r="A1842" s="4" t="s">
        <v>102</v>
      </c>
      <c r="B1842" s="4" t="s">
        <v>471</v>
      </c>
      <c r="C1842" s="4" t="s">
        <v>529</v>
      </c>
      <c r="D1842" s="4" t="n">
        <f aca="false">IFERROR(INDEX(Positions!$D$2:$D$6912,MATCH($A1842&amp;"|53",Positions!$A$2:$A$6912,0)),"-")</f>
        <v>52</v>
      </c>
      <c r="E1842" s="4" t="n">
        <f aca="false">IFERROR(INDEX(Positions!$D$2:$D$6912,MATCH($A1842&amp;"|61",Positions!$A$2:$A$6912,0)),"-")</f>
        <v>60</v>
      </c>
      <c r="F1842" s="4" t="str">
        <f aca="false">IFERROR(INDEX(Positions!$E$2:$E$6912,MATCH($A1842&amp;"|53",Positions!$A$2:$A$6912,0)),"-")</f>
        <v>G</v>
      </c>
      <c r="G1842" s="4" t="str">
        <f aca="false">IFERROR(INDEX(Positions!$E$2:$E$6912,MATCH($A1842&amp;"|61",Positions!$A$2:$A$6912,0)),"-")</f>
        <v>C</v>
      </c>
      <c r="H1842" s="3" t="str">
        <f aca="false">F1842&amp;"-"&amp;G1842</f>
        <v>G-C</v>
      </c>
      <c r="I1842" s="4" t="n">
        <f aca="false">(F1842="G")+(G1842="G")</f>
        <v>1</v>
      </c>
      <c r="J1842" s="4" t="n">
        <f aca="false">(F1842="C")+(G1842="C")</f>
        <v>1</v>
      </c>
      <c r="K1842" s="3" t="n">
        <f aca="false">I1842+J1842</f>
        <v>2</v>
      </c>
    </row>
    <row r="1843" customFormat="false" ht="15" hidden="false" customHeight="false" outlineLevel="0" collapsed="false">
      <c r="A1843" s="24" t="s">
        <v>102</v>
      </c>
      <c r="B1843" s="24" t="s">
        <v>530</v>
      </c>
      <c r="C1843" s="24" t="s">
        <v>531</v>
      </c>
      <c r="D1843" s="24" t="n">
        <f aca="false">IFERROR(INDEX(Positions!$D$2:$D$6912,MATCH($A1843&amp;"|8",Positions!$A$2:$A$6912,0)),"-")</f>
        <v>8</v>
      </c>
      <c r="E1843" s="24" t="n">
        <f aca="false">IFERROR(INDEX(Positions!$D$2:$D$6912,MATCH($A1843&amp;"|14",Positions!$A$2:$A$6912,0)),"-")</f>
        <v>14</v>
      </c>
      <c r="F1843" s="24" t="str">
        <f aca="false">IFERROR(INDEX(Positions!$E$2:$E$6912,MATCH($A1843&amp;"|8",Positions!$A$2:$A$6912,0)),"-")</f>
        <v>U</v>
      </c>
      <c r="G1843" s="24" t="str">
        <f aca="false">IFERROR(INDEX(Positions!$E$2:$E$6912,MATCH($A1843&amp;"|14",Positions!$A$2:$A$6912,0)),"-")</f>
        <v>A</v>
      </c>
      <c r="H1843" s="25" t="str">
        <f aca="false">F1843&amp;"-"&amp;G1843</f>
        <v>U-A</v>
      </c>
      <c r="I1843" s="24" t="n">
        <f aca="false">(F1843="G")+(G1843="G")</f>
        <v>0</v>
      </c>
      <c r="J1843" s="24" t="n">
        <f aca="false">(F1843="C")+(G1843="C")</f>
        <v>0</v>
      </c>
      <c r="K1843" s="25" t="n">
        <f aca="false">I1843+J1843</f>
        <v>0</v>
      </c>
    </row>
    <row r="1844" customFormat="false" ht="15" hidden="false" customHeight="false" outlineLevel="0" collapsed="false">
      <c r="A1844" s="24" t="s">
        <v>102</v>
      </c>
      <c r="B1844" s="24" t="s">
        <v>530</v>
      </c>
      <c r="C1844" s="24" t="s">
        <v>532</v>
      </c>
      <c r="D1844" s="24" t="n">
        <f aca="false">IFERROR(INDEX(Positions!$D$2:$D$6912,MATCH($A1844&amp;"|15",Positions!$A$2:$A$6912,0)),"-")</f>
        <v>15</v>
      </c>
      <c r="E1844" s="24" t="n">
        <f aca="false">IFERROR(INDEX(Positions!$D$2:$D$6912,MATCH($A1844&amp;"|48",Positions!$A$2:$A$6912,0)),"-")</f>
        <v>47</v>
      </c>
      <c r="F1844" s="24" t="str">
        <f aca="false">IFERROR(INDEX(Positions!$E$2:$E$6912,MATCH($A1844&amp;"|15",Positions!$A$2:$A$6912,0)),"-")</f>
        <v>A</v>
      </c>
      <c r="G1844" s="24" t="str">
        <f aca="false">IFERROR(INDEX(Positions!$E$2:$E$6912,MATCH($A1844&amp;"|48",Positions!$A$2:$A$6912,0)),"-")</f>
        <v>U</v>
      </c>
      <c r="H1844" s="25" t="str">
        <f aca="false">F1844&amp;"-"&amp;G1844</f>
        <v>A-U</v>
      </c>
      <c r="I1844" s="24" t="n">
        <f aca="false">(F1844="G")+(G1844="G")</f>
        <v>0</v>
      </c>
      <c r="J1844" s="24" t="n">
        <f aca="false">(F1844="C")+(G1844="C")</f>
        <v>0</v>
      </c>
      <c r="K1844" s="25" t="n">
        <f aca="false">I1844+J1844</f>
        <v>0</v>
      </c>
    </row>
    <row r="1845" customFormat="false" ht="15" hidden="false" customHeight="false" outlineLevel="0" collapsed="false">
      <c r="A1845" s="24" t="s">
        <v>102</v>
      </c>
      <c r="B1845" s="24" t="s">
        <v>530</v>
      </c>
      <c r="C1845" s="24" t="s">
        <v>533</v>
      </c>
      <c r="D1845" s="24" t="n">
        <f aca="false">IFERROR(INDEX(Positions!$D$2:$D$6912,MATCH($A1845&amp;"|18",Positions!$A$2:$A$6912,0)),"-")</f>
        <v>17</v>
      </c>
      <c r="E1845" s="24" t="n">
        <f aca="false">IFERROR(INDEX(Positions!$D$2:$D$6912,MATCH($A1845&amp;"|55",Positions!$A$2:$A$6912,0)),"-")</f>
        <v>54</v>
      </c>
      <c r="F1845" s="24" t="str">
        <f aca="false">IFERROR(INDEX(Positions!$E$2:$E$6912,MATCH($A1845&amp;"|18",Positions!$A$2:$A$6912,0)),"-")</f>
        <v>G</v>
      </c>
      <c r="G1845" s="24" t="str">
        <f aca="false">IFERROR(INDEX(Positions!$E$2:$E$6912,MATCH($A1845&amp;"|55",Positions!$A$2:$A$6912,0)),"-")</f>
        <v>U</v>
      </c>
      <c r="H1845" s="25" t="str">
        <f aca="false">F1845&amp;"-"&amp;G1845</f>
        <v>G-U</v>
      </c>
      <c r="I1845" s="24" t="n">
        <f aca="false">(F1845="G")+(G1845="G")</f>
        <v>1</v>
      </c>
      <c r="J1845" s="24" t="n">
        <f aca="false">(F1845="C")+(G1845="C")</f>
        <v>0</v>
      </c>
      <c r="K1845" s="25" t="n">
        <f aca="false">I1845+J1845</f>
        <v>1</v>
      </c>
    </row>
    <row r="1846" customFormat="false" ht="15" hidden="false" customHeight="false" outlineLevel="0" collapsed="false">
      <c r="A1846" s="24" t="s">
        <v>102</v>
      </c>
      <c r="B1846" s="24" t="s">
        <v>530</v>
      </c>
      <c r="C1846" s="24" t="s">
        <v>534</v>
      </c>
      <c r="D1846" s="24" t="n">
        <f aca="false">IFERROR(INDEX(Positions!$D$2:$D$6912,MATCH($A1846&amp;"|19",Positions!$A$2:$A$6912,0)),"-")</f>
        <v>18</v>
      </c>
      <c r="E1846" s="24" t="n">
        <f aca="false">IFERROR(INDEX(Positions!$D$2:$D$6912,MATCH($A1846&amp;"|56",Positions!$A$2:$A$6912,0)),"-")</f>
        <v>55</v>
      </c>
      <c r="F1846" s="24" t="str">
        <f aca="false">IFERROR(INDEX(Positions!$E$2:$E$6912,MATCH($A1846&amp;"|19",Positions!$A$2:$A$6912,0)),"-")</f>
        <v>G</v>
      </c>
      <c r="G1846" s="24" t="str">
        <f aca="false">IFERROR(INDEX(Positions!$E$2:$E$6912,MATCH($A1846&amp;"|56",Positions!$A$2:$A$6912,0)),"-")</f>
        <v>C</v>
      </c>
      <c r="H1846" s="25" t="str">
        <f aca="false">F1846&amp;"-"&amp;G1846</f>
        <v>G-C</v>
      </c>
      <c r="I1846" s="24" t="n">
        <f aca="false">(F1846="G")+(G1846="G")</f>
        <v>1</v>
      </c>
      <c r="J1846" s="24" t="n">
        <f aca="false">(F1846="C")+(G1846="C")</f>
        <v>1</v>
      </c>
      <c r="K1846" s="25" t="n">
        <f aca="false">I1846+J1846</f>
        <v>2</v>
      </c>
    </row>
    <row r="1847" customFormat="false" ht="15" hidden="false" customHeight="false" outlineLevel="0" collapsed="false">
      <c r="A1847" s="24" t="s">
        <v>102</v>
      </c>
      <c r="B1847" s="24" t="s">
        <v>530</v>
      </c>
      <c r="C1847" s="24" t="s">
        <v>535</v>
      </c>
      <c r="D1847" s="24" t="n">
        <f aca="false">IFERROR(INDEX(Positions!$D$2:$D$6912,MATCH($A1847&amp;"|26",Positions!$A$2:$A$6912,0)),"-")</f>
        <v>26</v>
      </c>
      <c r="E1847" s="24" t="n">
        <f aca="false">IFERROR(INDEX(Positions!$D$2:$D$6912,MATCH($A1847&amp;"|44",Positions!$A$2:$A$6912,0)),"-")</f>
        <v>44</v>
      </c>
      <c r="F1847" s="24" t="str">
        <f aca="false">IFERROR(INDEX(Positions!$E$2:$E$6912,MATCH($A1847&amp;"|26",Positions!$A$2:$A$6912,0)),"-")</f>
        <v>C</v>
      </c>
      <c r="G1847" s="24" t="str">
        <f aca="false">IFERROR(INDEX(Positions!$E$2:$E$6912,MATCH($A1847&amp;"|44",Positions!$A$2:$A$6912,0)),"-")</f>
        <v>U</v>
      </c>
      <c r="H1847" s="25" t="str">
        <f aca="false">F1847&amp;"-"&amp;G1847</f>
        <v>C-U</v>
      </c>
      <c r="I1847" s="24" t="n">
        <f aca="false">(F1847="G")+(G1847="G")</f>
        <v>0</v>
      </c>
      <c r="J1847" s="24" t="n">
        <f aca="false">(F1847="C")+(G1847="C")</f>
        <v>1</v>
      </c>
      <c r="K1847" s="25" t="n">
        <f aca="false">I1847+J1847</f>
        <v>1</v>
      </c>
    </row>
    <row r="1848" customFormat="false" ht="15" hidden="false" customHeight="false" outlineLevel="0" collapsed="false">
      <c r="A1848" s="24" t="s">
        <v>102</v>
      </c>
      <c r="B1848" s="24" t="s">
        <v>530</v>
      </c>
      <c r="C1848" s="24" t="s">
        <v>536</v>
      </c>
      <c r="D1848" s="24" t="n">
        <f aca="false">IFERROR(INDEX(Positions!$D$2:$D$6912,MATCH($A1848&amp;"|32",Positions!$A$2:$A$6912,0)),"-")</f>
        <v>32</v>
      </c>
      <c r="E1848" s="24" t="n">
        <f aca="false">IFERROR(INDEX(Positions!$D$2:$D$6912,MATCH($A1848&amp;"|38",Positions!$A$2:$A$6912,0)),"-")</f>
        <v>38</v>
      </c>
      <c r="F1848" s="24" t="str">
        <f aca="false">IFERROR(INDEX(Positions!$E$2:$E$6912,MATCH($A1848&amp;"|32",Positions!$A$2:$A$6912,0)),"-")</f>
        <v>C</v>
      </c>
      <c r="G1848" s="24" t="str">
        <f aca="false">IFERROR(INDEX(Positions!$E$2:$E$6912,MATCH($A1848&amp;"|38",Positions!$A$2:$A$6912,0)),"-")</f>
        <v>A</v>
      </c>
      <c r="H1848" s="25" t="str">
        <f aca="false">F1848&amp;"-"&amp;G1848</f>
        <v>C-A</v>
      </c>
      <c r="I1848" s="24" t="n">
        <f aca="false">(F1848="G")+(G1848="G")</f>
        <v>0</v>
      </c>
      <c r="J1848" s="24" t="n">
        <f aca="false">(F1848="C")+(G1848="C")</f>
        <v>1</v>
      </c>
      <c r="K1848" s="25" t="n">
        <f aca="false">I1848+J1848</f>
        <v>1</v>
      </c>
    </row>
    <row r="1849" customFormat="false" ht="15" hidden="false" customHeight="false" outlineLevel="0" collapsed="false">
      <c r="A1849" s="24" t="s">
        <v>102</v>
      </c>
      <c r="B1849" s="24" t="s">
        <v>530</v>
      </c>
      <c r="C1849" s="24" t="s">
        <v>537</v>
      </c>
      <c r="D1849" s="24" t="n">
        <f aca="false">IFERROR(INDEX(Positions!$D$2:$D$6912,MATCH($A1849&amp;"|54",Positions!$A$2:$A$6912,0)),"-")</f>
        <v>53</v>
      </c>
      <c r="E1849" s="24" t="n">
        <f aca="false">IFERROR(INDEX(Positions!$D$2:$D$6912,MATCH($A1849&amp;"|58",Positions!$A$2:$A$6912,0)),"-")</f>
        <v>57</v>
      </c>
      <c r="F1849" s="24" t="str">
        <f aca="false">IFERROR(INDEX(Positions!$E$2:$E$6912,MATCH($A1849&amp;"|54",Positions!$A$2:$A$6912,0)),"-")</f>
        <v>U</v>
      </c>
      <c r="G1849" s="24" t="str">
        <f aca="false">IFERROR(INDEX(Positions!$E$2:$E$6912,MATCH($A1849&amp;"|58",Positions!$A$2:$A$6912,0)),"-")</f>
        <v>A</v>
      </c>
      <c r="H1849" s="25" t="str">
        <f aca="false">F1849&amp;"-"&amp;G1849</f>
        <v>U-A</v>
      </c>
      <c r="I1849" s="24" t="n">
        <f aca="false">(F1849="G")+(G1849="G")</f>
        <v>0</v>
      </c>
      <c r="J1849" s="24" t="n">
        <f aca="false">(F1849="C")+(G1849="C")</f>
        <v>0</v>
      </c>
      <c r="K1849" s="25" t="n">
        <f aca="false">I1849+J1849</f>
        <v>0</v>
      </c>
    </row>
    <row r="1850" customFormat="false" ht="15" hidden="false" customHeight="false" outlineLevel="0" collapsed="false">
      <c r="A1850" s="4" t="s">
        <v>103</v>
      </c>
      <c r="B1850" s="4" t="s">
        <v>412</v>
      </c>
      <c r="C1850" s="4" t="s">
        <v>517</v>
      </c>
      <c r="D1850" s="4" t="n">
        <f aca="false">IFERROR(INDEX(Positions!$D$2:$D$6912,MATCH($A1850&amp;"|1",Positions!$A$2:$A$6912,0)),"-")</f>
        <v>1</v>
      </c>
      <c r="E1850" s="4" t="n">
        <f aca="false">IFERROR(INDEX(Positions!$D$2:$D$6912,MATCH($A1850&amp;"|72",Positions!$A$2:$A$6912,0)),"-")</f>
        <v>72</v>
      </c>
      <c r="F1850" s="4" t="str">
        <f aca="false">IFERROR(INDEX(Positions!$E$2:$E$6912,MATCH($A1850&amp;"|1",Positions!$A$2:$A$6912,0)),"-")</f>
        <v>G</v>
      </c>
      <c r="G1850" s="4" t="str">
        <f aca="false">IFERROR(INDEX(Positions!$E$2:$E$6912,MATCH($A1850&amp;"|72",Positions!$A$2:$A$6912,0)),"-")</f>
        <v>C</v>
      </c>
      <c r="H1850" s="3" t="str">
        <f aca="false">F1850&amp;"-"&amp;G1850</f>
        <v>G-C</v>
      </c>
      <c r="I1850" s="4" t="n">
        <f aca="false">(F1850="G")+(G1850="G")</f>
        <v>1</v>
      </c>
      <c r="J1850" s="4" t="n">
        <f aca="false">(F1850="C")+(G1850="C")</f>
        <v>1</v>
      </c>
      <c r="K1850" s="3" t="n">
        <f aca="false">I1850+J1850</f>
        <v>2</v>
      </c>
    </row>
    <row r="1851" customFormat="false" ht="15" hidden="false" customHeight="false" outlineLevel="0" collapsed="false">
      <c r="A1851" s="4" t="s">
        <v>103</v>
      </c>
      <c r="B1851" s="4" t="s">
        <v>412</v>
      </c>
      <c r="C1851" s="4" t="s">
        <v>518</v>
      </c>
      <c r="D1851" s="4" t="n">
        <f aca="false">IFERROR(INDEX(Positions!$D$2:$D$6912,MATCH($A1851&amp;"|2",Positions!$A$2:$A$6912,0)),"-")</f>
        <v>2</v>
      </c>
      <c r="E1851" s="4" t="n">
        <f aca="false">IFERROR(INDEX(Positions!$D$2:$D$6912,MATCH($A1851&amp;"|71",Positions!$A$2:$A$6912,0)),"-")</f>
        <v>71</v>
      </c>
      <c r="F1851" s="4" t="str">
        <f aca="false">IFERROR(INDEX(Positions!$E$2:$E$6912,MATCH($A1851&amp;"|2",Positions!$A$2:$A$6912,0)),"-")</f>
        <v>U</v>
      </c>
      <c r="G1851" s="4" t="str">
        <f aca="false">IFERROR(INDEX(Positions!$E$2:$E$6912,MATCH($A1851&amp;"|71",Positions!$A$2:$A$6912,0)),"-")</f>
        <v>A</v>
      </c>
      <c r="H1851" s="3" t="str">
        <f aca="false">F1851&amp;"-"&amp;G1851</f>
        <v>U-A</v>
      </c>
      <c r="I1851" s="4" t="n">
        <f aca="false">(F1851="G")+(G1851="G")</f>
        <v>0</v>
      </c>
      <c r="J1851" s="4" t="n">
        <f aca="false">(F1851="C")+(G1851="C")</f>
        <v>0</v>
      </c>
      <c r="K1851" s="3" t="n">
        <f aca="false">I1851+J1851</f>
        <v>0</v>
      </c>
    </row>
    <row r="1852" customFormat="false" ht="15" hidden="false" customHeight="false" outlineLevel="0" collapsed="false">
      <c r="A1852" s="4" t="s">
        <v>103</v>
      </c>
      <c r="B1852" s="4" t="s">
        <v>412</v>
      </c>
      <c r="C1852" s="4" t="s">
        <v>386</v>
      </c>
      <c r="D1852" s="4" t="n">
        <f aca="false">IFERROR(INDEX(Positions!$D$2:$D$6912,MATCH($A1852&amp;"|3",Positions!$A$2:$A$6912,0)),"-")</f>
        <v>3</v>
      </c>
      <c r="E1852" s="4" t="n">
        <f aca="false">IFERROR(INDEX(Positions!$D$2:$D$6912,MATCH($A1852&amp;"|70",Positions!$A$2:$A$6912,0)),"-")</f>
        <v>70</v>
      </c>
      <c r="F1852" s="4" t="str">
        <f aca="false">IFERROR(INDEX(Positions!$E$2:$E$6912,MATCH($A1852&amp;"|3",Positions!$A$2:$A$6912,0)),"-")</f>
        <v>G</v>
      </c>
      <c r="G1852" s="4" t="str">
        <f aca="false">IFERROR(INDEX(Positions!$E$2:$E$6912,MATCH($A1852&amp;"|70",Positions!$A$2:$A$6912,0)),"-")</f>
        <v>C</v>
      </c>
      <c r="H1852" s="3" t="str">
        <f aca="false">F1852&amp;"-"&amp;G1852</f>
        <v>G-C</v>
      </c>
      <c r="I1852" s="4" t="n">
        <f aca="false">(F1852="G")+(G1852="G")</f>
        <v>1</v>
      </c>
      <c r="J1852" s="4" t="n">
        <f aca="false">(F1852="C")+(G1852="C")</f>
        <v>1</v>
      </c>
      <c r="K1852" s="3" t="n">
        <f aca="false">I1852+J1852</f>
        <v>2</v>
      </c>
    </row>
    <row r="1853" customFormat="false" ht="15" hidden="false" customHeight="false" outlineLevel="0" collapsed="false">
      <c r="A1853" s="4" t="s">
        <v>103</v>
      </c>
      <c r="B1853" s="4" t="s">
        <v>412</v>
      </c>
      <c r="C1853" s="4" t="s">
        <v>519</v>
      </c>
      <c r="D1853" s="4" t="n">
        <f aca="false">IFERROR(INDEX(Positions!$D$2:$D$6912,MATCH($A1853&amp;"|4",Positions!$A$2:$A$6912,0)),"-")</f>
        <v>4</v>
      </c>
      <c r="E1853" s="4" t="n">
        <f aca="false">IFERROR(INDEX(Positions!$D$2:$D$6912,MATCH($A1853&amp;"|69",Positions!$A$2:$A$6912,0)),"-")</f>
        <v>69</v>
      </c>
      <c r="F1853" s="4" t="str">
        <f aca="false">IFERROR(INDEX(Positions!$E$2:$E$6912,MATCH($A1853&amp;"|4",Positions!$A$2:$A$6912,0)),"-")</f>
        <v>G</v>
      </c>
      <c r="G1853" s="4" t="str">
        <f aca="false">IFERROR(INDEX(Positions!$E$2:$E$6912,MATCH($A1853&amp;"|69",Positions!$A$2:$A$6912,0)),"-")</f>
        <v>C</v>
      </c>
      <c r="H1853" s="3" t="str">
        <f aca="false">F1853&amp;"-"&amp;G1853</f>
        <v>G-C</v>
      </c>
      <c r="I1853" s="4" t="n">
        <f aca="false">(F1853="G")+(G1853="G")</f>
        <v>1</v>
      </c>
      <c r="J1853" s="4" t="n">
        <f aca="false">(F1853="C")+(G1853="C")</f>
        <v>1</v>
      </c>
      <c r="K1853" s="3" t="n">
        <f aca="false">I1853+J1853</f>
        <v>2</v>
      </c>
    </row>
    <row r="1854" customFormat="false" ht="15" hidden="false" customHeight="false" outlineLevel="0" collapsed="false">
      <c r="A1854" s="4" t="s">
        <v>103</v>
      </c>
      <c r="B1854" s="4" t="s">
        <v>412</v>
      </c>
      <c r="C1854" s="4" t="s">
        <v>283</v>
      </c>
      <c r="D1854" s="4" t="n">
        <f aca="false">IFERROR(INDEX(Positions!$D$2:$D$6912,MATCH($A1854&amp;"|5",Positions!$A$2:$A$6912,0)),"-")</f>
        <v>5</v>
      </c>
      <c r="E1854" s="4" t="n">
        <f aca="false">IFERROR(INDEX(Positions!$D$2:$D$6912,MATCH($A1854&amp;"|68",Positions!$A$2:$A$6912,0)),"-")</f>
        <v>68</v>
      </c>
      <c r="F1854" s="4" t="str">
        <f aca="false">IFERROR(INDEX(Positions!$E$2:$E$6912,MATCH($A1854&amp;"|5",Positions!$A$2:$A$6912,0)),"-")</f>
        <v>C</v>
      </c>
      <c r="G1854" s="4" t="str">
        <f aca="false">IFERROR(INDEX(Positions!$E$2:$E$6912,MATCH($A1854&amp;"|68",Positions!$A$2:$A$6912,0)),"-")</f>
        <v>G</v>
      </c>
      <c r="H1854" s="3" t="str">
        <f aca="false">F1854&amp;"-"&amp;G1854</f>
        <v>C-G</v>
      </c>
      <c r="I1854" s="4" t="n">
        <f aca="false">(F1854="G")+(G1854="G")</f>
        <v>1</v>
      </c>
      <c r="J1854" s="4" t="n">
        <f aca="false">(F1854="C")+(G1854="C")</f>
        <v>1</v>
      </c>
      <c r="K1854" s="3" t="n">
        <f aca="false">I1854+J1854</f>
        <v>2</v>
      </c>
    </row>
    <row r="1855" customFormat="false" ht="15" hidden="false" customHeight="false" outlineLevel="0" collapsed="false">
      <c r="A1855" s="4" t="s">
        <v>103</v>
      </c>
      <c r="B1855" s="4" t="s">
        <v>412</v>
      </c>
      <c r="C1855" s="4" t="s">
        <v>520</v>
      </c>
      <c r="D1855" s="4" t="n">
        <f aca="false">IFERROR(INDEX(Positions!$D$2:$D$6912,MATCH($A1855&amp;"|6",Positions!$A$2:$A$6912,0)),"-")</f>
        <v>6</v>
      </c>
      <c r="E1855" s="4" t="n">
        <f aca="false">IFERROR(INDEX(Positions!$D$2:$D$6912,MATCH($A1855&amp;"|67",Positions!$A$2:$A$6912,0)),"-")</f>
        <v>67</v>
      </c>
      <c r="F1855" s="4" t="str">
        <f aca="false">IFERROR(INDEX(Positions!$E$2:$E$6912,MATCH($A1855&amp;"|6",Positions!$A$2:$A$6912,0)),"-")</f>
        <v>U</v>
      </c>
      <c r="G1855" s="4" t="str">
        <f aca="false">IFERROR(INDEX(Positions!$E$2:$E$6912,MATCH($A1855&amp;"|67",Positions!$A$2:$A$6912,0)),"-")</f>
        <v>A</v>
      </c>
      <c r="H1855" s="3" t="str">
        <f aca="false">F1855&amp;"-"&amp;G1855</f>
        <v>U-A</v>
      </c>
      <c r="I1855" s="4" t="n">
        <f aca="false">(F1855="G")+(G1855="G")</f>
        <v>0</v>
      </c>
      <c r="J1855" s="4" t="n">
        <f aca="false">(F1855="C")+(G1855="C")</f>
        <v>0</v>
      </c>
      <c r="K1855" s="3" t="n">
        <f aca="false">I1855+J1855</f>
        <v>0</v>
      </c>
    </row>
    <row r="1856" customFormat="false" ht="15" hidden="false" customHeight="false" outlineLevel="0" collapsed="false">
      <c r="A1856" s="4" t="s">
        <v>103</v>
      </c>
      <c r="B1856" s="4" t="s">
        <v>412</v>
      </c>
      <c r="C1856" s="4" t="s">
        <v>521</v>
      </c>
      <c r="D1856" s="4" t="n">
        <f aca="false">IFERROR(INDEX(Positions!$D$2:$D$6912,MATCH($A1856&amp;"|7",Positions!$A$2:$A$6912,0)),"-")</f>
        <v>7</v>
      </c>
      <c r="E1856" s="4" t="n">
        <f aca="false">IFERROR(INDEX(Positions!$D$2:$D$6912,MATCH($A1856&amp;"|66",Positions!$A$2:$A$6912,0)),"-")</f>
        <v>66</v>
      </c>
      <c r="F1856" s="4" t="str">
        <f aca="false">IFERROR(INDEX(Positions!$E$2:$E$6912,MATCH($A1856&amp;"|7",Positions!$A$2:$A$6912,0)),"-")</f>
        <v>A</v>
      </c>
      <c r="G1856" s="4" t="str">
        <f aca="false">IFERROR(INDEX(Positions!$E$2:$E$6912,MATCH($A1856&amp;"|66",Positions!$A$2:$A$6912,0)),"-")</f>
        <v>U</v>
      </c>
      <c r="H1856" s="3" t="str">
        <f aca="false">F1856&amp;"-"&amp;G1856</f>
        <v>A-U</v>
      </c>
      <c r="I1856" s="4" t="n">
        <f aca="false">(F1856="G")+(G1856="G")</f>
        <v>0</v>
      </c>
      <c r="J1856" s="4" t="n">
        <f aca="false">(F1856="C")+(G1856="C")</f>
        <v>0</v>
      </c>
      <c r="K1856" s="3" t="n">
        <f aca="false">I1856+J1856</f>
        <v>0</v>
      </c>
    </row>
    <row r="1857" customFormat="false" ht="15" hidden="false" customHeight="false" outlineLevel="0" collapsed="false">
      <c r="A1857" s="4" t="s">
        <v>103</v>
      </c>
      <c r="B1857" s="4" t="s">
        <v>425</v>
      </c>
      <c r="C1857" s="4" t="s">
        <v>522</v>
      </c>
      <c r="D1857" s="4" t="n">
        <f aca="false">IFERROR(INDEX(Positions!$D$2:$D$6912,MATCH($A1857&amp;"|10",Positions!$A$2:$A$6912,0)),"-")</f>
        <v>10</v>
      </c>
      <c r="E1857" s="4" t="n">
        <f aca="false">IFERROR(INDEX(Positions!$D$2:$D$6912,MATCH($A1857&amp;"|25",Positions!$A$2:$A$6912,0)),"-")</f>
        <v>25</v>
      </c>
      <c r="F1857" s="4" t="str">
        <f aca="false">IFERROR(INDEX(Positions!$E$2:$E$6912,MATCH($A1857&amp;"|10",Positions!$A$2:$A$6912,0)),"-")</f>
        <v>G</v>
      </c>
      <c r="G1857" s="4" t="str">
        <f aca="false">IFERROR(INDEX(Positions!$E$2:$E$6912,MATCH($A1857&amp;"|25",Positions!$A$2:$A$6912,0)),"-")</f>
        <v>C</v>
      </c>
      <c r="H1857" s="3" t="str">
        <f aca="false">F1857&amp;"-"&amp;G1857</f>
        <v>G-C</v>
      </c>
      <c r="I1857" s="4" t="n">
        <f aca="false">(F1857="G")+(G1857="G")</f>
        <v>1</v>
      </c>
      <c r="J1857" s="4" t="n">
        <f aca="false">(F1857="C")+(G1857="C")</f>
        <v>1</v>
      </c>
      <c r="K1857" s="3" t="n">
        <f aca="false">I1857+J1857</f>
        <v>2</v>
      </c>
    </row>
    <row r="1858" customFormat="false" ht="15" hidden="false" customHeight="false" outlineLevel="0" collapsed="false">
      <c r="A1858" s="4" t="s">
        <v>103</v>
      </c>
      <c r="B1858" s="4" t="s">
        <v>425</v>
      </c>
      <c r="C1858" s="4" t="s">
        <v>523</v>
      </c>
      <c r="D1858" s="4" t="n">
        <f aca="false">IFERROR(INDEX(Positions!$D$2:$D$6912,MATCH($A1858&amp;"|11",Positions!$A$2:$A$6912,0)),"-")</f>
        <v>11</v>
      </c>
      <c r="E1858" s="4" t="n">
        <f aca="false">IFERROR(INDEX(Positions!$D$2:$D$6912,MATCH($A1858&amp;"|24",Positions!$A$2:$A$6912,0)),"-")</f>
        <v>24</v>
      </c>
      <c r="F1858" s="4" t="str">
        <f aca="false">IFERROR(INDEX(Positions!$E$2:$E$6912,MATCH($A1858&amp;"|11",Positions!$A$2:$A$6912,0)),"-")</f>
        <v>C</v>
      </c>
      <c r="G1858" s="4" t="str">
        <f aca="false">IFERROR(INDEX(Positions!$E$2:$E$6912,MATCH($A1858&amp;"|24",Positions!$A$2:$A$6912,0)),"-")</f>
        <v>G</v>
      </c>
      <c r="H1858" s="3" t="str">
        <f aca="false">F1858&amp;"-"&amp;G1858</f>
        <v>C-G</v>
      </c>
      <c r="I1858" s="4" t="n">
        <f aca="false">(F1858="G")+(G1858="G")</f>
        <v>1</v>
      </c>
      <c r="J1858" s="4" t="n">
        <f aca="false">(F1858="C")+(G1858="C")</f>
        <v>1</v>
      </c>
      <c r="K1858" s="3" t="n">
        <f aca="false">I1858+J1858</f>
        <v>2</v>
      </c>
    </row>
    <row r="1859" customFormat="false" ht="15" hidden="false" customHeight="false" outlineLevel="0" collapsed="false">
      <c r="A1859" s="4" t="s">
        <v>103</v>
      </c>
      <c r="B1859" s="4" t="s">
        <v>425</v>
      </c>
      <c r="C1859" s="4" t="s">
        <v>250</v>
      </c>
      <c r="D1859" s="4" t="n">
        <f aca="false">IFERROR(INDEX(Positions!$D$2:$D$6912,MATCH($A1859&amp;"|12",Positions!$A$2:$A$6912,0)),"-")</f>
        <v>12</v>
      </c>
      <c r="E1859" s="4" t="n">
        <f aca="false">IFERROR(INDEX(Positions!$D$2:$D$6912,MATCH($A1859&amp;"|23",Positions!$A$2:$A$6912,0)),"-")</f>
        <v>23</v>
      </c>
      <c r="F1859" s="4" t="str">
        <f aca="false">IFERROR(INDEX(Positions!$E$2:$E$6912,MATCH($A1859&amp;"|12",Positions!$A$2:$A$6912,0)),"-")</f>
        <v>U</v>
      </c>
      <c r="G1859" s="4" t="str">
        <f aca="false">IFERROR(INDEX(Positions!$E$2:$E$6912,MATCH($A1859&amp;"|23",Positions!$A$2:$A$6912,0)),"-")</f>
        <v>A</v>
      </c>
      <c r="H1859" s="3" t="str">
        <f aca="false">F1859&amp;"-"&amp;G1859</f>
        <v>U-A</v>
      </c>
      <c r="I1859" s="4" t="n">
        <f aca="false">(F1859="G")+(G1859="G")</f>
        <v>0</v>
      </c>
      <c r="J1859" s="4" t="n">
        <f aca="false">(F1859="C")+(G1859="C")</f>
        <v>0</v>
      </c>
      <c r="K1859" s="3" t="n">
        <f aca="false">I1859+J1859</f>
        <v>0</v>
      </c>
    </row>
    <row r="1860" customFormat="false" ht="15" hidden="false" customHeight="false" outlineLevel="0" collapsed="false">
      <c r="A1860" s="4" t="s">
        <v>103</v>
      </c>
      <c r="B1860" s="4" t="s">
        <v>425</v>
      </c>
      <c r="C1860" s="4" t="s">
        <v>154</v>
      </c>
      <c r="D1860" s="4" t="n">
        <f aca="false">IFERROR(INDEX(Positions!$D$2:$D$6912,MATCH($A1860&amp;"|13",Positions!$A$2:$A$6912,0)),"-")</f>
        <v>13</v>
      </c>
      <c r="E1860" s="4" t="n">
        <f aca="false">IFERROR(INDEX(Positions!$D$2:$D$6912,MATCH($A1860&amp;"|22",Positions!$A$2:$A$6912,0)),"-")</f>
        <v>22</v>
      </c>
      <c r="F1860" s="4" t="str">
        <f aca="false">IFERROR(INDEX(Positions!$E$2:$E$6912,MATCH($A1860&amp;"|13",Positions!$A$2:$A$6912,0)),"-")</f>
        <v>C</v>
      </c>
      <c r="G1860" s="4" t="str">
        <f aca="false">IFERROR(INDEX(Positions!$E$2:$E$6912,MATCH($A1860&amp;"|22",Positions!$A$2:$A$6912,0)),"-")</f>
        <v>G</v>
      </c>
      <c r="H1860" s="3" t="str">
        <f aca="false">F1860&amp;"-"&amp;G1860</f>
        <v>C-G</v>
      </c>
      <c r="I1860" s="4" t="n">
        <f aca="false">(F1860="G")+(G1860="G")</f>
        <v>1</v>
      </c>
      <c r="J1860" s="4" t="n">
        <f aca="false">(F1860="C")+(G1860="C")</f>
        <v>1</v>
      </c>
      <c r="K1860" s="3" t="n">
        <f aca="false">I1860+J1860</f>
        <v>2</v>
      </c>
    </row>
    <row r="1861" customFormat="false" ht="15" hidden="false" customHeight="false" outlineLevel="0" collapsed="false">
      <c r="A1861" s="4" t="s">
        <v>103</v>
      </c>
      <c r="B1861" s="4" t="s">
        <v>446</v>
      </c>
      <c r="C1861" s="4" t="s">
        <v>524</v>
      </c>
      <c r="D1861" s="4" t="n">
        <f aca="false">IFERROR(INDEX(Positions!$D$2:$D$6912,MATCH($A1861&amp;"|27",Positions!$A$2:$A$6912,0)),"-")</f>
        <v>27</v>
      </c>
      <c r="E1861" s="4" t="n">
        <f aca="false">IFERROR(INDEX(Positions!$D$2:$D$6912,MATCH($A1861&amp;"|43",Positions!$A$2:$A$6912,0)),"-")</f>
        <v>43</v>
      </c>
      <c r="F1861" s="4" t="str">
        <f aca="false">IFERROR(INDEX(Positions!$E$2:$E$6912,MATCH($A1861&amp;"|27",Positions!$A$2:$A$6912,0)),"-")</f>
        <v>C</v>
      </c>
      <c r="G1861" s="4" t="str">
        <f aca="false">IFERROR(INDEX(Positions!$E$2:$E$6912,MATCH($A1861&amp;"|43",Positions!$A$2:$A$6912,0)),"-")</f>
        <v>G</v>
      </c>
      <c r="H1861" s="3" t="str">
        <f aca="false">F1861&amp;"-"&amp;G1861</f>
        <v>C-G</v>
      </c>
      <c r="I1861" s="4" t="n">
        <f aca="false">(F1861="G")+(G1861="G")</f>
        <v>1</v>
      </c>
      <c r="J1861" s="4" t="n">
        <f aca="false">(F1861="C")+(G1861="C")</f>
        <v>1</v>
      </c>
      <c r="K1861" s="3" t="n">
        <f aca="false">I1861+J1861</f>
        <v>2</v>
      </c>
    </row>
    <row r="1862" customFormat="false" ht="15" hidden="false" customHeight="false" outlineLevel="0" collapsed="false">
      <c r="A1862" s="4" t="s">
        <v>103</v>
      </c>
      <c r="B1862" s="4" t="s">
        <v>446</v>
      </c>
      <c r="C1862" s="4" t="s">
        <v>525</v>
      </c>
      <c r="D1862" s="4" t="n">
        <f aca="false">IFERROR(INDEX(Positions!$D$2:$D$6912,MATCH($A1862&amp;"|28",Positions!$A$2:$A$6912,0)),"-")</f>
        <v>28</v>
      </c>
      <c r="E1862" s="4" t="n">
        <f aca="false">IFERROR(INDEX(Positions!$D$2:$D$6912,MATCH($A1862&amp;"|42",Positions!$A$2:$A$6912,0)),"-")</f>
        <v>42</v>
      </c>
      <c r="F1862" s="4" t="str">
        <f aca="false">IFERROR(INDEX(Positions!$E$2:$E$6912,MATCH($A1862&amp;"|28",Positions!$A$2:$A$6912,0)),"-")</f>
        <v>U</v>
      </c>
      <c r="G1862" s="4" t="str">
        <f aca="false">IFERROR(INDEX(Positions!$E$2:$E$6912,MATCH($A1862&amp;"|42",Positions!$A$2:$A$6912,0)),"-")</f>
        <v>A</v>
      </c>
      <c r="H1862" s="3" t="str">
        <f aca="false">F1862&amp;"-"&amp;G1862</f>
        <v>U-A</v>
      </c>
      <c r="I1862" s="4" t="n">
        <f aca="false">(F1862="G")+(G1862="G")</f>
        <v>0</v>
      </c>
      <c r="J1862" s="4" t="n">
        <f aca="false">(F1862="C")+(G1862="C")</f>
        <v>0</v>
      </c>
      <c r="K1862" s="3" t="n">
        <f aca="false">I1862+J1862</f>
        <v>0</v>
      </c>
    </row>
    <row r="1863" customFormat="false" ht="15" hidden="false" customHeight="false" outlineLevel="0" collapsed="false">
      <c r="A1863" s="4" t="s">
        <v>103</v>
      </c>
      <c r="B1863" s="4" t="s">
        <v>446</v>
      </c>
      <c r="C1863" s="4" t="s">
        <v>256</v>
      </c>
      <c r="D1863" s="4" t="n">
        <f aca="false">IFERROR(INDEX(Positions!$D$2:$D$6912,MATCH($A1863&amp;"|29",Positions!$A$2:$A$6912,0)),"-")</f>
        <v>29</v>
      </c>
      <c r="E1863" s="4" t="n">
        <f aca="false">IFERROR(INDEX(Positions!$D$2:$D$6912,MATCH($A1863&amp;"|41",Positions!$A$2:$A$6912,0)),"-")</f>
        <v>41</v>
      </c>
      <c r="F1863" s="4" t="str">
        <f aca="false">IFERROR(INDEX(Positions!$E$2:$E$6912,MATCH($A1863&amp;"|29",Positions!$A$2:$A$6912,0)),"-")</f>
        <v>G</v>
      </c>
      <c r="G1863" s="4" t="str">
        <f aca="false">IFERROR(INDEX(Positions!$E$2:$E$6912,MATCH($A1863&amp;"|41",Positions!$A$2:$A$6912,0)),"-")</f>
        <v>C</v>
      </c>
      <c r="H1863" s="3" t="str">
        <f aca="false">F1863&amp;"-"&amp;G1863</f>
        <v>G-C</v>
      </c>
      <c r="I1863" s="4" t="n">
        <f aca="false">(F1863="G")+(G1863="G")</f>
        <v>1</v>
      </c>
      <c r="J1863" s="4" t="n">
        <f aca="false">(F1863="C")+(G1863="C")</f>
        <v>1</v>
      </c>
      <c r="K1863" s="3" t="n">
        <f aca="false">I1863+J1863</f>
        <v>2</v>
      </c>
    </row>
    <row r="1864" customFormat="false" ht="15" hidden="false" customHeight="false" outlineLevel="0" collapsed="false">
      <c r="A1864" s="4" t="s">
        <v>103</v>
      </c>
      <c r="B1864" s="4" t="s">
        <v>446</v>
      </c>
      <c r="C1864" s="4" t="s">
        <v>526</v>
      </c>
      <c r="D1864" s="4" t="n">
        <f aca="false">IFERROR(INDEX(Positions!$D$2:$D$6912,MATCH($A1864&amp;"|30",Positions!$A$2:$A$6912,0)),"-")</f>
        <v>30</v>
      </c>
      <c r="E1864" s="4" t="n">
        <f aca="false">IFERROR(INDEX(Positions!$D$2:$D$6912,MATCH($A1864&amp;"|40",Positions!$A$2:$A$6912,0)),"-")</f>
        <v>40</v>
      </c>
      <c r="F1864" s="4" t="str">
        <f aca="false">IFERROR(INDEX(Positions!$E$2:$E$6912,MATCH($A1864&amp;"|30",Positions!$A$2:$A$6912,0)),"-")</f>
        <v>G</v>
      </c>
      <c r="G1864" s="4" t="str">
        <f aca="false">IFERROR(INDEX(Positions!$E$2:$E$6912,MATCH($A1864&amp;"|40",Positions!$A$2:$A$6912,0)),"-")</f>
        <v>C</v>
      </c>
      <c r="H1864" s="3" t="str">
        <f aca="false">F1864&amp;"-"&amp;G1864</f>
        <v>G-C</v>
      </c>
      <c r="I1864" s="4" t="n">
        <f aca="false">(F1864="G")+(G1864="G")</f>
        <v>1</v>
      </c>
      <c r="J1864" s="4" t="n">
        <f aca="false">(F1864="C")+(G1864="C")</f>
        <v>1</v>
      </c>
      <c r="K1864" s="3" t="n">
        <f aca="false">I1864+J1864</f>
        <v>2</v>
      </c>
    </row>
    <row r="1865" customFormat="false" ht="15" hidden="false" customHeight="false" outlineLevel="0" collapsed="false">
      <c r="A1865" s="4" t="s">
        <v>103</v>
      </c>
      <c r="B1865" s="4" t="s">
        <v>446</v>
      </c>
      <c r="C1865" s="4" t="s">
        <v>273</v>
      </c>
      <c r="D1865" s="4" t="n">
        <f aca="false">IFERROR(INDEX(Positions!$D$2:$D$6912,MATCH($A1865&amp;"|31",Positions!$A$2:$A$6912,0)),"-")</f>
        <v>31</v>
      </c>
      <c r="E1865" s="4" t="n">
        <f aca="false">IFERROR(INDEX(Positions!$D$2:$D$6912,MATCH($A1865&amp;"|39",Positions!$A$2:$A$6912,0)),"-")</f>
        <v>39</v>
      </c>
      <c r="F1865" s="4" t="str">
        <f aca="false">IFERROR(INDEX(Positions!$E$2:$E$6912,MATCH($A1865&amp;"|31",Positions!$A$2:$A$6912,0)),"-")</f>
        <v>A</v>
      </c>
      <c r="G1865" s="4" t="str">
        <f aca="false">IFERROR(INDEX(Positions!$E$2:$E$6912,MATCH($A1865&amp;"|39",Positions!$A$2:$A$6912,0)),"-")</f>
        <v>U</v>
      </c>
      <c r="H1865" s="3" t="str">
        <f aca="false">F1865&amp;"-"&amp;G1865</f>
        <v>A-U</v>
      </c>
      <c r="I1865" s="4" t="n">
        <f aca="false">(F1865="G")+(G1865="G")</f>
        <v>0</v>
      </c>
      <c r="J1865" s="4" t="n">
        <f aca="false">(F1865="C")+(G1865="C")</f>
        <v>0</v>
      </c>
      <c r="K1865" s="3" t="n">
        <f aca="false">I1865+J1865</f>
        <v>0</v>
      </c>
    </row>
    <row r="1866" customFormat="false" ht="15" hidden="false" customHeight="false" outlineLevel="0" collapsed="false">
      <c r="A1866" s="4" t="s">
        <v>103</v>
      </c>
      <c r="B1866" s="4" t="s">
        <v>471</v>
      </c>
      <c r="C1866" s="4" t="s">
        <v>367</v>
      </c>
      <c r="D1866" s="4" t="n">
        <f aca="false">IFERROR(INDEX(Positions!$D$2:$D$6912,MATCH($A1866&amp;"|49",Positions!$A$2:$A$6912,0)),"-")</f>
        <v>49</v>
      </c>
      <c r="E1866" s="4" t="n">
        <f aca="false">IFERROR(INDEX(Positions!$D$2:$D$6912,MATCH($A1866&amp;"|65",Positions!$A$2:$A$6912,0)),"-")</f>
        <v>65</v>
      </c>
      <c r="F1866" s="4" t="str">
        <f aca="false">IFERROR(INDEX(Positions!$E$2:$E$6912,MATCH($A1866&amp;"|49",Positions!$A$2:$A$6912,0)),"-")</f>
        <v>G</v>
      </c>
      <c r="G1866" s="4" t="str">
        <f aca="false">IFERROR(INDEX(Positions!$E$2:$E$6912,MATCH($A1866&amp;"|65",Positions!$A$2:$A$6912,0)),"-")</f>
        <v>U</v>
      </c>
      <c r="H1866" s="3" t="str">
        <f aca="false">F1866&amp;"-"&amp;G1866</f>
        <v>G-U</v>
      </c>
      <c r="I1866" s="4" t="n">
        <f aca="false">(F1866="G")+(G1866="G")</f>
        <v>1</v>
      </c>
      <c r="J1866" s="4" t="n">
        <f aca="false">(F1866="C")+(G1866="C")</f>
        <v>0</v>
      </c>
      <c r="K1866" s="3" t="n">
        <f aca="false">I1866+J1866</f>
        <v>1</v>
      </c>
    </row>
    <row r="1867" customFormat="false" ht="15" hidden="false" customHeight="false" outlineLevel="0" collapsed="false">
      <c r="A1867" s="4" t="s">
        <v>103</v>
      </c>
      <c r="B1867" s="4" t="s">
        <v>471</v>
      </c>
      <c r="C1867" s="4" t="s">
        <v>233</v>
      </c>
      <c r="D1867" s="4" t="n">
        <f aca="false">IFERROR(INDEX(Positions!$D$2:$D$6912,MATCH($A1867&amp;"|50",Positions!$A$2:$A$6912,0)),"-")</f>
        <v>50</v>
      </c>
      <c r="E1867" s="4" t="n">
        <f aca="false">IFERROR(INDEX(Positions!$D$2:$D$6912,MATCH($A1867&amp;"|64",Positions!$A$2:$A$6912,0)),"-")</f>
        <v>64</v>
      </c>
      <c r="F1867" s="4" t="str">
        <f aca="false">IFERROR(INDEX(Positions!$E$2:$E$6912,MATCH($A1867&amp;"|50",Positions!$A$2:$A$6912,0)),"-")</f>
        <v>U</v>
      </c>
      <c r="G1867" s="4" t="str">
        <f aca="false">IFERROR(INDEX(Positions!$E$2:$E$6912,MATCH($A1867&amp;"|64",Positions!$A$2:$A$6912,0)),"-")</f>
        <v>A</v>
      </c>
      <c r="H1867" s="3" t="str">
        <f aca="false">F1867&amp;"-"&amp;G1867</f>
        <v>U-A</v>
      </c>
      <c r="I1867" s="4" t="n">
        <f aca="false">(F1867="G")+(G1867="G")</f>
        <v>0</v>
      </c>
      <c r="J1867" s="4" t="n">
        <f aca="false">(F1867="C")+(G1867="C")</f>
        <v>0</v>
      </c>
      <c r="K1867" s="3" t="n">
        <f aca="false">I1867+J1867</f>
        <v>0</v>
      </c>
    </row>
    <row r="1868" customFormat="false" ht="15" hidden="false" customHeight="false" outlineLevel="0" collapsed="false">
      <c r="A1868" s="4" t="s">
        <v>103</v>
      </c>
      <c r="B1868" s="4" t="s">
        <v>471</v>
      </c>
      <c r="C1868" s="4" t="s">
        <v>527</v>
      </c>
      <c r="D1868" s="4" t="n">
        <f aca="false">IFERROR(INDEX(Positions!$D$2:$D$6912,MATCH($A1868&amp;"|51",Positions!$A$2:$A$6912,0)),"-")</f>
        <v>51</v>
      </c>
      <c r="E1868" s="4" t="n">
        <f aca="false">IFERROR(INDEX(Positions!$D$2:$D$6912,MATCH($A1868&amp;"|63",Positions!$A$2:$A$6912,0)),"-")</f>
        <v>63</v>
      </c>
      <c r="F1868" s="4" t="str">
        <f aca="false">IFERROR(INDEX(Positions!$E$2:$E$6912,MATCH($A1868&amp;"|51",Positions!$A$2:$A$6912,0)),"-")</f>
        <v>G</v>
      </c>
      <c r="G1868" s="4" t="str">
        <f aca="false">IFERROR(INDEX(Positions!$E$2:$E$6912,MATCH($A1868&amp;"|63",Positions!$A$2:$A$6912,0)),"-")</f>
        <v>C</v>
      </c>
      <c r="H1868" s="3" t="str">
        <f aca="false">F1868&amp;"-"&amp;G1868</f>
        <v>G-C</v>
      </c>
      <c r="I1868" s="4" t="n">
        <f aca="false">(F1868="G")+(G1868="G")</f>
        <v>1</v>
      </c>
      <c r="J1868" s="4" t="n">
        <f aca="false">(F1868="C")+(G1868="C")</f>
        <v>1</v>
      </c>
      <c r="K1868" s="3" t="n">
        <f aca="false">I1868+J1868</f>
        <v>2</v>
      </c>
    </row>
    <row r="1869" customFormat="false" ht="15" hidden="false" customHeight="false" outlineLevel="0" collapsed="false">
      <c r="A1869" s="4" t="s">
        <v>103</v>
      </c>
      <c r="B1869" s="4" t="s">
        <v>471</v>
      </c>
      <c r="C1869" s="4" t="s">
        <v>528</v>
      </c>
      <c r="D1869" s="4" t="n">
        <f aca="false">IFERROR(INDEX(Positions!$D$2:$D$6912,MATCH($A1869&amp;"|52",Positions!$A$2:$A$6912,0)),"-")</f>
        <v>52</v>
      </c>
      <c r="E1869" s="4" t="n">
        <f aca="false">IFERROR(INDEX(Positions!$D$2:$D$6912,MATCH($A1869&amp;"|62",Positions!$A$2:$A$6912,0)),"-")</f>
        <v>62</v>
      </c>
      <c r="F1869" s="4" t="str">
        <f aca="false">IFERROR(INDEX(Positions!$E$2:$E$6912,MATCH($A1869&amp;"|52",Positions!$A$2:$A$6912,0)),"-")</f>
        <v>G</v>
      </c>
      <c r="G1869" s="4" t="str">
        <f aca="false">IFERROR(INDEX(Positions!$E$2:$E$6912,MATCH($A1869&amp;"|62",Positions!$A$2:$A$6912,0)),"-")</f>
        <v>C</v>
      </c>
      <c r="H1869" s="3" t="str">
        <f aca="false">F1869&amp;"-"&amp;G1869</f>
        <v>G-C</v>
      </c>
      <c r="I1869" s="4" t="n">
        <f aca="false">(F1869="G")+(G1869="G")</f>
        <v>1</v>
      </c>
      <c r="J1869" s="4" t="n">
        <f aca="false">(F1869="C")+(G1869="C")</f>
        <v>1</v>
      </c>
      <c r="K1869" s="3" t="n">
        <f aca="false">I1869+J1869</f>
        <v>2</v>
      </c>
    </row>
    <row r="1870" customFormat="false" ht="15" hidden="false" customHeight="false" outlineLevel="0" collapsed="false">
      <c r="A1870" s="4" t="s">
        <v>103</v>
      </c>
      <c r="B1870" s="4" t="s">
        <v>471</v>
      </c>
      <c r="C1870" s="4" t="s">
        <v>529</v>
      </c>
      <c r="D1870" s="4" t="n">
        <f aca="false">IFERROR(INDEX(Positions!$D$2:$D$6912,MATCH($A1870&amp;"|53",Positions!$A$2:$A$6912,0)),"-")</f>
        <v>53</v>
      </c>
      <c r="E1870" s="4" t="n">
        <f aca="false">IFERROR(INDEX(Positions!$D$2:$D$6912,MATCH($A1870&amp;"|61",Positions!$A$2:$A$6912,0)),"-")</f>
        <v>61</v>
      </c>
      <c r="F1870" s="4" t="str">
        <f aca="false">IFERROR(INDEX(Positions!$E$2:$E$6912,MATCH($A1870&amp;"|53",Positions!$A$2:$A$6912,0)),"-")</f>
        <v>G</v>
      </c>
      <c r="G1870" s="4" t="str">
        <f aca="false">IFERROR(INDEX(Positions!$E$2:$E$6912,MATCH($A1870&amp;"|61",Positions!$A$2:$A$6912,0)),"-")</f>
        <v>C</v>
      </c>
      <c r="H1870" s="3" t="str">
        <f aca="false">F1870&amp;"-"&amp;G1870</f>
        <v>G-C</v>
      </c>
      <c r="I1870" s="4" t="n">
        <f aca="false">(F1870="G")+(G1870="G")</f>
        <v>1</v>
      </c>
      <c r="J1870" s="4" t="n">
        <f aca="false">(F1870="C")+(G1870="C")</f>
        <v>1</v>
      </c>
      <c r="K1870" s="3" t="n">
        <f aca="false">I1870+J1870</f>
        <v>2</v>
      </c>
    </row>
    <row r="1871" customFormat="false" ht="15" hidden="false" customHeight="false" outlineLevel="0" collapsed="false">
      <c r="A1871" s="24" t="s">
        <v>103</v>
      </c>
      <c r="B1871" s="24" t="s">
        <v>530</v>
      </c>
      <c r="C1871" s="24" t="s">
        <v>531</v>
      </c>
      <c r="D1871" s="24" t="n">
        <f aca="false">IFERROR(INDEX(Positions!$D$2:$D$6912,MATCH($A1871&amp;"|8",Positions!$A$2:$A$6912,0)),"-")</f>
        <v>8</v>
      </c>
      <c r="E1871" s="24" t="n">
        <f aca="false">IFERROR(INDEX(Positions!$D$2:$D$6912,MATCH($A1871&amp;"|14",Positions!$A$2:$A$6912,0)),"-")</f>
        <v>14</v>
      </c>
      <c r="F1871" s="24" t="str">
        <f aca="false">IFERROR(INDEX(Positions!$E$2:$E$6912,MATCH($A1871&amp;"|8",Positions!$A$2:$A$6912,0)),"-")</f>
        <v>U</v>
      </c>
      <c r="G1871" s="24" t="str">
        <f aca="false">IFERROR(INDEX(Positions!$E$2:$E$6912,MATCH($A1871&amp;"|14",Positions!$A$2:$A$6912,0)),"-")</f>
        <v>A</v>
      </c>
      <c r="H1871" s="25" t="str">
        <f aca="false">F1871&amp;"-"&amp;G1871</f>
        <v>U-A</v>
      </c>
      <c r="I1871" s="24" t="n">
        <f aca="false">(F1871="G")+(G1871="G")</f>
        <v>0</v>
      </c>
      <c r="J1871" s="24" t="n">
        <f aca="false">(F1871="C")+(G1871="C")</f>
        <v>0</v>
      </c>
      <c r="K1871" s="25" t="n">
        <f aca="false">I1871+J1871</f>
        <v>0</v>
      </c>
    </row>
    <row r="1872" customFormat="false" ht="15" hidden="false" customHeight="false" outlineLevel="0" collapsed="false">
      <c r="A1872" s="24" t="s">
        <v>103</v>
      </c>
      <c r="B1872" s="24" t="s">
        <v>530</v>
      </c>
      <c r="C1872" s="24" t="s">
        <v>532</v>
      </c>
      <c r="D1872" s="24" t="n">
        <f aca="false">IFERROR(INDEX(Positions!$D$2:$D$6912,MATCH($A1872&amp;"|15",Positions!$A$2:$A$6912,0)),"-")</f>
        <v>15</v>
      </c>
      <c r="E1872" s="24" t="n">
        <f aca="false">IFERROR(INDEX(Positions!$D$2:$D$6912,MATCH($A1872&amp;"|48",Positions!$A$2:$A$6912,0)),"-")</f>
        <v>48</v>
      </c>
      <c r="F1872" s="24" t="str">
        <f aca="false">IFERROR(INDEX(Positions!$E$2:$E$6912,MATCH($A1872&amp;"|15",Positions!$A$2:$A$6912,0)),"-")</f>
        <v>G</v>
      </c>
      <c r="G1872" s="24" t="str">
        <f aca="false">IFERROR(INDEX(Positions!$E$2:$E$6912,MATCH($A1872&amp;"|48",Positions!$A$2:$A$6912,0)),"-")</f>
        <v>C</v>
      </c>
      <c r="H1872" s="25" t="str">
        <f aca="false">F1872&amp;"-"&amp;G1872</f>
        <v>G-C</v>
      </c>
      <c r="I1872" s="24" t="n">
        <f aca="false">(F1872="G")+(G1872="G")</f>
        <v>1</v>
      </c>
      <c r="J1872" s="24" t="n">
        <f aca="false">(F1872="C")+(G1872="C")</f>
        <v>1</v>
      </c>
      <c r="K1872" s="25" t="n">
        <f aca="false">I1872+J1872</f>
        <v>2</v>
      </c>
    </row>
    <row r="1873" customFormat="false" ht="15" hidden="false" customHeight="false" outlineLevel="0" collapsed="false">
      <c r="A1873" s="24" t="s">
        <v>103</v>
      </c>
      <c r="B1873" s="24" t="s">
        <v>530</v>
      </c>
      <c r="C1873" s="24" t="s">
        <v>533</v>
      </c>
      <c r="D1873" s="24" t="n">
        <f aca="false">IFERROR(INDEX(Positions!$D$2:$D$6912,MATCH($A1873&amp;"|18",Positions!$A$2:$A$6912,0)),"-")</f>
        <v>18</v>
      </c>
      <c r="E1873" s="24" t="n">
        <f aca="false">IFERROR(INDEX(Positions!$D$2:$D$6912,MATCH($A1873&amp;"|55",Positions!$A$2:$A$6912,0)),"-")</f>
        <v>55</v>
      </c>
      <c r="F1873" s="24" t="str">
        <f aca="false">IFERROR(INDEX(Positions!$E$2:$E$6912,MATCH($A1873&amp;"|18",Positions!$A$2:$A$6912,0)),"-")</f>
        <v>G</v>
      </c>
      <c r="G1873" s="24" t="str">
        <f aca="false">IFERROR(INDEX(Positions!$E$2:$E$6912,MATCH($A1873&amp;"|55",Positions!$A$2:$A$6912,0)),"-")</f>
        <v>U</v>
      </c>
      <c r="H1873" s="25" t="str">
        <f aca="false">F1873&amp;"-"&amp;G1873</f>
        <v>G-U</v>
      </c>
      <c r="I1873" s="24" t="n">
        <f aca="false">(F1873="G")+(G1873="G")</f>
        <v>1</v>
      </c>
      <c r="J1873" s="24" t="n">
        <f aca="false">(F1873="C")+(G1873="C")</f>
        <v>0</v>
      </c>
      <c r="K1873" s="25" t="n">
        <f aca="false">I1873+J1873</f>
        <v>1</v>
      </c>
    </row>
    <row r="1874" customFormat="false" ht="15" hidden="false" customHeight="false" outlineLevel="0" collapsed="false">
      <c r="A1874" s="24" t="s">
        <v>103</v>
      </c>
      <c r="B1874" s="24" t="s">
        <v>530</v>
      </c>
      <c r="C1874" s="24" t="s">
        <v>534</v>
      </c>
      <c r="D1874" s="24" t="n">
        <f aca="false">IFERROR(INDEX(Positions!$D$2:$D$6912,MATCH($A1874&amp;"|19",Positions!$A$2:$A$6912,0)),"-")</f>
        <v>19</v>
      </c>
      <c r="E1874" s="24" t="n">
        <f aca="false">IFERROR(INDEX(Positions!$D$2:$D$6912,MATCH($A1874&amp;"|56",Positions!$A$2:$A$6912,0)),"-")</f>
        <v>56</v>
      </c>
      <c r="F1874" s="24" t="str">
        <f aca="false">IFERROR(INDEX(Positions!$E$2:$E$6912,MATCH($A1874&amp;"|19",Positions!$A$2:$A$6912,0)),"-")</f>
        <v>G</v>
      </c>
      <c r="G1874" s="24" t="str">
        <f aca="false">IFERROR(INDEX(Positions!$E$2:$E$6912,MATCH($A1874&amp;"|56",Positions!$A$2:$A$6912,0)),"-")</f>
        <v>C</v>
      </c>
      <c r="H1874" s="25" t="str">
        <f aca="false">F1874&amp;"-"&amp;G1874</f>
        <v>G-C</v>
      </c>
      <c r="I1874" s="24" t="n">
        <f aca="false">(F1874="G")+(G1874="G")</f>
        <v>1</v>
      </c>
      <c r="J1874" s="24" t="n">
        <f aca="false">(F1874="C")+(G1874="C")</f>
        <v>1</v>
      </c>
      <c r="K1874" s="25" t="n">
        <f aca="false">I1874+J1874</f>
        <v>2</v>
      </c>
    </row>
    <row r="1875" customFormat="false" ht="15" hidden="false" customHeight="false" outlineLevel="0" collapsed="false">
      <c r="A1875" s="24" t="s">
        <v>103</v>
      </c>
      <c r="B1875" s="24" t="s">
        <v>530</v>
      </c>
      <c r="C1875" s="24" t="s">
        <v>535</v>
      </c>
      <c r="D1875" s="24" t="n">
        <f aca="false">IFERROR(INDEX(Positions!$D$2:$D$6912,MATCH($A1875&amp;"|26",Positions!$A$2:$A$6912,0)),"-")</f>
        <v>26</v>
      </c>
      <c r="E1875" s="24" t="n">
        <f aca="false">IFERROR(INDEX(Positions!$D$2:$D$6912,MATCH($A1875&amp;"|44",Positions!$A$2:$A$6912,0)),"-")</f>
        <v>44</v>
      </c>
      <c r="F1875" s="24" t="str">
        <f aca="false">IFERROR(INDEX(Positions!$E$2:$E$6912,MATCH($A1875&amp;"|26",Positions!$A$2:$A$6912,0)),"-")</f>
        <v>C</v>
      </c>
      <c r="G1875" s="24" t="str">
        <f aca="false">IFERROR(INDEX(Positions!$E$2:$E$6912,MATCH($A1875&amp;"|44",Positions!$A$2:$A$6912,0)),"-")</f>
        <v>U</v>
      </c>
      <c r="H1875" s="25" t="str">
        <f aca="false">F1875&amp;"-"&amp;G1875</f>
        <v>C-U</v>
      </c>
      <c r="I1875" s="24" t="n">
        <f aca="false">(F1875="G")+(G1875="G")</f>
        <v>0</v>
      </c>
      <c r="J1875" s="24" t="n">
        <f aca="false">(F1875="C")+(G1875="C")</f>
        <v>1</v>
      </c>
      <c r="K1875" s="25" t="n">
        <f aca="false">I1875+J1875</f>
        <v>1</v>
      </c>
    </row>
    <row r="1876" customFormat="false" ht="15" hidden="false" customHeight="false" outlineLevel="0" collapsed="false">
      <c r="A1876" s="24" t="s">
        <v>103</v>
      </c>
      <c r="B1876" s="24" t="s">
        <v>530</v>
      </c>
      <c r="C1876" s="24" t="s">
        <v>536</v>
      </c>
      <c r="D1876" s="24" t="n">
        <f aca="false">IFERROR(INDEX(Positions!$D$2:$D$6912,MATCH($A1876&amp;"|32",Positions!$A$2:$A$6912,0)),"-")</f>
        <v>32</v>
      </c>
      <c r="E1876" s="24" t="n">
        <f aca="false">IFERROR(INDEX(Positions!$D$2:$D$6912,MATCH($A1876&amp;"|38",Positions!$A$2:$A$6912,0)),"-")</f>
        <v>38</v>
      </c>
      <c r="F1876" s="24" t="str">
        <f aca="false">IFERROR(INDEX(Positions!$E$2:$E$6912,MATCH($A1876&amp;"|32",Positions!$A$2:$A$6912,0)),"-")</f>
        <v>U</v>
      </c>
      <c r="G1876" s="24" t="str">
        <f aca="false">IFERROR(INDEX(Positions!$E$2:$E$6912,MATCH($A1876&amp;"|38",Positions!$A$2:$A$6912,0)),"-")</f>
        <v>U</v>
      </c>
      <c r="H1876" s="25" t="str">
        <f aca="false">F1876&amp;"-"&amp;G1876</f>
        <v>U-U</v>
      </c>
      <c r="I1876" s="24" t="n">
        <f aca="false">(F1876="G")+(G1876="G")</f>
        <v>0</v>
      </c>
      <c r="J1876" s="24" t="n">
        <f aca="false">(F1876="C")+(G1876="C")</f>
        <v>0</v>
      </c>
      <c r="K1876" s="25" t="n">
        <f aca="false">I1876+J1876</f>
        <v>0</v>
      </c>
    </row>
    <row r="1877" customFormat="false" ht="15" hidden="false" customHeight="false" outlineLevel="0" collapsed="false">
      <c r="A1877" s="24" t="s">
        <v>103</v>
      </c>
      <c r="B1877" s="24" t="s">
        <v>530</v>
      </c>
      <c r="C1877" s="24" t="s">
        <v>537</v>
      </c>
      <c r="D1877" s="24" t="n">
        <f aca="false">IFERROR(INDEX(Positions!$D$2:$D$6912,MATCH($A1877&amp;"|54",Positions!$A$2:$A$6912,0)),"-")</f>
        <v>54</v>
      </c>
      <c r="E1877" s="24" t="n">
        <f aca="false">IFERROR(INDEX(Positions!$D$2:$D$6912,MATCH($A1877&amp;"|58",Positions!$A$2:$A$6912,0)),"-")</f>
        <v>58</v>
      </c>
      <c r="F1877" s="24" t="str">
        <f aca="false">IFERROR(INDEX(Positions!$E$2:$E$6912,MATCH($A1877&amp;"|54",Positions!$A$2:$A$6912,0)),"-")</f>
        <v>U</v>
      </c>
      <c r="G1877" s="24" t="str">
        <f aca="false">IFERROR(INDEX(Positions!$E$2:$E$6912,MATCH($A1877&amp;"|58",Positions!$A$2:$A$6912,0)),"-")</f>
        <v>A</v>
      </c>
      <c r="H1877" s="25" t="str">
        <f aca="false">F1877&amp;"-"&amp;G1877</f>
        <v>U-A</v>
      </c>
      <c r="I1877" s="24" t="n">
        <f aca="false">(F1877="G")+(G1877="G")</f>
        <v>0</v>
      </c>
      <c r="J1877" s="24" t="n">
        <f aca="false">(F1877="C")+(G1877="C")</f>
        <v>0</v>
      </c>
      <c r="K1877" s="25" t="n">
        <f aca="false">I1877+J1877</f>
        <v>0</v>
      </c>
    </row>
    <row r="1878" customFormat="false" ht="15" hidden="false" customHeight="false" outlineLevel="0" collapsed="false">
      <c r="A1878" s="4" t="s">
        <v>104</v>
      </c>
      <c r="B1878" s="4" t="s">
        <v>412</v>
      </c>
      <c r="C1878" s="4" t="s">
        <v>517</v>
      </c>
      <c r="D1878" s="4" t="n">
        <f aca="false">IFERROR(INDEX(Positions!$D$2:$D$6912,MATCH($A1878&amp;"|1",Positions!$A$2:$A$6912,0)),"-")</f>
        <v>1</v>
      </c>
      <c r="E1878" s="4" t="n">
        <f aca="false">IFERROR(INDEX(Positions!$D$2:$D$6912,MATCH($A1878&amp;"|72",Positions!$A$2:$A$6912,0)),"-")</f>
        <v>73</v>
      </c>
      <c r="F1878" s="4" t="str">
        <f aca="false">IFERROR(INDEX(Positions!$E$2:$E$6912,MATCH($A1878&amp;"|1",Positions!$A$2:$A$6912,0)),"-")</f>
        <v>C</v>
      </c>
      <c r="G1878" s="4" t="str">
        <f aca="false">IFERROR(INDEX(Positions!$E$2:$E$6912,MATCH($A1878&amp;"|72",Positions!$A$2:$A$6912,0)),"-")</f>
        <v>G</v>
      </c>
      <c r="H1878" s="3" t="str">
        <f aca="false">F1878&amp;"-"&amp;G1878</f>
        <v>C-G</v>
      </c>
      <c r="I1878" s="4" t="n">
        <f aca="false">(F1878="G")+(G1878="G")</f>
        <v>1</v>
      </c>
      <c r="J1878" s="4" t="n">
        <f aca="false">(F1878="C")+(G1878="C")</f>
        <v>1</v>
      </c>
      <c r="K1878" s="3" t="n">
        <f aca="false">I1878+J1878</f>
        <v>2</v>
      </c>
    </row>
    <row r="1879" customFormat="false" ht="15" hidden="false" customHeight="false" outlineLevel="0" collapsed="false">
      <c r="A1879" s="4" t="s">
        <v>104</v>
      </c>
      <c r="B1879" s="4" t="s">
        <v>412</v>
      </c>
      <c r="C1879" s="4" t="s">
        <v>518</v>
      </c>
      <c r="D1879" s="4" t="n">
        <f aca="false">IFERROR(INDEX(Positions!$D$2:$D$6912,MATCH($A1879&amp;"|2",Positions!$A$2:$A$6912,0)),"-")</f>
        <v>2</v>
      </c>
      <c r="E1879" s="4" t="n">
        <f aca="false">IFERROR(INDEX(Positions!$D$2:$D$6912,MATCH($A1879&amp;"|71",Positions!$A$2:$A$6912,0)),"-")</f>
        <v>72</v>
      </c>
      <c r="F1879" s="4" t="str">
        <f aca="false">IFERROR(INDEX(Positions!$E$2:$E$6912,MATCH($A1879&amp;"|2",Positions!$A$2:$A$6912,0)),"-")</f>
        <v>G</v>
      </c>
      <c r="G1879" s="4" t="str">
        <f aca="false">IFERROR(INDEX(Positions!$E$2:$E$6912,MATCH($A1879&amp;"|71",Positions!$A$2:$A$6912,0)),"-")</f>
        <v>C</v>
      </c>
      <c r="H1879" s="3" t="str">
        <f aca="false">F1879&amp;"-"&amp;G1879</f>
        <v>G-C</v>
      </c>
      <c r="I1879" s="4" t="n">
        <f aca="false">(F1879="G")+(G1879="G")</f>
        <v>1</v>
      </c>
      <c r="J1879" s="4" t="n">
        <f aca="false">(F1879="C")+(G1879="C")</f>
        <v>1</v>
      </c>
      <c r="K1879" s="3" t="n">
        <f aca="false">I1879+J1879</f>
        <v>2</v>
      </c>
    </row>
    <row r="1880" customFormat="false" ht="15" hidden="false" customHeight="false" outlineLevel="0" collapsed="false">
      <c r="A1880" s="4" t="s">
        <v>104</v>
      </c>
      <c r="B1880" s="4" t="s">
        <v>412</v>
      </c>
      <c r="C1880" s="4" t="s">
        <v>386</v>
      </c>
      <c r="D1880" s="4" t="n">
        <f aca="false">IFERROR(INDEX(Positions!$D$2:$D$6912,MATCH($A1880&amp;"|3",Positions!$A$2:$A$6912,0)),"-")</f>
        <v>3</v>
      </c>
      <c r="E1880" s="4" t="n">
        <f aca="false">IFERROR(INDEX(Positions!$D$2:$D$6912,MATCH($A1880&amp;"|70",Positions!$A$2:$A$6912,0)),"-")</f>
        <v>71</v>
      </c>
      <c r="F1880" s="4" t="str">
        <f aca="false">IFERROR(INDEX(Positions!$E$2:$E$6912,MATCH($A1880&amp;"|3",Positions!$A$2:$A$6912,0)),"-")</f>
        <v>G</v>
      </c>
      <c r="G1880" s="4" t="str">
        <f aca="false">IFERROR(INDEX(Positions!$E$2:$E$6912,MATCH($A1880&amp;"|70",Positions!$A$2:$A$6912,0)),"-")</f>
        <v>C</v>
      </c>
      <c r="H1880" s="3" t="str">
        <f aca="false">F1880&amp;"-"&amp;G1880</f>
        <v>G-C</v>
      </c>
      <c r="I1880" s="4" t="n">
        <f aca="false">(F1880="G")+(G1880="G")</f>
        <v>1</v>
      </c>
      <c r="J1880" s="4" t="n">
        <f aca="false">(F1880="C")+(G1880="C")</f>
        <v>1</v>
      </c>
      <c r="K1880" s="3" t="n">
        <f aca="false">I1880+J1880</f>
        <v>2</v>
      </c>
    </row>
    <row r="1881" customFormat="false" ht="15" hidden="false" customHeight="false" outlineLevel="0" collapsed="false">
      <c r="A1881" s="4" t="s">
        <v>104</v>
      </c>
      <c r="B1881" s="4" t="s">
        <v>412</v>
      </c>
      <c r="C1881" s="4" t="s">
        <v>519</v>
      </c>
      <c r="D1881" s="4" t="n">
        <f aca="false">IFERROR(INDEX(Positions!$D$2:$D$6912,MATCH($A1881&amp;"|4",Positions!$A$2:$A$6912,0)),"-")</f>
        <v>4</v>
      </c>
      <c r="E1881" s="4" t="n">
        <f aca="false">IFERROR(INDEX(Positions!$D$2:$D$6912,MATCH($A1881&amp;"|69",Positions!$A$2:$A$6912,0)),"-")</f>
        <v>70</v>
      </c>
      <c r="F1881" s="4" t="str">
        <f aca="false">IFERROR(INDEX(Positions!$E$2:$E$6912,MATCH($A1881&amp;"|4",Positions!$A$2:$A$6912,0)),"-")</f>
        <v>U</v>
      </c>
      <c r="G1881" s="4" t="str">
        <f aca="false">IFERROR(INDEX(Positions!$E$2:$E$6912,MATCH($A1881&amp;"|69",Positions!$A$2:$A$6912,0)),"-")</f>
        <v>A</v>
      </c>
      <c r="H1881" s="3" t="str">
        <f aca="false">F1881&amp;"-"&amp;G1881</f>
        <v>U-A</v>
      </c>
      <c r="I1881" s="4" t="n">
        <f aca="false">(F1881="G")+(G1881="G")</f>
        <v>0</v>
      </c>
      <c r="J1881" s="4" t="n">
        <f aca="false">(F1881="C")+(G1881="C")</f>
        <v>0</v>
      </c>
      <c r="K1881" s="3" t="n">
        <f aca="false">I1881+J1881</f>
        <v>0</v>
      </c>
    </row>
    <row r="1882" customFormat="false" ht="15" hidden="false" customHeight="false" outlineLevel="0" collapsed="false">
      <c r="A1882" s="4" t="s">
        <v>104</v>
      </c>
      <c r="B1882" s="4" t="s">
        <v>412</v>
      </c>
      <c r="C1882" s="4" t="s">
        <v>283</v>
      </c>
      <c r="D1882" s="4" t="n">
        <f aca="false">IFERROR(INDEX(Positions!$D$2:$D$6912,MATCH($A1882&amp;"|5",Positions!$A$2:$A$6912,0)),"-")</f>
        <v>5</v>
      </c>
      <c r="E1882" s="4" t="n">
        <f aca="false">IFERROR(INDEX(Positions!$D$2:$D$6912,MATCH($A1882&amp;"|68",Positions!$A$2:$A$6912,0)),"-")</f>
        <v>69</v>
      </c>
      <c r="F1882" s="4" t="str">
        <f aca="false">IFERROR(INDEX(Positions!$E$2:$E$6912,MATCH($A1882&amp;"|5",Positions!$A$2:$A$6912,0)),"-")</f>
        <v>G</v>
      </c>
      <c r="G1882" s="4" t="str">
        <f aca="false">IFERROR(INDEX(Positions!$E$2:$E$6912,MATCH($A1882&amp;"|68",Positions!$A$2:$A$6912,0)),"-")</f>
        <v>C</v>
      </c>
      <c r="H1882" s="3" t="str">
        <f aca="false">F1882&amp;"-"&amp;G1882</f>
        <v>G-C</v>
      </c>
      <c r="I1882" s="4" t="n">
        <f aca="false">(F1882="G")+(G1882="G")</f>
        <v>1</v>
      </c>
      <c r="J1882" s="4" t="n">
        <f aca="false">(F1882="C")+(G1882="C")</f>
        <v>1</v>
      </c>
      <c r="K1882" s="3" t="n">
        <f aca="false">I1882+J1882</f>
        <v>2</v>
      </c>
    </row>
    <row r="1883" customFormat="false" ht="15" hidden="false" customHeight="false" outlineLevel="0" collapsed="false">
      <c r="A1883" s="4" t="s">
        <v>104</v>
      </c>
      <c r="B1883" s="4" t="s">
        <v>412</v>
      </c>
      <c r="C1883" s="4" t="s">
        <v>520</v>
      </c>
      <c r="D1883" s="4" t="n">
        <f aca="false">IFERROR(INDEX(Positions!$D$2:$D$6912,MATCH($A1883&amp;"|6",Positions!$A$2:$A$6912,0)),"-")</f>
        <v>6</v>
      </c>
      <c r="E1883" s="4" t="n">
        <f aca="false">IFERROR(INDEX(Positions!$D$2:$D$6912,MATCH($A1883&amp;"|67",Positions!$A$2:$A$6912,0)),"-")</f>
        <v>68</v>
      </c>
      <c r="F1883" s="4" t="str">
        <f aca="false">IFERROR(INDEX(Positions!$E$2:$E$6912,MATCH($A1883&amp;"|6",Positions!$A$2:$A$6912,0)),"-")</f>
        <v>A</v>
      </c>
      <c r="G1883" s="4" t="str">
        <f aca="false">IFERROR(INDEX(Positions!$E$2:$E$6912,MATCH($A1883&amp;"|67",Positions!$A$2:$A$6912,0)),"-")</f>
        <v>U</v>
      </c>
      <c r="H1883" s="3" t="str">
        <f aca="false">F1883&amp;"-"&amp;G1883</f>
        <v>A-U</v>
      </c>
      <c r="I1883" s="4" t="n">
        <f aca="false">(F1883="G")+(G1883="G")</f>
        <v>0</v>
      </c>
      <c r="J1883" s="4" t="n">
        <f aca="false">(F1883="C")+(G1883="C")</f>
        <v>0</v>
      </c>
      <c r="K1883" s="3" t="n">
        <f aca="false">I1883+J1883</f>
        <v>0</v>
      </c>
    </row>
    <row r="1884" customFormat="false" ht="15" hidden="false" customHeight="false" outlineLevel="0" collapsed="false">
      <c r="A1884" s="4" t="s">
        <v>104</v>
      </c>
      <c r="B1884" s="4" t="s">
        <v>412</v>
      </c>
      <c r="C1884" s="4" t="s">
        <v>521</v>
      </c>
      <c r="D1884" s="4" t="n">
        <f aca="false">IFERROR(INDEX(Positions!$D$2:$D$6912,MATCH($A1884&amp;"|7",Positions!$A$2:$A$6912,0)),"-")</f>
        <v>7</v>
      </c>
      <c r="E1884" s="4" t="n">
        <f aca="false">IFERROR(INDEX(Positions!$D$2:$D$6912,MATCH($A1884&amp;"|66",Positions!$A$2:$A$6912,0)),"-")</f>
        <v>67</v>
      </c>
      <c r="F1884" s="4" t="str">
        <f aca="false">IFERROR(INDEX(Positions!$E$2:$E$6912,MATCH($A1884&amp;"|7",Positions!$A$2:$A$6912,0)),"-")</f>
        <v>U</v>
      </c>
      <c r="G1884" s="4" t="str">
        <f aca="false">IFERROR(INDEX(Positions!$E$2:$E$6912,MATCH($A1884&amp;"|66",Positions!$A$2:$A$6912,0)),"-")</f>
        <v>A</v>
      </c>
      <c r="H1884" s="3" t="str">
        <f aca="false">F1884&amp;"-"&amp;G1884</f>
        <v>U-A</v>
      </c>
      <c r="I1884" s="4" t="n">
        <f aca="false">(F1884="G")+(G1884="G")</f>
        <v>0</v>
      </c>
      <c r="J1884" s="4" t="n">
        <f aca="false">(F1884="C")+(G1884="C")</f>
        <v>0</v>
      </c>
      <c r="K1884" s="3" t="n">
        <f aca="false">I1884+J1884</f>
        <v>0</v>
      </c>
    </row>
    <row r="1885" customFormat="false" ht="15" hidden="false" customHeight="false" outlineLevel="0" collapsed="false">
      <c r="A1885" s="4" t="s">
        <v>104</v>
      </c>
      <c r="B1885" s="4" t="s">
        <v>425</v>
      </c>
      <c r="C1885" s="4" t="s">
        <v>522</v>
      </c>
      <c r="D1885" s="4" t="n">
        <f aca="false">IFERROR(INDEX(Positions!$D$2:$D$6912,MATCH($A1885&amp;"|10",Positions!$A$2:$A$6912,0)),"-")</f>
        <v>10</v>
      </c>
      <c r="E1885" s="4" t="n">
        <f aca="false">IFERROR(INDEX(Positions!$D$2:$D$6912,MATCH($A1885&amp;"|25",Positions!$A$2:$A$6912,0)),"-")</f>
        <v>26</v>
      </c>
      <c r="F1885" s="4" t="str">
        <f aca="false">IFERROR(INDEX(Positions!$E$2:$E$6912,MATCH($A1885&amp;"|10",Positions!$A$2:$A$6912,0)),"-")</f>
        <v>G</v>
      </c>
      <c r="G1885" s="4" t="str">
        <f aca="false">IFERROR(INDEX(Positions!$E$2:$E$6912,MATCH($A1885&amp;"|25",Positions!$A$2:$A$6912,0)),"-")</f>
        <v>C</v>
      </c>
      <c r="H1885" s="3" t="str">
        <f aca="false">F1885&amp;"-"&amp;G1885</f>
        <v>G-C</v>
      </c>
      <c r="I1885" s="4" t="n">
        <f aca="false">(F1885="G")+(G1885="G")</f>
        <v>1</v>
      </c>
      <c r="J1885" s="4" t="n">
        <f aca="false">(F1885="C")+(G1885="C")</f>
        <v>1</v>
      </c>
      <c r="K1885" s="3" t="n">
        <f aca="false">I1885+J1885</f>
        <v>2</v>
      </c>
    </row>
    <row r="1886" customFormat="false" ht="15" hidden="false" customHeight="false" outlineLevel="0" collapsed="false">
      <c r="A1886" s="4" t="s">
        <v>104</v>
      </c>
      <c r="B1886" s="4" t="s">
        <v>425</v>
      </c>
      <c r="C1886" s="4" t="s">
        <v>523</v>
      </c>
      <c r="D1886" s="4" t="n">
        <f aca="false">IFERROR(INDEX(Positions!$D$2:$D$6912,MATCH($A1886&amp;"|11",Positions!$A$2:$A$6912,0)),"-")</f>
        <v>11</v>
      </c>
      <c r="E1886" s="4" t="n">
        <f aca="false">IFERROR(INDEX(Positions!$D$2:$D$6912,MATCH($A1886&amp;"|24",Positions!$A$2:$A$6912,0)),"-")</f>
        <v>25</v>
      </c>
      <c r="F1886" s="4" t="str">
        <f aca="false">IFERROR(INDEX(Positions!$E$2:$E$6912,MATCH($A1886&amp;"|11",Positions!$A$2:$A$6912,0)),"-")</f>
        <v>C</v>
      </c>
      <c r="G1886" s="4" t="str">
        <f aca="false">IFERROR(INDEX(Positions!$E$2:$E$6912,MATCH($A1886&amp;"|24",Positions!$A$2:$A$6912,0)),"-")</f>
        <v>G</v>
      </c>
      <c r="H1886" s="3" t="str">
        <f aca="false">F1886&amp;"-"&amp;G1886</f>
        <v>C-G</v>
      </c>
      <c r="I1886" s="4" t="n">
        <f aca="false">(F1886="G")+(G1886="G")</f>
        <v>1</v>
      </c>
      <c r="J1886" s="4" t="n">
        <f aca="false">(F1886="C")+(G1886="C")</f>
        <v>1</v>
      </c>
      <c r="K1886" s="3" t="n">
        <f aca="false">I1886+J1886</f>
        <v>2</v>
      </c>
    </row>
    <row r="1887" customFormat="false" ht="15" hidden="false" customHeight="false" outlineLevel="0" collapsed="false">
      <c r="A1887" s="4" t="s">
        <v>104</v>
      </c>
      <c r="B1887" s="4" t="s">
        <v>425</v>
      </c>
      <c r="C1887" s="4" t="s">
        <v>250</v>
      </c>
      <c r="D1887" s="4" t="n">
        <f aca="false">IFERROR(INDEX(Positions!$D$2:$D$6912,MATCH($A1887&amp;"|12",Positions!$A$2:$A$6912,0)),"-")</f>
        <v>12</v>
      </c>
      <c r="E1887" s="4" t="n">
        <f aca="false">IFERROR(INDEX(Positions!$D$2:$D$6912,MATCH($A1887&amp;"|23",Positions!$A$2:$A$6912,0)),"-")</f>
        <v>24</v>
      </c>
      <c r="F1887" s="4" t="str">
        <f aca="false">IFERROR(INDEX(Positions!$E$2:$E$6912,MATCH($A1887&amp;"|12",Positions!$A$2:$A$6912,0)),"-")</f>
        <v>G</v>
      </c>
      <c r="G1887" s="4" t="str">
        <f aca="false">IFERROR(INDEX(Positions!$E$2:$E$6912,MATCH($A1887&amp;"|23",Positions!$A$2:$A$6912,0)),"-")</f>
        <v>C</v>
      </c>
      <c r="H1887" s="3" t="str">
        <f aca="false">F1887&amp;"-"&amp;G1887</f>
        <v>G-C</v>
      </c>
      <c r="I1887" s="4" t="n">
        <f aca="false">(F1887="G")+(G1887="G")</f>
        <v>1</v>
      </c>
      <c r="J1887" s="4" t="n">
        <f aca="false">(F1887="C")+(G1887="C")</f>
        <v>1</v>
      </c>
      <c r="K1887" s="3" t="n">
        <f aca="false">I1887+J1887</f>
        <v>2</v>
      </c>
    </row>
    <row r="1888" customFormat="false" ht="15" hidden="false" customHeight="false" outlineLevel="0" collapsed="false">
      <c r="A1888" s="4" t="s">
        <v>104</v>
      </c>
      <c r="B1888" s="4" t="s">
        <v>425</v>
      </c>
      <c r="C1888" s="4" t="s">
        <v>154</v>
      </c>
      <c r="D1888" s="4" t="n">
        <f aca="false">IFERROR(INDEX(Positions!$D$2:$D$6912,MATCH($A1888&amp;"|13",Positions!$A$2:$A$6912,0)),"-")</f>
        <v>13</v>
      </c>
      <c r="E1888" s="4" t="n">
        <f aca="false">IFERROR(INDEX(Positions!$D$2:$D$6912,MATCH($A1888&amp;"|22",Positions!$A$2:$A$6912,0)),"-")</f>
        <v>23</v>
      </c>
      <c r="F1888" s="4" t="str">
        <f aca="false">IFERROR(INDEX(Positions!$E$2:$E$6912,MATCH($A1888&amp;"|13",Positions!$A$2:$A$6912,0)),"-")</f>
        <v>C</v>
      </c>
      <c r="G1888" s="4" t="str">
        <f aca="false">IFERROR(INDEX(Positions!$E$2:$E$6912,MATCH($A1888&amp;"|22",Positions!$A$2:$A$6912,0)),"-")</f>
        <v>G</v>
      </c>
      <c r="H1888" s="3" t="str">
        <f aca="false">F1888&amp;"-"&amp;G1888</f>
        <v>C-G</v>
      </c>
      <c r="I1888" s="4" t="n">
        <f aca="false">(F1888="G")+(G1888="G")</f>
        <v>1</v>
      </c>
      <c r="J1888" s="4" t="n">
        <f aca="false">(F1888="C")+(G1888="C")</f>
        <v>1</v>
      </c>
      <c r="K1888" s="3" t="n">
        <f aca="false">I1888+J1888</f>
        <v>2</v>
      </c>
    </row>
    <row r="1889" customFormat="false" ht="15" hidden="false" customHeight="false" outlineLevel="0" collapsed="false">
      <c r="A1889" s="4" t="s">
        <v>104</v>
      </c>
      <c r="B1889" s="4" t="s">
        <v>446</v>
      </c>
      <c r="C1889" s="4" t="s">
        <v>524</v>
      </c>
      <c r="D1889" s="4" t="n">
        <f aca="false">IFERROR(INDEX(Positions!$D$2:$D$6912,MATCH($A1889&amp;"|27",Positions!$A$2:$A$6912,0)),"-")</f>
        <v>28</v>
      </c>
      <c r="E1889" s="4" t="n">
        <f aca="false">IFERROR(INDEX(Positions!$D$2:$D$6912,MATCH($A1889&amp;"|43",Positions!$A$2:$A$6912,0)),"-")</f>
        <v>44</v>
      </c>
      <c r="F1889" s="4" t="str">
        <f aca="false">IFERROR(INDEX(Positions!$E$2:$E$6912,MATCH($A1889&amp;"|27",Positions!$A$2:$A$6912,0)),"-")</f>
        <v>C</v>
      </c>
      <c r="G1889" s="4" t="str">
        <f aca="false">IFERROR(INDEX(Positions!$E$2:$E$6912,MATCH($A1889&amp;"|43",Positions!$A$2:$A$6912,0)),"-")</f>
        <v>G</v>
      </c>
      <c r="H1889" s="3" t="str">
        <f aca="false">F1889&amp;"-"&amp;G1889</f>
        <v>C-G</v>
      </c>
      <c r="I1889" s="4" t="n">
        <f aca="false">(F1889="G")+(G1889="G")</f>
        <v>1</v>
      </c>
      <c r="J1889" s="4" t="n">
        <f aca="false">(F1889="C")+(G1889="C")</f>
        <v>1</v>
      </c>
      <c r="K1889" s="3" t="n">
        <f aca="false">I1889+J1889</f>
        <v>2</v>
      </c>
    </row>
    <row r="1890" customFormat="false" ht="15" hidden="false" customHeight="false" outlineLevel="0" collapsed="false">
      <c r="A1890" s="4" t="s">
        <v>104</v>
      </c>
      <c r="B1890" s="4" t="s">
        <v>446</v>
      </c>
      <c r="C1890" s="4" t="s">
        <v>525</v>
      </c>
      <c r="D1890" s="4" t="n">
        <f aca="false">IFERROR(INDEX(Positions!$D$2:$D$6912,MATCH($A1890&amp;"|28",Positions!$A$2:$A$6912,0)),"-")</f>
        <v>29</v>
      </c>
      <c r="E1890" s="4" t="n">
        <f aca="false">IFERROR(INDEX(Positions!$D$2:$D$6912,MATCH($A1890&amp;"|42",Positions!$A$2:$A$6912,0)),"-")</f>
        <v>43</v>
      </c>
      <c r="F1890" s="4" t="str">
        <f aca="false">IFERROR(INDEX(Positions!$E$2:$E$6912,MATCH($A1890&amp;"|28",Positions!$A$2:$A$6912,0)),"-")</f>
        <v>U</v>
      </c>
      <c r="G1890" s="4" t="str">
        <f aca="false">IFERROR(INDEX(Positions!$E$2:$E$6912,MATCH($A1890&amp;"|42",Positions!$A$2:$A$6912,0)),"-")</f>
        <v>A</v>
      </c>
      <c r="H1890" s="3" t="str">
        <f aca="false">F1890&amp;"-"&amp;G1890</f>
        <v>U-A</v>
      </c>
      <c r="I1890" s="4" t="n">
        <f aca="false">(F1890="G")+(G1890="G")</f>
        <v>0</v>
      </c>
      <c r="J1890" s="4" t="n">
        <f aca="false">(F1890="C")+(G1890="C")</f>
        <v>0</v>
      </c>
      <c r="K1890" s="3" t="n">
        <f aca="false">I1890+J1890</f>
        <v>0</v>
      </c>
    </row>
    <row r="1891" customFormat="false" ht="15" hidden="false" customHeight="false" outlineLevel="0" collapsed="false">
      <c r="A1891" s="4" t="s">
        <v>104</v>
      </c>
      <c r="B1891" s="4" t="s">
        <v>446</v>
      </c>
      <c r="C1891" s="4" t="s">
        <v>256</v>
      </c>
      <c r="D1891" s="4" t="n">
        <f aca="false">IFERROR(INDEX(Positions!$D$2:$D$6912,MATCH($A1891&amp;"|29",Positions!$A$2:$A$6912,0)),"-")</f>
        <v>30</v>
      </c>
      <c r="E1891" s="4" t="n">
        <f aca="false">IFERROR(INDEX(Positions!$D$2:$D$6912,MATCH($A1891&amp;"|41",Positions!$A$2:$A$6912,0)),"-")</f>
        <v>42</v>
      </c>
      <c r="F1891" s="4" t="str">
        <f aca="false">IFERROR(INDEX(Positions!$E$2:$E$6912,MATCH($A1891&amp;"|29",Positions!$A$2:$A$6912,0)),"-")</f>
        <v>U</v>
      </c>
      <c r="G1891" s="4" t="str">
        <f aca="false">IFERROR(INDEX(Positions!$E$2:$E$6912,MATCH($A1891&amp;"|41",Positions!$A$2:$A$6912,0)),"-")</f>
        <v>A</v>
      </c>
      <c r="H1891" s="3" t="str">
        <f aca="false">F1891&amp;"-"&amp;G1891</f>
        <v>U-A</v>
      </c>
      <c r="I1891" s="4" t="n">
        <f aca="false">(F1891="G")+(G1891="G")</f>
        <v>0</v>
      </c>
      <c r="J1891" s="4" t="n">
        <f aca="false">(F1891="C")+(G1891="C")</f>
        <v>0</v>
      </c>
      <c r="K1891" s="3" t="n">
        <f aca="false">I1891+J1891</f>
        <v>0</v>
      </c>
    </row>
    <row r="1892" customFormat="false" ht="15" hidden="false" customHeight="false" outlineLevel="0" collapsed="false">
      <c r="A1892" s="4" t="s">
        <v>104</v>
      </c>
      <c r="B1892" s="4" t="s">
        <v>446</v>
      </c>
      <c r="C1892" s="4" t="s">
        <v>526</v>
      </c>
      <c r="D1892" s="4" t="n">
        <f aca="false">IFERROR(INDEX(Positions!$D$2:$D$6912,MATCH($A1892&amp;"|30",Positions!$A$2:$A$6912,0)),"-")</f>
        <v>31</v>
      </c>
      <c r="E1892" s="4" t="n">
        <f aca="false">IFERROR(INDEX(Positions!$D$2:$D$6912,MATCH($A1892&amp;"|40",Positions!$A$2:$A$6912,0)),"-")</f>
        <v>41</v>
      </c>
      <c r="F1892" s="4" t="str">
        <f aca="false">IFERROR(INDEX(Positions!$E$2:$E$6912,MATCH($A1892&amp;"|30",Positions!$A$2:$A$6912,0)),"-")</f>
        <v>C</v>
      </c>
      <c r="G1892" s="4" t="str">
        <f aca="false">IFERROR(INDEX(Positions!$E$2:$E$6912,MATCH($A1892&amp;"|40",Positions!$A$2:$A$6912,0)),"-")</f>
        <v>G</v>
      </c>
      <c r="H1892" s="3" t="str">
        <f aca="false">F1892&amp;"-"&amp;G1892</f>
        <v>C-G</v>
      </c>
      <c r="I1892" s="4" t="n">
        <f aca="false">(F1892="G")+(G1892="G")</f>
        <v>1</v>
      </c>
      <c r="J1892" s="4" t="n">
        <f aca="false">(F1892="C")+(G1892="C")</f>
        <v>1</v>
      </c>
      <c r="K1892" s="3" t="n">
        <f aca="false">I1892+J1892</f>
        <v>2</v>
      </c>
    </row>
    <row r="1893" customFormat="false" ht="15" hidden="false" customHeight="false" outlineLevel="0" collapsed="false">
      <c r="A1893" s="4" t="s">
        <v>104</v>
      </c>
      <c r="B1893" s="4" t="s">
        <v>446</v>
      </c>
      <c r="C1893" s="4" t="s">
        <v>273</v>
      </c>
      <c r="D1893" s="4" t="n">
        <f aca="false">IFERROR(INDEX(Positions!$D$2:$D$6912,MATCH($A1893&amp;"|31",Positions!$A$2:$A$6912,0)),"-")</f>
        <v>32</v>
      </c>
      <c r="E1893" s="4" t="n">
        <f aca="false">IFERROR(INDEX(Positions!$D$2:$D$6912,MATCH($A1893&amp;"|39",Positions!$A$2:$A$6912,0)),"-")</f>
        <v>40</v>
      </c>
      <c r="F1893" s="4" t="str">
        <f aca="false">IFERROR(INDEX(Positions!$E$2:$E$6912,MATCH($A1893&amp;"|31",Positions!$A$2:$A$6912,0)),"-")</f>
        <v>G</v>
      </c>
      <c r="G1893" s="4" t="str">
        <f aca="false">IFERROR(INDEX(Positions!$E$2:$E$6912,MATCH($A1893&amp;"|39",Positions!$A$2:$A$6912,0)),"-")</f>
        <v>C</v>
      </c>
      <c r="H1893" s="3" t="str">
        <f aca="false">F1893&amp;"-"&amp;G1893</f>
        <v>G-C</v>
      </c>
      <c r="I1893" s="4" t="n">
        <f aca="false">(F1893="G")+(G1893="G")</f>
        <v>1</v>
      </c>
      <c r="J1893" s="4" t="n">
        <f aca="false">(F1893="C")+(G1893="C")</f>
        <v>1</v>
      </c>
      <c r="K1893" s="3" t="n">
        <f aca="false">I1893+J1893</f>
        <v>2</v>
      </c>
    </row>
    <row r="1894" customFormat="false" ht="15" hidden="false" customHeight="false" outlineLevel="0" collapsed="false">
      <c r="A1894" s="4" t="s">
        <v>104</v>
      </c>
      <c r="B1894" s="4" t="s">
        <v>471</v>
      </c>
      <c r="C1894" s="4" t="s">
        <v>367</v>
      </c>
      <c r="D1894" s="4" t="n">
        <f aca="false">IFERROR(INDEX(Positions!$D$2:$D$6912,MATCH($A1894&amp;"|49",Positions!$A$2:$A$6912,0)),"-")</f>
        <v>50</v>
      </c>
      <c r="E1894" s="4" t="n">
        <f aca="false">IFERROR(INDEX(Positions!$D$2:$D$6912,MATCH($A1894&amp;"|65",Positions!$A$2:$A$6912,0)),"-")</f>
        <v>66</v>
      </c>
      <c r="F1894" s="4" t="str">
        <f aca="false">IFERROR(INDEX(Positions!$E$2:$E$6912,MATCH($A1894&amp;"|49",Positions!$A$2:$A$6912,0)),"-")</f>
        <v>G</v>
      </c>
      <c r="G1894" s="4" t="str">
        <f aca="false">IFERROR(INDEX(Positions!$E$2:$E$6912,MATCH($A1894&amp;"|65",Positions!$A$2:$A$6912,0)),"-")</f>
        <v>U</v>
      </c>
      <c r="H1894" s="3" t="str">
        <f aca="false">F1894&amp;"-"&amp;G1894</f>
        <v>G-U</v>
      </c>
      <c r="I1894" s="4" t="n">
        <f aca="false">(F1894="G")+(G1894="G")</f>
        <v>1</v>
      </c>
      <c r="J1894" s="4" t="n">
        <f aca="false">(F1894="C")+(G1894="C")</f>
        <v>0</v>
      </c>
      <c r="K1894" s="3" t="n">
        <f aca="false">I1894+J1894</f>
        <v>1</v>
      </c>
    </row>
    <row r="1895" customFormat="false" ht="15" hidden="false" customHeight="false" outlineLevel="0" collapsed="false">
      <c r="A1895" s="4" t="s">
        <v>104</v>
      </c>
      <c r="B1895" s="4" t="s">
        <v>471</v>
      </c>
      <c r="C1895" s="4" t="s">
        <v>233</v>
      </c>
      <c r="D1895" s="4" t="n">
        <f aca="false">IFERROR(INDEX(Positions!$D$2:$D$6912,MATCH($A1895&amp;"|50",Positions!$A$2:$A$6912,0)),"-")</f>
        <v>51</v>
      </c>
      <c r="E1895" s="4" t="n">
        <f aca="false">IFERROR(INDEX(Positions!$D$2:$D$6912,MATCH($A1895&amp;"|64",Positions!$A$2:$A$6912,0)),"-")</f>
        <v>65</v>
      </c>
      <c r="F1895" s="4" t="str">
        <f aca="false">IFERROR(INDEX(Positions!$E$2:$E$6912,MATCH($A1895&amp;"|50",Positions!$A$2:$A$6912,0)),"-")</f>
        <v>G</v>
      </c>
      <c r="G1895" s="4" t="str">
        <f aca="false">IFERROR(INDEX(Positions!$E$2:$E$6912,MATCH($A1895&amp;"|64",Positions!$A$2:$A$6912,0)),"-")</f>
        <v>C</v>
      </c>
      <c r="H1895" s="3" t="str">
        <f aca="false">F1895&amp;"-"&amp;G1895</f>
        <v>G-C</v>
      </c>
      <c r="I1895" s="4" t="n">
        <f aca="false">(F1895="G")+(G1895="G")</f>
        <v>1</v>
      </c>
      <c r="J1895" s="4" t="n">
        <f aca="false">(F1895="C")+(G1895="C")</f>
        <v>1</v>
      </c>
      <c r="K1895" s="3" t="n">
        <f aca="false">I1895+J1895</f>
        <v>2</v>
      </c>
    </row>
    <row r="1896" customFormat="false" ht="15" hidden="false" customHeight="false" outlineLevel="0" collapsed="false">
      <c r="A1896" s="4" t="s">
        <v>104</v>
      </c>
      <c r="B1896" s="4" t="s">
        <v>471</v>
      </c>
      <c r="C1896" s="4" t="s">
        <v>527</v>
      </c>
      <c r="D1896" s="4" t="n">
        <f aca="false">IFERROR(INDEX(Positions!$D$2:$D$6912,MATCH($A1896&amp;"|51",Positions!$A$2:$A$6912,0)),"-")</f>
        <v>52</v>
      </c>
      <c r="E1896" s="4" t="n">
        <f aca="false">IFERROR(INDEX(Positions!$D$2:$D$6912,MATCH($A1896&amp;"|63",Positions!$A$2:$A$6912,0)),"-")</f>
        <v>64</v>
      </c>
      <c r="F1896" s="4" t="str">
        <f aca="false">IFERROR(INDEX(Positions!$E$2:$E$6912,MATCH($A1896&amp;"|51",Positions!$A$2:$A$6912,0)),"-")</f>
        <v>A</v>
      </c>
      <c r="G1896" s="4" t="str">
        <f aca="false">IFERROR(INDEX(Positions!$E$2:$E$6912,MATCH($A1896&amp;"|63",Positions!$A$2:$A$6912,0)),"-")</f>
        <v>U</v>
      </c>
      <c r="H1896" s="3" t="str">
        <f aca="false">F1896&amp;"-"&amp;G1896</f>
        <v>A-U</v>
      </c>
      <c r="I1896" s="4" t="n">
        <f aca="false">(F1896="G")+(G1896="G")</f>
        <v>0</v>
      </c>
      <c r="J1896" s="4" t="n">
        <f aca="false">(F1896="C")+(G1896="C")</f>
        <v>0</v>
      </c>
      <c r="K1896" s="3" t="n">
        <f aca="false">I1896+J1896</f>
        <v>0</v>
      </c>
    </row>
    <row r="1897" customFormat="false" ht="15" hidden="false" customHeight="false" outlineLevel="0" collapsed="false">
      <c r="A1897" s="4" t="s">
        <v>104</v>
      </c>
      <c r="B1897" s="4" t="s">
        <v>471</v>
      </c>
      <c r="C1897" s="4" t="s">
        <v>528</v>
      </c>
      <c r="D1897" s="4" t="n">
        <f aca="false">IFERROR(INDEX(Positions!$D$2:$D$6912,MATCH($A1897&amp;"|52",Positions!$A$2:$A$6912,0)),"-")</f>
        <v>53</v>
      </c>
      <c r="E1897" s="4" t="n">
        <f aca="false">IFERROR(INDEX(Positions!$D$2:$D$6912,MATCH($A1897&amp;"|62",Positions!$A$2:$A$6912,0)),"-")</f>
        <v>63</v>
      </c>
      <c r="F1897" s="4" t="str">
        <f aca="false">IFERROR(INDEX(Positions!$E$2:$E$6912,MATCH($A1897&amp;"|52",Positions!$A$2:$A$6912,0)),"-")</f>
        <v>G</v>
      </c>
      <c r="G1897" s="4" t="str">
        <f aca="false">IFERROR(INDEX(Positions!$E$2:$E$6912,MATCH($A1897&amp;"|62",Positions!$A$2:$A$6912,0)),"-")</f>
        <v>C</v>
      </c>
      <c r="H1897" s="3" t="str">
        <f aca="false">F1897&amp;"-"&amp;G1897</f>
        <v>G-C</v>
      </c>
      <c r="I1897" s="4" t="n">
        <f aca="false">(F1897="G")+(G1897="G")</f>
        <v>1</v>
      </c>
      <c r="J1897" s="4" t="n">
        <f aca="false">(F1897="C")+(G1897="C")</f>
        <v>1</v>
      </c>
      <c r="K1897" s="3" t="n">
        <f aca="false">I1897+J1897</f>
        <v>2</v>
      </c>
    </row>
    <row r="1898" customFormat="false" ht="15" hidden="false" customHeight="false" outlineLevel="0" collapsed="false">
      <c r="A1898" s="4" t="s">
        <v>104</v>
      </c>
      <c r="B1898" s="4" t="s">
        <v>471</v>
      </c>
      <c r="C1898" s="4" t="s">
        <v>529</v>
      </c>
      <c r="D1898" s="4" t="n">
        <f aca="false">IFERROR(INDEX(Positions!$D$2:$D$6912,MATCH($A1898&amp;"|53",Positions!$A$2:$A$6912,0)),"-")</f>
        <v>54</v>
      </c>
      <c r="E1898" s="4" t="n">
        <f aca="false">IFERROR(INDEX(Positions!$D$2:$D$6912,MATCH($A1898&amp;"|61",Positions!$A$2:$A$6912,0)),"-")</f>
        <v>62</v>
      </c>
      <c r="F1898" s="4" t="str">
        <f aca="false">IFERROR(INDEX(Positions!$E$2:$E$6912,MATCH($A1898&amp;"|53",Positions!$A$2:$A$6912,0)),"-")</f>
        <v>G</v>
      </c>
      <c r="G1898" s="4" t="str">
        <f aca="false">IFERROR(INDEX(Positions!$E$2:$E$6912,MATCH($A1898&amp;"|61",Positions!$A$2:$A$6912,0)),"-")</f>
        <v>C</v>
      </c>
      <c r="H1898" s="3" t="str">
        <f aca="false">F1898&amp;"-"&amp;G1898</f>
        <v>G-C</v>
      </c>
      <c r="I1898" s="4" t="n">
        <f aca="false">(F1898="G")+(G1898="G")</f>
        <v>1</v>
      </c>
      <c r="J1898" s="4" t="n">
        <f aca="false">(F1898="C")+(G1898="C")</f>
        <v>1</v>
      </c>
      <c r="K1898" s="3" t="n">
        <f aca="false">I1898+J1898</f>
        <v>2</v>
      </c>
    </row>
    <row r="1899" customFormat="false" ht="15" hidden="false" customHeight="false" outlineLevel="0" collapsed="false">
      <c r="A1899" s="24" t="s">
        <v>104</v>
      </c>
      <c r="B1899" s="24" t="s">
        <v>530</v>
      </c>
      <c r="C1899" s="24" t="s">
        <v>531</v>
      </c>
      <c r="D1899" s="24" t="n">
        <f aca="false">IFERROR(INDEX(Positions!$D$2:$D$6912,MATCH($A1899&amp;"|8",Positions!$A$2:$A$6912,0)),"-")</f>
        <v>8</v>
      </c>
      <c r="E1899" s="24" t="n">
        <f aca="false">IFERROR(INDEX(Positions!$D$2:$D$6912,MATCH($A1899&amp;"|14",Positions!$A$2:$A$6912,0)),"-")</f>
        <v>14</v>
      </c>
      <c r="F1899" s="24" t="str">
        <f aca="false">IFERROR(INDEX(Positions!$E$2:$E$6912,MATCH($A1899&amp;"|8",Positions!$A$2:$A$6912,0)),"-")</f>
        <v>U</v>
      </c>
      <c r="G1899" s="24" t="str">
        <f aca="false">IFERROR(INDEX(Positions!$E$2:$E$6912,MATCH($A1899&amp;"|14",Positions!$A$2:$A$6912,0)),"-")</f>
        <v>A</v>
      </c>
      <c r="H1899" s="25" t="str">
        <f aca="false">F1899&amp;"-"&amp;G1899</f>
        <v>U-A</v>
      </c>
      <c r="I1899" s="24" t="n">
        <f aca="false">(F1899="G")+(G1899="G")</f>
        <v>0</v>
      </c>
      <c r="J1899" s="24" t="n">
        <f aca="false">(F1899="C")+(G1899="C")</f>
        <v>0</v>
      </c>
      <c r="K1899" s="25" t="n">
        <f aca="false">I1899+J1899</f>
        <v>0</v>
      </c>
    </row>
    <row r="1900" customFormat="false" ht="15" hidden="false" customHeight="false" outlineLevel="0" collapsed="false">
      <c r="A1900" s="24" t="s">
        <v>104</v>
      </c>
      <c r="B1900" s="24" t="s">
        <v>530</v>
      </c>
      <c r="C1900" s="24" t="s">
        <v>532</v>
      </c>
      <c r="D1900" s="24" t="n">
        <f aca="false">IFERROR(INDEX(Positions!$D$2:$D$6912,MATCH($A1900&amp;"|15",Positions!$A$2:$A$6912,0)),"-")</f>
        <v>15</v>
      </c>
      <c r="E1900" s="24" t="n">
        <f aca="false">IFERROR(INDEX(Positions!$D$2:$D$6912,MATCH($A1900&amp;"|48",Positions!$A$2:$A$6912,0)),"-")</f>
        <v>49</v>
      </c>
      <c r="F1900" s="24" t="str">
        <f aca="false">IFERROR(INDEX(Positions!$E$2:$E$6912,MATCH($A1900&amp;"|15",Positions!$A$2:$A$6912,0)),"-")</f>
        <v>G</v>
      </c>
      <c r="G1900" s="24" t="str">
        <f aca="false">IFERROR(INDEX(Positions!$E$2:$E$6912,MATCH($A1900&amp;"|48",Positions!$A$2:$A$6912,0)),"-")</f>
        <v>C</v>
      </c>
      <c r="H1900" s="25" t="str">
        <f aca="false">F1900&amp;"-"&amp;G1900</f>
        <v>G-C</v>
      </c>
      <c r="I1900" s="24" t="n">
        <f aca="false">(F1900="G")+(G1900="G")</f>
        <v>1</v>
      </c>
      <c r="J1900" s="24" t="n">
        <f aca="false">(F1900="C")+(G1900="C")</f>
        <v>1</v>
      </c>
      <c r="K1900" s="25" t="n">
        <f aca="false">I1900+J1900</f>
        <v>2</v>
      </c>
    </row>
    <row r="1901" customFormat="false" ht="15" hidden="false" customHeight="false" outlineLevel="0" collapsed="false">
      <c r="A1901" s="24" t="s">
        <v>104</v>
      </c>
      <c r="B1901" s="24" t="s">
        <v>530</v>
      </c>
      <c r="C1901" s="24" t="s">
        <v>533</v>
      </c>
      <c r="D1901" s="24" t="n">
        <f aca="false">IFERROR(INDEX(Positions!$D$2:$D$6912,MATCH($A1901&amp;"|18",Positions!$A$2:$A$6912,0)),"-")</f>
        <v>19</v>
      </c>
      <c r="E1901" s="24" t="n">
        <f aca="false">IFERROR(INDEX(Positions!$D$2:$D$6912,MATCH($A1901&amp;"|55",Positions!$A$2:$A$6912,0)),"-")</f>
        <v>56</v>
      </c>
      <c r="F1901" s="24" t="str">
        <f aca="false">IFERROR(INDEX(Positions!$E$2:$E$6912,MATCH($A1901&amp;"|18",Positions!$A$2:$A$6912,0)),"-")</f>
        <v>G</v>
      </c>
      <c r="G1901" s="24" t="str">
        <f aca="false">IFERROR(INDEX(Positions!$E$2:$E$6912,MATCH($A1901&amp;"|55",Positions!$A$2:$A$6912,0)),"-")</f>
        <v>U</v>
      </c>
      <c r="H1901" s="25" t="str">
        <f aca="false">F1901&amp;"-"&amp;G1901</f>
        <v>G-U</v>
      </c>
      <c r="I1901" s="24" t="n">
        <f aca="false">(F1901="G")+(G1901="G")</f>
        <v>1</v>
      </c>
      <c r="J1901" s="24" t="n">
        <f aca="false">(F1901="C")+(G1901="C")</f>
        <v>0</v>
      </c>
      <c r="K1901" s="25" t="n">
        <f aca="false">I1901+J1901</f>
        <v>1</v>
      </c>
    </row>
    <row r="1902" customFormat="false" ht="15" hidden="false" customHeight="false" outlineLevel="0" collapsed="false">
      <c r="A1902" s="24" t="s">
        <v>104</v>
      </c>
      <c r="B1902" s="24" t="s">
        <v>530</v>
      </c>
      <c r="C1902" s="24" t="s">
        <v>534</v>
      </c>
      <c r="D1902" s="24" t="n">
        <f aca="false">IFERROR(INDEX(Positions!$D$2:$D$6912,MATCH($A1902&amp;"|19",Positions!$A$2:$A$6912,0)),"-")</f>
        <v>20</v>
      </c>
      <c r="E1902" s="24" t="n">
        <f aca="false">IFERROR(INDEX(Positions!$D$2:$D$6912,MATCH($A1902&amp;"|56",Positions!$A$2:$A$6912,0)),"-")</f>
        <v>57</v>
      </c>
      <c r="F1902" s="24" t="str">
        <f aca="false">IFERROR(INDEX(Positions!$E$2:$E$6912,MATCH($A1902&amp;"|19",Positions!$A$2:$A$6912,0)),"-")</f>
        <v>G</v>
      </c>
      <c r="G1902" s="24" t="str">
        <f aca="false">IFERROR(INDEX(Positions!$E$2:$E$6912,MATCH($A1902&amp;"|56",Positions!$A$2:$A$6912,0)),"-")</f>
        <v>C</v>
      </c>
      <c r="H1902" s="25" t="str">
        <f aca="false">F1902&amp;"-"&amp;G1902</f>
        <v>G-C</v>
      </c>
      <c r="I1902" s="24" t="n">
        <f aca="false">(F1902="G")+(G1902="G")</f>
        <v>1</v>
      </c>
      <c r="J1902" s="24" t="n">
        <f aca="false">(F1902="C")+(G1902="C")</f>
        <v>1</v>
      </c>
      <c r="K1902" s="25" t="n">
        <f aca="false">I1902+J1902</f>
        <v>2</v>
      </c>
    </row>
    <row r="1903" customFormat="false" ht="15" hidden="false" customHeight="false" outlineLevel="0" collapsed="false">
      <c r="A1903" s="24" t="s">
        <v>104</v>
      </c>
      <c r="B1903" s="24" t="s">
        <v>530</v>
      </c>
      <c r="C1903" s="24" t="s">
        <v>535</v>
      </c>
      <c r="D1903" s="24" t="n">
        <f aca="false">IFERROR(INDEX(Positions!$D$2:$D$6912,MATCH($A1903&amp;"|26",Positions!$A$2:$A$6912,0)),"-")</f>
        <v>27</v>
      </c>
      <c r="E1903" s="24" t="n">
        <f aca="false">IFERROR(INDEX(Positions!$D$2:$D$6912,MATCH($A1903&amp;"|44",Positions!$A$2:$A$6912,0)),"-")</f>
        <v>45</v>
      </c>
      <c r="F1903" s="24" t="str">
        <f aca="false">IFERROR(INDEX(Positions!$E$2:$E$6912,MATCH($A1903&amp;"|26",Positions!$A$2:$A$6912,0)),"-")</f>
        <v>A</v>
      </c>
      <c r="G1903" s="24" t="str">
        <f aca="false">IFERROR(INDEX(Positions!$E$2:$E$6912,MATCH($A1903&amp;"|44",Positions!$A$2:$A$6912,0)),"-")</f>
        <v>G</v>
      </c>
      <c r="H1903" s="25" t="str">
        <f aca="false">F1903&amp;"-"&amp;G1903</f>
        <v>A-G</v>
      </c>
      <c r="I1903" s="24" t="n">
        <f aca="false">(F1903="G")+(G1903="G")</f>
        <v>1</v>
      </c>
      <c r="J1903" s="24" t="n">
        <f aca="false">(F1903="C")+(G1903="C")</f>
        <v>0</v>
      </c>
      <c r="K1903" s="25" t="n">
        <f aca="false">I1903+J1903</f>
        <v>1</v>
      </c>
    </row>
    <row r="1904" customFormat="false" ht="15" hidden="false" customHeight="false" outlineLevel="0" collapsed="false">
      <c r="A1904" s="24" t="s">
        <v>104</v>
      </c>
      <c r="B1904" s="24" t="s">
        <v>530</v>
      </c>
      <c r="C1904" s="24" t="s">
        <v>536</v>
      </c>
      <c r="D1904" s="24" t="n">
        <f aca="false">IFERROR(INDEX(Positions!$D$2:$D$6912,MATCH($A1904&amp;"|32",Positions!$A$2:$A$6912,0)),"-")</f>
        <v>33</v>
      </c>
      <c r="E1904" s="24" t="n">
        <f aca="false">IFERROR(INDEX(Positions!$D$2:$D$6912,MATCH($A1904&amp;"|38",Positions!$A$2:$A$6912,0)),"-")</f>
        <v>39</v>
      </c>
      <c r="F1904" s="24" t="str">
        <f aca="false">IFERROR(INDEX(Positions!$E$2:$E$6912,MATCH($A1904&amp;"|32",Positions!$A$2:$A$6912,0)),"-")</f>
        <v>U</v>
      </c>
      <c r="G1904" s="24" t="str">
        <f aca="false">IFERROR(INDEX(Positions!$E$2:$E$6912,MATCH($A1904&amp;"|38",Positions!$A$2:$A$6912,0)),"-")</f>
        <v>A</v>
      </c>
      <c r="H1904" s="25" t="str">
        <f aca="false">F1904&amp;"-"&amp;G1904</f>
        <v>U-A</v>
      </c>
      <c r="I1904" s="24" t="n">
        <f aca="false">(F1904="G")+(G1904="G")</f>
        <v>0</v>
      </c>
      <c r="J1904" s="24" t="n">
        <f aca="false">(F1904="C")+(G1904="C")</f>
        <v>0</v>
      </c>
      <c r="K1904" s="25" t="n">
        <f aca="false">I1904+J1904</f>
        <v>0</v>
      </c>
    </row>
    <row r="1905" customFormat="false" ht="15" hidden="false" customHeight="false" outlineLevel="0" collapsed="false">
      <c r="A1905" s="24" t="s">
        <v>104</v>
      </c>
      <c r="B1905" s="24" t="s">
        <v>530</v>
      </c>
      <c r="C1905" s="24" t="s">
        <v>537</v>
      </c>
      <c r="D1905" s="24" t="n">
        <f aca="false">IFERROR(INDEX(Positions!$D$2:$D$6912,MATCH($A1905&amp;"|54",Positions!$A$2:$A$6912,0)),"-")</f>
        <v>55</v>
      </c>
      <c r="E1905" s="24" t="n">
        <f aca="false">IFERROR(INDEX(Positions!$D$2:$D$6912,MATCH($A1905&amp;"|58",Positions!$A$2:$A$6912,0)),"-")</f>
        <v>59</v>
      </c>
      <c r="F1905" s="24" t="str">
        <f aca="false">IFERROR(INDEX(Positions!$E$2:$E$6912,MATCH($A1905&amp;"|54",Positions!$A$2:$A$6912,0)),"-")</f>
        <v>U</v>
      </c>
      <c r="G1905" s="24" t="str">
        <f aca="false">IFERROR(INDEX(Positions!$E$2:$E$6912,MATCH($A1905&amp;"|58",Positions!$A$2:$A$6912,0)),"-")</f>
        <v>A</v>
      </c>
      <c r="H1905" s="25" t="str">
        <f aca="false">F1905&amp;"-"&amp;G1905</f>
        <v>U-A</v>
      </c>
      <c r="I1905" s="24" t="n">
        <f aca="false">(F1905="G")+(G1905="G")</f>
        <v>0</v>
      </c>
      <c r="J1905" s="24" t="n">
        <f aca="false">(F1905="C")+(G1905="C")</f>
        <v>0</v>
      </c>
      <c r="K1905" s="25" t="n">
        <f aca="false">I1905+J1905</f>
        <v>0</v>
      </c>
    </row>
    <row r="1906" customFormat="false" ht="15" hidden="false" customHeight="false" outlineLevel="0" collapsed="false">
      <c r="A1906" s="4" t="s">
        <v>105</v>
      </c>
      <c r="B1906" s="4" t="s">
        <v>412</v>
      </c>
      <c r="C1906" s="4" t="s">
        <v>517</v>
      </c>
      <c r="D1906" s="4" t="n">
        <f aca="false">IFERROR(INDEX(Positions!$D$2:$D$6912,MATCH($A1906&amp;"|1",Positions!$A$2:$A$6912,0)),"-")</f>
        <v>1</v>
      </c>
      <c r="E1906" s="4" t="n">
        <f aca="false">IFERROR(INDEX(Positions!$D$2:$D$6912,MATCH($A1906&amp;"|72",Positions!$A$2:$A$6912,0)),"-")</f>
        <v>73</v>
      </c>
      <c r="F1906" s="4" t="str">
        <f aca="false">IFERROR(INDEX(Positions!$E$2:$E$6912,MATCH($A1906&amp;"|1",Positions!$A$2:$A$6912,0)),"-")</f>
        <v>C</v>
      </c>
      <c r="G1906" s="4" t="str">
        <f aca="false">IFERROR(INDEX(Positions!$E$2:$E$6912,MATCH($A1906&amp;"|72",Positions!$A$2:$A$6912,0)),"-")</f>
        <v>G</v>
      </c>
      <c r="H1906" s="3" t="str">
        <f aca="false">F1906&amp;"-"&amp;G1906</f>
        <v>C-G</v>
      </c>
      <c r="I1906" s="4" t="n">
        <f aca="false">(F1906="G")+(G1906="G")</f>
        <v>1</v>
      </c>
      <c r="J1906" s="4" t="n">
        <f aca="false">(F1906="C")+(G1906="C")</f>
        <v>1</v>
      </c>
      <c r="K1906" s="3" t="n">
        <f aca="false">I1906+J1906</f>
        <v>2</v>
      </c>
    </row>
    <row r="1907" customFormat="false" ht="15" hidden="false" customHeight="false" outlineLevel="0" collapsed="false">
      <c r="A1907" s="4" t="s">
        <v>105</v>
      </c>
      <c r="B1907" s="4" t="s">
        <v>412</v>
      </c>
      <c r="C1907" s="4" t="s">
        <v>518</v>
      </c>
      <c r="D1907" s="4" t="n">
        <f aca="false">IFERROR(INDEX(Positions!$D$2:$D$6912,MATCH($A1907&amp;"|2",Positions!$A$2:$A$6912,0)),"-")</f>
        <v>2</v>
      </c>
      <c r="E1907" s="4" t="n">
        <f aca="false">IFERROR(INDEX(Positions!$D$2:$D$6912,MATCH($A1907&amp;"|71",Positions!$A$2:$A$6912,0)),"-")</f>
        <v>72</v>
      </c>
      <c r="F1907" s="4" t="str">
        <f aca="false">IFERROR(INDEX(Positions!$E$2:$E$6912,MATCH($A1907&amp;"|2",Positions!$A$2:$A$6912,0)),"-")</f>
        <v>G</v>
      </c>
      <c r="G1907" s="4" t="str">
        <f aca="false">IFERROR(INDEX(Positions!$E$2:$E$6912,MATCH($A1907&amp;"|71",Positions!$A$2:$A$6912,0)),"-")</f>
        <v>C</v>
      </c>
      <c r="H1907" s="3" t="str">
        <f aca="false">F1907&amp;"-"&amp;G1907</f>
        <v>G-C</v>
      </c>
      <c r="I1907" s="4" t="n">
        <f aca="false">(F1907="G")+(G1907="G")</f>
        <v>1</v>
      </c>
      <c r="J1907" s="4" t="n">
        <f aca="false">(F1907="C")+(G1907="C")</f>
        <v>1</v>
      </c>
      <c r="K1907" s="3" t="n">
        <f aca="false">I1907+J1907</f>
        <v>2</v>
      </c>
    </row>
    <row r="1908" customFormat="false" ht="15" hidden="false" customHeight="false" outlineLevel="0" collapsed="false">
      <c r="A1908" s="4" t="s">
        <v>105</v>
      </c>
      <c r="B1908" s="4" t="s">
        <v>412</v>
      </c>
      <c r="C1908" s="4" t="s">
        <v>386</v>
      </c>
      <c r="D1908" s="4" t="n">
        <f aca="false">IFERROR(INDEX(Positions!$D$2:$D$6912,MATCH($A1908&amp;"|3",Positions!$A$2:$A$6912,0)),"-")</f>
        <v>3</v>
      </c>
      <c r="E1908" s="4" t="n">
        <f aca="false">IFERROR(INDEX(Positions!$D$2:$D$6912,MATCH($A1908&amp;"|70",Positions!$A$2:$A$6912,0)),"-")</f>
        <v>71</v>
      </c>
      <c r="F1908" s="4" t="str">
        <f aca="false">IFERROR(INDEX(Positions!$E$2:$E$6912,MATCH($A1908&amp;"|3",Positions!$A$2:$A$6912,0)),"-")</f>
        <v>G</v>
      </c>
      <c r="G1908" s="4" t="str">
        <f aca="false">IFERROR(INDEX(Positions!$E$2:$E$6912,MATCH($A1908&amp;"|70",Positions!$A$2:$A$6912,0)),"-")</f>
        <v>C</v>
      </c>
      <c r="H1908" s="3" t="str">
        <f aca="false">F1908&amp;"-"&amp;G1908</f>
        <v>G-C</v>
      </c>
      <c r="I1908" s="4" t="n">
        <f aca="false">(F1908="G")+(G1908="G")</f>
        <v>1</v>
      </c>
      <c r="J1908" s="4" t="n">
        <f aca="false">(F1908="C")+(G1908="C")</f>
        <v>1</v>
      </c>
      <c r="K1908" s="3" t="n">
        <f aca="false">I1908+J1908</f>
        <v>2</v>
      </c>
    </row>
    <row r="1909" customFormat="false" ht="15" hidden="false" customHeight="false" outlineLevel="0" collapsed="false">
      <c r="A1909" s="4" t="s">
        <v>105</v>
      </c>
      <c r="B1909" s="4" t="s">
        <v>412</v>
      </c>
      <c r="C1909" s="4" t="s">
        <v>519</v>
      </c>
      <c r="D1909" s="4" t="n">
        <f aca="false">IFERROR(INDEX(Positions!$D$2:$D$6912,MATCH($A1909&amp;"|4",Positions!$A$2:$A$6912,0)),"-")</f>
        <v>4</v>
      </c>
      <c r="E1909" s="4" t="n">
        <f aca="false">IFERROR(INDEX(Positions!$D$2:$D$6912,MATCH($A1909&amp;"|69",Positions!$A$2:$A$6912,0)),"-")</f>
        <v>70</v>
      </c>
      <c r="F1909" s="4" t="str">
        <f aca="false">IFERROR(INDEX(Positions!$E$2:$E$6912,MATCH($A1909&amp;"|4",Positions!$A$2:$A$6912,0)),"-")</f>
        <v>C</v>
      </c>
      <c r="G1909" s="4" t="str">
        <f aca="false">IFERROR(INDEX(Positions!$E$2:$E$6912,MATCH($A1909&amp;"|69",Positions!$A$2:$A$6912,0)),"-")</f>
        <v>G</v>
      </c>
      <c r="H1909" s="3" t="str">
        <f aca="false">F1909&amp;"-"&amp;G1909</f>
        <v>C-G</v>
      </c>
      <c r="I1909" s="4" t="n">
        <f aca="false">(F1909="G")+(G1909="G")</f>
        <v>1</v>
      </c>
      <c r="J1909" s="4" t="n">
        <f aca="false">(F1909="C")+(G1909="C")</f>
        <v>1</v>
      </c>
      <c r="K1909" s="3" t="n">
        <f aca="false">I1909+J1909</f>
        <v>2</v>
      </c>
    </row>
    <row r="1910" customFormat="false" ht="15" hidden="false" customHeight="false" outlineLevel="0" collapsed="false">
      <c r="A1910" s="4" t="s">
        <v>105</v>
      </c>
      <c r="B1910" s="4" t="s">
        <v>412</v>
      </c>
      <c r="C1910" s="4" t="s">
        <v>283</v>
      </c>
      <c r="D1910" s="4" t="n">
        <f aca="false">IFERROR(INDEX(Positions!$D$2:$D$6912,MATCH($A1910&amp;"|5",Positions!$A$2:$A$6912,0)),"-")</f>
        <v>5</v>
      </c>
      <c r="E1910" s="4" t="n">
        <f aca="false">IFERROR(INDEX(Positions!$D$2:$D$6912,MATCH($A1910&amp;"|68",Positions!$A$2:$A$6912,0)),"-")</f>
        <v>69</v>
      </c>
      <c r="F1910" s="4" t="str">
        <f aca="false">IFERROR(INDEX(Positions!$E$2:$E$6912,MATCH($A1910&amp;"|5",Positions!$A$2:$A$6912,0)),"-")</f>
        <v>A</v>
      </c>
      <c r="G1910" s="4" t="str">
        <f aca="false">IFERROR(INDEX(Positions!$E$2:$E$6912,MATCH($A1910&amp;"|68",Positions!$A$2:$A$6912,0)),"-")</f>
        <v>U</v>
      </c>
      <c r="H1910" s="3" t="str">
        <f aca="false">F1910&amp;"-"&amp;G1910</f>
        <v>A-U</v>
      </c>
      <c r="I1910" s="4" t="n">
        <f aca="false">(F1910="G")+(G1910="G")</f>
        <v>0</v>
      </c>
      <c r="J1910" s="4" t="n">
        <f aca="false">(F1910="C")+(G1910="C")</f>
        <v>0</v>
      </c>
      <c r="K1910" s="3" t="n">
        <f aca="false">I1910+J1910</f>
        <v>0</v>
      </c>
    </row>
    <row r="1911" customFormat="false" ht="15" hidden="false" customHeight="false" outlineLevel="0" collapsed="false">
      <c r="A1911" s="4" t="s">
        <v>105</v>
      </c>
      <c r="B1911" s="4" t="s">
        <v>412</v>
      </c>
      <c r="C1911" s="4" t="s">
        <v>520</v>
      </c>
      <c r="D1911" s="4" t="n">
        <f aca="false">IFERROR(INDEX(Positions!$D$2:$D$6912,MATCH($A1911&amp;"|6",Positions!$A$2:$A$6912,0)),"-")</f>
        <v>6</v>
      </c>
      <c r="E1911" s="4" t="n">
        <f aca="false">IFERROR(INDEX(Positions!$D$2:$D$6912,MATCH($A1911&amp;"|67",Positions!$A$2:$A$6912,0)),"-")</f>
        <v>68</v>
      </c>
      <c r="F1911" s="4" t="str">
        <f aca="false">IFERROR(INDEX(Positions!$E$2:$E$6912,MATCH($A1911&amp;"|6",Positions!$A$2:$A$6912,0)),"-")</f>
        <v>C</v>
      </c>
      <c r="G1911" s="4" t="str">
        <f aca="false">IFERROR(INDEX(Positions!$E$2:$E$6912,MATCH($A1911&amp;"|67",Positions!$A$2:$A$6912,0)),"-")</f>
        <v>G</v>
      </c>
      <c r="H1911" s="3" t="str">
        <f aca="false">F1911&amp;"-"&amp;G1911</f>
        <v>C-G</v>
      </c>
      <c r="I1911" s="4" t="n">
        <f aca="false">(F1911="G")+(G1911="G")</f>
        <v>1</v>
      </c>
      <c r="J1911" s="4" t="n">
        <f aca="false">(F1911="C")+(G1911="C")</f>
        <v>1</v>
      </c>
      <c r="K1911" s="3" t="n">
        <f aca="false">I1911+J1911</f>
        <v>2</v>
      </c>
    </row>
    <row r="1912" customFormat="false" ht="15" hidden="false" customHeight="false" outlineLevel="0" collapsed="false">
      <c r="A1912" s="4" t="s">
        <v>105</v>
      </c>
      <c r="B1912" s="4" t="s">
        <v>412</v>
      </c>
      <c r="C1912" s="4" t="s">
        <v>521</v>
      </c>
      <c r="D1912" s="4" t="n">
        <f aca="false">IFERROR(INDEX(Positions!$D$2:$D$6912,MATCH($A1912&amp;"|7",Positions!$A$2:$A$6912,0)),"-")</f>
        <v>7</v>
      </c>
      <c r="E1912" s="4" t="n">
        <f aca="false">IFERROR(INDEX(Positions!$D$2:$D$6912,MATCH($A1912&amp;"|66",Positions!$A$2:$A$6912,0)),"-")</f>
        <v>67</v>
      </c>
      <c r="F1912" s="4" t="str">
        <f aca="false">IFERROR(INDEX(Positions!$E$2:$E$6912,MATCH($A1912&amp;"|7",Positions!$A$2:$A$6912,0)),"-")</f>
        <v>G</v>
      </c>
      <c r="G1912" s="4" t="str">
        <f aca="false">IFERROR(INDEX(Positions!$E$2:$E$6912,MATCH($A1912&amp;"|66",Positions!$A$2:$A$6912,0)),"-")</f>
        <v>C</v>
      </c>
      <c r="H1912" s="3" t="str">
        <f aca="false">F1912&amp;"-"&amp;G1912</f>
        <v>G-C</v>
      </c>
      <c r="I1912" s="4" t="n">
        <f aca="false">(F1912="G")+(G1912="G")</f>
        <v>1</v>
      </c>
      <c r="J1912" s="4" t="n">
        <f aca="false">(F1912="C")+(G1912="C")</f>
        <v>1</v>
      </c>
      <c r="K1912" s="3" t="n">
        <f aca="false">I1912+J1912</f>
        <v>2</v>
      </c>
    </row>
    <row r="1913" customFormat="false" ht="15" hidden="false" customHeight="false" outlineLevel="0" collapsed="false">
      <c r="A1913" s="4" t="s">
        <v>105</v>
      </c>
      <c r="B1913" s="4" t="s">
        <v>425</v>
      </c>
      <c r="C1913" s="4" t="s">
        <v>522</v>
      </c>
      <c r="D1913" s="4" t="n">
        <f aca="false">IFERROR(INDEX(Positions!$D$2:$D$6912,MATCH($A1913&amp;"|10",Positions!$A$2:$A$6912,0)),"-")</f>
        <v>10</v>
      </c>
      <c r="E1913" s="4" t="n">
        <f aca="false">IFERROR(INDEX(Positions!$D$2:$D$6912,MATCH($A1913&amp;"|25",Positions!$A$2:$A$6912,0)),"-")</f>
        <v>26</v>
      </c>
      <c r="F1913" s="4" t="str">
        <f aca="false">IFERROR(INDEX(Positions!$E$2:$E$6912,MATCH($A1913&amp;"|10",Positions!$A$2:$A$6912,0)),"-")</f>
        <v>G</v>
      </c>
      <c r="G1913" s="4" t="str">
        <f aca="false">IFERROR(INDEX(Positions!$E$2:$E$6912,MATCH($A1913&amp;"|25",Positions!$A$2:$A$6912,0)),"-")</f>
        <v>C</v>
      </c>
      <c r="H1913" s="3" t="str">
        <f aca="false">F1913&amp;"-"&amp;G1913</f>
        <v>G-C</v>
      </c>
      <c r="I1913" s="4" t="n">
        <f aca="false">(F1913="G")+(G1913="G")</f>
        <v>1</v>
      </c>
      <c r="J1913" s="4" t="n">
        <f aca="false">(F1913="C")+(G1913="C")</f>
        <v>1</v>
      </c>
      <c r="K1913" s="3" t="n">
        <f aca="false">I1913+J1913</f>
        <v>2</v>
      </c>
    </row>
    <row r="1914" customFormat="false" ht="15" hidden="false" customHeight="false" outlineLevel="0" collapsed="false">
      <c r="A1914" s="4" t="s">
        <v>105</v>
      </c>
      <c r="B1914" s="4" t="s">
        <v>425</v>
      </c>
      <c r="C1914" s="4" t="s">
        <v>523</v>
      </c>
      <c r="D1914" s="4" t="n">
        <f aca="false">IFERROR(INDEX(Positions!$D$2:$D$6912,MATCH($A1914&amp;"|11",Positions!$A$2:$A$6912,0)),"-")</f>
        <v>11</v>
      </c>
      <c r="E1914" s="4" t="n">
        <f aca="false">IFERROR(INDEX(Positions!$D$2:$D$6912,MATCH($A1914&amp;"|24",Positions!$A$2:$A$6912,0)),"-")</f>
        <v>25</v>
      </c>
      <c r="F1914" s="4" t="str">
        <f aca="false">IFERROR(INDEX(Positions!$E$2:$E$6912,MATCH($A1914&amp;"|11",Positions!$A$2:$A$6912,0)),"-")</f>
        <v>C</v>
      </c>
      <c r="G1914" s="4" t="str">
        <f aca="false">IFERROR(INDEX(Positions!$E$2:$E$6912,MATCH($A1914&amp;"|24",Positions!$A$2:$A$6912,0)),"-")</f>
        <v>G</v>
      </c>
      <c r="H1914" s="3" t="str">
        <f aca="false">F1914&amp;"-"&amp;G1914</f>
        <v>C-G</v>
      </c>
      <c r="I1914" s="4" t="n">
        <f aca="false">(F1914="G")+(G1914="G")</f>
        <v>1</v>
      </c>
      <c r="J1914" s="4" t="n">
        <f aca="false">(F1914="C")+(G1914="C")</f>
        <v>1</v>
      </c>
      <c r="K1914" s="3" t="n">
        <f aca="false">I1914+J1914</f>
        <v>2</v>
      </c>
    </row>
    <row r="1915" customFormat="false" ht="15" hidden="false" customHeight="false" outlineLevel="0" collapsed="false">
      <c r="A1915" s="4" t="s">
        <v>105</v>
      </c>
      <c r="B1915" s="4" t="s">
        <v>425</v>
      </c>
      <c r="C1915" s="4" t="s">
        <v>250</v>
      </c>
      <c r="D1915" s="4" t="n">
        <f aca="false">IFERROR(INDEX(Positions!$D$2:$D$6912,MATCH($A1915&amp;"|12",Positions!$A$2:$A$6912,0)),"-")</f>
        <v>12</v>
      </c>
      <c r="E1915" s="4" t="n">
        <f aca="false">IFERROR(INDEX(Positions!$D$2:$D$6912,MATCH($A1915&amp;"|23",Positions!$A$2:$A$6912,0)),"-")</f>
        <v>24</v>
      </c>
      <c r="F1915" s="4" t="str">
        <f aca="false">IFERROR(INDEX(Positions!$E$2:$E$6912,MATCH($A1915&amp;"|12",Positions!$A$2:$A$6912,0)),"-")</f>
        <v>G</v>
      </c>
      <c r="G1915" s="4" t="str">
        <f aca="false">IFERROR(INDEX(Positions!$E$2:$E$6912,MATCH($A1915&amp;"|23",Positions!$A$2:$A$6912,0)),"-")</f>
        <v>C</v>
      </c>
      <c r="H1915" s="3" t="str">
        <f aca="false">F1915&amp;"-"&amp;G1915</f>
        <v>G-C</v>
      </c>
      <c r="I1915" s="4" t="n">
        <f aca="false">(F1915="G")+(G1915="G")</f>
        <v>1</v>
      </c>
      <c r="J1915" s="4" t="n">
        <f aca="false">(F1915="C")+(G1915="C")</f>
        <v>1</v>
      </c>
      <c r="K1915" s="3" t="n">
        <f aca="false">I1915+J1915</f>
        <v>2</v>
      </c>
    </row>
    <row r="1916" customFormat="false" ht="15" hidden="false" customHeight="false" outlineLevel="0" collapsed="false">
      <c r="A1916" s="4" t="s">
        <v>105</v>
      </c>
      <c r="B1916" s="4" t="s">
        <v>425</v>
      </c>
      <c r="C1916" s="4" t="s">
        <v>154</v>
      </c>
      <c r="D1916" s="4" t="n">
        <f aca="false">IFERROR(INDEX(Positions!$D$2:$D$6912,MATCH($A1916&amp;"|13",Positions!$A$2:$A$6912,0)),"-")</f>
        <v>13</v>
      </c>
      <c r="E1916" s="4" t="n">
        <f aca="false">IFERROR(INDEX(Positions!$D$2:$D$6912,MATCH($A1916&amp;"|22",Positions!$A$2:$A$6912,0)),"-")</f>
        <v>23</v>
      </c>
      <c r="F1916" s="4" t="str">
        <f aca="false">IFERROR(INDEX(Positions!$E$2:$E$6912,MATCH($A1916&amp;"|13",Positions!$A$2:$A$6912,0)),"-")</f>
        <v>C</v>
      </c>
      <c r="G1916" s="4" t="str">
        <f aca="false">IFERROR(INDEX(Positions!$E$2:$E$6912,MATCH($A1916&amp;"|22",Positions!$A$2:$A$6912,0)),"-")</f>
        <v>G</v>
      </c>
      <c r="H1916" s="3" t="str">
        <f aca="false">F1916&amp;"-"&amp;G1916</f>
        <v>C-G</v>
      </c>
      <c r="I1916" s="4" t="n">
        <f aca="false">(F1916="G")+(G1916="G")</f>
        <v>1</v>
      </c>
      <c r="J1916" s="4" t="n">
        <f aca="false">(F1916="C")+(G1916="C")</f>
        <v>1</v>
      </c>
      <c r="K1916" s="3" t="n">
        <f aca="false">I1916+J1916</f>
        <v>2</v>
      </c>
    </row>
    <row r="1917" customFormat="false" ht="15" hidden="false" customHeight="false" outlineLevel="0" collapsed="false">
      <c r="A1917" s="4" t="s">
        <v>105</v>
      </c>
      <c r="B1917" s="4" t="s">
        <v>446</v>
      </c>
      <c r="C1917" s="4" t="s">
        <v>524</v>
      </c>
      <c r="D1917" s="4" t="n">
        <f aca="false">IFERROR(INDEX(Positions!$D$2:$D$6912,MATCH($A1917&amp;"|27",Positions!$A$2:$A$6912,0)),"-")</f>
        <v>28</v>
      </c>
      <c r="E1917" s="4" t="n">
        <f aca="false">IFERROR(INDEX(Positions!$D$2:$D$6912,MATCH($A1917&amp;"|43",Positions!$A$2:$A$6912,0)),"-")</f>
        <v>44</v>
      </c>
      <c r="F1917" s="4" t="str">
        <f aca="false">IFERROR(INDEX(Positions!$E$2:$E$6912,MATCH($A1917&amp;"|27",Positions!$A$2:$A$6912,0)),"-")</f>
        <v>C</v>
      </c>
      <c r="G1917" s="4" t="str">
        <f aca="false">IFERROR(INDEX(Positions!$E$2:$E$6912,MATCH($A1917&amp;"|43",Positions!$A$2:$A$6912,0)),"-")</f>
        <v>G</v>
      </c>
      <c r="H1917" s="3" t="str">
        <f aca="false">F1917&amp;"-"&amp;G1917</f>
        <v>C-G</v>
      </c>
      <c r="I1917" s="4" t="n">
        <f aca="false">(F1917="G")+(G1917="G")</f>
        <v>1</v>
      </c>
      <c r="J1917" s="4" t="n">
        <f aca="false">(F1917="C")+(G1917="C")</f>
        <v>1</v>
      </c>
      <c r="K1917" s="3" t="n">
        <f aca="false">I1917+J1917</f>
        <v>2</v>
      </c>
    </row>
    <row r="1918" customFormat="false" ht="15" hidden="false" customHeight="false" outlineLevel="0" collapsed="false">
      <c r="A1918" s="4" t="s">
        <v>105</v>
      </c>
      <c r="B1918" s="4" t="s">
        <v>446</v>
      </c>
      <c r="C1918" s="4" t="s">
        <v>525</v>
      </c>
      <c r="D1918" s="4" t="n">
        <f aca="false">IFERROR(INDEX(Positions!$D$2:$D$6912,MATCH($A1918&amp;"|28",Positions!$A$2:$A$6912,0)),"-")</f>
        <v>29</v>
      </c>
      <c r="E1918" s="4" t="n">
        <f aca="false">IFERROR(INDEX(Positions!$D$2:$D$6912,MATCH($A1918&amp;"|42",Positions!$A$2:$A$6912,0)),"-")</f>
        <v>43</v>
      </c>
      <c r="F1918" s="4" t="str">
        <f aca="false">IFERROR(INDEX(Positions!$E$2:$E$6912,MATCH($A1918&amp;"|28",Positions!$A$2:$A$6912,0)),"-")</f>
        <v>C</v>
      </c>
      <c r="G1918" s="4" t="str">
        <f aca="false">IFERROR(INDEX(Positions!$E$2:$E$6912,MATCH($A1918&amp;"|42",Positions!$A$2:$A$6912,0)),"-")</f>
        <v>G</v>
      </c>
      <c r="H1918" s="3" t="str">
        <f aca="false">F1918&amp;"-"&amp;G1918</f>
        <v>C-G</v>
      </c>
      <c r="I1918" s="4" t="n">
        <f aca="false">(F1918="G")+(G1918="G")</f>
        <v>1</v>
      </c>
      <c r="J1918" s="4" t="n">
        <f aca="false">(F1918="C")+(G1918="C")</f>
        <v>1</v>
      </c>
      <c r="K1918" s="3" t="n">
        <f aca="false">I1918+J1918</f>
        <v>2</v>
      </c>
    </row>
    <row r="1919" customFormat="false" ht="15" hidden="false" customHeight="false" outlineLevel="0" collapsed="false">
      <c r="A1919" s="4" t="s">
        <v>105</v>
      </c>
      <c r="B1919" s="4" t="s">
        <v>446</v>
      </c>
      <c r="C1919" s="4" t="s">
        <v>256</v>
      </c>
      <c r="D1919" s="4" t="n">
        <f aca="false">IFERROR(INDEX(Positions!$D$2:$D$6912,MATCH($A1919&amp;"|29",Positions!$A$2:$A$6912,0)),"-")</f>
        <v>30</v>
      </c>
      <c r="E1919" s="4" t="n">
        <f aca="false">IFERROR(INDEX(Positions!$D$2:$D$6912,MATCH($A1919&amp;"|41",Positions!$A$2:$A$6912,0)),"-")</f>
        <v>42</v>
      </c>
      <c r="F1919" s="4" t="str">
        <f aca="false">IFERROR(INDEX(Positions!$E$2:$E$6912,MATCH($A1919&amp;"|29",Positions!$A$2:$A$6912,0)),"-")</f>
        <v>G</v>
      </c>
      <c r="G1919" s="4" t="str">
        <f aca="false">IFERROR(INDEX(Positions!$E$2:$E$6912,MATCH($A1919&amp;"|41",Positions!$A$2:$A$6912,0)),"-")</f>
        <v>C</v>
      </c>
      <c r="H1919" s="3" t="str">
        <f aca="false">F1919&amp;"-"&amp;G1919</f>
        <v>G-C</v>
      </c>
      <c r="I1919" s="4" t="n">
        <f aca="false">(F1919="G")+(G1919="G")</f>
        <v>1</v>
      </c>
      <c r="J1919" s="4" t="n">
        <f aca="false">(F1919="C")+(G1919="C")</f>
        <v>1</v>
      </c>
      <c r="K1919" s="3" t="n">
        <f aca="false">I1919+J1919</f>
        <v>2</v>
      </c>
    </row>
    <row r="1920" customFormat="false" ht="15" hidden="false" customHeight="false" outlineLevel="0" collapsed="false">
      <c r="A1920" s="4" t="s">
        <v>105</v>
      </c>
      <c r="B1920" s="4" t="s">
        <v>446</v>
      </c>
      <c r="C1920" s="4" t="s">
        <v>526</v>
      </c>
      <c r="D1920" s="4" t="n">
        <f aca="false">IFERROR(INDEX(Positions!$D$2:$D$6912,MATCH($A1920&amp;"|30",Positions!$A$2:$A$6912,0)),"-")</f>
        <v>31</v>
      </c>
      <c r="E1920" s="4" t="n">
        <f aca="false">IFERROR(INDEX(Positions!$D$2:$D$6912,MATCH($A1920&amp;"|40",Positions!$A$2:$A$6912,0)),"-")</f>
        <v>41</v>
      </c>
      <c r="F1920" s="4" t="str">
        <f aca="false">IFERROR(INDEX(Positions!$E$2:$E$6912,MATCH($A1920&amp;"|30",Positions!$A$2:$A$6912,0)),"-")</f>
        <v>U</v>
      </c>
      <c r="G1920" s="4" t="str">
        <f aca="false">IFERROR(INDEX(Positions!$E$2:$E$6912,MATCH($A1920&amp;"|40",Positions!$A$2:$A$6912,0)),"-")</f>
        <v>G</v>
      </c>
      <c r="H1920" s="3" t="str">
        <f aca="false">F1920&amp;"-"&amp;G1920</f>
        <v>U-G</v>
      </c>
      <c r="I1920" s="4" t="n">
        <f aca="false">(F1920="G")+(G1920="G")</f>
        <v>1</v>
      </c>
      <c r="J1920" s="4" t="n">
        <f aca="false">(F1920="C")+(G1920="C")</f>
        <v>0</v>
      </c>
      <c r="K1920" s="3" t="n">
        <f aca="false">I1920+J1920</f>
        <v>1</v>
      </c>
    </row>
    <row r="1921" customFormat="false" ht="15" hidden="false" customHeight="false" outlineLevel="0" collapsed="false">
      <c r="A1921" s="4" t="s">
        <v>105</v>
      </c>
      <c r="B1921" s="4" t="s">
        <v>446</v>
      </c>
      <c r="C1921" s="4" t="s">
        <v>273</v>
      </c>
      <c r="D1921" s="4" t="n">
        <f aca="false">IFERROR(INDEX(Positions!$D$2:$D$6912,MATCH($A1921&amp;"|31",Positions!$A$2:$A$6912,0)),"-")</f>
        <v>32</v>
      </c>
      <c r="E1921" s="4" t="n">
        <f aca="false">IFERROR(INDEX(Positions!$D$2:$D$6912,MATCH($A1921&amp;"|39",Positions!$A$2:$A$6912,0)),"-")</f>
        <v>40</v>
      </c>
      <c r="F1921" s="4" t="str">
        <f aca="false">IFERROR(INDEX(Positions!$E$2:$E$6912,MATCH($A1921&amp;"|31",Positions!$A$2:$A$6912,0)),"-")</f>
        <v>C</v>
      </c>
      <c r="G1921" s="4" t="str">
        <f aca="false">IFERROR(INDEX(Positions!$E$2:$E$6912,MATCH($A1921&amp;"|39",Positions!$A$2:$A$6912,0)),"-")</f>
        <v>U</v>
      </c>
      <c r="H1921" s="3" t="str">
        <f aca="false">F1921&amp;"-"&amp;G1921</f>
        <v>C-U</v>
      </c>
      <c r="I1921" s="4" t="n">
        <f aca="false">(F1921="G")+(G1921="G")</f>
        <v>0</v>
      </c>
      <c r="J1921" s="4" t="n">
        <f aca="false">(F1921="C")+(G1921="C")</f>
        <v>1</v>
      </c>
      <c r="K1921" s="3" t="n">
        <f aca="false">I1921+J1921</f>
        <v>1</v>
      </c>
    </row>
    <row r="1922" customFormat="false" ht="15" hidden="false" customHeight="false" outlineLevel="0" collapsed="false">
      <c r="A1922" s="4" t="s">
        <v>105</v>
      </c>
      <c r="B1922" s="4" t="s">
        <v>471</v>
      </c>
      <c r="C1922" s="4" t="s">
        <v>367</v>
      </c>
      <c r="D1922" s="4" t="n">
        <f aca="false">IFERROR(INDEX(Positions!$D$2:$D$6912,MATCH($A1922&amp;"|49",Positions!$A$2:$A$6912,0)),"-")</f>
        <v>50</v>
      </c>
      <c r="E1922" s="4" t="n">
        <f aca="false">IFERROR(INDEX(Positions!$D$2:$D$6912,MATCH($A1922&amp;"|65",Positions!$A$2:$A$6912,0)),"-")</f>
        <v>66</v>
      </c>
      <c r="F1922" s="4" t="str">
        <f aca="false">IFERROR(INDEX(Positions!$E$2:$E$6912,MATCH($A1922&amp;"|49",Positions!$A$2:$A$6912,0)),"-")</f>
        <v>G</v>
      </c>
      <c r="G1922" s="4" t="str">
        <f aca="false">IFERROR(INDEX(Positions!$E$2:$E$6912,MATCH($A1922&amp;"|65",Positions!$A$2:$A$6912,0)),"-")</f>
        <v>U</v>
      </c>
      <c r="H1922" s="3" t="str">
        <f aca="false">F1922&amp;"-"&amp;G1922</f>
        <v>G-U</v>
      </c>
      <c r="I1922" s="4" t="n">
        <f aca="false">(F1922="G")+(G1922="G")</f>
        <v>1</v>
      </c>
      <c r="J1922" s="4" t="n">
        <f aca="false">(F1922="C")+(G1922="C")</f>
        <v>0</v>
      </c>
      <c r="K1922" s="3" t="n">
        <f aca="false">I1922+J1922</f>
        <v>1</v>
      </c>
    </row>
    <row r="1923" customFormat="false" ht="15" hidden="false" customHeight="false" outlineLevel="0" collapsed="false">
      <c r="A1923" s="4" t="s">
        <v>105</v>
      </c>
      <c r="B1923" s="4" t="s">
        <v>471</v>
      </c>
      <c r="C1923" s="4" t="s">
        <v>233</v>
      </c>
      <c r="D1923" s="4" t="n">
        <f aca="false">IFERROR(INDEX(Positions!$D$2:$D$6912,MATCH($A1923&amp;"|50",Positions!$A$2:$A$6912,0)),"-")</f>
        <v>51</v>
      </c>
      <c r="E1923" s="4" t="n">
        <f aca="false">IFERROR(INDEX(Positions!$D$2:$D$6912,MATCH($A1923&amp;"|64",Positions!$A$2:$A$6912,0)),"-")</f>
        <v>65</v>
      </c>
      <c r="F1923" s="4" t="str">
        <f aca="false">IFERROR(INDEX(Positions!$E$2:$E$6912,MATCH($A1923&amp;"|50",Positions!$A$2:$A$6912,0)),"-")</f>
        <v>G</v>
      </c>
      <c r="G1923" s="4" t="str">
        <f aca="false">IFERROR(INDEX(Positions!$E$2:$E$6912,MATCH($A1923&amp;"|64",Positions!$A$2:$A$6912,0)),"-")</f>
        <v>C</v>
      </c>
      <c r="H1923" s="3" t="str">
        <f aca="false">F1923&amp;"-"&amp;G1923</f>
        <v>G-C</v>
      </c>
      <c r="I1923" s="4" t="n">
        <f aca="false">(F1923="G")+(G1923="G")</f>
        <v>1</v>
      </c>
      <c r="J1923" s="4" t="n">
        <f aca="false">(F1923="C")+(G1923="C")</f>
        <v>1</v>
      </c>
      <c r="K1923" s="3" t="n">
        <f aca="false">I1923+J1923</f>
        <v>2</v>
      </c>
    </row>
    <row r="1924" customFormat="false" ht="15" hidden="false" customHeight="false" outlineLevel="0" collapsed="false">
      <c r="A1924" s="4" t="s">
        <v>105</v>
      </c>
      <c r="B1924" s="4" t="s">
        <v>471</v>
      </c>
      <c r="C1924" s="4" t="s">
        <v>527</v>
      </c>
      <c r="D1924" s="4" t="n">
        <f aca="false">IFERROR(INDEX(Positions!$D$2:$D$6912,MATCH($A1924&amp;"|51",Positions!$A$2:$A$6912,0)),"-")</f>
        <v>52</v>
      </c>
      <c r="E1924" s="4" t="n">
        <f aca="false">IFERROR(INDEX(Positions!$D$2:$D$6912,MATCH($A1924&amp;"|63",Positions!$A$2:$A$6912,0)),"-")</f>
        <v>64</v>
      </c>
      <c r="F1924" s="4" t="str">
        <f aca="false">IFERROR(INDEX(Positions!$E$2:$E$6912,MATCH($A1924&amp;"|51",Positions!$A$2:$A$6912,0)),"-")</f>
        <v>A</v>
      </c>
      <c r="G1924" s="4" t="str">
        <f aca="false">IFERROR(INDEX(Positions!$E$2:$E$6912,MATCH($A1924&amp;"|63",Positions!$A$2:$A$6912,0)),"-")</f>
        <v>U</v>
      </c>
      <c r="H1924" s="3" t="str">
        <f aca="false">F1924&amp;"-"&amp;G1924</f>
        <v>A-U</v>
      </c>
      <c r="I1924" s="4" t="n">
        <f aca="false">(F1924="G")+(G1924="G")</f>
        <v>0</v>
      </c>
      <c r="J1924" s="4" t="n">
        <f aca="false">(F1924="C")+(G1924="C")</f>
        <v>0</v>
      </c>
      <c r="K1924" s="3" t="n">
        <f aca="false">I1924+J1924</f>
        <v>0</v>
      </c>
    </row>
    <row r="1925" customFormat="false" ht="15" hidden="false" customHeight="false" outlineLevel="0" collapsed="false">
      <c r="A1925" s="4" t="s">
        <v>105</v>
      </c>
      <c r="B1925" s="4" t="s">
        <v>471</v>
      </c>
      <c r="C1925" s="4" t="s">
        <v>528</v>
      </c>
      <c r="D1925" s="4" t="n">
        <f aca="false">IFERROR(INDEX(Positions!$D$2:$D$6912,MATCH($A1925&amp;"|52",Positions!$A$2:$A$6912,0)),"-")</f>
        <v>53</v>
      </c>
      <c r="E1925" s="4" t="n">
        <f aca="false">IFERROR(INDEX(Positions!$D$2:$D$6912,MATCH($A1925&amp;"|62",Positions!$A$2:$A$6912,0)),"-")</f>
        <v>63</v>
      </c>
      <c r="F1925" s="4" t="str">
        <f aca="false">IFERROR(INDEX(Positions!$E$2:$E$6912,MATCH($A1925&amp;"|52",Positions!$A$2:$A$6912,0)),"-")</f>
        <v>G</v>
      </c>
      <c r="G1925" s="4" t="str">
        <f aca="false">IFERROR(INDEX(Positions!$E$2:$E$6912,MATCH($A1925&amp;"|62",Positions!$A$2:$A$6912,0)),"-")</f>
        <v>C</v>
      </c>
      <c r="H1925" s="3" t="str">
        <f aca="false">F1925&amp;"-"&amp;G1925</f>
        <v>G-C</v>
      </c>
      <c r="I1925" s="4" t="n">
        <f aca="false">(F1925="G")+(G1925="G")</f>
        <v>1</v>
      </c>
      <c r="J1925" s="4" t="n">
        <f aca="false">(F1925="C")+(G1925="C")</f>
        <v>1</v>
      </c>
      <c r="K1925" s="3" t="n">
        <f aca="false">I1925+J1925</f>
        <v>2</v>
      </c>
    </row>
    <row r="1926" customFormat="false" ht="15" hidden="false" customHeight="false" outlineLevel="0" collapsed="false">
      <c r="A1926" s="4" t="s">
        <v>105</v>
      </c>
      <c r="B1926" s="4" t="s">
        <v>471</v>
      </c>
      <c r="C1926" s="4" t="s">
        <v>529</v>
      </c>
      <c r="D1926" s="4" t="n">
        <f aca="false">IFERROR(INDEX(Positions!$D$2:$D$6912,MATCH($A1926&amp;"|53",Positions!$A$2:$A$6912,0)),"-")</f>
        <v>54</v>
      </c>
      <c r="E1926" s="4" t="n">
        <f aca="false">IFERROR(INDEX(Positions!$D$2:$D$6912,MATCH($A1926&amp;"|61",Positions!$A$2:$A$6912,0)),"-")</f>
        <v>62</v>
      </c>
      <c r="F1926" s="4" t="str">
        <f aca="false">IFERROR(INDEX(Positions!$E$2:$E$6912,MATCH($A1926&amp;"|53",Positions!$A$2:$A$6912,0)),"-")</f>
        <v>G</v>
      </c>
      <c r="G1926" s="4" t="str">
        <f aca="false">IFERROR(INDEX(Positions!$E$2:$E$6912,MATCH($A1926&amp;"|61",Positions!$A$2:$A$6912,0)),"-")</f>
        <v>C</v>
      </c>
      <c r="H1926" s="3" t="str">
        <f aca="false">F1926&amp;"-"&amp;G1926</f>
        <v>G-C</v>
      </c>
      <c r="I1926" s="4" t="n">
        <f aca="false">(F1926="G")+(G1926="G")</f>
        <v>1</v>
      </c>
      <c r="J1926" s="4" t="n">
        <f aca="false">(F1926="C")+(G1926="C")</f>
        <v>1</v>
      </c>
      <c r="K1926" s="3" t="n">
        <f aca="false">I1926+J1926</f>
        <v>2</v>
      </c>
    </row>
    <row r="1927" customFormat="false" ht="15" hidden="false" customHeight="false" outlineLevel="0" collapsed="false">
      <c r="A1927" s="24" t="s">
        <v>105</v>
      </c>
      <c r="B1927" s="24" t="s">
        <v>530</v>
      </c>
      <c r="C1927" s="24" t="s">
        <v>531</v>
      </c>
      <c r="D1927" s="24" t="n">
        <f aca="false">IFERROR(INDEX(Positions!$D$2:$D$6912,MATCH($A1927&amp;"|8",Positions!$A$2:$A$6912,0)),"-")</f>
        <v>8</v>
      </c>
      <c r="E1927" s="24" t="n">
        <f aca="false">IFERROR(INDEX(Positions!$D$2:$D$6912,MATCH($A1927&amp;"|14",Positions!$A$2:$A$6912,0)),"-")</f>
        <v>14</v>
      </c>
      <c r="F1927" s="24" t="str">
        <f aca="false">IFERROR(INDEX(Positions!$E$2:$E$6912,MATCH($A1927&amp;"|8",Positions!$A$2:$A$6912,0)),"-")</f>
        <v>U</v>
      </c>
      <c r="G1927" s="24" t="str">
        <f aca="false">IFERROR(INDEX(Positions!$E$2:$E$6912,MATCH($A1927&amp;"|14",Positions!$A$2:$A$6912,0)),"-")</f>
        <v>A</v>
      </c>
      <c r="H1927" s="25" t="str">
        <f aca="false">F1927&amp;"-"&amp;G1927</f>
        <v>U-A</v>
      </c>
      <c r="I1927" s="24" t="n">
        <f aca="false">(F1927="G")+(G1927="G")</f>
        <v>0</v>
      </c>
      <c r="J1927" s="24" t="n">
        <f aca="false">(F1927="C")+(G1927="C")</f>
        <v>0</v>
      </c>
      <c r="K1927" s="25" t="n">
        <f aca="false">I1927+J1927</f>
        <v>0</v>
      </c>
    </row>
    <row r="1928" customFormat="false" ht="15" hidden="false" customHeight="false" outlineLevel="0" collapsed="false">
      <c r="A1928" s="24" t="s">
        <v>105</v>
      </c>
      <c r="B1928" s="24" t="s">
        <v>530</v>
      </c>
      <c r="C1928" s="24" t="s">
        <v>532</v>
      </c>
      <c r="D1928" s="24" t="n">
        <f aca="false">IFERROR(INDEX(Positions!$D$2:$D$6912,MATCH($A1928&amp;"|15",Positions!$A$2:$A$6912,0)),"-")</f>
        <v>15</v>
      </c>
      <c r="E1928" s="24" t="n">
        <f aca="false">IFERROR(INDEX(Positions!$D$2:$D$6912,MATCH($A1928&amp;"|48",Positions!$A$2:$A$6912,0)),"-")</f>
        <v>49</v>
      </c>
      <c r="F1928" s="24" t="str">
        <f aca="false">IFERROR(INDEX(Positions!$E$2:$E$6912,MATCH($A1928&amp;"|15",Positions!$A$2:$A$6912,0)),"-")</f>
        <v>G</v>
      </c>
      <c r="G1928" s="24" t="str">
        <f aca="false">IFERROR(INDEX(Positions!$E$2:$E$6912,MATCH($A1928&amp;"|48",Positions!$A$2:$A$6912,0)),"-")</f>
        <v>C</v>
      </c>
      <c r="H1928" s="25" t="str">
        <f aca="false">F1928&amp;"-"&amp;G1928</f>
        <v>G-C</v>
      </c>
      <c r="I1928" s="24" t="n">
        <f aca="false">(F1928="G")+(G1928="G")</f>
        <v>1</v>
      </c>
      <c r="J1928" s="24" t="n">
        <f aca="false">(F1928="C")+(G1928="C")</f>
        <v>1</v>
      </c>
      <c r="K1928" s="25" t="n">
        <f aca="false">I1928+J1928</f>
        <v>2</v>
      </c>
    </row>
    <row r="1929" customFormat="false" ht="15" hidden="false" customHeight="false" outlineLevel="0" collapsed="false">
      <c r="A1929" s="24" t="s">
        <v>105</v>
      </c>
      <c r="B1929" s="24" t="s">
        <v>530</v>
      </c>
      <c r="C1929" s="24" t="s">
        <v>533</v>
      </c>
      <c r="D1929" s="24" t="n">
        <f aca="false">IFERROR(INDEX(Positions!$D$2:$D$6912,MATCH($A1929&amp;"|18",Positions!$A$2:$A$6912,0)),"-")</f>
        <v>19</v>
      </c>
      <c r="E1929" s="24" t="n">
        <f aca="false">IFERROR(INDEX(Positions!$D$2:$D$6912,MATCH($A1929&amp;"|55",Positions!$A$2:$A$6912,0)),"-")</f>
        <v>56</v>
      </c>
      <c r="F1929" s="24" t="str">
        <f aca="false">IFERROR(INDEX(Positions!$E$2:$E$6912,MATCH($A1929&amp;"|18",Positions!$A$2:$A$6912,0)),"-")</f>
        <v>G</v>
      </c>
      <c r="G1929" s="24" t="str">
        <f aca="false">IFERROR(INDEX(Positions!$E$2:$E$6912,MATCH($A1929&amp;"|55",Positions!$A$2:$A$6912,0)),"-")</f>
        <v>U</v>
      </c>
      <c r="H1929" s="25" t="str">
        <f aca="false">F1929&amp;"-"&amp;G1929</f>
        <v>G-U</v>
      </c>
      <c r="I1929" s="24" t="n">
        <f aca="false">(F1929="G")+(G1929="G")</f>
        <v>1</v>
      </c>
      <c r="J1929" s="24" t="n">
        <f aca="false">(F1929="C")+(G1929="C")</f>
        <v>0</v>
      </c>
      <c r="K1929" s="25" t="n">
        <f aca="false">I1929+J1929</f>
        <v>1</v>
      </c>
    </row>
    <row r="1930" customFormat="false" ht="15" hidden="false" customHeight="false" outlineLevel="0" collapsed="false">
      <c r="A1930" s="24" t="s">
        <v>105</v>
      </c>
      <c r="B1930" s="24" t="s">
        <v>530</v>
      </c>
      <c r="C1930" s="24" t="s">
        <v>534</v>
      </c>
      <c r="D1930" s="24" t="n">
        <f aca="false">IFERROR(INDEX(Positions!$D$2:$D$6912,MATCH($A1930&amp;"|19",Positions!$A$2:$A$6912,0)),"-")</f>
        <v>20</v>
      </c>
      <c r="E1930" s="24" t="n">
        <f aca="false">IFERROR(INDEX(Positions!$D$2:$D$6912,MATCH($A1930&amp;"|56",Positions!$A$2:$A$6912,0)),"-")</f>
        <v>57</v>
      </c>
      <c r="F1930" s="24" t="str">
        <f aca="false">IFERROR(INDEX(Positions!$E$2:$E$6912,MATCH($A1930&amp;"|19",Positions!$A$2:$A$6912,0)),"-")</f>
        <v>G</v>
      </c>
      <c r="G1930" s="24" t="str">
        <f aca="false">IFERROR(INDEX(Positions!$E$2:$E$6912,MATCH($A1930&amp;"|56",Positions!$A$2:$A$6912,0)),"-")</f>
        <v>C</v>
      </c>
      <c r="H1930" s="25" t="str">
        <f aca="false">F1930&amp;"-"&amp;G1930</f>
        <v>G-C</v>
      </c>
      <c r="I1930" s="24" t="n">
        <f aca="false">(F1930="G")+(G1930="G")</f>
        <v>1</v>
      </c>
      <c r="J1930" s="24" t="n">
        <f aca="false">(F1930="C")+(G1930="C")</f>
        <v>1</v>
      </c>
      <c r="K1930" s="25" t="n">
        <f aca="false">I1930+J1930</f>
        <v>2</v>
      </c>
    </row>
    <row r="1931" customFormat="false" ht="15" hidden="false" customHeight="false" outlineLevel="0" collapsed="false">
      <c r="A1931" s="24" t="s">
        <v>105</v>
      </c>
      <c r="B1931" s="24" t="s">
        <v>530</v>
      </c>
      <c r="C1931" s="24" t="s">
        <v>535</v>
      </c>
      <c r="D1931" s="24" t="n">
        <f aca="false">IFERROR(INDEX(Positions!$D$2:$D$6912,MATCH($A1931&amp;"|26",Positions!$A$2:$A$6912,0)),"-")</f>
        <v>27</v>
      </c>
      <c r="E1931" s="24" t="n">
        <f aca="false">IFERROR(INDEX(Positions!$D$2:$D$6912,MATCH($A1931&amp;"|44",Positions!$A$2:$A$6912,0)),"-")</f>
        <v>45</v>
      </c>
      <c r="F1931" s="24" t="str">
        <f aca="false">IFERROR(INDEX(Positions!$E$2:$E$6912,MATCH($A1931&amp;"|26",Positions!$A$2:$A$6912,0)),"-")</f>
        <v>A</v>
      </c>
      <c r="G1931" s="24" t="str">
        <f aca="false">IFERROR(INDEX(Positions!$E$2:$E$6912,MATCH($A1931&amp;"|44",Positions!$A$2:$A$6912,0)),"-")</f>
        <v>G</v>
      </c>
      <c r="H1931" s="25" t="str">
        <f aca="false">F1931&amp;"-"&amp;G1931</f>
        <v>A-G</v>
      </c>
      <c r="I1931" s="24" t="n">
        <f aca="false">(F1931="G")+(G1931="G")</f>
        <v>1</v>
      </c>
      <c r="J1931" s="24" t="n">
        <f aca="false">(F1931="C")+(G1931="C")</f>
        <v>0</v>
      </c>
      <c r="K1931" s="25" t="n">
        <f aca="false">I1931+J1931</f>
        <v>1</v>
      </c>
    </row>
    <row r="1932" customFormat="false" ht="15" hidden="false" customHeight="false" outlineLevel="0" collapsed="false">
      <c r="A1932" s="24" t="s">
        <v>105</v>
      </c>
      <c r="B1932" s="24" t="s">
        <v>530</v>
      </c>
      <c r="C1932" s="24" t="s">
        <v>536</v>
      </c>
      <c r="D1932" s="24" t="n">
        <f aca="false">IFERROR(INDEX(Positions!$D$2:$D$6912,MATCH($A1932&amp;"|32",Positions!$A$2:$A$6912,0)),"-")</f>
        <v>33</v>
      </c>
      <c r="E1932" s="24" t="n">
        <f aca="false">IFERROR(INDEX(Positions!$D$2:$D$6912,MATCH($A1932&amp;"|38",Positions!$A$2:$A$6912,0)),"-")</f>
        <v>39</v>
      </c>
      <c r="F1932" s="24" t="str">
        <f aca="false">IFERROR(INDEX(Positions!$E$2:$E$6912,MATCH($A1932&amp;"|32",Positions!$A$2:$A$6912,0)),"-")</f>
        <v>C</v>
      </c>
      <c r="G1932" s="24" t="str">
        <f aca="false">IFERROR(INDEX(Positions!$E$2:$E$6912,MATCH($A1932&amp;"|38",Positions!$A$2:$A$6912,0)),"-")</f>
        <v>U</v>
      </c>
      <c r="H1932" s="25" t="str">
        <f aca="false">F1932&amp;"-"&amp;G1932</f>
        <v>C-U</v>
      </c>
      <c r="I1932" s="24" t="n">
        <f aca="false">(F1932="G")+(G1932="G")</f>
        <v>0</v>
      </c>
      <c r="J1932" s="24" t="n">
        <f aca="false">(F1932="C")+(G1932="C")</f>
        <v>1</v>
      </c>
      <c r="K1932" s="25" t="n">
        <f aca="false">I1932+J1932</f>
        <v>1</v>
      </c>
    </row>
    <row r="1933" customFormat="false" ht="15" hidden="false" customHeight="false" outlineLevel="0" collapsed="false">
      <c r="A1933" s="24" t="s">
        <v>105</v>
      </c>
      <c r="B1933" s="24" t="s">
        <v>530</v>
      </c>
      <c r="C1933" s="24" t="s">
        <v>537</v>
      </c>
      <c r="D1933" s="24" t="n">
        <f aca="false">IFERROR(INDEX(Positions!$D$2:$D$6912,MATCH($A1933&amp;"|54",Positions!$A$2:$A$6912,0)),"-")</f>
        <v>55</v>
      </c>
      <c r="E1933" s="24" t="n">
        <f aca="false">IFERROR(INDEX(Positions!$D$2:$D$6912,MATCH($A1933&amp;"|58",Positions!$A$2:$A$6912,0)),"-")</f>
        <v>59</v>
      </c>
      <c r="F1933" s="24" t="str">
        <f aca="false">IFERROR(INDEX(Positions!$E$2:$E$6912,MATCH($A1933&amp;"|54",Positions!$A$2:$A$6912,0)),"-")</f>
        <v>U</v>
      </c>
      <c r="G1933" s="24" t="str">
        <f aca="false">IFERROR(INDEX(Positions!$E$2:$E$6912,MATCH($A1933&amp;"|58",Positions!$A$2:$A$6912,0)),"-")</f>
        <v>A</v>
      </c>
      <c r="H1933" s="25" t="str">
        <f aca="false">F1933&amp;"-"&amp;G1933</f>
        <v>U-A</v>
      </c>
      <c r="I1933" s="24" t="n">
        <f aca="false">(F1933="G")+(G1933="G")</f>
        <v>0</v>
      </c>
      <c r="J1933" s="24" t="n">
        <f aca="false">(F1933="C")+(G1933="C")</f>
        <v>0</v>
      </c>
      <c r="K1933" s="25" t="n">
        <f aca="false">I1933+J1933</f>
        <v>0</v>
      </c>
    </row>
    <row r="1934" customFormat="false" ht="15" hidden="false" customHeight="false" outlineLevel="0" collapsed="false">
      <c r="A1934" s="4" t="s">
        <v>106</v>
      </c>
      <c r="B1934" s="4" t="s">
        <v>412</v>
      </c>
      <c r="C1934" s="4" t="s">
        <v>517</v>
      </c>
      <c r="D1934" s="4" t="n">
        <f aca="false">IFERROR(INDEX(Positions!$D$2:$D$6912,MATCH($A1934&amp;"|1",Positions!$A$2:$A$6912,0)),"-")</f>
        <v>1</v>
      </c>
      <c r="E1934" s="4" t="n">
        <f aca="false">IFERROR(INDEX(Positions!$D$2:$D$6912,MATCH($A1934&amp;"|72",Positions!$A$2:$A$6912,0)),"-")</f>
        <v>73</v>
      </c>
      <c r="F1934" s="4" t="str">
        <f aca="false">IFERROR(INDEX(Positions!$E$2:$E$6912,MATCH($A1934&amp;"|1",Positions!$A$2:$A$6912,0)),"-")</f>
        <v>C</v>
      </c>
      <c r="G1934" s="4" t="str">
        <f aca="false">IFERROR(INDEX(Positions!$E$2:$E$6912,MATCH($A1934&amp;"|72",Positions!$A$2:$A$6912,0)),"-")</f>
        <v>G</v>
      </c>
      <c r="H1934" s="3" t="str">
        <f aca="false">F1934&amp;"-"&amp;G1934</f>
        <v>C-G</v>
      </c>
      <c r="I1934" s="4" t="n">
        <f aca="false">(F1934="G")+(G1934="G")</f>
        <v>1</v>
      </c>
      <c r="J1934" s="4" t="n">
        <f aca="false">(F1934="C")+(G1934="C")</f>
        <v>1</v>
      </c>
      <c r="K1934" s="3" t="n">
        <f aca="false">I1934+J1934</f>
        <v>2</v>
      </c>
    </row>
    <row r="1935" customFormat="false" ht="15" hidden="false" customHeight="false" outlineLevel="0" collapsed="false">
      <c r="A1935" s="4" t="s">
        <v>106</v>
      </c>
      <c r="B1935" s="4" t="s">
        <v>412</v>
      </c>
      <c r="C1935" s="4" t="s">
        <v>518</v>
      </c>
      <c r="D1935" s="4" t="n">
        <f aca="false">IFERROR(INDEX(Positions!$D$2:$D$6912,MATCH($A1935&amp;"|2",Positions!$A$2:$A$6912,0)),"-")</f>
        <v>2</v>
      </c>
      <c r="E1935" s="4" t="n">
        <f aca="false">IFERROR(INDEX(Positions!$D$2:$D$6912,MATCH($A1935&amp;"|71",Positions!$A$2:$A$6912,0)),"-")</f>
        <v>72</v>
      </c>
      <c r="F1935" s="4" t="str">
        <f aca="false">IFERROR(INDEX(Positions!$E$2:$E$6912,MATCH($A1935&amp;"|2",Positions!$A$2:$A$6912,0)),"-")</f>
        <v>G</v>
      </c>
      <c r="G1935" s="4" t="str">
        <f aca="false">IFERROR(INDEX(Positions!$E$2:$E$6912,MATCH($A1935&amp;"|71",Positions!$A$2:$A$6912,0)),"-")</f>
        <v>C</v>
      </c>
      <c r="H1935" s="3" t="str">
        <f aca="false">F1935&amp;"-"&amp;G1935</f>
        <v>G-C</v>
      </c>
      <c r="I1935" s="4" t="n">
        <f aca="false">(F1935="G")+(G1935="G")</f>
        <v>1</v>
      </c>
      <c r="J1935" s="4" t="n">
        <f aca="false">(F1935="C")+(G1935="C")</f>
        <v>1</v>
      </c>
      <c r="K1935" s="3" t="n">
        <f aca="false">I1935+J1935</f>
        <v>2</v>
      </c>
    </row>
    <row r="1936" customFormat="false" ht="15" hidden="false" customHeight="false" outlineLevel="0" collapsed="false">
      <c r="A1936" s="4" t="s">
        <v>106</v>
      </c>
      <c r="B1936" s="4" t="s">
        <v>412</v>
      </c>
      <c r="C1936" s="4" t="s">
        <v>386</v>
      </c>
      <c r="D1936" s="4" t="n">
        <f aca="false">IFERROR(INDEX(Positions!$D$2:$D$6912,MATCH($A1936&amp;"|3",Positions!$A$2:$A$6912,0)),"-")</f>
        <v>3</v>
      </c>
      <c r="E1936" s="4" t="n">
        <f aca="false">IFERROR(INDEX(Positions!$D$2:$D$6912,MATCH($A1936&amp;"|70",Positions!$A$2:$A$6912,0)),"-")</f>
        <v>71</v>
      </c>
      <c r="F1936" s="4" t="str">
        <f aca="false">IFERROR(INDEX(Positions!$E$2:$E$6912,MATCH($A1936&amp;"|3",Positions!$A$2:$A$6912,0)),"-")</f>
        <v>G</v>
      </c>
      <c r="G1936" s="4" t="str">
        <f aca="false">IFERROR(INDEX(Positions!$E$2:$E$6912,MATCH($A1936&amp;"|70",Positions!$A$2:$A$6912,0)),"-")</f>
        <v>C</v>
      </c>
      <c r="H1936" s="3" t="str">
        <f aca="false">F1936&amp;"-"&amp;G1936</f>
        <v>G-C</v>
      </c>
      <c r="I1936" s="4" t="n">
        <f aca="false">(F1936="G")+(G1936="G")</f>
        <v>1</v>
      </c>
      <c r="J1936" s="4" t="n">
        <f aca="false">(F1936="C")+(G1936="C")</f>
        <v>1</v>
      </c>
      <c r="K1936" s="3" t="n">
        <f aca="false">I1936+J1936</f>
        <v>2</v>
      </c>
    </row>
    <row r="1937" customFormat="false" ht="15" hidden="false" customHeight="false" outlineLevel="0" collapsed="false">
      <c r="A1937" s="4" t="s">
        <v>106</v>
      </c>
      <c r="B1937" s="4" t="s">
        <v>412</v>
      </c>
      <c r="C1937" s="4" t="s">
        <v>519</v>
      </c>
      <c r="D1937" s="4" t="n">
        <f aca="false">IFERROR(INDEX(Positions!$D$2:$D$6912,MATCH($A1937&amp;"|4",Positions!$A$2:$A$6912,0)),"-")</f>
        <v>4</v>
      </c>
      <c r="E1937" s="4" t="n">
        <f aca="false">IFERROR(INDEX(Positions!$D$2:$D$6912,MATCH($A1937&amp;"|69",Positions!$A$2:$A$6912,0)),"-")</f>
        <v>70</v>
      </c>
      <c r="F1937" s="4" t="str">
        <f aca="false">IFERROR(INDEX(Positions!$E$2:$E$6912,MATCH($A1937&amp;"|4",Positions!$A$2:$A$6912,0)),"-")</f>
        <v>C</v>
      </c>
      <c r="G1937" s="4" t="str">
        <f aca="false">IFERROR(INDEX(Positions!$E$2:$E$6912,MATCH($A1937&amp;"|69",Positions!$A$2:$A$6912,0)),"-")</f>
        <v>G</v>
      </c>
      <c r="H1937" s="3" t="str">
        <f aca="false">F1937&amp;"-"&amp;G1937</f>
        <v>C-G</v>
      </c>
      <c r="I1937" s="4" t="n">
        <f aca="false">(F1937="G")+(G1937="G")</f>
        <v>1</v>
      </c>
      <c r="J1937" s="4" t="n">
        <f aca="false">(F1937="C")+(G1937="C")</f>
        <v>1</v>
      </c>
      <c r="K1937" s="3" t="n">
        <f aca="false">I1937+J1937</f>
        <v>2</v>
      </c>
    </row>
    <row r="1938" customFormat="false" ht="15" hidden="false" customHeight="false" outlineLevel="0" collapsed="false">
      <c r="A1938" s="4" t="s">
        <v>106</v>
      </c>
      <c r="B1938" s="4" t="s">
        <v>412</v>
      </c>
      <c r="C1938" s="4" t="s">
        <v>283</v>
      </c>
      <c r="D1938" s="4" t="n">
        <f aca="false">IFERROR(INDEX(Positions!$D$2:$D$6912,MATCH($A1938&amp;"|5",Positions!$A$2:$A$6912,0)),"-")</f>
        <v>5</v>
      </c>
      <c r="E1938" s="4" t="n">
        <f aca="false">IFERROR(INDEX(Positions!$D$2:$D$6912,MATCH($A1938&amp;"|68",Positions!$A$2:$A$6912,0)),"-")</f>
        <v>69</v>
      </c>
      <c r="F1938" s="4" t="str">
        <f aca="false">IFERROR(INDEX(Positions!$E$2:$E$6912,MATCH($A1938&amp;"|5",Positions!$A$2:$A$6912,0)),"-")</f>
        <v>G</v>
      </c>
      <c r="G1938" s="4" t="str">
        <f aca="false">IFERROR(INDEX(Positions!$E$2:$E$6912,MATCH($A1938&amp;"|68",Positions!$A$2:$A$6912,0)),"-")</f>
        <v>C</v>
      </c>
      <c r="H1938" s="3" t="str">
        <f aca="false">F1938&amp;"-"&amp;G1938</f>
        <v>G-C</v>
      </c>
      <c r="I1938" s="4" t="n">
        <f aca="false">(F1938="G")+(G1938="G")</f>
        <v>1</v>
      </c>
      <c r="J1938" s="4" t="n">
        <f aca="false">(F1938="C")+(G1938="C")</f>
        <v>1</v>
      </c>
      <c r="K1938" s="3" t="n">
        <f aca="false">I1938+J1938</f>
        <v>2</v>
      </c>
    </row>
    <row r="1939" customFormat="false" ht="15" hidden="false" customHeight="false" outlineLevel="0" collapsed="false">
      <c r="A1939" s="4" t="s">
        <v>106</v>
      </c>
      <c r="B1939" s="4" t="s">
        <v>412</v>
      </c>
      <c r="C1939" s="4" t="s">
        <v>520</v>
      </c>
      <c r="D1939" s="4" t="n">
        <f aca="false">IFERROR(INDEX(Positions!$D$2:$D$6912,MATCH($A1939&amp;"|6",Positions!$A$2:$A$6912,0)),"-")</f>
        <v>6</v>
      </c>
      <c r="E1939" s="4" t="n">
        <f aca="false">IFERROR(INDEX(Positions!$D$2:$D$6912,MATCH($A1939&amp;"|67",Positions!$A$2:$A$6912,0)),"-")</f>
        <v>68</v>
      </c>
      <c r="F1939" s="4" t="str">
        <f aca="false">IFERROR(INDEX(Positions!$E$2:$E$6912,MATCH($A1939&amp;"|6",Positions!$A$2:$A$6912,0)),"-")</f>
        <v>A</v>
      </c>
      <c r="G1939" s="4" t="str">
        <f aca="false">IFERROR(INDEX(Positions!$E$2:$E$6912,MATCH($A1939&amp;"|67",Positions!$A$2:$A$6912,0)),"-")</f>
        <v>U</v>
      </c>
      <c r="H1939" s="3" t="str">
        <f aca="false">F1939&amp;"-"&amp;G1939</f>
        <v>A-U</v>
      </c>
      <c r="I1939" s="4" t="n">
        <f aca="false">(F1939="G")+(G1939="G")</f>
        <v>0</v>
      </c>
      <c r="J1939" s="4" t="n">
        <f aca="false">(F1939="C")+(G1939="C")</f>
        <v>0</v>
      </c>
      <c r="K1939" s="3" t="n">
        <f aca="false">I1939+J1939</f>
        <v>0</v>
      </c>
    </row>
    <row r="1940" customFormat="false" ht="15" hidden="false" customHeight="false" outlineLevel="0" collapsed="false">
      <c r="A1940" s="4" t="s">
        <v>106</v>
      </c>
      <c r="B1940" s="4" t="s">
        <v>412</v>
      </c>
      <c r="C1940" s="4" t="s">
        <v>521</v>
      </c>
      <c r="D1940" s="4" t="n">
        <f aca="false">IFERROR(INDEX(Positions!$D$2:$D$6912,MATCH($A1940&amp;"|7",Positions!$A$2:$A$6912,0)),"-")</f>
        <v>7</v>
      </c>
      <c r="E1940" s="4" t="n">
        <f aca="false">IFERROR(INDEX(Positions!$D$2:$D$6912,MATCH($A1940&amp;"|66",Positions!$A$2:$A$6912,0)),"-")</f>
        <v>67</v>
      </c>
      <c r="F1940" s="4" t="str">
        <f aca="false">IFERROR(INDEX(Positions!$E$2:$E$6912,MATCH($A1940&amp;"|7",Positions!$A$2:$A$6912,0)),"-")</f>
        <v>G</v>
      </c>
      <c r="G1940" s="4" t="str">
        <f aca="false">IFERROR(INDEX(Positions!$E$2:$E$6912,MATCH($A1940&amp;"|66",Positions!$A$2:$A$6912,0)),"-")</f>
        <v>C</v>
      </c>
      <c r="H1940" s="3" t="str">
        <f aca="false">F1940&amp;"-"&amp;G1940</f>
        <v>G-C</v>
      </c>
      <c r="I1940" s="4" t="n">
        <f aca="false">(F1940="G")+(G1940="G")</f>
        <v>1</v>
      </c>
      <c r="J1940" s="4" t="n">
        <f aca="false">(F1940="C")+(G1940="C")</f>
        <v>1</v>
      </c>
      <c r="K1940" s="3" t="n">
        <f aca="false">I1940+J1940</f>
        <v>2</v>
      </c>
    </row>
    <row r="1941" customFormat="false" ht="15" hidden="false" customHeight="false" outlineLevel="0" collapsed="false">
      <c r="A1941" s="4" t="s">
        <v>106</v>
      </c>
      <c r="B1941" s="4" t="s">
        <v>425</v>
      </c>
      <c r="C1941" s="4" t="s">
        <v>522</v>
      </c>
      <c r="D1941" s="4" t="n">
        <f aca="false">IFERROR(INDEX(Positions!$D$2:$D$6912,MATCH($A1941&amp;"|10",Positions!$A$2:$A$6912,0)),"-")</f>
        <v>10</v>
      </c>
      <c r="E1941" s="4" t="n">
        <f aca="false">IFERROR(INDEX(Positions!$D$2:$D$6912,MATCH($A1941&amp;"|25",Positions!$A$2:$A$6912,0)),"-")</f>
        <v>26</v>
      </c>
      <c r="F1941" s="4" t="str">
        <f aca="false">IFERROR(INDEX(Positions!$E$2:$E$6912,MATCH($A1941&amp;"|10",Positions!$A$2:$A$6912,0)),"-")</f>
        <v>G</v>
      </c>
      <c r="G1941" s="4" t="str">
        <f aca="false">IFERROR(INDEX(Positions!$E$2:$E$6912,MATCH($A1941&amp;"|25",Positions!$A$2:$A$6912,0)),"-")</f>
        <v>C</v>
      </c>
      <c r="H1941" s="3" t="str">
        <f aca="false">F1941&amp;"-"&amp;G1941</f>
        <v>G-C</v>
      </c>
      <c r="I1941" s="4" t="n">
        <f aca="false">(F1941="G")+(G1941="G")</f>
        <v>1</v>
      </c>
      <c r="J1941" s="4" t="n">
        <f aca="false">(F1941="C")+(G1941="C")</f>
        <v>1</v>
      </c>
      <c r="K1941" s="3" t="n">
        <f aca="false">I1941+J1941</f>
        <v>2</v>
      </c>
    </row>
    <row r="1942" customFormat="false" ht="15" hidden="false" customHeight="false" outlineLevel="0" collapsed="false">
      <c r="A1942" s="4" t="s">
        <v>106</v>
      </c>
      <c r="B1942" s="4" t="s">
        <v>425</v>
      </c>
      <c r="C1942" s="4" t="s">
        <v>523</v>
      </c>
      <c r="D1942" s="4" t="n">
        <f aca="false">IFERROR(INDEX(Positions!$D$2:$D$6912,MATCH($A1942&amp;"|11",Positions!$A$2:$A$6912,0)),"-")</f>
        <v>11</v>
      </c>
      <c r="E1942" s="4" t="n">
        <f aca="false">IFERROR(INDEX(Positions!$D$2:$D$6912,MATCH($A1942&amp;"|24",Positions!$A$2:$A$6912,0)),"-")</f>
        <v>25</v>
      </c>
      <c r="F1942" s="4" t="str">
        <f aca="false">IFERROR(INDEX(Positions!$E$2:$E$6912,MATCH($A1942&amp;"|11",Positions!$A$2:$A$6912,0)),"-")</f>
        <v>C</v>
      </c>
      <c r="G1942" s="4" t="str">
        <f aca="false">IFERROR(INDEX(Positions!$E$2:$E$6912,MATCH($A1942&amp;"|24",Positions!$A$2:$A$6912,0)),"-")</f>
        <v>G</v>
      </c>
      <c r="H1942" s="3" t="str">
        <f aca="false">F1942&amp;"-"&amp;G1942</f>
        <v>C-G</v>
      </c>
      <c r="I1942" s="4" t="n">
        <f aca="false">(F1942="G")+(G1942="G")</f>
        <v>1</v>
      </c>
      <c r="J1942" s="4" t="n">
        <f aca="false">(F1942="C")+(G1942="C")</f>
        <v>1</v>
      </c>
      <c r="K1942" s="3" t="n">
        <f aca="false">I1942+J1942</f>
        <v>2</v>
      </c>
    </row>
    <row r="1943" customFormat="false" ht="15" hidden="false" customHeight="false" outlineLevel="0" collapsed="false">
      <c r="A1943" s="4" t="s">
        <v>106</v>
      </c>
      <c r="B1943" s="4" t="s">
        <v>425</v>
      </c>
      <c r="C1943" s="4" t="s">
        <v>250</v>
      </c>
      <c r="D1943" s="4" t="n">
        <f aca="false">IFERROR(INDEX(Positions!$D$2:$D$6912,MATCH($A1943&amp;"|12",Positions!$A$2:$A$6912,0)),"-")</f>
        <v>12</v>
      </c>
      <c r="E1943" s="4" t="n">
        <f aca="false">IFERROR(INDEX(Positions!$D$2:$D$6912,MATCH($A1943&amp;"|23",Positions!$A$2:$A$6912,0)),"-")</f>
        <v>24</v>
      </c>
      <c r="F1943" s="4" t="str">
        <f aca="false">IFERROR(INDEX(Positions!$E$2:$E$6912,MATCH($A1943&amp;"|12",Positions!$A$2:$A$6912,0)),"-")</f>
        <v>G</v>
      </c>
      <c r="G1943" s="4" t="str">
        <f aca="false">IFERROR(INDEX(Positions!$E$2:$E$6912,MATCH($A1943&amp;"|23",Positions!$A$2:$A$6912,0)),"-")</f>
        <v>C</v>
      </c>
      <c r="H1943" s="3" t="str">
        <f aca="false">F1943&amp;"-"&amp;G1943</f>
        <v>G-C</v>
      </c>
      <c r="I1943" s="4" t="n">
        <f aca="false">(F1943="G")+(G1943="G")</f>
        <v>1</v>
      </c>
      <c r="J1943" s="4" t="n">
        <f aca="false">(F1943="C")+(G1943="C")</f>
        <v>1</v>
      </c>
      <c r="K1943" s="3" t="n">
        <f aca="false">I1943+J1943</f>
        <v>2</v>
      </c>
    </row>
    <row r="1944" customFormat="false" ht="15" hidden="false" customHeight="false" outlineLevel="0" collapsed="false">
      <c r="A1944" s="4" t="s">
        <v>106</v>
      </c>
      <c r="B1944" s="4" t="s">
        <v>425</v>
      </c>
      <c r="C1944" s="4" t="s">
        <v>154</v>
      </c>
      <c r="D1944" s="4" t="n">
        <f aca="false">IFERROR(INDEX(Positions!$D$2:$D$6912,MATCH($A1944&amp;"|13",Positions!$A$2:$A$6912,0)),"-")</f>
        <v>13</v>
      </c>
      <c r="E1944" s="4" t="n">
        <f aca="false">IFERROR(INDEX(Positions!$D$2:$D$6912,MATCH($A1944&amp;"|22",Positions!$A$2:$A$6912,0)),"-")</f>
        <v>23</v>
      </c>
      <c r="F1944" s="4" t="str">
        <f aca="false">IFERROR(INDEX(Positions!$E$2:$E$6912,MATCH($A1944&amp;"|13",Positions!$A$2:$A$6912,0)),"-")</f>
        <v>C</v>
      </c>
      <c r="G1944" s="4" t="str">
        <f aca="false">IFERROR(INDEX(Positions!$E$2:$E$6912,MATCH($A1944&amp;"|22",Positions!$A$2:$A$6912,0)),"-")</f>
        <v>G</v>
      </c>
      <c r="H1944" s="3" t="str">
        <f aca="false">F1944&amp;"-"&amp;G1944</f>
        <v>C-G</v>
      </c>
      <c r="I1944" s="4" t="n">
        <f aca="false">(F1944="G")+(G1944="G")</f>
        <v>1</v>
      </c>
      <c r="J1944" s="4" t="n">
        <f aca="false">(F1944="C")+(G1944="C")</f>
        <v>1</v>
      </c>
      <c r="K1944" s="3" t="n">
        <f aca="false">I1944+J1944</f>
        <v>2</v>
      </c>
    </row>
    <row r="1945" customFormat="false" ht="15" hidden="false" customHeight="false" outlineLevel="0" collapsed="false">
      <c r="A1945" s="4" t="s">
        <v>106</v>
      </c>
      <c r="B1945" s="4" t="s">
        <v>446</v>
      </c>
      <c r="C1945" s="4" t="s">
        <v>524</v>
      </c>
      <c r="D1945" s="4" t="n">
        <f aca="false">IFERROR(INDEX(Positions!$D$2:$D$6912,MATCH($A1945&amp;"|27",Positions!$A$2:$A$6912,0)),"-")</f>
        <v>28</v>
      </c>
      <c r="E1945" s="4" t="n">
        <f aca="false">IFERROR(INDEX(Positions!$D$2:$D$6912,MATCH($A1945&amp;"|43",Positions!$A$2:$A$6912,0)),"-")</f>
        <v>44</v>
      </c>
      <c r="F1945" s="4" t="str">
        <f aca="false">IFERROR(INDEX(Positions!$E$2:$E$6912,MATCH($A1945&amp;"|27",Positions!$A$2:$A$6912,0)),"-")</f>
        <v>A</v>
      </c>
      <c r="G1945" s="4" t="str">
        <f aca="false">IFERROR(INDEX(Positions!$E$2:$E$6912,MATCH($A1945&amp;"|43",Positions!$A$2:$A$6912,0)),"-")</f>
        <v>U</v>
      </c>
      <c r="H1945" s="3" t="str">
        <f aca="false">F1945&amp;"-"&amp;G1945</f>
        <v>A-U</v>
      </c>
      <c r="I1945" s="4" t="n">
        <f aca="false">(F1945="G")+(G1945="G")</f>
        <v>0</v>
      </c>
      <c r="J1945" s="4" t="n">
        <f aca="false">(F1945="C")+(G1945="C")</f>
        <v>0</v>
      </c>
      <c r="K1945" s="3" t="n">
        <f aca="false">I1945+J1945</f>
        <v>0</v>
      </c>
    </row>
    <row r="1946" customFormat="false" ht="15" hidden="false" customHeight="false" outlineLevel="0" collapsed="false">
      <c r="A1946" s="4" t="s">
        <v>106</v>
      </c>
      <c r="B1946" s="4" t="s">
        <v>446</v>
      </c>
      <c r="C1946" s="4" t="s">
        <v>525</v>
      </c>
      <c r="D1946" s="4" t="n">
        <f aca="false">IFERROR(INDEX(Positions!$D$2:$D$6912,MATCH($A1946&amp;"|28",Positions!$A$2:$A$6912,0)),"-")</f>
        <v>29</v>
      </c>
      <c r="E1946" s="4" t="n">
        <f aca="false">IFERROR(INDEX(Positions!$D$2:$D$6912,MATCH($A1946&amp;"|42",Positions!$A$2:$A$6912,0)),"-")</f>
        <v>43</v>
      </c>
      <c r="F1946" s="4" t="str">
        <f aca="false">IFERROR(INDEX(Positions!$E$2:$E$6912,MATCH($A1946&amp;"|28",Positions!$A$2:$A$6912,0)),"-")</f>
        <v>C</v>
      </c>
      <c r="G1946" s="4" t="str">
        <f aca="false">IFERROR(INDEX(Positions!$E$2:$E$6912,MATCH($A1946&amp;"|42",Positions!$A$2:$A$6912,0)),"-")</f>
        <v>G</v>
      </c>
      <c r="H1946" s="3" t="str">
        <f aca="false">F1946&amp;"-"&amp;G1946</f>
        <v>C-G</v>
      </c>
      <c r="I1946" s="4" t="n">
        <f aca="false">(F1946="G")+(G1946="G")</f>
        <v>1</v>
      </c>
      <c r="J1946" s="4" t="n">
        <f aca="false">(F1946="C")+(G1946="C")</f>
        <v>1</v>
      </c>
      <c r="K1946" s="3" t="n">
        <f aca="false">I1946+J1946</f>
        <v>2</v>
      </c>
    </row>
    <row r="1947" customFormat="false" ht="15" hidden="false" customHeight="false" outlineLevel="0" collapsed="false">
      <c r="A1947" s="4" t="s">
        <v>106</v>
      </c>
      <c r="B1947" s="4" t="s">
        <v>446</v>
      </c>
      <c r="C1947" s="4" t="s">
        <v>256</v>
      </c>
      <c r="D1947" s="4" t="n">
        <f aca="false">IFERROR(INDEX(Positions!$D$2:$D$6912,MATCH($A1947&amp;"|29",Positions!$A$2:$A$6912,0)),"-")</f>
        <v>30</v>
      </c>
      <c r="E1947" s="4" t="n">
        <f aca="false">IFERROR(INDEX(Positions!$D$2:$D$6912,MATCH($A1947&amp;"|41",Positions!$A$2:$A$6912,0)),"-")</f>
        <v>42</v>
      </c>
      <c r="F1947" s="4" t="str">
        <f aca="false">IFERROR(INDEX(Positions!$E$2:$E$6912,MATCH($A1947&amp;"|29",Positions!$A$2:$A$6912,0)),"-")</f>
        <v>U</v>
      </c>
      <c r="G1947" s="4" t="str">
        <f aca="false">IFERROR(INDEX(Positions!$E$2:$E$6912,MATCH($A1947&amp;"|41",Positions!$A$2:$A$6912,0)),"-")</f>
        <v>A</v>
      </c>
      <c r="H1947" s="3" t="str">
        <f aca="false">F1947&amp;"-"&amp;G1947</f>
        <v>U-A</v>
      </c>
      <c r="I1947" s="4" t="n">
        <f aca="false">(F1947="G")+(G1947="G")</f>
        <v>0</v>
      </c>
      <c r="J1947" s="4" t="n">
        <f aca="false">(F1947="C")+(G1947="C")</f>
        <v>0</v>
      </c>
      <c r="K1947" s="3" t="n">
        <f aca="false">I1947+J1947</f>
        <v>0</v>
      </c>
    </row>
    <row r="1948" customFormat="false" ht="15" hidden="false" customHeight="false" outlineLevel="0" collapsed="false">
      <c r="A1948" s="4" t="s">
        <v>106</v>
      </c>
      <c r="B1948" s="4" t="s">
        <v>446</v>
      </c>
      <c r="C1948" s="4" t="s">
        <v>526</v>
      </c>
      <c r="D1948" s="4" t="n">
        <f aca="false">IFERROR(INDEX(Positions!$D$2:$D$6912,MATCH($A1948&amp;"|30",Positions!$A$2:$A$6912,0)),"-")</f>
        <v>31</v>
      </c>
      <c r="E1948" s="4" t="n">
        <f aca="false">IFERROR(INDEX(Positions!$D$2:$D$6912,MATCH($A1948&amp;"|40",Positions!$A$2:$A$6912,0)),"-")</f>
        <v>41</v>
      </c>
      <c r="F1948" s="4" t="str">
        <f aca="false">IFERROR(INDEX(Positions!$E$2:$E$6912,MATCH($A1948&amp;"|30",Positions!$A$2:$A$6912,0)),"-")</f>
        <v>G</v>
      </c>
      <c r="G1948" s="4" t="str">
        <f aca="false">IFERROR(INDEX(Positions!$E$2:$E$6912,MATCH($A1948&amp;"|40",Positions!$A$2:$A$6912,0)),"-")</f>
        <v>C</v>
      </c>
      <c r="H1948" s="3" t="str">
        <f aca="false">F1948&amp;"-"&amp;G1948</f>
        <v>G-C</v>
      </c>
      <c r="I1948" s="4" t="n">
        <f aca="false">(F1948="G")+(G1948="G")</f>
        <v>1</v>
      </c>
      <c r="J1948" s="4" t="n">
        <f aca="false">(F1948="C")+(G1948="C")</f>
        <v>1</v>
      </c>
      <c r="K1948" s="3" t="n">
        <f aca="false">I1948+J1948</f>
        <v>2</v>
      </c>
    </row>
    <row r="1949" customFormat="false" ht="15" hidden="false" customHeight="false" outlineLevel="0" collapsed="false">
      <c r="A1949" s="4" t="s">
        <v>106</v>
      </c>
      <c r="B1949" s="4" t="s">
        <v>446</v>
      </c>
      <c r="C1949" s="4" t="s">
        <v>273</v>
      </c>
      <c r="D1949" s="4" t="n">
        <f aca="false">IFERROR(INDEX(Positions!$D$2:$D$6912,MATCH($A1949&amp;"|31",Positions!$A$2:$A$6912,0)),"-")</f>
        <v>32</v>
      </c>
      <c r="E1949" s="4" t="n">
        <f aca="false">IFERROR(INDEX(Positions!$D$2:$D$6912,MATCH($A1949&amp;"|39",Positions!$A$2:$A$6912,0)),"-")</f>
        <v>40</v>
      </c>
      <c r="F1949" s="4" t="str">
        <f aca="false">IFERROR(INDEX(Positions!$E$2:$E$6912,MATCH($A1949&amp;"|31",Positions!$A$2:$A$6912,0)),"-")</f>
        <v>G</v>
      </c>
      <c r="G1949" s="4" t="str">
        <f aca="false">IFERROR(INDEX(Positions!$E$2:$E$6912,MATCH($A1949&amp;"|39",Positions!$A$2:$A$6912,0)),"-")</f>
        <v>C</v>
      </c>
      <c r="H1949" s="3" t="str">
        <f aca="false">F1949&amp;"-"&amp;G1949</f>
        <v>G-C</v>
      </c>
      <c r="I1949" s="4" t="n">
        <f aca="false">(F1949="G")+(G1949="G")</f>
        <v>1</v>
      </c>
      <c r="J1949" s="4" t="n">
        <f aca="false">(F1949="C")+(G1949="C")</f>
        <v>1</v>
      </c>
      <c r="K1949" s="3" t="n">
        <f aca="false">I1949+J1949</f>
        <v>2</v>
      </c>
    </row>
    <row r="1950" customFormat="false" ht="15" hidden="false" customHeight="false" outlineLevel="0" collapsed="false">
      <c r="A1950" s="4" t="s">
        <v>106</v>
      </c>
      <c r="B1950" s="4" t="s">
        <v>471</v>
      </c>
      <c r="C1950" s="4" t="s">
        <v>367</v>
      </c>
      <c r="D1950" s="4" t="n">
        <f aca="false">IFERROR(INDEX(Positions!$D$2:$D$6912,MATCH($A1950&amp;"|49",Positions!$A$2:$A$6912,0)),"-")</f>
        <v>50</v>
      </c>
      <c r="E1950" s="4" t="n">
        <f aca="false">IFERROR(INDEX(Positions!$D$2:$D$6912,MATCH($A1950&amp;"|65",Positions!$A$2:$A$6912,0)),"-")</f>
        <v>66</v>
      </c>
      <c r="F1950" s="4" t="str">
        <f aca="false">IFERROR(INDEX(Positions!$E$2:$E$6912,MATCH($A1950&amp;"|49",Positions!$A$2:$A$6912,0)),"-")</f>
        <v>G</v>
      </c>
      <c r="G1950" s="4" t="str">
        <f aca="false">IFERROR(INDEX(Positions!$E$2:$E$6912,MATCH($A1950&amp;"|65",Positions!$A$2:$A$6912,0)),"-")</f>
        <v>U</v>
      </c>
      <c r="H1950" s="3" t="str">
        <f aca="false">F1950&amp;"-"&amp;G1950</f>
        <v>G-U</v>
      </c>
      <c r="I1950" s="4" t="n">
        <f aca="false">(F1950="G")+(G1950="G")</f>
        <v>1</v>
      </c>
      <c r="J1950" s="4" t="n">
        <f aca="false">(F1950="C")+(G1950="C")</f>
        <v>0</v>
      </c>
      <c r="K1950" s="3" t="n">
        <f aca="false">I1950+J1950</f>
        <v>1</v>
      </c>
    </row>
    <row r="1951" customFormat="false" ht="15" hidden="false" customHeight="false" outlineLevel="0" collapsed="false">
      <c r="A1951" s="4" t="s">
        <v>106</v>
      </c>
      <c r="B1951" s="4" t="s">
        <v>471</v>
      </c>
      <c r="C1951" s="4" t="s">
        <v>233</v>
      </c>
      <c r="D1951" s="4" t="n">
        <f aca="false">IFERROR(INDEX(Positions!$D$2:$D$6912,MATCH($A1951&amp;"|50",Positions!$A$2:$A$6912,0)),"-")</f>
        <v>51</v>
      </c>
      <c r="E1951" s="4" t="n">
        <f aca="false">IFERROR(INDEX(Positions!$D$2:$D$6912,MATCH($A1951&amp;"|64",Positions!$A$2:$A$6912,0)),"-")</f>
        <v>65</v>
      </c>
      <c r="F1951" s="4" t="str">
        <f aca="false">IFERROR(INDEX(Positions!$E$2:$E$6912,MATCH($A1951&amp;"|50",Positions!$A$2:$A$6912,0)),"-")</f>
        <v>G</v>
      </c>
      <c r="G1951" s="4" t="str">
        <f aca="false">IFERROR(INDEX(Positions!$E$2:$E$6912,MATCH($A1951&amp;"|64",Positions!$A$2:$A$6912,0)),"-")</f>
        <v>C</v>
      </c>
      <c r="H1951" s="3" t="str">
        <f aca="false">F1951&amp;"-"&amp;G1951</f>
        <v>G-C</v>
      </c>
      <c r="I1951" s="4" t="n">
        <f aca="false">(F1951="G")+(G1951="G")</f>
        <v>1</v>
      </c>
      <c r="J1951" s="4" t="n">
        <f aca="false">(F1951="C")+(G1951="C")</f>
        <v>1</v>
      </c>
      <c r="K1951" s="3" t="n">
        <f aca="false">I1951+J1951</f>
        <v>2</v>
      </c>
    </row>
    <row r="1952" customFormat="false" ht="15" hidden="false" customHeight="false" outlineLevel="0" collapsed="false">
      <c r="A1952" s="4" t="s">
        <v>106</v>
      </c>
      <c r="B1952" s="4" t="s">
        <v>471</v>
      </c>
      <c r="C1952" s="4" t="s">
        <v>527</v>
      </c>
      <c r="D1952" s="4" t="n">
        <f aca="false">IFERROR(INDEX(Positions!$D$2:$D$6912,MATCH($A1952&amp;"|51",Positions!$A$2:$A$6912,0)),"-")</f>
        <v>52</v>
      </c>
      <c r="E1952" s="4" t="n">
        <f aca="false">IFERROR(INDEX(Positions!$D$2:$D$6912,MATCH($A1952&amp;"|63",Positions!$A$2:$A$6912,0)),"-")</f>
        <v>64</v>
      </c>
      <c r="F1952" s="4" t="str">
        <f aca="false">IFERROR(INDEX(Positions!$E$2:$E$6912,MATCH($A1952&amp;"|51",Positions!$A$2:$A$6912,0)),"-")</f>
        <v>A</v>
      </c>
      <c r="G1952" s="4" t="str">
        <f aca="false">IFERROR(INDEX(Positions!$E$2:$E$6912,MATCH($A1952&amp;"|63",Positions!$A$2:$A$6912,0)),"-")</f>
        <v>U</v>
      </c>
      <c r="H1952" s="3" t="str">
        <f aca="false">F1952&amp;"-"&amp;G1952</f>
        <v>A-U</v>
      </c>
      <c r="I1952" s="4" t="n">
        <f aca="false">(F1952="G")+(G1952="G")</f>
        <v>0</v>
      </c>
      <c r="J1952" s="4" t="n">
        <f aca="false">(F1952="C")+(G1952="C")</f>
        <v>0</v>
      </c>
      <c r="K1952" s="3" t="n">
        <f aca="false">I1952+J1952</f>
        <v>0</v>
      </c>
    </row>
    <row r="1953" customFormat="false" ht="15" hidden="false" customHeight="false" outlineLevel="0" collapsed="false">
      <c r="A1953" s="4" t="s">
        <v>106</v>
      </c>
      <c r="B1953" s="4" t="s">
        <v>471</v>
      </c>
      <c r="C1953" s="4" t="s">
        <v>528</v>
      </c>
      <c r="D1953" s="4" t="n">
        <f aca="false">IFERROR(INDEX(Positions!$D$2:$D$6912,MATCH($A1953&amp;"|52",Positions!$A$2:$A$6912,0)),"-")</f>
        <v>53</v>
      </c>
      <c r="E1953" s="4" t="n">
        <f aca="false">IFERROR(INDEX(Positions!$D$2:$D$6912,MATCH($A1953&amp;"|62",Positions!$A$2:$A$6912,0)),"-")</f>
        <v>63</v>
      </c>
      <c r="F1953" s="4" t="str">
        <f aca="false">IFERROR(INDEX(Positions!$E$2:$E$6912,MATCH($A1953&amp;"|52",Positions!$A$2:$A$6912,0)),"-")</f>
        <v>G</v>
      </c>
      <c r="G1953" s="4" t="str">
        <f aca="false">IFERROR(INDEX(Positions!$E$2:$E$6912,MATCH($A1953&amp;"|62",Positions!$A$2:$A$6912,0)),"-")</f>
        <v>C</v>
      </c>
      <c r="H1953" s="3" t="str">
        <f aca="false">F1953&amp;"-"&amp;G1953</f>
        <v>G-C</v>
      </c>
      <c r="I1953" s="4" t="n">
        <f aca="false">(F1953="G")+(G1953="G")</f>
        <v>1</v>
      </c>
      <c r="J1953" s="4" t="n">
        <f aca="false">(F1953="C")+(G1953="C")</f>
        <v>1</v>
      </c>
      <c r="K1953" s="3" t="n">
        <f aca="false">I1953+J1953</f>
        <v>2</v>
      </c>
    </row>
    <row r="1954" customFormat="false" ht="15" hidden="false" customHeight="false" outlineLevel="0" collapsed="false">
      <c r="A1954" s="4" t="s">
        <v>106</v>
      </c>
      <c r="B1954" s="4" t="s">
        <v>471</v>
      </c>
      <c r="C1954" s="4" t="s">
        <v>529</v>
      </c>
      <c r="D1954" s="4" t="n">
        <f aca="false">IFERROR(INDEX(Positions!$D$2:$D$6912,MATCH($A1954&amp;"|53",Positions!$A$2:$A$6912,0)),"-")</f>
        <v>54</v>
      </c>
      <c r="E1954" s="4" t="n">
        <f aca="false">IFERROR(INDEX(Positions!$D$2:$D$6912,MATCH($A1954&amp;"|61",Positions!$A$2:$A$6912,0)),"-")</f>
        <v>62</v>
      </c>
      <c r="F1954" s="4" t="str">
        <f aca="false">IFERROR(INDEX(Positions!$E$2:$E$6912,MATCH($A1954&amp;"|53",Positions!$A$2:$A$6912,0)),"-")</f>
        <v>G</v>
      </c>
      <c r="G1954" s="4" t="str">
        <f aca="false">IFERROR(INDEX(Positions!$E$2:$E$6912,MATCH($A1954&amp;"|61",Positions!$A$2:$A$6912,0)),"-")</f>
        <v>C</v>
      </c>
      <c r="H1954" s="3" t="str">
        <f aca="false">F1954&amp;"-"&amp;G1954</f>
        <v>G-C</v>
      </c>
      <c r="I1954" s="4" t="n">
        <f aca="false">(F1954="G")+(G1954="G")</f>
        <v>1</v>
      </c>
      <c r="J1954" s="4" t="n">
        <f aca="false">(F1954="C")+(G1954="C")</f>
        <v>1</v>
      </c>
      <c r="K1954" s="3" t="n">
        <f aca="false">I1954+J1954</f>
        <v>2</v>
      </c>
    </row>
    <row r="1955" customFormat="false" ht="15" hidden="false" customHeight="false" outlineLevel="0" collapsed="false">
      <c r="A1955" s="24" t="s">
        <v>106</v>
      </c>
      <c r="B1955" s="24" t="s">
        <v>530</v>
      </c>
      <c r="C1955" s="24" t="s">
        <v>531</v>
      </c>
      <c r="D1955" s="24" t="n">
        <f aca="false">IFERROR(INDEX(Positions!$D$2:$D$6912,MATCH($A1955&amp;"|8",Positions!$A$2:$A$6912,0)),"-")</f>
        <v>8</v>
      </c>
      <c r="E1955" s="24" t="n">
        <f aca="false">IFERROR(INDEX(Positions!$D$2:$D$6912,MATCH($A1955&amp;"|14",Positions!$A$2:$A$6912,0)),"-")</f>
        <v>14</v>
      </c>
      <c r="F1955" s="24" t="str">
        <f aca="false">IFERROR(INDEX(Positions!$E$2:$E$6912,MATCH($A1955&amp;"|8",Positions!$A$2:$A$6912,0)),"-")</f>
        <v>U</v>
      </c>
      <c r="G1955" s="24" t="str">
        <f aca="false">IFERROR(INDEX(Positions!$E$2:$E$6912,MATCH($A1955&amp;"|14",Positions!$A$2:$A$6912,0)),"-")</f>
        <v>A</v>
      </c>
      <c r="H1955" s="25" t="str">
        <f aca="false">F1955&amp;"-"&amp;G1955</f>
        <v>U-A</v>
      </c>
      <c r="I1955" s="24" t="n">
        <f aca="false">(F1955="G")+(G1955="G")</f>
        <v>0</v>
      </c>
      <c r="J1955" s="24" t="n">
        <f aca="false">(F1955="C")+(G1955="C")</f>
        <v>0</v>
      </c>
      <c r="K1955" s="25" t="n">
        <f aca="false">I1955+J1955</f>
        <v>0</v>
      </c>
    </row>
    <row r="1956" customFormat="false" ht="15" hidden="false" customHeight="false" outlineLevel="0" collapsed="false">
      <c r="A1956" s="24" t="s">
        <v>106</v>
      </c>
      <c r="B1956" s="24" t="s">
        <v>530</v>
      </c>
      <c r="C1956" s="24" t="s">
        <v>532</v>
      </c>
      <c r="D1956" s="24" t="n">
        <f aca="false">IFERROR(INDEX(Positions!$D$2:$D$6912,MATCH($A1956&amp;"|15",Positions!$A$2:$A$6912,0)),"-")</f>
        <v>15</v>
      </c>
      <c r="E1956" s="24" t="n">
        <f aca="false">IFERROR(INDEX(Positions!$D$2:$D$6912,MATCH($A1956&amp;"|48",Positions!$A$2:$A$6912,0)),"-")</f>
        <v>49</v>
      </c>
      <c r="F1956" s="24" t="str">
        <f aca="false">IFERROR(INDEX(Positions!$E$2:$E$6912,MATCH($A1956&amp;"|15",Positions!$A$2:$A$6912,0)),"-")</f>
        <v>G</v>
      </c>
      <c r="G1956" s="24" t="str">
        <f aca="false">IFERROR(INDEX(Positions!$E$2:$E$6912,MATCH($A1956&amp;"|48",Positions!$A$2:$A$6912,0)),"-")</f>
        <v>C</v>
      </c>
      <c r="H1956" s="25" t="str">
        <f aca="false">F1956&amp;"-"&amp;G1956</f>
        <v>G-C</v>
      </c>
      <c r="I1956" s="24" t="n">
        <f aca="false">(F1956="G")+(G1956="G")</f>
        <v>1</v>
      </c>
      <c r="J1956" s="24" t="n">
        <f aca="false">(F1956="C")+(G1956="C")</f>
        <v>1</v>
      </c>
      <c r="K1956" s="25" t="n">
        <f aca="false">I1956+J1956</f>
        <v>2</v>
      </c>
    </row>
    <row r="1957" customFormat="false" ht="15" hidden="false" customHeight="false" outlineLevel="0" collapsed="false">
      <c r="A1957" s="24" t="s">
        <v>106</v>
      </c>
      <c r="B1957" s="24" t="s">
        <v>530</v>
      </c>
      <c r="C1957" s="24" t="s">
        <v>533</v>
      </c>
      <c r="D1957" s="24" t="n">
        <f aca="false">IFERROR(INDEX(Positions!$D$2:$D$6912,MATCH($A1957&amp;"|18",Positions!$A$2:$A$6912,0)),"-")</f>
        <v>19</v>
      </c>
      <c r="E1957" s="24" t="n">
        <f aca="false">IFERROR(INDEX(Positions!$D$2:$D$6912,MATCH($A1957&amp;"|55",Positions!$A$2:$A$6912,0)),"-")</f>
        <v>56</v>
      </c>
      <c r="F1957" s="24" t="str">
        <f aca="false">IFERROR(INDEX(Positions!$E$2:$E$6912,MATCH($A1957&amp;"|18",Positions!$A$2:$A$6912,0)),"-")</f>
        <v>G</v>
      </c>
      <c r="G1957" s="24" t="str">
        <f aca="false">IFERROR(INDEX(Positions!$E$2:$E$6912,MATCH($A1957&amp;"|55",Positions!$A$2:$A$6912,0)),"-")</f>
        <v>U</v>
      </c>
      <c r="H1957" s="25" t="str">
        <f aca="false">F1957&amp;"-"&amp;G1957</f>
        <v>G-U</v>
      </c>
      <c r="I1957" s="24" t="n">
        <f aca="false">(F1957="G")+(G1957="G")</f>
        <v>1</v>
      </c>
      <c r="J1957" s="24" t="n">
        <f aca="false">(F1957="C")+(G1957="C")</f>
        <v>0</v>
      </c>
      <c r="K1957" s="25" t="n">
        <f aca="false">I1957+J1957</f>
        <v>1</v>
      </c>
    </row>
    <row r="1958" customFormat="false" ht="15" hidden="false" customHeight="false" outlineLevel="0" collapsed="false">
      <c r="A1958" s="24" t="s">
        <v>106</v>
      </c>
      <c r="B1958" s="24" t="s">
        <v>530</v>
      </c>
      <c r="C1958" s="24" t="s">
        <v>534</v>
      </c>
      <c r="D1958" s="24" t="n">
        <f aca="false">IFERROR(INDEX(Positions!$D$2:$D$6912,MATCH($A1958&amp;"|19",Positions!$A$2:$A$6912,0)),"-")</f>
        <v>20</v>
      </c>
      <c r="E1958" s="24" t="n">
        <f aca="false">IFERROR(INDEX(Positions!$D$2:$D$6912,MATCH($A1958&amp;"|56",Positions!$A$2:$A$6912,0)),"-")</f>
        <v>57</v>
      </c>
      <c r="F1958" s="24" t="str">
        <f aca="false">IFERROR(INDEX(Positions!$E$2:$E$6912,MATCH($A1958&amp;"|19",Positions!$A$2:$A$6912,0)),"-")</f>
        <v>G</v>
      </c>
      <c r="G1958" s="24" t="str">
        <f aca="false">IFERROR(INDEX(Positions!$E$2:$E$6912,MATCH($A1958&amp;"|56",Positions!$A$2:$A$6912,0)),"-")</f>
        <v>C</v>
      </c>
      <c r="H1958" s="25" t="str">
        <f aca="false">F1958&amp;"-"&amp;G1958</f>
        <v>G-C</v>
      </c>
      <c r="I1958" s="24" t="n">
        <f aca="false">(F1958="G")+(G1958="G")</f>
        <v>1</v>
      </c>
      <c r="J1958" s="24" t="n">
        <f aca="false">(F1958="C")+(G1958="C")</f>
        <v>1</v>
      </c>
      <c r="K1958" s="25" t="n">
        <f aca="false">I1958+J1958</f>
        <v>2</v>
      </c>
    </row>
    <row r="1959" customFormat="false" ht="15" hidden="false" customHeight="false" outlineLevel="0" collapsed="false">
      <c r="A1959" s="24" t="s">
        <v>106</v>
      </c>
      <c r="B1959" s="24" t="s">
        <v>530</v>
      </c>
      <c r="C1959" s="24" t="s">
        <v>535</v>
      </c>
      <c r="D1959" s="24" t="n">
        <f aca="false">IFERROR(INDEX(Positions!$D$2:$D$6912,MATCH($A1959&amp;"|26",Positions!$A$2:$A$6912,0)),"-")</f>
        <v>27</v>
      </c>
      <c r="E1959" s="24" t="n">
        <f aca="false">IFERROR(INDEX(Positions!$D$2:$D$6912,MATCH($A1959&amp;"|44",Positions!$A$2:$A$6912,0)),"-")</f>
        <v>45</v>
      </c>
      <c r="F1959" s="24" t="str">
        <f aca="false">IFERROR(INDEX(Positions!$E$2:$E$6912,MATCH($A1959&amp;"|26",Positions!$A$2:$A$6912,0)),"-")</f>
        <v>A</v>
      </c>
      <c r="G1959" s="24" t="str">
        <f aca="false">IFERROR(INDEX(Positions!$E$2:$E$6912,MATCH($A1959&amp;"|44",Positions!$A$2:$A$6912,0)),"-")</f>
        <v>G</v>
      </c>
      <c r="H1959" s="25" t="str">
        <f aca="false">F1959&amp;"-"&amp;G1959</f>
        <v>A-G</v>
      </c>
      <c r="I1959" s="24" t="n">
        <f aca="false">(F1959="G")+(G1959="G")</f>
        <v>1</v>
      </c>
      <c r="J1959" s="24" t="n">
        <f aca="false">(F1959="C")+(G1959="C")</f>
        <v>0</v>
      </c>
      <c r="K1959" s="25" t="n">
        <f aca="false">I1959+J1959</f>
        <v>1</v>
      </c>
    </row>
    <row r="1960" customFormat="false" ht="15" hidden="false" customHeight="false" outlineLevel="0" collapsed="false">
      <c r="A1960" s="24" t="s">
        <v>106</v>
      </c>
      <c r="B1960" s="24" t="s">
        <v>530</v>
      </c>
      <c r="C1960" s="24" t="s">
        <v>536</v>
      </c>
      <c r="D1960" s="24" t="n">
        <f aca="false">IFERROR(INDEX(Positions!$D$2:$D$6912,MATCH($A1960&amp;"|32",Positions!$A$2:$A$6912,0)),"-")</f>
        <v>33</v>
      </c>
      <c r="E1960" s="24" t="n">
        <f aca="false">IFERROR(INDEX(Positions!$D$2:$D$6912,MATCH($A1960&amp;"|38",Positions!$A$2:$A$6912,0)),"-")</f>
        <v>39</v>
      </c>
      <c r="F1960" s="24" t="str">
        <f aca="false">IFERROR(INDEX(Positions!$E$2:$E$6912,MATCH($A1960&amp;"|32",Positions!$A$2:$A$6912,0)),"-")</f>
        <v>U</v>
      </c>
      <c r="G1960" s="24" t="str">
        <f aca="false">IFERROR(INDEX(Positions!$E$2:$E$6912,MATCH($A1960&amp;"|38",Positions!$A$2:$A$6912,0)),"-")</f>
        <v>A</v>
      </c>
      <c r="H1960" s="25" t="str">
        <f aca="false">F1960&amp;"-"&amp;G1960</f>
        <v>U-A</v>
      </c>
      <c r="I1960" s="24" t="n">
        <f aca="false">(F1960="G")+(G1960="G")</f>
        <v>0</v>
      </c>
      <c r="J1960" s="24" t="n">
        <f aca="false">(F1960="C")+(G1960="C")</f>
        <v>0</v>
      </c>
      <c r="K1960" s="25" t="n">
        <f aca="false">I1960+J1960</f>
        <v>0</v>
      </c>
    </row>
    <row r="1961" customFormat="false" ht="15" hidden="false" customHeight="false" outlineLevel="0" collapsed="false">
      <c r="A1961" s="24" t="s">
        <v>106</v>
      </c>
      <c r="B1961" s="24" t="s">
        <v>530</v>
      </c>
      <c r="C1961" s="24" t="s">
        <v>537</v>
      </c>
      <c r="D1961" s="24" t="n">
        <f aca="false">IFERROR(INDEX(Positions!$D$2:$D$6912,MATCH($A1961&amp;"|54",Positions!$A$2:$A$6912,0)),"-")</f>
        <v>55</v>
      </c>
      <c r="E1961" s="24" t="n">
        <f aca="false">IFERROR(INDEX(Positions!$D$2:$D$6912,MATCH($A1961&amp;"|58",Positions!$A$2:$A$6912,0)),"-")</f>
        <v>59</v>
      </c>
      <c r="F1961" s="24" t="str">
        <f aca="false">IFERROR(INDEX(Positions!$E$2:$E$6912,MATCH($A1961&amp;"|54",Positions!$A$2:$A$6912,0)),"-")</f>
        <v>U</v>
      </c>
      <c r="G1961" s="24" t="str">
        <f aca="false">IFERROR(INDEX(Positions!$E$2:$E$6912,MATCH($A1961&amp;"|58",Positions!$A$2:$A$6912,0)),"-")</f>
        <v>A</v>
      </c>
      <c r="H1961" s="25" t="str">
        <f aca="false">F1961&amp;"-"&amp;G1961</f>
        <v>U-A</v>
      </c>
      <c r="I1961" s="24" t="n">
        <f aca="false">(F1961="G")+(G1961="G")</f>
        <v>0</v>
      </c>
      <c r="J1961" s="24" t="n">
        <f aca="false">(F1961="C")+(G1961="C")</f>
        <v>0</v>
      </c>
      <c r="K1961" s="25" t="n">
        <f aca="false">I1961+J1961</f>
        <v>0</v>
      </c>
    </row>
    <row r="1962" customFormat="false" ht="15" hidden="false" customHeight="false" outlineLevel="0" collapsed="false">
      <c r="A1962" s="4" t="s">
        <v>107</v>
      </c>
      <c r="B1962" s="4" t="s">
        <v>412</v>
      </c>
      <c r="C1962" s="4" t="s">
        <v>517</v>
      </c>
      <c r="D1962" s="4" t="n">
        <f aca="false">IFERROR(INDEX(Positions!$D$2:$D$6912,MATCH($A1962&amp;"|1",Positions!$A$2:$A$6912,0)),"-")</f>
        <v>1</v>
      </c>
      <c r="E1962" s="4" t="n">
        <f aca="false">IFERROR(INDEX(Positions!$D$2:$D$6912,MATCH($A1962&amp;"|72",Positions!$A$2:$A$6912,0)),"-")</f>
        <v>71</v>
      </c>
      <c r="F1962" s="4" t="str">
        <f aca="false">IFERROR(INDEX(Positions!$E$2:$E$6912,MATCH($A1962&amp;"|1",Positions!$A$2:$A$6912,0)),"-")</f>
        <v>G</v>
      </c>
      <c r="G1962" s="4" t="str">
        <f aca="false">IFERROR(INDEX(Positions!$E$2:$E$6912,MATCH($A1962&amp;"|72",Positions!$A$2:$A$6912,0)),"-")</f>
        <v>C</v>
      </c>
      <c r="H1962" s="3" t="str">
        <f aca="false">F1962&amp;"-"&amp;G1962</f>
        <v>G-C</v>
      </c>
      <c r="I1962" s="4" t="n">
        <f aca="false">(F1962="G")+(G1962="G")</f>
        <v>1</v>
      </c>
      <c r="J1962" s="4" t="n">
        <f aca="false">(F1962="C")+(G1962="C")</f>
        <v>1</v>
      </c>
      <c r="K1962" s="3" t="n">
        <f aca="false">I1962+J1962</f>
        <v>2</v>
      </c>
    </row>
    <row r="1963" customFormat="false" ht="15" hidden="false" customHeight="false" outlineLevel="0" collapsed="false">
      <c r="A1963" s="4" t="s">
        <v>107</v>
      </c>
      <c r="B1963" s="4" t="s">
        <v>412</v>
      </c>
      <c r="C1963" s="4" t="s">
        <v>518</v>
      </c>
      <c r="D1963" s="4" t="n">
        <f aca="false">IFERROR(INDEX(Positions!$D$2:$D$6912,MATCH($A1963&amp;"|2",Positions!$A$2:$A$6912,0)),"-")</f>
        <v>2</v>
      </c>
      <c r="E1963" s="4" t="n">
        <f aca="false">IFERROR(INDEX(Positions!$D$2:$D$6912,MATCH($A1963&amp;"|71",Positions!$A$2:$A$6912,0)),"-")</f>
        <v>70</v>
      </c>
      <c r="F1963" s="4" t="str">
        <f aca="false">IFERROR(INDEX(Positions!$E$2:$E$6912,MATCH($A1963&amp;"|2",Positions!$A$2:$A$6912,0)),"-")</f>
        <v>G</v>
      </c>
      <c r="G1963" s="4" t="str">
        <f aca="false">IFERROR(INDEX(Positions!$E$2:$E$6912,MATCH($A1963&amp;"|71",Positions!$A$2:$A$6912,0)),"-")</f>
        <v>C</v>
      </c>
      <c r="H1963" s="3" t="str">
        <f aca="false">F1963&amp;"-"&amp;G1963</f>
        <v>G-C</v>
      </c>
      <c r="I1963" s="4" t="n">
        <f aca="false">(F1963="G")+(G1963="G")</f>
        <v>1</v>
      </c>
      <c r="J1963" s="4" t="n">
        <f aca="false">(F1963="C")+(G1963="C")</f>
        <v>1</v>
      </c>
      <c r="K1963" s="3" t="n">
        <f aca="false">I1963+J1963</f>
        <v>2</v>
      </c>
    </row>
    <row r="1964" customFormat="false" ht="15" hidden="false" customHeight="false" outlineLevel="0" collapsed="false">
      <c r="A1964" s="4" t="s">
        <v>107</v>
      </c>
      <c r="B1964" s="4" t="s">
        <v>412</v>
      </c>
      <c r="C1964" s="4" t="s">
        <v>386</v>
      </c>
      <c r="D1964" s="4" t="n">
        <f aca="false">IFERROR(INDEX(Positions!$D$2:$D$6912,MATCH($A1964&amp;"|3",Positions!$A$2:$A$6912,0)),"-")</f>
        <v>3</v>
      </c>
      <c r="E1964" s="4" t="n">
        <f aca="false">IFERROR(INDEX(Positions!$D$2:$D$6912,MATCH($A1964&amp;"|70",Positions!$A$2:$A$6912,0)),"-")</f>
        <v>69</v>
      </c>
      <c r="F1964" s="4" t="str">
        <f aca="false">IFERROR(INDEX(Positions!$E$2:$E$6912,MATCH($A1964&amp;"|3",Positions!$A$2:$A$6912,0)),"-")</f>
        <v>U</v>
      </c>
      <c r="G1964" s="4" t="str">
        <f aca="false">IFERROR(INDEX(Positions!$E$2:$E$6912,MATCH($A1964&amp;"|70",Positions!$A$2:$A$6912,0)),"-")</f>
        <v>A</v>
      </c>
      <c r="H1964" s="3" t="str">
        <f aca="false">F1964&amp;"-"&amp;G1964</f>
        <v>U-A</v>
      </c>
      <c r="I1964" s="4" t="n">
        <f aca="false">(F1964="G")+(G1964="G")</f>
        <v>0</v>
      </c>
      <c r="J1964" s="4" t="n">
        <f aca="false">(F1964="C")+(G1964="C")</f>
        <v>0</v>
      </c>
      <c r="K1964" s="3" t="n">
        <f aca="false">I1964+J1964</f>
        <v>0</v>
      </c>
    </row>
    <row r="1965" customFormat="false" ht="15" hidden="false" customHeight="false" outlineLevel="0" collapsed="false">
      <c r="A1965" s="4" t="s">
        <v>107</v>
      </c>
      <c r="B1965" s="4" t="s">
        <v>412</v>
      </c>
      <c r="C1965" s="4" t="s">
        <v>519</v>
      </c>
      <c r="D1965" s="4" t="n">
        <f aca="false">IFERROR(INDEX(Positions!$D$2:$D$6912,MATCH($A1965&amp;"|4",Positions!$A$2:$A$6912,0)),"-")</f>
        <v>4</v>
      </c>
      <c r="E1965" s="4" t="n">
        <f aca="false">IFERROR(INDEX(Positions!$D$2:$D$6912,MATCH($A1965&amp;"|69",Positions!$A$2:$A$6912,0)),"-")</f>
        <v>68</v>
      </c>
      <c r="F1965" s="4" t="str">
        <f aca="false">IFERROR(INDEX(Positions!$E$2:$E$6912,MATCH($A1965&amp;"|4",Positions!$A$2:$A$6912,0)),"-")</f>
        <v>U</v>
      </c>
      <c r="G1965" s="4" t="str">
        <f aca="false">IFERROR(INDEX(Positions!$E$2:$E$6912,MATCH($A1965&amp;"|69",Positions!$A$2:$A$6912,0)),"-")</f>
        <v>G</v>
      </c>
      <c r="H1965" s="3" t="str">
        <f aca="false">F1965&amp;"-"&amp;G1965</f>
        <v>U-G</v>
      </c>
      <c r="I1965" s="4" t="n">
        <f aca="false">(F1965="G")+(G1965="G")</f>
        <v>1</v>
      </c>
      <c r="J1965" s="4" t="n">
        <f aca="false">(F1965="C")+(G1965="C")</f>
        <v>0</v>
      </c>
      <c r="K1965" s="3" t="n">
        <f aca="false">I1965+J1965</f>
        <v>1</v>
      </c>
    </row>
    <row r="1966" customFormat="false" ht="15" hidden="false" customHeight="false" outlineLevel="0" collapsed="false">
      <c r="A1966" s="4" t="s">
        <v>107</v>
      </c>
      <c r="B1966" s="4" t="s">
        <v>412</v>
      </c>
      <c r="C1966" s="4" t="s">
        <v>283</v>
      </c>
      <c r="D1966" s="4" t="n">
        <f aca="false">IFERROR(INDEX(Positions!$D$2:$D$6912,MATCH($A1966&amp;"|5",Positions!$A$2:$A$6912,0)),"-")</f>
        <v>5</v>
      </c>
      <c r="E1966" s="4" t="n">
        <f aca="false">IFERROR(INDEX(Positions!$D$2:$D$6912,MATCH($A1966&amp;"|68",Positions!$A$2:$A$6912,0)),"-")</f>
        <v>67</v>
      </c>
      <c r="F1966" s="4" t="str">
        <f aca="false">IFERROR(INDEX(Positions!$E$2:$E$6912,MATCH($A1966&amp;"|5",Positions!$A$2:$A$6912,0)),"-")</f>
        <v>C</v>
      </c>
      <c r="G1966" s="4" t="str">
        <f aca="false">IFERROR(INDEX(Positions!$E$2:$E$6912,MATCH($A1966&amp;"|68",Positions!$A$2:$A$6912,0)),"-")</f>
        <v>G</v>
      </c>
      <c r="H1966" s="3" t="str">
        <f aca="false">F1966&amp;"-"&amp;G1966</f>
        <v>C-G</v>
      </c>
      <c r="I1966" s="4" t="n">
        <f aca="false">(F1966="G")+(G1966="G")</f>
        <v>1</v>
      </c>
      <c r="J1966" s="4" t="n">
        <f aca="false">(F1966="C")+(G1966="C")</f>
        <v>1</v>
      </c>
      <c r="K1966" s="3" t="n">
        <f aca="false">I1966+J1966</f>
        <v>2</v>
      </c>
    </row>
    <row r="1967" customFormat="false" ht="15" hidden="false" customHeight="false" outlineLevel="0" collapsed="false">
      <c r="A1967" s="4" t="s">
        <v>107</v>
      </c>
      <c r="B1967" s="4" t="s">
        <v>412</v>
      </c>
      <c r="C1967" s="4" t="s">
        <v>520</v>
      </c>
      <c r="D1967" s="4" t="n">
        <f aca="false">IFERROR(INDEX(Positions!$D$2:$D$6912,MATCH($A1967&amp;"|6",Positions!$A$2:$A$6912,0)),"-")</f>
        <v>6</v>
      </c>
      <c r="E1967" s="4" t="n">
        <f aca="false">IFERROR(INDEX(Positions!$D$2:$D$6912,MATCH($A1967&amp;"|67",Positions!$A$2:$A$6912,0)),"-")</f>
        <v>66</v>
      </c>
      <c r="F1967" s="4" t="str">
        <f aca="false">IFERROR(INDEX(Positions!$E$2:$E$6912,MATCH($A1967&amp;"|6",Positions!$A$2:$A$6912,0)),"-")</f>
        <v>U</v>
      </c>
      <c r="G1967" s="4" t="str">
        <f aca="false">IFERROR(INDEX(Positions!$E$2:$E$6912,MATCH($A1967&amp;"|67",Positions!$A$2:$A$6912,0)),"-")</f>
        <v>A</v>
      </c>
      <c r="H1967" s="3" t="str">
        <f aca="false">F1967&amp;"-"&amp;G1967</f>
        <v>U-A</v>
      </c>
      <c r="I1967" s="4" t="n">
        <f aca="false">(F1967="G")+(G1967="G")</f>
        <v>0</v>
      </c>
      <c r="J1967" s="4" t="n">
        <f aca="false">(F1967="C")+(G1967="C")</f>
        <v>0</v>
      </c>
      <c r="K1967" s="3" t="n">
        <f aca="false">I1967+J1967</f>
        <v>0</v>
      </c>
    </row>
    <row r="1968" customFormat="false" ht="15" hidden="false" customHeight="false" outlineLevel="0" collapsed="false">
      <c r="A1968" s="4" t="s">
        <v>107</v>
      </c>
      <c r="B1968" s="4" t="s">
        <v>412</v>
      </c>
      <c r="C1968" s="4" t="s">
        <v>521</v>
      </c>
      <c r="D1968" s="4" t="n">
        <f aca="false">IFERROR(INDEX(Positions!$D$2:$D$6912,MATCH($A1968&amp;"|7",Positions!$A$2:$A$6912,0)),"-")</f>
        <v>7</v>
      </c>
      <c r="E1968" s="4" t="n">
        <f aca="false">IFERROR(INDEX(Positions!$D$2:$D$6912,MATCH($A1968&amp;"|66",Positions!$A$2:$A$6912,0)),"-")</f>
        <v>65</v>
      </c>
      <c r="F1968" s="4" t="str">
        <f aca="false">IFERROR(INDEX(Positions!$E$2:$E$6912,MATCH($A1968&amp;"|7",Positions!$A$2:$A$6912,0)),"-")</f>
        <v>A</v>
      </c>
      <c r="G1968" s="4" t="str">
        <f aca="false">IFERROR(INDEX(Positions!$E$2:$E$6912,MATCH($A1968&amp;"|66",Positions!$A$2:$A$6912,0)),"-")</f>
        <v>U</v>
      </c>
      <c r="H1968" s="3" t="str">
        <f aca="false">F1968&amp;"-"&amp;G1968</f>
        <v>A-U</v>
      </c>
      <c r="I1968" s="4" t="n">
        <f aca="false">(F1968="G")+(G1968="G")</f>
        <v>0</v>
      </c>
      <c r="J1968" s="4" t="n">
        <f aca="false">(F1968="C")+(G1968="C")</f>
        <v>0</v>
      </c>
      <c r="K1968" s="3" t="n">
        <f aca="false">I1968+J1968</f>
        <v>0</v>
      </c>
    </row>
    <row r="1969" customFormat="false" ht="15" hidden="false" customHeight="false" outlineLevel="0" collapsed="false">
      <c r="A1969" s="4" t="s">
        <v>107</v>
      </c>
      <c r="B1969" s="4" t="s">
        <v>425</v>
      </c>
      <c r="C1969" s="4" t="s">
        <v>522</v>
      </c>
      <c r="D1969" s="4" t="n">
        <f aca="false">IFERROR(INDEX(Positions!$D$2:$D$6912,MATCH($A1969&amp;"|10",Positions!$A$2:$A$6912,0)),"-")</f>
        <v>10</v>
      </c>
      <c r="E1969" s="4" t="n">
        <f aca="false">IFERROR(INDEX(Positions!$D$2:$D$6912,MATCH($A1969&amp;"|25",Positions!$A$2:$A$6912,0)),"-")</f>
        <v>25</v>
      </c>
      <c r="F1969" s="4" t="str">
        <f aca="false">IFERROR(INDEX(Positions!$E$2:$E$6912,MATCH($A1969&amp;"|10",Positions!$A$2:$A$6912,0)),"-")</f>
        <v>G</v>
      </c>
      <c r="G1969" s="4" t="str">
        <f aca="false">IFERROR(INDEX(Positions!$E$2:$E$6912,MATCH($A1969&amp;"|25",Positions!$A$2:$A$6912,0)),"-")</f>
        <v>C</v>
      </c>
      <c r="H1969" s="3" t="str">
        <f aca="false">F1969&amp;"-"&amp;G1969</f>
        <v>G-C</v>
      </c>
      <c r="I1969" s="4" t="n">
        <f aca="false">(F1969="G")+(G1969="G")</f>
        <v>1</v>
      </c>
      <c r="J1969" s="4" t="n">
        <f aca="false">(F1969="C")+(G1969="C")</f>
        <v>1</v>
      </c>
      <c r="K1969" s="3" t="n">
        <f aca="false">I1969+J1969</f>
        <v>2</v>
      </c>
    </row>
    <row r="1970" customFormat="false" ht="15" hidden="false" customHeight="false" outlineLevel="0" collapsed="false">
      <c r="A1970" s="4" t="s">
        <v>107</v>
      </c>
      <c r="B1970" s="4" t="s">
        <v>425</v>
      </c>
      <c r="C1970" s="4" t="s">
        <v>523</v>
      </c>
      <c r="D1970" s="4" t="n">
        <f aca="false">IFERROR(INDEX(Positions!$D$2:$D$6912,MATCH($A1970&amp;"|11",Positions!$A$2:$A$6912,0)),"-")</f>
        <v>11</v>
      </c>
      <c r="E1970" s="4" t="n">
        <f aca="false">IFERROR(INDEX(Positions!$D$2:$D$6912,MATCH($A1970&amp;"|24",Positions!$A$2:$A$6912,0)),"-")</f>
        <v>24</v>
      </c>
      <c r="F1970" s="4" t="str">
        <f aca="false">IFERROR(INDEX(Positions!$E$2:$E$6912,MATCH($A1970&amp;"|11",Positions!$A$2:$A$6912,0)),"-")</f>
        <v>U</v>
      </c>
      <c r="G1970" s="4" t="str">
        <f aca="false">IFERROR(INDEX(Positions!$E$2:$E$6912,MATCH($A1970&amp;"|24",Positions!$A$2:$A$6912,0)),"-")</f>
        <v>A</v>
      </c>
      <c r="H1970" s="3" t="str">
        <f aca="false">F1970&amp;"-"&amp;G1970</f>
        <v>U-A</v>
      </c>
      <c r="I1970" s="4" t="n">
        <f aca="false">(F1970="G")+(G1970="G")</f>
        <v>0</v>
      </c>
      <c r="J1970" s="4" t="n">
        <f aca="false">(F1970="C")+(G1970="C")</f>
        <v>0</v>
      </c>
      <c r="K1970" s="3" t="n">
        <f aca="false">I1970+J1970</f>
        <v>0</v>
      </c>
    </row>
    <row r="1971" customFormat="false" ht="15" hidden="false" customHeight="false" outlineLevel="0" collapsed="false">
      <c r="A1971" s="4" t="s">
        <v>107</v>
      </c>
      <c r="B1971" s="4" t="s">
        <v>425</v>
      </c>
      <c r="C1971" s="4" t="s">
        <v>250</v>
      </c>
      <c r="D1971" s="4" t="n">
        <f aca="false">IFERROR(INDEX(Positions!$D$2:$D$6912,MATCH($A1971&amp;"|12",Positions!$A$2:$A$6912,0)),"-")</f>
        <v>12</v>
      </c>
      <c r="E1971" s="4" t="n">
        <f aca="false">IFERROR(INDEX(Positions!$D$2:$D$6912,MATCH($A1971&amp;"|23",Positions!$A$2:$A$6912,0)),"-")</f>
        <v>23</v>
      </c>
      <c r="F1971" s="4" t="str">
        <f aca="false">IFERROR(INDEX(Positions!$E$2:$E$6912,MATCH($A1971&amp;"|12",Positions!$A$2:$A$6912,0)),"-")</f>
        <v>A</v>
      </c>
      <c r="G1971" s="4" t="str">
        <f aca="false">IFERROR(INDEX(Positions!$E$2:$E$6912,MATCH($A1971&amp;"|23",Positions!$A$2:$A$6912,0)),"-")</f>
        <v>U</v>
      </c>
      <c r="H1971" s="3" t="str">
        <f aca="false">F1971&amp;"-"&amp;G1971</f>
        <v>A-U</v>
      </c>
      <c r="I1971" s="4" t="n">
        <f aca="false">(F1971="G")+(G1971="G")</f>
        <v>0</v>
      </c>
      <c r="J1971" s="4" t="n">
        <f aca="false">(F1971="C")+(G1971="C")</f>
        <v>0</v>
      </c>
      <c r="K1971" s="3" t="n">
        <f aca="false">I1971+J1971</f>
        <v>0</v>
      </c>
    </row>
    <row r="1972" customFormat="false" ht="15" hidden="false" customHeight="false" outlineLevel="0" collapsed="false">
      <c r="A1972" s="4" t="s">
        <v>107</v>
      </c>
      <c r="B1972" s="4" t="s">
        <v>425</v>
      </c>
      <c r="C1972" s="4" t="s">
        <v>154</v>
      </c>
      <c r="D1972" s="4" t="n">
        <f aca="false">IFERROR(INDEX(Positions!$D$2:$D$6912,MATCH($A1972&amp;"|13",Positions!$A$2:$A$6912,0)),"-")</f>
        <v>13</v>
      </c>
      <c r="E1972" s="4" t="n">
        <f aca="false">IFERROR(INDEX(Positions!$D$2:$D$6912,MATCH($A1972&amp;"|22",Positions!$A$2:$A$6912,0)),"-")</f>
        <v>22</v>
      </c>
      <c r="F1972" s="4" t="str">
        <f aca="false">IFERROR(INDEX(Positions!$E$2:$E$6912,MATCH($A1972&amp;"|13",Positions!$A$2:$A$6912,0)),"-")</f>
        <v>U</v>
      </c>
      <c r="G1972" s="4" t="str">
        <f aca="false">IFERROR(INDEX(Positions!$E$2:$E$6912,MATCH($A1972&amp;"|22",Positions!$A$2:$A$6912,0)),"-")</f>
        <v>G</v>
      </c>
      <c r="H1972" s="3" t="str">
        <f aca="false">F1972&amp;"-"&amp;G1972</f>
        <v>U-G</v>
      </c>
      <c r="I1972" s="4" t="n">
        <f aca="false">(F1972="G")+(G1972="G")</f>
        <v>1</v>
      </c>
      <c r="J1972" s="4" t="n">
        <f aca="false">(F1972="C")+(G1972="C")</f>
        <v>0</v>
      </c>
      <c r="K1972" s="3" t="n">
        <f aca="false">I1972+J1972</f>
        <v>1</v>
      </c>
    </row>
    <row r="1973" customFormat="false" ht="15" hidden="false" customHeight="false" outlineLevel="0" collapsed="false">
      <c r="A1973" s="4" t="s">
        <v>107</v>
      </c>
      <c r="B1973" s="4" t="s">
        <v>446</v>
      </c>
      <c r="C1973" s="4" t="s">
        <v>524</v>
      </c>
      <c r="D1973" s="4" t="n">
        <f aca="false">IFERROR(INDEX(Positions!$D$2:$D$6912,MATCH($A1973&amp;"|27",Positions!$A$2:$A$6912,0)),"-")</f>
        <v>27</v>
      </c>
      <c r="E1973" s="4" t="n">
        <f aca="false">IFERROR(INDEX(Positions!$D$2:$D$6912,MATCH($A1973&amp;"|43",Positions!$A$2:$A$6912,0)),"-")</f>
        <v>43</v>
      </c>
      <c r="F1973" s="4" t="str">
        <f aca="false">IFERROR(INDEX(Positions!$E$2:$E$6912,MATCH($A1973&amp;"|27",Positions!$A$2:$A$6912,0)),"-")</f>
        <v>G</v>
      </c>
      <c r="G1973" s="4" t="str">
        <f aca="false">IFERROR(INDEX(Positions!$E$2:$E$6912,MATCH($A1973&amp;"|43",Positions!$A$2:$A$6912,0)),"-")</f>
        <v>U</v>
      </c>
      <c r="H1973" s="3" t="str">
        <f aca="false">F1973&amp;"-"&amp;G1973</f>
        <v>G-U</v>
      </c>
      <c r="I1973" s="4" t="n">
        <f aca="false">(F1973="G")+(G1973="G")</f>
        <v>1</v>
      </c>
      <c r="J1973" s="4" t="n">
        <f aca="false">(F1973="C")+(G1973="C")</f>
        <v>0</v>
      </c>
      <c r="K1973" s="3" t="n">
        <f aca="false">I1973+J1973</f>
        <v>1</v>
      </c>
    </row>
    <row r="1974" customFormat="false" ht="15" hidden="false" customHeight="false" outlineLevel="0" collapsed="false">
      <c r="A1974" s="4" t="s">
        <v>107</v>
      </c>
      <c r="B1974" s="4" t="s">
        <v>446</v>
      </c>
      <c r="C1974" s="4" t="s">
        <v>525</v>
      </c>
      <c r="D1974" s="4" t="n">
        <f aca="false">IFERROR(INDEX(Positions!$D$2:$D$6912,MATCH($A1974&amp;"|28",Positions!$A$2:$A$6912,0)),"-")</f>
        <v>28</v>
      </c>
      <c r="E1974" s="4" t="n">
        <f aca="false">IFERROR(INDEX(Positions!$D$2:$D$6912,MATCH($A1974&amp;"|42",Positions!$A$2:$A$6912,0)),"-")</f>
        <v>42</v>
      </c>
      <c r="F1974" s="4" t="str">
        <f aca="false">IFERROR(INDEX(Positions!$E$2:$E$6912,MATCH($A1974&amp;"|28",Positions!$A$2:$A$6912,0)),"-")</f>
        <v>G</v>
      </c>
      <c r="G1974" s="4" t="str">
        <f aca="false">IFERROR(INDEX(Positions!$E$2:$E$6912,MATCH($A1974&amp;"|42",Positions!$A$2:$A$6912,0)),"-")</f>
        <v>C</v>
      </c>
      <c r="H1974" s="3" t="str">
        <f aca="false">F1974&amp;"-"&amp;G1974</f>
        <v>G-C</v>
      </c>
      <c r="I1974" s="4" t="n">
        <f aca="false">(F1974="G")+(G1974="G")</f>
        <v>1</v>
      </c>
      <c r="J1974" s="4" t="n">
        <f aca="false">(F1974="C")+(G1974="C")</f>
        <v>1</v>
      </c>
      <c r="K1974" s="3" t="n">
        <f aca="false">I1974+J1974</f>
        <v>2</v>
      </c>
    </row>
    <row r="1975" customFormat="false" ht="15" hidden="false" customHeight="false" outlineLevel="0" collapsed="false">
      <c r="A1975" s="4" t="s">
        <v>107</v>
      </c>
      <c r="B1975" s="4" t="s">
        <v>446</v>
      </c>
      <c r="C1975" s="4" t="s">
        <v>256</v>
      </c>
      <c r="D1975" s="4" t="n">
        <f aca="false">IFERROR(INDEX(Positions!$D$2:$D$6912,MATCH($A1975&amp;"|29",Positions!$A$2:$A$6912,0)),"-")</f>
        <v>29</v>
      </c>
      <c r="E1975" s="4" t="n">
        <f aca="false">IFERROR(INDEX(Positions!$D$2:$D$6912,MATCH($A1975&amp;"|41",Positions!$A$2:$A$6912,0)),"-")</f>
        <v>41</v>
      </c>
      <c r="F1975" s="4" t="str">
        <f aca="false">IFERROR(INDEX(Positions!$E$2:$E$6912,MATCH($A1975&amp;"|29",Positions!$A$2:$A$6912,0)),"-")</f>
        <v>G</v>
      </c>
      <c r="G1975" s="4" t="str">
        <f aca="false">IFERROR(INDEX(Positions!$E$2:$E$6912,MATCH($A1975&amp;"|41",Positions!$A$2:$A$6912,0)),"-")</f>
        <v>C</v>
      </c>
      <c r="H1975" s="3" t="str">
        <f aca="false">F1975&amp;"-"&amp;G1975</f>
        <v>G-C</v>
      </c>
      <c r="I1975" s="4" t="n">
        <f aca="false">(F1975="G")+(G1975="G")</f>
        <v>1</v>
      </c>
      <c r="J1975" s="4" t="n">
        <f aca="false">(F1975="C")+(G1975="C")</f>
        <v>1</v>
      </c>
      <c r="K1975" s="3" t="n">
        <f aca="false">I1975+J1975</f>
        <v>2</v>
      </c>
    </row>
    <row r="1976" customFormat="false" ht="15" hidden="false" customHeight="false" outlineLevel="0" collapsed="false">
      <c r="A1976" s="4" t="s">
        <v>107</v>
      </c>
      <c r="B1976" s="4" t="s">
        <v>446</v>
      </c>
      <c r="C1976" s="4" t="s">
        <v>526</v>
      </c>
      <c r="D1976" s="4" t="n">
        <f aca="false">IFERROR(INDEX(Positions!$D$2:$D$6912,MATCH($A1976&amp;"|30",Positions!$A$2:$A$6912,0)),"-")</f>
        <v>30</v>
      </c>
      <c r="E1976" s="4" t="n">
        <f aca="false">IFERROR(INDEX(Positions!$D$2:$D$6912,MATCH($A1976&amp;"|40",Positions!$A$2:$A$6912,0)),"-")</f>
        <v>40</v>
      </c>
      <c r="F1976" s="4" t="str">
        <f aca="false">IFERROR(INDEX(Positions!$E$2:$E$6912,MATCH($A1976&amp;"|30",Positions!$A$2:$A$6912,0)),"-")</f>
        <v>G</v>
      </c>
      <c r="G1976" s="4" t="str">
        <f aca="false">IFERROR(INDEX(Positions!$E$2:$E$6912,MATCH($A1976&amp;"|40",Positions!$A$2:$A$6912,0)),"-")</f>
        <v>C</v>
      </c>
      <c r="H1976" s="3" t="str">
        <f aca="false">F1976&amp;"-"&amp;G1976</f>
        <v>G-C</v>
      </c>
      <c r="I1976" s="4" t="n">
        <f aca="false">(F1976="G")+(G1976="G")</f>
        <v>1</v>
      </c>
      <c r="J1976" s="4" t="n">
        <f aca="false">(F1976="C")+(G1976="C")</f>
        <v>1</v>
      </c>
      <c r="K1976" s="3" t="n">
        <f aca="false">I1976+J1976</f>
        <v>2</v>
      </c>
    </row>
    <row r="1977" customFormat="false" ht="15" hidden="false" customHeight="false" outlineLevel="0" collapsed="false">
      <c r="A1977" s="4" t="s">
        <v>107</v>
      </c>
      <c r="B1977" s="4" t="s">
        <v>446</v>
      </c>
      <c r="C1977" s="4" t="s">
        <v>273</v>
      </c>
      <c r="D1977" s="4" t="n">
        <f aca="false">IFERROR(INDEX(Positions!$D$2:$D$6912,MATCH($A1977&amp;"|31",Positions!$A$2:$A$6912,0)),"-")</f>
        <v>31</v>
      </c>
      <c r="E1977" s="4" t="n">
        <f aca="false">IFERROR(INDEX(Positions!$D$2:$D$6912,MATCH($A1977&amp;"|39",Positions!$A$2:$A$6912,0)),"-")</f>
        <v>39</v>
      </c>
      <c r="F1977" s="4" t="str">
        <f aca="false">IFERROR(INDEX(Positions!$E$2:$E$6912,MATCH($A1977&amp;"|31",Positions!$A$2:$A$6912,0)),"-")</f>
        <v>A</v>
      </c>
      <c r="G1977" s="4" t="str">
        <f aca="false">IFERROR(INDEX(Positions!$E$2:$E$6912,MATCH($A1977&amp;"|39",Positions!$A$2:$A$6912,0)),"-")</f>
        <v>U</v>
      </c>
      <c r="H1977" s="3" t="str">
        <f aca="false">F1977&amp;"-"&amp;G1977</f>
        <v>A-U</v>
      </c>
      <c r="I1977" s="4" t="n">
        <f aca="false">(F1977="G")+(G1977="G")</f>
        <v>0</v>
      </c>
      <c r="J1977" s="4" t="n">
        <f aca="false">(F1977="C")+(G1977="C")</f>
        <v>0</v>
      </c>
      <c r="K1977" s="3" t="n">
        <f aca="false">I1977+J1977</f>
        <v>0</v>
      </c>
    </row>
    <row r="1978" customFormat="false" ht="15" hidden="false" customHeight="false" outlineLevel="0" collapsed="false">
      <c r="A1978" s="4" t="s">
        <v>107</v>
      </c>
      <c r="B1978" s="4" t="s">
        <v>471</v>
      </c>
      <c r="C1978" s="4" t="s">
        <v>367</v>
      </c>
      <c r="D1978" s="4" t="n">
        <f aca="false">IFERROR(INDEX(Positions!$D$2:$D$6912,MATCH($A1978&amp;"|49",Positions!$A$2:$A$6912,0)),"-")</f>
        <v>48</v>
      </c>
      <c r="E1978" s="4" t="n">
        <f aca="false">IFERROR(INDEX(Positions!$D$2:$D$6912,MATCH($A1978&amp;"|65",Positions!$A$2:$A$6912,0)),"-")</f>
        <v>64</v>
      </c>
      <c r="F1978" s="4" t="str">
        <f aca="false">IFERROR(INDEX(Positions!$E$2:$E$6912,MATCH($A1978&amp;"|49",Positions!$A$2:$A$6912,0)),"-")</f>
        <v>C</v>
      </c>
      <c r="G1978" s="4" t="str">
        <f aca="false">IFERROR(INDEX(Positions!$E$2:$E$6912,MATCH($A1978&amp;"|65",Positions!$A$2:$A$6912,0)),"-")</f>
        <v>G</v>
      </c>
      <c r="H1978" s="3" t="str">
        <f aca="false">F1978&amp;"-"&amp;G1978</f>
        <v>C-G</v>
      </c>
      <c r="I1978" s="4" t="n">
        <f aca="false">(F1978="G")+(G1978="G")</f>
        <v>1</v>
      </c>
      <c r="J1978" s="4" t="n">
        <f aca="false">(F1978="C")+(G1978="C")</f>
        <v>1</v>
      </c>
      <c r="K1978" s="3" t="n">
        <f aca="false">I1978+J1978</f>
        <v>2</v>
      </c>
    </row>
    <row r="1979" customFormat="false" ht="15" hidden="false" customHeight="false" outlineLevel="0" collapsed="false">
      <c r="A1979" s="4" t="s">
        <v>107</v>
      </c>
      <c r="B1979" s="4" t="s">
        <v>471</v>
      </c>
      <c r="C1979" s="4" t="s">
        <v>233</v>
      </c>
      <c r="D1979" s="4" t="n">
        <f aca="false">IFERROR(INDEX(Positions!$D$2:$D$6912,MATCH($A1979&amp;"|50",Positions!$A$2:$A$6912,0)),"-")</f>
        <v>49</v>
      </c>
      <c r="E1979" s="4" t="n">
        <f aca="false">IFERROR(INDEX(Positions!$D$2:$D$6912,MATCH($A1979&amp;"|64",Positions!$A$2:$A$6912,0)),"-")</f>
        <v>63</v>
      </c>
      <c r="F1979" s="4" t="str">
        <f aca="false">IFERROR(INDEX(Positions!$E$2:$E$6912,MATCH($A1979&amp;"|50",Positions!$A$2:$A$6912,0)),"-")</f>
        <v>U</v>
      </c>
      <c r="G1979" s="4" t="str">
        <f aca="false">IFERROR(INDEX(Positions!$E$2:$E$6912,MATCH($A1979&amp;"|64",Positions!$A$2:$A$6912,0)),"-")</f>
        <v>A</v>
      </c>
      <c r="H1979" s="3" t="str">
        <f aca="false">F1979&amp;"-"&amp;G1979</f>
        <v>U-A</v>
      </c>
      <c r="I1979" s="4" t="n">
        <f aca="false">(F1979="G")+(G1979="G")</f>
        <v>0</v>
      </c>
      <c r="J1979" s="4" t="n">
        <f aca="false">(F1979="C")+(G1979="C")</f>
        <v>0</v>
      </c>
      <c r="K1979" s="3" t="n">
        <f aca="false">I1979+J1979</f>
        <v>0</v>
      </c>
    </row>
    <row r="1980" customFormat="false" ht="15" hidden="false" customHeight="false" outlineLevel="0" collapsed="false">
      <c r="A1980" s="4" t="s">
        <v>107</v>
      </c>
      <c r="B1980" s="4" t="s">
        <v>471</v>
      </c>
      <c r="C1980" s="4" t="s">
        <v>527</v>
      </c>
      <c r="D1980" s="4" t="n">
        <f aca="false">IFERROR(INDEX(Positions!$D$2:$D$6912,MATCH($A1980&amp;"|51",Positions!$A$2:$A$6912,0)),"-")</f>
        <v>50</v>
      </c>
      <c r="E1980" s="4" t="n">
        <f aca="false">IFERROR(INDEX(Positions!$D$2:$D$6912,MATCH($A1980&amp;"|63",Positions!$A$2:$A$6912,0)),"-")</f>
        <v>62</v>
      </c>
      <c r="F1980" s="4" t="str">
        <f aca="false">IFERROR(INDEX(Positions!$E$2:$E$6912,MATCH($A1980&amp;"|51",Positions!$A$2:$A$6912,0)),"-")</f>
        <v>G</v>
      </c>
      <c r="G1980" s="4" t="str">
        <f aca="false">IFERROR(INDEX(Positions!$E$2:$E$6912,MATCH($A1980&amp;"|63",Positions!$A$2:$A$6912,0)),"-")</f>
        <v>C</v>
      </c>
      <c r="H1980" s="3" t="str">
        <f aca="false">F1980&amp;"-"&amp;G1980</f>
        <v>G-C</v>
      </c>
      <c r="I1980" s="4" t="n">
        <f aca="false">(F1980="G")+(G1980="G")</f>
        <v>1</v>
      </c>
      <c r="J1980" s="4" t="n">
        <f aca="false">(F1980="C")+(G1980="C")</f>
        <v>1</v>
      </c>
      <c r="K1980" s="3" t="n">
        <f aca="false">I1980+J1980</f>
        <v>2</v>
      </c>
    </row>
    <row r="1981" customFormat="false" ht="15" hidden="false" customHeight="false" outlineLevel="0" collapsed="false">
      <c r="A1981" s="4" t="s">
        <v>107</v>
      </c>
      <c r="B1981" s="4" t="s">
        <v>471</v>
      </c>
      <c r="C1981" s="4" t="s">
        <v>528</v>
      </c>
      <c r="D1981" s="4" t="n">
        <f aca="false">IFERROR(INDEX(Positions!$D$2:$D$6912,MATCH($A1981&amp;"|52",Positions!$A$2:$A$6912,0)),"-")</f>
        <v>51</v>
      </c>
      <c r="E1981" s="4" t="n">
        <f aca="false">IFERROR(INDEX(Positions!$D$2:$D$6912,MATCH($A1981&amp;"|62",Positions!$A$2:$A$6912,0)),"-")</f>
        <v>61</v>
      </c>
      <c r="F1981" s="4" t="str">
        <f aca="false">IFERROR(INDEX(Positions!$E$2:$E$6912,MATCH($A1981&amp;"|52",Positions!$A$2:$A$6912,0)),"-")</f>
        <v>G</v>
      </c>
      <c r="G1981" s="4" t="str">
        <f aca="false">IFERROR(INDEX(Positions!$E$2:$E$6912,MATCH($A1981&amp;"|62",Positions!$A$2:$A$6912,0)),"-")</f>
        <v>C</v>
      </c>
      <c r="H1981" s="3" t="str">
        <f aca="false">F1981&amp;"-"&amp;G1981</f>
        <v>G-C</v>
      </c>
      <c r="I1981" s="4" t="n">
        <f aca="false">(F1981="G")+(G1981="G")</f>
        <v>1</v>
      </c>
      <c r="J1981" s="4" t="n">
        <f aca="false">(F1981="C")+(G1981="C")</f>
        <v>1</v>
      </c>
      <c r="K1981" s="3" t="n">
        <f aca="false">I1981+J1981</f>
        <v>2</v>
      </c>
    </row>
    <row r="1982" customFormat="false" ht="15" hidden="false" customHeight="false" outlineLevel="0" collapsed="false">
      <c r="A1982" s="4" t="s">
        <v>107</v>
      </c>
      <c r="B1982" s="4" t="s">
        <v>471</v>
      </c>
      <c r="C1982" s="4" t="s">
        <v>529</v>
      </c>
      <c r="D1982" s="4" t="n">
        <f aca="false">IFERROR(INDEX(Positions!$D$2:$D$6912,MATCH($A1982&amp;"|53",Positions!$A$2:$A$6912,0)),"-")</f>
        <v>52</v>
      </c>
      <c r="E1982" s="4" t="n">
        <f aca="false">IFERROR(INDEX(Positions!$D$2:$D$6912,MATCH($A1982&amp;"|61",Positions!$A$2:$A$6912,0)),"-")</f>
        <v>60</v>
      </c>
      <c r="F1982" s="4" t="str">
        <f aca="false">IFERROR(INDEX(Positions!$E$2:$E$6912,MATCH($A1982&amp;"|53",Positions!$A$2:$A$6912,0)),"-")</f>
        <v>G</v>
      </c>
      <c r="G1982" s="4" t="str">
        <f aca="false">IFERROR(INDEX(Positions!$E$2:$E$6912,MATCH($A1982&amp;"|61",Positions!$A$2:$A$6912,0)),"-")</f>
        <v>C</v>
      </c>
      <c r="H1982" s="3" t="str">
        <f aca="false">F1982&amp;"-"&amp;G1982</f>
        <v>G-C</v>
      </c>
      <c r="I1982" s="4" t="n">
        <f aca="false">(F1982="G")+(G1982="G")</f>
        <v>1</v>
      </c>
      <c r="J1982" s="4" t="n">
        <f aca="false">(F1982="C")+(G1982="C")</f>
        <v>1</v>
      </c>
      <c r="K1982" s="3" t="n">
        <f aca="false">I1982+J1982</f>
        <v>2</v>
      </c>
    </row>
    <row r="1983" customFormat="false" ht="15" hidden="false" customHeight="false" outlineLevel="0" collapsed="false">
      <c r="A1983" s="24" t="s">
        <v>107</v>
      </c>
      <c r="B1983" s="24" t="s">
        <v>530</v>
      </c>
      <c r="C1983" s="24" t="s">
        <v>531</v>
      </c>
      <c r="D1983" s="24" t="n">
        <f aca="false">IFERROR(INDEX(Positions!$D$2:$D$6912,MATCH($A1983&amp;"|8",Positions!$A$2:$A$6912,0)),"-")</f>
        <v>8</v>
      </c>
      <c r="E1983" s="24" t="n">
        <f aca="false">IFERROR(INDEX(Positions!$D$2:$D$6912,MATCH($A1983&amp;"|14",Positions!$A$2:$A$6912,0)),"-")</f>
        <v>14</v>
      </c>
      <c r="F1983" s="24" t="str">
        <f aca="false">IFERROR(INDEX(Positions!$E$2:$E$6912,MATCH($A1983&amp;"|8",Positions!$A$2:$A$6912,0)),"-")</f>
        <v>U</v>
      </c>
      <c r="G1983" s="24" t="str">
        <f aca="false">IFERROR(INDEX(Positions!$E$2:$E$6912,MATCH($A1983&amp;"|14",Positions!$A$2:$A$6912,0)),"-")</f>
        <v>A</v>
      </c>
      <c r="H1983" s="25" t="str">
        <f aca="false">F1983&amp;"-"&amp;G1983</f>
        <v>U-A</v>
      </c>
      <c r="I1983" s="24" t="n">
        <f aca="false">(F1983="G")+(G1983="G")</f>
        <v>0</v>
      </c>
      <c r="J1983" s="24" t="n">
        <f aca="false">(F1983="C")+(G1983="C")</f>
        <v>0</v>
      </c>
      <c r="K1983" s="25" t="n">
        <f aca="false">I1983+J1983</f>
        <v>0</v>
      </c>
    </row>
    <row r="1984" customFormat="false" ht="15" hidden="false" customHeight="false" outlineLevel="0" collapsed="false">
      <c r="A1984" s="24" t="s">
        <v>107</v>
      </c>
      <c r="B1984" s="24" t="s">
        <v>530</v>
      </c>
      <c r="C1984" s="24" t="s">
        <v>532</v>
      </c>
      <c r="D1984" s="24" t="n">
        <f aca="false">IFERROR(INDEX(Positions!$D$2:$D$6912,MATCH($A1984&amp;"|15",Positions!$A$2:$A$6912,0)),"-")</f>
        <v>15</v>
      </c>
      <c r="E1984" s="24" t="n">
        <f aca="false">IFERROR(INDEX(Positions!$D$2:$D$6912,MATCH($A1984&amp;"|48",Positions!$A$2:$A$6912,0)),"-")</f>
        <v>47</v>
      </c>
      <c r="F1984" s="24" t="str">
        <f aca="false">IFERROR(INDEX(Positions!$E$2:$E$6912,MATCH($A1984&amp;"|15",Positions!$A$2:$A$6912,0)),"-")</f>
        <v>G</v>
      </c>
      <c r="G1984" s="24" t="str">
        <f aca="false">IFERROR(INDEX(Positions!$E$2:$E$6912,MATCH($A1984&amp;"|48",Positions!$A$2:$A$6912,0)),"-")</f>
        <v>C</v>
      </c>
      <c r="H1984" s="25" t="str">
        <f aca="false">F1984&amp;"-"&amp;G1984</f>
        <v>G-C</v>
      </c>
      <c r="I1984" s="24" t="n">
        <f aca="false">(F1984="G")+(G1984="G")</f>
        <v>1</v>
      </c>
      <c r="J1984" s="24" t="n">
        <f aca="false">(F1984="C")+(G1984="C")</f>
        <v>1</v>
      </c>
      <c r="K1984" s="25" t="n">
        <f aca="false">I1984+J1984</f>
        <v>2</v>
      </c>
    </row>
    <row r="1985" customFormat="false" ht="15" hidden="false" customHeight="false" outlineLevel="0" collapsed="false">
      <c r="A1985" s="24" t="s">
        <v>107</v>
      </c>
      <c r="B1985" s="24" t="s">
        <v>530</v>
      </c>
      <c r="C1985" s="24" t="s">
        <v>533</v>
      </c>
      <c r="D1985" s="24" t="n">
        <f aca="false">IFERROR(INDEX(Positions!$D$2:$D$6912,MATCH($A1985&amp;"|18",Positions!$A$2:$A$6912,0)),"-")</f>
        <v>18</v>
      </c>
      <c r="E1985" s="24" t="n">
        <f aca="false">IFERROR(INDEX(Positions!$D$2:$D$6912,MATCH($A1985&amp;"|55",Positions!$A$2:$A$6912,0)),"-")</f>
        <v>54</v>
      </c>
      <c r="F1985" s="24" t="str">
        <f aca="false">IFERROR(INDEX(Positions!$E$2:$E$6912,MATCH($A1985&amp;"|18",Positions!$A$2:$A$6912,0)),"-")</f>
        <v>C</v>
      </c>
      <c r="G1985" s="24" t="str">
        <f aca="false">IFERROR(INDEX(Positions!$E$2:$E$6912,MATCH($A1985&amp;"|55",Positions!$A$2:$A$6912,0)),"-")</f>
        <v>U</v>
      </c>
      <c r="H1985" s="25" t="str">
        <f aca="false">F1985&amp;"-"&amp;G1985</f>
        <v>C-U</v>
      </c>
      <c r="I1985" s="24" t="n">
        <f aca="false">(F1985="G")+(G1985="G")</f>
        <v>0</v>
      </c>
      <c r="J1985" s="24" t="n">
        <f aca="false">(F1985="C")+(G1985="C")</f>
        <v>1</v>
      </c>
      <c r="K1985" s="25" t="n">
        <f aca="false">I1985+J1985</f>
        <v>1</v>
      </c>
    </row>
    <row r="1986" customFormat="false" ht="15" hidden="false" customHeight="false" outlineLevel="0" collapsed="false">
      <c r="A1986" s="24" t="s">
        <v>107</v>
      </c>
      <c r="B1986" s="24" t="s">
        <v>530</v>
      </c>
      <c r="C1986" s="24" t="s">
        <v>534</v>
      </c>
      <c r="D1986" s="24" t="n">
        <f aca="false">IFERROR(INDEX(Positions!$D$2:$D$6912,MATCH($A1986&amp;"|19",Positions!$A$2:$A$6912,0)),"-")</f>
        <v>19</v>
      </c>
      <c r="E1986" s="24" t="n">
        <f aca="false">IFERROR(INDEX(Positions!$D$2:$D$6912,MATCH($A1986&amp;"|56",Positions!$A$2:$A$6912,0)),"-")</f>
        <v>55</v>
      </c>
      <c r="F1986" s="24" t="str">
        <f aca="false">IFERROR(INDEX(Positions!$E$2:$E$6912,MATCH($A1986&amp;"|19",Positions!$A$2:$A$6912,0)),"-")</f>
        <v>U</v>
      </c>
      <c r="G1986" s="24" t="str">
        <f aca="false">IFERROR(INDEX(Positions!$E$2:$E$6912,MATCH($A1986&amp;"|56",Positions!$A$2:$A$6912,0)),"-")</f>
        <v>C</v>
      </c>
      <c r="H1986" s="25" t="str">
        <f aca="false">F1986&amp;"-"&amp;G1986</f>
        <v>U-C</v>
      </c>
      <c r="I1986" s="24" t="n">
        <f aca="false">(F1986="G")+(G1986="G")</f>
        <v>0</v>
      </c>
      <c r="J1986" s="24" t="n">
        <f aca="false">(F1986="C")+(G1986="C")</f>
        <v>1</v>
      </c>
      <c r="K1986" s="25" t="n">
        <f aca="false">I1986+J1986</f>
        <v>1</v>
      </c>
    </row>
    <row r="1987" customFormat="false" ht="15" hidden="false" customHeight="false" outlineLevel="0" collapsed="false">
      <c r="A1987" s="24" t="s">
        <v>107</v>
      </c>
      <c r="B1987" s="24" t="s">
        <v>530</v>
      </c>
      <c r="C1987" s="24" t="s">
        <v>535</v>
      </c>
      <c r="D1987" s="24" t="n">
        <f aca="false">IFERROR(INDEX(Positions!$D$2:$D$6912,MATCH($A1987&amp;"|26",Positions!$A$2:$A$6912,0)),"-")</f>
        <v>26</v>
      </c>
      <c r="E1987" s="24" t="n">
        <f aca="false">IFERROR(INDEX(Positions!$D$2:$D$6912,MATCH($A1987&amp;"|44",Positions!$A$2:$A$6912,0)),"-")</f>
        <v>44</v>
      </c>
      <c r="F1987" s="24" t="str">
        <f aca="false">IFERROR(INDEX(Positions!$E$2:$E$6912,MATCH($A1987&amp;"|26",Positions!$A$2:$A$6912,0)),"-")</f>
        <v>U</v>
      </c>
      <c r="G1987" s="24" t="str">
        <f aca="false">IFERROR(INDEX(Positions!$E$2:$E$6912,MATCH($A1987&amp;"|44",Positions!$A$2:$A$6912,0)),"-")</f>
        <v>U</v>
      </c>
      <c r="H1987" s="25" t="str">
        <f aca="false">F1987&amp;"-"&amp;G1987</f>
        <v>U-U</v>
      </c>
      <c r="I1987" s="24" t="n">
        <f aca="false">(F1987="G")+(G1987="G")</f>
        <v>0</v>
      </c>
      <c r="J1987" s="24" t="n">
        <f aca="false">(F1987="C")+(G1987="C")</f>
        <v>0</v>
      </c>
      <c r="K1987" s="25" t="n">
        <f aca="false">I1987+J1987</f>
        <v>0</v>
      </c>
    </row>
    <row r="1988" customFormat="false" ht="15" hidden="false" customHeight="false" outlineLevel="0" collapsed="false">
      <c r="A1988" s="24" t="s">
        <v>107</v>
      </c>
      <c r="B1988" s="24" t="s">
        <v>530</v>
      </c>
      <c r="C1988" s="24" t="s">
        <v>536</v>
      </c>
      <c r="D1988" s="24" t="n">
        <f aca="false">IFERROR(INDEX(Positions!$D$2:$D$6912,MATCH($A1988&amp;"|32",Positions!$A$2:$A$6912,0)),"-")</f>
        <v>32</v>
      </c>
      <c r="E1988" s="24" t="n">
        <f aca="false">IFERROR(INDEX(Positions!$D$2:$D$6912,MATCH($A1988&amp;"|38",Positions!$A$2:$A$6912,0)),"-")</f>
        <v>38</v>
      </c>
      <c r="F1988" s="24" t="str">
        <f aca="false">IFERROR(INDEX(Positions!$E$2:$E$6912,MATCH($A1988&amp;"|32",Positions!$A$2:$A$6912,0)),"-")</f>
        <v>C</v>
      </c>
      <c r="G1988" s="24" t="str">
        <f aca="false">IFERROR(INDEX(Positions!$E$2:$E$6912,MATCH($A1988&amp;"|38",Positions!$A$2:$A$6912,0)),"-")</f>
        <v>A</v>
      </c>
      <c r="H1988" s="25" t="str">
        <f aca="false">F1988&amp;"-"&amp;G1988</f>
        <v>C-A</v>
      </c>
      <c r="I1988" s="24" t="n">
        <f aca="false">(F1988="G")+(G1988="G")</f>
        <v>0</v>
      </c>
      <c r="J1988" s="24" t="n">
        <f aca="false">(F1988="C")+(G1988="C")</f>
        <v>1</v>
      </c>
      <c r="K1988" s="25" t="n">
        <f aca="false">I1988+J1988</f>
        <v>1</v>
      </c>
    </row>
    <row r="1989" customFormat="false" ht="15" hidden="false" customHeight="false" outlineLevel="0" collapsed="false">
      <c r="A1989" s="24" t="s">
        <v>107</v>
      </c>
      <c r="B1989" s="24" t="s">
        <v>530</v>
      </c>
      <c r="C1989" s="24" t="s">
        <v>537</v>
      </c>
      <c r="D1989" s="24" t="n">
        <f aca="false">IFERROR(INDEX(Positions!$D$2:$D$6912,MATCH($A1989&amp;"|54",Positions!$A$2:$A$6912,0)),"-")</f>
        <v>53</v>
      </c>
      <c r="E1989" s="24" t="n">
        <f aca="false">IFERROR(INDEX(Positions!$D$2:$D$6912,MATCH($A1989&amp;"|58",Positions!$A$2:$A$6912,0)),"-")</f>
        <v>57</v>
      </c>
      <c r="F1989" s="24" t="str">
        <f aca="false">IFERROR(INDEX(Positions!$E$2:$E$6912,MATCH($A1989&amp;"|54",Positions!$A$2:$A$6912,0)),"-")</f>
        <v>U</v>
      </c>
      <c r="G1989" s="24" t="str">
        <f aca="false">IFERROR(INDEX(Positions!$E$2:$E$6912,MATCH($A1989&amp;"|58",Positions!$A$2:$A$6912,0)),"-")</f>
        <v>A</v>
      </c>
      <c r="H1989" s="25" t="str">
        <f aca="false">F1989&amp;"-"&amp;G1989</f>
        <v>U-A</v>
      </c>
      <c r="I1989" s="24" t="n">
        <f aca="false">(F1989="G")+(G1989="G")</f>
        <v>0</v>
      </c>
      <c r="J1989" s="24" t="n">
        <f aca="false">(F1989="C")+(G1989="C")</f>
        <v>0</v>
      </c>
      <c r="K1989" s="25" t="n">
        <f aca="false">I1989+J1989</f>
        <v>0</v>
      </c>
    </row>
    <row r="1990" customFormat="false" ht="15" hidden="false" customHeight="false" outlineLevel="0" collapsed="false">
      <c r="A1990" s="4" t="s">
        <v>108</v>
      </c>
      <c r="B1990" s="4" t="s">
        <v>412</v>
      </c>
      <c r="C1990" s="4" t="s">
        <v>517</v>
      </c>
      <c r="D1990" s="4" t="n">
        <f aca="false">IFERROR(INDEX(Positions!$D$2:$D$6912,MATCH($A1990&amp;"|1",Positions!$A$2:$A$6912,0)),"-")</f>
        <v>1</v>
      </c>
      <c r="E1990" s="4" t="n">
        <f aca="false">IFERROR(INDEX(Positions!$D$2:$D$6912,MATCH($A1990&amp;"|72",Positions!$A$2:$A$6912,0)),"-")</f>
        <v>71</v>
      </c>
      <c r="F1990" s="4" t="str">
        <f aca="false">IFERROR(INDEX(Positions!$E$2:$E$6912,MATCH($A1990&amp;"|1",Positions!$A$2:$A$6912,0)),"-")</f>
        <v>G</v>
      </c>
      <c r="G1990" s="4" t="str">
        <f aca="false">IFERROR(INDEX(Positions!$E$2:$E$6912,MATCH($A1990&amp;"|72",Positions!$A$2:$A$6912,0)),"-")</f>
        <v>C</v>
      </c>
      <c r="H1990" s="3" t="str">
        <f aca="false">F1990&amp;"-"&amp;G1990</f>
        <v>G-C</v>
      </c>
      <c r="I1990" s="4" t="n">
        <f aca="false">(F1990="G")+(G1990="G")</f>
        <v>1</v>
      </c>
      <c r="J1990" s="4" t="n">
        <f aca="false">(F1990="C")+(G1990="C")</f>
        <v>1</v>
      </c>
      <c r="K1990" s="3" t="n">
        <f aca="false">I1990+J1990</f>
        <v>2</v>
      </c>
    </row>
    <row r="1991" customFormat="false" ht="15" hidden="false" customHeight="false" outlineLevel="0" collapsed="false">
      <c r="A1991" s="4" t="s">
        <v>108</v>
      </c>
      <c r="B1991" s="4" t="s">
        <v>412</v>
      </c>
      <c r="C1991" s="4" t="s">
        <v>518</v>
      </c>
      <c r="D1991" s="4" t="n">
        <f aca="false">IFERROR(INDEX(Positions!$D$2:$D$6912,MATCH($A1991&amp;"|2",Positions!$A$2:$A$6912,0)),"-")</f>
        <v>2</v>
      </c>
      <c r="E1991" s="4" t="n">
        <f aca="false">IFERROR(INDEX(Positions!$D$2:$D$6912,MATCH($A1991&amp;"|71",Positions!$A$2:$A$6912,0)),"-")</f>
        <v>70</v>
      </c>
      <c r="F1991" s="4" t="str">
        <f aca="false">IFERROR(INDEX(Positions!$E$2:$E$6912,MATCH($A1991&amp;"|2",Positions!$A$2:$A$6912,0)),"-")</f>
        <v>G</v>
      </c>
      <c r="G1991" s="4" t="str">
        <f aca="false">IFERROR(INDEX(Positions!$E$2:$E$6912,MATCH($A1991&amp;"|71",Positions!$A$2:$A$6912,0)),"-")</f>
        <v>C</v>
      </c>
      <c r="H1991" s="3" t="str">
        <f aca="false">F1991&amp;"-"&amp;G1991</f>
        <v>G-C</v>
      </c>
      <c r="I1991" s="4" t="n">
        <f aca="false">(F1991="G")+(G1991="G")</f>
        <v>1</v>
      </c>
      <c r="J1991" s="4" t="n">
        <f aca="false">(F1991="C")+(G1991="C")</f>
        <v>1</v>
      </c>
      <c r="K1991" s="3" t="n">
        <f aca="false">I1991+J1991</f>
        <v>2</v>
      </c>
    </row>
    <row r="1992" customFormat="false" ht="15" hidden="false" customHeight="false" outlineLevel="0" collapsed="false">
      <c r="A1992" s="4" t="s">
        <v>108</v>
      </c>
      <c r="B1992" s="4" t="s">
        <v>412</v>
      </c>
      <c r="C1992" s="4" t="s">
        <v>386</v>
      </c>
      <c r="D1992" s="4" t="n">
        <f aca="false">IFERROR(INDEX(Positions!$D$2:$D$6912,MATCH($A1992&amp;"|3",Positions!$A$2:$A$6912,0)),"-")</f>
        <v>3</v>
      </c>
      <c r="E1992" s="4" t="n">
        <f aca="false">IFERROR(INDEX(Positions!$D$2:$D$6912,MATCH($A1992&amp;"|70",Positions!$A$2:$A$6912,0)),"-")</f>
        <v>69</v>
      </c>
      <c r="F1992" s="4" t="str">
        <f aca="false">IFERROR(INDEX(Positions!$E$2:$E$6912,MATCH($A1992&amp;"|3",Positions!$A$2:$A$6912,0)),"-")</f>
        <v>U</v>
      </c>
      <c r="G1992" s="4" t="str">
        <f aca="false">IFERROR(INDEX(Positions!$E$2:$E$6912,MATCH($A1992&amp;"|70",Positions!$A$2:$A$6912,0)),"-")</f>
        <v>A</v>
      </c>
      <c r="H1992" s="3" t="str">
        <f aca="false">F1992&amp;"-"&amp;G1992</f>
        <v>U-A</v>
      </c>
      <c r="I1992" s="4" t="n">
        <f aca="false">(F1992="G")+(G1992="G")</f>
        <v>0</v>
      </c>
      <c r="J1992" s="4" t="n">
        <f aca="false">(F1992="C")+(G1992="C")</f>
        <v>0</v>
      </c>
      <c r="K1992" s="3" t="n">
        <f aca="false">I1992+J1992</f>
        <v>0</v>
      </c>
    </row>
    <row r="1993" customFormat="false" ht="15" hidden="false" customHeight="false" outlineLevel="0" collapsed="false">
      <c r="A1993" s="4" t="s">
        <v>108</v>
      </c>
      <c r="B1993" s="4" t="s">
        <v>412</v>
      </c>
      <c r="C1993" s="4" t="s">
        <v>519</v>
      </c>
      <c r="D1993" s="4" t="n">
        <f aca="false">IFERROR(INDEX(Positions!$D$2:$D$6912,MATCH($A1993&amp;"|4",Positions!$A$2:$A$6912,0)),"-")</f>
        <v>4</v>
      </c>
      <c r="E1993" s="4" t="n">
        <f aca="false">IFERROR(INDEX(Positions!$D$2:$D$6912,MATCH($A1993&amp;"|69",Positions!$A$2:$A$6912,0)),"-")</f>
        <v>68</v>
      </c>
      <c r="F1993" s="4" t="str">
        <f aca="false">IFERROR(INDEX(Positions!$E$2:$E$6912,MATCH($A1993&amp;"|4",Positions!$A$2:$A$6912,0)),"-")</f>
        <v>U</v>
      </c>
      <c r="G1993" s="4" t="str">
        <f aca="false">IFERROR(INDEX(Positions!$E$2:$E$6912,MATCH($A1993&amp;"|69",Positions!$A$2:$A$6912,0)),"-")</f>
        <v>G</v>
      </c>
      <c r="H1993" s="3" t="str">
        <f aca="false">F1993&amp;"-"&amp;G1993</f>
        <v>U-G</v>
      </c>
      <c r="I1993" s="4" t="n">
        <f aca="false">(F1993="G")+(G1993="G")</f>
        <v>1</v>
      </c>
      <c r="J1993" s="4" t="n">
        <f aca="false">(F1993="C")+(G1993="C")</f>
        <v>0</v>
      </c>
      <c r="K1993" s="3" t="n">
        <f aca="false">I1993+J1993</f>
        <v>1</v>
      </c>
    </row>
    <row r="1994" customFormat="false" ht="15" hidden="false" customHeight="false" outlineLevel="0" collapsed="false">
      <c r="A1994" s="4" t="s">
        <v>108</v>
      </c>
      <c r="B1994" s="4" t="s">
        <v>412</v>
      </c>
      <c r="C1994" s="4" t="s">
        <v>283</v>
      </c>
      <c r="D1994" s="4" t="n">
        <f aca="false">IFERROR(INDEX(Positions!$D$2:$D$6912,MATCH($A1994&amp;"|5",Positions!$A$2:$A$6912,0)),"-")</f>
        <v>5</v>
      </c>
      <c r="E1994" s="4" t="n">
        <f aca="false">IFERROR(INDEX(Positions!$D$2:$D$6912,MATCH($A1994&amp;"|68",Positions!$A$2:$A$6912,0)),"-")</f>
        <v>67</v>
      </c>
      <c r="F1994" s="4" t="str">
        <f aca="false">IFERROR(INDEX(Positions!$E$2:$E$6912,MATCH($A1994&amp;"|5",Positions!$A$2:$A$6912,0)),"-")</f>
        <v>C</v>
      </c>
      <c r="G1994" s="4" t="str">
        <f aca="false">IFERROR(INDEX(Positions!$E$2:$E$6912,MATCH($A1994&amp;"|68",Positions!$A$2:$A$6912,0)),"-")</f>
        <v>G</v>
      </c>
      <c r="H1994" s="3" t="str">
        <f aca="false">F1994&amp;"-"&amp;G1994</f>
        <v>C-G</v>
      </c>
      <c r="I1994" s="4" t="n">
        <f aca="false">(F1994="G")+(G1994="G")</f>
        <v>1</v>
      </c>
      <c r="J1994" s="4" t="n">
        <f aca="false">(F1994="C")+(G1994="C")</f>
        <v>1</v>
      </c>
      <c r="K1994" s="3" t="n">
        <f aca="false">I1994+J1994</f>
        <v>2</v>
      </c>
    </row>
    <row r="1995" customFormat="false" ht="15" hidden="false" customHeight="false" outlineLevel="0" collapsed="false">
      <c r="A1995" s="4" t="s">
        <v>108</v>
      </c>
      <c r="B1995" s="4" t="s">
        <v>412</v>
      </c>
      <c r="C1995" s="4" t="s">
        <v>520</v>
      </c>
      <c r="D1995" s="4" t="n">
        <f aca="false">IFERROR(INDEX(Positions!$D$2:$D$6912,MATCH($A1995&amp;"|6",Positions!$A$2:$A$6912,0)),"-")</f>
        <v>6</v>
      </c>
      <c r="E1995" s="4" t="n">
        <f aca="false">IFERROR(INDEX(Positions!$D$2:$D$6912,MATCH($A1995&amp;"|67",Positions!$A$2:$A$6912,0)),"-")</f>
        <v>66</v>
      </c>
      <c r="F1995" s="4" t="str">
        <f aca="false">IFERROR(INDEX(Positions!$E$2:$E$6912,MATCH($A1995&amp;"|6",Positions!$A$2:$A$6912,0)),"-")</f>
        <v>C</v>
      </c>
      <c r="G1995" s="4" t="str">
        <f aca="false">IFERROR(INDEX(Positions!$E$2:$E$6912,MATCH($A1995&amp;"|67",Positions!$A$2:$A$6912,0)),"-")</f>
        <v>G</v>
      </c>
      <c r="H1995" s="3" t="str">
        <f aca="false">F1995&amp;"-"&amp;G1995</f>
        <v>C-G</v>
      </c>
      <c r="I1995" s="4" t="n">
        <f aca="false">(F1995="G")+(G1995="G")</f>
        <v>1</v>
      </c>
      <c r="J1995" s="4" t="n">
        <f aca="false">(F1995="C")+(G1995="C")</f>
        <v>1</v>
      </c>
      <c r="K1995" s="3" t="n">
        <f aca="false">I1995+J1995</f>
        <v>2</v>
      </c>
    </row>
    <row r="1996" customFormat="false" ht="15" hidden="false" customHeight="false" outlineLevel="0" collapsed="false">
      <c r="A1996" s="4" t="s">
        <v>108</v>
      </c>
      <c r="B1996" s="4" t="s">
        <v>412</v>
      </c>
      <c r="C1996" s="4" t="s">
        <v>521</v>
      </c>
      <c r="D1996" s="4" t="n">
        <f aca="false">IFERROR(INDEX(Positions!$D$2:$D$6912,MATCH($A1996&amp;"|7",Positions!$A$2:$A$6912,0)),"-")</f>
        <v>7</v>
      </c>
      <c r="E1996" s="4" t="n">
        <f aca="false">IFERROR(INDEX(Positions!$D$2:$D$6912,MATCH($A1996&amp;"|66",Positions!$A$2:$A$6912,0)),"-")</f>
        <v>65</v>
      </c>
      <c r="F1996" s="4" t="str">
        <f aca="false">IFERROR(INDEX(Positions!$E$2:$E$6912,MATCH($A1996&amp;"|7",Positions!$A$2:$A$6912,0)),"-")</f>
        <v>A</v>
      </c>
      <c r="G1996" s="4" t="str">
        <f aca="false">IFERROR(INDEX(Positions!$E$2:$E$6912,MATCH($A1996&amp;"|66",Positions!$A$2:$A$6912,0)),"-")</f>
        <v>U</v>
      </c>
      <c r="H1996" s="3" t="str">
        <f aca="false">F1996&amp;"-"&amp;G1996</f>
        <v>A-U</v>
      </c>
      <c r="I1996" s="4" t="n">
        <f aca="false">(F1996="G")+(G1996="G")</f>
        <v>0</v>
      </c>
      <c r="J1996" s="4" t="n">
        <f aca="false">(F1996="C")+(G1996="C")</f>
        <v>0</v>
      </c>
      <c r="K1996" s="3" t="n">
        <f aca="false">I1996+J1996</f>
        <v>0</v>
      </c>
    </row>
    <row r="1997" customFormat="false" ht="15" hidden="false" customHeight="false" outlineLevel="0" collapsed="false">
      <c r="A1997" s="4" t="s">
        <v>108</v>
      </c>
      <c r="B1997" s="4" t="s">
        <v>425</v>
      </c>
      <c r="C1997" s="4" t="s">
        <v>522</v>
      </c>
      <c r="D1997" s="4" t="n">
        <f aca="false">IFERROR(INDEX(Positions!$D$2:$D$6912,MATCH($A1997&amp;"|10",Positions!$A$2:$A$6912,0)),"-")</f>
        <v>10</v>
      </c>
      <c r="E1997" s="4" t="n">
        <f aca="false">IFERROR(INDEX(Positions!$D$2:$D$6912,MATCH($A1997&amp;"|25",Positions!$A$2:$A$6912,0)),"-")</f>
        <v>25</v>
      </c>
      <c r="F1997" s="4" t="str">
        <f aca="false">IFERROR(INDEX(Positions!$E$2:$E$6912,MATCH($A1997&amp;"|10",Positions!$A$2:$A$6912,0)),"-")</f>
        <v>G</v>
      </c>
      <c r="G1997" s="4" t="str">
        <f aca="false">IFERROR(INDEX(Positions!$E$2:$E$6912,MATCH($A1997&amp;"|25",Positions!$A$2:$A$6912,0)),"-")</f>
        <v>C</v>
      </c>
      <c r="H1997" s="3" t="str">
        <f aca="false">F1997&amp;"-"&amp;G1997</f>
        <v>G-C</v>
      </c>
      <c r="I1997" s="4" t="n">
        <f aca="false">(F1997="G")+(G1997="G")</f>
        <v>1</v>
      </c>
      <c r="J1997" s="4" t="n">
        <f aca="false">(F1997="C")+(G1997="C")</f>
        <v>1</v>
      </c>
      <c r="K1997" s="3" t="n">
        <f aca="false">I1997+J1997</f>
        <v>2</v>
      </c>
    </row>
    <row r="1998" customFormat="false" ht="15" hidden="false" customHeight="false" outlineLevel="0" collapsed="false">
      <c r="A1998" s="4" t="s">
        <v>108</v>
      </c>
      <c r="B1998" s="4" t="s">
        <v>425</v>
      </c>
      <c r="C1998" s="4" t="s">
        <v>523</v>
      </c>
      <c r="D1998" s="4" t="n">
        <f aca="false">IFERROR(INDEX(Positions!$D$2:$D$6912,MATCH($A1998&amp;"|11",Positions!$A$2:$A$6912,0)),"-")</f>
        <v>11</v>
      </c>
      <c r="E1998" s="4" t="n">
        <f aca="false">IFERROR(INDEX(Positions!$D$2:$D$6912,MATCH($A1998&amp;"|24",Positions!$A$2:$A$6912,0)),"-")</f>
        <v>24</v>
      </c>
      <c r="F1998" s="4" t="str">
        <f aca="false">IFERROR(INDEX(Positions!$E$2:$E$6912,MATCH($A1998&amp;"|11",Positions!$A$2:$A$6912,0)),"-")</f>
        <v>U</v>
      </c>
      <c r="G1998" s="4" t="str">
        <f aca="false">IFERROR(INDEX(Positions!$E$2:$E$6912,MATCH($A1998&amp;"|24",Positions!$A$2:$A$6912,0)),"-")</f>
        <v>A</v>
      </c>
      <c r="H1998" s="3" t="str">
        <f aca="false">F1998&amp;"-"&amp;G1998</f>
        <v>U-A</v>
      </c>
      <c r="I1998" s="4" t="n">
        <f aca="false">(F1998="G")+(G1998="G")</f>
        <v>0</v>
      </c>
      <c r="J1998" s="4" t="n">
        <f aca="false">(F1998="C")+(G1998="C")</f>
        <v>0</v>
      </c>
      <c r="K1998" s="3" t="n">
        <f aca="false">I1998+J1998</f>
        <v>0</v>
      </c>
    </row>
    <row r="1999" customFormat="false" ht="15" hidden="false" customHeight="false" outlineLevel="0" collapsed="false">
      <c r="A1999" s="4" t="s">
        <v>108</v>
      </c>
      <c r="B1999" s="4" t="s">
        <v>425</v>
      </c>
      <c r="C1999" s="4" t="s">
        <v>250</v>
      </c>
      <c r="D1999" s="4" t="n">
        <f aca="false">IFERROR(INDEX(Positions!$D$2:$D$6912,MATCH($A1999&amp;"|12",Positions!$A$2:$A$6912,0)),"-")</f>
        <v>12</v>
      </c>
      <c r="E1999" s="4" t="n">
        <f aca="false">IFERROR(INDEX(Positions!$D$2:$D$6912,MATCH($A1999&amp;"|23",Positions!$A$2:$A$6912,0)),"-")</f>
        <v>23</v>
      </c>
      <c r="F1999" s="4" t="str">
        <f aca="false">IFERROR(INDEX(Positions!$E$2:$E$6912,MATCH($A1999&amp;"|12",Positions!$A$2:$A$6912,0)),"-")</f>
        <v>A</v>
      </c>
      <c r="G1999" s="4" t="str">
        <f aca="false">IFERROR(INDEX(Positions!$E$2:$E$6912,MATCH($A1999&amp;"|23",Positions!$A$2:$A$6912,0)),"-")</f>
        <v>U</v>
      </c>
      <c r="H1999" s="3" t="str">
        <f aca="false">F1999&amp;"-"&amp;G1999</f>
        <v>A-U</v>
      </c>
      <c r="I1999" s="4" t="n">
        <f aca="false">(F1999="G")+(G1999="G")</f>
        <v>0</v>
      </c>
      <c r="J1999" s="4" t="n">
        <f aca="false">(F1999="C")+(G1999="C")</f>
        <v>0</v>
      </c>
      <c r="K1999" s="3" t="n">
        <f aca="false">I1999+J1999</f>
        <v>0</v>
      </c>
    </row>
    <row r="2000" customFormat="false" ht="15" hidden="false" customHeight="false" outlineLevel="0" collapsed="false">
      <c r="A2000" s="4" t="s">
        <v>108</v>
      </c>
      <c r="B2000" s="4" t="s">
        <v>425</v>
      </c>
      <c r="C2000" s="4" t="s">
        <v>154</v>
      </c>
      <c r="D2000" s="4" t="n">
        <f aca="false">IFERROR(INDEX(Positions!$D$2:$D$6912,MATCH($A2000&amp;"|13",Positions!$A$2:$A$6912,0)),"-")</f>
        <v>13</v>
      </c>
      <c r="E2000" s="4" t="n">
        <f aca="false">IFERROR(INDEX(Positions!$D$2:$D$6912,MATCH($A2000&amp;"|22",Positions!$A$2:$A$6912,0)),"-")</f>
        <v>22</v>
      </c>
      <c r="F2000" s="4" t="str">
        <f aca="false">IFERROR(INDEX(Positions!$E$2:$E$6912,MATCH($A2000&amp;"|13",Positions!$A$2:$A$6912,0)),"-")</f>
        <v>U</v>
      </c>
      <c r="G2000" s="4" t="str">
        <f aca="false">IFERROR(INDEX(Positions!$E$2:$E$6912,MATCH($A2000&amp;"|22",Positions!$A$2:$A$6912,0)),"-")</f>
        <v>G</v>
      </c>
      <c r="H2000" s="3" t="str">
        <f aca="false">F2000&amp;"-"&amp;G2000</f>
        <v>U-G</v>
      </c>
      <c r="I2000" s="4" t="n">
        <f aca="false">(F2000="G")+(G2000="G")</f>
        <v>1</v>
      </c>
      <c r="J2000" s="4" t="n">
        <f aca="false">(F2000="C")+(G2000="C")</f>
        <v>0</v>
      </c>
      <c r="K2000" s="3" t="n">
        <f aca="false">I2000+J2000</f>
        <v>1</v>
      </c>
    </row>
    <row r="2001" customFormat="false" ht="15" hidden="false" customHeight="false" outlineLevel="0" collapsed="false">
      <c r="A2001" s="4" t="s">
        <v>108</v>
      </c>
      <c r="B2001" s="4" t="s">
        <v>446</v>
      </c>
      <c r="C2001" s="4" t="s">
        <v>524</v>
      </c>
      <c r="D2001" s="4" t="n">
        <f aca="false">IFERROR(INDEX(Positions!$D$2:$D$6912,MATCH($A2001&amp;"|27",Positions!$A$2:$A$6912,0)),"-")</f>
        <v>27</v>
      </c>
      <c r="E2001" s="4" t="n">
        <f aca="false">IFERROR(INDEX(Positions!$D$2:$D$6912,MATCH($A2001&amp;"|43",Positions!$A$2:$A$6912,0)),"-")</f>
        <v>43</v>
      </c>
      <c r="F2001" s="4" t="str">
        <f aca="false">IFERROR(INDEX(Positions!$E$2:$E$6912,MATCH($A2001&amp;"|27",Positions!$A$2:$A$6912,0)),"-")</f>
        <v>G</v>
      </c>
      <c r="G2001" s="4" t="str">
        <f aca="false">IFERROR(INDEX(Positions!$E$2:$E$6912,MATCH($A2001&amp;"|43",Positions!$A$2:$A$6912,0)),"-")</f>
        <v>U</v>
      </c>
      <c r="H2001" s="3" t="str">
        <f aca="false">F2001&amp;"-"&amp;G2001</f>
        <v>G-U</v>
      </c>
      <c r="I2001" s="4" t="n">
        <f aca="false">(F2001="G")+(G2001="G")</f>
        <v>1</v>
      </c>
      <c r="J2001" s="4" t="n">
        <f aca="false">(F2001="C")+(G2001="C")</f>
        <v>0</v>
      </c>
      <c r="K2001" s="3" t="n">
        <f aca="false">I2001+J2001</f>
        <v>1</v>
      </c>
    </row>
    <row r="2002" customFormat="false" ht="15" hidden="false" customHeight="false" outlineLevel="0" collapsed="false">
      <c r="A2002" s="4" t="s">
        <v>108</v>
      </c>
      <c r="B2002" s="4" t="s">
        <v>446</v>
      </c>
      <c r="C2002" s="4" t="s">
        <v>525</v>
      </c>
      <c r="D2002" s="4" t="n">
        <f aca="false">IFERROR(INDEX(Positions!$D$2:$D$6912,MATCH($A2002&amp;"|28",Positions!$A$2:$A$6912,0)),"-")</f>
        <v>28</v>
      </c>
      <c r="E2002" s="4" t="n">
        <f aca="false">IFERROR(INDEX(Positions!$D$2:$D$6912,MATCH($A2002&amp;"|42",Positions!$A$2:$A$6912,0)),"-")</f>
        <v>42</v>
      </c>
      <c r="F2002" s="4" t="str">
        <f aca="false">IFERROR(INDEX(Positions!$E$2:$E$6912,MATCH($A2002&amp;"|28",Positions!$A$2:$A$6912,0)),"-")</f>
        <v>G</v>
      </c>
      <c r="G2002" s="4" t="str">
        <f aca="false">IFERROR(INDEX(Positions!$E$2:$E$6912,MATCH($A2002&amp;"|42",Positions!$A$2:$A$6912,0)),"-")</f>
        <v>C</v>
      </c>
      <c r="H2002" s="3" t="str">
        <f aca="false">F2002&amp;"-"&amp;G2002</f>
        <v>G-C</v>
      </c>
      <c r="I2002" s="4" t="n">
        <f aca="false">(F2002="G")+(G2002="G")</f>
        <v>1</v>
      </c>
      <c r="J2002" s="4" t="n">
        <f aca="false">(F2002="C")+(G2002="C")</f>
        <v>1</v>
      </c>
      <c r="K2002" s="3" t="n">
        <f aca="false">I2002+J2002</f>
        <v>2</v>
      </c>
    </row>
    <row r="2003" customFormat="false" ht="15" hidden="false" customHeight="false" outlineLevel="0" collapsed="false">
      <c r="A2003" s="4" t="s">
        <v>108</v>
      </c>
      <c r="B2003" s="4" t="s">
        <v>446</v>
      </c>
      <c r="C2003" s="4" t="s">
        <v>256</v>
      </c>
      <c r="D2003" s="4" t="n">
        <f aca="false">IFERROR(INDEX(Positions!$D$2:$D$6912,MATCH($A2003&amp;"|29",Positions!$A$2:$A$6912,0)),"-")</f>
        <v>29</v>
      </c>
      <c r="E2003" s="4" t="n">
        <f aca="false">IFERROR(INDEX(Positions!$D$2:$D$6912,MATCH($A2003&amp;"|41",Positions!$A$2:$A$6912,0)),"-")</f>
        <v>41</v>
      </c>
      <c r="F2003" s="4" t="str">
        <f aca="false">IFERROR(INDEX(Positions!$E$2:$E$6912,MATCH($A2003&amp;"|29",Positions!$A$2:$A$6912,0)),"-")</f>
        <v>G</v>
      </c>
      <c r="G2003" s="4" t="str">
        <f aca="false">IFERROR(INDEX(Positions!$E$2:$E$6912,MATCH($A2003&amp;"|41",Positions!$A$2:$A$6912,0)),"-")</f>
        <v>C</v>
      </c>
      <c r="H2003" s="3" t="str">
        <f aca="false">F2003&amp;"-"&amp;G2003</f>
        <v>G-C</v>
      </c>
      <c r="I2003" s="4" t="n">
        <f aca="false">(F2003="G")+(G2003="G")</f>
        <v>1</v>
      </c>
      <c r="J2003" s="4" t="n">
        <f aca="false">(F2003="C")+(G2003="C")</f>
        <v>1</v>
      </c>
      <c r="K2003" s="3" t="n">
        <f aca="false">I2003+J2003</f>
        <v>2</v>
      </c>
    </row>
    <row r="2004" customFormat="false" ht="15" hidden="false" customHeight="false" outlineLevel="0" collapsed="false">
      <c r="A2004" s="4" t="s">
        <v>108</v>
      </c>
      <c r="B2004" s="4" t="s">
        <v>446</v>
      </c>
      <c r="C2004" s="4" t="s">
        <v>526</v>
      </c>
      <c r="D2004" s="4" t="n">
        <f aca="false">IFERROR(INDEX(Positions!$D$2:$D$6912,MATCH($A2004&amp;"|30",Positions!$A$2:$A$6912,0)),"-")</f>
        <v>30</v>
      </c>
      <c r="E2004" s="4" t="n">
        <f aca="false">IFERROR(INDEX(Positions!$D$2:$D$6912,MATCH($A2004&amp;"|40",Positions!$A$2:$A$6912,0)),"-")</f>
        <v>40</v>
      </c>
      <c r="F2004" s="4" t="str">
        <f aca="false">IFERROR(INDEX(Positions!$E$2:$E$6912,MATCH($A2004&amp;"|30",Positions!$A$2:$A$6912,0)),"-")</f>
        <v>G</v>
      </c>
      <c r="G2004" s="4" t="str">
        <f aca="false">IFERROR(INDEX(Positions!$E$2:$E$6912,MATCH($A2004&amp;"|40",Positions!$A$2:$A$6912,0)),"-")</f>
        <v>C</v>
      </c>
      <c r="H2004" s="3" t="str">
        <f aca="false">F2004&amp;"-"&amp;G2004</f>
        <v>G-C</v>
      </c>
      <c r="I2004" s="4" t="n">
        <f aca="false">(F2004="G")+(G2004="G")</f>
        <v>1</v>
      </c>
      <c r="J2004" s="4" t="n">
        <f aca="false">(F2004="C")+(G2004="C")</f>
        <v>1</v>
      </c>
      <c r="K2004" s="3" t="n">
        <f aca="false">I2004+J2004</f>
        <v>2</v>
      </c>
    </row>
    <row r="2005" customFormat="false" ht="15" hidden="false" customHeight="false" outlineLevel="0" collapsed="false">
      <c r="A2005" s="4" t="s">
        <v>108</v>
      </c>
      <c r="B2005" s="4" t="s">
        <v>446</v>
      </c>
      <c r="C2005" s="4" t="s">
        <v>273</v>
      </c>
      <c r="D2005" s="4" t="n">
        <f aca="false">IFERROR(INDEX(Positions!$D$2:$D$6912,MATCH($A2005&amp;"|31",Positions!$A$2:$A$6912,0)),"-")</f>
        <v>31</v>
      </c>
      <c r="E2005" s="4" t="n">
        <f aca="false">IFERROR(INDEX(Positions!$D$2:$D$6912,MATCH($A2005&amp;"|39",Positions!$A$2:$A$6912,0)),"-")</f>
        <v>39</v>
      </c>
      <c r="F2005" s="4" t="str">
        <f aca="false">IFERROR(INDEX(Positions!$E$2:$E$6912,MATCH($A2005&amp;"|31",Positions!$A$2:$A$6912,0)),"-")</f>
        <v>A</v>
      </c>
      <c r="G2005" s="4" t="str">
        <f aca="false">IFERROR(INDEX(Positions!$E$2:$E$6912,MATCH($A2005&amp;"|39",Positions!$A$2:$A$6912,0)),"-")</f>
        <v>U</v>
      </c>
      <c r="H2005" s="3" t="str">
        <f aca="false">F2005&amp;"-"&amp;G2005</f>
        <v>A-U</v>
      </c>
      <c r="I2005" s="4" t="n">
        <f aca="false">(F2005="G")+(G2005="G")</f>
        <v>0</v>
      </c>
      <c r="J2005" s="4" t="n">
        <f aca="false">(F2005="C")+(G2005="C")</f>
        <v>0</v>
      </c>
      <c r="K2005" s="3" t="n">
        <f aca="false">I2005+J2005</f>
        <v>0</v>
      </c>
    </row>
    <row r="2006" customFormat="false" ht="15" hidden="false" customHeight="false" outlineLevel="0" collapsed="false">
      <c r="A2006" s="4" t="s">
        <v>108</v>
      </c>
      <c r="B2006" s="4" t="s">
        <v>471</v>
      </c>
      <c r="C2006" s="4" t="s">
        <v>367</v>
      </c>
      <c r="D2006" s="4" t="n">
        <f aca="false">IFERROR(INDEX(Positions!$D$2:$D$6912,MATCH($A2006&amp;"|49",Positions!$A$2:$A$6912,0)),"-")</f>
        <v>48</v>
      </c>
      <c r="E2006" s="4" t="n">
        <f aca="false">IFERROR(INDEX(Positions!$D$2:$D$6912,MATCH($A2006&amp;"|65",Positions!$A$2:$A$6912,0)),"-")</f>
        <v>64</v>
      </c>
      <c r="F2006" s="4" t="str">
        <f aca="false">IFERROR(INDEX(Positions!$E$2:$E$6912,MATCH($A2006&amp;"|49",Positions!$A$2:$A$6912,0)),"-")</f>
        <v>C</v>
      </c>
      <c r="G2006" s="4" t="str">
        <f aca="false">IFERROR(INDEX(Positions!$E$2:$E$6912,MATCH($A2006&amp;"|65",Positions!$A$2:$A$6912,0)),"-")</f>
        <v>G</v>
      </c>
      <c r="H2006" s="3" t="str">
        <f aca="false">F2006&amp;"-"&amp;G2006</f>
        <v>C-G</v>
      </c>
      <c r="I2006" s="4" t="n">
        <f aca="false">(F2006="G")+(G2006="G")</f>
        <v>1</v>
      </c>
      <c r="J2006" s="4" t="n">
        <f aca="false">(F2006="C")+(G2006="C")</f>
        <v>1</v>
      </c>
      <c r="K2006" s="3" t="n">
        <f aca="false">I2006+J2006</f>
        <v>2</v>
      </c>
    </row>
    <row r="2007" customFormat="false" ht="15" hidden="false" customHeight="false" outlineLevel="0" collapsed="false">
      <c r="A2007" s="4" t="s">
        <v>108</v>
      </c>
      <c r="B2007" s="4" t="s">
        <v>471</v>
      </c>
      <c r="C2007" s="4" t="s">
        <v>233</v>
      </c>
      <c r="D2007" s="4" t="n">
        <f aca="false">IFERROR(INDEX(Positions!$D$2:$D$6912,MATCH($A2007&amp;"|50",Positions!$A$2:$A$6912,0)),"-")</f>
        <v>49</v>
      </c>
      <c r="E2007" s="4" t="n">
        <f aca="false">IFERROR(INDEX(Positions!$D$2:$D$6912,MATCH($A2007&amp;"|64",Positions!$A$2:$A$6912,0)),"-")</f>
        <v>63</v>
      </c>
      <c r="F2007" s="4" t="str">
        <f aca="false">IFERROR(INDEX(Positions!$E$2:$E$6912,MATCH($A2007&amp;"|50",Positions!$A$2:$A$6912,0)),"-")</f>
        <v>U</v>
      </c>
      <c r="G2007" s="4" t="str">
        <f aca="false">IFERROR(INDEX(Positions!$E$2:$E$6912,MATCH($A2007&amp;"|64",Positions!$A$2:$A$6912,0)),"-")</f>
        <v>A</v>
      </c>
      <c r="H2007" s="3" t="str">
        <f aca="false">F2007&amp;"-"&amp;G2007</f>
        <v>U-A</v>
      </c>
      <c r="I2007" s="4" t="n">
        <f aca="false">(F2007="G")+(G2007="G")</f>
        <v>0</v>
      </c>
      <c r="J2007" s="4" t="n">
        <f aca="false">(F2007="C")+(G2007="C")</f>
        <v>0</v>
      </c>
      <c r="K2007" s="3" t="n">
        <f aca="false">I2007+J2007</f>
        <v>0</v>
      </c>
    </row>
    <row r="2008" customFormat="false" ht="15" hidden="false" customHeight="false" outlineLevel="0" collapsed="false">
      <c r="A2008" s="4" t="s">
        <v>108</v>
      </c>
      <c r="B2008" s="4" t="s">
        <v>471</v>
      </c>
      <c r="C2008" s="4" t="s">
        <v>527</v>
      </c>
      <c r="D2008" s="4" t="n">
        <f aca="false">IFERROR(INDEX(Positions!$D$2:$D$6912,MATCH($A2008&amp;"|51",Positions!$A$2:$A$6912,0)),"-")</f>
        <v>50</v>
      </c>
      <c r="E2008" s="4" t="n">
        <f aca="false">IFERROR(INDEX(Positions!$D$2:$D$6912,MATCH($A2008&amp;"|63",Positions!$A$2:$A$6912,0)),"-")</f>
        <v>62</v>
      </c>
      <c r="F2008" s="4" t="str">
        <f aca="false">IFERROR(INDEX(Positions!$E$2:$E$6912,MATCH($A2008&amp;"|51",Positions!$A$2:$A$6912,0)),"-")</f>
        <v>G</v>
      </c>
      <c r="G2008" s="4" t="str">
        <f aca="false">IFERROR(INDEX(Positions!$E$2:$E$6912,MATCH($A2008&amp;"|63",Positions!$A$2:$A$6912,0)),"-")</f>
        <v>C</v>
      </c>
      <c r="H2008" s="3" t="str">
        <f aca="false">F2008&amp;"-"&amp;G2008</f>
        <v>G-C</v>
      </c>
      <c r="I2008" s="4" t="n">
        <f aca="false">(F2008="G")+(G2008="G")</f>
        <v>1</v>
      </c>
      <c r="J2008" s="4" t="n">
        <f aca="false">(F2008="C")+(G2008="C")</f>
        <v>1</v>
      </c>
      <c r="K2008" s="3" t="n">
        <f aca="false">I2008+J2008</f>
        <v>2</v>
      </c>
    </row>
    <row r="2009" customFormat="false" ht="15" hidden="false" customHeight="false" outlineLevel="0" collapsed="false">
      <c r="A2009" s="4" t="s">
        <v>108</v>
      </c>
      <c r="B2009" s="4" t="s">
        <v>471</v>
      </c>
      <c r="C2009" s="4" t="s">
        <v>528</v>
      </c>
      <c r="D2009" s="4" t="n">
        <f aca="false">IFERROR(INDEX(Positions!$D$2:$D$6912,MATCH($A2009&amp;"|52",Positions!$A$2:$A$6912,0)),"-")</f>
        <v>51</v>
      </c>
      <c r="E2009" s="4" t="n">
        <f aca="false">IFERROR(INDEX(Positions!$D$2:$D$6912,MATCH($A2009&amp;"|62",Positions!$A$2:$A$6912,0)),"-")</f>
        <v>61</v>
      </c>
      <c r="F2009" s="4" t="str">
        <f aca="false">IFERROR(INDEX(Positions!$E$2:$E$6912,MATCH($A2009&amp;"|52",Positions!$A$2:$A$6912,0)),"-")</f>
        <v>G</v>
      </c>
      <c r="G2009" s="4" t="str">
        <f aca="false">IFERROR(INDEX(Positions!$E$2:$E$6912,MATCH($A2009&amp;"|62",Positions!$A$2:$A$6912,0)),"-")</f>
        <v>C</v>
      </c>
      <c r="H2009" s="3" t="str">
        <f aca="false">F2009&amp;"-"&amp;G2009</f>
        <v>G-C</v>
      </c>
      <c r="I2009" s="4" t="n">
        <f aca="false">(F2009="G")+(G2009="G")</f>
        <v>1</v>
      </c>
      <c r="J2009" s="4" t="n">
        <f aca="false">(F2009="C")+(G2009="C")</f>
        <v>1</v>
      </c>
      <c r="K2009" s="3" t="n">
        <f aca="false">I2009+J2009</f>
        <v>2</v>
      </c>
    </row>
    <row r="2010" customFormat="false" ht="15" hidden="false" customHeight="false" outlineLevel="0" collapsed="false">
      <c r="A2010" s="4" t="s">
        <v>108</v>
      </c>
      <c r="B2010" s="4" t="s">
        <v>471</v>
      </c>
      <c r="C2010" s="4" t="s">
        <v>529</v>
      </c>
      <c r="D2010" s="4" t="n">
        <f aca="false">IFERROR(INDEX(Positions!$D$2:$D$6912,MATCH($A2010&amp;"|53",Positions!$A$2:$A$6912,0)),"-")</f>
        <v>52</v>
      </c>
      <c r="E2010" s="4" t="n">
        <f aca="false">IFERROR(INDEX(Positions!$D$2:$D$6912,MATCH($A2010&amp;"|61",Positions!$A$2:$A$6912,0)),"-")</f>
        <v>60</v>
      </c>
      <c r="F2010" s="4" t="str">
        <f aca="false">IFERROR(INDEX(Positions!$E$2:$E$6912,MATCH($A2010&amp;"|53",Positions!$A$2:$A$6912,0)),"-")</f>
        <v>G</v>
      </c>
      <c r="G2010" s="4" t="str">
        <f aca="false">IFERROR(INDEX(Positions!$E$2:$E$6912,MATCH($A2010&amp;"|61",Positions!$A$2:$A$6912,0)),"-")</f>
        <v>C</v>
      </c>
      <c r="H2010" s="3" t="str">
        <f aca="false">F2010&amp;"-"&amp;G2010</f>
        <v>G-C</v>
      </c>
      <c r="I2010" s="4" t="n">
        <f aca="false">(F2010="G")+(G2010="G")</f>
        <v>1</v>
      </c>
      <c r="J2010" s="4" t="n">
        <f aca="false">(F2010="C")+(G2010="C")</f>
        <v>1</v>
      </c>
      <c r="K2010" s="3" t="n">
        <f aca="false">I2010+J2010</f>
        <v>2</v>
      </c>
    </row>
    <row r="2011" customFormat="false" ht="15" hidden="false" customHeight="false" outlineLevel="0" collapsed="false">
      <c r="A2011" s="24" t="s">
        <v>108</v>
      </c>
      <c r="B2011" s="24" t="s">
        <v>530</v>
      </c>
      <c r="C2011" s="24" t="s">
        <v>531</v>
      </c>
      <c r="D2011" s="24" t="n">
        <f aca="false">IFERROR(INDEX(Positions!$D$2:$D$6912,MATCH($A2011&amp;"|8",Positions!$A$2:$A$6912,0)),"-")</f>
        <v>8</v>
      </c>
      <c r="E2011" s="24" t="n">
        <f aca="false">IFERROR(INDEX(Positions!$D$2:$D$6912,MATCH($A2011&amp;"|14",Positions!$A$2:$A$6912,0)),"-")</f>
        <v>14</v>
      </c>
      <c r="F2011" s="24" t="str">
        <f aca="false">IFERROR(INDEX(Positions!$E$2:$E$6912,MATCH($A2011&amp;"|8",Positions!$A$2:$A$6912,0)),"-")</f>
        <v>U</v>
      </c>
      <c r="G2011" s="24" t="str">
        <f aca="false">IFERROR(INDEX(Positions!$E$2:$E$6912,MATCH($A2011&amp;"|14",Positions!$A$2:$A$6912,0)),"-")</f>
        <v>A</v>
      </c>
      <c r="H2011" s="25" t="str">
        <f aca="false">F2011&amp;"-"&amp;G2011</f>
        <v>U-A</v>
      </c>
      <c r="I2011" s="24" t="n">
        <f aca="false">(F2011="G")+(G2011="G")</f>
        <v>0</v>
      </c>
      <c r="J2011" s="24" t="n">
        <f aca="false">(F2011="C")+(G2011="C")</f>
        <v>0</v>
      </c>
      <c r="K2011" s="25" t="n">
        <f aca="false">I2011+J2011</f>
        <v>0</v>
      </c>
    </row>
    <row r="2012" customFormat="false" ht="15" hidden="false" customHeight="false" outlineLevel="0" collapsed="false">
      <c r="A2012" s="24" t="s">
        <v>108</v>
      </c>
      <c r="B2012" s="24" t="s">
        <v>530</v>
      </c>
      <c r="C2012" s="24" t="s">
        <v>532</v>
      </c>
      <c r="D2012" s="24" t="n">
        <f aca="false">IFERROR(INDEX(Positions!$D$2:$D$6912,MATCH($A2012&amp;"|15",Positions!$A$2:$A$6912,0)),"-")</f>
        <v>15</v>
      </c>
      <c r="E2012" s="24" t="n">
        <f aca="false">IFERROR(INDEX(Positions!$D$2:$D$6912,MATCH($A2012&amp;"|48",Positions!$A$2:$A$6912,0)),"-")</f>
        <v>47</v>
      </c>
      <c r="F2012" s="24" t="str">
        <f aca="false">IFERROR(INDEX(Positions!$E$2:$E$6912,MATCH($A2012&amp;"|15",Positions!$A$2:$A$6912,0)),"-")</f>
        <v>G</v>
      </c>
      <c r="G2012" s="24" t="str">
        <f aca="false">IFERROR(INDEX(Positions!$E$2:$E$6912,MATCH($A2012&amp;"|48",Positions!$A$2:$A$6912,0)),"-")</f>
        <v>C</v>
      </c>
      <c r="H2012" s="25" t="str">
        <f aca="false">F2012&amp;"-"&amp;G2012</f>
        <v>G-C</v>
      </c>
      <c r="I2012" s="24" t="n">
        <f aca="false">(F2012="G")+(G2012="G")</f>
        <v>1</v>
      </c>
      <c r="J2012" s="24" t="n">
        <f aca="false">(F2012="C")+(G2012="C")</f>
        <v>1</v>
      </c>
      <c r="K2012" s="25" t="n">
        <f aca="false">I2012+J2012</f>
        <v>2</v>
      </c>
    </row>
    <row r="2013" customFormat="false" ht="15" hidden="false" customHeight="false" outlineLevel="0" collapsed="false">
      <c r="A2013" s="24" t="s">
        <v>108</v>
      </c>
      <c r="B2013" s="24" t="s">
        <v>530</v>
      </c>
      <c r="C2013" s="24" t="s">
        <v>533</v>
      </c>
      <c r="D2013" s="24" t="n">
        <f aca="false">IFERROR(INDEX(Positions!$D$2:$D$6912,MATCH($A2013&amp;"|18",Positions!$A$2:$A$6912,0)),"-")</f>
        <v>17</v>
      </c>
      <c r="E2013" s="24" t="n">
        <f aca="false">IFERROR(INDEX(Positions!$D$2:$D$6912,MATCH($A2013&amp;"|55",Positions!$A$2:$A$6912,0)),"-")</f>
        <v>54</v>
      </c>
      <c r="F2013" s="24" t="str">
        <f aca="false">IFERROR(INDEX(Positions!$E$2:$E$6912,MATCH($A2013&amp;"|18",Positions!$A$2:$A$6912,0)),"-")</f>
        <v>G</v>
      </c>
      <c r="G2013" s="24" t="str">
        <f aca="false">IFERROR(INDEX(Positions!$E$2:$E$6912,MATCH($A2013&amp;"|55",Positions!$A$2:$A$6912,0)),"-")</f>
        <v>U</v>
      </c>
      <c r="H2013" s="25" t="str">
        <f aca="false">F2013&amp;"-"&amp;G2013</f>
        <v>G-U</v>
      </c>
      <c r="I2013" s="24" t="n">
        <f aca="false">(F2013="G")+(G2013="G")</f>
        <v>1</v>
      </c>
      <c r="J2013" s="24" t="n">
        <f aca="false">(F2013="C")+(G2013="C")</f>
        <v>0</v>
      </c>
      <c r="K2013" s="25" t="n">
        <f aca="false">I2013+J2013</f>
        <v>1</v>
      </c>
    </row>
    <row r="2014" customFormat="false" ht="15" hidden="false" customHeight="false" outlineLevel="0" collapsed="false">
      <c r="A2014" s="24" t="s">
        <v>108</v>
      </c>
      <c r="B2014" s="24" t="s">
        <v>530</v>
      </c>
      <c r="C2014" s="24" t="s">
        <v>534</v>
      </c>
      <c r="D2014" s="24" t="n">
        <f aca="false">IFERROR(INDEX(Positions!$D$2:$D$6912,MATCH($A2014&amp;"|19",Positions!$A$2:$A$6912,0)),"-")</f>
        <v>18</v>
      </c>
      <c r="E2014" s="24" t="n">
        <f aca="false">IFERROR(INDEX(Positions!$D$2:$D$6912,MATCH($A2014&amp;"|56",Positions!$A$2:$A$6912,0)),"-")</f>
        <v>55</v>
      </c>
      <c r="F2014" s="24" t="str">
        <f aca="false">IFERROR(INDEX(Positions!$E$2:$E$6912,MATCH($A2014&amp;"|19",Positions!$A$2:$A$6912,0)),"-")</f>
        <v>G</v>
      </c>
      <c r="G2014" s="24" t="str">
        <f aca="false">IFERROR(INDEX(Positions!$E$2:$E$6912,MATCH($A2014&amp;"|56",Positions!$A$2:$A$6912,0)),"-")</f>
        <v>C</v>
      </c>
      <c r="H2014" s="25" t="str">
        <f aca="false">F2014&amp;"-"&amp;G2014</f>
        <v>G-C</v>
      </c>
      <c r="I2014" s="24" t="n">
        <f aca="false">(F2014="G")+(G2014="G")</f>
        <v>1</v>
      </c>
      <c r="J2014" s="24" t="n">
        <f aca="false">(F2014="C")+(G2014="C")</f>
        <v>1</v>
      </c>
      <c r="K2014" s="25" t="n">
        <f aca="false">I2014+J2014</f>
        <v>2</v>
      </c>
    </row>
    <row r="2015" customFormat="false" ht="15" hidden="false" customHeight="false" outlineLevel="0" collapsed="false">
      <c r="A2015" s="24" t="s">
        <v>108</v>
      </c>
      <c r="B2015" s="24" t="s">
        <v>530</v>
      </c>
      <c r="C2015" s="24" t="s">
        <v>535</v>
      </c>
      <c r="D2015" s="24" t="n">
        <f aca="false">IFERROR(INDEX(Positions!$D$2:$D$6912,MATCH($A2015&amp;"|26",Positions!$A$2:$A$6912,0)),"-")</f>
        <v>26</v>
      </c>
      <c r="E2015" s="24" t="n">
        <f aca="false">IFERROR(INDEX(Positions!$D$2:$D$6912,MATCH($A2015&amp;"|44",Positions!$A$2:$A$6912,0)),"-")</f>
        <v>44</v>
      </c>
      <c r="F2015" s="24" t="str">
        <f aca="false">IFERROR(INDEX(Positions!$E$2:$E$6912,MATCH($A2015&amp;"|26",Positions!$A$2:$A$6912,0)),"-")</f>
        <v>U</v>
      </c>
      <c r="G2015" s="24" t="str">
        <f aca="false">IFERROR(INDEX(Positions!$E$2:$E$6912,MATCH($A2015&amp;"|44",Positions!$A$2:$A$6912,0)),"-")</f>
        <v>U</v>
      </c>
      <c r="H2015" s="25" t="str">
        <f aca="false">F2015&amp;"-"&amp;G2015</f>
        <v>U-U</v>
      </c>
      <c r="I2015" s="24" t="n">
        <f aca="false">(F2015="G")+(G2015="G")</f>
        <v>0</v>
      </c>
      <c r="J2015" s="24" t="n">
        <f aca="false">(F2015="C")+(G2015="C")</f>
        <v>0</v>
      </c>
      <c r="K2015" s="25" t="n">
        <f aca="false">I2015+J2015</f>
        <v>0</v>
      </c>
    </row>
    <row r="2016" customFormat="false" ht="15" hidden="false" customHeight="false" outlineLevel="0" collapsed="false">
      <c r="A2016" s="24" t="s">
        <v>108</v>
      </c>
      <c r="B2016" s="24" t="s">
        <v>530</v>
      </c>
      <c r="C2016" s="24" t="s">
        <v>536</v>
      </c>
      <c r="D2016" s="24" t="n">
        <f aca="false">IFERROR(INDEX(Positions!$D$2:$D$6912,MATCH($A2016&amp;"|32",Positions!$A$2:$A$6912,0)),"-")</f>
        <v>32</v>
      </c>
      <c r="E2016" s="24" t="n">
        <f aca="false">IFERROR(INDEX(Positions!$D$2:$D$6912,MATCH($A2016&amp;"|38",Positions!$A$2:$A$6912,0)),"-")</f>
        <v>38</v>
      </c>
      <c r="F2016" s="24" t="str">
        <f aca="false">IFERROR(INDEX(Positions!$E$2:$E$6912,MATCH($A2016&amp;"|32",Positions!$A$2:$A$6912,0)),"-")</f>
        <v>C</v>
      </c>
      <c r="G2016" s="24" t="str">
        <f aca="false">IFERROR(INDEX(Positions!$E$2:$E$6912,MATCH($A2016&amp;"|38",Positions!$A$2:$A$6912,0)),"-")</f>
        <v>A</v>
      </c>
      <c r="H2016" s="25" t="str">
        <f aca="false">F2016&amp;"-"&amp;G2016</f>
        <v>C-A</v>
      </c>
      <c r="I2016" s="24" t="n">
        <f aca="false">(F2016="G")+(G2016="G")</f>
        <v>0</v>
      </c>
      <c r="J2016" s="24" t="n">
        <f aca="false">(F2016="C")+(G2016="C")</f>
        <v>1</v>
      </c>
      <c r="K2016" s="25" t="n">
        <f aca="false">I2016+J2016</f>
        <v>1</v>
      </c>
    </row>
    <row r="2017" customFormat="false" ht="15" hidden="false" customHeight="false" outlineLevel="0" collapsed="false">
      <c r="A2017" s="24" t="s">
        <v>108</v>
      </c>
      <c r="B2017" s="24" t="s">
        <v>530</v>
      </c>
      <c r="C2017" s="24" t="s">
        <v>537</v>
      </c>
      <c r="D2017" s="24" t="n">
        <f aca="false">IFERROR(INDEX(Positions!$D$2:$D$6912,MATCH($A2017&amp;"|54",Positions!$A$2:$A$6912,0)),"-")</f>
        <v>53</v>
      </c>
      <c r="E2017" s="24" t="n">
        <f aca="false">IFERROR(INDEX(Positions!$D$2:$D$6912,MATCH($A2017&amp;"|58",Positions!$A$2:$A$6912,0)),"-")</f>
        <v>57</v>
      </c>
      <c r="F2017" s="24" t="str">
        <f aca="false">IFERROR(INDEX(Positions!$E$2:$E$6912,MATCH($A2017&amp;"|54",Positions!$A$2:$A$6912,0)),"-")</f>
        <v>U</v>
      </c>
      <c r="G2017" s="24" t="str">
        <f aca="false">IFERROR(INDEX(Positions!$E$2:$E$6912,MATCH($A2017&amp;"|58",Positions!$A$2:$A$6912,0)),"-")</f>
        <v>A</v>
      </c>
      <c r="H2017" s="25" t="str">
        <f aca="false">F2017&amp;"-"&amp;G2017</f>
        <v>U-A</v>
      </c>
      <c r="I2017" s="24" t="n">
        <f aca="false">(F2017="G")+(G2017="G")</f>
        <v>0</v>
      </c>
      <c r="J2017" s="24" t="n">
        <f aca="false">(F2017="C")+(G2017="C")</f>
        <v>0</v>
      </c>
      <c r="K2017" s="25" t="n">
        <f aca="false">I2017+J2017</f>
        <v>0</v>
      </c>
    </row>
    <row r="2018" customFormat="false" ht="15" hidden="false" customHeight="false" outlineLevel="0" collapsed="false">
      <c r="A2018" s="4" t="s">
        <v>109</v>
      </c>
      <c r="B2018" s="4" t="s">
        <v>412</v>
      </c>
      <c r="C2018" s="4" t="s">
        <v>517</v>
      </c>
      <c r="D2018" s="4" t="n">
        <f aca="false">IFERROR(INDEX(Positions!$D$2:$D$6912,MATCH($A2018&amp;"|1",Positions!$A$2:$A$6912,0)),"-")</f>
        <v>1</v>
      </c>
      <c r="E2018" s="4" t="n">
        <f aca="false">IFERROR(INDEX(Positions!$D$2:$D$6912,MATCH($A2018&amp;"|72",Positions!$A$2:$A$6912,0)),"-")</f>
        <v>71</v>
      </c>
      <c r="F2018" s="4" t="str">
        <f aca="false">IFERROR(INDEX(Positions!$E$2:$E$6912,MATCH($A2018&amp;"|1",Positions!$A$2:$A$6912,0)),"-")</f>
        <v>G</v>
      </c>
      <c r="G2018" s="4" t="str">
        <f aca="false">IFERROR(INDEX(Positions!$E$2:$E$6912,MATCH($A2018&amp;"|72",Positions!$A$2:$A$6912,0)),"-")</f>
        <v>C</v>
      </c>
      <c r="H2018" s="3" t="str">
        <f aca="false">F2018&amp;"-"&amp;G2018</f>
        <v>G-C</v>
      </c>
      <c r="I2018" s="4" t="n">
        <f aca="false">(F2018="G")+(G2018="G")</f>
        <v>1</v>
      </c>
      <c r="J2018" s="4" t="n">
        <f aca="false">(F2018="C")+(G2018="C")</f>
        <v>1</v>
      </c>
      <c r="K2018" s="3" t="n">
        <f aca="false">I2018+J2018</f>
        <v>2</v>
      </c>
    </row>
    <row r="2019" customFormat="false" ht="15" hidden="false" customHeight="false" outlineLevel="0" collapsed="false">
      <c r="A2019" s="4" t="s">
        <v>109</v>
      </c>
      <c r="B2019" s="4" t="s">
        <v>412</v>
      </c>
      <c r="C2019" s="4" t="s">
        <v>518</v>
      </c>
      <c r="D2019" s="4" t="n">
        <f aca="false">IFERROR(INDEX(Positions!$D$2:$D$6912,MATCH($A2019&amp;"|2",Positions!$A$2:$A$6912,0)),"-")</f>
        <v>2</v>
      </c>
      <c r="E2019" s="4" t="n">
        <f aca="false">IFERROR(INDEX(Positions!$D$2:$D$6912,MATCH($A2019&amp;"|71",Positions!$A$2:$A$6912,0)),"-")</f>
        <v>70</v>
      </c>
      <c r="F2019" s="4" t="str">
        <f aca="false">IFERROR(INDEX(Positions!$E$2:$E$6912,MATCH($A2019&amp;"|2",Positions!$A$2:$A$6912,0)),"-")</f>
        <v>G</v>
      </c>
      <c r="G2019" s="4" t="str">
        <f aca="false">IFERROR(INDEX(Positions!$E$2:$E$6912,MATCH($A2019&amp;"|71",Positions!$A$2:$A$6912,0)),"-")</f>
        <v>C</v>
      </c>
      <c r="H2019" s="3" t="str">
        <f aca="false">F2019&amp;"-"&amp;G2019</f>
        <v>G-C</v>
      </c>
      <c r="I2019" s="4" t="n">
        <f aca="false">(F2019="G")+(G2019="G")</f>
        <v>1</v>
      </c>
      <c r="J2019" s="4" t="n">
        <f aca="false">(F2019="C")+(G2019="C")</f>
        <v>1</v>
      </c>
      <c r="K2019" s="3" t="n">
        <f aca="false">I2019+J2019</f>
        <v>2</v>
      </c>
    </row>
    <row r="2020" customFormat="false" ht="15" hidden="false" customHeight="false" outlineLevel="0" collapsed="false">
      <c r="A2020" s="4" t="s">
        <v>109</v>
      </c>
      <c r="B2020" s="4" t="s">
        <v>412</v>
      </c>
      <c r="C2020" s="4" t="s">
        <v>386</v>
      </c>
      <c r="D2020" s="4" t="n">
        <f aca="false">IFERROR(INDEX(Positions!$D$2:$D$6912,MATCH($A2020&amp;"|3",Positions!$A$2:$A$6912,0)),"-")</f>
        <v>3</v>
      </c>
      <c r="E2020" s="4" t="n">
        <f aca="false">IFERROR(INDEX(Positions!$D$2:$D$6912,MATCH($A2020&amp;"|70",Positions!$A$2:$A$6912,0)),"-")</f>
        <v>69</v>
      </c>
      <c r="F2020" s="4" t="str">
        <f aca="false">IFERROR(INDEX(Positions!$E$2:$E$6912,MATCH($A2020&amp;"|3",Positions!$A$2:$A$6912,0)),"-")</f>
        <v>U</v>
      </c>
      <c r="G2020" s="4" t="str">
        <f aca="false">IFERROR(INDEX(Positions!$E$2:$E$6912,MATCH($A2020&amp;"|70",Positions!$A$2:$A$6912,0)),"-")</f>
        <v>A</v>
      </c>
      <c r="H2020" s="3" t="str">
        <f aca="false">F2020&amp;"-"&amp;G2020</f>
        <v>U-A</v>
      </c>
      <c r="I2020" s="4" t="n">
        <f aca="false">(F2020="G")+(G2020="G")</f>
        <v>0</v>
      </c>
      <c r="J2020" s="4" t="n">
        <f aca="false">(F2020="C")+(G2020="C")</f>
        <v>0</v>
      </c>
      <c r="K2020" s="3" t="n">
        <f aca="false">I2020+J2020</f>
        <v>0</v>
      </c>
    </row>
    <row r="2021" customFormat="false" ht="15" hidden="false" customHeight="false" outlineLevel="0" collapsed="false">
      <c r="A2021" s="4" t="s">
        <v>109</v>
      </c>
      <c r="B2021" s="4" t="s">
        <v>412</v>
      </c>
      <c r="C2021" s="4" t="s">
        <v>519</v>
      </c>
      <c r="D2021" s="4" t="n">
        <f aca="false">IFERROR(INDEX(Positions!$D$2:$D$6912,MATCH($A2021&amp;"|4",Positions!$A$2:$A$6912,0)),"-")</f>
        <v>4</v>
      </c>
      <c r="E2021" s="4" t="n">
        <f aca="false">IFERROR(INDEX(Positions!$D$2:$D$6912,MATCH($A2021&amp;"|69",Positions!$A$2:$A$6912,0)),"-")</f>
        <v>68</v>
      </c>
      <c r="F2021" s="4" t="str">
        <f aca="false">IFERROR(INDEX(Positions!$E$2:$E$6912,MATCH($A2021&amp;"|4",Positions!$A$2:$A$6912,0)),"-")</f>
        <v>U</v>
      </c>
      <c r="G2021" s="4" t="str">
        <f aca="false">IFERROR(INDEX(Positions!$E$2:$E$6912,MATCH($A2021&amp;"|69",Positions!$A$2:$A$6912,0)),"-")</f>
        <v>G</v>
      </c>
      <c r="H2021" s="3" t="str">
        <f aca="false">F2021&amp;"-"&amp;G2021</f>
        <v>U-G</v>
      </c>
      <c r="I2021" s="4" t="n">
        <f aca="false">(F2021="G")+(G2021="G")</f>
        <v>1</v>
      </c>
      <c r="J2021" s="4" t="n">
        <f aca="false">(F2021="C")+(G2021="C")</f>
        <v>0</v>
      </c>
      <c r="K2021" s="3" t="n">
        <f aca="false">I2021+J2021</f>
        <v>1</v>
      </c>
    </row>
    <row r="2022" customFormat="false" ht="15" hidden="false" customHeight="false" outlineLevel="0" collapsed="false">
      <c r="A2022" s="4" t="s">
        <v>109</v>
      </c>
      <c r="B2022" s="4" t="s">
        <v>412</v>
      </c>
      <c r="C2022" s="4" t="s">
        <v>283</v>
      </c>
      <c r="D2022" s="4" t="n">
        <f aca="false">IFERROR(INDEX(Positions!$D$2:$D$6912,MATCH($A2022&amp;"|5",Positions!$A$2:$A$6912,0)),"-")</f>
        <v>5</v>
      </c>
      <c r="E2022" s="4" t="n">
        <f aca="false">IFERROR(INDEX(Positions!$D$2:$D$6912,MATCH($A2022&amp;"|68",Positions!$A$2:$A$6912,0)),"-")</f>
        <v>67</v>
      </c>
      <c r="F2022" s="4" t="str">
        <f aca="false">IFERROR(INDEX(Positions!$E$2:$E$6912,MATCH($A2022&amp;"|5",Positions!$A$2:$A$6912,0)),"-")</f>
        <v>G</v>
      </c>
      <c r="G2022" s="4" t="str">
        <f aca="false">IFERROR(INDEX(Positions!$E$2:$E$6912,MATCH($A2022&amp;"|68",Positions!$A$2:$A$6912,0)),"-")</f>
        <v>C</v>
      </c>
      <c r="H2022" s="3" t="str">
        <f aca="false">F2022&amp;"-"&amp;G2022</f>
        <v>G-C</v>
      </c>
      <c r="I2022" s="4" t="n">
        <f aca="false">(F2022="G")+(G2022="G")</f>
        <v>1</v>
      </c>
      <c r="J2022" s="4" t="n">
        <f aca="false">(F2022="C")+(G2022="C")</f>
        <v>1</v>
      </c>
      <c r="K2022" s="3" t="n">
        <f aca="false">I2022+J2022</f>
        <v>2</v>
      </c>
    </row>
    <row r="2023" customFormat="false" ht="15" hidden="false" customHeight="false" outlineLevel="0" collapsed="false">
      <c r="A2023" s="4" t="s">
        <v>109</v>
      </c>
      <c r="B2023" s="4" t="s">
        <v>412</v>
      </c>
      <c r="C2023" s="4" t="s">
        <v>520</v>
      </c>
      <c r="D2023" s="4" t="n">
        <f aca="false">IFERROR(INDEX(Positions!$D$2:$D$6912,MATCH($A2023&amp;"|6",Positions!$A$2:$A$6912,0)),"-")</f>
        <v>6</v>
      </c>
      <c r="E2023" s="4" t="n">
        <f aca="false">IFERROR(INDEX(Positions!$D$2:$D$6912,MATCH($A2023&amp;"|67",Positions!$A$2:$A$6912,0)),"-")</f>
        <v>66</v>
      </c>
      <c r="F2023" s="4" t="str">
        <f aca="false">IFERROR(INDEX(Positions!$E$2:$E$6912,MATCH($A2023&amp;"|6",Positions!$A$2:$A$6912,0)),"-")</f>
        <v>U</v>
      </c>
      <c r="G2023" s="4" t="str">
        <f aca="false">IFERROR(INDEX(Positions!$E$2:$E$6912,MATCH($A2023&amp;"|67",Positions!$A$2:$A$6912,0)),"-")</f>
        <v>A</v>
      </c>
      <c r="H2023" s="3" t="str">
        <f aca="false">F2023&amp;"-"&amp;G2023</f>
        <v>U-A</v>
      </c>
      <c r="I2023" s="4" t="n">
        <f aca="false">(F2023="G")+(G2023="G")</f>
        <v>0</v>
      </c>
      <c r="J2023" s="4" t="n">
        <f aca="false">(F2023="C")+(G2023="C")</f>
        <v>0</v>
      </c>
      <c r="K2023" s="3" t="n">
        <f aca="false">I2023+J2023</f>
        <v>0</v>
      </c>
    </row>
    <row r="2024" customFormat="false" ht="15" hidden="false" customHeight="false" outlineLevel="0" collapsed="false">
      <c r="A2024" s="4" t="s">
        <v>109</v>
      </c>
      <c r="B2024" s="4" t="s">
        <v>412</v>
      </c>
      <c r="C2024" s="4" t="s">
        <v>521</v>
      </c>
      <c r="D2024" s="4" t="n">
        <f aca="false">IFERROR(INDEX(Positions!$D$2:$D$6912,MATCH($A2024&amp;"|7",Positions!$A$2:$A$6912,0)),"-")</f>
        <v>7</v>
      </c>
      <c r="E2024" s="4" t="n">
        <f aca="false">IFERROR(INDEX(Positions!$D$2:$D$6912,MATCH($A2024&amp;"|66",Positions!$A$2:$A$6912,0)),"-")</f>
        <v>65</v>
      </c>
      <c r="F2024" s="4" t="str">
        <f aca="false">IFERROR(INDEX(Positions!$E$2:$E$6912,MATCH($A2024&amp;"|7",Positions!$A$2:$A$6912,0)),"-")</f>
        <v>A</v>
      </c>
      <c r="G2024" s="4" t="str">
        <f aca="false">IFERROR(INDEX(Positions!$E$2:$E$6912,MATCH($A2024&amp;"|66",Positions!$A$2:$A$6912,0)),"-")</f>
        <v>U</v>
      </c>
      <c r="H2024" s="3" t="str">
        <f aca="false">F2024&amp;"-"&amp;G2024</f>
        <v>A-U</v>
      </c>
      <c r="I2024" s="4" t="n">
        <f aca="false">(F2024="G")+(G2024="G")</f>
        <v>0</v>
      </c>
      <c r="J2024" s="4" t="n">
        <f aca="false">(F2024="C")+(G2024="C")</f>
        <v>0</v>
      </c>
      <c r="K2024" s="3" t="n">
        <f aca="false">I2024+J2024</f>
        <v>0</v>
      </c>
    </row>
    <row r="2025" customFormat="false" ht="15" hidden="false" customHeight="false" outlineLevel="0" collapsed="false">
      <c r="A2025" s="4" t="s">
        <v>109</v>
      </c>
      <c r="B2025" s="4" t="s">
        <v>425</v>
      </c>
      <c r="C2025" s="4" t="s">
        <v>522</v>
      </c>
      <c r="D2025" s="4" t="n">
        <f aca="false">IFERROR(INDEX(Positions!$D$2:$D$6912,MATCH($A2025&amp;"|10",Positions!$A$2:$A$6912,0)),"-")</f>
        <v>10</v>
      </c>
      <c r="E2025" s="4" t="n">
        <f aca="false">IFERROR(INDEX(Positions!$D$2:$D$6912,MATCH($A2025&amp;"|25",Positions!$A$2:$A$6912,0)),"-")</f>
        <v>25</v>
      </c>
      <c r="F2025" s="4" t="str">
        <f aca="false">IFERROR(INDEX(Positions!$E$2:$E$6912,MATCH($A2025&amp;"|10",Positions!$A$2:$A$6912,0)),"-")</f>
        <v>G</v>
      </c>
      <c r="G2025" s="4" t="str">
        <f aca="false">IFERROR(INDEX(Positions!$E$2:$E$6912,MATCH($A2025&amp;"|25",Positions!$A$2:$A$6912,0)),"-")</f>
        <v>C</v>
      </c>
      <c r="H2025" s="3" t="str">
        <f aca="false">F2025&amp;"-"&amp;G2025</f>
        <v>G-C</v>
      </c>
      <c r="I2025" s="4" t="n">
        <f aca="false">(F2025="G")+(G2025="G")</f>
        <v>1</v>
      </c>
      <c r="J2025" s="4" t="n">
        <f aca="false">(F2025="C")+(G2025="C")</f>
        <v>1</v>
      </c>
      <c r="K2025" s="3" t="n">
        <f aca="false">I2025+J2025</f>
        <v>2</v>
      </c>
    </row>
    <row r="2026" customFormat="false" ht="15" hidden="false" customHeight="false" outlineLevel="0" collapsed="false">
      <c r="A2026" s="4" t="s">
        <v>109</v>
      </c>
      <c r="B2026" s="4" t="s">
        <v>425</v>
      </c>
      <c r="C2026" s="4" t="s">
        <v>523</v>
      </c>
      <c r="D2026" s="4" t="n">
        <f aca="false">IFERROR(INDEX(Positions!$D$2:$D$6912,MATCH($A2026&amp;"|11",Positions!$A$2:$A$6912,0)),"-")</f>
        <v>11</v>
      </c>
      <c r="E2026" s="4" t="n">
        <f aca="false">IFERROR(INDEX(Positions!$D$2:$D$6912,MATCH($A2026&amp;"|24",Positions!$A$2:$A$6912,0)),"-")</f>
        <v>24</v>
      </c>
      <c r="F2026" s="4" t="str">
        <f aca="false">IFERROR(INDEX(Positions!$E$2:$E$6912,MATCH($A2026&amp;"|11",Positions!$A$2:$A$6912,0)),"-")</f>
        <v>U</v>
      </c>
      <c r="G2026" s="4" t="str">
        <f aca="false">IFERROR(INDEX(Positions!$E$2:$E$6912,MATCH($A2026&amp;"|24",Positions!$A$2:$A$6912,0)),"-")</f>
        <v>A</v>
      </c>
      <c r="H2026" s="3" t="str">
        <f aca="false">F2026&amp;"-"&amp;G2026</f>
        <v>U-A</v>
      </c>
      <c r="I2026" s="4" t="n">
        <f aca="false">(F2026="G")+(G2026="G")</f>
        <v>0</v>
      </c>
      <c r="J2026" s="4" t="n">
        <f aca="false">(F2026="C")+(G2026="C")</f>
        <v>0</v>
      </c>
      <c r="K2026" s="3" t="n">
        <f aca="false">I2026+J2026</f>
        <v>0</v>
      </c>
    </row>
    <row r="2027" customFormat="false" ht="15" hidden="false" customHeight="false" outlineLevel="0" collapsed="false">
      <c r="A2027" s="4" t="s">
        <v>109</v>
      </c>
      <c r="B2027" s="4" t="s">
        <v>425</v>
      </c>
      <c r="C2027" s="4" t="s">
        <v>250</v>
      </c>
      <c r="D2027" s="4" t="n">
        <f aca="false">IFERROR(INDEX(Positions!$D$2:$D$6912,MATCH($A2027&amp;"|12",Positions!$A$2:$A$6912,0)),"-")</f>
        <v>12</v>
      </c>
      <c r="E2027" s="4" t="n">
        <f aca="false">IFERROR(INDEX(Positions!$D$2:$D$6912,MATCH($A2027&amp;"|23",Positions!$A$2:$A$6912,0)),"-")</f>
        <v>23</v>
      </c>
      <c r="F2027" s="4" t="str">
        <f aca="false">IFERROR(INDEX(Positions!$E$2:$E$6912,MATCH($A2027&amp;"|12",Positions!$A$2:$A$6912,0)),"-")</f>
        <v>G</v>
      </c>
      <c r="G2027" s="4" t="str">
        <f aca="false">IFERROR(INDEX(Positions!$E$2:$E$6912,MATCH($A2027&amp;"|23",Positions!$A$2:$A$6912,0)),"-")</f>
        <v>C</v>
      </c>
      <c r="H2027" s="3" t="str">
        <f aca="false">F2027&amp;"-"&amp;G2027</f>
        <v>G-C</v>
      </c>
      <c r="I2027" s="4" t="n">
        <f aca="false">(F2027="G")+(G2027="G")</f>
        <v>1</v>
      </c>
      <c r="J2027" s="4" t="n">
        <f aca="false">(F2027="C")+(G2027="C")</f>
        <v>1</v>
      </c>
      <c r="K2027" s="3" t="n">
        <f aca="false">I2027+J2027</f>
        <v>2</v>
      </c>
    </row>
    <row r="2028" customFormat="false" ht="15" hidden="false" customHeight="false" outlineLevel="0" collapsed="false">
      <c r="A2028" s="4" t="s">
        <v>109</v>
      </c>
      <c r="B2028" s="4" t="s">
        <v>425</v>
      </c>
      <c r="C2028" s="4" t="s">
        <v>154</v>
      </c>
      <c r="D2028" s="4" t="n">
        <f aca="false">IFERROR(INDEX(Positions!$D$2:$D$6912,MATCH($A2028&amp;"|13",Positions!$A$2:$A$6912,0)),"-")</f>
        <v>13</v>
      </c>
      <c r="E2028" s="4" t="n">
        <f aca="false">IFERROR(INDEX(Positions!$D$2:$D$6912,MATCH($A2028&amp;"|22",Positions!$A$2:$A$6912,0)),"-")</f>
        <v>22</v>
      </c>
      <c r="F2028" s="4" t="str">
        <f aca="false">IFERROR(INDEX(Positions!$E$2:$E$6912,MATCH($A2028&amp;"|13",Positions!$A$2:$A$6912,0)),"-")</f>
        <v>U</v>
      </c>
      <c r="G2028" s="4" t="str">
        <f aca="false">IFERROR(INDEX(Positions!$E$2:$E$6912,MATCH($A2028&amp;"|22",Positions!$A$2:$A$6912,0)),"-")</f>
        <v>G</v>
      </c>
      <c r="H2028" s="3" t="str">
        <f aca="false">F2028&amp;"-"&amp;G2028</f>
        <v>U-G</v>
      </c>
      <c r="I2028" s="4" t="n">
        <f aca="false">(F2028="G")+(G2028="G")</f>
        <v>1</v>
      </c>
      <c r="J2028" s="4" t="n">
        <f aca="false">(F2028="C")+(G2028="C")</f>
        <v>0</v>
      </c>
      <c r="K2028" s="3" t="n">
        <f aca="false">I2028+J2028</f>
        <v>1</v>
      </c>
    </row>
    <row r="2029" customFormat="false" ht="15" hidden="false" customHeight="false" outlineLevel="0" collapsed="false">
      <c r="A2029" s="4" t="s">
        <v>109</v>
      </c>
      <c r="B2029" s="4" t="s">
        <v>446</v>
      </c>
      <c r="C2029" s="4" t="s">
        <v>524</v>
      </c>
      <c r="D2029" s="4" t="n">
        <f aca="false">IFERROR(INDEX(Positions!$D$2:$D$6912,MATCH($A2029&amp;"|27",Positions!$A$2:$A$6912,0)),"-")</f>
        <v>27</v>
      </c>
      <c r="E2029" s="4" t="n">
        <f aca="false">IFERROR(INDEX(Positions!$D$2:$D$6912,MATCH($A2029&amp;"|43",Positions!$A$2:$A$6912,0)),"-")</f>
        <v>43</v>
      </c>
      <c r="F2029" s="4" t="str">
        <f aca="false">IFERROR(INDEX(Positions!$E$2:$E$6912,MATCH($A2029&amp;"|27",Positions!$A$2:$A$6912,0)),"-")</f>
        <v>G</v>
      </c>
      <c r="G2029" s="4" t="str">
        <f aca="false">IFERROR(INDEX(Positions!$E$2:$E$6912,MATCH($A2029&amp;"|43",Positions!$A$2:$A$6912,0)),"-")</f>
        <v>C</v>
      </c>
      <c r="H2029" s="3" t="str">
        <f aca="false">F2029&amp;"-"&amp;G2029</f>
        <v>G-C</v>
      </c>
      <c r="I2029" s="4" t="n">
        <f aca="false">(F2029="G")+(G2029="G")</f>
        <v>1</v>
      </c>
      <c r="J2029" s="4" t="n">
        <f aca="false">(F2029="C")+(G2029="C")</f>
        <v>1</v>
      </c>
      <c r="K2029" s="3" t="n">
        <f aca="false">I2029+J2029</f>
        <v>2</v>
      </c>
    </row>
    <row r="2030" customFormat="false" ht="15" hidden="false" customHeight="false" outlineLevel="0" collapsed="false">
      <c r="A2030" s="4" t="s">
        <v>109</v>
      </c>
      <c r="B2030" s="4" t="s">
        <v>446</v>
      </c>
      <c r="C2030" s="4" t="s">
        <v>525</v>
      </c>
      <c r="D2030" s="4" t="n">
        <f aca="false">IFERROR(INDEX(Positions!$D$2:$D$6912,MATCH($A2030&amp;"|28",Positions!$A$2:$A$6912,0)),"-")</f>
        <v>28</v>
      </c>
      <c r="E2030" s="4" t="n">
        <f aca="false">IFERROR(INDEX(Positions!$D$2:$D$6912,MATCH($A2030&amp;"|42",Positions!$A$2:$A$6912,0)),"-")</f>
        <v>42</v>
      </c>
      <c r="F2030" s="4" t="str">
        <f aca="false">IFERROR(INDEX(Positions!$E$2:$E$6912,MATCH($A2030&amp;"|28",Positions!$A$2:$A$6912,0)),"-")</f>
        <v>A</v>
      </c>
      <c r="G2030" s="4" t="str">
        <f aca="false">IFERROR(INDEX(Positions!$E$2:$E$6912,MATCH($A2030&amp;"|42",Positions!$A$2:$A$6912,0)),"-")</f>
        <v>U</v>
      </c>
      <c r="H2030" s="3" t="str">
        <f aca="false">F2030&amp;"-"&amp;G2030</f>
        <v>A-U</v>
      </c>
      <c r="I2030" s="4" t="n">
        <f aca="false">(F2030="G")+(G2030="G")</f>
        <v>0</v>
      </c>
      <c r="J2030" s="4" t="n">
        <f aca="false">(F2030="C")+(G2030="C")</f>
        <v>0</v>
      </c>
      <c r="K2030" s="3" t="n">
        <f aca="false">I2030+J2030</f>
        <v>0</v>
      </c>
    </row>
    <row r="2031" customFormat="false" ht="15" hidden="false" customHeight="false" outlineLevel="0" collapsed="false">
      <c r="A2031" s="4" t="s">
        <v>109</v>
      </c>
      <c r="B2031" s="4" t="s">
        <v>446</v>
      </c>
      <c r="C2031" s="4" t="s">
        <v>256</v>
      </c>
      <c r="D2031" s="4" t="n">
        <f aca="false">IFERROR(INDEX(Positions!$D$2:$D$6912,MATCH($A2031&amp;"|29",Positions!$A$2:$A$6912,0)),"-")</f>
        <v>29</v>
      </c>
      <c r="E2031" s="4" t="n">
        <f aca="false">IFERROR(INDEX(Positions!$D$2:$D$6912,MATCH($A2031&amp;"|41",Positions!$A$2:$A$6912,0)),"-")</f>
        <v>41</v>
      </c>
      <c r="F2031" s="4" t="str">
        <f aca="false">IFERROR(INDEX(Positions!$E$2:$E$6912,MATCH($A2031&amp;"|29",Positions!$A$2:$A$6912,0)),"-")</f>
        <v>G</v>
      </c>
      <c r="G2031" s="4" t="str">
        <f aca="false">IFERROR(INDEX(Positions!$E$2:$E$6912,MATCH($A2031&amp;"|41",Positions!$A$2:$A$6912,0)),"-")</f>
        <v>C</v>
      </c>
      <c r="H2031" s="3" t="str">
        <f aca="false">F2031&amp;"-"&amp;G2031</f>
        <v>G-C</v>
      </c>
      <c r="I2031" s="4" t="n">
        <f aca="false">(F2031="G")+(G2031="G")</f>
        <v>1</v>
      </c>
      <c r="J2031" s="4" t="n">
        <f aca="false">(F2031="C")+(G2031="C")</f>
        <v>1</v>
      </c>
      <c r="K2031" s="3" t="n">
        <f aca="false">I2031+J2031</f>
        <v>2</v>
      </c>
    </row>
    <row r="2032" customFormat="false" ht="15" hidden="false" customHeight="false" outlineLevel="0" collapsed="false">
      <c r="A2032" s="4" t="s">
        <v>109</v>
      </c>
      <c r="B2032" s="4" t="s">
        <v>446</v>
      </c>
      <c r="C2032" s="4" t="s">
        <v>526</v>
      </c>
      <c r="D2032" s="4" t="n">
        <f aca="false">IFERROR(INDEX(Positions!$D$2:$D$6912,MATCH($A2032&amp;"|30",Positions!$A$2:$A$6912,0)),"-")</f>
        <v>30</v>
      </c>
      <c r="E2032" s="4" t="n">
        <f aca="false">IFERROR(INDEX(Positions!$D$2:$D$6912,MATCH($A2032&amp;"|40",Positions!$A$2:$A$6912,0)),"-")</f>
        <v>40</v>
      </c>
      <c r="F2032" s="4" t="str">
        <f aca="false">IFERROR(INDEX(Positions!$E$2:$E$6912,MATCH($A2032&amp;"|30",Positions!$A$2:$A$6912,0)),"-")</f>
        <v>G</v>
      </c>
      <c r="G2032" s="4" t="str">
        <f aca="false">IFERROR(INDEX(Positions!$E$2:$E$6912,MATCH($A2032&amp;"|40",Positions!$A$2:$A$6912,0)),"-")</f>
        <v>C</v>
      </c>
      <c r="H2032" s="3" t="str">
        <f aca="false">F2032&amp;"-"&amp;G2032</f>
        <v>G-C</v>
      </c>
      <c r="I2032" s="4" t="n">
        <f aca="false">(F2032="G")+(G2032="G")</f>
        <v>1</v>
      </c>
      <c r="J2032" s="4" t="n">
        <f aca="false">(F2032="C")+(G2032="C")</f>
        <v>1</v>
      </c>
      <c r="K2032" s="3" t="n">
        <f aca="false">I2032+J2032</f>
        <v>2</v>
      </c>
    </row>
    <row r="2033" customFormat="false" ht="15" hidden="false" customHeight="false" outlineLevel="0" collapsed="false">
      <c r="A2033" s="4" t="s">
        <v>109</v>
      </c>
      <c r="B2033" s="4" t="s">
        <v>446</v>
      </c>
      <c r="C2033" s="4" t="s">
        <v>273</v>
      </c>
      <c r="D2033" s="4" t="n">
        <f aca="false">IFERROR(INDEX(Positions!$D$2:$D$6912,MATCH($A2033&amp;"|31",Positions!$A$2:$A$6912,0)),"-")</f>
        <v>31</v>
      </c>
      <c r="E2033" s="4" t="n">
        <f aca="false">IFERROR(INDEX(Positions!$D$2:$D$6912,MATCH($A2033&amp;"|39",Positions!$A$2:$A$6912,0)),"-")</f>
        <v>39</v>
      </c>
      <c r="F2033" s="4" t="str">
        <f aca="false">IFERROR(INDEX(Positions!$E$2:$E$6912,MATCH($A2033&amp;"|31",Positions!$A$2:$A$6912,0)),"-")</f>
        <v>A</v>
      </c>
      <c r="G2033" s="4" t="str">
        <f aca="false">IFERROR(INDEX(Positions!$E$2:$E$6912,MATCH($A2033&amp;"|39",Positions!$A$2:$A$6912,0)),"-")</f>
        <v>U</v>
      </c>
      <c r="H2033" s="3" t="str">
        <f aca="false">F2033&amp;"-"&amp;G2033</f>
        <v>A-U</v>
      </c>
      <c r="I2033" s="4" t="n">
        <f aca="false">(F2033="G")+(G2033="G")</f>
        <v>0</v>
      </c>
      <c r="J2033" s="4" t="n">
        <f aca="false">(F2033="C")+(G2033="C")</f>
        <v>0</v>
      </c>
      <c r="K2033" s="3" t="n">
        <f aca="false">I2033+J2033</f>
        <v>0</v>
      </c>
    </row>
    <row r="2034" customFormat="false" ht="15" hidden="false" customHeight="false" outlineLevel="0" collapsed="false">
      <c r="A2034" s="4" t="s">
        <v>109</v>
      </c>
      <c r="B2034" s="4" t="s">
        <v>471</v>
      </c>
      <c r="C2034" s="4" t="s">
        <v>367</v>
      </c>
      <c r="D2034" s="4" t="n">
        <f aca="false">IFERROR(INDEX(Positions!$D$2:$D$6912,MATCH($A2034&amp;"|49",Positions!$A$2:$A$6912,0)),"-")</f>
        <v>48</v>
      </c>
      <c r="E2034" s="4" t="n">
        <f aca="false">IFERROR(INDEX(Positions!$D$2:$D$6912,MATCH($A2034&amp;"|65",Positions!$A$2:$A$6912,0)),"-")</f>
        <v>64</v>
      </c>
      <c r="F2034" s="4" t="str">
        <f aca="false">IFERROR(INDEX(Positions!$E$2:$E$6912,MATCH($A2034&amp;"|49",Positions!$A$2:$A$6912,0)),"-")</f>
        <v>C</v>
      </c>
      <c r="G2034" s="4" t="str">
        <f aca="false">IFERROR(INDEX(Positions!$E$2:$E$6912,MATCH($A2034&amp;"|65",Positions!$A$2:$A$6912,0)),"-")</f>
        <v>G</v>
      </c>
      <c r="H2034" s="3" t="str">
        <f aca="false">F2034&amp;"-"&amp;G2034</f>
        <v>C-G</v>
      </c>
      <c r="I2034" s="4" t="n">
        <f aca="false">(F2034="G")+(G2034="G")</f>
        <v>1</v>
      </c>
      <c r="J2034" s="4" t="n">
        <f aca="false">(F2034="C")+(G2034="C")</f>
        <v>1</v>
      </c>
      <c r="K2034" s="3" t="n">
        <f aca="false">I2034+J2034</f>
        <v>2</v>
      </c>
    </row>
    <row r="2035" customFormat="false" ht="15" hidden="false" customHeight="false" outlineLevel="0" collapsed="false">
      <c r="A2035" s="4" t="s">
        <v>109</v>
      </c>
      <c r="B2035" s="4" t="s">
        <v>471</v>
      </c>
      <c r="C2035" s="4" t="s">
        <v>233</v>
      </c>
      <c r="D2035" s="4" t="n">
        <f aca="false">IFERROR(INDEX(Positions!$D$2:$D$6912,MATCH($A2035&amp;"|50",Positions!$A$2:$A$6912,0)),"-")</f>
        <v>49</v>
      </c>
      <c r="E2035" s="4" t="n">
        <f aca="false">IFERROR(INDEX(Positions!$D$2:$D$6912,MATCH($A2035&amp;"|64",Positions!$A$2:$A$6912,0)),"-")</f>
        <v>63</v>
      </c>
      <c r="F2035" s="4" t="str">
        <f aca="false">IFERROR(INDEX(Positions!$E$2:$E$6912,MATCH($A2035&amp;"|50",Positions!$A$2:$A$6912,0)),"-")</f>
        <v>U</v>
      </c>
      <c r="G2035" s="4" t="str">
        <f aca="false">IFERROR(INDEX(Positions!$E$2:$E$6912,MATCH($A2035&amp;"|64",Positions!$A$2:$A$6912,0)),"-")</f>
        <v>A</v>
      </c>
      <c r="H2035" s="3" t="str">
        <f aca="false">F2035&amp;"-"&amp;G2035</f>
        <v>U-A</v>
      </c>
      <c r="I2035" s="4" t="n">
        <f aca="false">(F2035="G")+(G2035="G")</f>
        <v>0</v>
      </c>
      <c r="J2035" s="4" t="n">
        <f aca="false">(F2035="C")+(G2035="C")</f>
        <v>0</v>
      </c>
      <c r="K2035" s="3" t="n">
        <f aca="false">I2035+J2035</f>
        <v>0</v>
      </c>
    </row>
    <row r="2036" customFormat="false" ht="15" hidden="false" customHeight="false" outlineLevel="0" collapsed="false">
      <c r="A2036" s="4" t="s">
        <v>109</v>
      </c>
      <c r="B2036" s="4" t="s">
        <v>471</v>
      </c>
      <c r="C2036" s="4" t="s">
        <v>527</v>
      </c>
      <c r="D2036" s="4" t="n">
        <f aca="false">IFERROR(INDEX(Positions!$D$2:$D$6912,MATCH($A2036&amp;"|51",Positions!$A$2:$A$6912,0)),"-")</f>
        <v>50</v>
      </c>
      <c r="E2036" s="4" t="n">
        <f aca="false">IFERROR(INDEX(Positions!$D$2:$D$6912,MATCH($A2036&amp;"|63",Positions!$A$2:$A$6912,0)),"-")</f>
        <v>62</v>
      </c>
      <c r="F2036" s="4" t="str">
        <f aca="false">IFERROR(INDEX(Positions!$E$2:$E$6912,MATCH($A2036&amp;"|51",Positions!$A$2:$A$6912,0)),"-")</f>
        <v>G</v>
      </c>
      <c r="G2036" s="4" t="str">
        <f aca="false">IFERROR(INDEX(Positions!$E$2:$E$6912,MATCH($A2036&amp;"|63",Positions!$A$2:$A$6912,0)),"-")</f>
        <v>C</v>
      </c>
      <c r="H2036" s="3" t="str">
        <f aca="false">F2036&amp;"-"&amp;G2036</f>
        <v>G-C</v>
      </c>
      <c r="I2036" s="4" t="n">
        <f aca="false">(F2036="G")+(G2036="G")</f>
        <v>1</v>
      </c>
      <c r="J2036" s="4" t="n">
        <f aca="false">(F2036="C")+(G2036="C")</f>
        <v>1</v>
      </c>
      <c r="K2036" s="3" t="n">
        <f aca="false">I2036+J2036</f>
        <v>2</v>
      </c>
    </row>
    <row r="2037" customFormat="false" ht="15" hidden="false" customHeight="false" outlineLevel="0" collapsed="false">
      <c r="A2037" s="4" t="s">
        <v>109</v>
      </c>
      <c r="B2037" s="4" t="s">
        <v>471</v>
      </c>
      <c r="C2037" s="4" t="s">
        <v>528</v>
      </c>
      <c r="D2037" s="4" t="n">
        <f aca="false">IFERROR(INDEX(Positions!$D$2:$D$6912,MATCH($A2037&amp;"|52",Positions!$A$2:$A$6912,0)),"-")</f>
        <v>51</v>
      </c>
      <c r="E2037" s="4" t="n">
        <f aca="false">IFERROR(INDEX(Positions!$D$2:$D$6912,MATCH($A2037&amp;"|62",Positions!$A$2:$A$6912,0)),"-")</f>
        <v>61</v>
      </c>
      <c r="F2037" s="4" t="str">
        <f aca="false">IFERROR(INDEX(Positions!$E$2:$E$6912,MATCH($A2037&amp;"|52",Positions!$A$2:$A$6912,0)),"-")</f>
        <v>G</v>
      </c>
      <c r="G2037" s="4" t="str">
        <f aca="false">IFERROR(INDEX(Positions!$E$2:$E$6912,MATCH($A2037&amp;"|62",Positions!$A$2:$A$6912,0)),"-")</f>
        <v>C</v>
      </c>
      <c r="H2037" s="3" t="str">
        <f aca="false">F2037&amp;"-"&amp;G2037</f>
        <v>G-C</v>
      </c>
      <c r="I2037" s="4" t="n">
        <f aca="false">(F2037="G")+(G2037="G")</f>
        <v>1</v>
      </c>
      <c r="J2037" s="4" t="n">
        <f aca="false">(F2037="C")+(G2037="C")</f>
        <v>1</v>
      </c>
      <c r="K2037" s="3" t="n">
        <f aca="false">I2037+J2037</f>
        <v>2</v>
      </c>
    </row>
    <row r="2038" customFormat="false" ht="15" hidden="false" customHeight="false" outlineLevel="0" collapsed="false">
      <c r="A2038" s="4" t="s">
        <v>109</v>
      </c>
      <c r="B2038" s="4" t="s">
        <v>471</v>
      </c>
      <c r="C2038" s="4" t="s">
        <v>529</v>
      </c>
      <c r="D2038" s="4" t="n">
        <f aca="false">IFERROR(INDEX(Positions!$D$2:$D$6912,MATCH($A2038&amp;"|53",Positions!$A$2:$A$6912,0)),"-")</f>
        <v>52</v>
      </c>
      <c r="E2038" s="4" t="n">
        <f aca="false">IFERROR(INDEX(Positions!$D$2:$D$6912,MATCH($A2038&amp;"|61",Positions!$A$2:$A$6912,0)),"-")</f>
        <v>60</v>
      </c>
      <c r="F2038" s="4" t="str">
        <f aca="false">IFERROR(INDEX(Positions!$E$2:$E$6912,MATCH($A2038&amp;"|53",Positions!$A$2:$A$6912,0)),"-")</f>
        <v>G</v>
      </c>
      <c r="G2038" s="4" t="str">
        <f aca="false">IFERROR(INDEX(Positions!$E$2:$E$6912,MATCH($A2038&amp;"|61",Positions!$A$2:$A$6912,0)),"-")</f>
        <v>C</v>
      </c>
      <c r="H2038" s="3" t="str">
        <f aca="false">F2038&amp;"-"&amp;G2038</f>
        <v>G-C</v>
      </c>
      <c r="I2038" s="4" t="n">
        <f aca="false">(F2038="G")+(G2038="G")</f>
        <v>1</v>
      </c>
      <c r="J2038" s="4" t="n">
        <f aca="false">(F2038="C")+(G2038="C")</f>
        <v>1</v>
      </c>
      <c r="K2038" s="3" t="n">
        <f aca="false">I2038+J2038</f>
        <v>2</v>
      </c>
    </row>
    <row r="2039" customFormat="false" ht="15" hidden="false" customHeight="false" outlineLevel="0" collapsed="false">
      <c r="A2039" s="24" t="s">
        <v>109</v>
      </c>
      <c r="B2039" s="24" t="s">
        <v>530</v>
      </c>
      <c r="C2039" s="24" t="s">
        <v>531</v>
      </c>
      <c r="D2039" s="24" t="n">
        <f aca="false">IFERROR(INDEX(Positions!$D$2:$D$6912,MATCH($A2039&amp;"|8",Positions!$A$2:$A$6912,0)),"-")</f>
        <v>8</v>
      </c>
      <c r="E2039" s="24" t="n">
        <f aca="false">IFERROR(INDEX(Positions!$D$2:$D$6912,MATCH($A2039&amp;"|14",Positions!$A$2:$A$6912,0)),"-")</f>
        <v>14</v>
      </c>
      <c r="F2039" s="24" t="str">
        <f aca="false">IFERROR(INDEX(Positions!$E$2:$E$6912,MATCH($A2039&amp;"|8",Positions!$A$2:$A$6912,0)),"-")</f>
        <v>U</v>
      </c>
      <c r="G2039" s="24" t="str">
        <f aca="false">IFERROR(INDEX(Positions!$E$2:$E$6912,MATCH($A2039&amp;"|14",Positions!$A$2:$A$6912,0)),"-")</f>
        <v>A</v>
      </c>
      <c r="H2039" s="25" t="str">
        <f aca="false">F2039&amp;"-"&amp;G2039</f>
        <v>U-A</v>
      </c>
      <c r="I2039" s="24" t="n">
        <f aca="false">(F2039="G")+(G2039="G")</f>
        <v>0</v>
      </c>
      <c r="J2039" s="24" t="n">
        <f aca="false">(F2039="C")+(G2039="C")</f>
        <v>0</v>
      </c>
      <c r="K2039" s="25" t="n">
        <f aca="false">I2039+J2039</f>
        <v>0</v>
      </c>
    </row>
    <row r="2040" customFormat="false" ht="15" hidden="false" customHeight="false" outlineLevel="0" collapsed="false">
      <c r="A2040" s="24" t="s">
        <v>109</v>
      </c>
      <c r="B2040" s="24" t="s">
        <v>530</v>
      </c>
      <c r="C2040" s="24" t="s">
        <v>532</v>
      </c>
      <c r="D2040" s="24" t="n">
        <f aca="false">IFERROR(INDEX(Positions!$D$2:$D$6912,MATCH($A2040&amp;"|15",Positions!$A$2:$A$6912,0)),"-")</f>
        <v>15</v>
      </c>
      <c r="E2040" s="24" t="n">
        <f aca="false">IFERROR(INDEX(Positions!$D$2:$D$6912,MATCH($A2040&amp;"|48",Positions!$A$2:$A$6912,0)),"-")</f>
        <v>47</v>
      </c>
      <c r="F2040" s="24" t="str">
        <f aca="false">IFERROR(INDEX(Positions!$E$2:$E$6912,MATCH($A2040&amp;"|15",Positions!$A$2:$A$6912,0)),"-")</f>
        <v>G</v>
      </c>
      <c r="G2040" s="24" t="str">
        <f aca="false">IFERROR(INDEX(Positions!$E$2:$E$6912,MATCH($A2040&amp;"|48",Positions!$A$2:$A$6912,0)),"-")</f>
        <v>C</v>
      </c>
      <c r="H2040" s="25" t="str">
        <f aca="false">F2040&amp;"-"&amp;G2040</f>
        <v>G-C</v>
      </c>
      <c r="I2040" s="24" t="n">
        <f aca="false">(F2040="G")+(G2040="G")</f>
        <v>1</v>
      </c>
      <c r="J2040" s="24" t="n">
        <f aca="false">(F2040="C")+(G2040="C")</f>
        <v>1</v>
      </c>
      <c r="K2040" s="25" t="n">
        <f aca="false">I2040+J2040</f>
        <v>2</v>
      </c>
    </row>
    <row r="2041" customFormat="false" ht="15" hidden="false" customHeight="false" outlineLevel="0" collapsed="false">
      <c r="A2041" s="24" t="s">
        <v>109</v>
      </c>
      <c r="B2041" s="24" t="s">
        <v>530</v>
      </c>
      <c r="C2041" s="24" t="s">
        <v>533</v>
      </c>
      <c r="D2041" s="24" t="n">
        <f aca="false">IFERROR(INDEX(Positions!$D$2:$D$6912,MATCH($A2041&amp;"|18",Positions!$A$2:$A$6912,0)),"-")</f>
        <v>17</v>
      </c>
      <c r="E2041" s="24" t="n">
        <f aca="false">IFERROR(INDEX(Positions!$D$2:$D$6912,MATCH($A2041&amp;"|55",Positions!$A$2:$A$6912,0)),"-")</f>
        <v>54</v>
      </c>
      <c r="F2041" s="24" t="str">
        <f aca="false">IFERROR(INDEX(Positions!$E$2:$E$6912,MATCH($A2041&amp;"|18",Positions!$A$2:$A$6912,0)),"-")</f>
        <v>G</v>
      </c>
      <c r="G2041" s="24" t="str">
        <f aca="false">IFERROR(INDEX(Positions!$E$2:$E$6912,MATCH($A2041&amp;"|55",Positions!$A$2:$A$6912,0)),"-")</f>
        <v>U</v>
      </c>
      <c r="H2041" s="25" t="str">
        <f aca="false">F2041&amp;"-"&amp;G2041</f>
        <v>G-U</v>
      </c>
      <c r="I2041" s="24" t="n">
        <f aca="false">(F2041="G")+(G2041="G")</f>
        <v>1</v>
      </c>
      <c r="J2041" s="24" t="n">
        <f aca="false">(F2041="C")+(G2041="C")</f>
        <v>0</v>
      </c>
      <c r="K2041" s="25" t="n">
        <f aca="false">I2041+J2041</f>
        <v>1</v>
      </c>
    </row>
    <row r="2042" customFormat="false" ht="15" hidden="false" customHeight="false" outlineLevel="0" collapsed="false">
      <c r="A2042" s="24" t="s">
        <v>109</v>
      </c>
      <c r="B2042" s="24" t="s">
        <v>530</v>
      </c>
      <c r="C2042" s="24" t="s">
        <v>534</v>
      </c>
      <c r="D2042" s="24" t="n">
        <f aca="false">IFERROR(INDEX(Positions!$D$2:$D$6912,MATCH($A2042&amp;"|19",Positions!$A$2:$A$6912,0)),"-")</f>
        <v>18</v>
      </c>
      <c r="E2042" s="24" t="n">
        <f aca="false">IFERROR(INDEX(Positions!$D$2:$D$6912,MATCH($A2042&amp;"|56",Positions!$A$2:$A$6912,0)),"-")</f>
        <v>55</v>
      </c>
      <c r="F2042" s="24" t="str">
        <f aca="false">IFERROR(INDEX(Positions!$E$2:$E$6912,MATCH($A2042&amp;"|19",Positions!$A$2:$A$6912,0)),"-")</f>
        <v>G</v>
      </c>
      <c r="G2042" s="24" t="str">
        <f aca="false">IFERROR(INDEX(Positions!$E$2:$E$6912,MATCH($A2042&amp;"|56",Positions!$A$2:$A$6912,0)),"-")</f>
        <v>C</v>
      </c>
      <c r="H2042" s="25" t="str">
        <f aca="false">F2042&amp;"-"&amp;G2042</f>
        <v>G-C</v>
      </c>
      <c r="I2042" s="24" t="n">
        <f aca="false">(F2042="G")+(G2042="G")</f>
        <v>1</v>
      </c>
      <c r="J2042" s="24" t="n">
        <f aca="false">(F2042="C")+(G2042="C")</f>
        <v>1</v>
      </c>
      <c r="K2042" s="25" t="n">
        <f aca="false">I2042+J2042</f>
        <v>2</v>
      </c>
    </row>
    <row r="2043" customFormat="false" ht="15" hidden="false" customHeight="false" outlineLevel="0" collapsed="false">
      <c r="A2043" s="24" t="s">
        <v>109</v>
      </c>
      <c r="B2043" s="24" t="s">
        <v>530</v>
      </c>
      <c r="C2043" s="24" t="s">
        <v>535</v>
      </c>
      <c r="D2043" s="24" t="n">
        <f aca="false">IFERROR(INDEX(Positions!$D$2:$D$6912,MATCH($A2043&amp;"|26",Positions!$A$2:$A$6912,0)),"-")</f>
        <v>26</v>
      </c>
      <c r="E2043" s="24" t="n">
        <f aca="false">IFERROR(INDEX(Positions!$D$2:$D$6912,MATCH($A2043&amp;"|44",Positions!$A$2:$A$6912,0)),"-")</f>
        <v>44</v>
      </c>
      <c r="F2043" s="24" t="str">
        <f aca="false">IFERROR(INDEX(Positions!$E$2:$E$6912,MATCH($A2043&amp;"|26",Positions!$A$2:$A$6912,0)),"-")</f>
        <v>C</v>
      </c>
      <c r="G2043" s="24" t="str">
        <f aca="false">IFERROR(INDEX(Positions!$E$2:$E$6912,MATCH($A2043&amp;"|44",Positions!$A$2:$A$6912,0)),"-")</f>
        <v>U</v>
      </c>
      <c r="H2043" s="25" t="str">
        <f aca="false">F2043&amp;"-"&amp;G2043</f>
        <v>C-U</v>
      </c>
      <c r="I2043" s="24" t="n">
        <f aca="false">(F2043="G")+(G2043="G")</f>
        <v>0</v>
      </c>
      <c r="J2043" s="24" t="n">
        <f aca="false">(F2043="C")+(G2043="C")</f>
        <v>1</v>
      </c>
      <c r="K2043" s="25" t="n">
        <f aca="false">I2043+J2043</f>
        <v>1</v>
      </c>
    </row>
    <row r="2044" customFormat="false" ht="15" hidden="false" customHeight="false" outlineLevel="0" collapsed="false">
      <c r="A2044" s="24" t="s">
        <v>109</v>
      </c>
      <c r="B2044" s="24" t="s">
        <v>530</v>
      </c>
      <c r="C2044" s="24" t="s">
        <v>536</v>
      </c>
      <c r="D2044" s="24" t="n">
        <f aca="false">IFERROR(INDEX(Positions!$D$2:$D$6912,MATCH($A2044&amp;"|32",Positions!$A$2:$A$6912,0)),"-")</f>
        <v>32</v>
      </c>
      <c r="E2044" s="24" t="n">
        <f aca="false">IFERROR(INDEX(Positions!$D$2:$D$6912,MATCH($A2044&amp;"|38",Positions!$A$2:$A$6912,0)),"-")</f>
        <v>38</v>
      </c>
      <c r="F2044" s="24" t="str">
        <f aca="false">IFERROR(INDEX(Positions!$E$2:$E$6912,MATCH($A2044&amp;"|32",Positions!$A$2:$A$6912,0)),"-")</f>
        <v>C</v>
      </c>
      <c r="G2044" s="24" t="str">
        <f aca="false">IFERROR(INDEX(Positions!$E$2:$E$6912,MATCH($A2044&amp;"|38",Positions!$A$2:$A$6912,0)),"-")</f>
        <v>A</v>
      </c>
      <c r="H2044" s="25" t="str">
        <f aca="false">F2044&amp;"-"&amp;G2044</f>
        <v>C-A</v>
      </c>
      <c r="I2044" s="24" t="n">
        <f aca="false">(F2044="G")+(G2044="G")</f>
        <v>0</v>
      </c>
      <c r="J2044" s="24" t="n">
        <f aca="false">(F2044="C")+(G2044="C")</f>
        <v>1</v>
      </c>
      <c r="K2044" s="25" t="n">
        <f aca="false">I2044+J2044</f>
        <v>1</v>
      </c>
    </row>
    <row r="2045" customFormat="false" ht="15" hidden="false" customHeight="false" outlineLevel="0" collapsed="false">
      <c r="A2045" s="24" t="s">
        <v>109</v>
      </c>
      <c r="B2045" s="24" t="s">
        <v>530</v>
      </c>
      <c r="C2045" s="24" t="s">
        <v>537</v>
      </c>
      <c r="D2045" s="24" t="n">
        <f aca="false">IFERROR(INDEX(Positions!$D$2:$D$6912,MATCH($A2045&amp;"|54",Positions!$A$2:$A$6912,0)),"-")</f>
        <v>53</v>
      </c>
      <c r="E2045" s="24" t="n">
        <f aca="false">IFERROR(INDEX(Positions!$D$2:$D$6912,MATCH($A2045&amp;"|58",Positions!$A$2:$A$6912,0)),"-")</f>
        <v>57</v>
      </c>
      <c r="F2045" s="24" t="str">
        <f aca="false">IFERROR(INDEX(Positions!$E$2:$E$6912,MATCH($A2045&amp;"|54",Positions!$A$2:$A$6912,0)),"-")</f>
        <v>U</v>
      </c>
      <c r="G2045" s="24" t="str">
        <f aca="false">IFERROR(INDEX(Positions!$E$2:$E$6912,MATCH($A2045&amp;"|58",Positions!$A$2:$A$6912,0)),"-")</f>
        <v>A</v>
      </c>
      <c r="H2045" s="25" t="str">
        <f aca="false">F2045&amp;"-"&amp;G2045</f>
        <v>U-A</v>
      </c>
      <c r="I2045" s="24" t="n">
        <f aca="false">(F2045="G")+(G2045="G")</f>
        <v>0</v>
      </c>
      <c r="J2045" s="24" t="n">
        <f aca="false">(F2045="C")+(G2045="C")</f>
        <v>0</v>
      </c>
      <c r="K2045" s="25" t="n">
        <f aca="false">I2045+J2045</f>
        <v>0</v>
      </c>
    </row>
    <row r="2046" customFormat="false" ht="15" hidden="false" customHeight="false" outlineLevel="0" collapsed="false">
      <c r="A2046" s="4" t="s">
        <v>110</v>
      </c>
      <c r="B2046" s="4" t="s">
        <v>412</v>
      </c>
      <c r="C2046" s="4" t="s">
        <v>517</v>
      </c>
      <c r="D2046" s="4" t="n">
        <f aca="false">IFERROR(INDEX(Positions!$D$2:$D$6912,MATCH($A2046&amp;"|1",Positions!$A$2:$A$6912,0)),"-")</f>
        <v>1</v>
      </c>
      <c r="E2046" s="4" t="n">
        <f aca="false">IFERROR(INDEX(Positions!$D$2:$D$6912,MATCH($A2046&amp;"|72",Positions!$A$2:$A$6912,0)),"-")</f>
        <v>71</v>
      </c>
      <c r="F2046" s="4" t="str">
        <f aca="false">IFERROR(INDEX(Positions!$E$2:$E$6912,MATCH($A2046&amp;"|1",Positions!$A$2:$A$6912,0)),"-")</f>
        <v>A</v>
      </c>
      <c r="G2046" s="4" t="str">
        <f aca="false">IFERROR(INDEX(Positions!$E$2:$E$6912,MATCH($A2046&amp;"|72",Positions!$A$2:$A$6912,0)),"-")</f>
        <v>U</v>
      </c>
      <c r="H2046" s="3" t="str">
        <f aca="false">F2046&amp;"-"&amp;G2046</f>
        <v>A-U</v>
      </c>
      <c r="I2046" s="4" t="n">
        <f aca="false">(F2046="G")+(G2046="G")</f>
        <v>0</v>
      </c>
      <c r="J2046" s="4" t="n">
        <f aca="false">(F2046="C")+(G2046="C")</f>
        <v>0</v>
      </c>
      <c r="K2046" s="3" t="n">
        <f aca="false">I2046+J2046</f>
        <v>0</v>
      </c>
    </row>
    <row r="2047" customFormat="false" ht="15" hidden="false" customHeight="false" outlineLevel="0" collapsed="false">
      <c r="A2047" s="4" t="s">
        <v>110</v>
      </c>
      <c r="B2047" s="4" t="s">
        <v>412</v>
      </c>
      <c r="C2047" s="4" t="s">
        <v>518</v>
      </c>
      <c r="D2047" s="4" t="n">
        <f aca="false">IFERROR(INDEX(Positions!$D$2:$D$6912,MATCH($A2047&amp;"|2",Positions!$A$2:$A$6912,0)),"-")</f>
        <v>2</v>
      </c>
      <c r="E2047" s="4" t="n">
        <f aca="false">IFERROR(INDEX(Positions!$D$2:$D$6912,MATCH($A2047&amp;"|71",Positions!$A$2:$A$6912,0)),"-")</f>
        <v>70</v>
      </c>
      <c r="F2047" s="4" t="str">
        <f aca="false">IFERROR(INDEX(Positions!$E$2:$E$6912,MATCH($A2047&amp;"|2",Positions!$A$2:$A$6912,0)),"-")</f>
        <v>G</v>
      </c>
      <c r="G2047" s="4" t="str">
        <f aca="false">IFERROR(INDEX(Positions!$E$2:$E$6912,MATCH($A2047&amp;"|71",Positions!$A$2:$A$6912,0)),"-")</f>
        <v>C</v>
      </c>
      <c r="H2047" s="3" t="str">
        <f aca="false">F2047&amp;"-"&amp;G2047</f>
        <v>G-C</v>
      </c>
      <c r="I2047" s="4" t="n">
        <f aca="false">(F2047="G")+(G2047="G")</f>
        <v>1</v>
      </c>
      <c r="J2047" s="4" t="n">
        <f aca="false">(F2047="C")+(G2047="C")</f>
        <v>1</v>
      </c>
      <c r="K2047" s="3" t="n">
        <f aca="false">I2047+J2047</f>
        <v>2</v>
      </c>
    </row>
    <row r="2048" customFormat="false" ht="15" hidden="false" customHeight="false" outlineLevel="0" collapsed="false">
      <c r="A2048" s="4" t="s">
        <v>110</v>
      </c>
      <c r="B2048" s="4" t="s">
        <v>412</v>
      </c>
      <c r="C2048" s="4" t="s">
        <v>386</v>
      </c>
      <c r="D2048" s="4" t="n">
        <f aca="false">IFERROR(INDEX(Positions!$D$2:$D$6912,MATCH($A2048&amp;"|3",Positions!$A$2:$A$6912,0)),"-")</f>
        <v>3</v>
      </c>
      <c r="E2048" s="4" t="n">
        <f aca="false">IFERROR(INDEX(Positions!$D$2:$D$6912,MATCH($A2048&amp;"|70",Positions!$A$2:$A$6912,0)),"-")</f>
        <v>69</v>
      </c>
      <c r="F2048" s="4" t="str">
        <f aca="false">IFERROR(INDEX(Positions!$E$2:$E$6912,MATCH($A2048&amp;"|3",Positions!$A$2:$A$6912,0)),"-")</f>
        <v>C</v>
      </c>
      <c r="G2048" s="4" t="str">
        <f aca="false">IFERROR(INDEX(Positions!$E$2:$E$6912,MATCH($A2048&amp;"|70",Positions!$A$2:$A$6912,0)),"-")</f>
        <v>G</v>
      </c>
      <c r="H2048" s="3" t="str">
        <f aca="false">F2048&amp;"-"&amp;G2048</f>
        <v>C-G</v>
      </c>
      <c r="I2048" s="4" t="n">
        <f aca="false">(F2048="G")+(G2048="G")</f>
        <v>1</v>
      </c>
      <c r="J2048" s="4" t="n">
        <f aca="false">(F2048="C")+(G2048="C")</f>
        <v>1</v>
      </c>
      <c r="K2048" s="3" t="n">
        <f aca="false">I2048+J2048</f>
        <v>2</v>
      </c>
    </row>
    <row r="2049" customFormat="false" ht="15" hidden="false" customHeight="false" outlineLevel="0" collapsed="false">
      <c r="A2049" s="4" t="s">
        <v>110</v>
      </c>
      <c r="B2049" s="4" t="s">
        <v>412</v>
      </c>
      <c r="C2049" s="4" t="s">
        <v>519</v>
      </c>
      <c r="D2049" s="4" t="n">
        <f aca="false">IFERROR(INDEX(Positions!$D$2:$D$6912,MATCH($A2049&amp;"|4",Positions!$A$2:$A$6912,0)),"-")</f>
        <v>4</v>
      </c>
      <c r="E2049" s="4" t="n">
        <f aca="false">IFERROR(INDEX(Positions!$D$2:$D$6912,MATCH($A2049&amp;"|69",Positions!$A$2:$A$6912,0)),"-")</f>
        <v>68</v>
      </c>
      <c r="F2049" s="4" t="str">
        <f aca="false">IFERROR(INDEX(Positions!$E$2:$E$6912,MATCH($A2049&amp;"|4",Positions!$A$2:$A$6912,0)),"-")</f>
        <v>A</v>
      </c>
      <c r="G2049" s="4" t="str">
        <f aca="false">IFERROR(INDEX(Positions!$E$2:$E$6912,MATCH($A2049&amp;"|69",Positions!$A$2:$A$6912,0)),"-")</f>
        <v>U</v>
      </c>
      <c r="H2049" s="3" t="str">
        <f aca="false">F2049&amp;"-"&amp;G2049</f>
        <v>A-U</v>
      </c>
      <c r="I2049" s="4" t="n">
        <f aca="false">(F2049="G")+(G2049="G")</f>
        <v>0</v>
      </c>
      <c r="J2049" s="4" t="n">
        <f aca="false">(F2049="C")+(G2049="C")</f>
        <v>0</v>
      </c>
      <c r="K2049" s="3" t="n">
        <f aca="false">I2049+J2049</f>
        <v>0</v>
      </c>
    </row>
    <row r="2050" customFormat="false" ht="15" hidden="false" customHeight="false" outlineLevel="0" collapsed="false">
      <c r="A2050" s="4" t="s">
        <v>110</v>
      </c>
      <c r="B2050" s="4" t="s">
        <v>412</v>
      </c>
      <c r="C2050" s="4" t="s">
        <v>283</v>
      </c>
      <c r="D2050" s="4" t="n">
        <f aca="false">IFERROR(INDEX(Positions!$D$2:$D$6912,MATCH($A2050&amp;"|5",Positions!$A$2:$A$6912,0)),"-")</f>
        <v>5</v>
      </c>
      <c r="E2050" s="4" t="n">
        <f aca="false">IFERROR(INDEX(Positions!$D$2:$D$6912,MATCH($A2050&amp;"|68",Positions!$A$2:$A$6912,0)),"-")</f>
        <v>67</v>
      </c>
      <c r="F2050" s="4" t="str">
        <f aca="false">IFERROR(INDEX(Positions!$E$2:$E$6912,MATCH($A2050&amp;"|5",Positions!$A$2:$A$6912,0)),"-")</f>
        <v>G</v>
      </c>
      <c r="G2050" s="4" t="str">
        <f aca="false">IFERROR(INDEX(Positions!$E$2:$E$6912,MATCH($A2050&amp;"|68",Positions!$A$2:$A$6912,0)),"-")</f>
        <v>C</v>
      </c>
      <c r="H2050" s="3" t="str">
        <f aca="false">F2050&amp;"-"&amp;G2050</f>
        <v>G-C</v>
      </c>
      <c r="I2050" s="4" t="n">
        <f aca="false">(F2050="G")+(G2050="G")</f>
        <v>1</v>
      </c>
      <c r="J2050" s="4" t="n">
        <f aca="false">(F2050="C")+(G2050="C")</f>
        <v>1</v>
      </c>
      <c r="K2050" s="3" t="n">
        <f aca="false">I2050+J2050</f>
        <v>2</v>
      </c>
    </row>
    <row r="2051" customFormat="false" ht="15" hidden="false" customHeight="false" outlineLevel="0" collapsed="false">
      <c r="A2051" s="4" t="s">
        <v>110</v>
      </c>
      <c r="B2051" s="4" t="s">
        <v>412</v>
      </c>
      <c r="C2051" s="4" t="s">
        <v>520</v>
      </c>
      <c r="D2051" s="4" t="n">
        <f aca="false">IFERROR(INDEX(Positions!$D$2:$D$6912,MATCH($A2051&amp;"|6",Positions!$A$2:$A$6912,0)),"-")</f>
        <v>6</v>
      </c>
      <c r="E2051" s="4" t="n">
        <f aca="false">IFERROR(INDEX(Positions!$D$2:$D$6912,MATCH($A2051&amp;"|67",Positions!$A$2:$A$6912,0)),"-")</f>
        <v>66</v>
      </c>
      <c r="F2051" s="4" t="str">
        <f aca="false">IFERROR(INDEX(Positions!$E$2:$E$6912,MATCH($A2051&amp;"|6",Positions!$A$2:$A$6912,0)),"-")</f>
        <v>G</v>
      </c>
      <c r="G2051" s="4" t="str">
        <f aca="false">IFERROR(INDEX(Positions!$E$2:$E$6912,MATCH($A2051&amp;"|67",Positions!$A$2:$A$6912,0)),"-")</f>
        <v>U</v>
      </c>
      <c r="H2051" s="3" t="str">
        <f aca="false">F2051&amp;"-"&amp;G2051</f>
        <v>G-U</v>
      </c>
      <c r="I2051" s="4" t="n">
        <f aca="false">(F2051="G")+(G2051="G")</f>
        <v>1</v>
      </c>
      <c r="J2051" s="4" t="n">
        <f aca="false">(F2051="C")+(G2051="C")</f>
        <v>0</v>
      </c>
      <c r="K2051" s="3" t="n">
        <f aca="false">I2051+J2051</f>
        <v>1</v>
      </c>
    </row>
    <row r="2052" customFormat="false" ht="15" hidden="false" customHeight="false" outlineLevel="0" collapsed="false">
      <c r="A2052" s="4" t="s">
        <v>110</v>
      </c>
      <c r="B2052" s="4" t="s">
        <v>412</v>
      </c>
      <c r="C2052" s="4" t="s">
        <v>521</v>
      </c>
      <c r="D2052" s="4" t="n">
        <f aca="false">IFERROR(INDEX(Positions!$D$2:$D$6912,MATCH($A2052&amp;"|7",Positions!$A$2:$A$6912,0)),"-")</f>
        <v>7</v>
      </c>
      <c r="E2052" s="4" t="n">
        <f aca="false">IFERROR(INDEX(Positions!$D$2:$D$6912,MATCH($A2052&amp;"|66",Positions!$A$2:$A$6912,0)),"-")</f>
        <v>65</v>
      </c>
      <c r="F2052" s="4" t="str">
        <f aca="false">IFERROR(INDEX(Positions!$E$2:$E$6912,MATCH($A2052&amp;"|7",Positions!$A$2:$A$6912,0)),"-")</f>
        <v>G</v>
      </c>
      <c r="G2052" s="4" t="str">
        <f aca="false">IFERROR(INDEX(Positions!$E$2:$E$6912,MATCH($A2052&amp;"|66",Positions!$A$2:$A$6912,0)),"-")</f>
        <v>C</v>
      </c>
      <c r="H2052" s="3" t="str">
        <f aca="false">F2052&amp;"-"&amp;G2052</f>
        <v>G-C</v>
      </c>
      <c r="I2052" s="4" t="n">
        <f aca="false">(F2052="G")+(G2052="G")</f>
        <v>1</v>
      </c>
      <c r="J2052" s="4" t="n">
        <f aca="false">(F2052="C")+(G2052="C")</f>
        <v>1</v>
      </c>
      <c r="K2052" s="3" t="n">
        <f aca="false">I2052+J2052</f>
        <v>2</v>
      </c>
    </row>
    <row r="2053" customFormat="false" ht="15" hidden="false" customHeight="false" outlineLevel="0" collapsed="false">
      <c r="A2053" s="4" t="s">
        <v>110</v>
      </c>
      <c r="B2053" s="4" t="s">
        <v>425</v>
      </c>
      <c r="C2053" s="4" t="s">
        <v>522</v>
      </c>
      <c r="D2053" s="4" t="n">
        <f aca="false">IFERROR(INDEX(Positions!$D$2:$D$6912,MATCH($A2053&amp;"|10",Positions!$A$2:$A$6912,0)),"-")</f>
        <v>10</v>
      </c>
      <c r="E2053" s="4" t="n">
        <f aca="false">IFERROR(INDEX(Positions!$D$2:$D$6912,MATCH($A2053&amp;"|25",Positions!$A$2:$A$6912,0)),"-")</f>
        <v>24</v>
      </c>
      <c r="F2053" s="4" t="str">
        <f aca="false">IFERROR(INDEX(Positions!$E$2:$E$6912,MATCH($A2053&amp;"|10",Positions!$A$2:$A$6912,0)),"-")</f>
        <v>G</v>
      </c>
      <c r="G2053" s="4" t="str">
        <f aca="false">IFERROR(INDEX(Positions!$E$2:$E$6912,MATCH($A2053&amp;"|25",Positions!$A$2:$A$6912,0)),"-")</f>
        <v>C</v>
      </c>
      <c r="H2053" s="3" t="str">
        <f aca="false">F2053&amp;"-"&amp;G2053</f>
        <v>G-C</v>
      </c>
      <c r="I2053" s="4" t="n">
        <f aca="false">(F2053="G")+(G2053="G")</f>
        <v>1</v>
      </c>
      <c r="J2053" s="4" t="n">
        <f aca="false">(F2053="C")+(G2053="C")</f>
        <v>1</v>
      </c>
      <c r="K2053" s="3" t="n">
        <f aca="false">I2053+J2053</f>
        <v>2</v>
      </c>
    </row>
    <row r="2054" customFormat="false" ht="15" hidden="false" customHeight="false" outlineLevel="0" collapsed="false">
      <c r="A2054" s="4" t="s">
        <v>110</v>
      </c>
      <c r="B2054" s="4" t="s">
        <v>425</v>
      </c>
      <c r="C2054" s="4" t="s">
        <v>523</v>
      </c>
      <c r="D2054" s="4" t="n">
        <f aca="false">IFERROR(INDEX(Positions!$D$2:$D$6912,MATCH($A2054&amp;"|11",Positions!$A$2:$A$6912,0)),"-")</f>
        <v>11</v>
      </c>
      <c r="E2054" s="4" t="n">
        <f aca="false">IFERROR(INDEX(Positions!$D$2:$D$6912,MATCH($A2054&amp;"|24",Positions!$A$2:$A$6912,0)),"-")</f>
        <v>23</v>
      </c>
      <c r="F2054" s="4" t="str">
        <f aca="false">IFERROR(INDEX(Positions!$E$2:$E$6912,MATCH($A2054&amp;"|11",Positions!$A$2:$A$6912,0)),"-")</f>
        <v>C</v>
      </c>
      <c r="G2054" s="4" t="str">
        <f aca="false">IFERROR(INDEX(Positions!$E$2:$E$6912,MATCH($A2054&amp;"|24",Positions!$A$2:$A$6912,0)),"-")</f>
        <v>G</v>
      </c>
      <c r="H2054" s="3" t="str">
        <f aca="false">F2054&amp;"-"&amp;G2054</f>
        <v>C-G</v>
      </c>
      <c r="I2054" s="4" t="n">
        <f aca="false">(F2054="G")+(G2054="G")</f>
        <v>1</v>
      </c>
      <c r="J2054" s="4" t="n">
        <f aca="false">(F2054="C")+(G2054="C")</f>
        <v>1</v>
      </c>
      <c r="K2054" s="3" t="n">
        <f aca="false">I2054+J2054</f>
        <v>2</v>
      </c>
    </row>
    <row r="2055" customFormat="false" ht="15" hidden="false" customHeight="false" outlineLevel="0" collapsed="false">
      <c r="A2055" s="4" t="s">
        <v>110</v>
      </c>
      <c r="B2055" s="4" t="s">
        <v>425</v>
      </c>
      <c r="C2055" s="4" t="s">
        <v>250</v>
      </c>
      <c r="D2055" s="4" t="n">
        <f aca="false">IFERROR(INDEX(Positions!$D$2:$D$6912,MATCH($A2055&amp;"|12",Positions!$A$2:$A$6912,0)),"-")</f>
        <v>12</v>
      </c>
      <c r="E2055" s="4" t="n">
        <f aca="false">IFERROR(INDEX(Positions!$D$2:$D$6912,MATCH($A2055&amp;"|23",Positions!$A$2:$A$6912,0)),"-")</f>
        <v>22</v>
      </c>
      <c r="F2055" s="4" t="str">
        <f aca="false">IFERROR(INDEX(Positions!$E$2:$E$6912,MATCH($A2055&amp;"|12",Positions!$A$2:$A$6912,0)),"-")</f>
        <v>G</v>
      </c>
      <c r="G2055" s="4" t="str">
        <f aca="false">IFERROR(INDEX(Positions!$E$2:$E$6912,MATCH($A2055&amp;"|23",Positions!$A$2:$A$6912,0)),"-")</f>
        <v>C</v>
      </c>
      <c r="H2055" s="3" t="str">
        <f aca="false">F2055&amp;"-"&amp;G2055</f>
        <v>G-C</v>
      </c>
      <c r="I2055" s="4" t="n">
        <f aca="false">(F2055="G")+(G2055="G")</f>
        <v>1</v>
      </c>
      <c r="J2055" s="4" t="n">
        <f aca="false">(F2055="C")+(G2055="C")</f>
        <v>1</v>
      </c>
      <c r="K2055" s="3" t="n">
        <f aca="false">I2055+J2055</f>
        <v>2</v>
      </c>
    </row>
    <row r="2056" customFormat="false" ht="15" hidden="false" customHeight="false" outlineLevel="0" collapsed="false">
      <c r="A2056" s="4" t="s">
        <v>110</v>
      </c>
      <c r="B2056" s="4" t="s">
        <v>425</v>
      </c>
      <c r="C2056" s="4" t="s">
        <v>154</v>
      </c>
      <c r="D2056" s="4" t="n">
        <f aca="false">IFERROR(INDEX(Positions!$D$2:$D$6912,MATCH($A2056&amp;"|13",Positions!$A$2:$A$6912,0)),"-")</f>
        <v>13</v>
      </c>
      <c r="E2056" s="4" t="n">
        <f aca="false">IFERROR(INDEX(Positions!$D$2:$D$6912,MATCH($A2056&amp;"|22",Positions!$A$2:$A$6912,0)),"-")</f>
        <v>21</v>
      </c>
      <c r="F2056" s="4" t="str">
        <f aca="false">IFERROR(INDEX(Positions!$E$2:$E$6912,MATCH($A2056&amp;"|13",Positions!$A$2:$A$6912,0)),"-")</f>
        <v>A</v>
      </c>
      <c r="G2056" s="4" t="str">
        <f aca="false">IFERROR(INDEX(Positions!$E$2:$E$6912,MATCH($A2056&amp;"|22",Positions!$A$2:$A$6912,0)),"-")</f>
        <v>U</v>
      </c>
      <c r="H2056" s="3" t="str">
        <f aca="false">F2056&amp;"-"&amp;G2056</f>
        <v>A-U</v>
      </c>
      <c r="I2056" s="4" t="n">
        <f aca="false">(F2056="G")+(G2056="G")</f>
        <v>0</v>
      </c>
      <c r="J2056" s="4" t="n">
        <f aca="false">(F2056="C")+(G2056="C")</f>
        <v>0</v>
      </c>
      <c r="K2056" s="3" t="n">
        <f aca="false">I2056+J2056</f>
        <v>0</v>
      </c>
    </row>
    <row r="2057" customFormat="false" ht="15" hidden="false" customHeight="false" outlineLevel="0" collapsed="false">
      <c r="A2057" s="4" t="s">
        <v>110</v>
      </c>
      <c r="B2057" s="4" t="s">
        <v>446</v>
      </c>
      <c r="C2057" s="4" t="s">
        <v>524</v>
      </c>
      <c r="D2057" s="4" t="n">
        <f aca="false">IFERROR(INDEX(Positions!$D$2:$D$6912,MATCH($A2057&amp;"|27",Positions!$A$2:$A$6912,0)),"-")</f>
        <v>26</v>
      </c>
      <c r="E2057" s="4" t="n">
        <f aca="false">IFERROR(INDEX(Positions!$D$2:$D$6912,MATCH($A2057&amp;"|43",Positions!$A$2:$A$6912,0)),"-")</f>
        <v>42</v>
      </c>
      <c r="F2057" s="4" t="str">
        <f aca="false">IFERROR(INDEX(Positions!$E$2:$E$6912,MATCH($A2057&amp;"|27",Positions!$A$2:$A$6912,0)),"-")</f>
        <v>U</v>
      </c>
      <c r="G2057" s="4" t="str">
        <f aca="false">IFERROR(INDEX(Positions!$E$2:$E$6912,MATCH($A2057&amp;"|43",Positions!$A$2:$A$6912,0)),"-")</f>
        <v>A</v>
      </c>
      <c r="H2057" s="3" t="str">
        <f aca="false">F2057&amp;"-"&amp;G2057</f>
        <v>U-A</v>
      </c>
      <c r="I2057" s="4" t="n">
        <f aca="false">(F2057="G")+(G2057="G")</f>
        <v>0</v>
      </c>
      <c r="J2057" s="4" t="n">
        <f aca="false">(F2057="C")+(G2057="C")</f>
        <v>0</v>
      </c>
      <c r="K2057" s="3" t="n">
        <f aca="false">I2057+J2057</f>
        <v>0</v>
      </c>
    </row>
    <row r="2058" customFormat="false" ht="15" hidden="false" customHeight="false" outlineLevel="0" collapsed="false">
      <c r="A2058" s="4" t="s">
        <v>110</v>
      </c>
      <c r="B2058" s="4" t="s">
        <v>446</v>
      </c>
      <c r="C2058" s="4" t="s">
        <v>525</v>
      </c>
      <c r="D2058" s="4" t="n">
        <f aca="false">IFERROR(INDEX(Positions!$D$2:$D$6912,MATCH($A2058&amp;"|28",Positions!$A$2:$A$6912,0)),"-")</f>
        <v>27</v>
      </c>
      <c r="E2058" s="4" t="n">
        <f aca="false">IFERROR(INDEX(Positions!$D$2:$D$6912,MATCH($A2058&amp;"|42",Positions!$A$2:$A$6912,0)),"-")</f>
        <v>41</v>
      </c>
      <c r="F2058" s="4" t="str">
        <f aca="false">IFERROR(INDEX(Positions!$E$2:$E$6912,MATCH($A2058&amp;"|28",Positions!$A$2:$A$6912,0)),"-")</f>
        <v>U</v>
      </c>
      <c r="G2058" s="4" t="str">
        <f aca="false">IFERROR(INDEX(Positions!$E$2:$E$6912,MATCH($A2058&amp;"|42",Positions!$A$2:$A$6912,0)),"-")</f>
        <v>A</v>
      </c>
      <c r="H2058" s="3" t="str">
        <f aca="false">F2058&amp;"-"&amp;G2058</f>
        <v>U-A</v>
      </c>
      <c r="I2058" s="4" t="n">
        <f aca="false">(F2058="G")+(G2058="G")</f>
        <v>0</v>
      </c>
      <c r="J2058" s="4" t="n">
        <f aca="false">(F2058="C")+(G2058="C")</f>
        <v>0</v>
      </c>
      <c r="K2058" s="3" t="n">
        <f aca="false">I2058+J2058</f>
        <v>0</v>
      </c>
    </row>
    <row r="2059" customFormat="false" ht="15" hidden="false" customHeight="false" outlineLevel="0" collapsed="false">
      <c r="A2059" s="4" t="s">
        <v>110</v>
      </c>
      <c r="B2059" s="4" t="s">
        <v>446</v>
      </c>
      <c r="C2059" s="4" t="s">
        <v>256</v>
      </c>
      <c r="D2059" s="4" t="n">
        <f aca="false">IFERROR(INDEX(Positions!$D$2:$D$6912,MATCH($A2059&amp;"|29",Positions!$A$2:$A$6912,0)),"-")</f>
        <v>28</v>
      </c>
      <c r="E2059" s="4" t="n">
        <f aca="false">IFERROR(INDEX(Positions!$D$2:$D$6912,MATCH($A2059&amp;"|41",Positions!$A$2:$A$6912,0)),"-")</f>
        <v>40</v>
      </c>
      <c r="F2059" s="4" t="str">
        <f aca="false">IFERROR(INDEX(Positions!$E$2:$E$6912,MATCH($A2059&amp;"|29",Positions!$A$2:$A$6912,0)),"-")</f>
        <v>G</v>
      </c>
      <c r="G2059" s="4" t="str">
        <f aca="false">IFERROR(INDEX(Positions!$E$2:$E$6912,MATCH($A2059&amp;"|41",Positions!$A$2:$A$6912,0)),"-")</f>
        <v>C</v>
      </c>
      <c r="H2059" s="3" t="str">
        <f aca="false">F2059&amp;"-"&amp;G2059</f>
        <v>G-C</v>
      </c>
      <c r="I2059" s="4" t="n">
        <f aca="false">(F2059="G")+(G2059="G")</f>
        <v>1</v>
      </c>
      <c r="J2059" s="4" t="n">
        <f aca="false">(F2059="C")+(G2059="C")</f>
        <v>1</v>
      </c>
      <c r="K2059" s="3" t="n">
        <f aca="false">I2059+J2059</f>
        <v>2</v>
      </c>
    </row>
    <row r="2060" customFormat="false" ht="15" hidden="false" customHeight="false" outlineLevel="0" collapsed="false">
      <c r="A2060" s="4" t="s">
        <v>110</v>
      </c>
      <c r="B2060" s="4" t="s">
        <v>446</v>
      </c>
      <c r="C2060" s="4" t="s">
        <v>526</v>
      </c>
      <c r="D2060" s="4" t="n">
        <f aca="false">IFERROR(INDEX(Positions!$D$2:$D$6912,MATCH($A2060&amp;"|30",Positions!$A$2:$A$6912,0)),"-")</f>
        <v>29</v>
      </c>
      <c r="E2060" s="4" t="n">
        <f aca="false">IFERROR(INDEX(Positions!$D$2:$D$6912,MATCH($A2060&amp;"|40",Positions!$A$2:$A$6912,0)),"-")</f>
        <v>39</v>
      </c>
      <c r="F2060" s="4" t="str">
        <f aca="false">IFERROR(INDEX(Positions!$E$2:$E$6912,MATCH($A2060&amp;"|30",Positions!$A$2:$A$6912,0)),"-")</f>
        <v>G</v>
      </c>
      <c r="G2060" s="4" t="str">
        <f aca="false">IFERROR(INDEX(Positions!$E$2:$E$6912,MATCH($A2060&amp;"|40",Positions!$A$2:$A$6912,0)),"-")</f>
        <v>U</v>
      </c>
      <c r="H2060" s="3" t="str">
        <f aca="false">F2060&amp;"-"&amp;G2060</f>
        <v>G-U</v>
      </c>
      <c r="I2060" s="4" t="n">
        <f aca="false">(F2060="G")+(G2060="G")</f>
        <v>1</v>
      </c>
      <c r="J2060" s="4" t="n">
        <f aca="false">(F2060="C")+(G2060="C")</f>
        <v>0</v>
      </c>
      <c r="K2060" s="3" t="n">
        <f aca="false">I2060+J2060</f>
        <v>1</v>
      </c>
    </row>
    <row r="2061" customFormat="false" ht="15" hidden="false" customHeight="false" outlineLevel="0" collapsed="false">
      <c r="A2061" s="4" t="s">
        <v>110</v>
      </c>
      <c r="B2061" s="4" t="s">
        <v>446</v>
      </c>
      <c r="C2061" s="4" t="s">
        <v>273</v>
      </c>
      <c r="D2061" s="4" t="n">
        <f aca="false">IFERROR(INDEX(Positions!$D$2:$D$6912,MATCH($A2061&amp;"|31",Positions!$A$2:$A$6912,0)),"-")</f>
        <v>30</v>
      </c>
      <c r="E2061" s="4" t="n">
        <f aca="false">IFERROR(INDEX(Positions!$D$2:$D$6912,MATCH($A2061&amp;"|39",Positions!$A$2:$A$6912,0)),"-")</f>
        <v>38</v>
      </c>
      <c r="F2061" s="4" t="str">
        <f aca="false">IFERROR(INDEX(Positions!$E$2:$E$6912,MATCH($A2061&amp;"|31",Positions!$A$2:$A$6912,0)),"-")</f>
        <v>G</v>
      </c>
      <c r="G2061" s="4" t="str">
        <f aca="false">IFERROR(INDEX(Positions!$E$2:$E$6912,MATCH($A2061&amp;"|39",Positions!$A$2:$A$6912,0)),"-")</f>
        <v>C</v>
      </c>
      <c r="H2061" s="3" t="str">
        <f aca="false">F2061&amp;"-"&amp;G2061</f>
        <v>G-C</v>
      </c>
      <c r="I2061" s="4" t="n">
        <f aca="false">(F2061="G")+(G2061="G")</f>
        <v>1</v>
      </c>
      <c r="J2061" s="4" t="n">
        <f aca="false">(F2061="C")+(G2061="C")</f>
        <v>1</v>
      </c>
      <c r="K2061" s="3" t="n">
        <f aca="false">I2061+J2061</f>
        <v>2</v>
      </c>
    </row>
    <row r="2062" customFormat="false" ht="15" hidden="false" customHeight="false" outlineLevel="0" collapsed="false">
      <c r="A2062" s="4" t="s">
        <v>110</v>
      </c>
      <c r="B2062" s="4" t="s">
        <v>471</v>
      </c>
      <c r="C2062" s="4" t="s">
        <v>367</v>
      </c>
      <c r="D2062" s="4" t="n">
        <f aca="false">IFERROR(INDEX(Positions!$D$2:$D$6912,MATCH($A2062&amp;"|49",Positions!$A$2:$A$6912,0)),"-")</f>
        <v>48</v>
      </c>
      <c r="E2062" s="4" t="n">
        <f aca="false">IFERROR(INDEX(Positions!$D$2:$D$6912,MATCH($A2062&amp;"|65",Positions!$A$2:$A$6912,0)),"-")</f>
        <v>64</v>
      </c>
      <c r="F2062" s="4" t="str">
        <f aca="false">IFERROR(INDEX(Positions!$E$2:$E$6912,MATCH($A2062&amp;"|49",Positions!$A$2:$A$6912,0)),"-")</f>
        <v>A</v>
      </c>
      <c r="G2062" s="4" t="str">
        <f aca="false">IFERROR(INDEX(Positions!$E$2:$E$6912,MATCH($A2062&amp;"|65",Positions!$A$2:$A$6912,0)),"-")</f>
        <v>U</v>
      </c>
      <c r="H2062" s="3" t="str">
        <f aca="false">F2062&amp;"-"&amp;G2062</f>
        <v>A-U</v>
      </c>
      <c r="I2062" s="4" t="n">
        <f aca="false">(F2062="G")+(G2062="G")</f>
        <v>0</v>
      </c>
      <c r="J2062" s="4" t="n">
        <f aca="false">(F2062="C")+(G2062="C")</f>
        <v>0</v>
      </c>
      <c r="K2062" s="3" t="n">
        <f aca="false">I2062+J2062</f>
        <v>0</v>
      </c>
    </row>
    <row r="2063" customFormat="false" ht="15" hidden="false" customHeight="false" outlineLevel="0" collapsed="false">
      <c r="A2063" s="4" t="s">
        <v>110</v>
      </c>
      <c r="B2063" s="4" t="s">
        <v>471</v>
      </c>
      <c r="C2063" s="4" t="s">
        <v>233</v>
      </c>
      <c r="D2063" s="4" t="n">
        <f aca="false">IFERROR(INDEX(Positions!$D$2:$D$6912,MATCH($A2063&amp;"|50",Positions!$A$2:$A$6912,0)),"-")</f>
        <v>49</v>
      </c>
      <c r="E2063" s="4" t="n">
        <f aca="false">IFERROR(INDEX(Positions!$D$2:$D$6912,MATCH($A2063&amp;"|64",Positions!$A$2:$A$6912,0)),"-")</f>
        <v>63</v>
      </c>
      <c r="F2063" s="4" t="str">
        <f aca="false">IFERROR(INDEX(Positions!$E$2:$E$6912,MATCH($A2063&amp;"|50",Positions!$A$2:$A$6912,0)),"-")</f>
        <v>G</v>
      </c>
      <c r="G2063" s="4" t="str">
        <f aca="false">IFERROR(INDEX(Positions!$E$2:$E$6912,MATCH($A2063&amp;"|64",Positions!$A$2:$A$6912,0)),"-")</f>
        <v>C</v>
      </c>
      <c r="H2063" s="3" t="str">
        <f aca="false">F2063&amp;"-"&amp;G2063</f>
        <v>G-C</v>
      </c>
      <c r="I2063" s="4" t="n">
        <f aca="false">(F2063="G")+(G2063="G")</f>
        <v>1</v>
      </c>
      <c r="J2063" s="4" t="n">
        <f aca="false">(F2063="C")+(G2063="C")</f>
        <v>1</v>
      </c>
      <c r="K2063" s="3" t="n">
        <f aca="false">I2063+J2063</f>
        <v>2</v>
      </c>
    </row>
    <row r="2064" customFormat="false" ht="15" hidden="false" customHeight="false" outlineLevel="0" collapsed="false">
      <c r="A2064" s="4" t="s">
        <v>110</v>
      </c>
      <c r="B2064" s="4" t="s">
        <v>471</v>
      </c>
      <c r="C2064" s="4" t="s">
        <v>527</v>
      </c>
      <c r="D2064" s="4" t="n">
        <f aca="false">IFERROR(INDEX(Positions!$D$2:$D$6912,MATCH($A2064&amp;"|51",Positions!$A$2:$A$6912,0)),"-")</f>
        <v>50</v>
      </c>
      <c r="E2064" s="4" t="n">
        <f aca="false">IFERROR(INDEX(Positions!$D$2:$D$6912,MATCH($A2064&amp;"|63",Positions!$A$2:$A$6912,0)),"-")</f>
        <v>62</v>
      </c>
      <c r="F2064" s="4" t="str">
        <f aca="false">IFERROR(INDEX(Positions!$E$2:$E$6912,MATCH($A2064&amp;"|51",Positions!$A$2:$A$6912,0)),"-")</f>
        <v>A</v>
      </c>
      <c r="G2064" s="4" t="str">
        <f aca="false">IFERROR(INDEX(Positions!$E$2:$E$6912,MATCH($A2064&amp;"|63",Positions!$A$2:$A$6912,0)),"-")</f>
        <v>U</v>
      </c>
      <c r="H2064" s="3" t="str">
        <f aca="false">F2064&amp;"-"&amp;G2064</f>
        <v>A-U</v>
      </c>
      <c r="I2064" s="4" t="n">
        <f aca="false">(F2064="G")+(G2064="G")</f>
        <v>0</v>
      </c>
      <c r="J2064" s="4" t="n">
        <f aca="false">(F2064="C")+(G2064="C")</f>
        <v>0</v>
      </c>
      <c r="K2064" s="3" t="n">
        <f aca="false">I2064+J2064</f>
        <v>0</v>
      </c>
    </row>
    <row r="2065" customFormat="false" ht="15" hidden="false" customHeight="false" outlineLevel="0" collapsed="false">
      <c r="A2065" s="4" t="s">
        <v>110</v>
      </c>
      <c r="B2065" s="4" t="s">
        <v>471</v>
      </c>
      <c r="C2065" s="4" t="s">
        <v>528</v>
      </c>
      <c r="D2065" s="4" t="n">
        <f aca="false">IFERROR(INDEX(Positions!$D$2:$D$6912,MATCH($A2065&amp;"|52",Positions!$A$2:$A$6912,0)),"-")</f>
        <v>51</v>
      </c>
      <c r="E2065" s="4" t="n">
        <f aca="false">IFERROR(INDEX(Positions!$D$2:$D$6912,MATCH($A2065&amp;"|62",Positions!$A$2:$A$6912,0)),"-")</f>
        <v>61</v>
      </c>
      <c r="F2065" s="4" t="str">
        <f aca="false">IFERROR(INDEX(Positions!$E$2:$E$6912,MATCH($A2065&amp;"|52",Positions!$A$2:$A$6912,0)),"-")</f>
        <v>G</v>
      </c>
      <c r="G2065" s="4" t="str">
        <f aca="false">IFERROR(INDEX(Positions!$E$2:$E$6912,MATCH($A2065&amp;"|62",Positions!$A$2:$A$6912,0)),"-")</f>
        <v>C</v>
      </c>
      <c r="H2065" s="3" t="str">
        <f aca="false">F2065&amp;"-"&amp;G2065</f>
        <v>G-C</v>
      </c>
      <c r="I2065" s="4" t="n">
        <f aca="false">(F2065="G")+(G2065="G")</f>
        <v>1</v>
      </c>
      <c r="J2065" s="4" t="n">
        <f aca="false">(F2065="C")+(G2065="C")</f>
        <v>1</v>
      </c>
      <c r="K2065" s="3" t="n">
        <f aca="false">I2065+J2065</f>
        <v>2</v>
      </c>
    </row>
    <row r="2066" customFormat="false" ht="15" hidden="false" customHeight="false" outlineLevel="0" collapsed="false">
      <c r="A2066" s="4" t="s">
        <v>110</v>
      </c>
      <c r="B2066" s="4" t="s">
        <v>471</v>
      </c>
      <c r="C2066" s="4" t="s">
        <v>529</v>
      </c>
      <c r="D2066" s="4" t="n">
        <f aca="false">IFERROR(INDEX(Positions!$D$2:$D$6912,MATCH($A2066&amp;"|53",Positions!$A$2:$A$6912,0)),"-")</f>
        <v>52</v>
      </c>
      <c r="E2066" s="4" t="n">
        <f aca="false">IFERROR(INDEX(Positions!$D$2:$D$6912,MATCH($A2066&amp;"|61",Positions!$A$2:$A$6912,0)),"-")</f>
        <v>60</v>
      </c>
      <c r="F2066" s="4" t="str">
        <f aca="false">IFERROR(INDEX(Positions!$E$2:$E$6912,MATCH($A2066&amp;"|53",Positions!$A$2:$A$6912,0)),"-")</f>
        <v>G</v>
      </c>
      <c r="G2066" s="4" t="str">
        <f aca="false">IFERROR(INDEX(Positions!$E$2:$E$6912,MATCH($A2066&amp;"|61",Positions!$A$2:$A$6912,0)),"-")</f>
        <v>C</v>
      </c>
      <c r="H2066" s="3" t="str">
        <f aca="false">F2066&amp;"-"&amp;G2066</f>
        <v>G-C</v>
      </c>
      <c r="I2066" s="4" t="n">
        <f aca="false">(F2066="G")+(G2066="G")</f>
        <v>1</v>
      </c>
      <c r="J2066" s="4" t="n">
        <f aca="false">(F2066="C")+(G2066="C")</f>
        <v>1</v>
      </c>
      <c r="K2066" s="3" t="n">
        <f aca="false">I2066+J2066</f>
        <v>2</v>
      </c>
    </row>
    <row r="2067" customFormat="false" ht="15" hidden="false" customHeight="false" outlineLevel="0" collapsed="false">
      <c r="A2067" s="24" t="s">
        <v>110</v>
      </c>
      <c r="B2067" s="24" t="s">
        <v>530</v>
      </c>
      <c r="C2067" s="24" t="s">
        <v>531</v>
      </c>
      <c r="D2067" s="24" t="n">
        <f aca="false">IFERROR(INDEX(Positions!$D$2:$D$6912,MATCH($A2067&amp;"|8",Positions!$A$2:$A$6912,0)),"-")</f>
        <v>8</v>
      </c>
      <c r="E2067" s="24" t="n">
        <f aca="false">IFERROR(INDEX(Positions!$D$2:$D$6912,MATCH($A2067&amp;"|14",Positions!$A$2:$A$6912,0)),"-")</f>
        <v>14</v>
      </c>
      <c r="F2067" s="24" t="str">
        <f aca="false">IFERROR(INDEX(Positions!$E$2:$E$6912,MATCH($A2067&amp;"|8",Positions!$A$2:$A$6912,0)),"-")</f>
        <v>U</v>
      </c>
      <c r="G2067" s="24" t="str">
        <f aca="false">IFERROR(INDEX(Positions!$E$2:$E$6912,MATCH($A2067&amp;"|14",Positions!$A$2:$A$6912,0)),"-")</f>
        <v>A</v>
      </c>
      <c r="H2067" s="25" t="str">
        <f aca="false">F2067&amp;"-"&amp;G2067</f>
        <v>U-A</v>
      </c>
      <c r="I2067" s="24" t="n">
        <f aca="false">(F2067="G")+(G2067="G")</f>
        <v>0</v>
      </c>
      <c r="J2067" s="24" t="n">
        <f aca="false">(F2067="C")+(G2067="C")</f>
        <v>0</v>
      </c>
      <c r="K2067" s="25" t="n">
        <f aca="false">I2067+J2067</f>
        <v>0</v>
      </c>
    </row>
    <row r="2068" customFormat="false" ht="15" hidden="false" customHeight="false" outlineLevel="0" collapsed="false">
      <c r="A2068" s="24" t="s">
        <v>110</v>
      </c>
      <c r="B2068" s="24" t="s">
        <v>530</v>
      </c>
      <c r="C2068" s="24" t="s">
        <v>532</v>
      </c>
      <c r="D2068" s="24" t="n">
        <f aca="false">IFERROR(INDEX(Positions!$D$2:$D$6912,MATCH($A2068&amp;"|15",Positions!$A$2:$A$6912,0)),"-")</f>
        <v>15</v>
      </c>
      <c r="E2068" s="24" t="n">
        <f aca="false">IFERROR(INDEX(Positions!$D$2:$D$6912,MATCH($A2068&amp;"|48",Positions!$A$2:$A$6912,0)),"-")</f>
        <v>47</v>
      </c>
      <c r="F2068" s="24" t="str">
        <f aca="false">IFERROR(INDEX(Positions!$E$2:$E$6912,MATCH($A2068&amp;"|15",Positions!$A$2:$A$6912,0)),"-")</f>
        <v>A</v>
      </c>
      <c r="G2068" s="24" t="str">
        <f aca="false">IFERROR(INDEX(Positions!$E$2:$E$6912,MATCH($A2068&amp;"|48",Positions!$A$2:$A$6912,0)),"-")</f>
        <v>C</v>
      </c>
      <c r="H2068" s="25" t="str">
        <f aca="false">F2068&amp;"-"&amp;G2068</f>
        <v>A-C</v>
      </c>
      <c r="I2068" s="24" t="n">
        <f aca="false">(F2068="G")+(G2068="G")</f>
        <v>0</v>
      </c>
      <c r="J2068" s="24" t="n">
        <f aca="false">(F2068="C")+(G2068="C")</f>
        <v>1</v>
      </c>
      <c r="K2068" s="25" t="n">
        <f aca="false">I2068+J2068</f>
        <v>1</v>
      </c>
    </row>
    <row r="2069" customFormat="false" ht="15" hidden="false" customHeight="false" outlineLevel="0" collapsed="false">
      <c r="A2069" s="24" t="s">
        <v>110</v>
      </c>
      <c r="B2069" s="24" t="s">
        <v>530</v>
      </c>
      <c r="C2069" s="24" t="s">
        <v>533</v>
      </c>
      <c r="D2069" s="24" t="n">
        <f aca="false">IFERROR(INDEX(Positions!$D$2:$D$6912,MATCH($A2069&amp;"|18",Positions!$A$2:$A$6912,0)),"-")</f>
        <v>17</v>
      </c>
      <c r="E2069" s="24" t="n">
        <f aca="false">IFERROR(INDEX(Positions!$D$2:$D$6912,MATCH($A2069&amp;"|55",Positions!$A$2:$A$6912,0)),"-")</f>
        <v>54</v>
      </c>
      <c r="F2069" s="24" t="str">
        <f aca="false">IFERROR(INDEX(Positions!$E$2:$E$6912,MATCH($A2069&amp;"|18",Positions!$A$2:$A$6912,0)),"-")</f>
        <v>G</v>
      </c>
      <c r="G2069" s="24" t="str">
        <f aca="false">IFERROR(INDEX(Positions!$E$2:$E$6912,MATCH($A2069&amp;"|55",Positions!$A$2:$A$6912,0)),"-")</f>
        <v>U</v>
      </c>
      <c r="H2069" s="25" t="str">
        <f aca="false">F2069&amp;"-"&amp;G2069</f>
        <v>G-U</v>
      </c>
      <c r="I2069" s="24" t="n">
        <f aca="false">(F2069="G")+(G2069="G")</f>
        <v>1</v>
      </c>
      <c r="J2069" s="24" t="n">
        <f aca="false">(F2069="C")+(G2069="C")</f>
        <v>0</v>
      </c>
      <c r="K2069" s="25" t="n">
        <f aca="false">I2069+J2069</f>
        <v>1</v>
      </c>
    </row>
    <row r="2070" customFormat="false" ht="15" hidden="false" customHeight="false" outlineLevel="0" collapsed="false">
      <c r="A2070" s="24" t="s">
        <v>110</v>
      </c>
      <c r="B2070" s="24" t="s">
        <v>530</v>
      </c>
      <c r="C2070" s="24" t="s">
        <v>534</v>
      </c>
      <c r="D2070" s="24" t="n">
        <f aca="false">IFERROR(INDEX(Positions!$D$2:$D$6912,MATCH($A2070&amp;"|19",Positions!$A$2:$A$6912,0)),"-")</f>
        <v>18</v>
      </c>
      <c r="E2070" s="24" t="n">
        <f aca="false">IFERROR(INDEX(Positions!$D$2:$D$6912,MATCH($A2070&amp;"|56",Positions!$A$2:$A$6912,0)),"-")</f>
        <v>55</v>
      </c>
      <c r="F2070" s="24" t="str">
        <f aca="false">IFERROR(INDEX(Positions!$E$2:$E$6912,MATCH($A2070&amp;"|19",Positions!$A$2:$A$6912,0)),"-")</f>
        <v>G</v>
      </c>
      <c r="G2070" s="24" t="str">
        <f aca="false">IFERROR(INDEX(Positions!$E$2:$E$6912,MATCH($A2070&amp;"|56",Positions!$A$2:$A$6912,0)),"-")</f>
        <v>C</v>
      </c>
      <c r="H2070" s="25" t="str">
        <f aca="false">F2070&amp;"-"&amp;G2070</f>
        <v>G-C</v>
      </c>
      <c r="I2070" s="24" t="n">
        <f aca="false">(F2070="G")+(G2070="G")</f>
        <v>1</v>
      </c>
      <c r="J2070" s="24" t="n">
        <f aca="false">(F2070="C")+(G2070="C")</f>
        <v>1</v>
      </c>
      <c r="K2070" s="25" t="n">
        <f aca="false">I2070+J2070</f>
        <v>2</v>
      </c>
    </row>
    <row r="2071" customFormat="false" ht="15" hidden="false" customHeight="false" outlineLevel="0" collapsed="false">
      <c r="A2071" s="24" t="s">
        <v>110</v>
      </c>
      <c r="B2071" s="24" t="s">
        <v>530</v>
      </c>
      <c r="C2071" s="24" t="s">
        <v>535</v>
      </c>
      <c r="D2071" s="24" t="n">
        <f aca="false">IFERROR(INDEX(Positions!$D$2:$D$6912,MATCH($A2071&amp;"|26",Positions!$A$2:$A$6912,0)),"-")</f>
        <v>25</v>
      </c>
      <c r="E2071" s="24" t="n">
        <f aca="false">IFERROR(INDEX(Positions!$D$2:$D$6912,MATCH($A2071&amp;"|44",Positions!$A$2:$A$6912,0)),"-")</f>
        <v>43</v>
      </c>
      <c r="F2071" s="24" t="str">
        <f aca="false">IFERROR(INDEX(Positions!$E$2:$E$6912,MATCH($A2071&amp;"|26",Positions!$A$2:$A$6912,0)),"-")</f>
        <v>G</v>
      </c>
      <c r="G2071" s="24" t="str">
        <f aca="false">IFERROR(INDEX(Positions!$E$2:$E$6912,MATCH($A2071&amp;"|44",Positions!$A$2:$A$6912,0)),"-")</f>
        <v>A</v>
      </c>
      <c r="H2071" s="25" t="str">
        <f aca="false">F2071&amp;"-"&amp;G2071</f>
        <v>G-A</v>
      </c>
      <c r="I2071" s="24" t="n">
        <f aca="false">(F2071="G")+(G2071="G")</f>
        <v>1</v>
      </c>
      <c r="J2071" s="24" t="n">
        <f aca="false">(F2071="C")+(G2071="C")</f>
        <v>0</v>
      </c>
      <c r="K2071" s="25" t="n">
        <f aca="false">I2071+J2071</f>
        <v>1</v>
      </c>
    </row>
    <row r="2072" customFormat="false" ht="15" hidden="false" customHeight="false" outlineLevel="0" collapsed="false">
      <c r="A2072" s="24" t="s">
        <v>110</v>
      </c>
      <c r="B2072" s="24" t="s">
        <v>530</v>
      </c>
      <c r="C2072" s="24" t="s">
        <v>536</v>
      </c>
      <c r="D2072" s="24" t="n">
        <f aca="false">IFERROR(INDEX(Positions!$D$2:$D$6912,MATCH($A2072&amp;"|32",Positions!$A$2:$A$6912,0)),"-")</f>
        <v>31</v>
      </c>
      <c r="E2072" s="24" t="n">
        <f aca="false">IFERROR(INDEX(Positions!$D$2:$D$6912,MATCH($A2072&amp;"|38",Positions!$A$2:$A$6912,0)),"-")</f>
        <v>37</v>
      </c>
      <c r="F2072" s="24" t="str">
        <f aca="false">IFERROR(INDEX(Positions!$E$2:$E$6912,MATCH($A2072&amp;"|32",Positions!$A$2:$A$6912,0)),"-")</f>
        <v>C</v>
      </c>
      <c r="G2072" s="24" t="str">
        <f aca="false">IFERROR(INDEX(Positions!$E$2:$E$6912,MATCH($A2072&amp;"|38",Positions!$A$2:$A$6912,0)),"-")</f>
        <v>A</v>
      </c>
      <c r="H2072" s="25" t="str">
        <f aca="false">F2072&amp;"-"&amp;G2072</f>
        <v>C-A</v>
      </c>
      <c r="I2072" s="24" t="n">
        <f aca="false">(F2072="G")+(G2072="G")</f>
        <v>0</v>
      </c>
      <c r="J2072" s="24" t="n">
        <f aca="false">(F2072="C")+(G2072="C")</f>
        <v>1</v>
      </c>
      <c r="K2072" s="25" t="n">
        <f aca="false">I2072+J2072</f>
        <v>1</v>
      </c>
    </row>
    <row r="2073" customFormat="false" ht="15" hidden="false" customHeight="false" outlineLevel="0" collapsed="false">
      <c r="A2073" s="24" t="s">
        <v>110</v>
      </c>
      <c r="B2073" s="24" t="s">
        <v>530</v>
      </c>
      <c r="C2073" s="24" t="s">
        <v>537</v>
      </c>
      <c r="D2073" s="24" t="n">
        <f aca="false">IFERROR(INDEX(Positions!$D$2:$D$6912,MATCH($A2073&amp;"|54",Positions!$A$2:$A$6912,0)),"-")</f>
        <v>53</v>
      </c>
      <c r="E2073" s="24" t="n">
        <f aca="false">IFERROR(INDEX(Positions!$D$2:$D$6912,MATCH($A2073&amp;"|58",Positions!$A$2:$A$6912,0)),"-")</f>
        <v>57</v>
      </c>
      <c r="F2073" s="24" t="str">
        <f aca="false">IFERROR(INDEX(Positions!$E$2:$E$6912,MATCH($A2073&amp;"|54",Positions!$A$2:$A$6912,0)),"-")</f>
        <v>A</v>
      </c>
      <c r="G2073" s="24" t="str">
        <f aca="false">IFERROR(INDEX(Positions!$E$2:$E$6912,MATCH($A2073&amp;"|58",Positions!$A$2:$A$6912,0)),"-")</f>
        <v>A</v>
      </c>
      <c r="H2073" s="25" t="str">
        <f aca="false">F2073&amp;"-"&amp;G2073</f>
        <v>A-A</v>
      </c>
      <c r="I2073" s="24" t="n">
        <f aca="false">(F2073="G")+(G2073="G")</f>
        <v>0</v>
      </c>
      <c r="J2073" s="24" t="n">
        <f aca="false">(F2073="C")+(G2073="C")</f>
        <v>0</v>
      </c>
      <c r="K2073" s="25" t="n">
        <f aca="false">I2073+J2073</f>
        <v>0</v>
      </c>
    </row>
    <row r="2074" customFormat="false" ht="15" hidden="false" customHeight="false" outlineLevel="0" collapsed="false">
      <c r="A2074" s="4" t="s">
        <v>111</v>
      </c>
      <c r="B2074" s="4" t="s">
        <v>412</v>
      </c>
      <c r="C2074" s="4" t="s">
        <v>517</v>
      </c>
      <c r="D2074" s="4" t="n">
        <f aca="false">IFERROR(INDEX(Positions!$D$2:$D$6912,MATCH($A2074&amp;"|1",Positions!$A$2:$A$6912,0)),"-")</f>
        <v>1</v>
      </c>
      <c r="E2074" s="4" t="n">
        <f aca="false">IFERROR(INDEX(Positions!$D$2:$D$6912,MATCH($A2074&amp;"|72",Positions!$A$2:$A$6912,0)),"-")</f>
        <v>73</v>
      </c>
      <c r="F2074" s="4" t="str">
        <f aca="false">IFERROR(INDEX(Positions!$E$2:$E$6912,MATCH($A2074&amp;"|1",Positions!$A$2:$A$6912,0)),"-")</f>
        <v>A</v>
      </c>
      <c r="G2074" s="4" t="str">
        <f aca="false">IFERROR(INDEX(Positions!$E$2:$E$6912,MATCH($A2074&amp;"|72",Positions!$A$2:$A$6912,0)),"-")</f>
        <v>U</v>
      </c>
      <c r="H2074" s="3" t="str">
        <f aca="false">F2074&amp;"-"&amp;G2074</f>
        <v>A-U</v>
      </c>
      <c r="I2074" s="4" t="n">
        <f aca="false">(F2074="G")+(G2074="G")</f>
        <v>0</v>
      </c>
      <c r="J2074" s="4" t="n">
        <f aca="false">(F2074="C")+(G2074="C")</f>
        <v>0</v>
      </c>
      <c r="K2074" s="3" t="n">
        <f aca="false">I2074+J2074</f>
        <v>0</v>
      </c>
    </row>
    <row r="2075" customFormat="false" ht="15" hidden="false" customHeight="false" outlineLevel="0" collapsed="false">
      <c r="A2075" s="4" t="s">
        <v>111</v>
      </c>
      <c r="B2075" s="4" t="s">
        <v>412</v>
      </c>
      <c r="C2075" s="4" t="s">
        <v>518</v>
      </c>
      <c r="D2075" s="4" t="n">
        <f aca="false">IFERROR(INDEX(Positions!$D$2:$D$6912,MATCH($A2075&amp;"|2",Positions!$A$2:$A$6912,0)),"-")</f>
        <v>2</v>
      </c>
      <c r="E2075" s="4" t="n">
        <f aca="false">IFERROR(INDEX(Positions!$D$2:$D$6912,MATCH($A2075&amp;"|71",Positions!$A$2:$A$6912,0)),"-")</f>
        <v>72</v>
      </c>
      <c r="F2075" s="4" t="str">
        <f aca="false">IFERROR(INDEX(Positions!$E$2:$E$6912,MATCH($A2075&amp;"|2",Positions!$A$2:$A$6912,0)),"-")</f>
        <v>G</v>
      </c>
      <c r="G2075" s="4" t="str">
        <f aca="false">IFERROR(INDEX(Positions!$E$2:$E$6912,MATCH($A2075&amp;"|71",Positions!$A$2:$A$6912,0)),"-")</f>
        <v>C</v>
      </c>
      <c r="H2075" s="3" t="str">
        <f aca="false">F2075&amp;"-"&amp;G2075</f>
        <v>G-C</v>
      </c>
      <c r="I2075" s="4" t="n">
        <f aca="false">(F2075="G")+(G2075="G")</f>
        <v>1</v>
      </c>
      <c r="J2075" s="4" t="n">
        <f aca="false">(F2075="C")+(G2075="C")</f>
        <v>1</v>
      </c>
      <c r="K2075" s="3" t="n">
        <f aca="false">I2075+J2075</f>
        <v>2</v>
      </c>
    </row>
    <row r="2076" customFormat="false" ht="15" hidden="false" customHeight="false" outlineLevel="0" collapsed="false">
      <c r="A2076" s="4" t="s">
        <v>111</v>
      </c>
      <c r="B2076" s="4" t="s">
        <v>412</v>
      </c>
      <c r="C2076" s="4" t="s">
        <v>386</v>
      </c>
      <c r="D2076" s="4" t="n">
        <f aca="false">IFERROR(INDEX(Positions!$D$2:$D$6912,MATCH($A2076&amp;"|3",Positions!$A$2:$A$6912,0)),"-")</f>
        <v>3</v>
      </c>
      <c r="E2076" s="4" t="n">
        <f aca="false">IFERROR(INDEX(Positions!$D$2:$D$6912,MATCH($A2076&amp;"|70",Positions!$A$2:$A$6912,0)),"-")</f>
        <v>71</v>
      </c>
      <c r="F2076" s="4" t="str">
        <f aca="false">IFERROR(INDEX(Positions!$E$2:$E$6912,MATCH($A2076&amp;"|3",Positions!$A$2:$A$6912,0)),"-")</f>
        <v>C</v>
      </c>
      <c r="G2076" s="4" t="str">
        <f aca="false">IFERROR(INDEX(Positions!$E$2:$E$6912,MATCH($A2076&amp;"|70",Positions!$A$2:$A$6912,0)),"-")</f>
        <v>G</v>
      </c>
      <c r="H2076" s="3" t="str">
        <f aca="false">F2076&amp;"-"&amp;G2076</f>
        <v>C-G</v>
      </c>
      <c r="I2076" s="4" t="n">
        <f aca="false">(F2076="G")+(G2076="G")</f>
        <v>1</v>
      </c>
      <c r="J2076" s="4" t="n">
        <f aca="false">(F2076="C")+(G2076="C")</f>
        <v>1</v>
      </c>
      <c r="K2076" s="3" t="n">
        <f aca="false">I2076+J2076</f>
        <v>2</v>
      </c>
    </row>
    <row r="2077" customFormat="false" ht="15" hidden="false" customHeight="false" outlineLevel="0" collapsed="false">
      <c r="A2077" s="4" t="s">
        <v>111</v>
      </c>
      <c r="B2077" s="4" t="s">
        <v>412</v>
      </c>
      <c r="C2077" s="4" t="s">
        <v>519</v>
      </c>
      <c r="D2077" s="4" t="n">
        <f aca="false">IFERROR(INDEX(Positions!$D$2:$D$6912,MATCH($A2077&amp;"|4",Positions!$A$2:$A$6912,0)),"-")</f>
        <v>4</v>
      </c>
      <c r="E2077" s="4" t="n">
        <f aca="false">IFERROR(INDEX(Positions!$D$2:$D$6912,MATCH($A2077&amp;"|69",Positions!$A$2:$A$6912,0)),"-")</f>
        <v>70</v>
      </c>
      <c r="F2077" s="4" t="str">
        <f aca="false">IFERROR(INDEX(Positions!$E$2:$E$6912,MATCH($A2077&amp;"|4",Positions!$A$2:$A$6912,0)),"-")</f>
        <v>G</v>
      </c>
      <c r="G2077" s="4" t="str">
        <f aca="false">IFERROR(INDEX(Positions!$E$2:$E$6912,MATCH($A2077&amp;"|69",Positions!$A$2:$A$6912,0)),"-")</f>
        <v>C</v>
      </c>
      <c r="H2077" s="3" t="str">
        <f aca="false">F2077&amp;"-"&amp;G2077</f>
        <v>G-C</v>
      </c>
      <c r="I2077" s="4" t="n">
        <f aca="false">(F2077="G")+(G2077="G")</f>
        <v>1</v>
      </c>
      <c r="J2077" s="4" t="n">
        <f aca="false">(F2077="C")+(G2077="C")</f>
        <v>1</v>
      </c>
      <c r="K2077" s="3" t="n">
        <f aca="false">I2077+J2077</f>
        <v>2</v>
      </c>
    </row>
    <row r="2078" customFormat="false" ht="15" hidden="false" customHeight="false" outlineLevel="0" collapsed="false">
      <c r="A2078" s="4" t="s">
        <v>111</v>
      </c>
      <c r="B2078" s="4" t="s">
        <v>412</v>
      </c>
      <c r="C2078" s="4" t="s">
        <v>283</v>
      </c>
      <c r="D2078" s="4" t="n">
        <f aca="false">IFERROR(INDEX(Positions!$D$2:$D$6912,MATCH($A2078&amp;"|5",Positions!$A$2:$A$6912,0)),"-")</f>
        <v>5</v>
      </c>
      <c r="E2078" s="4" t="n">
        <f aca="false">IFERROR(INDEX(Positions!$D$2:$D$6912,MATCH($A2078&amp;"|68",Positions!$A$2:$A$6912,0)),"-")</f>
        <v>69</v>
      </c>
      <c r="F2078" s="4" t="str">
        <f aca="false">IFERROR(INDEX(Positions!$E$2:$E$6912,MATCH($A2078&amp;"|5",Positions!$A$2:$A$6912,0)),"-")</f>
        <v>G</v>
      </c>
      <c r="G2078" s="4" t="str">
        <f aca="false">IFERROR(INDEX(Positions!$E$2:$E$6912,MATCH($A2078&amp;"|68",Positions!$A$2:$A$6912,0)),"-")</f>
        <v>C</v>
      </c>
      <c r="H2078" s="3" t="str">
        <f aca="false">F2078&amp;"-"&amp;G2078</f>
        <v>G-C</v>
      </c>
      <c r="I2078" s="4" t="n">
        <f aca="false">(F2078="G")+(G2078="G")</f>
        <v>1</v>
      </c>
      <c r="J2078" s="4" t="n">
        <f aca="false">(F2078="C")+(G2078="C")</f>
        <v>1</v>
      </c>
      <c r="K2078" s="3" t="n">
        <f aca="false">I2078+J2078</f>
        <v>2</v>
      </c>
    </row>
    <row r="2079" customFormat="false" ht="15" hidden="false" customHeight="false" outlineLevel="0" collapsed="false">
      <c r="A2079" s="4" t="s">
        <v>111</v>
      </c>
      <c r="B2079" s="4" t="s">
        <v>412</v>
      </c>
      <c r="C2079" s="4" t="s">
        <v>520</v>
      </c>
      <c r="D2079" s="4" t="n">
        <f aca="false">IFERROR(INDEX(Positions!$D$2:$D$6912,MATCH($A2079&amp;"|6",Positions!$A$2:$A$6912,0)),"-")</f>
        <v>6</v>
      </c>
      <c r="E2079" s="4" t="n">
        <f aca="false">IFERROR(INDEX(Positions!$D$2:$D$6912,MATCH($A2079&amp;"|67",Positions!$A$2:$A$6912,0)),"-")</f>
        <v>68</v>
      </c>
      <c r="F2079" s="4" t="str">
        <f aca="false">IFERROR(INDEX(Positions!$E$2:$E$6912,MATCH($A2079&amp;"|6",Positions!$A$2:$A$6912,0)),"-")</f>
        <v>G</v>
      </c>
      <c r="G2079" s="4" t="str">
        <f aca="false">IFERROR(INDEX(Positions!$E$2:$E$6912,MATCH($A2079&amp;"|67",Positions!$A$2:$A$6912,0)),"-")</f>
        <v>C</v>
      </c>
      <c r="H2079" s="3" t="str">
        <f aca="false">F2079&amp;"-"&amp;G2079</f>
        <v>G-C</v>
      </c>
      <c r="I2079" s="4" t="n">
        <f aca="false">(F2079="G")+(G2079="G")</f>
        <v>1</v>
      </c>
      <c r="J2079" s="4" t="n">
        <f aca="false">(F2079="C")+(G2079="C")</f>
        <v>1</v>
      </c>
      <c r="K2079" s="3" t="n">
        <f aca="false">I2079+J2079</f>
        <v>2</v>
      </c>
    </row>
    <row r="2080" customFormat="false" ht="15" hidden="false" customHeight="false" outlineLevel="0" collapsed="false">
      <c r="A2080" s="4" t="s">
        <v>111</v>
      </c>
      <c r="B2080" s="4" t="s">
        <v>412</v>
      </c>
      <c r="C2080" s="4" t="s">
        <v>521</v>
      </c>
      <c r="D2080" s="4" t="n">
        <f aca="false">IFERROR(INDEX(Positions!$D$2:$D$6912,MATCH($A2080&amp;"|7",Positions!$A$2:$A$6912,0)),"-")</f>
        <v>7</v>
      </c>
      <c r="E2080" s="4" t="n">
        <f aca="false">IFERROR(INDEX(Positions!$D$2:$D$6912,MATCH($A2080&amp;"|66",Positions!$A$2:$A$6912,0)),"-")</f>
        <v>67</v>
      </c>
      <c r="F2080" s="4" t="str">
        <f aca="false">IFERROR(INDEX(Positions!$E$2:$E$6912,MATCH($A2080&amp;"|7",Positions!$A$2:$A$6912,0)),"-")</f>
        <v>G</v>
      </c>
      <c r="G2080" s="4" t="str">
        <f aca="false">IFERROR(INDEX(Positions!$E$2:$E$6912,MATCH($A2080&amp;"|66",Positions!$A$2:$A$6912,0)),"-")</f>
        <v>C</v>
      </c>
      <c r="H2080" s="3" t="str">
        <f aca="false">F2080&amp;"-"&amp;G2080</f>
        <v>G-C</v>
      </c>
      <c r="I2080" s="4" t="n">
        <f aca="false">(F2080="G")+(G2080="G")</f>
        <v>1</v>
      </c>
      <c r="J2080" s="4" t="n">
        <f aca="false">(F2080="C")+(G2080="C")</f>
        <v>1</v>
      </c>
      <c r="K2080" s="3" t="n">
        <f aca="false">I2080+J2080</f>
        <v>2</v>
      </c>
    </row>
    <row r="2081" customFormat="false" ht="15" hidden="false" customHeight="false" outlineLevel="0" collapsed="false">
      <c r="A2081" s="4" t="s">
        <v>111</v>
      </c>
      <c r="B2081" s="4" t="s">
        <v>425</v>
      </c>
      <c r="C2081" s="4" t="s">
        <v>522</v>
      </c>
      <c r="D2081" s="4" t="n">
        <f aca="false">IFERROR(INDEX(Positions!$D$2:$D$6912,MATCH($A2081&amp;"|10",Positions!$A$2:$A$6912,0)),"-")</f>
        <v>10</v>
      </c>
      <c r="E2081" s="4" t="n">
        <f aca="false">IFERROR(INDEX(Positions!$D$2:$D$6912,MATCH($A2081&amp;"|25",Positions!$A$2:$A$6912,0)),"-")</f>
        <v>26</v>
      </c>
      <c r="F2081" s="4" t="str">
        <f aca="false">IFERROR(INDEX(Positions!$E$2:$E$6912,MATCH($A2081&amp;"|10",Positions!$A$2:$A$6912,0)),"-")</f>
        <v>G</v>
      </c>
      <c r="G2081" s="4" t="str">
        <f aca="false">IFERROR(INDEX(Positions!$E$2:$E$6912,MATCH($A2081&amp;"|25",Positions!$A$2:$A$6912,0)),"-")</f>
        <v>C</v>
      </c>
      <c r="H2081" s="3" t="str">
        <f aca="false">F2081&amp;"-"&amp;G2081</f>
        <v>G-C</v>
      </c>
      <c r="I2081" s="4" t="n">
        <f aca="false">(F2081="G")+(G2081="G")</f>
        <v>1</v>
      </c>
      <c r="J2081" s="4" t="n">
        <f aca="false">(F2081="C")+(G2081="C")</f>
        <v>1</v>
      </c>
      <c r="K2081" s="3" t="n">
        <f aca="false">I2081+J2081</f>
        <v>2</v>
      </c>
    </row>
    <row r="2082" customFormat="false" ht="15" hidden="false" customHeight="false" outlineLevel="0" collapsed="false">
      <c r="A2082" s="4" t="s">
        <v>111</v>
      </c>
      <c r="B2082" s="4" t="s">
        <v>425</v>
      </c>
      <c r="C2082" s="4" t="s">
        <v>523</v>
      </c>
      <c r="D2082" s="4" t="n">
        <f aca="false">IFERROR(INDEX(Positions!$D$2:$D$6912,MATCH($A2082&amp;"|11",Positions!$A$2:$A$6912,0)),"-")</f>
        <v>11</v>
      </c>
      <c r="E2082" s="4" t="n">
        <f aca="false">IFERROR(INDEX(Positions!$D$2:$D$6912,MATCH($A2082&amp;"|24",Positions!$A$2:$A$6912,0)),"-")</f>
        <v>25</v>
      </c>
      <c r="F2082" s="4" t="str">
        <f aca="false">IFERROR(INDEX(Positions!$E$2:$E$6912,MATCH($A2082&amp;"|11",Positions!$A$2:$A$6912,0)),"-")</f>
        <v>G</v>
      </c>
      <c r="G2082" s="4" t="str">
        <f aca="false">IFERROR(INDEX(Positions!$E$2:$E$6912,MATCH($A2082&amp;"|24",Positions!$A$2:$A$6912,0)),"-")</f>
        <v>C</v>
      </c>
      <c r="H2082" s="3" t="str">
        <f aca="false">F2082&amp;"-"&amp;G2082</f>
        <v>G-C</v>
      </c>
      <c r="I2082" s="4" t="n">
        <f aca="false">(F2082="G")+(G2082="G")</f>
        <v>1</v>
      </c>
      <c r="J2082" s="4" t="n">
        <f aca="false">(F2082="C")+(G2082="C")</f>
        <v>1</v>
      </c>
      <c r="K2082" s="3" t="n">
        <f aca="false">I2082+J2082</f>
        <v>2</v>
      </c>
    </row>
    <row r="2083" customFormat="false" ht="15" hidden="false" customHeight="false" outlineLevel="0" collapsed="false">
      <c r="A2083" s="4" t="s">
        <v>111</v>
      </c>
      <c r="B2083" s="4" t="s">
        <v>425</v>
      </c>
      <c r="C2083" s="4" t="s">
        <v>250</v>
      </c>
      <c r="D2083" s="4" t="n">
        <f aca="false">IFERROR(INDEX(Positions!$D$2:$D$6912,MATCH($A2083&amp;"|12",Positions!$A$2:$A$6912,0)),"-")</f>
        <v>12</v>
      </c>
      <c r="E2083" s="4" t="n">
        <f aca="false">IFERROR(INDEX(Positions!$D$2:$D$6912,MATCH($A2083&amp;"|23",Positions!$A$2:$A$6912,0)),"-")</f>
        <v>24</v>
      </c>
      <c r="F2083" s="4" t="str">
        <f aca="false">IFERROR(INDEX(Positions!$E$2:$E$6912,MATCH($A2083&amp;"|12",Positions!$A$2:$A$6912,0)),"-")</f>
        <v>G</v>
      </c>
      <c r="G2083" s="4" t="str">
        <f aca="false">IFERROR(INDEX(Positions!$E$2:$E$6912,MATCH($A2083&amp;"|23",Positions!$A$2:$A$6912,0)),"-")</f>
        <v>U</v>
      </c>
      <c r="H2083" s="3" t="str">
        <f aca="false">F2083&amp;"-"&amp;G2083</f>
        <v>G-U</v>
      </c>
      <c r="I2083" s="4" t="n">
        <f aca="false">(F2083="G")+(G2083="G")</f>
        <v>1</v>
      </c>
      <c r="J2083" s="4" t="n">
        <f aca="false">(F2083="C")+(G2083="C")</f>
        <v>0</v>
      </c>
      <c r="K2083" s="3" t="n">
        <f aca="false">I2083+J2083</f>
        <v>1</v>
      </c>
    </row>
    <row r="2084" customFormat="false" ht="15" hidden="false" customHeight="false" outlineLevel="0" collapsed="false">
      <c r="A2084" s="4" t="s">
        <v>111</v>
      </c>
      <c r="B2084" s="4" t="s">
        <v>425</v>
      </c>
      <c r="C2084" s="4" t="s">
        <v>154</v>
      </c>
      <c r="D2084" s="4" t="n">
        <f aca="false">IFERROR(INDEX(Positions!$D$2:$D$6912,MATCH($A2084&amp;"|13",Positions!$A$2:$A$6912,0)),"-")</f>
        <v>13</v>
      </c>
      <c r="E2084" s="4" t="n">
        <f aca="false">IFERROR(INDEX(Positions!$D$2:$D$6912,MATCH($A2084&amp;"|22",Positions!$A$2:$A$6912,0)),"-")</f>
        <v>23</v>
      </c>
      <c r="F2084" s="4" t="str">
        <f aca="false">IFERROR(INDEX(Positions!$E$2:$E$6912,MATCH($A2084&amp;"|13",Positions!$A$2:$A$6912,0)),"-")</f>
        <v>U</v>
      </c>
      <c r="G2084" s="4" t="str">
        <f aca="false">IFERROR(INDEX(Positions!$E$2:$E$6912,MATCH($A2084&amp;"|22",Positions!$A$2:$A$6912,0)),"-")</f>
        <v>A</v>
      </c>
      <c r="H2084" s="3" t="str">
        <f aca="false">F2084&amp;"-"&amp;G2084</f>
        <v>U-A</v>
      </c>
      <c r="I2084" s="4" t="n">
        <f aca="false">(F2084="G")+(G2084="G")</f>
        <v>0</v>
      </c>
      <c r="J2084" s="4" t="n">
        <f aca="false">(F2084="C")+(G2084="C")</f>
        <v>0</v>
      </c>
      <c r="K2084" s="3" t="n">
        <f aca="false">I2084+J2084</f>
        <v>0</v>
      </c>
    </row>
    <row r="2085" customFormat="false" ht="15" hidden="false" customHeight="false" outlineLevel="0" collapsed="false">
      <c r="A2085" s="4" t="s">
        <v>111</v>
      </c>
      <c r="B2085" s="4" t="s">
        <v>446</v>
      </c>
      <c r="C2085" s="4" t="s">
        <v>524</v>
      </c>
      <c r="D2085" s="4" t="n">
        <f aca="false">IFERROR(INDEX(Positions!$D$2:$D$6912,MATCH($A2085&amp;"|27",Positions!$A$2:$A$6912,0)),"-")</f>
        <v>28</v>
      </c>
      <c r="E2085" s="4" t="n">
        <f aca="false">IFERROR(INDEX(Positions!$D$2:$D$6912,MATCH($A2085&amp;"|43",Positions!$A$2:$A$6912,0)),"-")</f>
        <v>44</v>
      </c>
      <c r="F2085" s="4" t="str">
        <f aca="false">IFERROR(INDEX(Positions!$E$2:$E$6912,MATCH($A2085&amp;"|27",Positions!$A$2:$A$6912,0)),"-")</f>
        <v>A</v>
      </c>
      <c r="G2085" s="4" t="str">
        <f aca="false">IFERROR(INDEX(Positions!$E$2:$E$6912,MATCH($A2085&amp;"|43",Positions!$A$2:$A$6912,0)),"-")</f>
        <v>U</v>
      </c>
      <c r="H2085" s="3" t="str">
        <f aca="false">F2085&amp;"-"&amp;G2085</f>
        <v>A-U</v>
      </c>
      <c r="I2085" s="4" t="n">
        <f aca="false">(F2085="G")+(G2085="G")</f>
        <v>0</v>
      </c>
      <c r="J2085" s="4" t="n">
        <f aca="false">(F2085="C")+(G2085="C")</f>
        <v>0</v>
      </c>
      <c r="K2085" s="3" t="n">
        <f aca="false">I2085+J2085</f>
        <v>0</v>
      </c>
    </row>
    <row r="2086" customFormat="false" ht="15" hidden="false" customHeight="false" outlineLevel="0" collapsed="false">
      <c r="A2086" s="4" t="s">
        <v>111</v>
      </c>
      <c r="B2086" s="4" t="s">
        <v>446</v>
      </c>
      <c r="C2086" s="4" t="s">
        <v>525</v>
      </c>
      <c r="D2086" s="4" t="n">
        <f aca="false">IFERROR(INDEX(Positions!$D$2:$D$6912,MATCH($A2086&amp;"|28",Positions!$A$2:$A$6912,0)),"-")</f>
        <v>29</v>
      </c>
      <c r="E2086" s="4" t="n">
        <f aca="false">IFERROR(INDEX(Positions!$D$2:$D$6912,MATCH($A2086&amp;"|42",Positions!$A$2:$A$6912,0)),"-")</f>
        <v>43</v>
      </c>
      <c r="F2086" s="4" t="str">
        <f aca="false">IFERROR(INDEX(Positions!$E$2:$E$6912,MATCH($A2086&amp;"|28",Positions!$A$2:$A$6912,0)),"-")</f>
        <v>U</v>
      </c>
      <c r="G2086" s="4" t="str">
        <f aca="false">IFERROR(INDEX(Positions!$E$2:$E$6912,MATCH($A2086&amp;"|42",Positions!$A$2:$A$6912,0)),"-")</f>
        <v>G</v>
      </c>
      <c r="H2086" s="3" t="str">
        <f aca="false">F2086&amp;"-"&amp;G2086</f>
        <v>U-G</v>
      </c>
      <c r="I2086" s="4" t="n">
        <f aca="false">(F2086="G")+(G2086="G")</f>
        <v>1</v>
      </c>
      <c r="J2086" s="4" t="n">
        <f aca="false">(F2086="C")+(G2086="C")</f>
        <v>0</v>
      </c>
      <c r="K2086" s="3" t="n">
        <f aca="false">I2086+J2086</f>
        <v>1</v>
      </c>
    </row>
    <row r="2087" customFormat="false" ht="15" hidden="false" customHeight="false" outlineLevel="0" collapsed="false">
      <c r="A2087" s="4" t="s">
        <v>111</v>
      </c>
      <c r="B2087" s="4" t="s">
        <v>446</v>
      </c>
      <c r="C2087" s="4" t="s">
        <v>256</v>
      </c>
      <c r="D2087" s="4" t="n">
        <f aca="false">IFERROR(INDEX(Positions!$D$2:$D$6912,MATCH($A2087&amp;"|29",Positions!$A$2:$A$6912,0)),"-")</f>
        <v>30</v>
      </c>
      <c r="E2087" s="4" t="n">
        <f aca="false">IFERROR(INDEX(Positions!$D$2:$D$6912,MATCH($A2087&amp;"|41",Positions!$A$2:$A$6912,0)),"-")</f>
        <v>42</v>
      </c>
      <c r="F2087" s="4" t="str">
        <f aca="false">IFERROR(INDEX(Positions!$E$2:$E$6912,MATCH($A2087&amp;"|29",Positions!$A$2:$A$6912,0)),"-")</f>
        <v>G</v>
      </c>
      <c r="G2087" s="4" t="str">
        <f aca="false">IFERROR(INDEX(Positions!$E$2:$E$6912,MATCH($A2087&amp;"|41",Positions!$A$2:$A$6912,0)),"-")</f>
        <v>C</v>
      </c>
      <c r="H2087" s="3" t="str">
        <f aca="false">F2087&amp;"-"&amp;G2087</f>
        <v>G-C</v>
      </c>
      <c r="I2087" s="4" t="n">
        <f aca="false">(F2087="G")+(G2087="G")</f>
        <v>1</v>
      </c>
      <c r="J2087" s="4" t="n">
        <f aca="false">(F2087="C")+(G2087="C")</f>
        <v>1</v>
      </c>
      <c r="K2087" s="3" t="n">
        <f aca="false">I2087+J2087</f>
        <v>2</v>
      </c>
    </row>
    <row r="2088" customFormat="false" ht="15" hidden="false" customHeight="false" outlineLevel="0" collapsed="false">
      <c r="A2088" s="4" t="s">
        <v>111</v>
      </c>
      <c r="B2088" s="4" t="s">
        <v>446</v>
      </c>
      <c r="C2088" s="4" t="s">
        <v>526</v>
      </c>
      <c r="D2088" s="4" t="n">
        <f aca="false">IFERROR(INDEX(Positions!$D$2:$D$6912,MATCH($A2088&amp;"|30",Positions!$A$2:$A$6912,0)),"-")</f>
        <v>31</v>
      </c>
      <c r="E2088" s="4" t="n">
        <f aca="false">IFERROR(INDEX(Positions!$D$2:$D$6912,MATCH($A2088&amp;"|40",Positions!$A$2:$A$6912,0)),"-")</f>
        <v>41</v>
      </c>
      <c r="F2088" s="4" t="str">
        <f aca="false">IFERROR(INDEX(Positions!$E$2:$E$6912,MATCH($A2088&amp;"|30",Positions!$A$2:$A$6912,0)),"-")</f>
        <v>G</v>
      </c>
      <c r="G2088" s="4" t="str">
        <f aca="false">IFERROR(INDEX(Positions!$E$2:$E$6912,MATCH($A2088&amp;"|40",Positions!$A$2:$A$6912,0)),"-")</f>
        <v>C</v>
      </c>
      <c r="H2088" s="3" t="str">
        <f aca="false">F2088&amp;"-"&amp;G2088</f>
        <v>G-C</v>
      </c>
      <c r="I2088" s="4" t="n">
        <f aca="false">(F2088="G")+(G2088="G")</f>
        <v>1</v>
      </c>
      <c r="J2088" s="4" t="n">
        <f aca="false">(F2088="C")+(G2088="C")</f>
        <v>1</v>
      </c>
      <c r="K2088" s="3" t="n">
        <f aca="false">I2088+J2088</f>
        <v>2</v>
      </c>
    </row>
    <row r="2089" customFormat="false" ht="15" hidden="false" customHeight="false" outlineLevel="0" collapsed="false">
      <c r="A2089" s="4" t="s">
        <v>111</v>
      </c>
      <c r="B2089" s="4" t="s">
        <v>446</v>
      </c>
      <c r="C2089" s="4" t="s">
        <v>273</v>
      </c>
      <c r="D2089" s="4" t="n">
        <f aca="false">IFERROR(INDEX(Positions!$D$2:$D$6912,MATCH($A2089&amp;"|31",Positions!$A$2:$A$6912,0)),"-")</f>
        <v>32</v>
      </c>
      <c r="E2089" s="4" t="n">
        <f aca="false">IFERROR(INDEX(Positions!$D$2:$D$6912,MATCH($A2089&amp;"|39",Positions!$A$2:$A$6912,0)),"-")</f>
        <v>40</v>
      </c>
      <c r="F2089" s="4" t="str">
        <f aca="false">IFERROR(INDEX(Positions!$E$2:$E$6912,MATCH($A2089&amp;"|31",Positions!$A$2:$A$6912,0)),"-")</f>
        <v>G</v>
      </c>
      <c r="G2089" s="4" t="str">
        <f aca="false">IFERROR(INDEX(Positions!$E$2:$E$6912,MATCH($A2089&amp;"|39",Positions!$A$2:$A$6912,0)),"-")</f>
        <v>C</v>
      </c>
      <c r="H2089" s="3" t="str">
        <f aca="false">F2089&amp;"-"&amp;G2089</f>
        <v>G-C</v>
      </c>
      <c r="I2089" s="4" t="n">
        <f aca="false">(F2089="G")+(G2089="G")</f>
        <v>1</v>
      </c>
      <c r="J2089" s="4" t="n">
        <f aca="false">(F2089="C")+(G2089="C")</f>
        <v>1</v>
      </c>
      <c r="K2089" s="3" t="n">
        <f aca="false">I2089+J2089</f>
        <v>2</v>
      </c>
    </row>
    <row r="2090" customFormat="false" ht="15" hidden="false" customHeight="false" outlineLevel="0" collapsed="false">
      <c r="A2090" s="4" t="s">
        <v>111</v>
      </c>
      <c r="B2090" s="4" t="s">
        <v>471</v>
      </c>
      <c r="C2090" s="4" t="s">
        <v>367</v>
      </c>
      <c r="D2090" s="4" t="n">
        <f aca="false">IFERROR(INDEX(Positions!$D$2:$D$6912,MATCH($A2090&amp;"|49",Positions!$A$2:$A$6912,0)),"-")</f>
        <v>50</v>
      </c>
      <c r="E2090" s="4" t="n">
        <f aca="false">IFERROR(INDEX(Positions!$D$2:$D$6912,MATCH($A2090&amp;"|65",Positions!$A$2:$A$6912,0)),"-")</f>
        <v>66</v>
      </c>
      <c r="F2090" s="4" t="str">
        <f aca="false">IFERROR(INDEX(Positions!$E$2:$E$6912,MATCH($A2090&amp;"|49",Positions!$A$2:$A$6912,0)),"-")</f>
        <v>G</v>
      </c>
      <c r="G2090" s="4" t="str">
        <f aca="false">IFERROR(INDEX(Positions!$E$2:$E$6912,MATCH($A2090&amp;"|65",Positions!$A$2:$A$6912,0)),"-")</f>
        <v>C</v>
      </c>
      <c r="H2090" s="3" t="str">
        <f aca="false">F2090&amp;"-"&amp;G2090</f>
        <v>G-C</v>
      </c>
      <c r="I2090" s="4" t="n">
        <f aca="false">(F2090="G")+(G2090="G")</f>
        <v>1</v>
      </c>
      <c r="J2090" s="4" t="n">
        <f aca="false">(F2090="C")+(G2090="C")</f>
        <v>1</v>
      </c>
      <c r="K2090" s="3" t="n">
        <f aca="false">I2090+J2090</f>
        <v>2</v>
      </c>
    </row>
    <row r="2091" customFormat="false" ht="15" hidden="false" customHeight="false" outlineLevel="0" collapsed="false">
      <c r="A2091" s="4" t="s">
        <v>111</v>
      </c>
      <c r="B2091" s="4" t="s">
        <v>471</v>
      </c>
      <c r="C2091" s="4" t="s">
        <v>233</v>
      </c>
      <c r="D2091" s="4" t="n">
        <f aca="false">IFERROR(INDEX(Positions!$D$2:$D$6912,MATCH($A2091&amp;"|50",Positions!$A$2:$A$6912,0)),"-")</f>
        <v>51</v>
      </c>
      <c r="E2091" s="4" t="n">
        <f aca="false">IFERROR(INDEX(Positions!$D$2:$D$6912,MATCH($A2091&amp;"|64",Positions!$A$2:$A$6912,0)),"-")</f>
        <v>65</v>
      </c>
      <c r="F2091" s="4" t="str">
        <f aca="false">IFERROR(INDEX(Positions!$E$2:$E$6912,MATCH($A2091&amp;"|50",Positions!$A$2:$A$6912,0)),"-")</f>
        <v>A</v>
      </c>
      <c r="G2091" s="4" t="str">
        <f aca="false">IFERROR(INDEX(Positions!$E$2:$E$6912,MATCH($A2091&amp;"|64",Positions!$A$2:$A$6912,0)),"-")</f>
        <v>U</v>
      </c>
      <c r="H2091" s="3" t="str">
        <f aca="false">F2091&amp;"-"&amp;G2091</f>
        <v>A-U</v>
      </c>
      <c r="I2091" s="4" t="n">
        <f aca="false">(F2091="G")+(G2091="G")</f>
        <v>0</v>
      </c>
      <c r="J2091" s="4" t="n">
        <f aca="false">(F2091="C")+(G2091="C")</f>
        <v>0</v>
      </c>
      <c r="K2091" s="3" t="n">
        <f aca="false">I2091+J2091</f>
        <v>0</v>
      </c>
    </row>
    <row r="2092" customFormat="false" ht="15" hidden="false" customHeight="false" outlineLevel="0" collapsed="false">
      <c r="A2092" s="4" t="s">
        <v>111</v>
      </c>
      <c r="B2092" s="4" t="s">
        <v>471</v>
      </c>
      <c r="C2092" s="4" t="s">
        <v>527</v>
      </c>
      <c r="D2092" s="4" t="n">
        <f aca="false">IFERROR(INDEX(Positions!$D$2:$D$6912,MATCH($A2092&amp;"|51",Positions!$A$2:$A$6912,0)),"-")</f>
        <v>52</v>
      </c>
      <c r="E2092" s="4" t="n">
        <f aca="false">IFERROR(INDEX(Positions!$D$2:$D$6912,MATCH($A2092&amp;"|63",Positions!$A$2:$A$6912,0)),"-")</f>
        <v>64</v>
      </c>
      <c r="F2092" s="4" t="str">
        <f aca="false">IFERROR(INDEX(Positions!$E$2:$E$6912,MATCH($A2092&amp;"|51",Positions!$A$2:$A$6912,0)),"-")</f>
        <v>U</v>
      </c>
      <c r="G2092" s="4" t="str">
        <f aca="false">IFERROR(INDEX(Positions!$E$2:$E$6912,MATCH($A2092&amp;"|63",Positions!$A$2:$A$6912,0)),"-")</f>
        <v>A</v>
      </c>
      <c r="H2092" s="3" t="str">
        <f aca="false">F2092&amp;"-"&amp;G2092</f>
        <v>U-A</v>
      </c>
      <c r="I2092" s="4" t="n">
        <f aca="false">(F2092="G")+(G2092="G")</f>
        <v>0</v>
      </c>
      <c r="J2092" s="4" t="n">
        <f aca="false">(F2092="C")+(G2092="C")</f>
        <v>0</v>
      </c>
      <c r="K2092" s="3" t="n">
        <f aca="false">I2092+J2092</f>
        <v>0</v>
      </c>
    </row>
    <row r="2093" customFormat="false" ht="15" hidden="false" customHeight="false" outlineLevel="0" collapsed="false">
      <c r="A2093" s="4" t="s">
        <v>111</v>
      </c>
      <c r="B2093" s="4" t="s">
        <v>471</v>
      </c>
      <c r="C2093" s="4" t="s">
        <v>528</v>
      </c>
      <c r="D2093" s="4" t="n">
        <f aca="false">IFERROR(INDEX(Positions!$D$2:$D$6912,MATCH($A2093&amp;"|52",Positions!$A$2:$A$6912,0)),"-")</f>
        <v>53</v>
      </c>
      <c r="E2093" s="4" t="n">
        <f aca="false">IFERROR(INDEX(Positions!$D$2:$D$6912,MATCH($A2093&amp;"|62",Positions!$A$2:$A$6912,0)),"-")</f>
        <v>63</v>
      </c>
      <c r="F2093" s="4" t="str">
        <f aca="false">IFERROR(INDEX(Positions!$E$2:$E$6912,MATCH($A2093&amp;"|52",Positions!$A$2:$A$6912,0)),"-")</f>
        <v>G</v>
      </c>
      <c r="G2093" s="4" t="str">
        <f aca="false">IFERROR(INDEX(Positions!$E$2:$E$6912,MATCH($A2093&amp;"|62",Positions!$A$2:$A$6912,0)),"-")</f>
        <v>C</v>
      </c>
      <c r="H2093" s="3" t="str">
        <f aca="false">F2093&amp;"-"&amp;G2093</f>
        <v>G-C</v>
      </c>
      <c r="I2093" s="4" t="n">
        <f aca="false">(F2093="G")+(G2093="G")</f>
        <v>1</v>
      </c>
      <c r="J2093" s="4" t="n">
        <f aca="false">(F2093="C")+(G2093="C")</f>
        <v>1</v>
      </c>
      <c r="K2093" s="3" t="n">
        <f aca="false">I2093+J2093</f>
        <v>2</v>
      </c>
    </row>
    <row r="2094" customFormat="false" ht="15" hidden="false" customHeight="false" outlineLevel="0" collapsed="false">
      <c r="A2094" s="4" t="s">
        <v>111</v>
      </c>
      <c r="B2094" s="4" t="s">
        <v>471</v>
      </c>
      <c r="C2094" s="4" t="s">
        <v>529</v>
      </c>
      <c r="D2094" s="4" t="n">
        <f aca="false">IFERROR(INDEX(Positions!$D$2:$D$6912,MATCH($A2094&amp;"|53",Positions!$A$2:$A$6912,0)),"-")</f>
        <v>54</v>
      </c>
      <c r="E2094" s="4" t="n">
        <f aca="false">IFERROR(INDEX(Positions!$D$2:$D$6912,MATCH($A2094&amp;"|61",Positions!$A$2:$A$6912,0)),"-")</f>
        <v>62</v>
      </c>
      <c r="F2094" s="4" t="str">
        <f aca="false">IFERROR(INDEX(Positions!$E$2:$E$6912,MATCH($A2094&amp;"|53",Positions!$A$2:$A$6912,0)),"-")</f>
        <v>G</v>
      </c>
      <c r="G2094" s="4" t="str">
        <f aca="false">IFERROR(INDEX(Positions!$E$2:$E$6912,MATCH($A2094&amp;"|61",Positions!$A$2:$A$6912,0)),"-")</f>
        <v>C</v>
      </c>
      <c r="H2094" s="3" t="str">
        <f aca="false">F2094&amp;"-"&amp;G2094</f>
        <v>G-C</v>
      </c>
      <c r="I2094" s="4" t="n">
        <f aca="false">(F2094="G")+(G2094="G")</f>
        <v>1</v>
      </c>
      <c r="J2094" s="4" t="n">
        <f aca="false">(F2094="C")+(G2094="C")</f>
        <v>1</v>
      </c>
      <c r="K2094" s="3" t="n">
        <f aca="false">I2094+J2094</f>
        <v>2</v>
      </c>
    </row>
    <row r="2095" customFormat="false" ht="15" hidden="false" customHeight="false" outlineLevel="0" collapsed="false">
      <c r="A2095" s="24" t="s">
        <v>111</v>
      </c>
      <c r="B2095" s="24" t="s">
        <v>530</v>
      </c>
      <c r="C2095" s="24" t="s">
        <v>531</v>
      </c>
      <c r="D2095" s="24" t="n">
        <f aca="false">IFERROR(INDEX(Positions!$D$2:$D$6912,MATCH($A2095&amp;"|8",Positions!$A$2:$A$6912,0)),"-")</f>
        <v>8</v>
      </c>
      <c r="E2095" s="24" t="n">
        <f aca="false">IFERROR(INDEX(Positions!$D$2:$D$6912,MATCH($A2095&amp;"|14",Positions!$A$2:$A$6912,0)),"-")</f>
        <v>14</v>
      </c>
      <c r="F2095" s="24" t="str">
        <f aca="false">IFERROR(INDEX(Positions!$E$2:$E$6912,MATCH($A2095&amp;"|8",Positions!$A$2:$A$6912,0)),"-")</f>
        <v>U</v>
      </c>
      <c r="G2095" s="24" t="str">
        <f aca="false">IFERROR(INDEX(Positions!$E$2:$E$6912,MATCH($A2095&amp;"|14",Positions!$A$2:$A$6912,0)),"-")</f>
        <v>A</v>
      </c>
      <c r="H2095" s="25" t="str">
        <f aca="false">F2095&amp;"-"&amp;G2095</f>
        <v>U-A</v>
      </c>
      <c r="I2095" s="24" t="n">
        <f aca="false">(F2095="G")+(G2095="G")</f>
        <v>0</v>
      </c>
      <c r="J2095" s="24" t="n">
        <f aca="false">(F2095="C")+(G2095="C")</f>
        <v>0</v>
      </c>
      <c r="K2095" s="25" t="n">
        <f aca="false">I2095+J2095</f>
        <v>0</v>
      </c>
    </row>
    <row r="2096" customFormat="false" ht="15" hidden="false" customHeight="false" outlineLevel="0" collapsed="false">
      <c r="A2096" s="24" t="s">
        <v>111</v>
      </c>
      <c r="B2096" s="24" t="s">
        <v>530</v>
      </c>
      <c r="C2096" s="24" t="s">
        <v>532</v>
      </c>
      <c r="D2096" s="24" t="n">
        <f aca="false">IFERROR(INDEX(Positions!$D$2:$D$6912,MATCH($A2096&amp;"|15",Positions!$A$2:$A$6912,0)),"-")</f>
        <v>15</v>
      </c>
      <c r="E2096" s="24" t="n">
        <f aca="false">IFERROR(INDEX(Positions!$D$2:$D$6912,MATCH($A2096&amp;"|48",Positions!$A$2:$A$6912,0)),"-")</f>
        <v>49</v>
      </c>
      <c r="F2096" s="24" t="str">
        <f aca="false">IFERROR(INDEX(Positions!$E$2:$E$6912,MATCH($A2096&amp;"|15",Positions!$A$2:$A$6912,0)),"-")</f>
        <v>G</v>
      </c>
      <c r="G2096" s="24" t="str">
        <f aca="false">IFERROR(INDEX(Positions!$E$2:$E$6912,MATCH($A2096&amp;"|48",Positions!$A$2:$A$6912,0)),"-")</f>
        <v>C</v>
      </c>
      <c r="H2096" s="25" t="str">
        <f aca="false">F2096&amp;"-"&amp;G2096</f>
        <v>G-C</v>
      </c>
      <c r="I2096" s="24" t="n">
        <f aca="false">(F2096="G")+(G2096="G")</f>
        <v>1</v>
      </c>
      <c r="J2096" s="24" t="n">
        <f aca="false">(F2096="C")+(G2096="C")</f>
        <v>1</v>
      </c>
      <c r="K2096" s="25" t="n">
        <f aca="false">I2096+J2096</f>
        <v>2</v>
      </c>
    </row>
    <row r="2097" customFormat="false" ht="15" hidden="false" customHeight="false" outlineLevel="0" collapsed="false">
      <c r="A2097" s="24" t="s">
        <v>111</v>
      </c>
      <c r="B2097" s="24" t="s">
        <v>530</v>
      </c>
      <c r="C2097" s="24" t="s">
        <v>533</v>
      </c>
      <c r="D2097" s="24" t="n">
        <f aca="false">IFERROR(INDEX(Positions!$D$2:$D$6912,MATCH($A2097&amp;"|18",Positions!$A$2:$A$6912,0)),"-")</f>
        <v>19</v>
      </c>
      <c r="E2097" s="24" t="n">
        <f aca="false">IFERROR(INDEX(Positions!$D$2:$D$6912,MATCH($A2097&amp;"|55",Positions!$A$2:$A$6912,0)),"-")</f>
        <v>56</v>
      </c>
      <c r="F2097" s="24" t="str">
        <f aca="false">IFERROR(INDEX(Positions!$E$2:$E$6912,MATCH($A2097&amp;"|18",Positions!$A$2:$A$6912,0)),"-")</f>
        <v>G</v>
      </c>
      <c r="G2097" s="24" t="str">
        <f aca="false">IFERROR(INDEX(Positions!$E$2:$E$6912,MATCH($A2097&amp;"|55",Positions!$A$2:$A$6912,0)),"-")</f>
        <v>U</v>
      </c>
      <c r="H2097" s="25" t="str">
        <f aca="false">F2097&amp;"-"&amp;G2097</f>
        <v>G-U</v>
      </c>
      <c r="I2097" s="24" t="n">
        <f aca="false">(F2097="G")+(G2097="G")</f>
        <v>1</v>
      </c>
      <c r="J2097" s="24" t="n">
        <f aca="false">(F2097="C")+(G2097="C")</f>
        <v>0</v>
      </c>
      <c r="K2097" s="25" t="n">
        <f aca="false">I2097+J2097</f>
        <v>1</v>
      </c>
    </row>
    <row r="2098" customFormat="false" ht="15" hidden="false" customHeight="false" outlineLevel="0" collapsed="false">
      <c r="A2098" s="24" t="s">
        <v>111</v>
      </c>
      <c r="B2098" s="24" t="s">
        <v>530</v>
      </c>
      <c r="C2098" s="24" t="s">
        <v>534</v>
      </c>
      <c r="D2098" s="24" t="n">
        <f aca="false">IFERROR(INDEX(Positions!$D$2:$D$6912,MATCH($A2098&amp;"|19",Positions!$A$2:$A$6912,0)),"-")</f>
        <v>20</v>
      </c>
      <c r="E2098" s="24" t="n">
        <f aca="false">IFERROR(INDEX(Positions!$D$2:$D$6912,MATCH($A2098&amp;"|56",Positions!$A$2:$A$6912,0)),"-")</f>
        <v>57</v>
      </c>
      <c r="F2098" s="24" t="str">
        <f aca="false">IFERROR(INDEX(Positions!$E$2:$E$6912,MATCH($A2098&amp;"|19",Positions!$A$2:$A$6912,0)),"-")</f>
        <v>G</v>
      </c>
      <c r="G2098" s="24" t="str">
        <f aca="false">IFERROR(INDEX(Positions!$E$2:$E$6912,MATCH($A2098&amp;"|56",Positions!$A$2:$A$6912,0)),"-")</f>
        <v>C</v>
      </c>
      <c r="H2098" s="25" t="str">
        <f aca="false">F2098&amp;"-"&amp;G2098</f>
        <v>G-C</v>
      </c>
      <c r="I2098" s="24" t="n">
        <f aca="false">(F2098="G")+(G2098="G")</f>
        <v>1</v>
      </c>
      <c r="J2098" s="24" t="n">
        <f aca="false">(F2098="C")+(G2098="C")</f>
        <v>1</v>
      </c>
      <c r="K2098" s="25" t="n">
        <f aca="false">I2098+J2098</f>
        <v>2</v>
      </c>
    </row>
    <row r="2099" customFormat="false" ht="15" hidden="false" customHeight="false" outlineLevel="0" collapsed="false">
      <c r="A2099" s="24" t="s">
        <v>111</v>
      </c>
      <c r="B2099" s="24" t="s">
        <v>530</v>
      </c>
      <c r="C2099" s="24" t="s">
        <v>535</v>
      </c>
      <c r="D2099" s="24" t="n">
        <f aca="false">IFERROR(INDEX(Positions!$D$2:$D$6912,MATCH($A2099&amp;"|26",Positions!$A$2:$A$6912,0)),"-")</f>
        <v>27</v>
      </c>
      <c r="E2099" s="24" t="n">
        <f aca="false">IFERROR(INDEX(Positions!$D$2:$D$6912,MATCH($A2099&amp;"|44",Positions!$A$2:$A$6912,0)),"-")</f>
        <v>45</v>
      </c>
      <c r="F2099" s="24" t="str">
        <f aca="false">IFERROR(INDEX(Positions!$E$2:$E$6912,MATCH($A2099&amp;"|26",Positions!$A$2:$A$6912,0)),"-")</f>
        <v>G</v>
      </c>
      <c r="G2099" s="24" t="str">
        <f aca="false">IFERROR(INDEX(Positions!$E$2:$E$6912,MATCH($A2099&amp;"|44",Positions!$A$2:$A$6912,0)),"-")</f>
        <v>A</v>
      </c>
      <c r="H2099" s="25" t="str">
        <f aca="false">F2099&amp;"-"&amp;G2099</f>
        <v>G-A</v>
      </c>
      <c r="I2099" s="24" t="n">
        <f aca="false">(F2099="G")+(G2099="G")</f>
        <v>1</v>
      </c>
      <c r="J2099" s="24" t="n">
        <f aca="false">(F2099="C")+(G2099="C")</f>
        <v>0</v>
      </c>
      <c r="K2099" s="25" t="n">
        <f aca="false">I2099+J2099</f>
        <v>1</v>
      </c>
    </row>
    <row r="2100" customFormat="false" ht="15" hidden="false" customHeight="false" outlineLevel="0" collapsed="false">
      <c r="A2100" s="24" t="s">
        <v>111</v>
      </c>
      <c r="B2100" s="24" t="s">
        <v>530</v>
      </c>
      <c r="C2100" s="24" t="s">
        <v>536</v>
      </c>
      <c r="D2100" s="24" t="n">
        <f aca="false">IFERROR(INDEX(Positions!$D$2:$D$6912,MATCH($A2100&amp;"|32",Positions!$A$2:$A$6912,0)),"-")</f>
        <v>33</v>
      </c>
      <c r="E2100" s="24" t="n">
        <f aca="false">IFERROR(INDEX(Positions!$D$2:$D$6912,MATCH($A2100&amp;"|38",Positions!$A$2:$A$6912,0)),"-")</f>
        <v>39</v>
      </c>
      <c r="F2100" s="24" t="str">
        <f aca="false">IFERROR(INDEX(Positions!$E$2:$E$6912,MATCH($A2100&amp;"|32",Positions!$A$2:$A$6912,0)),"-")</f>
        <v>C</v>
      </c>
      <c r="G2100" s="24" t="str">
        <f aca="false">IFERROR(INDEX(Positions!$E$2:$E$6912,MATCH($A2100&amp;"|38",Positions!$A$2:$A$6912,0)),"-")</f>
        <v>A</v>
      </c>
      <c r="H2100" s="25" t="str">
        <f aca="false">F2100&amp;"-"&amp;G2100</f>
        <v>C-A</v>
      </c>
      <c r="I2100" s="24" t="n">
        <f aca="false">(F2100="G")+(G2100="G")</f>
        <v>0</v>
      </c>
      <c r="J2100" s="24" t="n">
        <f aca="false">(F2100="C")+(G2100="C")</f>
        <v>1</v>
      </c>
      <c r="K2100" s="25" t="n">
        <f aca="false">I2100+J2100</f>
        <v>1</v>
      </c>
    </row>
    <row r="2101" customFormat="false" ht="15" hidden="false" customHeight="false" outlineLevel="0" collapsed="false">
      <c r="A2101" s="24" t="s">
        <v>111</v>
      </c>
      <c r="B2101" s="24" t="s">
        <v>530</v>
      </c>
      <c r="C2101" s="24" t="s">
        <v>537</v>
      </c>
      <c r="D2101" s="24" t="n">
        <f aca="false">IFERROR(INDEX(Positions!$D$2:$D$6912,MATCH($A2101&amp;"|54",Positions!$A$2:$A$6912,0)),"-")</f>
        <v>55</v>
      </c>
      <c r="E2101" s="24" t="n">
        <f aca="false">IFERROR(INDEX(Positions!$D$2:$D$6912,MATCH($A2101&amp;"|58",Positions!$A$2:$A$6912,0)),"-")</f>
        <v>59</v>
      </c>
      <c r="F2101" s="24" t="str">
        <f aca="false">IFERROR(INDEX(Positions!$E$2:$E$6912,MATCH($A2101&amp;"|54",Positions!$A$2:$A$6912,0)),"-")</f>
        <v>U</v>
      </c>
      <c r="G2101" s="24" t="str">
        <f aca="false">IFERROR(INDEX(Positions!$E$2:$E$6912,MATCH($A2101&amp;"|58",Positions!$A$2:$A$6912,0)),"-")</f>
        <v>A</v>
      </c>
      <c r="H2101" s="25" t="str">
        <f aca="false">F2101&amp;"-"&amp;G2101</f>
        <v>U-A</v>
      </c>
      <c r="I2101" s="24" t="n">
        <f aca="false">(F2101="G")+(G2101="G")</f>
        <v>0</v>
      </c>
      <c r="J2101" s="24" t="n">
        <f aca="false">(F2101="C")+(G2101="C")</f>
        <v>0</v>
      </c>
      <c r="K2101" s="25" t="n">
        <f aca="false">I2101+J2101</f>
        <v>0</v>
      </c>
    </row>
    <row r="2102" customFormat="false" ht="15" hidden="false" customHeight="false" outlineLevel="0" collapsed="false">
      <c r="A2102" s="4" t="s">
        <v>112</v>
      </c>
      <c r="B2102" s="4" t="s">
        <v>412</v>
      </c>
      <c r="C2102" s="4" t="s">
        <v>517</v>
      </c>
      <c r="D2102" s="4" t="n">
        <f aca="false">IFERROR(INDEX(Positions!$D$2:$D$6912,MATCH($A2102&amp;"|1",Positions!$A$2:$A$6912,0)),"-")</f>
        <v>1</v>
      </c>
      <c r="E2102" s="4" t="n">
        <f aca="false">IFERROR(INDEX(Positions!$D$2:$D$6912,MATCH($A2102&amp;"|72",Positions!$A$2:$A$6912,0)),"-")</f>
        <v>72</v>
      </c>
      <c r="F2102" s="4" t="str">
        <f aca="false">IFERROR(INDEX(Positions!$E$2:$E$6912,MATCH($A2102&amp;"|1",Positions!$A$2:$A$6912,0)),"-")</f>
        <v>G</v>
      </c>
      <c r="G2102" s="4" t="str">
        <f aca="false">IFERROR(INDEX(Positions!$E$2:$E$6912,MATCH($A2102&amp;"|72",Positions!$A$2:$A$6912,0)),"-")</f>
        <v>C</v>
      </c>
      <c r="H2102" s="3" t="str">
        <f aca="false">F2102&amp;"-"&amp;G2102</f>
        <v>G-C</v>
      </c>
      <c r="I2102" s="4" t="n">
        <f aca="false">(F2102="G")+(G2102="G")</f>
        <v>1</v>
      </c>
      <c r="J2102" s="4" t="n">
        <f aca="false">(F2102="C")+(G2102="C")</f>
        <v>1</v>
      </c>
      <c r="K2102" s="3" t="n">
        <f aca="false">I2102+J2102</f>
        <v>2</v>
      </c>
    </row>
    <row r="2103" customFormat="false" ht="15" hidden="false" customHeight="false" outlineLevel="0" collapsed="false">
      <c r="A2103" s="4" t="s">
        <v>112</v>
      </c>
      <c r="B2103" s="4" t="s">
        <v>412</v>
      </c>
      <c r="C2103" s="4" t="s">
        <v>518</v>
      </c>
      <c r="D2103" s="4" t="n">
        <f aca="false">IFERROR(INDEX(Positions!$D$2:$D$6912,MATCH($A2103&amp;"|2",Positions!$A$2:$A$6912,0)),"-")</f>
        <v>2</v>
      </c>
      <c r="E2103" s="4" t="n">
        <f aca="false">IFERROR(INDEX(Positions!$D$2:$D$6912,MATCH($A2103&amp;"|71",Positions!$A$2:$A$6912,0)),"-")</f>
        <v>71</v>
      </c>
      <c r="F2103" s="4" t="str">
        <f aca="false">IFERROR(INDEX(Positions!$E$2:$E$6912,MATCH($A2103&amp;"|2",Positions!$A$2:$A$6912,0)),"-")</f>
        <v>C</v>
      </c>
      <c r="G2103" s="4" t="str">
        <f aca="false">IFERROR(INDEX(Positions!$E$2:$E$6912,MATCH($A2103&amp;"|71",Positions!$A$2:$A$6912,0)),"-")</f>
        <v>G</v>
      </c>
      <c r="H2103" s="3" t="str">
        <f aca="false">F2103&amp;"-"&amp;G2103</f>
        <v>C-G</v>
      </c>
      <c r="I2103" s="4" t="n">
        <f aca="false">(F2103="G")+(G2103="G")</f>
        <v>1</v>
      </c>
      <c r="J2103" s="4" t="n">
        <f aca="false">(F2103="C")+(G2103="C")</f>
        <v>1</v>
      </c>
      <c r="K2103" s="3" t="n">
        <f aca="false">I2103+J2103</f>
        <v>2</v>
      </c>
    </row>
    <row r="2104" customFormat="false" ht="15" hidden="false" customHeight="false" outlineLevel="0" collapsed="false">
      <c r="A2104" s="4" t="s">
        <v>112</v>
      </c>
      <c r="B2104" s="4" t="s">
        <v>412</v>
      </c>
      <c r="C2104" s="4" t="s">
        <v>386</v>
      </c>
      <c r="D2104" s="4" t="n">
        <f aca="false">IFERROR(INDEX(Positions!$D$2:$D$6912,MATCH($A2104&amp;"|3",Positions!$A$2:$A$6912,0)),"-")</f>
        <v>3</v>
      </c>
      <c r="E2104" s="4" t="n">
        <f aca="false">IFERROR(INDEX(Positions!$D$2:$D$6912,MATCH($A2104&amp;"|70",Positions!$A$2:$A$6912,0)),"-")</f>
        <v>70</v>
      </c>
      <c r="F2104" s="4" t="str">
        <f aca="false">IFERROR(INDEX(Positions!$E$2:$E$6912,MATCH($A2104&amp;"|3",Positions!$A$2:$A$6912,0)),"-")</f>
        <v>C</v>
      </c>
      <c r="G2104" s="4" t="str">
        <f aca="false">IFERROR(INDEX(Positions!$E$2:$E$6912,MATCH($A2104&amp;"|70",Positions!$A$2:$A$6912,0)),"-")</f>
        <v>G</v>
      </c>
      <c r="H2104" s="3" t="str">
        <f aca="false">F2104&amp;"-"&amp;G2104</f>
        <v>C-G</v>
      </c>
      <c r="I2104" s="4" t="n">
        <f aca="false">(F2104="G")+(G2104="G")</f>
        <v>1</v>
      </c>
      <c r="J2104" s="4" t="n">
        <f aca="false">(F2104="C")+(G2104="C")</f>
        <v>1</v>
      </c>
      <c r="K2104" s="3" t="n">
        <f aca="false">I2104+J2104</f>
        <v>2</v>
      </c>
    </row>
    <row r="2105" customFormat="false" ht="15" hidden="false" customHeight="false" outlineLevel="0" collapsed="false">
      <c r="A2105" s="4" t="s">
        <v>112</v>
      </c>
      <c r="B2105" s="4" t="s">
        <v>412</v>
      </c>
      <c r="C2105" s="4" t="s">
        <v>519</v>
      </c>
      <c r="D2105" s="4" t="n">
        <f aca="false">IFERROR(INDEX(Positions!$D$2:$D$6912,MATCH($A2105&amp;"|4",Positions!$A$2:$A$6912,0)),"-")</f>
        <v>4</v>
      </c>
      <c r="E2105" s="4" t="n">
        <f aca="false">IFERROR(INDEX(Positions!$D$2:$D$6912,MATCH($A2105&amp;"|69",Positions!$A$2:$A$6912,0)),"-")</f>
        <v>69</v>
      </c>
      <c r="F2105" s="4" t="str">
        <f aca="false">IFERROR(INDEX(Positions!$E$2:$E$6912,MATCH($A2105&amp;"|4",Positions!$A$2:$A$6912,0)),"-")</f>
        <v>G</v>
      </c>
      <c r="G2105" s="4" t="str">
        <f aca="false">IFERROR(INDEX(Positions!$E$2:$E$6912,MATCH($A2105&amp;"|69",Positions!$A$2:$A$6912,0)),"-")</f>
        <v>C</v>
      </c>
      <c r="H2105" s="3" t="str">
        <f aca="false">F2105&amp;"-"&amp;G2105</f>
        <v>G-C</v>
      </c>
      <c r="I2105" s="4" t="n">
        <f aca="false">(F2105="G")+(G2105="G")</f>
        <v>1</v>
      </c>
      <c r="J2105" s="4" t="n">
        <f aca="false">(F2105="C")+(G2105="C")</f>
        <v>1</v>
      </c>
      <c r="K2105" s="3" t="n">
        <f aca="false">I2105+J2105</f>
        <v>2</v>
      </c>
    </row>
    <row r="2106" customFormat="false" ht="15" hidden="false" customHeight="false" outlineLevel="0" collapsed="false">
      <c r="A2106" s="4" t="s">
        <v>112</v>
      </c>
      <c r="B2106" s="4" t="s">
        <v>412</v>
      </c>
      <c r="C2106" s="4" t="s">
        <v>283</v>
      </c>
      <c r="D2106" s="4" t="n">
        <f aca="false">IFERROR(INDEX(Positions!$D$2:$D$6912,MATCH($A2106&amp;"|5",Positions!$A$2:$A$6912,0)),"-")</f>
        <v>5</v>
      </c>
      <c r="E2106" s="4" t="n">
        <f aca="false">IFERROR(INDEX(Positions!$D$2:$D$6912,MATCH($A2106&amp;"|68",Positions!$A$2:$A$6912,0)),"-")</f>
        <v>68</v>
      </c>
      <c r="F2106" s="4" t="str">
        <f aca="false">IFERROR(INDEX(Positions!$E$2:$E$6912,MATCH($A2106&amp;"|5",Positions!$A$2:$A$6912,0)),"-")</f>
        <v>G</v>
      </c>
      <c r="G2106" s="4" t="str">
        <f aca="false">IFERROR(INDEX(Positions!$E$2:$E$6912,MATCH($A2106&amp;"|68",Positions!$A$2:$A$6912,0)),"-")</f>
        <v>C</v>
      </c>
      <c r="H2106" s="3" t="str">
        <f aca="false">F2106&amp;"-"&amp;G2106</f>
        <v>G-C</v>
      </c>
      <c r="I2106" s="4" t="n">
        <f aca="false">(F2106="G")+(G2106="G")</f>
        <v>1</v>
      </c>
      <c r="J2106" s="4" t="n">
        <f aca="false">(F2106="C")+(G2106="C")</f>
        <v>1</v>
      </c>
      <c r="K2106" s="3" t="n">
        <f aca="false">I2106+J2106</f>
        <v>2</v>
      </c>
    </row>
    <row r="2107" customFormat="false" ht="15" hidden="false" customHeight="false" outlineLevel="0" collapsed="false">
      <c r="A2107" s="4" t="s">
        <v>112</v>
      </c>
      <c r="B2107" s="4" t="s">
        <v>412</v>
      </c>
      <c r="C2107" s="4" t="s">
        <v>520</v>
      </c>
      <c r="D2107" s="4" t="n">
        <f aca="false">IFERROR(INDEX(Positions!$D$2:$D$6912,MATCH($A2107&amp;"|6",Positions!$A$2:$A$6912,0)),"-")</f>
        <v>6</v>
      </c>
      <c r="E2107" s="4" t="n">
        <f aca="false">IFERROR(INDEX(Positions!$D$2:$D$6912,MATCH($A2107&amp;"|67",Positions!$A$2:$A$6912,0)),"-")</f>
        <v>67</v>
      </c>
      <c r="F2107" s="4" t="str">
        <f aca="false">IFERROR(INDEX(Positions!$E$2:$E$6912,MATCH($A2107&amp;"|6",Positions!$A$2:$A$6912,0)),"-")</f>
        <v>G</v>
      </c>
      <c r="G2107" s="4" t="str">
        <f aca="false">IFERROR(INDEX(Positions!$E$2:$E$6912,MATCH($A2107&amp;"|67",Positions!$A$2:$A$6912,0)),"-")</f>
        <v>C</v>
      </c>
      <c r="H2107" s="3" t="str">
        <f aca="false">F2107&amp;"-"&amp;G2107</f>
        <v>G-C</v>
      </c>
      <c r="I2107" s="4" t="n">
        <f aca="false">(F2107="G")+(G2107="G")</f>
        <v>1</v>
      </c>
      <c r="J2107" s="4" t="n">
        <f aca="false">(F2107="C")+(G2107="C")</f>
        <v>1</v>
      </c>
      <c r="K2107" s="3" t="n">
        <f aca="false">I2107+J2107</f>
        <v>2</v>
      </c>
    </row>
    <row r="2108" customFormat="false" ht="15" hidden="false" customHeight="false" outlineLevel="0" collapsed="false">
      <c r="A2108" s="4" t="s">
        <v>112</v>
      </c>
      <c r="B2108" s="4" t="s">
        <v>412</v>
      </c>
      <c r="C2108" s="4" t="s">
        <v>521</v>
      </c>
      <c r="D2108" s="4" t="n">
        <f aca="false">IFERROR(INDEX(Positions!$D$2:$D$6912,MATCH($A2108&amp;"|7",Positions!$A$2:$A$6912,0)),"-")</f>
        <v>7</v>
      </c>
      <c r="E2108" s="4" t="n">
        <f aca="false">IFERROR(INDEX(Positions!$D$2:$D$6912,MATCH($A2108&amp;"|66",Positions!$A$2:$A$6912,0)),"-")</f>
        <v>66</v>
      </c>
      <c r="F2108" s="4" t="str">
        <f aca="false">IFERROR(INDEX(Positions!$E$2:$E$6912,MATCH($A2108&amp;"|7",Positions!$A$2:$A$6912,0)),"-")</f>
        <v>G</v>
      </c>
      <c r="G2108" s="4" t="str">
        <f aca="false">IFERROR(INDEX(Positions!$E$2:$E$6912,MATCH($A2108&amp;"|66",Positions!$A$2:$A$6912,0)),"-")</f>
        <v>U</v>
      </c>
      <c r="H2108" s="3" t="str">
        <f aca="false">F2108&amp;"-"&amp;G2108</f>
        <v>G-U</v>
      </c>
      <c r="I2108" s="4" t="n">
        <f aca="false">(F2108="G")+(G2108="G")</f>
        <v>1</v>
      </c>
      <c r="J2108" s="4" t="n">
        <f aca="false">(F2108="C")+(G2108="C")</f>
        <v>0</v>
      </c>
      <c r="K2108" s="3" t="n">
        <f aca="false">I2108+J2108</f>
        <v>1</v>
      </c>
    </row>
    <row r="2109" customFormat="false" ht="15" hidden="false" customHeight="false" outlineLevel="0" collapsed="false">
      <c r="A2109" s="4" t="s">
        <v>112</v>
      </c>
      <c r="B2109" s="4" t="s">
        <v>425</v>
      </c>
      <c r="C2109" s="4" t="s">
        <v>522</v>
      </c>
      <c r="D2109" s="4" t="n">
        <f aca="false">IFERROR(INDEX(Positions!$D$2:$D$6912,MATCH($A2109&amp;"|10",Positions!$A$2:$A$6912,0)),"-")</f>
        <v>10</v>
      </c>
      <c r="E2109" s="4" t="n">
        <f aca="false">IFERROR(INDEX(Positions!$D$2:$D$6912,MATCH($A2109&amp;"|25",Positions!$A$2:$A$6912,0)),"-")</f>
        <v>25</v>
      </c>
      <c r="F2109" s="4" t="str">
        <f aca="false">IFERROR(INDEX(Positions!$E$2:$E$6912,MATCH($A2109&amp;"|10",Positions!$A$2:$A$6912,0)),"-")</f>
        <v>G</v>
      </c>
      <c r="G2109" s="4" t="str">
        <f aca="false">IFERROR(INDEX(Positions!$E$2:$E$6912,MATCH($A2109&amp;"|25",Positions!$A$2:$A$6912,0)),"-")</f>
        <v>C</v>
      </c>
      <c r="H2109" s="3" t="str">
        <f aca="false">F2109&amp;"-"&amp;G2109</f>
        <v>G-C</v>
      </c>
      <c r="I2109" s="4" t="n">
        <f aca="false">(F2109="G")+(G2109="G")</f>
        <v>1</v>
      </c>
      <c r="J2109" s="4" t="n">
        <f aca="false">(F2109="C")+(G2109="C")</f>
        <v>1</v>
      </c>
      <c r="K2109" s="3" t="n">
        <f aca="false">I2109+J2109</f>
        <v>2</v>
      </c>
    </row>
    <row r="2110" customFormat="false" ht="15" hidden="false" customHeight="false" outlineLevel="0" collapsed="false">
      <c r="A2110" s="4" t="s">
        <v>112</v>
      </c>
      <c r="B2110" s="4" t="s">
        <v>425</v>
      </c>
      <c r="C2110" s="4" t="s">
        <v>523</v>
      </c>
      <c r="D2110" s="4" t="n">
        <f aca="false">IFERROR(INDEX(Positions!$D$2:$D$6912,MATCH($A2110&amp;"|11",Positions!$A$2:$A$6912,0)),"-")</f>
        <v>11</v>
      </c>
      <c r="E2110" s="4" t="n">
        <f aca="false">IFERROR(INDEX(Positions!$D$2:$D$6912,MATCH($A2110&amp;"|24",Positions!$A$2:$A$6912,0)),"-")</f>
        <v>24</v>
      </c>
      <c r="F2110" s="4" t="str">
        <f aca="false">IFERROR(INDEX(Positions!$E$2:$E$6912,MATCH($A2110&amp;"|11",Positions!$A$2:$A$6912,0)),"-")</f>
        <v>C</v>
      </c>
      <c r="G2110" s="4" t="str">
        <f aca="false">IFERROR(INDEX(Positions!$E$2:$E$6912,MATCH($A2110&amp;"|24",Positions!$A$2:$A$6912,0)),"-")</f>
        <v>G</v>
      </c>
      <c r="H2110" s="3" t="str">
        <f aca="false">F2110&amp;"-"&amp;G2110</f>
        <v>C-G</v>
      </c>
      <c r="I2110" s="4" t="n">
        <f aca="false">(F2110="G")+(G2110="G")</f>
        <v>1</v>
      </c>
      <c r="J2110" s="4" t="n">
        <f aca="false">(F2110="C")+(G2110="C")</f>
        <v>1</v>
      </c>
      <c r="K2110" s="3" t="n">
        <f aca="false">I2110+J2110</f>
        <v>2</v>
      </c>
    </row>
    <row r="2111" customFormat="false" ht="15" hidden="false" customHeight="false" outlineLevel="0" collapsed="false">
      <c r="A2111" s="4" t="s">
        <v>112</v>
      </c>
      <c r="B2111" s="4" t="s">
        <v>425</v>
      </c>
      <c r="C2111" s="4" t="s">
        <v>250</v>
      </c>
      <c r="D2111" s="4" t="n">
        <f aca="false">IFERROR(INDEX(Positions!$D$2:$D$6912,MATCH($A2111&amp;"|12",Positions!$A$2:$A$6912,0)),"-")</f>
        <v>12</v>
      </c>
      <c r="E2111" s="4" t="n">
        <f aca="false">IFERROR(INDEX(Positions!$D$2:$D$6912,MATCH($A2111&amp;"|23",Positions!$A$2:$A$6912,0)),"-")</f>
        <v>23</v>
      </c>
      <c r="F2111" s="4" t="str">
        <f aca="false">IFERROR(INDEX(Positions!$E$2:$E$6912,MATCH($A2111&amp;"|12",Positions!$A$2:$A$6912,0)),"-")</f>
        <v>U</v>
      </c>
      <c r="G2111" s="4" t="str">
        <f aca="false">IFERROR(INDEX(Positions!$E$2:$E$6912,MATCH($A2111&amp;"|23",Positions!$A$2:$A$6912,0)),"-")</f>
        <v>A</v>
      </c>
      <c r="H2111" s="3" t="str">
        <f aca="false">F2111&amp;"-"&amp;G2111</f>
        <v>U-A</v>
      </c>
      <c r="I2111" s="4" t="n">
        <f aca="false">(F2111="G")+(G2111="G")</f>
        <v>0</v>
      </c>
      <c r="J2111" s="4" t="n">
        <f aca="false">(F2111="C")+(G2111="C")</f>
        <v>0</v>
      </c>
      <c r="K2111" s="3" t="n">
        <f aca="false">I2111+J2111</f>
        <v>0</v>
      </c>
    </row>
    <row r="2112" customFormat="false" ht="15" hidden="false" customHeight="false" outlineLevel="0" collapsed="false">
      <c r="A2112" s="4" t="s">
        <v>112</v>
      </c>
      <c r="B2112" s="4" t="s">
        <v>425</v>
      </c>
      <c r="C2112" s="4" t="s">
        <v>154</v>
      </c>
      <c r="D2112" s="4" t="n">
        <f aca="false">IFERROR(INDEX(Positions!$D$2:$D$6912,MATCH($A2112&amp;"|13",Positions!$A$2:$A$6912,0)),"-")</f>
        <v>13</v>
      </c>
      <c r="E2112" s="4" t="n">
        <f aca="false">IFERROR(INDEX(Positions!$D$2:$D$6912,MATCH($A2112&amp;"|22",Positions!$A$2:$A$6912,0)),"-")</f>
        <v>22</v>
      </c>
      <c r="F2112" s="4" t="str">
        <f aca="false">IFERROR(INDEX(Positions!$E$2:$E$6912,MATCH($A2112&amp;"|13",Positions!$A$2:$A$6912,0)),"-")</f>
        <v>C</v>
      </c>
      <c r="G2112" s="4" t="str">
        <f aca="false">IFERROR(INDEX(Positions!$E$2:$E$6912,MATCH($A2112&amp;"|22",Positions!$A$2:$A$6912,0)),"-")</f>
        <v>G</v>
      </c>
      <c r="H2112" s="3" t="str">
        <f aca="false">F2112&amp;"-"&amp;G2112</f>
        <v>C-G</v>
      </c>
      <c r="I2112" s="4" t="n">
        <f aca="false">(F2112="G")+(G2112="G")</f>
        <v>1</v>
      </c>
      <c r="J2112" s="4" t="n">
        <f aca="false">(F2112="C")+(G2112="C")</f>
        <v>1</v>
      </c>
      <c r="K2112" s="3" t="n">
        <f aca="false">I2112+J2112</f>
        <v>2</v>
      </c>
    </row>
    <row r="2113" customFormat="false" ht="15" hidden="false" customHeight="false" outlineLevel="0" collapsed="false">
      <c r="A2113" s="4" t="s">
        <v>112</v>
      </c>
      <c r="B2113" s="4" t="s">
        <v>446</v>
      </c>
      <c r="C2113" s="4" t="s">
        <v>524</v>
      </c>
      <c r="D2113" s="4" t="n">
        <f aca="false">IFERROR(INDEX(Positions!$D$2:$D$6912,MATCH($A2113&amp;"|27",Positions!$A$2:$A$6912,0)),"-")</f>
        <v>27</v>
      </c>
      <c r="E2113" s="4" t="n">
        <f aca="false">IFERROR(INDEX(Positions!$D$2:$D$6912,MATCH($A2113&amp;"|43",Positions!$A$2:$A$6912,0)),"-")</f>
        <v>43</v>
      </c>
      <c r="F2113" s="4" t="str">
        <f aca="false">IFERROR(INDEX(Positions!$E$2:$E$6912,MATCH($A2113&amp;"|27",Positions!$A$2:$A$6912,0)),"-")</f>
        <v>C</v>
      </c>
      <c r="G2113" s="4" t="str">
        <f aca="false">IFERROR(INDEX(Positions!$E$2:$E$6912,MATCH($A2113&amp;"|43",Positions!$A$2:$A$6912,0)),"-")</f>
        <v>G</v>
      </c>
      <c r="H2113" s="3" t="str">
        <f aca="false">F2113&amp;"-"&amp;G2113</f>
        <v>C-G</v>
      </c>
      <c r="I2113" s="4" t="n">
        <f aca="false">(F2113="G")+(G2113="G")</f>
        <v>1</v>
      </c>
      <c r="J2113" s="4" t="n">
        <f aca="false">(F2113="C")+(G2113="C")</f>
        <v>1</v>
      </c>
      <c r="K2113" s="3" t="n">
        <f aca="false">I2113+J2113</f>
        <v>2</v>
      </c>
    </row>
    <row r="2114" customFormat="false" ht="15" hidden="false" customHeight="false" outlineLevel="0" collapsed="false">
      <c r="A2114" s="4" t="s">
        <v>112</v>
      </c>
      <c r="B2114" s="4" t="s">
        <v>446</v>
      </c>
      <c r="C2114" s="4" t="s">
        <v>525</v>
      </c>
      <c r="D2114" s="4" t="n">
        <f aca="false">IFERROR(INDEX(Positions!$D$2:$D$6912,MATCH($A2114&amp;"|28",Positions!$A$2:$A$6912,0)),"-")</f>
        <v>28</v>
      </c>
      <c r="E2114" s="4" t="n">
        <f aca="false">IFERROR(INDEX(Positions!$D$2:$D$6912,MATCH($A2114&amp;"|42",Positions!$A$2:$A$6912,0)),"-")</f>
        <v>42</v>
      </c>
      <c r="F2114" s="4" t="str">
        <f aca="false">IFERROR(INDEX(Positions!$E$2:$E$6912,MATCH($A2114&amp;"|28",Positions!$A$2:$A$6912,0)),"-")</f>
        <v>C</v>
      </c>
      <c r="G2114" s="4" t="str">
        <f aca="false">IFERROR(INDEX(Positions!$E$2:$E$6912,MATCH($A2114&amp;"|42",Positions!$A$2:$A$6912,0)),"-")</f>
        <v>G</v>
      </c>
      <c r="H2114" s="3" t="str">
        <f aca="false">F2114&amp;"-"&amp;G2114</f>
        <v>C-G</v>
      </c>
      <c r="I2114" s="4" t="n">
        <f aca="false">(F2114="G")+(G2114="G")</f>
        <v>1</v>
      </c>
      <c r="J2114" s="4" t="n">
        <f aca="false">(F2114="C")+(G2114="C")</f>
        <v>1</v>
      </c>
      <c r="K2114" s="3" t="n">
        <f aca="false">I2114+J2114</f>
        <v>2</v>
      </c>
    </row>
    <row r="2115" customFormat="false" ht="15" hidden="false" customHeight="false" outlineLevel="0" collapsed="false">
      <c r="A2115" s="4" t="s">
        <v>112</v>
      </c>
      <c r="B2115" s="4" t="s">
        <v>446</v>
      </c>
      <c r="C2115" s="4" t="s">
        <v>256</v>
      </c>
      <c r="D2115" s="4" t="n">
        <f aca="false">IFERROR(INDEX(Positions!$D$2:$D$6912,MATCH($A2115&amp;"|29",Positions!$A$2:$A$6912,0)),"-")</f>
        <v>29</v>
      </c>
      <c r="E2115" s="4" t="n">
        <f aca="false">IFERROR(INDEX(Positions!$D$2:$D$6912,MATCH($A2115&amp;"|41",Positions!$A$2:$A$6912,0)),"-")</f>
        <v>41</v>
      </c>
      <c r="F2115" s="4" t="str">
        <f aca="false">IFERROR(INDEX(Positions!$E$2:$E$6912,MATCH($A2115&amp;"|29",Positions!$A$2:$A$6912,0)),"-")</f>
        <v>G</v>
      </c>
      <c r="G2115" s="4" t="str">
        <f aca="false">IFERROR(INDEX(Positions!$E$2:$E$6912,MATCH($A2115&amp;"|41",Positions!$A$2:$A$6912,0)),"-")</f>
        <v>C</v>
      </c>
      <c r="H2115" s="3" t="str">
        <f aca="false">F2115&amp;"-"&amp;G2115</f>
        <v>G-C</v>
      </c>
      <c r="I2115" s="4" t="n">
        <f aca="false">(F2115="G")+(G2115="G")</f>
        <v>1</v>
      </c>
      <c r="J2115" s="4" t="n">
        <f aca="false">(F2115="C")+(G2115="C")</f>
        <v>1</v>
      </c>
      <c r="K2115" s="3" t="n">
        <f aca="false">I2115+J2115</f>
        <v>2</v>
      </c>
    </row>
    <row r="2116" customFormat="false" ht="15" hidden="false" customHeight="false" outlineLevel="0" collapsed="false">
      <c r="A2116" s="4" t="s">
        <v>112</v>
      </c>
      <c r="B2116" s="4" t="s">
        <v>446</v>
      </c>
      <c r="C2116" s="4" t="s">
        <v>526</v>
      </c>
      <c r="D2116" s="4" t="n">
        <f aca="false">IFERROR(INDEX(Positions!$D$2:$D$6912,MATCH($A2116&amp;"|30",Positions!$A$2:$A$6912,0)),"-")</f>
        <v>30</v>
      </c>
      <c r="E2116" s="4" t="n">
        <f aca="false">IFERROR(INDEX(Positions!$D$2:$D$6912,MATCH($A2116&amp;"|40",Positions!$A$2:$A$6912,0)),"-")</f>
        <v>40</v>
      </c>
      <c r="F2116" s="4" t="str">
        <f aca="false">IFERROR(INDEX(Positions!$E$2:$E$6912,MATCH($A2116&amp;"|30",Positions!$A$2:$A$6912,0)),"-")</f>
        <v>G</v>
      </c>
      <c r="G2116" s="4" t="str">
        <f aca="false">IFERROR(INDEX(Positions!$E$2:$E$6912,MATCH($A2116&amp;"|40",Positions!$A$2:$A$6912,0)),"-")</f>
        <v>C</v>
      </c>
      <c r="H2116" s="3" t="str">
        <f aca="false">F2116&amp;"-"&amp;G2116</f>
        <v>G-C</v>
      </c>
      <c r="I2116" s="4" t="n">
        <f aca="false">(F2116="G")+(G2116="G")</f>
        <v>1</v>
      </c>
      <c r="J2116" s="4" t="n">
        <f aca="false">(F2116="C")+(G2116="C")</f>
        <v>1</v>
      </c>
      <c r="K2116" s="3" t="n">
        <f aca="false">I2116+J2116</f>
        <v>2</v>
      </c>
    </row>
    <row r="2117" customFormat="false" ht="15" hidden="false" customHeight="false" outlineLevel="0" collapsed="false">
      <c r="A2117" s="4" t="s">
        <v>112</v>
      </c>
      <c r="B2117" s="4" t="s">
        <v>446</v>
      </c>
      <c r="C2117" s="4" t="s">
        <v>273</v>
      </c>
      <c r="D2117" s="4" t="n">
        <f aca="false">IFERROR(INDEX(Positions!$D$2:$D$6912,MATCH($A2117&amp;"|31",Positions!$A$2:$A$6912,0)),"-")</f>
        <v>31</v>
      </c>
      <c r="E2117" s="4" t="n">
        <f aca="false">IFERROR(INDEX(Positions!$D$2:$D$6912,MATCH($A2117&amp;"|39",Positions!$A$2:$A$6912,0)),"-")</f>
        <v>39</v>
      </c>
      <c r="F2117" s="4" t="str">
        <f aca="false">IFERROR(INDEX(Positions!$E$2:$E$6912,MATCH($A2117&amp;"|31",Positions!$A$2:$A$6912,0)),"-")</f>
        <v>A</v>
      </c>
      <c r="G2117" s="4" t="str">
        <f aca="false">IFERROR(INDEX(Positions!$E$2:$E$6912,MATCH($A2117&amp;"|39",Positions!$A$2:$A$6912,0)),"-")</f>
        <v>U</v>
      </c>
      <c r="H2117" s="3" t="str">
        <f aca="false">F2117&amp;"-"&amp;G2117</f>
        <v>A-U</v>
      </c>
      <c r="I2117" s="4" t="n">
        <f aca="false">(F2117="G")+(G2117="G")</f>
        <v>0</v>
      </c>
      <c r="J2117" s="4" t="n">
        <f aca="false">(F2117="C")+(G2117="C")</f>
        <v>0</v>
      </c>
      <c r="K2117" s="3" t="n">
        <f aca="false">I2117+J2117</f>
        <v>0</v>
      </c>
    </row>
    <row r="2118" customFormat="false" ht="15" hidden="false" customHeight="false" outlineLevel="0" collapsed="false">
      <c r="A2118" s="4" t="s">
        <v>112</v>
      </c>
      <c r="B2118" s="4" t="s">
        <v>471</v>
      </c>
      <c r="C2118" s="4" t="s">
        <v>367</v>
      </c>
      <c r="D2118" s="4" t="n">
        <f aca="false">IFERROR(INDEX(Positions!$D$2:$D$6912,MATCH($A2118&amp;"|49",Positions!$A$2:$A$6912,0)),"-")</f>
        <v>49</v>
      </c>
      <c r="E2118" s="4" t="n">
        <f aca="false">IFERROR(INDEX(Positions!$D$2:$D$6912,MATCH($A2118&amp;"|65",Positions!$A$2:$A$6912,0)),"-")</f>
        <v>65</v>
      </c>
      <c r="F2118" s="4" t="str">
        <f aca="false">IFERROR(INDEX(Positions!$E$2:$E$6912,MATCH($A2118&amp;"|49",Positions!$A$2:$A$6912,0)),"-")</f>
        <v>U</v>
      </c>
      <c r="G2118" s="4" t="str">
        <f aca="false">IFERROR(INDEX(Positions!$E$2:$E$6912,MATCH($A2118&amp;"|65",Positions!$A$2:$A$6912,0)),"-")</f>
        <v>A</v>
      </c>
      <c r="H2118" s="3" t="str">
        <f aca="false">F2118&amp;"-"&amp;G2118</f>
        <v>U-A</v>
      </c>
      <c r="I2118" s="4" t="n">
        <f aca="false">(F2118="G")+(G2118="G")</f>
        <v>0</v>
      </c>
      <c r="J2118" s="4" t="n">
        <f aca="false">(F2118="C")+(G2118="C")</f>
        <v>0</v>
      </c>
      <c r="K2118" s="3" t="n">
        <f aca="false">I2118+J2118</f>
        <v>0</v>
      </c>
    </row>
    <row r="2119" customFormat="false" ht="15" hidden="false" customHeight="false" outlineLevel="0" collapsed="false">
      <c r="A2119" s="4" t="s">
        <v>112</v>
      </c>
      <c r="B2119" s="4" t="s">
        <v>471</v>
      </c>
      <c r="C2119" s="4" t="s">
        <v>233</v>
      </c>
      <c r="D2119" s="4" t="n">
        <f aca="false">IFERROR(INDEX(Positions!$D$2:$D$6912,MATCH($A2119&amp;"|50",Positions!$A$2:$A$6912,0)),"-")</f>
        <v>50</v>
      </c>
      <c r="E2119" s="4" t="n">
        <f aca="false">IFERROR(INDEX(Positions!$D$2:$D$6912,MATCH($A2119&amp;"|64",Positions!$A$2:$A$6912,0)),"-")</f>
        <v>64</v>
      </c>
      <c r="F2119" s="4" t="str">
        <f aca="false">IFERROR(INDEX(Positions!$E$2:$E$6912,MATCH($A2119&amp;"|50",Positions!$A$2:$A$6912,0)),"-")</f>
        <v>C</v>
      </c>
      <c r="G2119" s="4" t="str">
        <f aca="false">IFERROR(INDEX(Positions!$E$2:$E$6912,MATCH($A2119&amp;"|64",Positions!$A$2:$A$6912,0)),"-")</f>
        <v>G</v>
      </c>
      <c r="H2119" s="3" t="str">
        <f aca="false">F2119&amp;"-"&amp;G2119</f>
        <v>C-G</v>
      </c>
      <c r="I2119" s="4" t="n">
        <f aca="false">(F2119="G")+(G2119="G")</f>
        <v>1</v>
      </c>
      <c r="J2119" s="4" t="n">
        <f aca="false">(F2119="C")+(G2119="C")</f>
        <v>1</v>
      </c>
      <c r="K2119" s="3" t="n">
        <f aca="false">I2119+J2119</f>
        <v>2</v>
      </c>
    </row>
    <row r="2120" customFormat="false" ht="15" hidden="false" customHeight="false" outlineLevel="0" collapsed="false">
      <c r="A2120" s="4" t="s">
        <v>112</v>
      </c>
      <c r="B2120" s="4" t="s">
        <v>471</v>
      </c>
      <c r="C2120" s="4" t="s">
        <v>527</v>
      </c>
      <c r="D2120" s="4" t="n">
        <f aca="false">IFERROR(INDEX(Positions!$D$2:$D$6912,MATCH($A2120&amp;"|51",Positions!$A$2:$A$6912,0)),"-")</f>
        <v>51</v>
      </c>
      <c r="E2120" s="4" t="n">
        <f aca="false">IFERROR(INDEX(Positions!$D$2:$D$6912,MATCH($A2120&amp;"|63",Positions!$A$2:$A$6912,0)),"-")</f>
        <v>63</v>
      </c>
      <c r="F2120" s="4" t="str">
        <f aca="false">IFERROR(INDEX(Positions!$E$2:$E$6912,MATCH($A2120&amp;"|51",Positions!$A$2:$A$6912,0)),"-")</f>
        <v>G</v>
      </c>
      <c r="G2120" s="4" t="str">
        <f aca="false">IFERROR(INDEX(Positions!$E$2:$E$6912,MATCH($A2120&amp;"|63",Positions!$A$2:$A$6912,0)),"-")</f>
        <v>C</v>
      </c>
      <c r="H2120" s="3" t="str">
        <f aca="false">F2120&amp;"-"&amp;G2120</f>
        <v>G-C</v>
      </c>
      <c r="I2120" s="4" t="n">
        <f aca="false">(F2120="G")+(G2120="G")</f>
        <v>1</v>
      </c>
      <c r="J2120" s="4" t="n">
        <f aca="false">(F2120="C")+(G2120="C")</f>
        <v>1</v>
      </c>
      <c r="K2120" s="3" t="n">
        <f aca="false">I2120+J2120</f>
        <v>2</v>
      </c>
    </row>
    <row r="2121" customFormat="false" ht="15" hidden="false" customHeight="false" outlineLevel="0" collapsed="false">
      <c r="A2121" s="4" t="s">
        <v>112</v>
      </c>
      <c r="B2121" s="4" t="s">
        <v>471</v>
      </c>
      <c r="C2121" s="4" t="s">
        <v>528</v>
      </c>
      <c r="D2121" s="4" t="n">
        <f aca="false">IFERROR(INDEX(Positions!$D$2:$D$6912,MATCH($A2121&amp;"|52",Positions!$A$2:$A$6912,0)),"-")</f>
        <v>52</v>
      </c>
      <c r="E2121" s="4" t="n">
        <f aca="false">IFERROR(INDEX(Positions!$D$2:$D$6912,MATCH($A2121&amp;"|62",Positions!$A$2:$A$6912,0)),"-")</f>
        <v>62</v>
      </c>
      <c r="F2121" s="4" t="str">
        <f aca="false">IFERROR(INDEX(Positions!$E$2:$E$6912,MATCH($A2121&amp;"|52",Positions!$A$2:$A$6912,0)),"-")</f>
        <v>G</v>
      </c>
      <c r="G2121" s="4" t="str">
        <f aca="false">IFERROR(INDEX(Positions!$E$2:$E$6912,MATCH($A2121&amp;"|62",Positions!$A$2:$A$6912,0)),"-")</f>
        <v>C</v>
      </c>
      <c r="H2121" s="3" t="str">
        <f aca="false">F2121&amp;"-"&amp;G2121</f>
        <v>G-C</v>
      </c>
      <c r="I2121" s="4" t="n">
        <f aca="false">(F2121="G")+(G2121="G")</f>
        <v>1</v>
      </c>
      <c r="J2121" s="4" t="n">
        <f aca="false">(F2121="C")+(G2121="C")</f>
        <v>1</v>
      </c>
      <c r="K2121" s="3" t="n">
        <f aca="false">I2121+J2121</f>
        <v>2</v>
      </c>
    </row>
    <row r="2122" customFormat="false" ht="15" hidden="false" customHeight="false" outlineLevel="0" collapsed="false">
      <c r="A2122" s="4" t="s">
        <v>112</v>
      </c>
      <c r="B2122" s="4" t="s">
        <v>471</v>
      </c>
      <c r="C2122" s="4" t="s">
        <v>529</v>
      </c>
      <c r="D2122" s="4" t="n">
        <f aca="false">IFERROR(INDEX(Positions!$D$2:$D$6912,MATCH($A2122&amp;"|53",Positions!$A$2:$A$6912,0)),"-")</f>
        <v>53</v>
      </c>
      <c r="E2122" s="4" t="n">
        <f aca="false">IFERROR(INDEX(Positions!$D$2:$D$6912,MATCH($A2122&amp;"|61",Positions!$A$2:$A$6912,0)),"-")</f>
        <v>61</v>
      </c>
      <c r="F2122" s="4" t="str">
        <f aca="false">IFERROR(INDEX(Positions!$E$2:$E$6912,MATCH($A2122&amp;"|53",Positions!$A$2:$A$6912,0)),"-")</f>
        <v>G</v>
      </c>
      <c r="G2122" s="4" t="str">
        <f aca="false">IFERROR(INDEX(Positions!$E$2:$E$6912,MATCH($A2122&amp;"|61",Positions!$A$2:$A$6912,0)),"-")</f>
        <v>C</v>
      </c>
      <c r="H2122" s="3" t="str">
        <f aca="false">F2122&amp;"-"&amp;G2122</f>
        <v>G-C</v>
      </c>
      <c r="I2122" s="4" t="n">
        <f aca="false">(F2122="G")+(G2122="G")</f>
        <v>1</v>
      </c>
      <c r="J2122" s="4" t="n">
        <f aca="false">(F2122="C")+(G2122="C")</f>
        <v>1</v>
      </c>
      <c r="K2122" s="3" t="n">
        <f aca="false">I2122+J2122</f>
        <v>2</v>
      </c>
    </row>
    <row r="2123" customFormat="false" ht="15" hidden="false" customHeight="false" outlineLevel="0" collapsed="false">
      <c r="A2123" s="24" t="s">
        <v>112</v>
      </c>
      <c r="B2123" s="24" t="s">
        <v>530</v>
      </c>
      <c r="C2123" s="24" t="s">
        <v>531</v>
      </c>
      <c r="D2123" s="24" t="n">
        <f aca="false">IFERROR(INDEX(Positions!$D$2:$D$6912,MATCH($A2123&amp;"|8",Positions!$A$2:$A$6912,0)),"-")</f>
        <v>8</v>
      </c>
      <c r="E2123" s="24" t="n">
        <f aca="false">IFERROR(INDEX(Positions!$D$2:$D$6912,MATCH($A2123&amp;"|14",Positions!$A$2:$A$6912,0)),"-")</f>
        <v>14</v>
      </c>
      <c r="F2123" s="24" t="str">
        <f aca="false">IFERROR(INDEX(Positions!$E$2:$E$6912,MATCH($A2123&amp;"|8",Positions!$A$2:$A$6912,0)),"-")</f>
        <v>U</v>
      </c>
      <c r="G2123" s="24" t="str">
        <f aca="false">IFERROR(INDEX(Positions!$E$2:$E$6912,MATCH($A2123&amp;"|14",Positions!$A$2:$A$6912,0)),"-")</f>
        <v>A</v>
      </c>
      <c r="H2123" s="25" t="str">
        <f aca="false">F2123&amp;"-"&amp;G2123</f>
        <v>U-A</v>
      </c>
      <c r="I2123" s="24" t="n">
        <f aca="false">(F2123="G")+(G2123="G")</f>
        <v>0</v>
      </c>
      <c r="J2123" s="24" t="n">
        <f aca="false">(F2123="C")+(G2123="C")</f>
        <v>0</v>
      </c>
      <c r="K2123" s="25" t="n">
        <f aca="false">I2123+J2123</f>
        <v>0</v>
      </c>
    </row>
    <row r="2124" customFormat="false" ht="15" hidden="false" customHeight="false" outlineLevel="0" collapsed="false">
      <c r="A2124" s="24" t="s">
        <v>112</v>
      </c>
      <c r="B2124" s="24" t="s">
        <v>530</v>
      </c>
      <c r="C2124" s="24" t="s">
        <v>532</v>
      </c>
      <c r="D2124" s="24" t="n">
        <f aca="false">IFERROR(INDEX(Positions!$D$2:$D$6912,MATCH($A2124&amp;"|15",Positions!$A$2:$A$6912,0)),"-")</f>
        <v>15</v>
      </c>
      <c r="E2124" s="24" t="n">
        <f aca="false">IFERROR(INDEX(Positions!$D$2:$D$6912,MATCH($A2124&amp;"|48",Positions!$A$2:$A$6912,0)),"-")</f>
        <v>48</v>
      </c>
      <c r="F2124" s="24" t="str">
        <f aca="false">IFERROR(INDEX(Positions!$E$2:$E$6912,MATCH($A2124&amp;"|15",Positions!$A$2:$A$6912,0)),"-")</f>
        <v>G</v>
      </c>
      <c r="G2124" s="24" t="str">
        <f aca="false">IFERROR(INDEX(Positions!$E$2:$E$6912,MATCH($A2124&amp;"|48",Positions!$A$2:$A$6912,0)),"-")</f>
        <v>C</v>
      </c>
      <c r="H2124" s="25" t="str">
        <f aca="false">F2124&amp;"-"&amp;G2124</f>
        <v>G-C</v>
      </c>
      <c r="I2124" s="24" t="n">
        <f aca="false">(F2124="G")+(G2124="G")</f>
        <v>1</v>
      </c>
      <c r="J2124" s="24" t="n">
        <f aca="false">(F2124="C")+(G2124="C")</f>
        <v>1</v>
      </c>
      <c r="K2124" s="25" t="n">
        <f aca="false">I2124+J2124</f>
        <v>2</v>
      </c>
    </row>
    <row r="2125" customFormat="false" ht="15" hidden="false" customHeight="false" outlineLevel="0" collapsed="false">
      <c r="A2125" s="24" t="s">
        <v>112</v>
      </c>
      <c r="B2125" s="24" t="s">
        <v>530</v>
      </c>
      <c r="C2125" s="24" t="s">
        <v>533</v>
      </c>
      <c r="D2125" s="24" t="n">
        <f aca="false">IFERROR(INDEX(Positions!$D$2:$D$6912,MATCH($A2125&amp;"|18",Positions!$A$2:$A$6912,0)),"-")</f>
        <v>18</v>
      </c>
      <c r="E2125" s="24" t="n">
        <f aca="false">IFERROR(INDEX(Positions!$D$2:$D$6912,MATCH($A2125&amp;"|55",Positions!$A$2:$A$6912,0)),"-")</f>
        <v>55</v>
      </c>
      <c r="F2125" s="24" t="str">
        <f aca="false">IFERROR(INDEX(Positions!$E$2:$E$6912,MATCH($A2125&amp;"|18",Positions!$A$2:$A$6912,0)),"-")</f>
        <v>G</v>
      </c>
      <c r="G2125" s="24" t="str">
        <f aca="false">IFERROR(INDEX(Positions!$E$2:$E$6912,MATCH($A2125&amp;"|55",Positions!$A$2:$A$6912,0)),"-")</f>
        <v>U</v>
      </c>
      <c r="H2125" s="25" t="str">
        <f aca="false">F2125&amp;"-"&amp;G2125</f>
        <v>G-U</v>
      </c>
      <c r="I2125" s="24" t="n">
        <f aca="false">(F2125="G")+(G2125="G")</f>
        <v>1</v>
      </c>
      <c r="J2125" s="24" t="n">
        <f aca="false">(F2125="C")+(G2125="C")</f>
        <v>0</v>
      </c>
      <c r="K2125" s="25" t="n">
        <f aca="false">I2125+J2125</f>
        <v>1</v>
      </c>
    </row>
    <row r="2126" customFormat="false" ht="15" hidden="false" customHeight="false" outlineLevel="0" collapsed="false">
      <c r="A2126" s="24" t="s">
        <v>112</v>
      </c>
      <c r="B2126" s="24" t="s">
        <v>530</v>
      </c>
      <c r="C2126" s="24" t="s">
        <v>534</v>
      </c>
      <c r="D2126" s="24" t="n">
        <f aca="false">IFERROR(INDEX(Positions!$D$2:$D$6912,MATCH($A2126&amp;"|19",Positions!$A$2:$A$6912,0)),"-")</f>
        <v>19</v>
      </c>
      <c r="E2126" s="24" t="n">
        <f aca="false">IFERROR(INDEX(Positions!$D$2:$D$6912,MATCH($A2126&amp;"|56",Positions!$A$2:$A$6912,0)),"-")</f>
        <v>56</v>
      </c>
      <c r="F2126" s="24" t="str">
        <f aca="false">IFERROR(INDEX(Positions!$E$2:$E$6912,MATCH($A2126&amp;"|19",Positions!$A$2:$A$6912,0)),"-")</f>
        <v>G</v>
      </c>
      <c r="G2126" s="24" t="str">
        <f aca="false">IFERROR(INDEX(Positions!$E$2:$E$6912,MATCH($A2126&amp;"|56",Positions!$A$2:$A$6912,0)),"-")</f>
        <v>C</v>
      </c>
      <c r="H2126" s="25" t="str">
        <f aca="false">F2126&amp;"-"&amp;G2126</f>
        <v>G-C</v>
      </c>
      <c r="I2126" s="24" t="n">
        <f aca="false">(F2126="G")+(G2126="G")</f>
        <v>1</v>
      </c>
      <c r="J2126" s="24" t="n">
        <f aca="false">(F2126="C")+(G2126="C")</f>
        <v>1</v>
      </c>
      <c r="K2126" s="25" t="n">
        <f aca="false">I2126+J2126</f>
        <v>2</v>
      </c>
    </row>
    <row r="2127" customFormat="false" ht="15" hidden="false" customHeight="false" outlineLevel="0" collapsed="false">
      <c r="A2127" s="24" t="s">
        <v>112</v>
      </c>
      <c r="B2127" s="24" t="s">
        <v>530</v>
      </c>
      <c r="C2127" s="24" t="s">
        <v>535</v>
      </c>
      <c r="D2127" s="24" t="n">
        <f aca="false">IFERROR(INDEX(Positions!$D$2:$D$6912,MATCH($A2127&amp;"|26",Positions!$A$2:$A$6912,0)),"-")</f>
        <v>26</v>
      </c>
      <c r="E2127" s="24" t="n">
        <f aca="false">IFERROR(INDEX(Positions!$D$2:$D$6912,MATCH($A2127&amp;"|44",Positions!$A$2:$A$6912,0)),"-")</f>
        <v>44</v>
      </c>
      <c r="F2127" s="24" t="str">
        <f aca="false">IFERROR(INDEX(Positions!$E$2:$E$6912,MATCH($A2127&amp;"|26",Positions!$A$2:$A$6912,0)),"-")</f>
        <v>G</v>
      </c>
      <c r="G2127" s="24" t="str">
        <f aca="false">IFERROR(INDEX(Positions!$E$2:$E$6912,MATCH($A2127&amp;"|44",Positions!$A$2:$A$6912,0)),"-")</f>
        <v>A</v>
      </c>
      <c r="H2127" s="25" t="str">
        <f aca="false">F2127&amp;"-"&amp;G2127</f>
        <v>G-A</v>
      </c>
      <c r="I2127" s="24" t="n">
        <f aca="false">(F2127="G")+(G2127="G")</f>
        <v>1</v>
      </c>
      <c r="J2127" s="24" t="n">
        <f aca="false">(F2127="C")+(G2127="C")</f>
        <v>0</v>
      </c>
      <c r="K2127" s="25" t="n">
        <f aca="false">I2127+J2127</f>
        <v>1</v>
      </c>
    </row>
    <row r="2128" customFormat="false" ht="15" hidden="false" customHeight="false" outlineLevel="0" collapsed="false">
      <c r="A2128" s="24" t="s">
        <v>112</v>
      </c>
      <c r="B2128" s="24" t="s">
        <v>530</v>
      </c>
      <c r="C2128" s="24" t="s">
        <v>536</v>
      </c>
      <c r="D2128" s="24" t="n">
        <f aca="false">IFERROR(INDEX(Positions!$D$2:$D$6912,MATCH($A2128&amp;"|32",Positions!$A$2:$A$6912,0)),"-")</f>
        <v>32</v>
      </c>
      <c r="E2128" s="24" t="n">
        <f aca="false">IFERROR(INDEX(Positions!$D$2:$D$6912,MATCH($A2128&amp;"|38",Positions!$A$2:$A$6912,0)),"-")</f>
        <v>38</v>
      </c>
      <c r="F2128" s="24" t="str">
        <f aca="false">IFERROR(INDEX(Positions!$E$2:$E$6912,MATCH($A2128&amp;"|32",Positions!$A$2:$A$6912,0)),"-")</f>
        <v>C</v>
      </c>
      <c r="G2128" s="24" t="str">
        <f aca="false">IFERROR(INDEX(Positions!$E$2:$E$6912,MATCH($A2128&amp;"|38",Positions!$A$2:$A$6912,0)),"-")</f>
        <v>A</v>
      </c>
      <c r="H2128" s="25" t="str">
        <f aca="false">F2128&amp;"-"&amp;G2128</f>
        <v>C-A</v>
      </c>
      <c r="I2128" s="24" t="n">
        <f aca="false">(F2128="G")+(G2128="G")</f>
        <v>0</v>
      </c>
      <c r="J2128" s="24" t="n">
        <f aca="false">(F2128="C")+(G2128="C")</f>
        <v>1</v>
      </c>
      <c r="K2128" s="25" t="n">
        <f aca="false">I2128+J2128</f>
        <v>1</v>
      </c>
    </row>
    <row r="2129" customFormat="false" ht="15" hidden="false" customHeight="false" outlineLevel="0" collapsed="false">
      <c r="A2129" s="24" t="s">
        <v>112</v>
      </c>
      <c r="B2129" s="24" t="s">
        <v>530</v>
      </c>
      <c r="C2129" s="24" t="s">
        <v>537</v>
      </c>
      <c r="D2129" s="24" t="n">
        <f aca="false">IFERROR(INDEX(Positions!$D$2:$D$6912,MATCH($A2129&amp;"|54",Positions!$A$2:$A$6912,0)),"-")</f>
        <v>54</v>
      </c>
      <c r="E2129" s="24" t="n">
        <f aca="false">IFERROR(INDEX(Positions!$D$2:$D$6912,MATCH($A2129&amp;"|58",Positions!$A$2:$A$6912,0)),"-")</f>
        <v>58</v>
      </c>
      <c r="F2129" s="24" t="str">
        <f aca="false">IFERROR(INDEX(Positions!$E$2:$E$6912,MATCH($A2129&amp;"|54",Positions!$A$2:$A$6912,0)),"-")</f>
        <v>U</v>
      </c>
      <c r="G2129" s="24" t="str">
        <f aca="false">IFERROR(INDEX(Positions!$E$2:$E$6912,MATCH($A2129&amp;"|58",Positions!$A$2:$A$6912,0)),"-")</f>
        <v>A</v>
      </c>
      <c r="H2129" s="25" t="str">
        <f aca="false">F2129&amp;"-"&amp;G2129</f>
        <v>U-A</v>
      </c>
      <c r="I2129" s="24" t="n">
        <f aca="false">(F2129="G")+(G2129="G")</f>
        <v>0</v>
      </c>
      <c r="J2129" s="24" t="n">
        <f aca="false">(F2129="C")+(G2129="C")</f>
        <v>0</v>
      </c>
      <c r="K2129" s="25" t="n">
        <f aca="false">I2129+J2129</f>
        <v>0</v>
      </c>
    </row>
    <row r="2130" customFormat="false" ht="15" hidden="false" customHeight="false" outlineLevel="0" collapsed="false">
      <c r="A2130" s="4" t="s">
        <v>113</v>
      </c>
      <c r="B2130" s="4" t="s">
        <v>412</v>
      </c>
      <c r="C2130" s="4" t="s">
        <v>517</v>
      </c>
      <c r="D2130" s="4" t="n">
        <f aca="false">IFERROR(INDEX(Positions!$D$2:$D$6912,MATCH($A2130&amp;"|1",Positions!$A$2:$A$6912,0)),"-")</f>
        <v>1</v>
      </c>
      <c r="E2130" s="4" t="n">
        <f aca="false">IFERROR(INDEX(Positions!$D$2:$D$6912,MATCH($A2130&amp;"|72",Positions!$A$2:$A$6912,0)),"-")</f>
        <v>73</v>
      </c>
      <c r="F2130" s="4" t="str">
        <f aca="false">IFERROR(INDEX(Positions!$E$2:$E$6912,MATCH($A2130&amp;"|1",Positions!$A$2:$A$6912,0)),"-")</f>
        <v>G</v>
      </c>
      <c r="G2130" s="4" t="str">
        <f aca="false">IFERROR(INDEX(Positions!$E$2:$E$6912,MATCH($A2130&amp;"|72",Positions!$A$2:$A$6912,0)),"-")</f>
        <v>C</v>
      </c>
      <c r="H2130" s="3" t="str">
        <f aca="false">F2130&amp;"-"&amp;G2130</f>
        <v>G-C</v>
      </c>
      <c r="I2130" s="4" t="n">
        <f aca="false">(F2130="G")+(G2130="G")</f>
        <v>1</v>
      </c>
      <c r="J2130" s="4" t="n">
        <f aca="false">(F2130="C")+(G2130="C")</f>
        <v>1</v>
      </c>
      <c r="K2130" s="3" t="n">
        <f aca="false">I2130+J2130</f>
        <v>2</v>
      </c>
    </row>
    <row r="2131" customFormat="false" ht="15" hidden="false" customHeight="false" outlineLevel="0" collapsed="false">
      <c r="A2131" s="4" t="s">
        <v>113</v>
      </c>
      <c r="B2131" s="4" t="s">
        <v>412</v>
      </c>
      <c r="C2131" s="4" t="s">
        <v>518</v>
      </c>
      <c r="D2131" s="4" t="n">
        <f aca="false">IFERROR(INDEX(Positions!$D$2:$D$6912,MATCH($A2131&amp;"|2",Positions!$A$2:$A$6912,0)),"-")</f>
        <v>2</v>
      </c>
      <c r="E2131" s="4" t="n">
        <f aca="false">IFERROR(INDEX(Positions!$D$2:$D$6912,MATCH($A2131&amp;"|71",Positions!$A$2:$A$6912,0)),"-")</f>
        <v>72</v>
      </c>
      <c r="F2131" s="4" t="str">
        <f aca="false">IFERROR(INDEX(Positions!$E$2:$E$6912,MATCH($A2131&amp;"|2",Positions!$A$2:$A$6912,0)),"-")</f>
        <v>G</v>
      </c>
      <c r="G2131" s="4" t="str">
        <f aca="false">IFERROR(INDEX(Positions!$E$2:$E$6912,MATCH($A2131&amp;"|71",Positions!$A$2:$A$6912,0)),"-")</f>
        <v>C</v>
      </c>
      <c r="H2131" s="3" t="str">
        <f aca="false">F2131&amp;"-"&amp;G2131</f>
        <v>G-C</v>
      </c>
      <c r="I2131" s="4" t="n">
        <f aca="false">(F2131="G")+(G2131="G")</f>
        <v>1</v>
      </c>
      <c r="J2131" s="4" t="n">
        <f aca="false">(F2131="C")+(G2131="C")</f>
        <v>1</v>
      </c>
      <c r="K2131" s="3" t="n">
        <f aca="false">I2131+J2131</f>
        <v>2</v>
      </c>
    </row>
    <row r="2132" customFormat="false" ht="15" hidden="false" customHeight="false" outlineLevel="0" collapsed="false">
      <c r="A2132" s="4" t="s">
        <v>113</v>
      </c>
      <c r="B2132" s="4" t="s">
        <v>412</v>
      </c>
      <c r="C2132" s="4" t="s">
        <v>386</v>
      </c>
      <c r="D2132" s="4" t="n">
        <f aca="false">IFERROR(INDEX(Positions!$D$2:$D$6912,MATCH($A2132&amp;"|3",Positions!$A$2:$A$6912,0)),"-")</f>
        <v>3</v>
      </c>
      <c r="E2132" s="4" t="n">
        <f aca="false">IFERROR(INDEX(Positions!$D$2:$D$6912,MATCH($A2132&amp;"|70",Positions!$A$2:$A$6912,0)),"-")</f>
        <v>71</v>
      </c>
      <c r="F2132" s="4" t="str">
        <f aca="false">IFERROR(INDEX(Positions!$E$2:$E$6912,MATCH($A2132&amp;"|3",Positions!$A$2:$A$6912,0)),"-")</f>
        <v>C</v>
      </c>
      <c r="G2132" s="4" t="str">
        <f aca="false">IFERROR(INDEX(Positions!$E$2:$E$6912,MATCH($A2132&amp;"|70",Positions!$A$2:$A$6912,0)),"-")</f>
        <v>G</v>
      </c>
      <c r="H2132" s="3" t="str">
        <f aca="false">F2132&amp;"-"&amp;G2132</f>
        <v>C-G</v>
      </c>
      <c r="I2132" s="4" t="n">
        <f aca="false">(F2132="G")+(G2132="G")</f>
        <v>1</v>
      </c>
      <c r="J2132" s="4" t="n">
        <f aca="false">(F2132="C")+(G2132="C")</f>
        <v>1</v>
      </c>
      <c r="K2132" s="3" t="n">
        <f aca="false">I2132+J2132</f>
        <v>2</v>
      </c>
    </row>
    <row r="2133" customFormat="false" ht="15" hidden="false" customHeight="false" outlineLevel="0" collapsed="false">
      <c r="A2133" s="4" t="s">
        <v>113</v>
      </c>
      <c r="B2133" s="4" t="s">
        <v>412</v>
      </c>
      <c r="C2133" s="4" t="s">
        <v>519</v>
      </c>
      <c r="D2133" s="4" t="n">
        <f aca="false">IFERROR(INDEX(Positions!$D$2:$D$6912,MATCH($A2133&amp;"|4",Positions!$A$2:$A$6912,0)),"-")</f>
        <v>4</v>
      </c>
      <c r="E2133" s="4" t="n">
        <f aca="false">IFERROR(INDEX(Positions!$D$2:$D$6912,MATCH($A2133&amp;"|69",Positions!$A$2:$A$6912,0)),"-")</f>
        <v>70</v>
      </c>
      <c r="F2133" s="4" t="str">
        <f aca="false">IFERROR(INDEX(Positions!$E$2:$E$6912,MATCH($A2133&amp;"|4",Positions!$A$2:$A$6912,0)),"-")</f>
        <v>C</v>
      </c>
      <c r="G2133" s="4" t="str">
        <f aca="false">IFERROR(INDEX(Positions!$E$2:$E$6912,MATCH($A2133&amp;"|69",Positions!$A$2:$A$6912,0)),"-")</f>
        <v>G</v>
      </c>
      <c r="H2133" s="3" t="str">
        <f aca="false">F2133&amp;"-"&amp;G2133</f>
        <v>C-G</v>
      </c>
      <c r="I2133" s="4" t="n">
        <f aca="false">(F2133="G")+(G2133="G")</f>
        <v>1</v>
      </c>
      <c r="J2133" s="4" t="n">
        <f aca="false">(F2133="C")+(G2133="C")</f>
        <v>1</v>
      </c>
      <c r="K2133" s="3" t="n">
        <f aca="false">I2133+J2133</f>
        <v>2</v>
      </c>
    </row>
    <row r="2134" customFormat="false" ht="15" hidden="false" customHeight="false" outlineLevel="0" collapsed="false">
      <c r="A2134" s="4" t="s">
        <v>113</v>
      </c>
      <c r="B2134" s="4" t="s">
        <v>412</v>
      </c>
      <c r="C2134" s="4" t="s">
        <v>283</v>
      </c>
      <c r="D2134" s="4" t="n">
        <f aca="false">IFERROR(INDEX(Positions!$D$2:$D$6912,MATCH($A2134&amp;"|5",Positions!$A$2:$A$6912,0)),"-")</f>
        <v>5</v>
      </c>
      <c r="E2134" s="4" t="n">
        <f aca="false">IFERROR(INDEX(Positions!$D$2:$D$6912,MATCH($A2134&amp;"|68",Positions!$A$2:$A$6912,0)),"-")</f>
        <v>69</v>
      </c>
      <c r="F2134" s="4" t="str">
        <f aca="false">IFERROR(INDEX(Positions!$E$2:$E$6912,MATCH($A2134&amp;"|5",Positions!$A$2:$A$6912,0)),"-")</f>
        <v>C</v>
      </c>
      <c r="G2134" s="4" t="str">
        <f aca="false">IFERROR(INDEX(Positions!$E$2:$E$6912,MATCH($A2134&amp;"|68",Positions!$A$2:$A$6912,0)),"-")</f>
        <v>G</v>
      </c>
      <c r="H2134" s="3" t="str">
        <f aca="false">F2134&amp;"-"&amp;G2134</f>
        <v>C-G</v>
      </c>
      <c r="I2134" s="4" t="n">
        <f aca="false">(F2134="G")+(G2134="G")</f>
        <v>1</v>
      </c>
      <c r="J2134" s="4" t="n">
        <f aca="false">(F2134="C")+(G2134="C")</f>
        <v>1</v>
      </c>
      <c r="K2134" s="3" t="n">
        <f aca="false">I2134+J2134</f>
        <v>2</v>
      </c>
    </row>
    <row r="2135" customFormat="false" ht="15" hidden="false" customHeight="false" outlineLevel="0" collapsed="false">
      <c r="A2135" s="4" t="s">
        <v>113</v>
      </c>
      <c r="B2135" s="4" t="s">
        <v>412</v>
      </c>
      <c r="C2135" s="4" t="s">
        <v>520</v>
      </c>
      <c r="D2135" s="4" t="n">
        <f aca="false">IFERROR(INDEX(Positions!$D$2:$D$6912,MATCH($A2135&amp;"|6",Positions!$A$2:$A$6912,0)),"-")</f>
        <v>6</v>
      </c>
      <c r="E2135" s="4" t="n">
        <f aca="false">IFERROR(INDEX(Positions!$D$2:$D$6912,MATCH($A2135&amp;"|67",Positions!$A$2:$A$6912,0)),"-")</f>
        <v>68</v>
      </c>
      <c r="F2135" s="4" t="str">
        <f aca="false">IFERROR(INDEX(Positions!$E$2:$E$6912,MATCH($A2135&amp;"|6",Positions!$A$2:$A$6912,0)),"-")</f>
        <v>C</v>
      </c>
      <c r="G2135" s="4" t="str">
        <f aca="false">IFERROR(INDEX(Positions!$E$2:$E$6912,MATCH($A2135&amp;"|67",Positions!$A$2:$A$6912,0)),"-")</f>
        <v>G</v>
      </c>
      <c r="H2135" s="3" t="str">
        <f aca="false">F2135&amp;"-"&amp;G2135</f>
        <v>C-G</v>
      </c>
      <c r="I2135" s="4" t="n">
        <f aca="false">(F2135="G")+(G2135="G")</f>
        <v>1</v>
      </c>
      <c r="J2135" s="4" t="n">
        <f aca="false">(F2135="C")+(G2135="C")</f>
        <v>1</v>
      </c>
      <c r="K2135" s="3" t="n">
        <f aca="false">I2135+J2135</f>
        <v>2</v>
      </c>
    </row>
    <row r="2136" customFormat="false" ht="15" hidden="false" customHeight="false" outlineLevel="0" collapsed="false">
      <c r="A2136" s="4" t="s">
        <v>113</v>
      </c>
      <c r="B2136" s="4" t="s">
        <v>412</v>
      </c>
      <c r="C2136" s="4" t="s">
        <v>521</v>
      </c>
      <c r="D2136" s="4" t="n">
        <f aca="false">IFERROR(INDEX(Positions!$D$2:$D$6912,MATCH($A2136&amp;"|7",Positions!$A$2:$A$6912,0)),"-")</f>
        <v>7</v>
      </c>
      <c r="E2136" s="4" t="n">
        <f aca="false">IFERROR(INDEX(Positions!$D$2:$D$6912,MATCH($A2136&amp;"|66",Positions!$A$2:$A$6912,0)),"-")</f>
        <v>67</v>
      </c>
      <c r="F2136" s="4" t="str">
        <f aca="false">IFERROR(INDEX(Positions!$E$2:$E$6912,MATCH($A2136&amp;"|7",Positions!$A$2:$A$6912,0)),"-")</f>
        <v>G</v>
      </c>
      <c r="G2136" s="4" t="str">
        <f aca="false">IFERROR(INDEX(Positions!$E$2:$E$6912,MATCH($A2136&amp;"|66",Positions!$A$2:$A$6912,0)),"-")</f>
        <v>C</v>
      </c>
      <c r="H2136" s="3" t="str">
        <f aca="false">F2136&amp;"-"&amp;G2136</f>
        <v>G-C</v>
      </c>
      <c r="I2136" s="4" t="n">
        <f aca="false">(F2136="G")+(G2136="G")</f>
        <v>1</v>
      </c>
      <c r="J2136" s="4" t="n">
        <f aca="false">(F2136="C")+(G2136="C")</f>
        <v>1</v>
      </c>
      <c r="K2136" s="3" t="n">
        <f aca="false">I2136+J2136</f>
        <v>2</v>
      </c>
    </row>
    <row r="2137" customFormat="false" ht="15" hidden="false" customHeight="false" outlineLevel="0" collapsed="false">
      <c r="A2137" s="4" t="s">
        <v>113</v>
      </c>
      <c r="B2137" s="4" t="s">
        <v>425</v>
      </c>
      <c r="C2137" s="4" t="s">
        <v>522</v>
      </c>
      <c r="D2137" s="4" t="n">
        <f aca="false">IFERROR(INDEX(Positions!$D$2:$D$6912,MATCH($A2137&amp;"|10",Positions!$A$2:$A$6912,0)),"-")</f>
        <v>10</v>
      </c>
      <c r="E2137" s="4" t="n">
        <f aca="false">IFERROR(INDEX(Positions!$D$2:$D$6912,MATCH($A2137&amp;"|25",Positions!$A$2:$A$6912,0)),"-")</f>
        <v>26</v>
      </c>
      <c r="F2137" s="4" t="str">
        <f aca="false">IFERROR(INDEX(Positions!$E$2:$E$6912,MATCH($A2137&amp;"|10",Positions!$A$2:$A$6912,0)),"-")</f>
        <v>G</v>
      </c>
      <c r="G2137" s="4" t="str">
        <f aca="false">IFERROR(INDEX(Positions!$E$2:$E$6912,MATCH($A2137&amp;"|25",Positions!$A$2:$A$6912,0)),"-")</f>
        <v>C</v>
      </c>
      <c r="H2137" s="3" t="str">
        <f aca="false">F2137&amp;"-"&amp;G2137</f>
        <v>G-C</v>
      </c>
      <c r="I2137" s="4" t="n">
        <f aca="false">(F2137="G")+(G2137="G")</f>
        <v>1</v>
      </c>
      <c r="J2137" s="4" t="n">
        <f aca="false">(F2137="C")+(G2137="C")</f>
        <v>1</v>
      </c>
      <c r="K2137" s="3" t="n">
        <f aca="false">I2137+J2137</f>
        <v>2</v>
      </c>
    </row>
    <row r="2138" customFormat="false" ht="15" hidden="false" customHeight="false" outlineLevel="0" collapsed="false">
      <c r="A2138" s="4" t="s">
        <v>113</v>
      </c>
      <c r="B2138" s="4" t="s">
        <v>425</v>
      </c>
      <c r="C2138" s="4" t="s">
        <v>523</v>
      </c>
      <c r="D2138" s="4" t="n">
        <f aca="false">IFERROR(INDEX(Positions!$D$2:$D$6912,MATCH($A2138&amp;"|11",Positions!$A$2:$A$6912,0)),"-")</f>
        <v>11</v>
      </c>
      <c r="E2138" s="4" t="n">
        <f aca="false">IFERROR(INDEX(Positions!$D$2:$D$6912,MATCH($A2138&amp;"|24",Positions!$A$2:$A$6912,0)),"-")</f>
        <v>25</v>
      </c>
      <c r="F2138" s="4" t="str">
        <f aca="false">IFERROR(INDEX(Positions!$E$2:$E$6912,MATCH($A2138&amp;"|11",Positions!$A$2:$A$6912,0)),"-")</f>
        <v>U</v>
      </c>
      <c r="G2138" s="4" t="str">
        <f aca="false">IFERROR(INDEX(Positions!$E$2:$E$6912,MATCH($A2138&amp;"|24",Positions!$A$2:$A$6912,0)),"-")</f>
        <v>A</v>
      </c>
      <c r="H2138" s="3" t="str">
        <f aca="false">F2138&amp;"-"&amp;G2138</f>
        <v>U-A</v>
      </c>
      <c r="I2138" s="4" t="n">
        <f aca="false">(F2138="G")+(G2138="G")</f>
        <v>0</v>
      </c>
      <c r="J2138" s="4" t="n">
        <f aca="false">(F2138="C")+(G2138="C")</f>
        <v>0</v>
      </c>
      <c r="K2138" s="3" t="n">
        <f aca="false">I2138+J2138</f>
        <v>0</v>
      </c>
    </row>
    <row r="2139" customFormat="false" ht="15" hidden="false" customHeight="false" outlineLevel="0" collapsed="false">
      <c r="A2139" s="4" t="s">
        <v>113</v>
      </c>
      <c r="B2139" s="4" t="s">
        <v>425</v>
      </c>
      <c r="C2139" s="4" t="s">
        <v>250</v>
      </c>
      <c r="D2139" s="4" t="n">
        <f aca="false">IFERROR(INDEX(Positions!$D$2:$D$6912,MATCH($A2139&amp;"|12",Positions!$A$2:$A$6912,0)),"-")</f>
        <v>12</v>
      </c>
      <c r="E2139" s="4" t="n">
        <f aca="false">IFERROR(INDEX(Positions!$D$2:$D$6912,MATCH($A2139&amp;"|23",Positions!$A$2:$A$6912,0)),"-")</f>
        <v>24</v>
      </c>
      <c r="F2139" s="4" t="str">
        <f aca="false">IFERROR(INDEX(Positions!$E$2:$E$6912,MATCH($A2139&amp;"|12",Positions!$A$2:$A$6912,0)),"-")</f>
        <v>G</v>
      </c>
      <c r="G2139" s="4" t="str">
        <f aca="false">IFERROR(INDEX(Positions!$E$2:$E$6912,MATCH($A2139&amp;"|23",Positions!$A$2:$A$6912,0)),"-")</f>
        <v>C</v>
      </c>
      <c r="H2139" s="3" t="str">
        <f aca="false">F2139&amp;"-"&amp;G2139</f>
        <v>G-C</v>
      </c>
      <c r="I2139" s="4" t="n">
        <f aca="false">(F2139="G")+(G2139="G")</f>
        <v>1</v>
      </c>
      <c r="J2139" s="4" t="n">
        <f aca="false">(F2139="C")+(G2139="C")</f>
        <v>1</v>
      </c>
      <c r="K2139" s="3" t="n">
        <f aca="false">I2139+J2139</f>
        <v>2</v>
      </c>
    </row>
    <row r="2140" customFormat="false" ht="15" hidden="false" customHeight="false" outlineLevel="0" collapsed="false">
      <c r="A2140" s="4" t="s">
        <v>113</v>
      </c>
      <c r="B2140" s="4" t="s">
        <v>425</v>
      </c>
      <c r="C2140" s="4" t="s">
        <v>154</v>
      </c>
      <c r="D2140" s="4" t="n">
        <f aca="false">IFERROR(INDEX(Positions!$D$2:$D$6912,MATCH($A2140&amp;"|13",Positions!$A$2:$A$6912,0)),"-")</f>
        <v>13</v>
      </c>
      <c r="E2140" s="4" t="n">
        <f aca="false">IFERROR(INDEX(Positions!$D$2:$D$6912,MATCH($A2140&amp;"|22",Positions!$A$2:$A$6912,0)),"-")</f>
        <v>23</v>
      </c>
      <c r="F2140" s="4" t="str">
        <f aca="false">IFERROR(INDEX(Positions!$E$2:$E$6912,MATCH($A2140&amp;"|13",Positions!$A$2:$A$6912,0)),"-")</f>
        <v>U</v>
      </c>
      <c r="G2140" s="4" t="str">
        <f aca="false">IFERROR(INDEX(Positions!$E$2:$E$6912,MATCH($A2140&amp;"|22",Positions!$A$2:$A$6912,0)),"-")</f>
        <v>A</v>
      </c>
      <c r="H2140" s="3" t="str">
        <f aca="false">F2140&amp;"-"&amp;G2140</f>
        <v>U-A</v>
      </c>
      <c r="I2140" s="4" t="n">
        <f aca="false">(F2140="G")+(G2140="G")</f>
        <v>0</v>
      </c>
      <c r="J2140" s="4" t="n">
        <f aca="false">(F2140="C")+(G2140="C")</f>
        <v>0</v>
      </c>
      <c r="K2140" s="3" t="n">
        <f aca="false">I2140+J2140</f>
        <v>0</v>
      </c>
    </row>
    <row r="2141" customFormat="false" ht="15" hidden="false" customHeight="false" outlineLevel="0" collapsed="false">
      <c r="A2141" s="4" t="s">
        <v>113</v>
      </c>
      <c r="B2141" s="4" t="s">
        <v>446</v>
      </c>
      <c r="C2141" s="4" t="s">
        <v>524</v>
      </c>
      <c r="D2141" s="4" t="n">
        <f aca="false">IFERROR(INDEX(Positions!$D$2:$D$6912,MATCH($A2141&amp;"|27",Positions!$A$2:$A$6912,0)),"-")</f>
        <v>28</v>
      </c>
      <c r="E2141" s="4" t="n">
        <f aca="false">IFERROR(INDEX(Positions!$D$2:$D$6912,MATCH($A2141&amp;"|43",Positions!$A$2:$A$6912,0)),"-")</f>
        <v>44</v>
      </c>
      <c r="F2141" s="4" t="str">
        <f aca="false">IFERROR(INDEX(Positions!$E$2:$E$6912,MATCH($A2141&amp;"|27",Positions!$A$2:$A$6912,0)),"-")</f>
        <v>C</v>
      </c>
      <c r="G2141" s="4" t="str">
        <f aca="false">IFERROR(INDEX(Positions!$E$2:$E$6912,MATCH($A2141&amp;"|43",Positions!$A$2:$A$6912,0)),"-")</f>
        <v>G</v>
      </c>
      <c r="H2141" s="3" t="str">
        <f aca="false">F2141&amp;"-"&amp;G2141</f>
        <v>C-G</v>
      </c>
      <c r="I2141" s="4" t="n">
        <f aca="false">(F2141="G")+(G2141="G")</f>
        <v>1</v>
      </c>
      <c r="J2141" s="4" t="n">
        <f aca="false">(F2141="C")+(G2141="C")</f>
        <v>1</v>
      </c>
      <c r="K2141" s="3" t="n">
        <f aca="false">I2141+J2141</f>
        <v>2</v>
      </c>
    </row>
    <row r="2142" customFormat="false" ht="15" hidden="false" customHeight="false" outlineLevel="0" collapsed="false">
      <c r="A2142" s="4" t="s">
        <v>113</v>
      </c>
      <c r="B2142" s="4" t="s">
        <v>446</v>
      </c>
      <c r="C2142" s="4" t="s">
        <v>525</v>
      </c>
      <c r="D2142" s="4" t="n">
        <f aca="false">IFERROR(INDEX(Positions!$D$2:$D$6912,MATCH($A2142&amp;"|28",Positions!$A$2:$A$6912,0)),"-")</f>
        <v>29</v>
      </c>
      <c r="E2142" s="4" t="n">
        <f aca="false">IFERROR(INDEX(Positions!$D$2:$D$6912,MATCH($A2142&amp;"|42",Positions!$A$2:$A$6912,0)),"-")</f>
        <v>43</v>
      </c>
      <c r="F2142" s="4" t="str">
        <f aca="false">IFERROR(INDEX(Positions!$E$2:$E$6912,MATCH($A2142&amp;"|28",Positions!$A$2:$A$6912,0)),"-")</f>
        <v>C</v>
      </c>
      <c r="G2142" s="4" t="str">
        <f aca="false">IFERROR(INDEX(Positions!$E$2:$E$6912,MATCH($A2142&amp;"|42",Positions!$A$2:$A$6912,0)),"-")</f>
        <v>G</v>
      </c>
      <c r="H2142" s="3" t="str">
        <f aca="false">F2142&amp;"-"&amp;G2142</f>
        <v>C-G</v>
      </c>
      <c r="I2142" s="4" t="n">
        <f aca="false">(F2142="G")+(G2142="G")</f>
        <v>1</v>
      </c>
      <c r="J2142" s="4" t="n">
        <f aca="false">(F2142="C")+(G2142="C")</f>
        <v>1</v>
      </c>
      <c r="K2142" s="3" t="n">
        <f aca="false">I2142+J2142</f>
        <v>2</v>
      </c>
    </row>
    <row r="2143" customFormat="false" ht="15" hidden="false" customHeight="false" outlineLevel="0" collapsed="false">
      <c r="A2143" s="4" t="s">
        <v>113</v>
      </c>
      <c r="B2143" s="4" t="s">
        <v>446</v>
      </c>
      <c r="C2143" s="4" t="s">
        <v>256</v>
      </c>
      <c r="D2143" s="4" t="n">
        <f aca="false">IFERROR(INDEX(Positions!$D$2:$D$6912,MATCH($A2143&amp;"|29",Positions!$A$2:$A$6912,0)),"-")</f>
        <v>30</v>
      </c>
      <c r="E2143" s="4" t="n">
        <f aca="false">IFERROR(INDEX(Positions!$D$2:$D$6912,MATCH($A2143&amp;"|41",Positions!$A$2:$A$6912,0)),"-")</f>
        <v>42</v>
      </c>
      <c r="F2143" s="4" t="str">
        <f aca="false">IFERROR(INDEX(Positions!$E$2:$E$6912,MATCH($A2143&amp;"|29",Positions!$A$2:$A$6912,0)),"-")</f>
        <v>C</v>
      </c>
      <c r="G2143" s="4" t="str">
        <f aca="false">IFERROR(INDEX(Positions!$E$2:$E$6912,MATCH($A2143&amp;"|41",Positions!$A$2:$A$6912,0)),"-")</f>
        <v>G</v>
      </c>
      <c r="H2143" s="3" t="str">
        <f aca="false">F2143&amp;"-"&amp;G2143</f>
        <v>C-G</v>
      </c>
      <c r="I2143" s="4" t="n">
        <f aca="false">(F2143="G")+(G2143="G")</f>
        <v>1</v>
      </c>
      <c r="J2143" s="4" t="n">
        <f aca="false">(F2143="C")+(G2143="C")</f>
        <v>1</v>
      </c>
      <c r="K2143" s="3" t="n">
        <f aca="false">I2143+J2143</f>
        <v>2</v>
      </c>
    </row>
    <row r="2144" customFormat="false" ht="15" hidden="false" customHeight="false" outlineLevel="0" collapsed="false">
      <c r="A2144" s="4" t="s">
        <v>113</v>
      </c>
      <c r="B2144" s="4" t="s">
        <v>446</v>
      </c>
      <c r="C2144" s="4" t="s">
        <v>526</v>
      </c>
      <c r="D2144" s="4" t="n">
        <f aca="false">IFERROR(INDEX(Positions!$D$2:$D$6912,MATCH($A2144&amp;"|30",Positions!$A$2:$A$6912,0)),"-")</f>
        <v>31</v>
      </c>
      <c r="E2144" s="4" t="n">
        <f aca="false">IFERROR(INDEX(Positions!$D$2:$D$6912,MATCH($A2144&amp;"|40",Positions!$A$2:$A$6912,0)),"-")</f>
        <v>41</v>
      </c>
      <c r="F2144" s="4" t="str">
        <f aca="false">IFERROR(INDEX(Positions!$E$2:$E$6912,MATCH($A2144&amp;"|30",Positions!$A$2:$A$6912,0)),"-")</f>
        <v>G</v>
      </c>
      <c r="G2144" s="4" t="str">
        <f aca="false">IFERROR(INDEX(Positions!$E$2:$E$6912,MATCH($A2144&amp;"|40",Positions!$A$2:$A$6912,0)),"-")</f>
        <v>U</v>
      </c>
      <c r="H2144" s="3" t="str">
        <f aca="false">F2144&amp;"-"&amp;G2144</f>
        <v>G-U</v>
      </c>
      <c r="I2144" s="4" t="n">
        <f aca="false">(F2144="G")+(G2144="G")</f>
        <v>1</v>
      </c>
      <c r="J2144" s="4" t="n">
        <f aca="false">(F2144="C")+(G2144="C")</f>
        <v>0</v>
      </c>
      <c r="K2144" s="3" t="n">
        <f aca="false">I2144+J2144</f>
        <v>1</v>
      </c>
    </row>
    <row r="2145" customFormat="false" ht="15" hidden="false" customHeight="false" outlineLevel="0" collapsed="false">
      <c r="A2145" s="4" t="s">
        <v>113</v>
      </c>
      <c r="B2145" s="4" t="s">
        <v>446</v>
      </c>
      <c r="C2145" s="4" t="s">
        <v>273</v>
      </c>
      <c r="D2145" s="4" t="n">
        <f aca="false">IFERROR(INDEX(Positions!$D$2:$D$6912,MATCH($A2145&amp;"|31",Positions!$A$2:$A$6912,0)),"-")</f>
        <v>32</v>
      </c>
      <c r="E2145" s="4" t="n">
        <f aca="false">IFERROR(INDEX(Positions!$D$2:$D$6912,MATCH($A2145&amp;"|39",Positions!$A$2:$A$6912,0)),"-")</f>
        <v>40</v>
      </c>
      <c r="F2145" s="4" t="str">
        <f aca="false">IFERROR(INDEX(Positions!$E$2:$E$6912,MATCH($A2145&amp;"|31",Positions!$A$2:$A$6912,0)),"-")</f>
        <v>C</v>
      </c>
      <c r="G2145" s="4" t="str">
        <f aca="false">IFERROR(INDEX(Positions!$E$2:$E$6912,MATCH($A2145&amp;"|39",Positions!$A$2:$A$6912,0)),"-")</f>
        <v>G</v>
      </c>
      <c r="H2145" s="3" t="str">
        <f aca="false">F2145&amp;"-"&amp;G2145</f>
        <v>C-G</v>
      </c>
      <c r="I2145" s="4" t="n">
        <f aca="false">(F2145="G")+(G2145="G")</f>
        <v>1</v>
      </c>
      <c r="J2145" s="4" t="n">
        <f aca="false">(F2145="C")+(G2145="C")</f>
        <v>1</v>
      </c>
      <c r="K2145" s="3" t="n">
        <f aca="false">I2145+J2145</f>
        <v>2</v>
      </c>
    </row>
    <row r="2146" customFormat="false" ht="15" hidden="false" customHeight="false" outlineLevel="0" collapsed="false">
      <c r="A2146" s="4" t="s">
        <v>113</v>
      </c>
      <c r="B2146" s="4" t="s">
        <v>471</v>
      </c>
      <c r="C2146" s="4" t="s">
        <v>367</v>
      </c>
      <c r="D2146" s="4" t="n">
        <f aca="false">IFERROR(INDEX(Positions!$D$2:$D$6912,MATCH($A2146&amp;"|49",Positions!$A$2:$A$6912,0)),"-")</f>
        <v>50</v>
      </c>
      <c r="E2146" s="4" t="n">
        <f aca="false">IFERROR(INDEX(Positions!$D$2:$D$6912,MATCH($A2146&amp;"|65",Positions!$A$2:$A$6912,0)),"-")</f>
        <v>66</v>
      </c>
      <c r="F2146" s="4" t="str">
        <f aca="false">IFERROR(INDEX(Positions!$E$2:$E$6912,MATCH($A2146&amp;"|49",Positions!$A$2:$A$6912,0)),"-")</f>
        <v>G</v>
      </c>
      <c r="G2146" s="4" t="str">
        <f aca="false">IFERROR(INDEX(Positions!$E$2:$E$6912,MATCH($A2146&amp;"|65",Positions!$A$2:$A$6912,0)),"-")</f>
        <v>U</v>
      </c>
      <c r="H2146" s="3" t="str">
        <f aca="false">F2146&amp;"-"&amp;G2146</f>
        <v>G-U</v>
      </c>
      <c r="I2146" s="4" t="n">
        <f aca="false">(F2146="G")+(G2146="G")</f>
        <v>1</v>
      </c>
      <c r="J2146" s="4" t="n">
        <f aca="false">(F2146="C")+(G2146="C")</f>
        <v>0</v>
      </c>
      <c r="K2146" s="3" t="n">
        <f aca="false">I2146+J2146</f>
        <v>1</v>
      </c>
    </row>
    <row r="2147" customFormat="false" ht="15" hidden="false" customHeight="false" outlineLevel="0" collapsed="false">
      <c r="A2147" s="4" t="s">
        <v>113</v>
      </c>
      <c r="B2147" s="4" t="s">
        <v>471</v>
      </c>
      <c r="C2147" s="4" t="s">
        <v>233</v>
      </c>
      <c r="D2147" s="4" t="n">
        <f aca="false">IFERROR(INDEX(Positions!$D$2:$D$6912,MATCH($A2147&amp;"|50",Positions!$A$2:$A$6912,0)),"-")</f>
        <v>51</v>
      </c>
      <c r="E2147" s="4" t="n">
        <f aca="false">IFERROR(INDEX(Positions!$D$2:$D$6912,MATCH($A2147&amp;"|64",Positions!$A$2:$A$6912,0)),"-")</f>
        <v>65</v>
      </c>
      <c r="F2147" s="4" t="str">
        <f aca="false">IFERROR(INDEX(Positions!$E$2:$E$6912,MATCH($A2147&amp;"|50",Positions!$A$2:$A$6912,0)),"-")</f>
        <v>C</v>
      </c>
      <c r="G2147" s="4" t="str">
        <f aca="false">IFERROR(INDEX(Positions!$E$2:$E$6912,MATCH($A2147&amp;"|64",Positions!$A$2:$A$6912,0)),"-")</f>
        <v>G</v>
      </c>
      <c r="H2147" s="3" t="str">
        <f aca="false">F2147&amp;"-"&amp;G2147</f>
        <v>C-G</v>
      </c>
      <c r="I2147" s="4" t="n">
        <f aca="false">(F2147="G")+(G2147="G")</f>
        <v>1</v>
      </c>
      <c r="J2147" s="4" t="n">
        <f aca="false">(F2147="C")+(G2147="C")</f>
        <v>1</v>
      </c>
      <c r="K2147" s="3" t="n">
        <f aca="false">I2147+J2147</f>
        <v>2</v>
      </c>
    </row>
    <row r="2148" customFormat="false" ht="15" hidden="false" customHeight="false" outlineLevel="0" collapsed="false">
      <c r="A2148" s="4" t="s">
        <v>113</v>
      </c>
      <c r="B2148" s="4" t="s">
        <v>471</v>
      </c>
      <c r="C2148" s="4" t="s">
        <v>527</v>
      </c>
      <c r="D2148" s="4" t="n">
        <f aca="false">IFERROR(INDEX(Positions!$D$2:$D$6912,MATCH($A2148&amp;"|51",Positions!$A$2:$A$6912,0)),"-")</f>
        <v>52</v>
      </c>
      <c r="E2148" s="4" t="n">
        <f aca="false">IFERROR(INDEX(Positions!$D$2:$D$6912,MATCH($A2148&amp;"|63",Positions!$A$2:$A$6912,0)),"-")</f>
        <v>64</v>
      </c>
      <c r="F2148" s="4" t="str">
        <f aca="false">IFERROR(INDEX(Positions!$E$2:$E$6912,MATCH($A2148&amp;"|51",Positions!$A$2:$A$6912,0)),"-")</f>
        <v>G</v>
      </c>
      <c r="G2148" s="4" t="str">
        <f aca="false">IFERROR(INDEX(Positions!$E$2:$E$6912,MATCH($A2148&amp;"|63",Positions!$A$2:$A$6912,0)),"-")</f>
        <v>C</v>
      </c>
      <c r="H2148" s="3" t="str">
        <f aca="false">F2148&amp;"-"&amp;G2148</f>
        <v>G-C</v>
      </c>
      <c r="I2148" s="4" t="n">
        <f aca="false">(F2148="G")+(G2148="G")</f>
        <v>1</v>
      </c>
      <c r="J2148" s="4" t="n">
        <f aca="false">(F2148="C")+(G2148="C")</f>
        <v>1</v>
      </c>
      <c r="K2148" s="3" t="n">
        <f aca="false">I2148+J2148</f>
        <v>2</v>
      </c>
    </row>
    <row r="2149" customFormat="false" ht="15" hidden="false" customHeight="false" outlineLevel="0" collapsed="false">
      <c r="A2149" s="4" t="s">
        <v>113</v>
      </c>
      <c r="B2149" s="4" t="s">
        <v>471</v>
      </c>
      <c r="C2149" s="4" t="s">
        <v>528</v>
      </c>
      <c r="D2149" s="4" t="n">
        <f aca="false">IFERROR(INDEX(Positions!$D$2:$D$6912,MATCH($A2149&amp;"|52",Positions!$A$2:$A$6912,0)),"-")</f>
        <v>53</v>
      </c>
      <c r="E2149" s="4" t="n">
        <f aca="false">IFERROR(INDEX(Positions!$D$2:$D$6912,MATCH($A2149&amp;"|62",Positions!$A$2:$A$6912,0)),"-")</f>
        <v>63</v>
      </c>
      <c r="F2149" s="4" t="str">
        <f aca="false">IFERROR(INDEX(Positions!$E$2:$E$6912,MATCH($A2149&amp;"|52",Positions!$A$2:$A$6912,0)),"-")</f>
        <v>G</v>
      </c>
      <c r="G2149" s="4" t="str">
        <f aca="false">IFERROR(INDEX(Positions!$E$2:$E$6912,MATCH($A2149&amp;"|62",Positions!$A$2:$A$6912,0)),"-")</f>
        <v>C</v>
      </c>
      <c r="H2149" s="3" t="str">
        <f aca="false">F2149&amp;"-"&amp;G2149</f>
        <v>G-C</v>
      </c>
      <c r="I2149" s="4" t="n">
        <f aca="false">(F2149="G")+(G2149="G")</f>
        <v>1</v>
      </c>
      <c r="J2149" s="4" t="n">
        <f aca="false">(F2149="C")+(G2149="C")</f>
        <v>1</v>
      </c>
      <c r="K2149" s="3" t="n">
        <f aca="false">I2149+J2149</f>
        <v>2</v>
      </c>
    </row>
    <row r="2150" customFormat="false" ht="15" hidden="false" customHeight="false" outlineLevel="0" collapsed="false">
      <c r="A2150" s="4" t="s">
        <v>113</v>
      </c>
      <c r="B2150" s="4" t="s">
        <v>471</v>
      </c>
      <c r="C2150" s="4" t="s">
        <v>529</v>
      </c>
      <c r="D2150" s="4" t="n">
        <f aca="false">IFERROR(INDEX(Positions!$D$2:$D$6912,MATCH($A2150&amp;"|53",Positions!$A$2:$A$6912,0)),"-")</f>
        <v>54</v>
      </c>
      <c r="E2150" s="4" t="n">
        <f aca="false">IFERROR(INDEX(Positions!$D$2:$D$6912,MATCH($A2150&amp;"|61",Positions!$A$2:$A$6912,0)),"-")</f>
        <v>62</v>
      </c>
      <c r="F2150" s="4" t="str">
        <f aca="false">IFERROR(INDEX(Positions!$E$2:$E$6912,MATCH($A2150&amp;"|53",Positions!$A$2:$A$6912,0)),"-")</f>
        <v>G</v>
      </c>
      <c r="G2150" s="4" t="str">
        <f aca="false">IFERROR(INDEX(Positions!$E$2:$E$6912,MATCH($A2150&amp;"|61",Positions!$A$2:$A$6912,0)),"-")</f>
        <v>C</v>
      </c>
      <c r="H2150" s="3" t="str">
        <f aca="false">F2150&amp;"-"&amp;G2150</f>
        <v>G-C</v>
      </c>
      <c r="I2150" s="4" t="n">
        <f aca="false">(F2150="G")+(G2150="G")</f>
        <v>1</v>
      </c>
      <c r="J2150" s="4" t="n">
        <f aca="false">(F2150="C")+(G2150="C")</f>
        <v>1</v>
      </c>
      <c r="K2150" s="3" t="n">
        <f aca="false">I2150+J2150</f>
        <v>2</v>
      </c>
    </row>
    <row r="2151" customFormat="false" ht="15" hidden="false" customHeight="false" outlineLevel="0" collapsed="false">
      <c r="A2151" s="24" t="s">
        <v>113</v>
      </c>
      <c r="B2151" s="24" t="s">
        <v>530</v>
      </c>
      <c r="C2151" s="24" t="s">
        <v>531</v>
      </c>
      <c r="D2151" s="24" t="n">
        <f aca="false">IFERROR(INDEX(Positions!$D$2:$D$6912,MATCH($A2151&amp;"|8",Positions!$A$2:$A$6912,0)),"-")</f>
        <v>8</v>
      </c>
      <c r="E2151" s="24" t="n">
        <f aca="false">IFERROR(INDEX(Positions!$D$2:$D$6912,MATCH($A2151&amp;"|14",Positions!$A$2:$A$6912,0)),"-")</f>
        <v>14</v>
      </c>
      <c r="F2151" s="24" t="str">
        <f aca="false">IFERROR(INDEX(Positions!$E$2:$E$6912,MATCH($A2151&amp;"|8",Positions!$A$2:$A$6912,0)),"-")</f>
        <v>U</v>
      </c>
      <c r="G2151" s="24" t="str">
        <f aca="false">IFERROR(INDEX(Positions!$E$2:$E$6912,MATCH($A2151&amp;"|14",Positions!$A$2:$A$6912,0)),"-")</f>
        <v>A</v>
      </c>
      <c r="H2151" s="25" t="str">
        <f aca="false">F2151&amp;"-"&amp;G2151</f>
        <v>U-A</v>
      </c>
      <c r="I2151" s="24" t="n">
        <f aca="false">(F2151="G")+(G2151="G")</f>
        <v>0</v>
      </c>
      <c r="J2151" s="24" t="n">
        <f aca="false">(F2151="C")+(G2151="C")</f>
        <v>0</v>
      </c>
      <c r="K2151" s="25" t="n">
        <f aca="false">I2151+J2151</f>
        <v>0</v>
      </c>
    </row>
    <row r="2152" customFormat="false" ht="15" hidden="false" customHeight="false" outlineLevel="0" collapsed="false">
      <c r="A2152" s="24" t="s">
        <v>113</v>
      </c>
      <c r="B2152" s="24" t="s">
        <v>530</v>
      </c>
      <c r="C2152" s="24" t="s">
        <v>532</v>
      </c>
      <c r="D2152" s="24" t="n">
        <f aca="false">IFERROR(INDEX(Positions!$D$2:$D$6912,MATCH($A2152&amp;"|15",Positions!$A$2:$A$6912,0)),"-")</f>
        <v>15</v>
      </c>
      <c r="E2152" s="24" t="n">
        <f aca="false">IFERROR(INDEX(Positions!$D$2:$D$6912,MATCH($A2152&amp;"|48",Positions!$A$2:$A$6912,0)),"-")</f>
        <v>49</v>
      </c>
      <c r="F2152" s="24" t="str">
        <f aca="false">IFERROR(INDEX(Positions!$E$2:$E$6912,MATCH($A2152&amp;"|15",Positions!$A$2:$A$6912,0)),"-")</f>
        <v>G</v>
      </c>
      <c r="G2152" s="24" t="str">
        <f aca="false">IFERROR(INDEX(Positions!$E$2:$E$6912,MATCH($A2152&amp;"|48",Positions!$A$2:$A$6912,0)),"-")</f>
        <v>C</v>
      </c>
      <c r="H2152" s="25" t="str">
        <f aca="false">F2152&amp;"-"&amp;G2152</f>
        <v>G-C</v>
      </c>
      <c r="I2152" s="24" t="n">
        <f aca="false">(F2152="G")+(G2152="G")</f>
        <v>1</v>
      </c>
      <c r="J2152" s="24" t="n">
        <f aca="false">(F2152="C")+(G2152="C")</f>
        <v>1</v>
      </c>
      <c r="K2152" s="25" t="n">
        <f aca="false">I2152+J2152</f>
        <v>2</v>
      </c>
    </row>
    <row r="2153" customFormat="false" ht="15" hidden="false" customHeight="false" outlineLevel="0" collapsed="false">
      <c r="A2153" s="24" t="s">
        <v>113</v>
      </c>
      <c r="B2153" s="24" t="s">
        <v>530</v>
      </c>
      <c r="C2153" s="24" t="s">
        <v>533</v>
      </c>
      <c r="D2153" s="24" t="n">
        <f aca="false">IFERROR(INDEX(Positions!$D$2:$D$6912,MATCH($A2153&amp;"|18",Positions!$A$2:$A$6912,0)),"-")</f>
        <v>18</v>
      </c>
      <c r="E2153" s="24" t="n">
        <f aca="false">IFERROR(INDEX(Positions!$D$2:$D$6912,MATCH($A2153&amp;"|55",Positions!$A$2:$A$6912,0)),"-")</f>
        <v>56</v>
      </c>
      <c r="F2153" s="24" t="str">
        <f aca="false">IFERROR(INDEX(Positions!$E$2:$E$6912,MATCH($A2153&amp;"|18",Positions!$A$2:$A$6912,0)),"-")</f>
        <v>G</v>
      </c>
      <c r="G2153" s="24" t="str">
        <f aca="false">IFERROR(INDEX(Positions!$E$2:$E$6912,MATCH($A2153&amp;"|55",Positions!$A$2:$A$6912,0)),"-")</f>
        <v>U</v>
      </c>
      <c r="H2153" s="25" t="str">
        <f aca="false">F2153&amp;"-"&amp;G2153</f>
        <v>G-U</v>
      </c>
      <c r="I2153" s="24" t="n">
        <f aca="false">(F2153="G")+(G2153="G")</f>
        <v>1</v>
      </c>
      <c r="J2153" s="24" t="n">
        <f aca="false">(F2153="C")+(G2153="C")</f>
        <v>0</v>
      </c>
      <c r="K2153" s="25" t="n">
        <f aca="false">I2153+J2153</f>
        <v>1</v>
      </c>
    </row>
    <row r="2154" customFormat="false" ht="15" hidden="false" customHeight="false" outlineLevel="0" collapsed="false">
      <c r="A2154" s="24" t="s">
        <v>113</v>
      </c>
      <c r="B2154" s="24" t="s">
        <v>530</v>
      </c>
      <c r="C2154" s="24" t="s">
        <v>534</v>
      </c>
      <c r="D2154" s="24" t="n">
        <f aca="false">IFERROR(INDEX(Positions!$D$2:$D$6912,MATCH($A2154&amp;"|19",Positions!$A$2:$A$6912,0)),"-")</f>
        <v>19</v>
      </c>
      <c r="E2154" s="24" t="n">
        <f aca="false">IFERROR(INDEX(Positions!$D$2:$D$6912,MATCH($A2154&amp;"|56",Positions!$A$2:$A$6912,0)),"-")</f>
        <v>57</v>
      </c>
      <c r="F2154" s="24" t="str">
        <f aca="false">IFERROR(INDEX(Positions!$E$2:$E$6912,MATCH($A2154&amp;"|19",Positions!$A$2:$A$6912,0)),"-")</f>
        <v>G</v>
      </c>
      <c r="G2154" s="24" t="str">
        <f aca="false">IFERROR(INDEX(Positions!$E$2:$E$6912,MATCH($A2154&amp;"|56",Positions!$A$2:$A$6912,0)),"-")</f>
        <v>C</v>
      </c>
      <c r="H2154" s="25" t="str">
        <f aca="false">F2154&amp;"-"&amp;G2154</f>
        <v>G-C</v>
      </c>
      <c r="I2154" s="24" t="n">
        <f aca="false">(F2154="G")+(G2154="G")</f>
        <v>1</v>
      </c>
      <c r="J2154" s="24" t="n">
        <f aca="false">(F2154="C")+(G2154="C")</f>
        <v>1</v>
      </c>
      <c r="K2154" s="25" t="n">
        <f aca="false">I2154+J2154</f>
        <v>2</v>
      </c>
    </row>
    <row r="2155" customFormat="false" ht="15" hidden="false" customHeight="false" outlineLevel="0" collapsed="false">
      <c r="A2155" s="24" t="s">
        <v>113</v>
      </c>
      <c r="B2155" s="24" t="s">
        <v>530</v>
      </c>
      <c r="C2155" s="24" t="s">
        <v>535</v>
      </c>
      <c r="D2155" s="24" t="n">
        <f aca="false">IFERROR(INDEX(Positions!$D$2:$D$6912,MATCH($A2155&amp;"|26",Positions!$A$2:$A$6912,0)),"-")</f>
        <v>27</v>
      </c>
      <c r="E2155" s="24" t="n">
        <f aca="false">IFERROR(INDEX(Positions!$D$2:$D$6912,MATCH($A2155&amp;"|44",Positions!$A$2:$A$6912,0)),"-")</f>
        <v>45</v>
      </c>
      <c r="F2155" s="24" t="str">
        <f aca="false">IFERROR(INDEX(Positions!$E$2:$E$6912,MATCH($A2155&amp;"|26",Positions!$A$2:$A$6912,0)),"-")</f>
        <v>A</v>
      </c>
      <c r="G2155" s="24" t="str">
        <f aca="false">IFERROR(INDEX(Positions!$E$2:$E$6912,MATCH($A2155&amp;"|44",Positions!$A$2:$A$6912,0)),"-")</f>
        <v>A</v>
      </c>
      <c r="H2155" s="25" t="str">
        <f aca="false">F2155&amp;"-"&amp;G2155</f>
        <v>A-A</v>
      </c>
      <c r="I2155" s="24" t="n">
        <f aca="false">(F2155="G")+(G2155="G")</f>
        <v>0</v>
      </c>
      <c r="J2155" s="24" t="n">
        <f aca="false">(F2155="C")+(G2155="C")</f>
        <v>0</v>
      </c>
      <c r="K2155" s="25" t="n">
        <f aca="false">I2155+J2155</f>
        <v>0</v>
      </c>
    </row>
    <row r="2156" customFormat="false" ht="15" hidden="false" customHeight="false" outlineLevel="0" collapsed="false">
      <c r="A2156" s="24" t="s">
        <v>113</v>
      </c>
      <c r="B2156" s="24" t="s">
        <v>530</v>
      </c>
      <c r="C2156" s="24" t="s">
        <v>536</v>
      </c>
      <c r="D2156" s="24" t="n">
        <f aca="false">IFERROR(INDEX(Positions!$D$2:$D$6912,MATCH($A2156&amp;"|32",Positions!$A$2:$A$6912,0)),"-")</f>
        <v>33</v>
      </c>
      <c r="E2156" s="24" t="n">
        <f aca="false">IFERROR(INDEX(Positions!$D$2:$D$6912,MATCH($A2156&amp;"|38",Positions!$A$2:$A$6912,0)),"-")</f>
        <v>39</v>
      </c>
      <c r="F2156" s="24" t="str">
        <f aca="false">IFERROR(INDEX(Positions!$E$2:$E$6912,MATCH($A2156&amp;"|32",Positions!$A$2:$A$6912,0)),"-")</f>
        <v>C</v>
      </c>
      <c r="G2156" s="24" t="str">
        <f aca="false">IFERROR(INDEX(Positions!$E$2:$E$6912,MATCH($A2156&amp;"|38",Positions!$A$2:$A$6912,0)),"-")</f>
        <v>C</v>
      </c>
      <c r="H2156" s="25" t="str">
        <f aca="false">F2156&amp;"-"&amp;G2156</f>
        <v>C-C</v>
      </c>
      <c r="I2156" s="24" t="n">
        <f aca="false">(F2156="G")+(G2156="G")</f>
        <v>0</v>
      </c>
      <c r="J2156" s="24" t="n">
        <f aca="false">(F2156="C")+(G2156="C")</f>
        <v>2</v>
      </c>
      <c r="K2156" s="25" t="n">
        <f aca="false">I2156+J2156</f>
        <v>2</v>
      </c>
    </row>
    <row r="2157" customFormat="false" ht="15" hidden="false" customHeight="false" outlineLevel="0" collapsed="false">
      <c r="A2157" s="24" t="s">
        <v>113</v>
      </c>
      <c r="B2157" s="24" t="s">
        <v>530</v>
      </c>
      <c r="C2157" s="24" t="s">
        <v>537</v>
      </c>
      <c r="D2157" s="24" t="n">
        <f aca="false">IFERROR(INDEX(Positions!$D$2:$D$6912,MATCH($A2157&amp;"|54",Positions!$A$2:$A$6912,0)),"-")</f>
        <v>55</v>
      </c>
      <c r="E2157" s="24" t="n">
        <f aca="false">IFERROR(INDEX(Positions!$D$2:$D$6912,MATCH($A2157&amp;"|58",Positions!$A$2:$A$6912,0)),"-")</f>
        <v>59</v>
      </c>
      <c r="F2157" s="24" t="str">
        <f aca="false">IFERROR(INDEX(Positions!$E$2:$E$6912,MATCH($A2157&amp;"|54",Positions!$A$2:$A$6912,0)),"-")</f>
        <v>U</v>
      </c>
      <c r="G2157" s="24" t="str">
        <f aca="false">IFERROR(INDEX(Positions!$E$2:$E$6912,MATCH($A2157&amp;"|58",Positions!$A$2:$A$6912,0)),"-")</f>
        <v>A</v>
      </c>
      <c r="H2157" s="25" t="str">
        <f aca="false">F2157&amp;"-"&amp;G2157</f>
        <v>U-A</v>
      </c>
      <c r="I2157" s="24" t="n">
        <f aca="false">(F2157="G")+(G2157="G")</f>
        <v>0</v>
      </c>
      <c r="J2157" s="24" t="n">
        <f aca="false">(F2157="C")+(G2157="C")</f>
        <v>0</v>
      </c>
      <c r="K2157" s="25" t="n">
        <f aca="false">I2157+J2157</f>
        <v>0</v>
      </c>
    </row>
    <row r="2158" customFormat="false" ht="15" hidden="false" customHeight="false" outlineLevel="0" collapsed="false">
      <c r="A2158" s="4" t="s">
        <v>114</v>
      </c>
      <c r="B2158" s="4" t="s">
        <v>412</v>
      </c>
      <c r="C2158" s="4" t="s">
        <v>517</v>
      </c>
      <c r="D2158" s="4" t="n">
        <f aca="false">IFERROR(INDEX(Positions!$D$2:$D$6912,MATCH($A2158&amp;"|1",Positions!$A$2:$A$6912,0)),"-")</f>
        <v>1</v>
      </c>
      <c r="E2158" s="4" t="n">
        <f aca="false">IFERROR(INDEX(Positions!$D$2:$D$6912,MATCH($A2158&amp;"|72",Positions!$A$2:$A$6912,0)),"-")</f>
        <v>73</v>
      </c>
      <c r="F2158" s="4" t="str">
        <f aca="false">IFERROR(INDEX(Positions!$E$2:$E$6912,MATCH($A2158&amp;"|1",Positions!$A$2:$A$6912,0)),"-")</f>
        <v>G</v>
      </c>
      <c r="G2158" s="4" t="str">
        <f aca="false">IFERROR(INDEX(Positions!$E$2:$E$6912,MATCH($A2158&amp;"|72",Positions!$A$2:$A$6912,0)),"-")</f>
        <v>C</v>
      </c>
      <c r="H2158" s="3" t="str">
        <f aca="false">F2158&amp;"-"&amp;G2158</f>
        <v>G-C</v>
      </c>
      <c r="I2158" s="4" t="n">
        <f aca="false">(F2158="G")+(G2158="G")</f>
        <v>1</v>
      </c>
      <c r="J2158" s="4" t="n">
        <f aca="false">(F2158="C")+(G2158="C")</f>
        <v>1</v>
      </c>
      <c r="K2158" s="3" t="n">
        <f aca="false">I2158+J2158</f>
        <v>2</v>
      </c>
    </row>
    <row r="2159" customFormat="false" ht="15" hidden="false" customHeight="false" outlineLevel="0" collapsed="false">
      <c r="A2159" s="4" t="s">
        <v>114</v>
      </c>
      <c r="B2159" s="4" t="s">
        <v>412</v>
      </c>
      <c r="C2159" s="4" t="s">
        <v>518</v>
      </c>
      <c r="D2159" s="4" t="n">
        <f aca="false">IFERROR(INDEX(Positions!$D$2:$D$6912,MATCH($A2159&amp;"|2",Positions!$A$2:$A$6912,0)),"-")</f>
        <v>2</v>
      </c>
      <c r="E2159" s="4" t="n">
        <f aca="false">IFERROR(INDEX(Positions!$D$2:$D$6912,MATCH($A2159&amp;"|71",Positions!$A$2:$A$6912,0)),"-")</f>
        <v>72</v>
      </c>
      <c r="F2159" s="4" t="str">
        <f aca="false">IFERROR(INDEX(Positions!$E$2:$E$6912,MATCH($A2159&amp;"|2",Positions!$A$2:$A$6912,0)),"-")</f>
        <v>G</v>
      </c>
      <c r="G2159" s="4" t="str">
        <f aca="false">IFERROR(INDEX(Positions!$E$2:$E$6912,MATCH($A2159&amp;"|71",Positions!$A$2:$A$6912,0)),"-")</f>
        <v>C</v>
      </c>
      <c r="H2159" s="3" t="str">
        <f aca="false">F2159&amp;"-"&amp;G2159</f>
        <v>G-C</v>
      </c>
      <c r="I2159" s="4" t="n">
        <f aca="false">(F2159="G")+(G2159="G")</f>
        <v>1</v>
      </c>
      <c r="J2159" s="4" t="n">
        <f aca="false">(F2159="C")+(G2159="C")</f>
        <v>1</v>
      </c>
      <c r="K2159" s="3" t="n">
        <f aca="false">I2159+J2159</f>
        <v>2</v>
      </c>
    </row>
    <row r="2160" customFormat="false" ht="15" hidden="false" customHeight="false" outlineLevel="0" collapsed="false">
      <c r="A2160" s="4" t="s">
        <v>114</v>
      </c>
      <c r="B2160" s="4" t="s">
        <v>412</v>
      </c>
      <c r="C2160" s="4" t="s">
        <v>386</v>
      </c>
      <c r="D2160" s="4" t="n">
        <f aca="false">IFERROR(INDEX(Positions!$D$2:$D$6912,MATCH($A2160&amp;"|3",Positions!$A$2:$A$6912,0)),"-")</f>
        <v>3</v>
      </c>
      <c r="E2160" s="4" t="n">
        <f aca="false">IFERROR(INDEX(Positions!$D$2:$D$6912,MATCH($A2160&amp;"|70",Positions!$A$2:$A$6912,0)),"-")</f>
        <v>71</v>
      </c>
      <c r="F2160" s="4" t="str">
        <f aca="false">IFERROR(INDEX(Positions!$E$2:$E$6912,MATCH($A2160&amp;"|3",Positions!$A$2:$A$6912,0)),"-")</f>
        <v>G</v>
      </c>
      <c r="G2160" s="4" t="str">
        <f aca="false">IFERROR(INDEX(Positions!$E$2:$E$6912,MATCH($A2160&amp;"|70",Positions!$A$2:$A$6912,0)),"-")</f>
        <v>C</v>
      </c>
      <c r="H2160" s="3" t="str">
        <f aca="false">F2160&amp;"-"&amp;G2160</f>
        <v>G-C</v>
      </c>
      <c r="I2160" s="4" t="n">
        <f aca="false">(F2160="G")+(G2160="G")</f>
        <v>1</v>
      </c>
      <c r="J2160" s="4" t="n">
        <f aca="false">(F2160="C")+(G2160="C")</f>
        <v>1</v>
      </c>
      <c r="K2160" s="3" t="n">
        <f aca="false">I2160+J2160</f>
        <v>2</v>
      </c>
    </row>
    <row r="2161" customFormat="false" ht="15" hidden="false" customHeight="false" outlineLevel="0" collapsed="false">
      <c r="A2161" s="4" t="s">
        <v>114</v>
      </c>
      <c r="B2161" s="4" t="s">
        <v>412</v>
      </c>
      <c r="C2161" s="4" t="s">
        <v>519</v>
      </c>
      <c r="D2161" s="4" t="n">
        <f aca="false">IFERROR(INDEX(Positions!$D$2:$D$6912,MATCH($A2161&amp;"|4",Positions!$A$2:$A$6912,0)),"-")</f>
        <v>4</v>
      </c>
      <c r="E2161" s="4" t="n">
        <f aca="false">IFERROR(INDEX(Positions!$D$2:$D$6912,MATCH($A2161&amp;"|69",Positions!$A$2:$A$6912,0)),"-")</f>
        <v>70</v>
      </c>
      <c r="F2161" s="4" t="str">
        <f aca="false">IFERROR(INDEX(Positions!$E$2:$E$6912,MATCH($A2161&amp;"|4",Positions!$A$2:$A$6912,0)),"-")</f>
        <v>C</v>
      </c>
      <c r="G2161" s="4" t="str">
        <f aca="false">IFERROR(INDEX(Positions!$E$2:$E$6912,MATCH($A2161&amp;"|69",Positions!$A$2:$A$6912,0)),"-")</f>
        <v>G</v>
      </c>
      <c r="H2161" s="3" t="str">
        <f aca="false">F2161&amp;"-"&amp;G2161</f>
        <v>C-G</v>
      </c>
      <c r="I2161" s="4" t="n">
        <f aca="false">(F2161="G")+(G2161="G")</f>
        <v>1</v>
      </c>
      <c r="J2161" s="4" t="n">
        <f aca="false">(F2161="C")+(G2161="C")</f>
        <v>1</v>
      </c>
      <c r="K2161" s="3" t="n">
        <f aca="false">I2161+J2161</f>
        <v>2</v>
      </c>
    </row>
    <row r="2162" customFormat="false" ht="15" hidden="false" customHeight="false" outlineLevel="0" collapsed="false">
      <c r="A2162" s="4" t="s">
        <v>114</v>
      </c>
      <c r="B2162" s="4" t="s">
        <v>412</v>
      </c>
      <c r="C2162" s="4" t="s">
        <v>283</v>
      </c>
      <c r="D2162" s="4" t="n">
        <f aca="false">IFERROR(INDEX(Positions!$D$2:$D$6912,MATCH($A2162&amp;"|5",Positions!$A$2:$A$6912,0)),"-")</f>
        <v>5</v>
      </c>
      <c r="E2162" s="4" t="n">
        <f aca="false">IFERROR(INDEX(Positions!$D$2:$D$6912,MATCH($A2162&amp;"|68",Positions!$A$2:$A$6912,0)),"-")</f>
        <v>69</v>
      </c>
      <c r="F2162" s="4" t="str">
        <f aca="false">IFERROR(INDEX(Positions!$E$2:$E$6912,MATCH($A2162&amp;"|5",Positions!$A$2:$A$6912,0)),"-")</f>
        <v>G</v>
      </c>
      <c r="G2162" s="4" t="str">
        <f aca="false">IFERROR(INDEX(Positions!$E$2:$E$6912,MATCH($A2162&amp;"|68",Positions!$A$2:$A$6912,0)),"-")</f>
        <v>C</v>
      </c>
      <c r="H2162" s="3" t="str">
        <f aca="false">F2162&amp;"-"&amp;G2162</f>
        <v>G-C</v>
      </c>
      <c r="I2162" s="4" t="n">
        <f aca="false">(F2162="G")+(G2162="G")</f>
        <v>1</v>
      </c>
      <c r="J2162" s="4" t="n">
        <f aca="false">(F2162="C")+(G2162="C")</f>
        <v>1</v>
      </c>
      <c r="K2162" s="3" t="n">
        <f aca="false">I2162+J2162</f>
        <v>2</v>
      </c>
    </row>
    <row r="2163" customFormat="false" ht="15" hidden="false" customHeight="false" outlineLevel="0" collapsed="false">
      <c r="A2163" s="4" t="s">
        <v>114</v>
      </c>
      <c r="B2163" s="4" t="s">
        <v>412</v>
      </c>
      <c r="C2163" s="4" t="s">
        <v>520</v>
      </c>
      <c r="D2163" s="4" t="n">
        <f aca="false">IFERROR(INDEX(Positions!$D$2:$D$6912,MATCH($A2163&amp;"|6",Positions!$A$2:$A$6912,0)),"-")</f>
        <v>6</v>
      </c>
      <c r="E2163" s="4" t="n">
        <f aca="false">IFERROR(INDEX(Positions!$D$2:$D$6912,MATCH($A2163&amp;"|67",Positions!$A$2:$A$6912,0)),"-")</f>
        <v>68</v>
      </c>
      <c r="F2163" s="4" t="str">
        <f aca="false">IFERROR(INDEX(Positions!$E$2:$E$6912,MATCH($A2163&amp;"|6",Positions!$A$2:$A$6912,0)),"-")</f>
        <v>A</v>
      </c>
      <c r="G2163" s="4" t="str">
        <f aca="false">IFERROR(INDEX(Positions!$E$2:$E$6912,MATCH($A2163&amp;"|67",Positions!$A$2:$A$6912,0)),"-")</f>
        <v>U</v>
      </c>
      <c r="H2163" s="3" t="str">
        <f aca="false">F2163&amp;"-"&amp;G2163</f>
        <v>A-U</v>
      </c>
      <c r="I2163" s="4" t="n">
        <f aca="false">(F2163="G")+(G2163="G")</f>
        <v>0</v>
      </c>
      <c r="J2163" s="4" t="n">
        <f aca="false">(F2163="C")+(G2163="C")</f>
        <v>0</v>
      </c>
      <c r="K2163" s="3" t="n">
        <f aca="false">I2163+J2163</f>
        <v>0</v>
      </c>
    </row>
    <row r="2164" customFormat="false" ht="15" hidden="false" customHeight="false" outlineLevel="0" collapsed="false">
      <c r="A2164" s="4" t="s">
        <v>114</v>
      </c>
      <c r="B2164" s="4" t="s">
        <v>412</v>
      </c>
      <c r="C2164" s="4" t="s">
        <v>521</v>
      </c>
      <c r="D2164" s="4" t="n">
        <f aca="false">IFERROR(INDEX(Positions!$D$2:$D$6912,MATCH($A2164&amp;"|7",Positions!$A$2:$A$6912,0)),"-")</f>
        <v>7</v>
      </c>
      <c r="E2164" s="4" t="n">
        <f aca="false">IFERROR(INDEX(Positions!$D$2:$D$6912,MATCH($A2164&amp;"|66",Positions!$A$2:$A$6912,0)),"-")</f>
        <v>67</v>
      </c>
      <c r="F2164" s="4" t="str">
        <f aca="false">IFERROR(INDEX(Positions!$E$2:$E$6912,MATCH($A2164&amp;"|7",Positions!$A$2:$A$6912,0)),"-")</f>
        <v>U</v>
      </c>
      <c r="G2164" s="4" t="str">
        <f aca="false">IFERROR(INDEX(Positions!$E$2:$E$6912,MATCH($A2164&amp;"|66",Positions!$A$2:$A$6912,0)),"-")</f>
        <v>A</v>
      </c>
      <c r="H2164" s="3" t="str">
        <f aca="false">F2164&amp;"-"&amp;G2164</f>
        <v>U-A</v>
      </c>
      <c r="I2164" s="4" t="n">
        <f aca="false">(F2164="G")+(G2164="G")</f>
        <v>0</v>
      </c>
      <c r="J2164" s="4" t="n">
        <f aca="false">(F2164="C")+(G2164="C")</f>
        <v>0</v>
      </c>
      <c r="K2164" s="3" t="n">
        <f aca="false">I2164+J2164</f>
        <v>0</v>
      </c>
    </row>
    <row r="2165" customFormat="false" ht="15" hidden="false" customHeight="false" outlineLevel="0" collapsed="false">
      <c r="A2165" s="4" t="s">
        <v>114</v>
      </c>
      <c r="B2165" s="4" t="s">
        <v>425</v>
      </c>
      <c r="C2165" s="4" t="s">
        <v>522</v>
      </c>
      <c r="D2165" s="4" t="n">
        <f aca="false">IFERROR(INDEX(Positions!$D$2:$D$6912,MATCH($A2165&amp;"|10",Positions!$A$2:$A$6912,0)),"-")</f>
        <v>10</v>
      </c>
      <c r="E2165" s="4" t="n">
        <f aca="false">IFERROR(INDEX(Positions!$D$2:$D$6912,MATCH($A2165&amp;"|25",Positions!$A$2:$A$6912,0)),"-")</f>
        <v>26</v>
      </c>
      <c r="F2165" s="4" t="str">
        <f aca="false">IFERROR(INDEX(Positions!$E$2:$E$6912,MATCH($A2165&amp;"|10",Positions!$A$2:$A$6912,0)),"-")</f>
        <v>G</v>
      </c>
      <c r="G2165" s="4" t="str">
        <f aca="false">IFERROR(INDEX(Positions!$E$2:$E$6912,MATCH($A2165&amp;"|25",Positions!$A$2:$A$6912,0)),"-")</f>
        <v>C</v>
      </c>
      <c r="H2165" s="3" t="str">
        <f aca="false">F2165&amp;"-"&amp;G2165</f>
        <v>G-C</v>
      </c>
      <c r="I2165" s="4" t="n">
        <f aca="false">(F2165="G")+(G2165="G")</f>
        <v>1</v>
      </c>
      <c r="J2165" s="4" t="n">
        <f aca="false">(F2165="C")+(G2165="C")</f>
        <v>1</v>
      </c>
      <c r="K2165" s="3" t="n">
        <f aca="false">I2165+J2165</f>
        <v>2</v>
      </c>
    </row>
    <row r="2166" customFormat="false" ht="15" hidden="false" customHeight="false" outlineLevel="0" collapsed="false">
      <c r="A2166" s="4" t="s">
        <v>114</v>
      </c>
      <c r="B2166" s="4" t="s">
        <v>425</v>
      </c>
      <c r="C2166" s="4" t="s">
        <v>523</v>
      </c>
      <c r="D2166" s="4" t="n">
        <f aca="false">IFERROR(INDEX(Positions!$D$2:$D$6912,MATCH($A2166&amp;"|11",Positions!$A$2:$A$6912,0)),"-")</f>
        <v>11</v>
      </c>
      <c r="E2166" s="4" t="n">
        <f aca="false">IFERROR(INDEX(Positions!$D$2:$D$6912,MATCH($A2166&amp;"|24",Positions!$A$2:$A$6912,0)),"-")</f>
        <v>25</v>
      </c>
      <c r="F2166" s="4" t="str">
        <f aca="false">IFERROR(INDEX(Positions!$E$2:$E$6912,MATCH($A2166&amp;"|11",Positions!$A$2:$A$6912,0)),"-")</f>
        <v>C</v>
      </c>
      <c r="G2166" s="4" t="str">
        <f aca="false">IFERROR(INDEX(Positions!$E$2:$E$6912,MATCH($A2166&amp;"|24",Positions!$A$2:$A$6912,0)),"-")</f>
        <v>G</v>
      </c>
      <c r="H2166" s="3" t="str">
        <f aca="false">F2166&amp;"-"&amp;G2166</f>
        <v>C-G</v>
      </c>
      <c r="I2166" s="4" t="n">
        <f aca="false">(F2166="G")+(G2166="G")</f>
        <v>1</v>
      </c>
      <c r="J2166" s="4" t="n">
        <f aca="false">(F2166="C")+(G2166="C")</f>
        <v>1</v>
      </c>
      <c r="K2166" s="3" t="n">
        <f aca="false">I2166+J2166</f>
        <v>2</v>
      </c>
    </row>
    <row r="2167" customFormat="false" ht="15" hidden="false" customHeight="false" outlineLevel="0" collapsed="false">
      <c r="A2167" s="4" t="s">
        <v>114</v>
      </c>
      <c r="B2167" s="4" t="s">
        <v>425</v>
      </c>
      <c r="C2167" s="4" t="s">
        <v>250</v>
      </c>
      <c r="D2167" s="4" t="n">
        <f aca="false">IFERROR(INDEX(Positions!$D$2:$D$6912,MATCH($A2167&amp;"|12",Positions!$A$2:$A$6912,0)),"-")</f>
        <v>12</v>
      </c>
      <c r="E2167" s="4" t="n">
        <f aca="false">IFERROR(INDEX(Positions!$D$2:$D$6912,MATCH($A2167&amp;"|23",Positions!$A$2:$A$6912,0)),"-")</f>
        <v>24</v>
      </c>
      <c r="F2167" s="4" t="str">
        <f aca="false">IFERROR(INDEX(Positions!$E$2:$E$6912,MATCH($A2167&amp;"|12",Positions!$A$2:$A$6912,0)),"-")</f>
        <v>U</v>
      </c>
      <c r="G2167" s="4" t="str">
        <f aca="false">IFERROR(INDEX(Positions!$E$2:$E$6912,MATCH($A2167&amp;"|23",Positions!$A$2:$A$6912,0)),"-")</f>
        <v>A</v>
      </c>
      <c r="H2167" s="3" t="str">
        <f aca="false">F2167&amp;"-"&amp;G2167</f>
        <v>U-A</v>
      </c>
      <c r="I2167" s="4" t="n">
        <f aca="false">(F2167="G")+(G2167="G")</f>
        <v>0</v>
      </c>
      <c r="J2167" s="4" t="n">
        <f aca="false">(F2167="C")+(G2167="C")</f>
        <v>0</v>
      </c>
      <c r="K2167" s="3" t="n">
        <f aca="false">I2167+J2167</f>
        <v>0</v>
      </c>
    </row>
    <row r="2168" customFormat="false" ht="15" hidden="false" customHeight="false" outlineLevel="0" collapsed="false">
      <c r="A2168" s="4" t="s">
        <v>114</v>
      </c>
      <c r="B2168" s="4" t="s">
        <v>425</v>
      </c>
      <c r="C2168" s="4" t="s">
        <v>154</v>
      </c>
      <c r="D2168" s="4" t="n">
        <f aca="false">IFERROR(INDEX(Positions!$D$2:$D$6912,MATCH($A2168&amp;"|13",Positions!$A$2:$A$6912,0)),"-")</f>
        <v>13</v>
      </c>
      <c r="E2168" s="4" t="n">
        <f aca="false">IFERROR(INDEX(Positions!$D$2:$D$6912,MATCH($A2168&amp;"|22",Positions!$A$2:$A$6912,0)),"-")</f>
        <v>23</v>
      </c>
      <c r="F2168" s="4" t="str">
        <f aca="false">IFERROR(INDEX(Positions!$E$2:$E$6912,MATCH($A2168&amp;"|13",Positions!$A$2:$A$6912,0)),"-")</f>
        <v>C</v>
      </c>
      <c r="G2168" s="4" t="str">
        <f aca="false">IFERROR(INDEX(Positions!$E$2:$E$6912,MATCH($A2168&amp;"|22",Positions!$A$2:$A$6912,0)),"-")</f>
        <v>G</v>
      </c>
      <c r="H2168" s="3" t="str">
        <f aca="false">F2168&amp;"-"&amp;G2168</f>
        <v>C-G</v>
      </c>
      <c r="I2168" s="4" t="n">
        <f aca="false">(F2168="G")+(G2168="G")</f>
        <v>1</v>
      </c>
      <c r="J2168" s="4" t="n">
        <f aca="false">(F2168="C")+(G2168="C")</f>
        <v>1</v>
      </c>
      <c r="K2168" s="3" t="n">
        <f aca="false">I2168+J2168</f>
        <v>2</v>
      </c>
    </row>
    <row r="2169" customFormat="false" ht="15" hidden="false" customHeight="false" outlineLevel="0" collapsed="false">
      <c r="A2169" s="4" t="s">
        <v>114</v>
      </c>
      <c r="B2169" s="4" t="s">
        <v>446</v>
      </c>
      <c r="C2169" s="4" t="s">
        <v>524</v>
      </c>
      <c r="D2169" s="4" t="n">
        <f aca="false">IFERROR(INDEX(Positions!$D$2:$D$6912,MATCH($A2169&amp;"|27",Positions!$A$2:$A$6912,0)),"-")</f>
        <v>28</v>
      </c>
      <c r="E2169" s="4" t="n">
        <f aca="false">IFERROR(INDEX(Positions!$D$2:$D$6912,MATCH($A2169&amp;"|43",Positions!$A$2:$A$6912,0)),"-")</f>
        <v>44</v>
      </c>
      <c r="F2169" s="4" t="str">
        <f aca="false">IFERROR(INDEX(Positions!$E$2:$E$6912,MATCH($A2169&amp;"|27",Positions!$A$2:$A$6912,0)),"-")</f>
        <v>C</v>
      </c>
      <c r="G2169" s="4" t="str">
        <f aca="false">IFERROR(INDEX(Positions!$E$2:$E$6912,MATCH($A2169&amp;"|43",Positions!$A$2:$A$6912,0)),"-")</f>
        <v>G</v>
      </c>
      <c r="H2169" s="3" t="str">
        <f aca="false">F2169&amp;"-"&amp;G2169</f>
        <v>C-G</v>
      </c>
      <c r="I2169" s="4" t="n">
        <f aca="false">(F2169="G")+(G2169="G")</f>
        <v>1</v>
      </c>
      <c r="J2169" s="4" t="n">
        <f aca="false">(F2169="C")+(G2169="C")</f>
        <v>1</v>
      </c>
      <c r="K2169" s="3" t="n">
        <f aca="false">I2169+J2169</f>
        <v>2</v>
      </c>
    </row>
    <row r="2170" customFormat="false" ht="15" hidden="false" customHeight="false" outlineLevel="0" collapsed="false">
      <c r="A2170" s="4" t="s">
        <v>114</v>
      </c>
      <c r="B2170" s="4" t="s">
        <v>446</v>
      </c>
      <c r="C2170" s="4" t="s">
        <v>525</v>
      </c>
      <c r="D2170" s="4" t="n">
        <f aca="false">IFERROR(INDEX(Positions!$D$2:$D$6912,MATCH($A2170&amp;"|28",Positions!$A$2:$A$6912,0)),"-")</f>
        <v>29</v>
      </c>
      <c r="E2170" s="4" t="n">
        <f aca="false">IFERROR(INDEX(Positions!$D$2:$D$6912,MATCH($A2170&amp;"|42",Positions!$A$2:$A$6912,0)),"-")</f>
        <v>43</v>
      </c>
      <c r="F2170" s="4" t="str">
        <f aca="false">IFERROR(INDEX(Positions!$E$2:$E$6912,MATCH($A2170&amp;"|28",Positions!$A$2:$A$6912,0)),"-")</f>
        <v>A</v>
      </c>
      <c r="G2170" s="4" t="str">
        <f aca="false">IFERROR(INDEX(Positions!$E$2:$E$6912,MATCH($A2170&amp;"|42",Positions!$A$2:$A$6912,0)),"-")</f>
        <v>U</v>
      </c>
      <c r="H2170" s="3" t="str">
        <f aca="false">F2170&amp;"-"&amp;G2170</f>
        <v>A-U</v>
      </c>
      <c r="I2170" s="4" t="n">
        <f aca="false">(F2170="G")+(G2170="G")</f>
        <v>0</v>
      </c>
      <c r="J2170" s="4" t="n">
        <f aca="false">(F2170="C")+(G2170="C")</f>
        <v>0</v>
      </c>
      <c r="K2170" s="3" t="n">
        <f aca="false">I2170+J2170</f>
        <v>0</v>
      </c>
    </row>
    <row r="2171" customFormat="false" ht="15" hidden="false" customHeight="false" outlineLevel="0" collapsed="false">
      <c r="A2171" s="4" t="s">
        <v>114</v>
      </c>
      <c r="B2171" s="4" t="s">
        <v>446</v>
      </c>
      <c r="C2171" s="4" t="s">
        <v>256</v>
      </c>
      <c r="D2171" s="4" t="n">
        <f aca="false">IFERROR(INDEX(Positions!$D$2:$D$6912,MATCH($A2171&amp;"|29",Positions!$A$2:$A$6912,0)),"-")</f>
        <v>30</v>
      </c>
      <c r="E2171" s="4" t="n">
        <f aca="false">IFERROR(INDEX(Positions!$D$2:$D$6912,MATCH($A2171&amp;"|41",Positions!$A$2:$A$6912,0)),"-")</f>
        <v>42</v>
      </c>
      <c r="F2171" s="4" t="str">
        <f aca="false">IFERROR(INDEX(Positions!$E$2:$E$6912,MATCH($A2171&amp;"|29",Positions!$A$2:$A$6912,0)),"-")</f>
        <v>C</v>
      </c>
      <c r="G2171" s="4" t="str">
        <f aca="false">IFERROR(INDEX(Positions!$E$2:$E$6912,MATCH($A2171&amp;"|41",Positions!$A$2:$A$6912,0)),"-")</f>
        <v>G</v>
      </c>
      <c r="H2171" s="3" t="str">
        <f aca="false">F2171&amp;"-"&amp;G2171</f>
        <v>C-G</v>
      </c>
      <c r="I2171" s="4" t="n">
        <f aca="false">(F2171="G")+(G2171="G")</f>
        <v>1</v>
      </c>
      <c r="J2171" s="4" t="n">
        <f aca="false">(F2171="C")+(G2171="C")</f>
        <v>1</v>
      </c>
      <c r="K2171" s="3" t="n">
        <f aca="false">I2171+J2171</f>
        <v>2</v>
      </c>
    </row>
    <row r="2172" customFormat="false" ht="15" hidden="false" customHeight="false" outlineLevel="0" collapsed="false">
      <c r="A2172" s="4" t="s">
        <v>114</v>
      </c>
      <c r="B2172" s="4" t="s">
        <v>446</v>
      </c>
      <c r="C2172" s="4" t="s">
        <v>526</v>
      </c>
      <c r="D2172" s="4" t="n">
        <f aca="false">IFERROR(INDEX(Positions!$D$2:$D$6912,MATCH($A2172&amp;"|30",Positions!$A$2:$A$6912,0)),"-")</f>
        <v>31</v>
      </c>
      <c r="E2172" s="4" t="n">
        <f aca="false">IFERROR(INDEX(Positions!$D$2:$D$6912,MATCH($A2172&amp;"|40",Positions!$A$2:$A$6912,0)),"-")</f>
        <v>41</v>
      </c>
      <c r="F2172" s="4" t="str">
        <f aca="false">IFERROR(INDEX(Positions!$E$2:$E$6912,MATCH($A2172&amp;"|30",Positions!$A$2:$A$6912,0)),"-")</f>
        <v>G</v>
      </c>
      <c r="G2172" s="4" t="str">
        <f aca="false">IFERROR(INDEX(Positions!$E$2:$E$6912,MATCH($A2172&amp;"|40",Positions!$A$2:$A$6912,0)),"-")</f>
        <v>C</v>
      </c>
      <c r="H2172" s="3" t="str">
        <f aca="false">F2172&amp;"-"&amp;G2172</f>
        <v>G-C</v>
      </c>
      <c r="I2172" s="4" t="n">
        <f aca="false">(F2172="G")+(G2172="G")</f>
        <v>1</v>
      </c>
      <c r="J2172" s="4" t="n">
        <f aca="false">(F2172="C")+(G2172="C")</f>
        <v>1</v>
      </c>
      <c r="K2172" s="3" t="n">
        <f aca="false">I2172+J2172</f>
        <v>2</v>
      </c>
    </row>
    <row r="2173" customFormat="false" ht="15" hidden="false" customHeight="false" outlineLevel="0" collapsed="false">
      <c r="A2173" s="4" t="s">
        <v>114</v>
      </c>
      <c r="B2173" s="4" t="s">
        <v>446</v>
      </c>
      <c r="C2173" s="4" t="s">
        <v>273</v>
      </c>
      <c r="D2173" s="4" t="n">
        <f aca="false">IFERROR(INDEX(Positions!$D$2:$D$6912,MATCH($A2173&amp;"|31",Positions!$A$2:$A$6912,0)),"-")</f>
        <v>32</v>
      </c>
      <c r="E2173" s="4" t="n">
        <f aca="false">IFERROR(INDEX(Positions!$D$2:$D$6912,MATCH($A2173&amp;"|39",Positions!$A$2:$A$6912,0)),"-")</f>
        <v>40</v>
      </c>
      <c r="F2173" s="4" t="str">
        <f aca="false">IFERROR(INDEX(Positions!$E$2:$E$6912,MATCH($A2173&amp;"|31",Positions!$A$2:$A$6912,0)),"-")</f>
        <v>C</v>
      </c>
      <c r="G2173" s="4" t="str">
        <f aca="false">IFERROR(INDEX(Positions!$E$2:$E$6912,MATCH($A2173&amp;"|39",Positions!$A$2:$A$6912,0)),"-")</f>
        <v>G</v>
      </c>
      <c r="H2173" s="3" t="str">
        <f aca="false">F2173&amp;"-"&amp;G2173</f>
        <v>C-G</v>
      </c>
      <c r="I2173" s="4" t="n">
        <f aca="false">(F2173="G")+(G2173="G")</f>
        <v>1</v>
      </c>
      <c r="J2173" s="4" t="n">
        <f aca="false">(F2173="C")+(G2173="C")</f>
        <v>1</v>
      </c>
      <c r="K2173" s="3" t="n">
        <f aca="false">I2173+J2173</f>
        <v>2</v>
      </c>
    </row>
    <row r="2174" customFormat="false" ht="15" hidden="false" customHeight="false" outlineLevel="0" collapsed="false">
      <c r="A2174" s="4" t="s">
        <v>114</v>
      </c>
      <c r="B2174" s="4" t="s">
        <v>471</v>
      </c>
      <c r="C2174" s="4" t="s">
        <v>367</v>
      </c>
      <c r="D2174" s="4" t="n">
        <f aca="false">IFERROR(INDEX(Positions!$D$2:$D$6912,MATCH($A2174&amp;"|49",Positions!$A$2:$A$6912,0)),"-")</f>
        <v>50</v>
      </c>
      <c r="E2174" s="4" t="n">
        <f aca="false">IFERROR(INDEX(Positions!$D$2:$D$6912,MATCH($A2174&amp;"|65",Positions!$A$2:$A$6912,0)),"-")</f>
        <v>66</v>
      </c>
      <c r="F2174" s="4" t="str">
        <f aca="false">IFERROR(INDEX(Positions!$E$2:$E$6912,MATCH($A2174&amp;"|49",Positions!$A$2:$A$6912,0)),"-")</f>
        <v>G</v>
      </c>
      <c r="G2174" s="4" t="str">
        <f aca="false">IFERROR(INDEX(Positions!$E$2:$E$6912,MATCH($A2174&amp;"|65",Positions!$A$2:$A$6912,0)),"-")</f>
        <v>C</v>
      </c>
      <c r="H2174" s="3" t="str">
        <f aca="false">F2174&amp;"-"&amp;G2174</f>
        <v>G-C</v>
      </c>
      <c r="I2174" s="4" t="n">
        <f aca="false">(F2174="G")+(G2174="G")</f>
        <v>1</v>
      </c>
      <c r="J2174" s="4" t="n">
        <f aca="false">(F2174="C")+(G2174="C")</f>
        <v>1</v>
      </c>
      <c r="K2174" s="3" t="n">
        <f aca="false">I2174+J2174</f>
        <v>2</v>
      </c>
    </row>
    <row r="2175" customFormat="false" ht="15" hidden="false" customHeight="false" outlineLevel="0" collapsed="false">
      <c r="A2175" s="4" t="s">
        <v>114</v>
      </c>
      <c r="B2175" s="4" t="s">
        <v>471</v>
      </c>
      <c r="C2175" s="4" t="s">
        <v>233</v>
      </c>
      <c r="D2175" s="4" t="n">
        <f aca="false">IFERROR(INDEX(Positions!$D$2:$D$6912,MATCH($A2175&amp;"|50",Positions!$A$2:$A$6912,0)),"-")</f>
        <v>51</v>
      </c>
      <c r="E2175" s="4" t="n">
        <f aca="false">IFERROR(INDEX(Positions!$D$2:$D$6912,MATCH($A2175&amp;"|64",Positions!$A$2:$A$6912,0)),"-")</f>
        <v>65</v>
      </c>
      <c r="F2175" s="4" t="str">
        <f aca="false">IFERROR(INDEX(Positions!$E$2:$E$6912,MATCH($A2175&amp;"|50",Positions!$A$2:$A$6912,0)),"-")</f>
        <v>G</v>
      </c>
      <c r="G2175" s="4" t="str">
        <f aca="false">IFERROR(INDEX(Positions!$E$2:$E$6912,MATCH($A2175&amp;"|64",Positions!$A$2:$A$6912,0)),"-")</f>
        <v>C</v>
      </c>
      <c r="H2175" s="3" t="str">
        <f aca="false">F2175&amp;"-"&amp;G2175</f>
        <v>G-C</v>
      </c>
      <c r="I2175" s="4" t="n">
        <f aca="false">(F2175="G")+(G2175="G")</f>
        <v>1</v>
      </c>
      <c r="J2175" s="4" t="n">
        <f aca="false">(F2175="C")+(G2175="C")</f>
        <v>1</v>
      </c>
      <c r="K2175" s="3" t="n">
        <f aca="false">I2175+J2175</f>
        <v>2</v>
      </c>
    </row>
    <row r="2176" customFormat="false" ht="15" hidden="false" customHeight="false" outlineLevel="0" collapsed="false">
      <c r="A2176" s="4" t="s">
        <v>114</v>
      </c>
      <c r="B2176" s="4" t="s">
        <v>471</v>
      </c>
      <c r="C2176" s="4" t="s">
        <v>527</v>
      </c>
      <c r="D2176" s="4" t="n">
        <f aca="false">IFERROR(INDEX(Positions!$D$2:$D$6912,MATCH($A2176&amp;"|51",Positions!$A$2:$A$6912,0)),"-")</f>
        <v>52</v>
      </c>
      <c r="E2176" s="4" t="n">
        <f aca="false">IFERROR(INDEX(Positions!$D$2:$D$6912,MATCH($A2176&amp;"|63",Positions!$A$2:$A$6912,0)),"-")</f>
        <v>64</v>
      </c>
      <c r="F2176" s="4" t="str">
        <f aca="false">IFERROR(INDEX(Positions!$E$2:$E$6912,MATCH($A2176&amp;"|51",Positions!$A$2:$A$6912,0)),"-")</f>
        <v>U</v>
      </c>
      <c r="G2176" s="4" t="str">
        <f aca="false">IFERROR(INDEX(Positions!$E$2:$E$6912,MATCH($A2176&amp;"|63",Positions!$A$2:$A$6912,0)),"-")</f>
        <v>A</v>
      </c>
      <c r="H2176" s="3" t="str">
        <f aca="false">F2176&amp;"-"&amp;G2176</f>
        <v>U-A</v>
      </c>
      <c r="I2176" s="4" t="n">
        <f aca="false">(F2176="G")+(G2176="G")</f>
        <v>0</v>
      </c>
      <c r="J2176" s="4" t="n">
        <f aca="false">(F2176="C")+(G2176="C")</f>
        <v>0</v>
      </c>
      <c r="K2176" s="3" t="n">
        <f aca="false">I2176+J2176</f>
        <v>0</v>
      </c>
    </row>
    <row r="2177" customFormat="false" ht="15" hidden="false" customHeight="false" outlineLevel="0" collapsed="false">
      <c r="A2177" s="4" t="s">
        <v>114</v>
      </c>
      <c r="B2177" s="4" t="s">
        <v>471</v>
      </c>
      <c r="C2177" s="4" t="s">
        <v>528</v>
      </c>
      <c r="D2177" s="4" t="n">
        <f aca="false">IFERROR(INDEX(Positions!$D$2:$D$6912,MATCH($A2177&amp;"|52",Positions!$A$2:$A$6912,0)),"-")</f>
        <v>53</v>
      </c>
      <c r="E2177" s="4" t="n">
        <f aca="false">IFERROR(INDEX(Positions!$D$2:$D$6912,MATCH($A2177&amp;"|62",Positions!$A$2:$A$6912,0)),"-")</f>
        <v>63</v>
      </c>
      <c r="F2177" s="4" t="str">
        <f aca="false">IFERROR(INDEX(Positions!$E$2:$E$6912,MATCH($A2177&amp;"|52",Positions!$A$2:$A$6912,0)),"-")</f>
        <v>G</v>
      </c>
      <c r="G2177" s="4" t="str">
        <f aca="false">IFERROR(INDEX(Positions!$E$2:$E$6912,MATCH($A2177&amp;"|62",Positions!$A$2:$A$6912,0)),"-")</f>
        <v>C</v>
      </c>
      <c r="H2177" s="3" t="str">
        <f aca="false">F2177&amp;"-"&amp;G2177</f>
        <v>G-C</v>
      </c>
      <c r="I2177" s="4" t="n">
        <f aca="false">(F2177="G")+(G2177="G")</f>
        <v>1</v>
      </c>
      <c r="J2177" s="4" t="n">
        <f aca="false">(F2177="C")+(G2177="C")</f>
        <v>1</v>
      </c>
      <c r="K2177" s="3" t="n">
        <f aca="false">I2177+J2177</f>
        <v>2</v>
      </c>
    </row>
    <row r="2178" customFormat="false" ht="15" hidden="false" customHeight="false" outlineLevel="0" collapsed="false">
      <c r="A2178" s="4" t="s">
        <v>114</v>
      </c>
      <c r="B2178" s="4" t="s">
        <v>471</v>
      </c>
      <c r="C2178" s="4" t="s">
        <v>529</v>
      </c>
      <c r="D2178" s="4" t="n">
        <f aca="false">IFERROR(INDEX(Positions!$D$2:$D$6912,MATCH($A2178&amp;"|53",Positions!$A$2:$A$6912,0)),"-")</f>
        <v>54</v>
      </c>
      <c r="E2178" s="4" t="n">
        <f aca="false">IFERROR(INDEX(Positions!$D$2:$D$6912,MATCH($A2178&amp;"|61",Positions!$A$2:$A$6912,0)),"-")</f>
        <v>62</v>
      </c>
      <c r="F2178" s="4" t="str">
        <f aca="false">IFERROR(INDEX(Positions!$E$2:$E$6912,MATCH($A2178&amp;"|53",Positions!$A$2:$A$6912,0)),"-")</f>
        <v>G</v>
      </c>
      <c r="G2178" s="4" t="str">
        <f aca="false">IFERROR(INDEX(Positions!$E$2:$E$6912,MATCH($A2178&amp;"|61",Positions!$A$2:$A$6912,0)),"-")</f>
        <v>C</v>
      </c>
      <c r="H2178" s="3" t="str">
        <f aca="false">F2178&amp;"-"&amp;G2178</f>
        <v>G-C</v>
      </c>
      <c r="I2178" s="4" t="n">
        <f aca="false">(F2178="G")+(G2178="G")</f>
        <v>1</v>
      </c>
      <c r="J2178" s="4" t="n">
        <f aca="false">(F2178="C")+(G2178="C")</f>
        <v>1</v>
      </c>
      <c r="K2178" s="3" t="n">
        <f aca="false">I2178+J2178</f>
        <v>2</v>
      </c>
    </row>
    <row r="2179" customFormat="false" ht="15" hidden="false" customHeight="false" outlineLevel="0" collapsed="false">
      <c r="A2179" s="24" t="s">
        <v>114</v>
      </c>
      <c r="B2179" s="24" t="s">
        <v>530</v>
      </c>
      <c r="C2179" s="24" t="s">
        <v>531</v>
      </c>
      <c r="D2179" s="24" t="n">
        <f aca="false">IFERROR(INDEX(Positions!$D$2:$D$6912,MATCH($A2179&amp;"|8",Positions!$A$2:$A$6912,0)),"-")</f>
        <v>8</v>
      </c>
      <c r="E2179" s="24" t="n">
        <f aca="false">IFERROR(INDEX(Positions!$D$2:$D$6912,MATCH($A2179&amp;"|14",Positions!$A$2:$A$6912,0)),"-")</f>
        <v>14</v>
      </c>
      <c r="F2179" s="24" t="str">
        <f aca="false">IFERROR(INDEX(Positions!$E$2:$E$6912,MATCH($A2179&amp;"|8",Positions!$A$2:$A$6912,0)),"-")</f>
        <v>U</v>
      </c>
      <c r="G2179" s="24" t="str">
        <f aca="false">IFERROR(INDEX(Positions!$E$2:$E$6912,MATCH($A2179&amp;"|14",Positions!$A$2:$A$6912,0)),"-")</f>
        <v>A</v>
      </c>
      <c r="H2179" s="25" t="str">
        <f aca="false">F2179&amp;"-"&amp;G2179</f>
        <v>U-A</v>
      </c>
      <c r="I2179" s="24" t="n">
        <f aca="false">(F2179="G")+(G2179="G")</f>
        <v>0</v>
      </c>
      <c r="J2179" s="24" t="n">
        <f aca="false">(F2179="C")+(G2179="C")</f>
        <v>0</v>
      </c>
      <c r="K2179" s="25" t="n">
        <f aca="false">I2179+J2179</f>
        <v>0</v>
      </c>
    </row>
    <row r="2180" customFormat="false" ht="15" hidden="false" customHeight="false" outlineLevel="0" collapsed="false">
      <c r="A2180" s="24" t="s">
        <v>114</v>
      </c>
      <c r="B2180" s="24" t="s">
        <v>530</v>
      </c>
      <c r="C2180" s="24" t="s">
        <v>532</v>
      </c>
      <c r="D2180" s="24" t="n">
        <f aca="false">IFERROR(INDEX(Positions!$D$2:$D$6912,MATCH($A2180&amp;"|15",Positions!$A$2:$A$6912,0)),"-")</f>
        <v>15</v>
      </c>
      <c r="E2180" s="24" t="n">
        <f aca="false">IFERROR(INDEX(Positions!$D$2:$D$6912,MATCH($A2180&amp;"|48",Positions!$A$2:$A$6912,0)),"-")</f>
        <v>49</v>
      </c>
      <c r="F2180" s="24" t="str">
        <f aca="false">IFERROR(INDEX(Positions!$E$2:$E$6912,MATCH($A2180&amp;"|15",Positions!$A$2:$A$6912,0)),"-")</f>
        <v>G</v>
      </c>
      <c r="G2180" s="24" t="str">
        <f aca="false">IFERROR(INDEX(Positions!$E$2:$E$6912,MATCH($A2180&amp;"|48",Positions!$A$2:$A$6912,0)),"-")</f>
        <v>C</v>
      </c>
      <c r="H2180" s="25" t="str">
        <f aca="false">F2180&amp;"-"&amp;G2180</f>
        <v>G-C</v>
      </c>
      <c r="I2180" s="24" t="n">
        <f aca="false">(F2180="G")+(G2180="G")</f>
        <v>1</v>
      </c>
      <c r="J2180" s="24" t="n">
        <f aca="false">(F2180="C")+(G2180="C")</f>
        <v>1</v>
      </c>
      <c r="K2180" s="25" t="n">
        <f aca="false">I2180+J2180</f>
        <v>2</v>
      </c>
    </row>
    <row r="2181" customFormat="false" ht="15" hidden="false" customHeight="false" outlineLevel="0" collapsed="false">
      <c r="A2181" s="24" t="s">
        <v>114</v>
      </c>
      <c r="B2181" s="24" t="s">
        <v>530</v>
      </c>
      <c r="C2181" s="24" t="s">
        <v>533</v>
      </c>
      <c r="D2181" s="24" t="n">
        <f aca="false">IFERROR(INDEX(Positions!$D$2:$D$6912,MATCH($A2181&amp;"|18",Positions!$A$2:$A$6912,0)),"-")</f>
        <v>18</v>
      </c>
      <c r="E2181" s="24" t="n">
        <f aca="false">IFERROR(INDEX(Positions!$D$2:$D$6912,MATCH($A2181&amp;"|55",Positions!$A$2:$A$6912,0)),"-")</f>
        <v>56</v>
      </c>
      <c r="F2181" s="24" t="str">
        <f aca="false">IFERROR(INDEX(Positions!$E$2:$E$6912,MATCH($A2181&amp;"|18",Positions!$A$2:$A$6912,0)),"-")</f>
        <v>G</v>
      </c>
      <c r="G2181" s="24" t="str">
        <f aca="false">IFERROR(INDEX(Positions!$E$2:$E$6912,MATCH($A2181&amp;"|55",Positions!$A$2:$A$6912,0)),"-")</f>
        <v>U</v>
      </c>
      <c r="H2181" s="25" t="str">
        <f aca="false">F2181&amp;"-"&amp;G2181</f>
        <v>G-U</v>
      </c>
      <c r="I2181" s="24" t="n">
        <f aca="false">(F2181="G")+(G2181="G")</f>
        <v>1</v>
      </c>
      <c r="J2181" s="24" t="n">
        <f aca="false">(F2181="C")+(G2181="C")</f>
        <v>0</v>
      </c>
      <c r="K2181" s="25" t="n">
        <f aca="false">I2181+J2181</f>
        <v>1</v>
      </c>
    </row>
    <row r="2182" customFormat="false" ht="15" hidden="false" customHeight="false" outlineLevel="0" collapsed="false">
      <c r="A2182" s="24" t="s">
        <v>114</v>
      </c>
      <c r="B2182" s="24" t="s">
        <v>530</v>
      </c>
      <c r="C2182" s="24" t="s">
        <v>534</v>
      </c>
      <c r="D2182" s="24" t="n">
        <f aca="false">IFERROR(INDEX(Positions!$D$2:$D$6912,MATCH($A2182&amp;"|19",Positions!$A$2:$A$6912,0)),"-")</f>
        <v>19</v>
      </c>
      <c r="E2182" s="24" t="n">
        <f aca="false">IFERROR(INDEX(Positions!$D$2:$D$6912,MATCH($A2182&amp;"|56",Positions!$A$2:$A$6912,0)),"-")</f>
        <v>57</v>
      </c>
      <c r="F2182" s="24" t="str">
        <f aca="false">IFERROR(INDEX(Positions!$E$2:$E$6912,MATCH($A2182&amp;"|19",Positions!$A$2:$A$6912,0)),"-")</f>
        <v>G</v>
      </c>
      <c r="G2182" s="24" t="str">
        <f aca="false">IFERROR(INDEX(Positions!$E$2:$E$6912,MATCH($A2182&amp;"|56",Positions!$A$2:$A$6912,0)),"-")</f>
        <v>C</v>
      </c>
      <c r="H2182" s="25" t="str">
        <f aca="false">F2182&amp;"-"&amp;G2182</f>
        <v>G-C</v>
      </c>
      <c r="I2182" s="24" t="n">
        <f aca="false">(F2182="G")+(G2182="G")</f>
        <v>1</v>
      </c>
      <c r="J2182" s="24" t="n">
        <f aca="false">(F2182="C")+(G2182="C")</f>
        <v>1</v>
      </c>
      <c r="K2182" s="25" t="n">
        <f aca="false">I2182+J2182</f>
        <v>2</v>
      </c>
    </row>
    <row r="2183" customFormat="false" ht="15" hidden="false" customHeight="false" outlineLevel="0" collapsed="false">
      <c r="A2183" s="24" t="s">
        <v>114</v>
      </c>
      <c r="B2183" s="24" t="s">
        <v>530</v>
      </c>
      <c r="C2183" s="24" t="s">
        <v>535</v>
      </c>
      <c r="D2183" s="24" t="n">
        <f aca="false">IFERROR(INDEX(Positions!$D$2:$D$6912,MATCH($A2183&amp;"|26",Positions!$A$2:$A$6912,0)),"-")</f>
        <v>27</v>
      </c>
      <c r="E2183" s="24" t="n">
        <f aca="false">IFERROR(INDEX(Positions!$D$2:$D$6912,MATCH($A2183&amp;"|44",Positions!$A$2:$A$6912,0)),"-")</f>
        <v>45</v>
      </c>
      <c r="F2183" s="24" t="str">
        <f aca="false">IFERROR(INDEX(Positions!$E$2:$E$6912,MATCH($A2183&amp;"|26",Positions!$A$2:$A$6912,0)),"-")</f>
        <v>G</v>
      </c>
      <c r="G2183" s="24" t="str">
        <f aca="false">IFERROR(INDEX(Positions!$E$2:$E$6912,MATCH($A2183&amp;"|44",Positions!$A$2:$A$6912,0)),"-")</f>
        <v>A</v>
      </c>
      <c r="H2183" s="25" t="str">
        <f aca="false">F2183&amp;"-"&amp;G2183</f>
        <v>G-A</v>
      </c>
      <c r="I2183" s="24" t="n">
        <f aca="false">(F2183="G")+(G2183="G")</f>
        <v>1</v>
      </c>
      <c r="J2183" s="24" t="n">
        <f aca="false">(F2183="C")+(G2183="C")</f>
        <v>0</v>
      </c>
      <c r="K2183" s="25" t="n">
        <f aca="false">I2183+J2183</f>
        <v>1</v>
      </c>
    </row>
    <row r="2184" customFormat="false" ht="15" hidden="false" customHeight="false" outlineLevel="0" collapsed="false">
      <c r="A2184" s="24" t="s">
        <v>114</v>
      </c>
      <c r="B2184" s="24" t="s">
        <v>530</v>
      </c>
      <c r="C2184" s="24" t="s">
        <v>536</v>
      </c>
      <c r="D2184" s="24" t="n">
        <f aca="false">IFERROR(INDEX(Positions!$D$2:$D$6912,MATCH($A2184&amp;"|32",Positions!$A$2:$A$6912,0)),"-")</f>
        <v>33</v>
      </c>
      <c r="E2184" s="24" t="n">
        <f aca="false">IFERROR(INDEX(Positions!$D$2:$D$6912,MATCH($A2184&amp;"|38",Positions!$A$2:$A$6912,0)),"-")</f>
        <v>39</v>
      </c>
      <c r="F2184" s="24" t="str">
        <f aca="false">IFERROR(INDEX(Positions!$E$2:$E$6912,MATCH($A2184&amp;"|32",Positions!$A$2:$A$6912,0)),"-")</f>
        <v>C</v>
      </c>
      <c r="G2184" s="24" t="str">
        <f aca="false">IFERROR(INDEX(Positions!$E$2:$E$6912,MATCH($A2184&amp;"|38",Positions!$A$2:$A$6912,0)),"-")</f>
        <v>A</v>
      </c>
      <c r="H2184" s="25" t="str">
        <f aca="false">F2184&amp;"-"&amp;G2184</f>
        <v>C-A</v>
      </c>
      <c r="I2184" s="24" t="n">
        <f aca="false">(F2184="G")+(G2184="G")</f>
        <v>0</v>
      </c>
      <c r="J2184" s="24" t="n">
        <f aca="false">(F2184="C")+(G2184="C")</f>
        <v>1</v>
      </c>
      <c r="K2184" s="25" t="n">
        <f aca="false">I2184+J2184</f>
        <v>1</v>
      </c>
    </row>
    <row r="2185" customFormat="false" ht="15" hidden="false" customHeight="false" outlineLevel="0" collapsed="false">
      <c r="A2185" s="24" t="s">
        <v>114</v>
      </c>
      <c r="B2185" s="24" t="s">
        <v>530</v>
      </c>
      <c r="C2185" s="24" t="s">
        <v>537</v>
      </c>
      <c r="D2185" s="24" t="n">
        <f aca="false">IFERROR(INDEX(Positions!$D$2:$D$6912,MATCH($A2185&amp;"|54",Positions!$A$2:$A$6912,0)),"-")</f>
        <v>55</v>
      </c>
      <c r="E2185" s="24" t="n">
        <f aca="false">IFERROR(INDEX(Positions!$D$2:$D$6912,MATCH($A2185&amp;"|58",Positions!$A$2:$A$6912,0)),"-")</f>
        <v>59</v>
      </c>
      <c r="F2185" s="24" t="str">
        <f aca="false">IFERROR(INDEX(Positions!$E$2:$E$6912,MATCH($A2185&amp;"|54",Positions!$A$2:$A$6912,0)),"-")</f>
        <v>U</v>
      </c>
      <c r="G2185" s="24" t="str">
        <f aca="false">IFERROR(INDEX(Positions!$E$2:$E$6912,MATCH($A2185&amp;"|58",Positions!$A$2:$A$6912,0)),"-")</f>
        <v>A</v>
      </c>
      <c r="H2185" s="25" t="str">
        <f aca="false">F2185&amp;"-"&amp;G2185</f>
        <v>U-A</v>
      </c>
      <c r="I2185" s="24" t="n">
        <f aca="false">(F2185="G")+(G2185="G")</f>
        <v>0</v>
      </c>
      <c r="J2185" s="24" t="n">
        <f aca="false">(F2185="C")+(G2185="C")</f>
        <v>0</v>
      </c>
      <c r="K2185" s="25" t="n">
        <f aca="false">I2185+J2185</f>
        <v>0</v>
      </c>
    </row>
    <row r="2186" customFormat="false" ht="15" hidden="false" customHeight="false" outlineLevel="0" collapsed="false">
      <c r="A2186" s="4" t="s">
        <v>115</v>
      </c>
      <c r="B2186" s="4" t="s">
        <v>412</v>
      </c>
      <c r="C2186" s="4" t="s">
        <v>517</v>
      </c>
      <c r="D2186" s="4" t="n">
        <f aca="false">IFERROR(INDEX(Positions!$D$2:$D$6912,MATCH($A2186&amp;"|1",Positions!$A$2:$A$6912,0)),"-")</f>
        <v>1</v>
      </c>
      <c r="E2186" s="4" t="n">
        <f aca="false">IFERROR(INDEX(Positions!$D$2:$D$6912,MATCH($A2186&amp;"|72",Positions!$A$2:$A$6912,0)),"-")</f>
        <v>73</v>
      </c>
      <c r="F2186" s="4" t="str">
        <f aca="false">IFERROR(INDEX(Positions!$E$2:$E$6912,MATCH($A2186&amp;"|1",Positions!$A$2:$A$6912,0)),"-")</f>
        <v>C</v>
      </c>
      <c r="G2186" s="4" t="str">
        <f aca="false">IFERROR(INDEX(Positions!$E$2:$E$6912,MATCH($A2186&amp;"|72",Positions!$A$2:$A$6912,0)),"-")</f>
        <v>A</v>
      </c>
      <c r="H2186" s="3" t="str">
        <f aca="false">F2186&amp;"-"&amp;G2186</f>
        <v>C-A</v>
      </c>
      <c r="I2186" s="4" t="n">
        <f aca="false">(F2186="G")+(G2186="G")</f>
        <v>0</v>
      </c>
      <c r="J2186" s="4" t="n">
        <f aca="false">(F2186="C")+(G2186="C")</f>
        <v>1</v>
      </c>
      <c r="K2186" s="3" t="n">
        <f aca="false">I2186+J2186</f>
        <v>1</v>
      </c>
    </row>
    <row r="2187" customFormat="false" ht="15" hidden="false" customHeight="false" outlineLevel="0" collapsed="false">
      <c r="A2187" s="4" t="s">
        <v>115</v>
      </c>
      <c r="B2187" s="4" t="s">
        <v>412</v>
      </c>
      <c r="C2187" s="4" t="s">
        <v>518</v>
      </c>
      <c r="D2187" s="4" t="n">
        <f aca="false">IFERROR(INDEX(Positions!$D$2:$D$6912,MATCH($A2187&amp;"|2",Positions!$A$2:$A$6912,0)),"-")</f>
        <v>2</v>
      </c>
      <c r="E2187" s="4" t="n">
        <f aca="false">IFERROR(INDEX(Positions!$D$2:$D$6912,MATCH($A2187&amp;"|71",Positions!$A$2:$A$6912,0)),"-")</f>
        <v>72</v>
      </c>
      <c r="F2187" s="4" t="str">
        <f aca="false">IFERROR(INDEX(Positions!$E$2:$E$6912,MATCH($A2187&amp;"|2",Positions!$A$2:$A$6912,0)),"-")</f>
        <v>G</v>
      </c>
      <c r="G2187" s="4" t="str">
        <f aca="false">IFERROR(INDEX(Positions!$E$2:$E$6912,MATCH($A2187&amp;"|71",Positions!$A$2:$A$6912,0)),"-")</f>
        <v>C</v>
      </c>
      <c r="H2187" s="3" t="str">
        <f aca="false">F2187&amp;"-"&amp;G2187</f>
        <v>G-C</v>
      </c>
      <c r="I2187" s="4" t="n">
        <f aca="false">(F2187="G")+(G2187="G")</f>
        <v>1</v>
      </c>
      <c r="J2187" s="4" t="n">
        <f aca="false">(F2187="C")+(G2187="C")</f>
        <v>1</v>
      </c>
      <c r="K2187" s="3" t="n">
        <f aca="false">I2187+J2187</f>
        <v>2</v>
      </c>
    </row>
    <row r="2188" customFormat="false" ht="15" hidden="false" customHeight="false" outlineLevel="0" collapsed="false">
      <c r="A2188" s="4" t="s">
        <v>115</v>
      </c>
      <c r="B2188" s="4" t="s">
        <v>412</v>
      </c>
      <c r="C2188" s="4" t="s">
        <v>386</v>
      </c>
      <c r="D2188" s="4" t="n">
        <f aca="false">IFERROR(INDEX(Positions!$D$2:$D$6912,MATCH($A2188&amp;"|3",Positions!$A$2:$A$6912,0)),"-")</f>
        <v>3</v>
      </c>
      <c r="E2188" s="4" t="n">
        <f aca="false">IFERROR(INDEX(Positions!$D$2:$D$6912,MATCH($A2188&amp;"|70",Positions!$A$2:$A$6912,0)),"-")</f>
        <v>71</v>
      </c>
      <c r="F2188" s="4" t="str">
        <f aca="false">IFERROR(INDEX(Positions!$E$2:$E$6912,MATCH($A2188&amp;"|3",Positions!$A$2:$A$6912,0)),"-")</f>
        <v>C</v>
      </c>
      <c r="G2188" s="4" t="str">
        <f aca="false">IFERROR(INDEX(Positions!$E$2:$E$6912,MATCH($A2188&amp;"|70",Positions!$A$2:$A$6912,0)),"-")</f>
        <v>G</v>
      </c>
      <c r="H2188" s="3" t="str">
        <f aca="false">F2188&amp;"-"&amp;G2188</f>
        <v>C-G</v>
      </c>
      <c r="I2188" s="4" t="n">
        <f aca="false">(F2188="G")+(G2188="G")</f>
        <v>1</v>
      </c>
      <c r="J2188" s="4" t="n">
        <f aca="false">(F2188="C")+(G2188="C")</f>
        <v>1</v>
      </c>
      <c r="K2188" s="3" t="n">
        <f aca="false">I2188+J2188</f>
        <v>2</v>
      </c>
    </row>
    <row r="2189" customFormat="false" ht="15" hidden="false" customHeight="false" outlineLevel="0" collapsed="false">
      <c r="A2189" s="4" t="s">
        <v>115</v>
      </c>
      <c r="B2189" s="4" t="s">
        <v>412</v>
      </c>
      <c r="C2189" s="4" t="s">
        <v>519</v>
      </c>
      <c r="D2189" s="4" t="n">
        <f aca="false">IFERROR(INDEX(Positions!$D$2:$D$6912,MATCH($A2189&amp;"|4",Positions!$A$2:$A$6912,0)),"-")</f>
        <v>4</v>
      </c>
      <c r="E2189" s="4" t="n">
        <f aca="false">IFERROR(INDEX(Positions!$D$2:$D$6912,MATCH($A2189&amp;"|69",Positions!$A$2:$A$6912,0)),"-")</f>
        <v>70</v>
      </c>
      <c r="F2189" s="4" t="str">
        <f aca="false">IFERROR(INDEX(Positions!$E$2:$E$6912,MATCH($A2189&amp;"|4",Positions!$A$2:$A$6912,0)),"-")</f>
        <v>G</v>
      </c>
      <c r="G2189" s="4" t="str">
        <f aca="false">IFERROR(INDEX(Positions!$E$2:$E$6912,MATCH($A2189&amp;"|69",Positions!$A$2:$A$6912,0)),"-")</f>
        <v>C</v>
      </c>
      <c r="H2189" s="3" t="str">
        <f aca="false">F2189&amp;"-"&amp;G2189</f>
        <v>G-C</v>
      </c>
      <c r="I2189" s="4" t="n">
        <f aca="false">(F2189="G")+(G2189="G")</f>
        <v>1</v>
      </c>
      <c r="J2189" s="4" t="n">
        <f aca="false">(F2189="C")+(G2189="C")</f>
        <v>1</v>
      </c>
      <c r="K2189" s="3" t="n">
        <f aca="false">I2189+J2189</f>
        <v>2</v>
      </c>
    </row>
    <row r="2190" customFormat="false" ht="15" hidden="false" customHeight="false" outlineLevel="0" collapsed="false">
      <c r="A2190" s="4" t="s">
        <v>115</v>
      </c>
      <c r="B2190" s="4" t="s">
        <v>412</v>
      </c>
      <c r="C2190" s="4" t="s">
        <v>283</v>
      </c>
      <c r="D2190" s="4" t="n">
        <f aca="false">IFERROR(INDEX(Positions!$D$2:$D$6912,MATCH($A2190&amp;"|5",Positions!$A$2:$A$6912,0)),"-")</f>
        <v>5</v>
      </c>
      <c r="E2190" s="4" t="n">
        <f aca="false">IFERROR(INDEX(Positions!$D$2:$D$6912,MATCH($A2190&amp;"|68",Positions!$A$2:$A$6912,0)),"-")</f>
        <v>69</v>
      </c>
      <c r="F2190" s="4" t="str">
        <f aca="false">IFERROR(INDEX(Positions!$E$2:$E$6912,MATCH($A2190&amp;"|5",Positions!$A$2:$A$6912,0)),"-")</f>
        <v>G</v>
      </c>
      <c r="G2190" s="4" t="str">
        <f aca="false">IFERROR(INDEX(Positions!$E$2:$E$6912,MATCH($A2190&amp;"|68",Positions!$A$2:$A$6912,0)),"-")</f>
        <v>C</v>
      </c>
      <c r="H2190" s="3" t="str">
        <f aca="false">F2190&amp;"-"&amp;G2190</f>
        <v>G-C</v>
      </c>
      <c r="I2190" s="4" t="n">
        <f aca="false">(F2190="G")+(G2190="G")</f>
        <v>1</v>
      </c>
      <c r="J2190" s="4" t="n">
        <f aca="false">(F2190="C")+(G2190="C")</f>
        <v>1</v>
      </c>
      <c r="K2190" s="3" t="n">
        <f aca="false">I2190+J2190</f>
        <v>2</v>
      </c>
    </row>
    <row r="2191" customFormat="false" ht="15" hidden="false" customHeight="false" outlineLevel="0" collapsed="false">
      <c r="A2191" s="4" t="s">
        <v>115</v>
      </c>
      <c r="B2191" s="4" t="s">
        <v>412</v>
      </c>
      <c r="C2191" s="4" t="s">
        <v>520</v>
      </c>
      <c r="D2191" s="4" t="n">
        <f aca="false">IFERROR(INDEX(Positions!$D$2:$D$6912,MATCH($A2191&amp;"|6",Positions!$A$2:$A$6912,0)),"-")</f>
        <v>6</v>
      </c>
      <c r="E2191" s="4" t="n">
        <f aca="false">IFERROR(INDEX(Positions!$D$2:$D$6912,MATCH($A2191&amp;"|67",Positions!$A$2:$A$6912,0)),"-")</f>
        <v>68</v>
      </c>
      <c r="F2191" s="4" t="str">
        <f aca="false">IFERROR(INDEX(Positions!$E$2:$E$6912,MATCH($A2191&amp;"|6",Positions!$A$2:$A$6912,0)),"-")</f>
        <v>G</v>
      </c>
      <c r="G2191" s="4" t="str">
        <f aca="false">IFERROR(INDEX(Positions!$E$2:$E$6912,MATCH($A2191&amp;"|67",Positions!$A$2:$A$6912,0)),"-")</f>
        <v>C</v>
      </c>
      <c r="H2191" s="3" t="str">
        <f aca="false">F2191&amp;"-"&amp;G2191</f>
        <v>G-C</v>
      </c>
      <c r="I2191" s="4" t="n">
        <f aca="false">(F2191="G")+(G2191="G")</f>
        <v>1</v>
      </c>
      <c r="J2191" s="4" t="n">
        <f aca="false">(F2191="C")+(G2191="C")</f>
        <v>1</v>
      </c>
      <c r="K2191" s="3" t="n">
        <f aca="false">I2191+J2191</f>
        <v>2</v>
      </c>
    </row>
    <row r="2192" customFormat="false" ht="15" hidden="false" customHeight="false" outlineLevel="0" collapsed="false">
      <c r="A2192" s="4" t="s">
        <v>115</v>
      </c>
      <c r="B2192" s="4" t="s">
        <v>412</v>
      </c>
      <c r="C2192" s="4" t="s">
        <v>521</v>
      </c>
      <c r="D2192" s="4" t="n">
        <f aca="false">IFERROR(INDEX(Positions!$D$2:$D$6912,MATCH($A2192&amp;"|7",Positions!$A$2:$A$6912,0)),"-")</f>
        <v>7</v>
      </c>
      <c r="E2192" s="4" t="n">
        <f aca="false">IFERROR(INDEX(Positions!$D$2:$D$6912,MATCH($A2192&amp;"|66",Positions!$A$2:$A$6912,0)),"-")</f>
        <v>67</v>
      </c>
      <c r="F2192" s="4" t="str">
        <f aca="false">IFERROR(INDEX(Positions!$E$2:$E$6912,MATCH($A2192&amp;"|7",Positions!$A$2:$A$6912,0)),"-")</f>
        <v>G</v>
      </c>
      <c r="G2192" s="4" t="str">
        <f aca="false">IFERROR(INDEX(Positions!$E$2:$E$6912,MATCH($A2192&amp;"|66",Positions!$A$2:$A$6912,0)),"-")</f>
        <v>C</v>
      </c>
      <c r="H2192" s="3" t="str">
        <f aca="false">F2192&amp;"-"&amp;G2192</f>
        <v>G-C</v>
      </c>
      <c r="I2192" s="4" t="n">
        <f aca="false">(F2192="G")+(G2192="G")</f>
        <v>1</v>
      </c>
      <c r="J2192" s="4" t="n">
        <f aca="false">(F2192="C")+(G2192="C")</f>
        <v>1</v>
      </c>
      <c r="K2192" s="3" t="n">
        <f aca="false">I2192+J2192</f>
        <v>2</v>
      </c>
    </row>
    <row r="2193" customFormat="false" ht="15" hidden="false" customHeight="false" outlineLevel="0" collapsed="false">
      <c r="A2193" s="4" t="s">
        <v>115</v>
      </c>
      <c r="B2193" s="4" t="s">
        <v>425</v>
      </c>
      <c r="C2193" s="4" t="s">
        <v>522</v>
      </c>
      <c r="D2193" s="4" t="n">
        <f aca="false">IFERROR(INDEX(Positions!$D$2:$D$6912,MATCH($A2193&amp;"|10",Positions!$A$2:$A$6912,0)),"-")</f>
        <v>10</v>
      </c>
      <c r="E2193" s="4" t="n">
        <f aca="false">IFERROR(INDEX(Positions!$D$2:$D$6912,MATCH($A2193&amp;"|25",Positions!$A$2:$A$6912,0)),"-")</f>
        <v>26</v>
      </c>
      <c r="F2193" s="4" t="str">
        <f aca="false">IFERROR(INDEX(Positions!$E$2:$E$6912,MATCH($A2193&amp;"|10",Positions!$A$2:$A$6912,0)),"-")</f>
        <v>G</v>
      </c>
      <c r="G2193" s="4" t="str">
        <f aca="false">IFERROR(INDEX(Positions!$E$2:$E$6912,MATCH($A2193&amp;"|25",Positions!$A$2:$A$6912,0)),"-")</f>
        <v>C</v>
      </c>
      <c r="H2193" s="3" t="str">
        <f aca="false">F2193&amp;"-"&amp;G2193</f>
        <v>G-C</v>
      </c>
      <c r="I2193" s="4" t="n">
        <f aca="false">(F2193="G")+(G2193="G")</f>
        <v>1</v>
      </c>
      <c r="J2193" s="4" t="n">
        <f aca="false">(F2193="C")+(G2193="C")</f>
        <v>1</v>
      </c>
      <c r="K2193" s="3" t="n">
        <f aca="false">I2193+J2193</f>
        <v>2</v>
      </c>
    </row>
    <row r="2194" customFormat="false" ht="15" hidden="false" customHeight="false" outlineLevel="0" collapsed="false">
      <c r="A2194" s="4" t="s">
        <v>115</v>
      </c>
      <c r="B2194" s="4" t="s">
        <v>425</v>
      </c>
      <c r="C2194" s="4" t="s">
        <v>523</v>
      </c>
      <c r="D2194" s="4" t="n">
        <f aca="false">IFERROR(INDEX(Positions!$D$2:$D$6912,MATCH($A2194&amp;"|11",Positions!$A$2:$A$6912,0)),"-")</f>
        <v>11</v>
      </c>
      <c r="E2194" s="4" t="n">
        <f aca="false">IFERROR(INDEX(Positions!$D$2:$D$6912,MATCH($A2194&amp;"|24",Positions!$A$2:$A$6912,0)),"-")</f>
        <v>25</v>
      </c>
      <c r="F2194" s="4" t="str">
        <f aca="false">IFERROR(INDEX(Positions!$E$2:$E$6912,MATCH($A2194&amp;"|11",Positions!$A$2:$A$6912,0)),"-")</f>
        <v>A</v>
      </c>
      <c r="G2194" s="4" t="str">
        <f aca="false">IFERROR(INDEX(Positions!$E$2:$E$6912,MATCH($A2194&amp;"|24",Positions!$A$2:$A$6912,0)),"-")</f>
        <v>U</v>
      </c>
      <c r="H2194" s="3" t="str">
        <f aca="false">F2194&amp;"-"&amp;G2194</f>
        <v>A-U</v>
      </c>
      <c r="I2194" s="4" t="n">
        <f aca="false">(F2194="G")+(G2194="G")</f>
        <v>0</v>
      </c>
      <c r="J2194" s="4" t="n">
        <f aca="false">(F2194="C")+(G2194="C")</f>
        <v>0</v>
      </c>
      <c r="K2194" s="3" t="n">
        <f aca="false">I2194+J2194</f>
        <v>0</v>
      </c>
    </row>
    <row r="2195" customFormat="false" ht="15" hidden="false" customHeight="false" outlineLevel="0" collapsed="false">
      <c r="A2195" s="4" t="s">
        <v>115</v>
      </c>
      <c r="B2195" s="4" t="s">
        <v>425</v>
      </c>
      <c r="C2195" s="4" t="s">
        <v>250</v>
      </c>
      <c r="D2195" s="4" t="n">
        <f aca="false">IFERROR(INDEX(Positions!$D$2:$D$6912,MATCH($A2195&amp;"|12",Positions!$A$2:$A$6912,0)),"-")</f>
        <v>12</v>
      </c>
      <c r="E2195" s="4" t="n">
        <f aca="false">IFERROR(INDEX(Positions!$D$2:$D$6912,MATCH($A2195&amp;"|23",Positions!$A$2:$A$6912,0)),"-")</f>
        <v>24</v>
      </c>
      <c r="F2195" s="4" t="str">
        <f aca="false">IFERROR(INDEX(Positions!$E$2:$E$6912,MATCH($A2195&amp;"|12",Positions!$A$2:$A$6912,0)),"-")</f>
        <v>G</v>
      </c>
      <c r="G2195" s="4" t="str">
        <f aca="false">IFERROR(INDEX(Positions!$E$2:$E$6912,MATCH($A2195&amp;"|23",Positions!$A$2:$A$6912,0)),"-")</f>
        <v>C</v>
      </c>
      <c r="H2195" s="3" t="str">
        <f aca="false">F2195&amp;"-"&amp;G2195</f>
        <v>G-C</v>
      </c>
      <c r="I2195" s="4" t="n">
        <f aca="false">(F2195="G")+(G2195="G")</f>
        <v>1</v>
      </c>
      <c r="J2195" s="4" t="n">
        <f aca="false">(F2195="C")+(G2195="C")</f>
        <v>1</v>
      </c>
      <c r="K2195" s="3" t="n">
        <f aca="false">I2195+J2195</f>
        <v>2</v>
      </c>
    </row>
    <row r="2196" customFormat="false" ht="15" hidden="false" customHeight="false" outlineLevel="0" collapsed="false">
      <c r="A2196" s="4" t="s">
        <v>115</v>
      </c>
      <c r="B2196" s="4" t="s">
        <v>425</v>
      </c>
      <c r="C2196" s="4" t="s">
        <v>154</v>
      </c>
      <c r="D2196" s="4" t="n">
        <f aca="false">IFERROR(INDEX(Positions!$D$2:$D$6912,MATCH($A2196&amp;"|13",Positions!$A$2:$A$6912,0)),"-")</f>
        <v>13</v>
      </c>
      <c r="E2196" s="4" t="n">
        <f aca="false">IFERROR(INDEX(Positions!$D$2:$D$6912,MATCH($A2196&amp;"|22",Positions!$A$2:$A$6912,0)),"-")</f>
        <v>23</v>
      </c>
      <c r="F2196" s="4" t="str">
        <f aca="false">IFERROR(INDEX(Positions!$E$2:$E$6912,MATCH($A2196&amp;"|13",Positions!$A$2:$A$6912,0)),"-")</f>
        <v>C</v>
      </c>
      <c r="G2196" s="4" t="str">
        <f aca="false">IFERROR(INDEX(Positions!$E$2:$E$6912,MATCH($A2196&amp;"|22",Positions!$A$2:$A$6912,0)),"-")</f>
        <v>G</v>
      </c>
      <c r="H2196" s="3" t="str">
        <f aca="false">F2196&amp;"-"&amp;G2196</f>
        <v>C-G</v>
      </c>
      <c r="I2196" s="4" t="n">
        <f aca="false">(F2196="G")+(G2196="G")</f>
        <v>1</v>
      </c>
      <c r="J2196" s="4" t="n">
        <f aca="false">(F2196="C")+(G2196="C")</f>
        <v>1</v>
      </c>
      <c r="K2196" s="3" t="n">
        <f aca="false">I2196+J2196</f>
        <v>2</v>
      </c>
    </row>
    <row r="2197" customFormat="false" ht="15" hidden="false" customHeight="false" outlineLevel="0" collapsed="false">
      <c r="A2197" s="4" t="s">
        <v>115</v>
      </c>
      <c r="B2197" s="4" t="s">
        <v>446</v>
      </c>
      <c r="C2197" s="4" t="s">
        <v>524</v>
      </c>
      <c r="D2197" s="4" t="n">
        <f aca="false">IFERROR(INDEX(Positions!$D$2:$D$6912,MATCH($A2197&amp;"|27",Positions!$A$2:$A$6912,0)),"-")</f>
        <v>28</v>
      </c>
      <c r="E2197" s="4" t="n">
        <f aca="false">IFERROR(INDEX(Positions!$D$2:$D$6912,MATCH($A2197&amp;"|43",Positions!$A$2:$A$6912,0)),"-")</f>
        <v>44</v>
      </c>
      <c r="F2197" s="4" t="str">
        <f aca="false">IFERROR(INDEX(Positions!$E$2:$E$6912,MATCH($A2197&amp;"|27",Positions!$A$2:$A$6912,0)),"-")</f>
        <v>U</v>
      </c>
      <c r="G2197" s="4" t="str">
        <f aca="false">IFERROR(INDEX(Positions!$E$2:$E$6912,MATCH($A2197&amp;"|43",Positions!$A$2:$A$6912,0)),"-")</f>
        <v>A</v>
      </c>
      <c r="H2197" s="3" t="str">
        <f aca="false">F2197&amp;"-"&amp;G2197</f>
        <v>U-A</v>
      </c>
      <c r="I2197" s="4" t="n">
        <f aca="false">(F2197="G")+(G2197="G")</f>
        <v>0</v>
      </c>
      <c r="J2197" s="4" t="n">
        <f aca="false">(F2197="C")+(G2197="C")</f>
        <v>0</v>
      </c>
      <c r="K2197" s="3" t="n">
        <f aca="false">I2197+J2197</f>
        <v>0</v>
      </c>
    </row>
    <row r="2198" customFormat="false" ht="15" hidden="false" customHeight="false" outlineLevel="0" collapsed="false">
      <c r="A2198" s="4" t="s">
        <v>115</v>
      </c>
      <c r="B2198" s="4" t="s">
        <v>446</v>
      </c>
      <c r="C2198" s="4" t="s">
        <v>525</v>
      </c>
      <c r="D2198" s="4" t="n">
        <f aca="false">IFERROR(INDEX(Positions!$D$2:$D$6912,MATCH($A2198&amp;"|28",Positions!$A$2:$A$6912,0)),"-")</f>
        <v>29</v>
      </c>
      <c r="E2198" s="4" t="n">
        <f aca="false">IFERROR(INDEX(Positions!$D$2:$D$6912,MATCH($A2198&amp;"|42",Positions!$A$2:$A$6912,0)),"-")</f>
        <v>43</v>
      </c>
      <c r="F2198" s="4" t="str">
        <f aca="false">IFERROR(INDEX(Positions!$E$2:$E$6912,MATCH($A2198&amp;"|28",Positions!$A$2:$A$6912,0)),"-")</f>
        <v>C</v>
      </c>
      <c r="G2198" s="4" t="str">
        <f aca="false">IFERROR(INDEX(Positions!$E$2:$E$6912,MATCH($A2198&amp;"|42",Positions!$A$2:$A$6912,0)),"-")</f>
        <v>G</v>
      </c>
      <c r="H2198" s="3" t="str">
        <f aca="false">F2198&amp;"-"&amp;G2198</f>
        <v>C-G</v>
      </c>
      <c r="I2198" s="4" t="n">
        <f aca="false">(F2198="G")+(G2198="G")</f>
        <v>1</v>
      </c>
      <c r="J2198" s="4" t="n">
        <f aca="false">(F2198="C")+(G2198="C")</f>
        <v>1</v>
      </c>
      <c r="K2198" s="3" t="n">
        <f aca="false">I2198+J2198</f>
        <v>2</v>
      </c>
    </row>
    <row r="2199" customFormat="false" ht="15" hidden="false" customHeight="false" outlineLevel="0" collapsed="false">
      <c r="A2199" s="4" t="s">
        <v>115</v>
      </c>
      <c r="B2199" s="4" t="s">
        <v>446</v>
      </c>
      <c r="C2199" s="4" t="s">
        <v>256</v>
      </c>
      <c r="D2199" s="4" t="n">
        <f aca="false">IFERROR(INDEX(Positions!$D$2:$D$6912,MATCH($A2199&amp;"|29",Positions!$A$2:$A$6912,0)),"-")</f>
        <v>30</v>
      </c>
      <c r="E2199" s="4" t="n">
        <f aca="false">IFERROR(INDEX(Positions!$D$2:$D$6912,MATCH($A2199&amp;"|41",Positions!$A$2:$A$6912,0)),"-")</f>
        <v>42</v>
      </c>
      <c r="F2199" s="4" t="str">
        <f aca="false">IFERROR(INDEX(Positions!$E$2:$E$6912,MATCH($A2199&amp;"|29",Positions!$A$2:$A$6912,0)),"-")</f>
        <v>G</v>
      </c>
      <c r="G2199" s="4" t="str">
        <f aca="false">IFERROR(INDEX(Positions!$E$2:$E$6912,MATCH($A2199&amp;"|41",Positions!$A$2:$A$6912,0)),"-")</f>
        <v>C</v>
      </c>
      <c r="H2199" s="3" t="str">
        <f aca="false">F2199&amp;"-"&amp;G2199</f>
        <v>G-C</v>
      </c>
      <c r="I2199" s="4" t="n">
        <f aca="false">(F2199="G")+(G2199="G")</f>
        <v>1</v>
      </c>
      <c r="J2199" s="4" t="n">
        <f aca="false">(F2199="C")+(G2199="C")</f>
        <v>1</v>
      </c>
      <c r="K2199" s="3" t="n">
        <f aca="false">I2199+J2199</f>
        <v>2</v>
      </c>
    </row>
    <row r="2200" customFormat="false" ht="15" hidden="false" customHeight="false" outlineLevel="0" collapsed="false">
      <c r="A2200" s="4" t="s">
        <v>115</v>
      </c>
      <c r="B2200" s="4" t="s">
        <v>446</v>
      </c>
      <c r="C2200" s="4" t="s">
        <v>526</v>
      </c>
      <c r="D2200" s="4" t="n">
        <f aca="false">IFERROR(INDEX(Positions!$D$2:$D$6912,MATCH($A2200&amp;"|30",Positions!$A$2:$A$6912,0)),"-")</f>
        <v>31</v>
      </c>
      <c r="E2200" s="4" t="n">
        <f aca="false">IFERROR(INDEX(Positions!$D$2:$D$6912,MATCH($A2200&amp;"|40",Positions!$A$2:$A$6912,0)),"-")</f>
        <v>41</v>
      </c>
      <c r="F2200" s="4" t="str">
        <f aca="false">IFERROR(INDEX(Positions!$E$2:$E$6912,MATCH($A2200&amp;"|30",Positions!$A$2:$A$6912,0)),"-")</f>
        <v>G</v>
      </c>
      <c r="G2200" s="4" t="str">
        <f aca="false">IFERROR(INDEX(Positions!$E$2:$E$6912,MATCH($A2200&amp;"|40",Positions!$A$2:$A$6912,0)),"-")</f>
        <v>C</v>
      </c>
      <c r="H2200" s="3" t="str">
        <f aca="false">F2200&amp;"-"&amp;G2200</f>
        <v>G-C</v>
      </c>
      <c r="I2200" s="4" t="n">
        <f aca="false">(F2200="G")+(G2200="G")</f>
        <v>1</v>
      </c>
      <c r="J2200" s="4" t="n">
        <f aca="false">(F2200="C")+(G2200="C")</f>
        <v>1</v>
      </c>
      <c r="K2200" s="3" t="n">
        <f aca="false">I2200+J2200</f>
        <v>2</v>
      </c>
    </row>
    <row r="2201" customFormat="false" ht="15" hidden="false" customHeight="false" outlineLevel="0" collapsed="false">
      <c r="A2201" s="4" t="s">
        <v>115</v>
      </c>
      <c r="B2201" s="4" t="s">
        <v>446</v>
      </c>
      <c r="C2201" s="4" t="s">
        <v>273</v>
      </c>
      <c r="D2201" s="4" t="n">
        <f aca="false">IFERROR(INDEX(Positions!$D$2:$D$6912,MATCH($A2201&amp;"|31",Positions!$A$2:$A$6912,0)),"-")</f>
        <v>32</v>
      </c>
      <c r="E2201" s="4" t="n">
        <f aca="false">IFERROR(INDEX(Positions!$D$2:$D$6912,MATCH($A2201&amp;"|39",Positions!$A$2:$A$6912,0)),"-")</f>
        <v>40</v>
      </c>
      <c r="F2201" s="4" t="str">
        <f aca="false">IFERROR(INDEX(Positions!$E$2:$E$6912,MATCH($A2201&amp;"|31",Positions!$A$2:$A$6912,0)),"-")</f>
        <v>G</v>
      </c>
      <c r="G2201" s="4" t="str">
        <f aca="false">IFERROR(INDEX(Positions!$E$2:$E$6912,MATCH($A2201&amp;"|39",Positions!$A$2:$A$6912,0)),"-")</f>
        <v>C</v>
      </c>
      <c r="H2201" s="3" t="str">
        <f aca="false">F2201&amp;"-"&amp;G2201</f>
        <v>G-C</v>
      </c>
      <c r="I2201" s="4" t="n">
        <f aca="false">(F2201="G")+(G2201="G")</f>
        <v>1</v>
      </c>
      <c r="J2201" s="4" t="n">
        <f aca="false">(F2201="C")+(G2201="C")</f>
        <v>1</v>
      </c>
      <c r="K2201" s="3" t="n">
        <f aca="false">I2201+J2201</f>
        <v>2</v>
      </c>
    </row>
    <row r="2202" customFormat="false" ht="15" hidden="false" customHeight="false" outlineLevel="0" collapsed="false">
      <c r="A2202" s="4" t="s">
        <v>115</v>
      </c>
      <c r="B2202" s="4" t="s">
        <v>471</v>
      </c>
      <c r="C2202" s="4" t="s">
        <v>367</v>
      </c>
      <c r="D2202" s="4" t="n">
        <f aca="false">IFERROR(INDEX(Positions!$D$2:$D$6912,MATCH($A2202&amp;"|49",Positions!$A$2:$A$6912,0)),"-")</f>
        <v>50</v>
      </c>
      <c r="E2202" s="4" t="n">
        <f aca="false">IFERROR(INDEX(Positions!$D$2:$D$6912,MATCH($A2202&amp;"|65",Positions!$A$2:$A$6912,0)),"-")</f>
        <v>66</v>
      </c>
      <c r="F2202" s="4" t="str">
        <f aca="false">IFERROR(INDEX(Positions!$E$2:$E$6912,MATCH($A2202&amp;"|49",Positions!$A$2:$A$6912,0)),"-")</f>
        <v>G</v>
      </c>
      <c r="G2202" s="4" t="str">
        <f aca="false">IFERROR(INDEX(Positions!$E$2:$E$6912,MATCH($A2202&amp;"|65",Positions!$A$2:$A$6912,0)),"-")</f>
        <v>C</v>
      </c>
      <c r="H2202" s="3" t="str">
        <f aca="false">F2202&amp;"-"&amp;G2202</f>
        <v>G-C</v>
      </c>
      <c r="I2202" s="4" t="n">
        <f aca="false">(F2202="G")+(G2202="G")</f>
        <v>1</v>
      </c>
      <c r="J2202" s="4" t="n">
        <f aca="false">(F2202="C")+(G2202="C")</f>
        <v>1</v>
      </c>
      <c r="K2202" s="3" t="n">
        <f aca="false">I2202+J2202</f>
        <v>2</v>
      </c>
    </row>
    <row r="2203" customFormat="false" ht="15" hidden="false" customHeight="false" outlineLevel="0" collapsed="false">
      <c r="A2203" s="4" t="s">
        <v>115</v>
      </c>
      <c r="B2203" s="4" t="s">
        <v>471</v>
      </c>
      <c r="C2203" s="4" t="s">
        <v>233</v>
      </c>
      <c r="D2203" s="4" t="n">
        <f aca="false">IFERROR(INDEX(Positions!$D$2:$D$6912,MATCH($A2203&amp;"|50",Positions!$A$2:$A$6912,0)),"-")</f>
        <v>51</v>
      </c>
      <c r="E2203" s="4" t="n">
        <f aca="false">IFERROR(INDEX(Positions!$D$2:$D$6912,MATCH($A2203&amp;"|64",Positions!$A$2:$A$6912,0)),"-")</f>
        <v>65</v>
      </c>
      <c r="F2203" s="4" t="str">
        <f aca="false">IFERROR(INDEX(Positions!$E$2:$E$6912,MATCH($A2203&amp;"|50",Positions!$A$2:$A$6912,0)),"-")</f>
        <v>C</v>
      </c>
      <c r="G2203" s="4" t="str">
        <f aca="false">IFERROR(INDEX(Positions!$E$2:$E$6912,MATCH($A2203&amp;"|64",Positions!$A$2:$A$6912,0)),"-")</f>
        <v>G</v>
      </c>
      <c r="H2203" s="3" t="str">
        <f aca="false">F2203&amp;"-"&amp;G2203</f>
        <v>C-G</v>
      </c>
      <c r="I2203" s="4" t="n">
        <f aca="false">(F2203="G")+(G2203="G")</f>
        <v>1</v>
      </c>
      <c r="J2203" s="4" t="n">
        <f aca="false">(F2203="C")+(G2203="C")</f>
        <v>1</v>
      </c>
      <c r="K2203" s="3" t="n">
        <f aca="false">I2203+J2203</f>
        <v>2</v>
      </c>
    </row>
    <row r="2204" customFormat="false" ht="15" hidden="false" customHeight="false" outlineLevel="0" collapsed="false">
      <c r="A2204" s="4" t="s">
        <v>115</v>
      </c>
      <c r="B2204" s="4" t="s">
        <v>471</v>
      </c>
      <c r="C2204" s="4" t="s">
        <v>527</v>
      </c>
      <c r="D2204" s="4" t="n">
        <f aca="false">IFERROR(INDEX(Positions!$D$2:$D$6912,MATCH($A2204&amp;"|51",Positions!$A$2:$A$6912,0)),"-")</f>
        <v>52</v>
      </c>
      <c r="E2204" s="4" t="n">
        <f aca="false">IFERROR(INDEX(Positions!$D$2:$D$6912,MATCH($A2204&amp;"|63",Positions!$A$2:$A$6912,0)),"-")</f>
        <v>64</v>
      </c>
      <c r="F2204" s="4" t="str">
        <f aca="false">IFERROR(INDEX(Positions!$E$2:$E$6912,MATCH($A2204&amp;"|51",Positions!$A$2:$A$6912,0)),"-")</f>
        <v>C</v>
      </c>
      <c r="G2204" s="4" t="str">
        <f aca="false">IFERROR(INDEX(Positions!$E$2:$E$6912,MATCH($A2204&amp;"|63",Positions!$A$2:$A$6912,0)),"-")</f>
        <v>G</v>
      </c>
      <c r="H2204" s="3" t="str">
        <f aca="false">F2204&amp;"-"&amp;G2204</f>
        <v>C-G</v>
      </c>
      <c r="I2204" s="4" t="n">
        <f aca="false">(F2204="G")+(G2204="G")</f>
        <v>1</v>
      </c>
      <c r="J2204" s="4" t="n">
        <f aca="false">(F2204="C")+(G2204="C")</f>
        <v>1</v>
      </c>
      <c r="K2204" s="3" t="n">
        <f aca="false">I2204+J2204</f>
        <v>2</v>
      </c>
    </row>
    <row r="2205" customFormat="false" ht="15" hidden="false" customHeight="false" outlineLevel="0" collapsed="false">
      <c r="A2205" s="4" t="s">
        <v>115</v>
      </c>
      <c r="B2205" s="4" t="s">
        <v>471</v>
      </c>
      <c r="C2205" s="4" t="s">
        <v>528</v>
      </c>
      <c r="D2205" s="4" t="n">
        <f aca="false">IFERROR(INDEX(Positions!$D$2:$D$6912,MATCH($A2205&amp;"|52",Positions!$A$2:$A$6912,0)),"-")</f>
        <v>53</v>
      </c>
      <c r="E2205" s="4" t="n">
        <f aca="false">IFERROR(INDEX(Positions!$D$2:$D$6912,MATCH($A2205&amp;"|62",Positions!$A$2:$A$6912,0)),"-")</f>
        <v>63</v>
      </c>
      <c r="F2205" s="4" t="str">
        <f aca="false">IFERROR(INDEX(Positions!$E$2:$E$6912,MATCH($A2205&amp;"|52",Positions!$A$2:$A$6912,0)),"-")</f>
        <v>G</v>
      </c>
      <c r="G2205" s="4" t="str">
        <f aca="false">IFERROR(INDEX(Positions!$E$2:$E$6912,MATCH($A2205&amp;"|62",Positions!$A$2:$A$6912,0)),"-")</f>
        <v>C</v>
      </c>
      <c r="H2205" s="3" t="str">
        <f aca="false">F2205&amp;"-"&amp;G2205</f>
        <v>G-C</v>
      </c>
      <c r="I2205" s="4" t="n">
        <f aca="false">(F2205="G")+(G2205="G")</f>
        <v>1</v>
      </c>
      <c r="J2205" s="4" t="n">
        <f aca="false">(F2205="C")+(G2205="C")</f>
        <v>1</v>
      </c>
      <c r="K2205" s="3" t="n">
        <f aca="false">I2205+J2205</f>
        <v>2</v>
      </c>
    </row>
    <row r="2206" customFormat="false" ht="15" hidden="false" customHeight="false" outlineLevel="0" collapsed="false">
      <c r="A2206" s="4" t="s">
        <v>115</v>
      </c>
      <c r="B2206" s="4" t="s">
        <v>471</v>
      </c>
      <c r="C2206" s="4" t="s">
        <v>529</v>
      </c>
      <c r="D2206" s="4" t="n">
        <f aca="false">IFERROR(INDEX(Positions!$D$2:$D$6912,MATCH($A2206&amp;"|53",Positions!$A$2:$A$6912,0)),"-")</f>
        <v>54</v>
      </c>
      <c r="E2206" s="4" t="n">
        <f aca="false">IFERROR(INDEX(Positions!$D$2:$D$6912,MATCH($A2206&amp;"|61",Positions!$A$2:$A$6912,0)),"-")</f>
        <v>62</v>
      </c>
      <c r="F2206" s="4" t="str">
        <f aca="false">IFERROR(INDEX(Positions!$E$2:$E$6912,MATCH($A2206&amp;"|53",Positions!$A$2:$A$6912,0)),"-")</f>
        <v>G</v>
      </c>
      <c r="G2206" s="4" t="str">
        <f aca="false">IFERROR(INDEX(Positions!$E$2:$E$6912,MATCH($A2206&amp;"|61",Positions!$A$2:$A$6912,0)),"-")</f>
        <v>C</v>
      </c>
      <c r="H2206" s="3" t="str">
        <f aca="false">F2206&amp;"-"&amp;G2206</f>
        <v>G-C</v>
      </c>
      <c r="I2206" s="4" t="n">
        <f aca="false">(F2206="G")+(G2206="G")</f>
        <v>1</v>
      </c>
      <c r="J2206" s="4" t="n">
        <f aca="false">(F2206="C")+(G2206="C")</f>
        <v>1</v>
      </c>
      <c r="K2206" s="3" t="n">
        <f aca="false">I2206+J2206</f>
        <v>2</v>
      </c>
    </row>
    <row r="2207" customFormat="false" ht="15" hidden="false" customHeight="false" outlineLevel="0" collapsed="false">
      <c r="A2207" s="24" t="s">
        <v>115</v>
      </c>
      <c r="B2207" s="24" t="s">
        <v>530</v>
      </c>
      <c r="C2207" s="24" t="s">
        <v>531</v>
      </c>
      <c r="D2207" s="24" t="n">
        <f aca="false">IFERROR(INDEX(Positions!$D$2:$D$6912,MATCH($A2207&amp;"|8",Positions!$A$2:$A$6912,0)),"-")</f>
        <v>8</v>
      </c>
      <c r="E2207" s="24" t="n">
        <f aca="false">IFERROR(INDEX(Positions!$D$2:$D$6912,MATCH($A2207&amp;"|14",Positions!$A$2:$A$6912,0)),"-")</f>
        <v>14</v>
      </c>
      <c r="F2207" s="24" t="str">
        <f aca="false">IFERROR(INDEX(Positions!$E$2:$E$6912,MATCH($A2207&amp;"|8",Positions!$A$2:$A$6912,0)),"-")</f>
        <v>U</v>
      </c>
      <c r="G2207" s="24" t="str">
        <f aca="false">IFERROR(INDEX(Positions!$E$2:$E$6912,MATCH($A2207&amp;"|14",Positions!$A$2:$A$6912,0)),"-")</f>
        <v>A</v>
      </c>
      <c r="H2207" s="25" t="str">
        <f aca="false">F2207&amp;"-"&amp;G2207</f>
        <v>U-A</v>
      </c>
      <c r="I2207" s="24" t="n">
        <f aca="false">(F2207="G")+(G2207="G")</f>
        <v>0</v>
      </c>
      <c r="J2207" s="24" t="n">
        <f aca="false">(F2207="C")+(G2207="C")</f>
        <v>0</v>
      </c>
      <c r="K2207" s="25" t="n">
        <f aca="false">I2207+J2207</f>
        <v>0</v>
      </c>
    </row>
    <row r="2208" customFormat="false" ht="15" hidden="false" customHeight="false" outlineLevel="0" collapsed="false">
      <c r="A2208" s="24" t="s">
        <v>115</v>
      </c>
      <c r="B2208" s="24" t="s">
        <v>530</v>
      </c>
      <c r="C2208" s="24" t="s">
        <v>532</v>
      </c>
      <c r="D2208" s="24" t="n">
        <f aca="false">IFERROR(INDEX(Positions!$D$2:$D$6912,MATCH($A2208&amp;"|15",Positions!$A$2:$A$6912,0)),"-")</f>
        <v>15</v>
      </c>
      <c r="E2208" s="24" t="n">
        <f aca="false">IFERROR(INDEX(Positions!$D$2:$D$6912,MATCH($A2208&amp;"|48",Positions!$A$2:$A$6912,0)),"-")</f>
        <v>49</v>
      </c>
      <c r="F2208" s="24" t="str">
        <f aca="false">IFERROR(INDEX(Positions!$E$2:$E$6912,MATCH($A2208&amp;"|15",Positions!$A$2:$A$6912,0)),"-")</f>
        <v>G</v>
      </c>
      <c r="G2208" s="24" t="str">
        <f aca="false">IFERROR(INDEX(Positions!$E$2:$E$6912,MATCH($A2208&amp;"|48",Positions!$A$2:$A$6912,0)),"-")</f>
        <v>C</v>
      </c>
      <c r="H2208" s="25" t="str">
        <f aca="false">F2208&amp;"-"&amp;G2208</f>
        <v>G-C</v>
      </c>
      <c r="I2208" s="24" t="n">
        <f aca="false">(F2208="G")+(G2208="G")</f>
        <v>1</v>
      </c>
      <c r="J2208" s="24" t="n">
        <f aca="false">(F2208="C")+(G2208="C")</f>
        <v>1</v>
      </c>
      <c r="K2208" s="25" t="n">
        <f aca="false">I2208+J2208</f>
        <v>2</v>
      </c>
    </row>
    <row r="2209" customFormat="false" ht="15" hidden="false" customHeight="false" outlineLevel="0" collapsed="false">
      <c r="A2209" s="24" t="s">
        <v>115</v>
      </c>
      <c r="B2209" s="24" t="s">
        <v>530</v>
      </c>
      <c r="C2209" s="24" t="s">
        <v>533</v>
      </c>
      <c r="D2209" s="24" t="n">
        <f aca="false">IFERROR(INDEX(Positions!$D$2:$D$6912,MATCH($A2209&amp;"|18",Positions!$A$2:$A$6912,0)),"-")</f>
        <v>19</v>
      </c>
      <c r="E2209" s="24" t="n">
        <f aca="false">IFERROR(INDEX(Positions!$D$2:$D$6912,MATCH($A2209&amp;"|55",Positions!$A$2:$A$6912,0)),"-")</f>
        <v>56</v>
      </c>
      <c r="F2209" s="24" t="str">
        <f aca="false">IFERROR(INDEX(Positions!$E$2:$E$6912,MATCH($A2209&amp;"|18",Positions!$A$2:$A$6912,0)),"-")</f>
        <v>G</v>
      </c>
      <c r="G2209" s="24" t="str">
        <f aca="false">IFERROR(INDEX(Positions!$E$2:$E$6912,MATCH($A2209&amp;"|55",Positions!$A$2:$A$6912,0)),"-")</f>
        <v>U</v>
      </c>
      <c r="H2209" s="25" t="str">
        <f aca="false">F2209&amp;"-"&amp;G2209</f>
        <v>G-U</v>
      </c>
      <c r="I2209" s="24" t="n">
        <f aca="false">(F2209="G")+(G2209="G")</f>
        <v>1</v>
      </c>
      <c r="J2209" s="24" t="n">
        <f aca="false">(F2209="C")+(G2209="C")</f>
        <v>0</v>
      </c>
      <c r="K2209" s="25" t="n">
        <f aca="false">I2209+J2209</f>
        <v>1</v>
      </c>
    </row>
    <row r="2210" customFormat="false" ht="15" hidden="false" customHeight="false" outlineLevel="0" collapsed="false">
      <c r="A2210" s="24" t="s">
        <v>115</v>
      </c>
      <c r="B2210" s="24" t="s">
        <v>530</v>
      </c>
      <c r="C2210" s="24" t="s">
        <v>534</v>
      </c>
      <c r="D2210" s="24" t="n">
        <f aca="false">IFERROR(INDEX(Positions!$D$2:$D$6912,MATCH($A2210&amp;"|19",Positions!$A$2:$A$6912,0)),"-")</f>
        <v>20</v>
      </c>
      <c r="E2210" s="24" t="n">
        <f aca="false">IFERROR(INDEX(Positions!$D$2:$D$6912,MATCH($A2210&amp;"|56",Positions!$A$2:$A$6912,0)),"-")</f>
        <v>57</v>
      </c>
      <c r="F2210" s="24" t="str">
        <f aca="false">IFERROR(INDEX(Positions!$E$2:$E$6912,MATCH($A2210&amp;"|19",Positions!$A$2:$A$6912,0)),"-")</f>
        <v>G</v>
      </c>
      <c r="G2210" s="24" t="str">
        <f aca="false">IFERROR(INDEX(Positions!$E$2:$E$6912,MATCH($A2210&amp;"|56",Positions!$A$2:$A$6912,0)),"-")</f>
        <v>C</v>
      </c>
      <c r="H2210" s="25" t="str">
        <f aca="false">F2210&amp;"-"&amp;G2210</f>
        <v>G-C</v>
      </c>
      <c r="I2210" s="24" t="n">
        <f aca="false">(F2210="G")+(G2210="G")</f>
        <v>1</v>
      </c>
      <c r="J2210" s="24" t="n">
        <f aca="false">(F2210="C")+(G2210="C")</f>
        <v>1</v>
      </c>
      <c r="K2210" s="25" t="n">
        <f aca="false">I2210+J2210</f>
        <v>2</v>
      </c>
    </row>
    <row r="2211" customFormat="false" ht="15" hidden="false" customHeight="false" outlineLevel="0" collapsed="false">
      <c r="A2211" s="24" t="s">
        <v>115</v>
      </c>
      <c r="B2211" s="24" t="s">
        <v>530</v>
      </c>
      <c r="C2211" s="24" t="s">
        <v>535</v>
      </c>
      <c r="D2211" s="24" t="n">
        <f aca="false">IFERROR(INDEX(Positions!$D$2:$D$6912,MATCH($A2211&amp;"|26",Positions!$A$2:$A$6912,0)),"-")</f>
        <v>27</v>
      </c>
      <c r="E2211" s="24" t="n">
        <f aca="false">IFERROR(INDEX(Positions!$D$2:$D$6912,MATCH($A2211&amp;"|44",Positions!$A$2:$A$6912,0)),"-")</f>
        <v>45</v>
      </c>
      <c r="F2211" s="24" t="str">
        <f aca="false">IFERROR(INDEX(Positions!$E$2:$E$6912,MATCH($A2211&amp;"|26",Positions!$A$2:$A$6912,0)),"-")</f>
        <v>G</v>
      </c>
      <c r="G2211" s="24" t="str">
        <f aca="false">IFERROR(INDEX(Positions!$E$2:$E$6912,MATCH($A2211&amp;"|44",Positions!$A$2:$A$6912,0)),"-")</f>
        <v>A</v>
      </c>
      <c r="H2211" s="25" t="str">
        <f aca="false">F2211&amp;"-"&amp;G2211</f>
        <v>G-A</v>
      </c>
      <c r="I2211" s="24" t="n">
        <f aca="false">(F2211="G")+(G2211="G")</f>
        <v>1</v>
      </c>
      <c r="J2211" s="24" t="n">
        <f aca="false">(F2211="C")+(G2211="C")</f>
        <v>0</v>
      </c>
      <c r="K2211" s="25" t="n">
        <f aca="false">I2211+J2211</f>
        <v>1</v>
      </c>
    </row>
    <row r="2212" customFormat="false" ht="15" hidden="false" customHeight="false" outlineLevel="0" collapsed="false">
      <c r="A2212" s="24" t="s">
        <v>115</v>
      </c>
      <c r="B2212" s="24" t="s">
        <v>530</v>
      </c>
      <c r="C2212" s="24" t="s">
        <v>536</v>
      </c>
      <c r="D2212" s="24" t="n">
        <f aca="false">IFERROR(INDEX(Positions!$D$2:$D$6912,MATCH($A2212&amp;"|32",Positions!$A$2:$A$6912,0)),"-")</f>
        <v>33</v>
      </c>
      <c r="E2212" s="24" t="n">
        <f aca="false">IFERROR(INDEX(Positions!$D$2:$D$6912,MATCH($A2212&amp;"|38",Positions!$A$2:$A$6912,0)),"-")</f>
        <v>39</v>
      </c>
      <c r="F2212" s="24" t="str">
        <f aca="false">IFERROR(INDEX(Positions!$E$2:$E$6912,MATCH($A2212&amp;"|32",Positions!$A$2:$A$6912,0)),"-")</f>
        <v>C</v>
      </c>
      <c r="G2212" s="24" t="str">
        <f aca="false">IFERROR(INDEX(Positions!$E$2:$E$6912,MATCH($A2212&amp;"|38",Positions!$A$2:$A$6912,0)),"-")</f>
        <v>A</v>
      </c>
      <c r="H2212" s="25" t="str">
        <f aca="false">F2212&amp;"-"&amp;G2212</f>
        <v>C-A</v>
      </c>
      <c r="I2212" s="24" t="n">
        <f aca="false">(F2212="G")+(G2212="G")</f>
        <v>0</v>
      </c>
      <c r="J2212" s="24" t="n">
        <f aca="false">(F2212="C")+(G2212="C")</f>
        <v>1</v>
      </c>
      <c r="K2212" s="25" t="n">
        <f aca="false">I2212+J2212</f>
        <v>1</v>
      </c>
    </row>
    <row r="2213" customFormat="false" ht="15" hidden="false" customHeight="false" outlineLevel="0" collapsed="false">
      <c r="A2213" s="24" t="s">
        <v>115</v>
      </c>
      <c r="B2213" s="24" t="s">
        <v>530</v>
      </c>
      <c r="C2213" s="24" t="s">
        <v>537</v>
      </c>
      <c r="D2213" s="24" t="n">
        <f aca="false">IFERROR(INDEX(Positions!$D$2:$D$6912,MATCH($A2213&amp;"|54",Positions!$A$2:$A$6912,0)),"-")</f>
        <v>55</v>
      </c>
      <c r="E2213" s="24" t="n">
        <f aca="false">IFERROR(INDEX(Positions!$D$2:$D$6912,MATCH($A2213&amp;"|58",Positions!$A$2:$A$6912,0)),"-")</f>
        <v>59</v>
      </c>
      <c r="F2213" s="24" t="str">
        <f aca="false">IFERROR(INDEX(Positions!$E$2:$E$6912,MATCH($A2213&amp;"|54",Positions!$A$2:$A$6912,0)),"-")</f>
        <v>U</v>
      </c>
      <c r="G2213" s="24" t="str">
        <f aca="false">IFERROR(INDEX(Positions!$E$2:$E$6912,MATCH($A2213&amp;"|58",Positions!$A$2:$A$6912,0)),"-")</f>
        <v>A</v>
      </c>
      <c r="H2213" s="25" t="str">
        <f aca="false">F2213&amp;"-"&amp;G2213</f>
        <v>U-A</v>
      </c>
      <c r="I2213" s="24" t="n">
        <f aca="false">(F2213="G")+(G2213="G")</f>
        <v>0</v>
      </c>
      <c r="J2213" s="24" t="n">
        <f aca="false">(F2213="C")+(G2213="C")</f>
        <v>0</v>
      </c>
      <c r="K2213" s="25" t="n">
        <f aca="false">I2213+J2213</f>
        <v>0</v>
      </c>
    </row>
    <row r="2214" customFormat="false" ht="15" hidden="false" customHeight="false" outlineLevel="0" collapsed="false">
      <c r="A2214" s="4" t="s">
        <v>116</v>
      </c>
      <c r="B2214" s="4" t="s">
        <v>412</v>
      </c>
      <c r="C2214" s="4" t="s">
        <v>517</v>
      </c>
      <c r="D2214" s="4" t="n">
        <f aca="false">IFERROR(INDEX(Positions!$D$2:$D$6912,MATCH($A2214&amp;"|1",Positions!$A$2:$A$6912,0)),"-")</f>
        <v>1</v>
      </c>
      <c r="E2214" s="4" t="n">
        <f aca="false">IFERROR(INDEX(Positions!$D$2:$D$6912,MATCH($A2214&amp;"|72",Positions!$A$2:$A$6912,0)),"-")</f>
        <v>73</v>
      </c>
      <c r="F2214" s="4" t="str">
        <f aca="false">IFERROR(INDEX(Positions!$E$2:$E$6912,MATCH($A2214&amp;"|1",Positions!$A$2:$A$6912,0)),"-")</f>
        <v>C</v>
      </c>
      <c r="G2214" s="4" t="str">
        <f aca="false">IFERROR(INDEX(Positions!$E$2:$E$6912,MATCH($A2214&amp;"|72",Positions!$A$2:$A$6912,0)),"-")</f>
        <v>A</v>
      </c>
      <c r="H2214" s="3" t="str">
        <f aca="false">F2214&amp;"-"&amp;G2214</f>
        <v>C-A</v>
      </c>
      <c r="I2214" s="4" t="n">
        <f aca="false">(F2214="G")+(G2214="G")</f>
        <v>0</v>
      </c>
      <c r="J2214" s="4" t="n">
        <f aca="false">(F2214="C")+(G2214="C")</f>
        <v>1</v>
      </c>
      <c r="K2214" s="3" t="n">
        <f aca="false">I2214+J2214</f>
        <v>1</v>
      </c>
    </row>
    <row r="2215" customFormat="false" ht="15" hidden="false" customHeight="false" outlineLevel="0" collapsed="false">
      <c r="A2215" s="4" t="s">
        <v>116</v>
      </c>
      <c r="B2215" s="4" t="s">
        <v>412</v>
      </c>
      <c r="C2215" s="4" t="s">
        <v>518</v>
      </c>
      <c r="D2215" s="4" t="n">
        <f aca="false">IFERROR(INDEX(Positions!$D$2:$D$6912,MATCH($A2215&amp;"|2",Positions!$A$2:$A$6912,0)),"-")</f>
        <v>2</v>
      </c>
      <c r="E2215" s="4" t="n">
        <f aca="false">IFERROR(INDEX(Positions!$D$2:$D$6912,MATCH($A2215&amp;"|71",Positions!$A$2:$A$6912,0)),"-")</f>
        <v>72</v>
      </c>
      <c r="F2215" s="4" t="str">
        <f aca="false">IFERROR(INDEX(Positions!$E$2:$E$6912,MATCH($A2215&amp;"|2",Positions!$A$2:$A$6912,0)),"-")</f>
        <v>G</v>
      </c>
      <c r="G2215" s="4" t="str">
        <f aca="false">IFERROR(INDEX(Positions!$E$2:$E$6912,MATCH($A2215&amp;"|71",Positions!$A$2:$A$6912,0)),"-")</f>
        <v>C</v>
      </c>
      <c r="H2215" s="3" t="str">
        <f aca="false">F2215&amp;"-"&amp;G2215</f>
        <v>G-C</v>
      </c>
      <c r="I2215" s="4" t="n">
        <f aca="false">(F2215="G")+(G2215="G")</f>
        <v>1</v>
      </c>
      <c r="J2215" s="4" t="n">
        <f aca="false">(F2215="C")+(G2215="C")</f>
        <v>1</v>
      </c>
      <c r="K2215" s="3" t="n">
        <f aca="false">I2215+J2215</f>
        <v>2</v>
      </c>
    </row>
    <row r="2216" customFormat="false" ht="15" hidden="false" customHeight="false" outlineLevel="0" collapsed="false">
      <c r="A2216" s="4" t="s">
        <v>116</v>
      </c>
      <c r="B2216" s="4" t="s">
        <v>412</v>
      </c>
      <c r="C2216" s="4" t="s">
        <v>386</v>
      </c>
      <c r="D2216" s="4" t="n">
        <f aca="false">IFERROR(INDEX(Positions!$D$2:$D$6912,MATCH($A2216&amp;"|3",Positions!$A$2:$A$6912,0)),"-")</f>
        <v>3</v>
      </c>
      <c r="E2216" s="4" t="n">
        <f aca="false">IFERROR(INDEX(Positions!$D$2:$D$6912,MATCH($A2216&amp;"|70",Positions!$A$2:$A$6912,0)),"-")</f>
        <v>71</v>
      </c>
      <c r="F2216" s="4" t="str">
        <f aca="false">IFERROR(INDEX(Positions!$E$2:$E$6912,MATCH($A2216&amp;"|3",Positions!$A$2:$A$6912,0)),"-")</f>
        <v>C</v>
      </c>
      <c r="G2216" s="4" t="str">
        <f aca="false">IFERROR(INDEX(Positions!$E$2:$E$6912,MATCH($A2216&amp;"|70",Positions!$A$2:$A$6912,0)),"-")</f>
        <v>G</v>
      </c>
      <c r="H2216" s="3" t="str">
        <f aca="false">F2216&amp;"-"&amp;G2216</f>
        <v>C-G</v>
      </c>
      <c r="I2216" s="4" t="n">
        <f aca="false">(F2216="G")+(G2216="G")</f>
        <v>1</v>
      </c>
      <c r="J2216" s="4" t="n">
        <f aca="false">(F2216="C")+(G2216="C")</f>
        <v>1</v>
      </c>
      <c r="K2216" s="3" t="n">
        <f aca="false">I2216+J2216</f>
        <v>2</v>
      </c>
    </row>
    <row r="2217" customFormat="false" ht="15" hidden="false" customHeight="false" outlineLevel="0" collapsed="false">
      <c r="A2217" s="4" t="s">
        <v>116</v>
      </c>
      <c r="B2217" s="4" t="s">
        <v>412</v>
      </c>
      <c r="C2217" s="4" t="s">
        <v>519</v>
      </c>
      <c r="D2217" s="4" t="n">
        <f aca="false">IFERROR(INDEX(Positions!$D$2:$D$6912,MATCH($A2217&amp;"|4",Positions!$A$2:$A$6912,0)),"-")</f>
        <v>4</v>
      </c>
      <c r="E2217" s="4" t="n">
        <f aca="false">IFERROR(INDEX(Positions!$D$2:$D$6912,MATCH($A2217&amp;"|69",Positions!$A$2:$A$6912,0)),"-")</f>
        <v>70</v>
      </c>
      <c r="F2217" s="4" t="str">
        <f aca="false">IFERROR(INDEX(Positions!$E$2:$E$6912,MATCH($A2217&amp;"|4",Positions!$A$2:$A$6912,0)),"-")</f>
        <v>G</v>
      </c>
      <c r="G2217" s="4" t="str">
        <f aca="false">IFERROR(INDEX(Positions!$E$2:$E$6912,MATCH($A2217&amp;"|69",Positions!$A$2:$A$6912,0)),"-")</f>
        <v>C</v>
      </c>
      <c r="H2217" s="3" t="str">
        <f aca="false">F2217&amp;"-"&amp;G2217</f>
        <v>G-C</v>
      </c>
      <c r="I2217" s="4" t="n">
        <f aca="false">(F2217="G")+(G2217="G")</f>
        <v>1</v>
      </c>
      <c r="J2217" s="4" t="n">
        <f aca="false">(F2217="C")+(G2217="C")</f>
        <v>1</v>
      </c>
      <c r="K2217" s="3" t="n">
        <f aca="false">I2217+J2217</f>
        <v>2</v>
      </c>
    </row>
    <row r="2218" customFormat="false" ht="15" hidden="false" customHeight="false" outlineLevel="0" collapsed="false">
      <c r="A2218" s="4" t="s">
        <v>116</v>
      </c>
      <c r="B2218" s="4" t="s">
        <v>412</v>
      </c>
      <c r="C2218" s="4" t="s">
        <v>283</v>
      </c>
      <c r="D2218" s="4" t="n">
        <f aca="false">IFERROR(INDEX(Positions!$D$2:$D$6912,MATCH($A2218&amp;"|5",Positions!$A$2:$A$6912,0)),"-")</f>
        <v>5</v>
      </c>
      <c r="E2218" s="4" t="n">
        <f aca="false">IFERROR(INDEX(Positions!$D$2:$D$6912,MATCH($A2218&amp;"|68",Positions!$A$2:$A$6912,0)),"-")</f>
        <v>69</v>
      </c>
      <c r="F2218" s="4" t="str">
        <f aca="false">IFERROR(INDEX(Positions!$E$2:$E$6912,MATCH($A2218&amp;"|5",Positions!$A$2:$A$6912,0)),"-")</f>
        <v>G</v>
      </c>
      <c r="G2218" s="4" t="str">
        <f aca="false">IFERROR(INDEX(Positions!$E$2:$E$6912,MATCH($A2218&amp;"|68",Positions!$A$2:$A$6912,0)),"-")</f>
        <v>C</v>
      </c>
      <c r="H2218" s="3" t="str">
        <f aca="false">F2218&amp;"-"&amp;G2218</f>
        <v>G-C</v>
      </c>
      <c r="I2218" s="4" t="n">
        <f aca="false">(F2218="G")+(G2218="G")</f>
        <v>1</v>
      </c>
      <c r="J2218" s="4" t="n">
        <f aca="false">(F2218="C")+(G2218="C")</f>
        <v>1</v>
      </c>
      <c r="K2218" s="3" t="n">
        <f aca="false">I2218+J2218</f>
        <v>2</v>
      </c>
    </row>
    <row r="2219" customFormat="false" ht="15" hidden="false" customHeight="false" outlineLevel="0" collapsed="false">
      <c r="A2219" s="4" t="s">
        <v>116</v>
      </c>
      <c r="B2219" s="4" t="s">
        <v>412</v>
      </c>
      <c r="C2219" s="4" t="s">
        <v>520</v>
      </c>
      <c r="D2219" s="4" t="n">
        <f aca="false">IFERROR(INDEX(Positions!$D$2:$D$6912,MATCH($A2219&amp;"|6",Positions!$A$2:$A$6912,0)),"-")</f>
        <v>6</v>
      </c>
      <c r="E2219" s="4" t="n">
        <f aca="false">IFERROR(INDEX(Positions!$D$2:$D$6912,MATCH($A2219&amp;"|67",Positions!$A$2:$A$6912,0)),"-")</f>
        <v>68</v>
      </c>
      <c r="F2219" s="4" t="str">
        <f aca="false">IFERROR(INDEX(Positions!$E$2:$E$6912,MATCH($A2219&amp;"|6",Positions!$A$2:$A$6912,0)),"-")</f>
        <v>G</v>
      </c>
      <c r="G2219" s="4" t="str">
        <f aca="false">IFERROR(INDEX(Positions!$E$2:$E$6912,MATCH($A2219&amp;"|67",Positions!$A$2:$A$6912,0)),"-")</f>
        <v>C</v>
      </c>
      <c r="H2219" s="3" t="str">
        <f aca="false">F2219&amp;"-"&amp;G2219</f>
        <v>G-C</v>
      </c>
      <c r="I2219" s="4" t="n">
        <f aca="false">(F2219="G")+(G2219="G")</f>
        <v>1</v>
      </c>
      <c r="J2219" s="4" t="n">
        <f aca="false">(F2219="C")+(G2219="C")</f>
        <v>1</v>
      </c>
      <c r="K2219" s="3" t="n">
        <f aca="false">I2219+J2219</f>
        <v>2</v>
      </c>
    </row>
    <row r="2220" customFormat="false" ht="15" hidden="false" customHeight="false" outlineLevel="0" collapsed="false">
      <c r="A2220" s="4" t="s">
        <v>116</v>
      </c>
      <c r="B2220" s="4" t="s">
        <v>412</v>
      </c>
      <c r="C2220" s="4" t="s">
        <v>521</v>
      </c>
      <c r="D2220" s="4" t="n">
        <f aca="false">IFERROR(INDEX(Positions!$D$2:$D$6912,MATCH($A2220&amp;"|7",Positions!$A$2:$A$6912,0)),"-")</f>
        <v>7</v>
      </c>
      <c r="E2220" s="4" t="n">
        <f aca="false">IFERROR(INDEX(Positions!$D$2:$D$6912,MATCH($A2220&amp;"|66",Positions!$A$2:$A$6912,0)),"-")</f>
        <v>67</v>
      </c>
      <c r="F2220" s="4" t="str">
        <f aca="false">IFERROR(INDEX(Positions!$E$2:$E$6912,MATCH($A2220&amp;"|7",Positions!$A$2:$A$6912,0)),"-")</f>
        <v>G</v>
      </c>
      <c r="G2220" s="4" t="str">
        <f aca="false">IFERROR(INDEX(Positions!$E$2:$E$6912,MATCH($A2220&amp;"|66",Positions!$A$2:$A$6912,0)),"-")</f>
        <v>C</v>
      </c>
      <c r="H2220" s="3" t="str">
        <f aca="false">F2220&amp;"-"&amp;G2220</f>
        <v>G-C</v>
      </c>
      <c r="I2220" s="4" t="n">
        <f aca="false">(F2220="G")+(G2220="G")</f>
        <v>1</v>
      </c>
      <c r="J2220" s="4" t="n">
        <f aca="false">(F2220="C")+(G2220="C")</f>
        <v>1</v>
      </c>
      <c r="K2220" s="3" t="n">
        <f aca="false">I2220+J2220</f>
        <v>2</v>
      </c>
    </row>
    <row r="2221" customFormat="false" ht="15" hidden="false" customHeight="false" outlineLevel="0" collapsed="false">
      <c r="A2221" s="4" t="s">
        <v>116</v>
      </c>
      <c r="B2221" s="4" t="s">
        <v>425</v>
      </c>
      <c r="C2221" s="4" t="s">
        <v>522</v>
      </c>
      <c r="D2221" s="4" t="n">
        <f aca="false">IFERROR(INDEX(Positions!$D$2:$D$6912,MATCH($A2221&amp;"|10",Positions!$A$2:$A$6912,0)),"-")</f>
        <v>10</v>
      </c>
      <c r="E2221" s="4" t="n">
        <f aca="false">IFERROR(INDEX(Positions!$D$2:$D$6912,MATCH($A2221&amp;"|25",Positions!$A$2:$A$6912,0)),"-")</f>
        <v>26</v>
      </c>
      <c r="F2221" s="4" t="str">
        <f aca="false">IFERROR(INDEX(Positions!$E$2:$E$6912,MATCH($A2221&amp;"|10",Positions!$A$2:$A$6912,0)),"-")</f>
        <v>G</v>
      </c>
      <c r="G2221" s="4" t="str">
        <f aca="false">IFERROR(INDEX(Positions!$E$2:$E$6912,MATCH($A2221&amp;"|25",Positions!$A$2:$A$6912,0)),"-")</f>
        <v>C</v>
      </c>
      <c r="H2221" s="3" t="str">
        <f aca="false">F2221&amp;"-"&amp;G2221</f>
        <v>G-C</v>
      </c>
      <c r="I2221" s="4" t="n">
        <f aca="false">(F2221="G")+(G2221="G")</f>
        <v>1</v>
      </c>
      <c r="J2221" s="4" t="n">
        <f aca="false">(F2221="C")+(G2221="C")</f>
        <v>1</v>
      </c>
      <c r="K2221" s="3" t="n">
        <f aca="false">I2221+J2221</f>
        <v>2</v>
      </c>
    </row>
    <row r="2222" customFormat="false" ht="15" hidden="false" customHeight="false" outlineLevel="0" collapsed="false">
      <c r="A2222" s="4" t="s">
        <v>116</v>
      </c>
      <c r="B2222" s="4" t="s">
        <v>425</v>
      </c>
      <c r="C2222" s="4" t="s">
        <v>523</v>
      </c>
      <c r="D2222" s="4" t="n">
        <f aca="false">IFERROR(INDEX(Positions!$D$2:$D$6912,MATCH($A2222&amp;"|11",Positions!$A$2:$A$6912,0)),"-")</f>
        <v>11</v>
      </c>
      <c r="E2222" s="4" t="n">
        <f aca="false">IFERROR(INDEX(Positions!$D$2:$D$6912,MATCH($A2222&amp;"|24",Positions!$A$2:$A$6912,0)),"-")</f>
        <v>25</v>
      </c>
      <c r="F2222" s="4" t="str">
        <f aca="false">IFERROR(INDEX(Positions!$E$2:$E$6912,MATCH($A2222&amp;"|11",Positions!$A$2:$A$6912,0)),"-")</f>
        <v>A</v>
      </c>
      <c r="G2222" s="4" t="str">
        <f aca="false">IFERROR(INDEX(Positions!$E$2:$E$6912,MATCH($A2222&amp;"|24",Positions!$A$2:$A$6912,0)),"-")</f>
        <v>U</v>
      </c>
      <c r="H2222" s="3" t="str">
        <f aca="false">F2222&amp;"-"&amp;G2222</f>
        <v>A-U</v>
      </c>
      <c r="I2222" s="4" t="n">
        <f aca="false">(F2222="G")+(G2222="G")</f>
        <v>0</v>
      </c>
      <c r="J2222" s="4" t="n">
        <f aca="false">(F2222="C")+(G2222="C")</f>
        <v>0</v>
      </c>
      <c r="K2222" s="3" t="n">
        <f aca="false">I2222+J2222</f>
        <v>0</v>
      </c>
    </row>
    <row r="2223" customFormat="false" ht="15" hidden="false" customHeight="false" outlineLevel="0" collapsed="false">
      <c r="A2223" s="4" t="s">
        <v>116</v>
      </c>
      <c r="B2223" s="4" t="s">
        <v>425</v>
      </c>
      <c r="C2223" s="4" t="s">
        <v>250</v>
      </c>
      <c r="D2223" s="4" t="n">
        <f aca="false">IFERROR(INDEX(Positions!$D$2:$D$6912,MATCH($A2223&amp;"|12",Positions!$A$2:$A$6912,0)),"-")</f>
        <v>12</v>
      </c>
      <c r="E2223" s="4" t="n">
        <f aca="false">IFERROR(INDEX(Positions!$D$2:$D$6912,MATCH($A2223&amp;"|23",Positions!$A$2:$A$6912,0)),"-")</f>
        <v>24</v>
      </c>
      <c r="F2223" s="4" t="str">
        <f aca="false">IFERROR(INDEX(Positions!$E$2:$E$6912,MATCH($A2223&amp;"|12",Positions!$A$2:$A$6912,0)),"-")</f>
        <v>G</v>
      </c>
      <c r="G2223" s="4" t="str">
        <f aca="false">IFERROR(INDEX(Positions!$E$2:$E$6912,MATCH($A2223&amp;"|23",Positions!$A$2:$A$6912,0)),"-")</f>
        <v>C</v>
      </c>
      <c r="H2223" s="3" t="str">
        <f aca="false">F2223&amp;"-"&amp;G2223</f>
        <v>G-C</v>
      </c>
      <c r="I2223" s="4" t="n">
        <f aca="false">(F2223="G")+(G2223="G")</f>
        <v>1</v>
      </c>
      <c r="J2223" s="4" t="n">
        <f aca="false">(F2223="C")+(G2223="C")</f>
        <v>1</v>
      </c>
      <c r="K2223" s="3" t="n">
        <f aca="false">I2223+J2223</f>
        <v>2</v>
      </c>
    </row>
    <row r="2224" customFormat="false" ht="15" hidden="false" customHeight="false" outlineLevel="0" collapsed="false">
      <c r="A2224" s="4" t="s">
        <v>116</v>
      </c>
      <c r="B2224" s="4" t="s">
        <v>425</v>
      </c>
      <c r="C2224" s="4" t="s">
        <v>154</v>
      </c>
      <c r="D2224" s="4" t="n">
        <f aca="false">IFERROR(INDEX(Positions!$D$2:$D$6912,MATCH($A2224&amp;"|13",Positions!$A$2:$A$6912,0)),"-")</f>
        <v>13</v>
      </c>
      <c r="E2224" s="4" t="n">
        <f aca="false">IFERROR(INDEX(Positions!$D$2:$D$6912,MATCH($A2224&amp;"|22",Positions!$A$2:$A$6912,0)),"-")</f>
        <v>23</v>
      </c>
      <c r="F2224" s="4" t="str">
        <f aca="false">IFERROR(INDEX(Positions!$E$2:$E$6912,MATCH($A2224&amp;"|13",Positions!$A$2:$A$6912,0)),"-")</f>
        <v>C</v>
      </c>
      <c r="G2224" s="4" t="str">
        <f aca="false">IFERROR(INDEX(Positions!$E$2:$E$6912,MATCH($A2224&amp;"|22",Positions!$A$2:$A$6912,0)),"-")</f>
        <v>G</v>
      </c>
      <c r="H2224" s="3" t="str">
        <f aca="false">F2224&amp;"-"&amp;G2224</f>
        <v>C-G</v>
      </c>
      <c r="I2224" s="4" t="n">
        <f aca="false">(F2224="G")+(G2224="G")</f>
        <v>1</v>
      </c>
      <c r="J2224" s="4" t="n">
        <f aca="false">(F2224="C")+(G2224="C")</f>
        <v>1</v>
      </c>
      <c r="K2224" s="3" t="n">
        <f aca="false">I2224+J2224</f>
        <v>2</v>
      </c>
    </row>
    <row r="2225" customFormat="false" ht="15" hidden="false" customHeight="false" outlineLevel="0" collapsed="false">
      <c r="A2225" s="4" t="s">
        <v>116</v>
      </c>
      <c r="B2225" s="4" t="s">
        <v>446</v>
      </c>
      <c r="C2225" s="4" t="s">
        <v>524</v>
      </c>
      <c r="D2225" s="4" t="n">
        <f aca="false">IFERROR(INDEX(Positions!$D$2:$D$6912,MATCH($A2225&amp;"|27",Positions!$A$2:$A$6912,0)),"-")</f>
        <v>28</v>
      </c>
      <c r="E2225" s="4" t="n">
        <f aca="false">IFERROR(INDEX(Positions!$D$2:$D$6912,MATCH($A2225&amp;"|43",Positions!$A$2:$A$6912,0)),"-")</f>
        <v>44</v>
      </c>
      <c r="F2225" s="4" t="str">
        <f aca="false">IFERROR(INDEX(Positions!$E$2:$E$6912,MATCH($A2225&amp;"|27",Positions!$A$2:$A$6912,0)),"-")</f>
        <v>U</v>
      </c>
      <c r="G2225" s="4" t="str">
        <f aca="false">IFERROR(INDEX(Positions!$E$2:$E$6912,MATCH($A2225&amp;"|43",Positions!$A$2:$A$6912,0)),"-")</f>
        <v>A</v>
      </c>
      <c r="H2225" s="3" t="str">
        <f aca="false">F2225&amp;"-"&amp;G2225</f>
        <v>U-A</v>
      </c>
      <c r="I2225" s="4" t="n">
        <f aca="false">(F2225="G")+(G2225="G")</f>
        <v>0</v>
      </c>
      <c r="J2225" s="4" t="n">
        <f aca="false">(F2225="C")+(G2225="C")</f>
        <v>0</v>
      </c>
      <c r="K2225" s="3" t="n">
        <f aca="false">I2225+J2225</f>
        <v>0</v>
      </c>
    </row>
    <row r="2226" customFormat="false" ht="15" hidden="false" customHeight="false" outlineLevel="0" collapsed="false">
      <c r="A2226" s="4" t="s">
        <v>116</v>
      </c>
      <c r="B2226" s="4" t="s">
        <v>446</v>
      </c>
      <c r="C2226" s="4" t="s">
        <v>525</v>
      </c>
      <c r="D2226" s="4" t="n">
        <f aca="false">IFERROR(INDEX(Positions!$D$2:$D$6912,MATCH($A2226&amp;"|28",Positions!$A$2:$A$6912,0)),"-")</f>
        <v>29</v>
      </c>
      <c r="E2226" s="4" t="n">
        <f aca="false">IFERROR(INDEX(Positions!$D$2:$D$6912,MATCH($A2226&amp;"|42",Positions!$A$2:$A$6912,0)),"-")</f>
        <v>43</v>
      </c>
      <c r="F2226" s="4" t="str">
        <f aca="false">IFERROR(INDEX(Positions!$E$2:$E$6912,MATCH($A2226&amp;"|28",Positions!$A$2:$A$6912,0)),"-")</f>
        <v>C</v>
      </c>
      <c r="G2226" s="4" t="str">
        <f aca="false">IFERROR(INDEX(Positions!$E$2:$E$6912,MATCH($A2226&amp;"|42",Positions!$A$2:$A$6912,0)),"-")</f>
        <v>G</v>
      </c>
      <c r="H2226" s="3" t="str">
        <f aca="false">F2226&amp;"-"&amp;G2226</f>
        <v>C-G</v>
      </c>
      <c r="I2226" s="4" t="n">
        <f aca="false">(F2226="G")+(G2226="G")</f>
        <v>1</v>
      </c>
      <c r="J2226" s="4" t="n">
        <f aca="false">(F2226="C")+(G2226="C")</f>
        <v>1</v>
      </c>
      <c r="K2226" s="3" t="n">
        <f aca="false">I2226+J2226</f>
        <v>2</v>
      </c>
    </row>
    <row r="2227" customFormat="false" ht="15" hidden="false" customHeight="false" outlineLevel="0" collapsed="false">
      <c r="A2227" s="4" t="s">
        <v>116</v>
      </c>
      <c r="B2227" s="4" t="s">
        <v>446</v>
      </c>
      <c r="C2227" s="4" t="s">
        <v>256</v>
      </c>
      <c r="D2227" s="4" t="n">
        <f aca="false">IFERROR(INDEX(Positions!$D$2:$D$6912,MATCH($A2227&amp;"|29",Positions!$A$2:$A$6912,0)),"-")</f>
        <v>30</v>
      </c>
      <c r="E2227" s="4" t="n">
        <f aca="false">IFERROR(INDEX(Positions!$D$2:$D$6912,MATCH($A2227&amp;"|41",Positions!$A$2:$A$6912,0)),"-")</f>
        <v>42</v>
      </c>
      <c r="F2227" s="4" t="str">
        <f aca="false">IFERROR(INDEX(Positions!$E$2:$E$6912,MATCH($A2227&amp;"|29",Positions!$A$2:$A$6912,0)),"-")</f>
        <v>G</v>
      </c>
      <c r="G2227" s="4" t="str">
        <f aca="false">IFERROR(INDEX(Positions!$E$2:$E$6912,MATCH($A2227&amp;"|41",Positions!$A$2:$A$6912,0)),"-")</f>
        <v>C</v>
      </c>
      <c r="H2227" s="3" t="str">
        <f aca="false">F2227&amp;"-"&amp;G2227</f>
        <v>G-C</v>
      </c>
      <c r="I2227" s="4" t="n">
        <f aca="false">(F2227="G")+(G2227="G")</f>
        <v>1</v>
      </c>
      <c r="J2227" s="4" t="n">
        <f aca="false">(F2227="C")+(G2227="C")</f>
        <v>1</v>
      </c>
      <c r="K2227" s="3" t="n">
        <f aca="false">I2227+J2227</f>
        <v>2</v>
      </c>
    </row>
    <row r="2228" customFormat="false" ht="15" hidden="false" customHeight="false" outlineLevel="0" collapsed="false">
      <c r="A2228" s="4" t="s">
        <v>116</v>
      </c>
      <c r="B2228" s="4" t="s">
        <v>446</v>
      </c>
      <c r="C2228" s="4" t="s">
        <v>526</v>
      </c>
      <c r="D2228" s="4" t="n">
        <f aca="false">IFERROR(INDEX(Positions!$D$2:$D$6912,MATCH($A2228&amp;"|30",Positions!$A$2:$A$6912,0)),"-")</f>
        <v>31</v>
      </c>
      <c r="E2228" s="4" t="n">
        <f aca="false">IFERROR(INDEX(Positions!$D$2:$D$6912,MATCH($A2228&amp;"|40",Positions!$A$2:$A$6912,0)),"-")</f>
        <v>41</v>
      </c>
      <c r="F2228" s="4" t="str">
        <f aca="false">IFERROR(INDEX(Positions!$E$2:$E$6912,MATCH($A2228&amp;"|30",Positions!$A$2:$A$6912,0)),"-")</f>
        <v>G</v>
      </c>
      <c r="G2228" s="4" t="str">
        <f aca="false">IFERROR(INDEX(Positions!$E$2:$E$6912,MATCH($A2228&amp;"|40",Positions!$A$2:$A$6912,0)),"-")</f>
        <v>C</v>
      </c>
      <c r="H2228" s="3" t="str">
        <f aca="false">F2228&amp;"-"&amp;G2228</f>
        <v>G-C</v>
      </c>
      <c r="I2228" s="4" t="n">
        <f aca="false">(F2228="G")+(G2228="G")</f>
        <v>1</v>
      </c>
      <c r="J2228" s="4" t="n">
        <f aca="false">(F2228="C")+(G2228="C")</f>
        <v>1</v>
      </c>
      <c r="K2228" s="3" t="n">
        <f aca="false">I2228+J2228</f>
        <v>2</v>
      </c>
    </row>
    <row r="2229" customFormat="false" ht="15" hidden="false" customHeight="false" outlineLevel="0" collapsed="false">
      <c r="A2229" s="4" t="s">
        <v>116</v>
      </c>
      <c r="B2229" s="4" t="s">
        <v>446</v>
      </c>
      <c r="C2229" s="4" t="s">
        <v>273</v>
      </c>
      <c r="D2229" s="4" t="n">
        <f aca="false">IFERROR(INDEX(Positions!$D$2:$D$6912,MATCH($A2229&amp;"|31",Positions!$A$2:$A$6912,0)),"-")</f>
        <v>32</v>
      </c>
      <c r="E2229" s="4" t="n">
        <f aca="false">IFERROR(INDEX(Positions!$D$2:$D$6912,MATCH($A2229&amp;"|39",Positions!$A$2:$A$6912,0)),"-")</f>
        <v>40</v>
      </c>
      <c r="F2229" s="4" t="str">
        <f aca="false">IFERROR(INDEX(Positions!$E$2:$E$6912,MATCH($A2229&amp;"|31",Positions!$A$2:$A$6912,0)),"-")</f>
        <v>G</v>
      </c>
      <c r="G2229" s="4" t="str">
        <f aca="false">IFERROR(INDEX(Positions!$E$2:$E$6912,MATCH($A2229&amp;"|39",Positions!$A$2:$A$6912,0)),"-")</f>
        <v>C</v>
      </c>
      <c r="H2229" s="3" t="str">
        <f aca="false">F2229&amp;"-"&amp;G2229</f>
        <v>G-C</v>
      </c>
      <c r="I2229" s="4" t="n">
        <f aca="false">(F2229="G")+(G2229="G")</f>
        <v>1</v>
      </c>
      <c r="J2229" s="4" t="n">
        <f aca="false">(F2229="C")+(G2229="C")</f>
        <v>1</v>
      </c>
      <c r="K2229" s="3" t="n">
        <f aca="false">I2229+J2229</f>
        <v>2</v>
      </c>
    </row>
    <row r="2230" customFormat="false" ht="15" hidden="false" customHeight="false" outlineLevel="0" collapsed="false">
      <c r="A2230" s="4" t="s">
        <v>116</v>
      </c>
      <c r="B2230" s="4" t="s">
        <v>471</v>
      </c>
      <c r="C2230" s="4" t="s">
        <v>367</v>
      </c>
      <c r="D2230" s="4" t="n">
        <f aca="false">IFERROR(INDEX(Positions!$D$2:$D$6912,MATCH($A2230&amp;"|49",Positions!$A$2:$A$6912,0)),"-")</f>
        <v>50</v>
      </c>
      <c r="E2230" s="4" t="n">
        <f aca="false">IFERROR(INDEX(Positions!$D$2:$D$6912,MATCH($A2230&amp;"|65",Positions!$A$2:$A$6912,0)),"-")</f>
        <v>66</v>
      </c>
      <c r="F2230" s="4" t="str">
        <f aca="false">IFERROR(INDEX(Positions!$E$2:$E$6912,MATCH($A2230&amp;"|49",Positions!$A$2:$A$6912,0)),"-")</f>
        <v>G</v>
      </c>
      <c r="G2230" s="4" t="str">
        <f aca="false">IFERROR(INDEX(Positions!$E$2:$E$6912,MATCH($A2230&amp;"|65",Positions!$A$2:$A$6912,0)),"-")</f>
        <v>C</v>
      </c>
      <c r="H2230" s="3" t="str">
        <f aca="false">F2230&amp;"-"&amp;G2230</f>
        <v>G-C</v>
      </c>
      <c r="I2230" s="4" t="n">
        <f aca="false">(F2230="G")+(G2230="G")</f>
        <v>1</v>
      </c>
      <c r="J2230" s="4" t="n">
        <f aca="false">(F2230="C")+(G2230="C")</f>
        <v>1</v>
      </c>
      <c r="K2230" s="3" t="n">
        <f aca="false">I2230+J2230</f>
        <v>2</v>
      </c>
    </row>
    <row r="2231" customFormat="false" ht="15" hidden="false" customHeight="false" outlineLevel="0" collapsed="false">
      <c r="A2231" s="4" t="s">
        <v>116</v>
      </c>
      <c r="B2231" s="4" t="s">
        <v>471</v>
      </c>
      <c r="C2231" s="4" t="s">
        <v>233</v>
      </c>
      <c r="D2231" s="4" t="n">
        <f aca="false">IFERROR(INDEX(Positions!$D$2:$D$6912,MATCH($A2231&amp;"|50",Positions!$A$2:$A$6912,0)),"-")</f>
        <v>51</v>
      </c>
      <c r="E2231" s="4" t="n">
        <f aca="false">IFERROR(INDEX(Positions!$D$2:$D$6912,MATCH($A2231&amp;"|64",Positions!$A$2:$A$6912,0)),"-")</f>
        <v>65</v>
      </c>
      <c r="F2231" s="4" t="str">
        <f aca="false">IFERROR(INDEX(Positions!$E$2:$E$6912,MATCH($A2231&amp;"|50",Positions!$A$2:$A$6912,0)),"-")</f>
        <v>C</v>
      </c>
      <c r="G2231" s="4" t="str">
        <f aca="false">IFERROR(INDEX(Positions!$E$2:$E$6912,MATCH($A2231&amp;"|64",Positions!$A$2:$A$6912,0)),"-")</f>
        <v>G</v>
      </c>
      <c r="H2231" s="3" t="str">
        <f aca="false">F2231&amp;"-"&amp;G2231</f>
        <v>C-G</v>
      </c>
      <c r="I2231" s="4" t="n">
        <f aca="false">(F2231="G")+(G2231="G")</f>
        <v>1</v>
      </c>
      <c r="J2231" s="4" t="n">
        <f aca="false">(F2231="C")+(G2231="C")</f>
        <v>1</v>
      </c>
      <c r="K2231" s="3" t="n">
        <f aca="false">I2231+J2231</f>
        <v>2</v>
      </c>
    </row>
    <row r="2232" customFormat="false" ht="15" hidden="false" customHeight="false" outlineLevel="0" collapsed="false">
      <c r="A2232" s="4" t="s">
        <v>116</v>
      </c>
      <c r="B2232" s="4" t="s">
        <v>471</v>
      </c>
      <c r="C2232" s="4" t="s">
        <v>527</v>
      </c>
      <c r="D2232" s="4" t="n">
        <f aca="false">IFERROR(INDEX(Positions!$D$2:$D$6912,MATCH($A2232&amp;"|51",Positions!$A$2:$A$6912,0)),"-")</f>
        <v>52</v>
      </c>
      <c r="E2232" s="4" t="n">
        <f aca="false">IFERROR(INDEX(Positions!$D$2:$D$6912,MATCH($A2232&amp;"|63",Positions!$A$2:$A$6912,0)),"-")</f>
        <v>64</v>
      </c>
      <c r="F2232" s="4" t="str">
        <f aca="false">IFERROR(INDEX(Positions!$E$2:$E$6912,MATCH($A2232&amp;"|51",Positions!$A$2:$A$6912,0)),"-")</f>
        <v>G</v>
      </c>
      <c r="G2232" s="4" t="str">
        <f aca="false">IFERROR(INDEX(Positions!$E$2:$E$6912,MATCH($A2232&amp;"|63",Positions!$A$2:$A$6912,0)),"-")</f>
        <v>C</v>
      </c>
      <c r="H2232" s="3" t="str">
        <f aca="false">F2232&amp;"-"&amp;G2232</f>
        <v>G-C</v>
      </c>
      <c r="I2232" s="4" t="n">
        <f aca="false">(F2232="G")+(G2232="G")</f>
        <v>1</v>
      </c>
      <c r="J2232" s="4" t="n">
        <f aca="false">(F2232="C")+(G2232="C")</f>
        <v>1</v>
      </c>
      <c r="K2232" s="3" t="n">
        <f aca="false">I2232+J2232</f>
        <v>2</v>
      </c>
    </row>
    <row r="2233" customFormat="false" ht="15" hidden="false" customHeight="false" outlineLevel="0" collapsed="false">
      <c r="A2233" s="4" t="s">
        <v>116</v>
      </c>
      <c r="B2233" s="4" t="s">
        <v>471</v>
      </c>
      <c r="C2233" s="4" t="s">
        <v>528</v>
      </c>
      <c r="D2233" s="4" t="n">
        <f aca="false">IFERROR(INDEX(Positions!$D$2:$D$6912,MATCH($A2233&amp;"|52",Positions!$A$2:$A$6912,0)),"-")</f>
        <v>53</v>
      </c>
      <c r="E2233" s="4" t="n">
        <f aca="false">IFERROR(INDEX(Positions!$D$2:$D$6912,MATCH($A2233&amp;"|62",Positions!$A$2:$A$6912,0)),"-")</f>
        <v>63</v>
      </c>
      <c r="F2233" s="4" t="str">
        <f aca="false">IFERROR(INDEX(Positions!$E$2:$E$6912,MATCH($A2233&amp;"|52",Positions!$A$2:$A$6912,0)),"-")</f>
        <v>G</v>
      </c>
      <c r="G2233" s="4" t="str">
        <f aca="false">IFERROR(INDEX(Positions!$E$2:$E$6912,MATCH($A2233&amp;"|62",Positions!$A$2:$A$6912,0)),"-")</f>
        <v>C</v>
      </c>
      <c r="H2233" s="3" t="str">
        <f aca="false">F2233&amp;"-"&amp;G2233</f>
        <v>G-C</v>
      </c>
      <c r="I2233" s="4" t="n">
        <f aca="false">(F2233="G")+(G2233="G")</f>
        <v>1</v>
      </c>
      <c r="J2233" s="4" t="n">
        <f aca="false">(F2233="C")+(G2233="C")</f>
        <v>1</v>
      </c>
      <c r="K2233" s="3" t="n">
        <f aca="false">I2233+J2233</f>
        <v>2</v>
      </c>
    </row>
    <row r="2234" customFormat="false" ht="15" hidden="false" customHeight="false" outlineLevel="0" collapsed="false">
      <c r="A2234" s="4" t="s">
        <v>116</v>
      </c>
      <c r="B2234" s="4" t="s">
        <v>471</v>
      </c>
      <c r="C2234" s="4" t="s">
        <v>529</v>
      </c>
      <c r="D2234" s="4" t="n">
        <f aca="false">IFERROR(INDEX(Positions!$D$2:$D$6912,MATCH($A2234&amp;"|53",Positions!$A$2:$A$6912,0)),"-")</f>
        <v>54</v>
      </c>
      <c r="E2234" s="4" t="n">
        <f aca="false">IFERROR(INDEX(Positions!$D$2:$D$6912,MATCH($A2234&amp;"|61",Positions!$A$2:$A$6912,0)),"-")</f>
        <v>62</v>
      </c>
      <c r="F2234" s="4" t="str">
        <f aca="false">IFERROR(INDEX(Positions!$E$2:$E$6912,MATCH($A2234&amp;"|53",Positions!$A$2:$A$6912,0)),"-")</f>
        <v>G</v>
      </c>
      <c r="G2234" s="4" t="str">
        <f aca="false">IFERROR(INDEX(Positions!$E$2:$E$6912,MATCH($A2234&amp;"|61",Positions!$A$2:$A$6912,0)),"-")</f>
        <v>C</v>
      </c>
      <c r="H2234" s="3" t="str">
        <f aca="false">F2234&amp;"-"&amp;G2234</f>
        <v>G-C</v>
      </c>
      <c r="I2234" s="4" t="n">
        <f aca="false">(F2234="G")+(G2234="G")</f>
        <v>1</v>
      </c>
      <c r="J2234" s="4" t="n">
        <f aca="false">(F2234="C")+(G2234="C")</f>
        <v>1</v>
      </c>
      <c r="K2234" s="3" t="n">
        <f aca="false">I2234+J2234</f>
        <v>2</v>
      </c>
    </row>
    <row r="2235" customFormat="false" ht="15" hidden="false" customHeight="false" outlineLevel="0" collapsed="false">
      <c r="A2235" s="24" t="s">
        <v>116</v>
      </c>
      <c r="B2235" s="24" t="s">
        <v>530</v>
      </c>
      <c r="C2235" s="24" t="s">
        <v>531</v>
      </c>
      <c r="D2235" s="24" t="n">
        <f aca="false">IFERROR(INDEX(Positions!$D$2:$D$6912,MATCH($A2235&amp;"|8",Positions!$A$2:$A$6912,0)),"-")</f>
        <v>8</v>
      </c>
      <c r="E2235" s="24" t="n">
        <f aca="false">IFERROR(INDEX(Positions!$D$2:$D$6912,MATCH($A2235&amp;"|14",Positions!$A$2:$A$6912,0)),"-")</f>
        <v>14</v>
      </c>
      <c r="F2235" s="24" t="str">
        <f aca="false">IFERROR(INDEX(Positions!$E$2:$E$6912,MATCH($A2235&amp;"|8",Positions!$A$2:$A$6912,0)),"-")</f>
        <v>U</v>
      </c>
      <c r="G2235" s="24" t="str">
        <f aca="false">IFERROR(INDEX(Positions!$E$2:$E$6912,MATCH($A2235&amp;"|14",Positions!$A$2:$A$6912,0)),"-")</f>
        <v>A</v>
      </c>
      <c r="H2235" s="25" t="str">
        <f aca="false">F2235&amp;"-"&amp;G2235</f>
        <v>U-A</v>
      </c>
      <c r="I2235" s="24" t="n">
        <f aca="false">(F2235="G")+(G2235="G")</f>
        <v>0</v>
      </c>
      <c r="J2235" s="24" t="n">
        <f aca="false">(F2235="C")+(G2235="C")</f>
        <v>0</v>
      </c>
      <c r="K2235" s="25" t="n">
        <f aca="false">I2235+J2235</f>
        <v>0</v>
      </c>
    </row>
    <row r="2236" customFormat="false" ht="15" hidden="false" customHeight="false" outlineLevel="0" collapsed="false">
      <c r="A2236" s="24" t="s">
        <v>116</v>
      </c>
      <c r="B2236" s="24" t="s">
        <v>530</v>
      </c>
      <c r="C2236" s="24" t="s">
        <v>532</v>
      </c>
      <c r="D2236" s="24" t="n">
        <f aca="false">IFERROR(INDEX(Positions!$D$2:$D$6912,MATCH($A2236&amp;"|15",Positions!$A$2:$A$6912,0)),"-")</f>
        <v>15</v>
      </c>
      <c r="E2236" s="24" t="n">
        <f aca="false">IFERROR(INDEX(Positions!$D$2:$D$6912,MATCH($A2236&amp;"|48",Positions!$A$2:$A$6912,0)),"-")</f>
        <v>49</v>
      </c>
      <c r="F2236" s="24" t="str">
        <f aca="false">IFERROR(INDEX(Positions!$E$2:$E$6912,MATCH($A2236&amp;"|15",Positions!$A$2:$A$6912,0)),"-")</f>
        <v>G</v>
      </c>
      <c r="G2236" s="24" t="str">
        <f aca="false">IFERROR(INDEX(Positions!$E$2:$E$6912,MATCH($A2236&amp;"|48",Positions!$A$2:$A$6912,0)),"-")</f>
        <v>C</v>
      </c>
      <c r="H2236" s="25" t="str">
        <f aca="false">F2236&amp;"-"&amp;G2236</f>
        <v>G-C</v>
      </c>
      <c r="I2236" s="24" t="n">
        <f aca="false">(F2236="G")+(G2236="G")</f>
        <v>1</v>
      </c>
      <c r="J2236" s="24" t="n">
        <f aca="false">(F2236="C")+(G2236="C")</f>
        <v>1</v>
      </c>
      <c r="K2236" s="25" t="n">
        <f aca="false">I2236+J2236</f>
        <v>2</v>
      </c>
    </row>
    <row r="2237" customFormat="false" ht="15" hidden="false" customHeight="false" outlineLevel="0" collapsed="false">
      <c r="A2237" s="24" t="s">
        <v>116</v>
      </c>
      <c r="B2237" s="24" t="s">
        <v>530</v>
      </c>
      <c r="C2237" s="24" t="s">
        <v>533</v>
      </c>
      <c r="D2237" s="24" t="n">
        <f aca="false">IFERROR(INDEX(Positions!$D$2:$D$6912,MATCH($A2237&amp;"|18",Positions!$A$2:$A$6912,0)),"-")</f>
        <v>19</v>
      </c>
      <c r="E2237" s="24" t="n">
        <f aca="false">IFERROR(INDEX(Positions!$D$2:$D$6912,MATCH($A2237&amp;"|55",Positions!$A$2:$A$6912,0)),"-")</f>
        <v>56</v>
      </c>
      <c r="F2237" s="24" t="str">
        <f aca="false">IFERROR(INDEX(Positions!$E$2:$E$6912,MATCH($A2237&amp;"|18",Positions!$A$2:$A$6912,0)),"-")</f>
        <v>G</v>
      </c>
      <c r="G2237" s="24" t="str">
        <f aca="false">IFERROR(INDEX(Positions!$E$2:$E$6912,MATCH($A2237&amp;"|55",Positions!$A$2:$A$6912,0)),"-")</f>
        <v>U</v>
      </c>
      <c r="H2237" s="25" t="str">
        <f aca="false">F2237&amp;"-"&amp;G2237</f>
        <v>G-U</v>
      </c>
      <c r="I2237" s="24" t="n">
        <f aca="false">(F2237="G")+(G2237="G")</f>
        <v>1</v>
      </c>
      <c r="J2237" s="24" t="n">
        <f aca="false">(F2237="C")+(G2237="C")</f>
        <v>0</v>
      </c>
      <c r="K2237" s="25" t="n">
        <f aca="false">I2237+J2237</f>
        <v>1</v>
      </c>
    </row>
    <row r="2238" customFormat="false" ht="15" hidden="false" customHeight="false" outlineLevel="0" collapsed="false">
      <c r="A2238" s="24" t="s">
        <v>116</v>
      </c>
      <c r="B2238" s="24" t="s">
        <v>530</v>
      </c>
      <c r="C2238" s="24" t="s">
        <v>534</v>
      </c>
      <c r="D2238" s="24" t="n">
        <f aca="false">IFERROR(INDEX(Positions!$D$2:$D$6912,MATCH($A2238&amp;"|19",Positions!$A$2:$A$6912,0)),"-")</f>
        <v>20</v>
      </c>
      <c r="E2238" s="24" t="n">
        <f aca="false">IFERROR(INDEX(Positions!$D$2:$D$6912,MATCH($A2238&amp;"|56",Positions!$A$2:$A$6912,0)),"-")</f>
        <v>57</v>
      </c>
      <c r="F2238" s="24" t="str">
        <f aca="false">IFERROR(INDEX(Positions!$E$2:$E$6912,MATCH($A2238&amp;"|19",Positions!$A$2:$A$6912,0)),"-")</f>
        <v>G</v>
      </c>
      <c r="G2238" s="24" t="str">
        <f aca="false">IFERROR(INDEX(Positions!$E$2:$E$6912,MATCH($A2238&amp;"|56",Positions!$A$2:$A$6912,0)),"-")</f>
        <v>C</v>
      </c>
      <c r="H2238" s="25" t="str">
        <f aca="false">F2238&amp;"-"&amp;G2238</f>
        <v>G-C</v>
      </c>
      <c r="I2238" s="24" t="n">
        <f aca="false">(F2238="G")+(G2238="G")</f>
        <v>1</v>
      </c>
      <c r="J2238" s="24" t="n">
        <f aca="false">(F2238="C")+(G2238="C")</f>
        <v>1</v>
      </c>
      <c r="K2238" s="25" t="n">
        <f aca="false">I2238+J2238</f>
        <v>2</v>
      </c>
    </row>
    <row r="2239" customFormat="false" ht="15" hidden="false" customHeight="false" outlineLevel="0" collapsed="false">
      <c r="A2239" s="24" t="s">
        <v>116</v>
      </c>
      <c r="B2239" s="24" t="s">
        <v>530</v>
      </c>
      <c r="C2239" s="24" t="s">
        <v>535</v>
      </c>
      <c r="D2239" s="24" t="n">
        <f aca="false">IFERROR(INDEX(Positions!$D$2:$D$6912,MATCH($A2239&amp;"|26",Positions!$A$2:$A$6912,0)),"-")</f>
        <v>27</v>
      </c>
      <c r="E2239" s="24" t="n">
        <f aca="false">IFERROR(INDEX(Positions!$D$2:$D$6912,MATCH($A2239&amp;"|44",Positions!$A$2:$A$6912,0)),"-")</f>
        <v>45</v>
      </c>
      <c r="F2239" s="24" t="str">
        <f aca="false">IFERROR(INDEX(Positions!$E$2:$E$6912,MATCH($A2239&amp;"|26",Positions!$A$2:$A$6912,0)),"-")</f>
        <v>G</v>
      </c>
      <c r="G2239" s="24" t="str">
        <f aca="false">IFERROR(INDEX(Positions!$E$2:$E$6912,MATCH($A2239&amp;"|44",Positions!$A$2:$A$6912,0)),"-")</f>
        <v>A</v>
      </c>
      <c r="H2239" s="25" t="str">
        <f aca="false">F2239&amp;"-"&amp;G2239</f>
        <v>G-A</v>
      </c>
      <c r="I2239" s="24" t="n">
        <f aca="false">(F2239="G")+(G2239="G")</f>
        <v>1</v>
      </c>
      <c r="J2239" s="24" t="n">
        <f aca="false">(F2239="C")+(G2239="C")</f>
        <v>0</v>
      </c>
      <c r="K2239" s="25" t="n">
        <f aca="false">I2239+J2239</f>
        <v>1</v>
      </c>
    </row>
    <row r="2240" customFormat="false" ht="15" hidden="false" customHeight="false" outlineLevel="0" collapsed="false">
      <c r="A2240" s="24" t="s">
        <v>116</v>
      </c>
      <c r="B2240" s="24" t="s">
        <v>530</v>
      </c>
      <c r="C2240" s="24" t="s">
        <v>536</v>
      </c>
      <c r="D2240" s="24" t="n">
        <f aca="false">IFERROR(INDEX(Positions!$D$2:$D$6912,MATCH($A2240&amp;"|32",Positions!$A$2:$A$6912,0)),"-")</f>
        <v>33</v>
      </c>
      <c r="E2240" s="24" t="n">
        <f aca="false">IFERROR(INDEX(Positions!$D$2:$D$6912,MATCH($A2240&amp;"|38",Positions!$A$2:$A$6912,0)),"-")</f>
        <v>39</v>
      </c>
      <c r="F2240" s="24" t="str">
        <f aca="false">IFERROR(INDEX(Positions!$E$2:$E$6912,MATCH($A2240&amp;"|32",Positions!$A$2:$A$6912,0)),"-")</f>
        <v>C</v>
      </c>
      <c r="G2240" s="24" t="str">
        <f aca="false">IFERROR(INDEX(Positions!$E$2:$E$6912,MATCH($A2240&amp;"|38",Positions!$A$2:$A$6912,0)),"-")</f>
        <v>A</v>
      </c>
      <c r="H2240" s="25" t="str">
        <f aca="false">F2240&amp;"-"&amp;G2240</f>
        <v>C-A</v>
      </c>
      <c r="I2240" s="24" t="n">
        <f aca="false">(F2240="G")+(G2240="G")</f>
        <v>0</v>
      </c>
      <c r="J2240" s="24" t="n">
        <f aca="false">(F2240="C")+(G2240="C")</f>
        <v>1</v>
      </c>
      <c r="K2240" s="25" t="n">
        <f aca="false">I2240+J2240</f>
        <v>1</v>
      </c>
    </row>
    <row r="2241" customFormat="false" ht="15" hidden="false" customHeight="false" outlineLevel="0" collapsed="false">
      <c r="A2241" s="24" t="s">
        <v>116</v>
      </c>
      <c r="B2241" s="24" t="s">
        <v>530</v>
      </c>
      <c r="C2241" s="24" t="s">
        <v>537</v>
      </c>
      <c r="D2241" s="24" t="n">
        <f aca="false">IFERROR(INDEX(Positions!$D$2:$D$6912,MATCH($A2241&amp;"|54",Positions!$A$2:$A$6912,0)),"-")</f>
        <v>55</v>
      </c>
      <c r="E2241" s="24" t="n">
        <f aca="false">IFERROR(INDEX(Positions!$D$2:$D$6912,MATCH($A2241&amp;"|58",Positions!$A$2:$A$6912,0)),"-")</f>
        <v>59</v>
      </c>
      <c r="F2241" s="24" t="str">
        <f aca="false">IFERROR(INDEX(Positions!$E$2:$E$6912,MATCH($A2241&amp;"|54",Positions!$A$2:$A$6912,0)),"-")</f>
        <v>U</v>
      </c>
      <c r="G2241" s="24" t="str">
        <f aca="false">IFERROR(INDEX(Positions!$E$2:$E$6912,MATCH($A2241&amp;"|58",Positions!$A$2:$A$6912,0)),"-")</f>
        <v>A</v>
      </c>
      <c r="H2241" s="25" t="str">
        <f aca="false">F2241&amp;"-"&amp;G2241</f>
        <v>U-A</v>
      </c>
      <c r="I2241" s="24" t="n">
        <f aca="false">(F2241="G")+(G2241="G")</f>
        <v>0</v>
      </c>
      <c r="J2241" s="24" t="n">
        <f aca="false">(F2241="C")+(G2241="C")</f>
        <v>0</v>
      </c>
      <c r="K2241" s="25" t="n">
        <f aca="false">I2241+J2241</f>
        <v>0</v>
      </c>
    </row>
    <row r="2242" customFormat="false" ht="15" hidden="false" customHeight="false" outlineLevel="0" collapsed="false">
      <c r="A2242" s="4" t="s">
        <v>117</v>
      </c>
      <c r="B2242" s="4" t="s">
        <v>412</v>
      </c>
      <c r="C2242" s="4" t="s">
        <v>517</v>
      </c>
      <c r="D2242" s="4" t="n">
        <f aca="false">IFERROR(INDEX(Positions!$D$2:$D$6912,MATCH($A2242&amp;"|1",Positions!$A$2:$A$6912,0)),"-")</f>
        <v>1</v>
      </c>
      <c r="E2242" s="4" t="n">
        <f aca="false">IFERROR(INDEX(Positions!$D$2:$D$6912,MATCH($A2242&amp;"|72",Positions!$A$2:$A$6912,0)),"-")</f>
        <v>73</v>
      </c>
      <c r="F2242" s="4" t="str">
        <f aca="false">IFERROR(INDEX(Positions!$E$2:$E$6912,MATCH($A2242&amp;"|1",Positions!$A$2:$A$6912,0)),"-")</f>
        <v>C</v>
      </c>
      <c r="G2242" s="4" t="str">
        <f aca="false">IFERROR(INDEX(Positions!$E$2:$E$6912,MATCH($A2242&amp;"|72",Positions!$A$2:$A$6912,0)),"-")</f>
        <v>A</v>
      </c>
      <c r="H2242" s="3" t="str">
        <f aca="false">F2242&amp;"-"&amp;G2242</f>
        <v>C-A</v>
      </c>
      <c r="I2242" s="4" t="n">
        <f aca="false">(F2242="G")+(G2242="G")</f>
        <v>0</v>
      </c>
      <c r="J2242" s="4" t="n">
        <f aca="false">(F2242="C")+(G2242="C")</f>
        <v>1</v>
      </c>
      <c r="K2242" s="3" t="n">
        <f aca="false">I2242+J2242</f>
        <v>1</v>
      </c>
    </row>
    <row r="2243" customFormat="false" ht="15" hidden="false" customHeight="false" outlineLevel="0" collapsed="false">
      <c r="A2243" s="4" t="s">
        <v>117</v>
      </c>
      <c r="B2243" s="4" t="s">
        <v>412</v>
      </c>
      <c r="C2243" s="4" t="s">
        <v>518</v>
      </c>
      <c r="D2243" s="4" t="n">
        <f aca="false">IFERROR(INDEX(Positions!$D$2:$D$6912,MATCH($A2243&amp;"|2",Positions!$A$2:$A$6912,0)),"-")</f>
        <v>2</v>
      </c>
      <c r="E2243" s="4" t="n">
        <f aca="false">IFERROR(INDEX(Positions!$D$2:$D$6912,MATCH($A2243&amp;"|71",Positions!$A$2:$A$6912,0)),"-")</f>
        <v>72</v>
      </c>
      <c r="F2243" s="4" t="str">
        <f aca="false">IFERROR(INDEX(Positions!$E$2:$E$6912,MATCH($A2243&amp;"|2",Positions!$A$2:$A$6912,0)),"-")</f>
        <v>G</v>
      </c>
      <c r="G2243" s="4" t="str">
        <f aca="false">IFERROR(INDEX(Positions!$E$2:$E$6912,MATCH($A2243&amp;"|71",Positions!$A$2:$A$6912,0)),"-")</f>
        <v>C</v>
      </c>
      <c r="H2243" s="3" t="str">
        <f aca="false">F2243&amp;"-"&amp;G2243</f>
        <v>G-C</v>
      </c>
      <c r="I2243" s="4" t="n">
        <f aca="false">(F2243="G")+(G2243="G")</f>
        <v>1</v>
      </c>
      <c r="J2243" s="4" t="n">
        <f aca="false">(F2243="C")+(G2243="C")</f>
        <v>1</v>
      </c>
      <c r="K2243" s="3" t="n">
        <f aca="false">I2243+J2243</f>
        <v>2</v>
      </c>
    </row>
    <row r="2244" customFormat="false" ht="15" hidden="false" customHeight="false" outlineLevel="0" collapsed="false">
      <c r="A2244" s="4" t="s">
        <v>117</v>
      </c>
      <c r="B2244" s="4" t="s">
        <v>412</v>
      </c>
      <c r="C2244" s="4" t="s">
        <v>386</v>
      </c>
      <c r="D2244" s="4" t="n">
        <f aca="false">IFERROR(INDEX(Positions!$D$2:$D$6912,MATCH($A2244&amp;"|3",Positions!$A$2:$A$6912,0)),"-")</f>
        <v>3</v>
      </c>
      <c r="E2244" s="4" t="n">
        <f aca="false">IFERROR(INDEX(Positions!$D$2:$D$6912,MATCH($A2244&amp;"|70",Positions!$A$2:$A$6912,0)),"-")</f>
        <v>71</v>
      </c>
      <c r="F2244" s="4" t="str">
        <f aca="false">IFERROR(INDEX(Positions!$E$2:$E$6912,MATCH($A2244&amp;"|3",Positions!$A$2:$A$6912,0)),"-")</f>
        <v>C</v>
      </c>
      <c r="G2244" s="4" t="str">
        <f aca="false">IFERROR(INDEX(Positions!$E$2:$E$6912,MATCH($A2244&amp;"|70",Positions!$A$2:$A$6912,0)),"-")</f>
        <v>G</v>
      </c>
      <c r="H2244" s="3" t="str">
        <f aca="false">F2244&amp;"-"&amp;G2244</f>
        <v>C-G</v>
      </c>
      <c r="I2244" s="4" t="n">
        <f aca="false">(F2244="G")+(G2244="G")</f>
        <v>1</v>
      </c>
      <c r="J2244" s="4" t="n">
        <f aca="false">(F2244="C")+(G2244="C")</f>
        <v>1</v>
      </c>
      <c r="K2244" s="3" t="n">
        <f aca="false">I2244+J2244</f>
        <v>2</v>
      </c>
    </row>
    <row r="2245" customFormat="false" ht="15" hidden="false" customHeight="false" outlineLevel="0" collapsed="false">
      <c r="A2245" s="4" t="s">
        <v>117</v>
      </c>
      <c r="B2245" s="4" t="s">
        <v>412</v>
      </c>
      <c r="C2245" s="4" t="s">
        <v>519</v>
      </c>
      <c r="D2245" s="4" t="n">
        <f aca="false">IFERROR(INDEX(Positions!$D$2:$D$6912,MATCH($A2245&amp;"|4",Positions!$A$2:$A$6912,0)),"-")</f>
        <v>4</v>
      </c>
      <c r="E2245" s="4" t="n">
        <f aca="false">IFERROR(INDEX(Positions!$D$2:$D$6912,MATCH($A2245&amp;"|69",Positions!$A$2:$A$6912,0)),"-")</f>
        <v>70</v>
      </c>
      <c r="F2245" s="4" t="str">
        <f aca="false">IFERROR(INDEX(Positions!$E$2:$E$6912,MATCH($A2245&amp;"|4",Positions!$A$2:$A$6912,0)),"-")</f>
        <v>G</v>
      </c>
      <c r="G2245" s="4" t="str">
        <f aca="false">IFERROR(INDEX(Positions!$E$2:$E$6912,MATCH($A2245&amp;"|69",Positions!$A$2:$A$6912,0)),"-")</f>
        <v>C</v>
      </c>
      <c r="H2245" s="3" t="str">
        <f aca="false">F2245&amp;"-"&amp;G2245</f>
        <v>G-C</v>
      </c>
      <c r="I2245" s="4" t="n">
        <f aca="false">(F2245="G")+(G2245="G")</f>
        <v>1</v>
      </c>
      <c r="J2245" s="4" t="n">
        <f aca="false">(F2245="C")+(G2245="C")</f>
        <v>1</v>
      </c>
      <c r="K2245" s="3" t="n">
        <f aca="false">I2245+J2245</f>
        <v>2</v>
      </c>
    </row>
    <row r="2246" customFormat="false" ht="15" hidden="false" customHeight="false" outlineLevel="0" collapsed="false">
      <c r="A2246" s="4" t="s">
        <v>117</v>
      </c>
      <c r="B2246" s="4" t="s">
        <v>412</v>
      </c>
      <c r="C2246" s="4" t="s">
        <v>283</v>
      </c>
      <c r="D2246" s="4" t="n">
        <f aca="false">IFERROR(INDEX(Positions!$D$2:$D$6912,MATCH($A2246&amp;"|5",Positions!$A$2:$A$6912,0)),"-")</f>
        <v>5</v>
      </c>
      <c r="E2246" s="4" t="n">
        <f aca="false">IFERROR(INDEX(Positions!$D$2:$D$6912,MATCH($A2246&amp;"|68",Positions!$A$2:$A$6912,0)),"-")</f>
        <v>69</v>
      </c>
      <c r="F2246" s="4" t="str">
        <f aca="false">IFERROR(INDEX(Positions!$E$2:$E$6912,MATCH($A2246&amp;"|5",Positions!$A$2:$A$6912,0)),"-")</f>
        <v>G</v>
      </c>
      <c r="G2246" s="4" t="str">
        <f aca="false">IFERROR(INDEX(Positions!$E$2:$E$6912,MATCH($A2246&amp;"|68",Positions!$A$2:$A$6912,0)),"-")</f>
        <v>C</v>
      </c>
      <c r="H2246" s="3" t="str">
        <f aca="false">F2246&amp;"-"&amp;G2246</f>
        <v>G-C</v>
      </c>
      <c r="I2246" s="4" t="n">
        <f aca="false">(F2246="G")+(G2246="G")</f>
        <v>1</v>
      </c>
      <c r="J2246" s="4" t="n">
        <f aca="false">(F2246="C")+(G2246="C")</f>
        <v>1</v>
      </c>
      <c r="K2246" s="3" t="n">
        <f aca="false">I2246+J2246</f>
        <v>2</v>
      </c>
    </row>
    <row r="2247" customFormat="false" ht="15" hidden="false" customHeight="false" outlineLevel="0" collapsed="false">
      <c r="A2247" s="4" t="s">
        <v>117</v>
      </c>
      <c r="B2247" s="4" t="s">
        <v>412</v>
      </c>
      <c r="C2247" s="4" t="s">
        <v>520</v>
      </c>
      <c r="D2247" s="4" t="n">
        <f aca="false">IFERROR(INDEX(Positions!$D$2:$D$6912,MATCH($A2247&amp;"|6",Positions!$A$2:$A$6912,0)),"-")</f>
        <v>6</v>
      </c>
      <c r="E2247" s="4" t="n">
        <f aca="false">IFERROR(INDEX(Positions!$D$2:$D$6912,MATCH($A2247&amp;"|67",Positions!$A$2:$A$6912,0)),"-")</f>
        <v>68</v>
      </c>
      <c r="F2247" s="4" t="str">
        <f aca="false">IFERROR(INDEX(Positions!$E$2:$E$6912,MATCH($A2247&amp;"|6",Positions!$A$2:$A$6912,0)),"-")</f>
        <v>G</v>
      </c>
      <c r="G2247" s="4" t="str">
        <f aca="false">IFERROR(INDEX(Positions!$E$2:$E$6912,MATCH($A2247&amp;"|67",Positions!$A$2:$A$6912,0)),"-")</f>
        <v>C</v>
      </c>
      <c r="H2247" s="3" t="str">
        <f aca="false">F2247&amp;"-"&amp;G2247</f>
        <v>G-C</v>
      </c>
      <c r="I2247" s="4" t="n">
        <f aca="false">(F2247="G")+(G2247="G")</f>
        <v>1</v>
      </c>
      <c r="J2247" s="4" t="n">
        <f aca="false">(F2247="C")+(G2247="C")</f>
        <v>1</v>
      </c>
      <c r="K2247" s="3" t="n">
        <f aca="false">I2247+J2247</f>
        <v>2</v>
      </c>
    </row>
    <row r="2248" customFormat="false" ht="15" hidden="false" customHeight="false" outlineLevel="0" collapsed="false">
      <c r="A2248" s="4" t="s">
        <v>117</v>
      </c>
      <c r="B2248" s="4" t="s">
        <v>412</v>
      </c>
      <c r="C2248" s="4" t="s">
        <v>521</v>
      </c>
      <c r="D2248" s="4" t="n">
        <f aca="false">IFERROR(INDEX(Positions!$D$2:$D$6912,MATCH($A2248&amp;"|7",Positions!$A$2:$A$6912,0)),"-")</f>
        <v>7</v>
      </c>
      <c r="E2248" s="4" t="n">
        <f aca="false">IFERROR(INDEX(Positions!$D$2:$D$6912,MATCH($A2248&amp;"|66",Positions!$A$2:$A$6912,0)),"-")</f>
        <v>67</v>
      </c>
      <c r="F2248" s="4" t="str">
        <f aca="false">IFERROR(INDEX(Positions!$E$2:$E$6912,MATCH($A2248&amp;"|7",Positions!$A$2:$A$6912,0)),"-")</f>
        <v>G</v>
      </c>
      <c r="G2248" s="4" t="str">
        <f aca="false">IFERROR(INDEX(Positions!$E$2:$E$6912,MATCH($A2248&amp;"|66",Positions!$A$2:$A$6912,0)),"-")</f>
        <v>C</v>
      </c>
      <c r="H2248" s="3" t="str">
        <f aca="false">F2248&amp;"-"&amp;G2248</f>
        <v>G-C</v>
      </c>
      <c r="I2248" s="4" t="n">
        <f aca="false">(F2248="G")+(G2248="G")</f>
        <v>1</v>
      </c>
      <c r="J2248" s="4" t="n">
        <f aca="false">(F2248="C")+(G2248="C")</f>
        <v>1</v>
      </c>
      <c r="K2248" s="3" t="n">
        <f aca="false">I2248+J2248</f>
        <v>2</v>
      </c>
    </row>
    <row r="2249" customFormat="false" ht="15" hidden="false" customHeight="false" outlineLevel="0" collapsed="false">
      <c r="A2249" s="4" t="s">
        <v>117</v>
      </c>
      <c r="B2249" s="4" t="s">
        <v>425</v>
      </c>
      <c r="C2249" s="4" t="s">
        <v>522</v>
      </c>
      <c r="D2249" s="4" t="n">
        <f aca="false">IFERROR(INDEX(Positions!$D$2:$D$6912,MATCH($A2249&amp;"|10",Positions!$A$2:$A$6912,0)),"-")</f>
        <v>10</v>
      </c>
      <c r="E2249" s="4" t="n">
        <f aca="false">IFERROR(INDEX(Positions!$D$2:$D$6912,MATCH($A2249&amp;"|25",Positions!$A$2:$A$6912,0)),"-")</f>
        <v>26</v>
      </c>
      <c r="F2249" s="4" t="str">
        <f aca="false">IFERROR(INDEX(Positions!$E$2:$E$6912,MATCH($A2249&amp;"|10",Positions!$A$2:$A$6912,0)),"-")</f>
        <v>G</v>
      </c>
      <c r="G2249" s="4" t="str">
        <f aca="false">IFERROR(INDEX(Positions!$E$2:$E$6912,MATCH($A2249&amp;"|25",Positions!$A$2:$A$6912,0)),"-")</f>
        <v>C</v>
      </c>
      <c r="H2249" s="3" t="str">
        <f aca="false">F2249&amp;"-"&amp;G2249</f>
        <v>G-C</v>
      </c>
      <c r="I2249" s="4" t="n">
        <f aca="false">(F2249="G")+(G2249="G")</f>
        <v>1</v>
      </c>
      <c r="J2249" s="4" t="n">
        <f aca="false">(F2249="C")+(G2249="C")</f>
        <v>1</v>
      </c>
      <c r="K2249" s="3" t="n">
        <f aca="false">I2249+J2249</f>
        <v>2</v>
      </c>
    </row>
    <row r="2250" customFormat="false" ht="15" hidden="false" customHeight="false" outlineLevel="0" collapsed="false">
      <c r="A2250" s="4" t="s">
        <v>117</v>
      </c>
      <c r="B2250" s="4" t="s">
        <v>425</v>
      </c>
      <c r="C2250" s="4" t="s">
        <v>523</v>
      </c>
      <c r="D2250" s="4" t="n">
        <f aca="false">IFERROR(INDEX(Positions!$D$2:$D$6912,MATCH($A2250&amp;"|11",Positions!$A$2:$A$6912,0)),"-")</f>
        <v>11</v>
      </c>
      <c r="E2250" s="4" t="n">
        <f aca="false">IFERROR(INDEX(Positions!$D$2:$D$6912,MATCH($A2250&amp;"|24",Positions!$A$2:$A$6912,0)),"-")</f>
        <v>25</v>
      </c>
      <c r="F2250" s="4" t="str">
        <f aca="false">IFERROR(INDEX(Positions!$E$2:$E$6912,MATCH($A2250&amp;"|11",Positions!$A$2:$A$6912,0)),"-")</f>
        <v>A</v>
      </c>
      <c r="G2250" s="4" t="str">
        <f aca="false">IFERROR(INDEX(Positions!$E$2:$E$6912,MATCH($A2250&amp;"|24",Positions!$A$2:$A$6912,0)),"-")</f>
        <v>U</v>
      </c>
      <c r="H2250" s="3" t="str">
        <f aca="false">F2250&amp;"-"&amp;G2250</f>
        <v>A-U</v>
      </c>
      <c r="I2250" s="4" t="n">
        <f aca="false">(F2250="G")+(G2250="G")</f>
        <v>0</v>
      </c>
      <c r="J2250" s="4" t="n">
        <f aca="false">(F2250="C")+(G2250="C")</f>
        <v>0</v>
      </c>
      <c r="K2250" s="3" t="n">
        <f aca="false">I2250+J2250</f>
        <v>0</v>
      </c>
    </row>
    <row r="2251" customFormat="false" ht="15" hidden="false" customHeight="false" outlineLevel="0" collapsed="false">
      <c r="A2251" s="4" t="s">
        <v>117</v>
      </c>
      <c r="B2251" s="4" t="s">
        <v>425</v>
      </c>
      <c r="C2251" s="4" t="s">
        <v>250</v>
      </c>
      <c r="D2251" s="4" t="n">
        <f aca="false">IFERROR(INDEX(Positions!$D$2:$D$6912,MATCH($A2251&amp;"|12",Positions!$A$2:$A$6912,0)),"-")</f>
        <v>12</v>
      </c>
      <c r="E2251" s="4" t="n">
        <f aca="false">IFERROR(INDEX(Positions!$D$2:$D$6912,MATCH($A2251&amp;"|23",Positions!$A$2:$A$6912,0)),"-")</f>
        <v>24</v>
      </c>
      <c r="F2251" s="4" t="str">
        <f aca="false">IFERROR(INDEX(Positions!$E$2:$E$6912,MATCH($A2251&amp;"|12",Positions!$A$2:$A$6912,0)),"-")</f>
        <v>G</v>
      </c>
      <c r="G2251" s="4" t="str">
        <f aca="false">IFERROR(INDEX(Positions!$E$2:$E$6912,MATCH($A2251&amp;"|23",Positions!$A$2:$A$6912,0)),"-")</f>
        <v>C</v>
      </c>
      <c r="H2251" s="3" t="str">
        <f aca="false">F2251&amp;"-"&amp;G2251</f>
        <v>G-C</v>
      </c>
      <c r="I2251" s="4" t="n">
        <f aca="false">(F2251="G")+(G2251="G")</f>
        <v>1</v>
      </c>
      <c r="J2251" s="4" t="n">
        <f aca="false">(F2251="C")+(G2251="C")</f>
        <v>1</v>
      </c>
      <c r="K2251" s="3" t="n">
        <f aca="false">I2251+J2251</f>
        <v>2</v>
      </c>
    </row>
    <row r="2252" customFormat="false" ht="15" hidden="false" customHeight="false" outlineLevel="0" collapsed="false">
      <c r="A2252" s="4" t="s">
        <v>117</v>
      </c>
      <c r="B2252" s="4" t="s">
        <v>425</v>
      </c>
      <c r="C2252" s="4" t="s">
        <v>154</v>
      </c>
      <c r="D2252" s="4" t="n">
        <f aca="false">IFERROR(INDEX(Positions!$D$2:$D$6912,MATCH($A2252&amp;"|13",Positions!$A$2:$A$6912,0)),"-")</f>
        <v>13</v>
      </c>
      <c r="E2252" s="4" t="n">
        <f aca="false">IFERROR(INDEX(Positions!$D$2:$D$6912,MATCH($A2252&amp;"|22",Positions!$A$2:$A$6912,0)),"-")</f>
        <v>23</v>
      </c>
      <c r="F2252" s="4" t="str">
        <f aca="false">IFERROR(INDEX(Positions!$E$2:$E$6912,MATCH($A2252&amp;"|13",Positions!$A$2:$A$6912,0)),"-")</f>
        <v>C</v>
      </c>
      <c r="G2252" s="4" t="str">
        <f aca="false">IFERROR(INDEX(Positions!$E$2:$E$6912,MATCH($A2252&amp;"|22",Positions!$A$2:$A$6912,0)),"-")</f>
        <v>G</v>
      </c>
      <c r="H2252" s="3" t="str">
        <f aca="false">F2252&amp;"-"&amp;G2252</f>
        <v>C-G</v>
      </c>
      <c r="I2252" s="4" t="n">
        <f aca="false">(F2252="G")+(G2252="G")</f>
        <v>1</v>
      </c>
      <c r="J2252" s="4" t="n">
        <f aca="false">(F2252="C")+(G2252="C")</f>
        <v>1</v>
      </c>
      <c r="K2252" s="3" t="n">
        <f aca="false">I2252+J2252</f>
        <v>2</v>
      </c>
    </row>
    <row r="2253" customFormat="false" ht="15" hidden="false" customHeight="false" outlineLevel="0" collapsed="false">
      <c r="A2253" s="4" t="s">
        <v>117</v>
      </c>
      <c r="B2253" s="4" t="s">
        <v>446</v>
      </c>
      <c r="C2253" s="4" t="s">
        <v>524</v>
      </c>
      <c r="D2253" s="4" t="n">
        <f aca="false">IFERROR(INDEX(Positions!$D$2:$D$6912,MATCH($A2253&amp;"|27",Positions!$A$2:$A$6912,0)),"-")</f>
        <v>28</v>
      </c>
      <c r="E2253" s="4" t="n">
        <f aca="false">IFERROR(INDEX(Positions!$D$2:$D$6912,MATCH($A2253&amp;"|43",Positions!$A$2:$A$6912,0)),"-")</f>
        <v>44</v>
      </c>
      <c r="F2253" s="4" t="str">
        <f aca="false">IFERROR(INDEX(Positions!$E$2:$E$6912,MATCH($A2253&amp;"|27",Positions!$A$2:$A$6912,0)),"-")</f>
        <v>U</v>
      </c>
      <c r="G2253" s="4" t="str">
        <f aca="false">IFERROR(INDEX(Positions!$E$2:$E$6912,MATCH($A2253&amp;"|43",Positions!$A$2:$A$6912,0)),"-")</f>
        <v>A</v>
      </c>
      <c r="H2253" s="3" t="str">
        <f aca="false">F2253&amp;"-"&amp;G2253</f>
        <v>U-A</v>
      </c>
      <c r="I2253" s="4" t="n">
        <f aca="false">(F2253="G")+(G2253="G")</f>
        <v>0</v>
      </c>
      <c r="J2253" s="4" t="n">
        <f aca="false">(F2253="C")+(G2253="C")</f>
        <v>0</v>
      </c>
      <c r="K2253" s="3" t="n">
        <f aca="false">I2253+J2253</f>
        <v>0</v>
      </c>
    </row>
    <row r="2254" customFormat="false" ht="15" hidden="false" customHeight="false" outlineLevel="0" collapsed="false">
      <c r="A2254" s="4" t="s">
        <v>117</v>
      </c>
      <c r="B2254" s="4" t="s">
        <v>446</v>
      </c>
      <c r="C2254" s="4" t="s">
        <v>525</v>
      </c>
      <c r="D2254" s="4" t="n">
        <f aca="false">IFERROR(INDEX(Positions!$D$2:$D$6912,MATCH($A2254&amp;"|28",Positions!$A$2:$A$6912,0)),"-")</f>
        <v>29</v>
      </c>
      <c r="E2254" s="4" t="n">
        <f aca="false">IFERROR(INDEX(Positions!$D$2:$D$6912,MATCH($A2254&amp;"|42",Positions!$A$2:$A$6912,0)),"-")</f>
        <v>43</v>
      </c>
      <c r="F2254" s="4" t="str">
        <f aca="false">IFERROR(INDEX(Positions!$E$2:$E$6912,MATCH($A2254&amp;"|28",Positions!$A$2:$A$6912,0)),"-")</f>
        <v>C</v>
      </c>
      <c r="G2254" s="4" t="str">
        <f aca="false">IFERROR(INDEX(Positions!$E$2:$E$6912,MATCH($A2254&amp;"|42",Positions!$A$2:$A$6912,0)),"-")</f>
        <v>G</v>
      </c>
      <c r="H2254" s="3" t="str">
        <f aca="false">F2254&amp;"-"&amp;G2254</f>
        <v>C-G</v>
      </c>
      <c r="I2254" s="4" t="n">
        <f aca="false">(F2254="G")+(G2254="G")</f>
        <v>1</v>
      </c>
      <c r="J2254" s="4" t="n">
        <f aca="false">(F2254="C")+(G2254="C")</f>
        <v>1</v>
      </c>
      <c r="K2254" s="3" t="n">
        <f aca="false">I2254+J2254</f>
        <v>2</v>
      </c>
    </row>
    <row r="2255" customFormat="false" ht="15" hidden="false" customHeight="false" outlineLevel="0" collapsed="false">
      <c r="A2255" s="4" t="s">
        <v>117</v>
      </c>
      <c r="B2255" s="4" t="s">
        <v>446</v>
      </c>
      <c r="C2255" s="4" t="s">
        <v>256</v>
      </c>
      <c r="D2255" s="4" t="n">
        <f aca="false">IFERROR(INDEX(Positions!$D$2:$D$6912,MATCH($A2255&amp;"|29",Positions!$A$2:$A$6912,0)),"-")</f>
        <v>30</v>
      </c>
      <c r="E2255" s="4" t="n">
        <f aca="false">IFERROR(INDEX(Positions!$D$2:$D$6912,MATCH($A2255&amp;"|41",Positions!$A$2:$A$6912,0)),"-")</f>
        <v>42</v>
      </c>
      <c r="F2255" s="4" t="str">
        <f aca="false">IFERROR(INDEX(Positions!$E$2:$E$6912,MATCH($A2255&amp;"|29",Positions!$A$2:$A$6912,0)),"-")</f>
        <v>G</v>
      </c>
      <c r="G2255" s="4" t="str">
        <f aca="false">IFERROR(INDEX(Positions!$E$2:$E$6912,MATCH($A2255&amp;"|41",Positions!$A$2:$A$6912,0)),"-")</f>
        <v>C</v>
      </c>
      <c r="H2255" s="3" t="str">
        <f aca="false">F2255&amp;"-"&amp;G2255</f>
        <v>G-C</v>
      </c>
      <c r="I2255" s="4" t="n">
        <f aca="false">(F2255="G")+(G2255="G")</f>
        <v>1</v>
      </c>
      <c r="J2255" s="4" t="n">
        <f aca="false">(F2255="C")+(G2255="C")</f>
        <v>1</v>
      </c>
      <c r="K2255" s="3" t="n">
        <f aca="false">I2255+J2255</f>
        <v>2</v>
      </c>
    </row>
    <row r="2256" customFormat="false" ht="15" hidden="false" customHeight="false" outlineLevel="0" collapsed="false">
      <c r="A2256" s="4" t="s">
        <v>117</v>
      </c>
      <c r="B2256" s="4" t="s">
        <v>446</v>
      </c>
      <c r="C2256" s="4" t="s">
        <v>526</v>
      </c>
      <c r="D2256" s="4" t="n">
        <f aca="false">IFERROR(INDEX(Positions!$D$2:$D$6912,MATCH($A2256&amp;"|30",Positions!$A$2:$A$6912,0)),"-")</f>
        <v>31</v>
      </c>
      <c r="E2256" s="4" t="n">
        <f aca="false">IFERROR(INDEX(Positions!$D$2:$D$6912,MATCH($A2256&amp;"|40",Positions!$A$2:$A$6912,0)),"-")</f>
        <v>41</v>
      </c>
      <c r="F2256" s="4" t="str">
        <f aca="false">IFERROR(INDEX(Positions!$E$2:$E$6912,MATCH($A2256&amp;"|30",Positions!$A$2:$A$6912,0)),"-")</f>
        <v>G</v>
      </c>
      <c r="G2256" s="4" t="str">
        <f aca="false">IFERROR(INDEX(Positions!$E$2:$E$6912,MATCH($A2256&amp;"|40",Positions!$A$2:$A$6912,0)),"-")</f>
        <v>C</v>
      </c>
      <c r="H2256" s="3" t="str">
        <f aca="false">F2256&amp;"-"&amp;G2256</f>
        <v>G-C</v>
      </c>
      <c r="I2256" s="4" t="n">
        <f aca="false">(F2256="G")+(G2256="G")</f>
        <v>1</v>
      </c>
      <c r="J2256" s="4" t="n">
        <f aca="false">(F2256="C")+(G2256="C")</f>
        <v>1</v>
      </c>
      <c r="K2256" s="3" t="n">
        <f aca="false">I2256+J2256</f>
        <v>2</v>
      </c>
    </row>
    <row r="2257" customFormat="false" ht="15" hidden="false" customHeight="false" outlineLevel="0" collapsed="false">
      <c r="A2257" s="4" t="s">
        <v>117</v>
      </c>
      <c r="B2257" s="4" t="s">
        <v>446</v>
      </c>
      <c r="C2257" s="4" t="s">
        <v>273</v>
      </c>
      <c r="D2257" s="4" t="n">
        <f aca="false">IFERROR(INDEX(Positions!$D$2:$D$6912,MATCH($A2257&amp;"|31",Positions!$A$2:$A$6912,0)),"-")</f>
        <v>32</v>
      </c>
      <c r="E2257" s="4" t="n">
        <f aca="false">IFERROR(INDEX(Positions!$D$2:$D$6912,MATCH($A2257&amp;"|39",Positions!$A$2:$A$6912,0)),"-")</f>
        <v>40</v>
      </c>
      <c r="F2257" s="4" t="str">
        <f aca="false">IFERROR(INDEX(Positions!$E$2:$E$6912,MATCH($A2257&amp;"|31",Positions!$A$2:$A$6912,0)),"-")</f>
        <v>G</v>
      </c>
      <c r="G2257" s="4" t="str">
        <f aca="false">IFERROR(INDEX(Positions!$E$2:$E$6912,MATCH($A2257&amp;"|39",Positions!$A$2:$A$6912,0)),"-")</f>
        <v>C</v>
      </c>
      <c r="H2257" s="3" t="str">
        <f aca="false">F2257&amp;"-"&amp;G2257</f>
        <v>G-C</v>
      </c>
      <c r="I2257" s="4" t="n">
        <f aca="false">(F2257="G")+(G2257="G")</f>
        <v>1</v>
      </c>
      <c r="J2257" s="4" t="n">
        <f aca="false">(F2257="C")+(G2257="C")</f>
        <v>1</v>
      </c>
      <c r="K2257" s="3" t="n">
        <f aca="false">I2257+J2257</f>
        <v>2</v>
      </c>
    </row>
    <row r="2258" customFormat="false" ht="15" hidden="false" customHeight="false" outlineLevel="0" collapsed="false">
      <c r="A2258" s="4" t="s">
        <v>117</v>
      </c>
      <c r="B2258" s="4" t="s">
        <v>471</v>
      </c>
      <c r="C2258" s="4" t="s">
        <v>367</v>
      </c>
      <c r="D2258" s="4" t="n">
        <f aca="false">IFERROR(INDEX(Positions!$D$2:$D$6912,MATCH($A2258&amp;"|49",Positions!$A$2:$A$6912,0)),"-")</f>
        <v>50</v>
      </c>
      <c r="E2258" s="4" t="n">
        <f aca="false">IFERROR(INDEX(Positions!$D$2:$D$6912,MATCH($A2258&amp;"|65",Positions!$A$2:$A$6912,0)),"-")</f>
        <v>66</v>
      </c>
      <c r="F2258" s="4" t="str">
        <f aca="false">IFERROR(INDEX(Positions!$E$2:$E$6912,MATCH($A2258&amp;"|49",Positions!$A$2:$A$6912,0)),"-")</f>
        <v>G</v>
      </c>
      <c r="G2258" s="4" t="str">
        <f aca="false">IFERROR(INDEX(Positions!$E$2:$E$6912,MATCH($A2258&amp;"|65",Positions!$A$2:$A$6912,0)),"-")</f>
        <v>C</v>
      </c>
      <c r="H2258" s="3" t="str">
        <f aca="false">F2258&amp;"-"&amp;G2258</f>
        <v>G-C</v>
      </c>
      <c r="I2258" s="4" t="n">
        <f aca="false">(F2258="G")+(G2258="G")</f>
        <v>1</v>
      </c>
      <c r="J2258" s="4" t="n">
        <f aca="false">(F2258="C")+(G2258="C")</f>
        <v>1</v>
      </c>
      <c r="K2258" s="3" t="n">
        <f aca="false">I2258+J2258</f>
        <v>2</v>
      </c>
    </row>
    <row r="2259" customFormat="false" ht="15" hidden="false" customHeight="false" outlineLevel="0" collapsed="false">
      <c r="A2259" s="4" t="s">
        <v>117</v>
      </c>
      <c r="B2259" s="4" t="s">
        <v>471</v>
      </c>
      <c r="C2259" s="4" t="s">
        <v>233</v>
      </c>
      <c r="D2259" s="4" t="n">
        <f aca="false">IFERROR(INDEX(Positions!$D$2:$D$6912,MATCH($A2259&amp;"|50",Positions!$A$2:$A$6912,0)),"-")</f>
        <v>51</v>
      </c>
      <c r="E2259" s="4" t="n">
        <f aca="false">IFERROR(INDEX(Positions!$D$2:$D$6912,MATCH($A2259&amp;"|64",Positions!$A$2:$A$6912,0)),"-")</f>
        <v>65</v>
      </c>
      <c r="F2259" s="4" t="str">
        <f aca="false">IFERROR(INDEX(Positions!$E$2:$E$6912,MATCH($A2259&amp;"|50",Positions!$A$2:$A$6912,0)),"-")</f>
        <v>C</v>
      </c>
      <c r="G2259" s="4" t="str">
        <f aca="false">IFERROR(INDEX(Positions!$E$2:$E$6912,MATCH($A2259&amp;"|64",Positions!$A$2:$A$6912,0)),"-")</f>
        <v>G</v>
      </c>
      <c r="H2259" s="3" t="str">
        <f aca="false">F2259&amp;"-"&amp;G2259</f>
        <v>C-G</v>
      </c>
      <c r="I2259" s="4" t="n">
        <f aca="false">(F2259="G")+(G2259="G")</f>
        <v>1</v>
      </c>
      <c r="J2259" s="4" t="n">
        <f aca="false">(F2259="C")+(G2259="C")</f>
        <v>1</v>
      </c>
      <c r="K2259" s="3" t="n">
        <f aca="false">I2259+J2259</f>
        <v>2</v>
      </c>
    </row>
    <row r="2260" customFormat="false" ht="15" hidden="false" customHeight="false" outlineLevel="0" collapsed="false">
      <c r="A2260" s="4" t="s">
        <v>117</v>
      </c>
      <c r="B2260" s="4" t="s">
        <v>471</v>
      </c>
      <c r="C2260" s="4" t="s">
        <v>527</v>
      </c>
      <c r="D2260" s="4" t="n">
        <f aca="false">IFERROR(INDEX(Positions!$D$2:$D$6912,MATCH($A2260&amp;"|51",Positions!$A$2:$A$6912,0)),"-")</f>
        <v>52</v>
      </c>
      <c r="E2260" s="4" t="n">
        <f aca="false">IFERROR(INDEX(Positions!$D$2:$D$6912,MATCH($A2260&amp;"|63",Positions!$A$2:$A$6912,0)),"-")</f>
        <v>64</v>
      </c>
      <c r="F2260" s="4" t="str">
        <f aca="false">IFERROR(INDEX(Positions!$E$2:$E$6912,MATCH($A2260&amp;"|51",Positions!$A$2:$A$6912,0)),"-")</f>
        <v>G</v>
      </c>
      <c r="G2260" s="4" t="str">
        <f aca="false">IFERROR(INDEX(Positions!$E$2:$E$6912,MATCH($A2260&amp;"|63",Positions!$A$2:$A$6912,0)),"-")</f>
        <v>C</v>
      </c>
      <c r="H2260" s="3" t="str">
        <f aca="false">F2260&amp;"-"&amp;G2260</f>
        <v>G-C</v>
      </c>
      <c r="I2260" s="4" t="n">
        <f aca="false">(F2260="G")+(G2260="G")</f>
        <v>1</v>
      </c>
      <c r="J2260" s="4" t="n">
        <f aca="false">(F2260="C")+(G2260="C")</f>
        <v>1</v>
      </c>
      <c r="K2260" s="3" t="n">
        <f aca="false">I2260+J2260</f>
        <v>2</v>
      </c>
    </row>
    <row r="2261" customFormat="false" ht="15" hidden="false" customHeight="false" outlineLevel="0" collapsed="false">
      <c r="A2261" s="4" t="s">
        <v>117</v>
      </c>
      <c r="B2261" s="4" t="s">
        <v>471</v>
      </c>
      <c r="C2261" s="4" t="s">
        <v>528</v>
      </c>
      <c r="D2261" s="4" t="n">
        <f aca="false">IFERROR(INDEX(Positions!$D$2:$D$6912,MATCH($A2261&amp;"|52",Positions!$A$2:$A$6912,0)),"-")</f>
        <v>53</v>
      </c>
      <c r="E2261" s="4" t="n">
        <f aca="false">IFERROR(INDEX(Positions!$D$2:$D$6912,MATCH($A2261&amp;"|62",Positions!$A$2:$A$6912,0)),"-")</f>
        <v>63</v>
      </c>
      <c r="F2261" s="4" t="str">
        <f aca="false">IFERROR(INDEX(Positions!$E$2:$E$6912,MATCH($A2261&amp;"|52",Positions!$A$2:$A$6912,0)),"-")</f>
        <v>G</v>
      </c>
      <c r="G2261" s="4" t="str">
        <f aca="false">IFERROR(INDEX(Positions!$E$2:$E$6912,MATCH($A2261&amp;"|62",Positions!$A$2:$A$6912,0)),"-")</f>
        <v>C</v>
      </c>
      <c r="H2261" s="3" t="str">
        <f aca="false">F2261&amp;"-"&amp;G2261</f>
        <v>G-C</v>
      </c>
      <c r="I2261" s="4" t="n">
        <f aca="false">(F2261="G")+(G2261="G")</f>
        <v>1</v>
      </c>
      <c r="J2261" s="4" t="n">
        <f aca="false">(F2261="C")+(G2261="C")</f>
        <v>1</v>
      </c>
      <c r="K2261" s="3" t="n">
        <f aca="false">I2261+J2261</f>
        <v>2</v>
      </c>
    </row>
    <row r="2262" customFormat="false" ht="15" hidden="false" customHeight="false" outlineLevel="0" collapsed="false">
      <c r="A2262" s="4" t="s">
        <v>117</v>
      </c>
      <c r="B2262" s="4" t="s">
        <v>471</v>
      </c>
      <c r="C2262" s="4" t="s">
        <v>529</v>
      </c>
      <c r="D2262" s="4" t="n">
        <f aca="false">IFERROR(INDEX(Positions!$D$2:$D$6912,MATCH($A2262&amp;"|53",Positions!$A$2:$A$6912,0)),"-")</f>
        <v>54</v>
      </c>
      <c r="E2262" s="4" t="n">
        <f aca="false">IFERROR(INDEX(Positions!$D$2:$D$6912,MATCH($A2262&amp;"|61",Positions!$A$2:$A$6912,0)),"-")</f>
        <v>62</v>
      </c>
      <c r="F2262" s="4" t="str">
        <f aca="false">IFERROR(INDEX(Positions!$E$2:$E$6912,MATCH($A2262&amp;"|53",Positions!$A$2:$A$6912,0)),"-")</f>
        <v>G</v>
      </c>
      <c r="G2262" s="4" t="str">
        <f aca="false">IFERROR(INDEX(Positions!$E$2:$E$6912,MATCH($A2262&amp;"|61",Positions!$A$2:$A$6912,0)),"-")</f>
        <v>C</v>
      </c>
      <c r="H2262" s="3" t="str">
        <f aca="false">F2262&amp;"-"&amp;G2262</f>
        <v>G-C</v>
      </c>
      <c r="I2262" s="4" t="n">
        <f aca="false">(F2262="G")+(G2262="G")</f>
        <v>1</v>
      </c>
      <c r="J2262" s="4" t="n">
        <f aca="false">(F2262="C")+(G2262="C")</f>
        <v>1</v>
      </c>
      <c r="K2262" s="3" t="n">
        <f aca="false">I2262+J2262</f>
        <v>2</v>
      </c>
    </row>
    <row r="2263" customFormat="false" ht="15" hidden="false" customHeight="false" outlineLevel="0" collapsed="false">
      <c r="A2263" s="24" t="s">
        <v>117</v>
      </c>
      <c r="B2263" s="24" t="s">
        <v>530</v>
      </c>
      <c r="C2263" s="24" t="s">
        <v>531</v>
      </c>
      <c r="D2263" s="24" t="n">
        <f aca="false">IFERROR(INDEX(Positions!$D$2:$D$6912,MATCH($A2263&amp;"|8",Positions!$A$2:$A$6912,0)),"-")</f>
        <v>8</v>
      </c>
      <c r="E2263" s="24" t="n">
        <f aca="false">IFERROR(INDEX(Positions!$D$2:$D$6912,MATCH($A2263&amp;"|14",Positions!$A$2:$A$6912,0)),"-")</f>
        <v>14</v>
      </c>
      <c r="F2263" s="24" t="str">
        <f aca="false">IFERROR(INDEX(Positions!$E$2:$E$6912,MATCH($A2263&amp;"|8",Positions!$A$2:$A$6912,0)),"-")</f>
        <v>U</v>
      </c>
      <c r="G2263" s="24" t="str">
        <f aca="false">IFERROR(INDEX(Positions!$E$2:$E$6912,MATCH($A2263&amp;"|14",Positions!$A$2:$A$6912,0)),"-")</f>
        <v>A</v>
      </c>
      <c r="H2263" s="25" t="str">
        <f aca="false">F2263&amp;"-"&amp;G2263</f>
        <v>U-A</v>
      </c>
      <c r="I2263" s="24" t="n">
        <f aca="false">(F2263="G")+(G2263="G")</f>
        <v>0</v>
      </c>
      <c r="J2263" s="24" t="n">
        <f aca="false">(F2263="C")+(G2263="C")</f>
        <v>0</v>
      </c>
      <c r="K2263" s="25" t="n">
        <f aca="false">I2263+J2263</f>
        <v>0</v>
      </c>
    </row>
    <row r="2264" customFormat="false" ht="15" hidden="false" customHeight="false" outlineLevel="0" collapsed="false">
      <c r="A2264" s="24" t="s">
        <v>117</v>
      </c>
      <c r="B2264" s="24" t="s">
        <v>530</v>
      </c>
      <c r="C2264" s="24" t="s">
        <v>532</v>
      </c>
      <c r="D2264" s="24" t="n">
        <f aca="false">IFERROR(INDEX(Positions!$D$2:$D$6912,MATCH($A2264&amp;"|15",Positions!$A$2:$A$6912,0)),"-")</f>
        <v>15</v>
      </c>
      <c r="E2264" s="24" t="n">
        <f aca="false">IFERROR(INDEX(Positions!$D$2:$D$6912,MATCH($A2264&amp;"|48",Positions!$A$2:$A$6912,0)),"-")</f>
        <v>49</v>
      </c>
      <c r="F2264" s="24" t="str">
        <f aca="false">IFERROR(INDEX(Positions!$E$2:$E$6912,MATCH($A2264&amp;"|15",Positions!$A$2:$A$6912,0)),"-")</f>
        <v>G</v>
      </c>
      <c r="G2264" s="24" t="str">
        <f aca="false">IFERROR(INDEX(Positions!$E$2:$E$6912,MATCH($A2264&amp;"|48",Positions!$A$2:$A$6912,0)),"-")</f>
        <v>C</v>
      </c>
      <c r="H2264" s="25" t="str">
        <f aca="false">F2264&amp;"-"&amp;G2264</f>
        <v>G-C</v>
      </c>
      <c r="I2264" s="24" t="n">
        <f aca="false">(F2264="G")+(G2264="G")</f>
        <v>1</v>
      </c>
      <c r="J2264" s="24" t="n">
        <f aca="false">(F2264="C")+(G2264="C")</f>
        <v>1</v>
      </c>
      <c r="K2264" s="25" t="n">
        <f aca="false">I2264+J2264</f>
        <v>2</v>
      </c>
    </row>
    <row r="2265" customFormat="false" ht="15" hidden="false" customHeight="false" outlineLevel="0" collapsed="false">
      <c r="A2265" s="24" t="s">
        <v>117</v>
      </c>
      <c r="B2265" s="24" t="s">
        <v>530</v>
      </c>
      <c r="C2265" s="24" t="s">
        <v>533</v>
      </c>
      <c r="D2265" s="24" t="n">
        <f aca="false">IFERROR(INDEX(Positions!$D$2:$D$6912,MATCH($A2265&amp;"|18",Positions!$A$2:$A$6912,0)),"-")</f>
        <v>19</v>
      </c>
      <c r="E2265" s="24" t="n">
        <f aca="false">IFERROR(INDEX(Positions!$D$2:$D$6912,MATCH($A2265&amp;"|55",Positions!$A$2:$A$6912,0)),"-")</f>
        <v>56</v>
      </c>
      <c r="F2265" s="24" t="str">
        <f aca="false">IFERROR(INDEX(Positions!$E$2:$E$6912,MATCH($A2265&amp;"|18",Positions!$A$2:$A$6912,0)),"-")</f>
        <v>G</v>
      </c>
      <c r="G2265" s="24" t="str">
        <f aca="false">IFERROR(INDEX(Positions!$E$2:$E$6912,MATCH($A2265&amp;"|55",Positions!$A$2:$A$6912,0)),"-")</f>
        <v>U</v>
      </c>
      <c r="H2265" s="25" t="str">
        <f aca="false">F2265&amp;"-"&amp;G2265</f>
        <v>G-U</v>
      </c>
      <c r="I2265" s="24" t="n">
        <f aca="false">(F2265="G")+(G2265="G")</f>
        <v>1</v>
      </c>
      <c r="J2265" s="24" t="n">
        <f aca="false">(F2265="C")+(G2265="C")</f>
        <v>0</v>
      </c>
      <c r="K2265" s="25" t="n">
        <f aca="false">I2265+J2265</f>
        <v>1</v>
      </c>
    </row>
    <row r="2266" customFormat="false" ht="15" hidden="false" customHeight="false" outlineLevel="0" collapsed="false">
      <c r="A2266" s="24" t="s">
        <v>117</v>
      </c>
      <c r="B2266" s="24" t="s">
        <v>530</v>
      </c>
      <c r="C2266" s="24" t="s">
        <v>534</v>
      </c>
      <c r="D2266" s="24" t="n">
        <f aca="false">IFERROR(INDEX(Positions!$D$2:$D$6912,MATCH($A2266&amp;"|19",Positions!$A$2:$A$6912,0)),"-")</f>
        <v>20</v>
      </c>
      <c r="E2266" s="24" t="n">
        <f aca="false">IFERROR(INDEX(Positions!$D$2:$D$6912,MATCH($A2266&amp;"|56",Positions!$A$2:$A$6912,0)),"-")</f>
        <v>57</v>
      </c>
      <c r="F2266" s="24" t="str">
        <f aca="false">IFERROR(INDEX(Positions!$E$2:$E$6912,MATCH($A2266&amp;"|19",Positions!$A$2:$A$6912,0)),"-")</f>
        <v>G</v>
      </c>
      <c r="G2266" s="24" t="str">
        <f aca="false">IFERROR(INDEX(Positions!$E$2:$E$6912,MATCH($A2266&amp;"|56",Positions!$A$2:$A$6912,0)),"-")</f>
        <v>C</v>
      </c>
      <c r="H2266" s="25" t="str">
        <f aca="false">F2266&amp;"-"&amp;G2266</f>
        <v>G-C</v>
      </c>
      <c r="I2266" s="24" t="n">
        <f aca="false">(F2266="G")+(G2266="G")</f>
        <v>1</v>
      </c>
      <c r="J2266" s="24" t="n">
        <f aca="false">(F2266="C")+(G2266="C")</f>
        <v>1</v>
      </c>
      <c r="K2266" s="25" t="n">
        <f aca="false">I2266+J2266</f>
        <v>2</v>
      </c>
    </row>
    <row r="2267" customFormat="false" ht="15" hidden="false" customHeight="false" outlineLevel="0" collapsed="false">
      <c r="A2267" s="24" t="s">
        <v>117</v>
      </c>
      <c r="B2267" s="24" t="s">
        <v>530</v>
      </c>
      <c r="C2267" s="24" t="s">
        <v>535</v>
      </c>
      <c r="D2267" s="24" t="n">
        <f aca="false">IFERROR(INDEX(Positions!$D$2:$D$6912,MATCH($A2267&amp;"|26",Positions!$A$2:$A$6912,0)),"-")</f>
        <v>27</v>
      </c>
      <c r="E2267" s="24" t="n">
        <f aca="false">IFERROR(INDEX(Positions!$D$2:$D$6912,MATCH($A2267&amp;"|44",Positions!$A$2:$A$6912,0)),"-")</f>
        <v>45</v>
      </c>
      <c r="F2267" s="24" t="str">
        <f aca="false">IFERROR(INDEX(Positions!$E$2:$E$6912,MATCH($A2267&amp;"|26",Positions!$A$2:$A$6912,0)),"-")</f>
        <v>G</v>
      </c>
      <c r="G2267" s="24" t="str">
        <f aca="false">IFERROR(INDEX(Positions!$E$2:$E$6912,MATCH($A2267&amp;"|44",Positions!$A$2:$A$6912,0)),"-")</f>
        <v>A</v>
      </c>
      <c r="H2267" s="25" t="str">
        <f aca="false">F2267&amp;"-"&amp;G2267</f>
        <v>G-A</v>
      </c>
      <c r="I2267" s="24" t="n">
        <f aca="false">(F2267="G")+(G2267="G")</f>
        <v>1</v>
      </c>
      <c r="J2267" s="24" t="n">
        <f aca="false">(F2267="C")+(G2267="C")</f>
        <v>0</v>
      </c>
      <c r="K2267" s="25" t="n">
        <f aca="false">I2267+J2267</f>
        <v>1</v>
      </c>
    </row>
    <row r="2268" customFormat="false" ht="15" hidden="false" customHeight="false" outlineLevel="0" collapsed="false">
      <c r="A2268" s="24" t="s">
        <v>117</v>
      </c>
      <c r="B2268" s="24" t="s">
        <v>530</v>
      </c>
      <c r="C2268" s="24" t="s">
        <v>536</v>
      </c>
      <c r="D2268" s="24" t="n">
        <f aca="false">IFERROR(INDEX(Positions!$D$2:$D$6912,MATCH($A2268&amp;"|32",Positions!$A$2:$A$6912,0)),"-")</f>
        <v>33</v>
      </c>
      <c r="E2268" s="24" t="n">
        <f aca="false">IFERROR(INDEX(Positions!$D$2:$D$6912,MATCH($A2268&amp;"|38",Positions!$A$2:$A$6912,0)),"-")</f>
        <v>39</v>
      </c>
      <c r="F2268" s="24" t="str">
        <f aca="false">IFERROR(INDEX(Positions!$E$2:$E$6912,MATCH($A2268&amp;"|32",Positions!$A$2:$A$6912,0)),"-")</f>
        <v>C</v>
      </c>
      <c r="G2268" s="24" t="str">
        <f aca="false">IFERROR(INDEX(Positions!$E$2:$E$6912,MATCH($A2268&amp;"|38",Positions!$A$2:$A$6912,0)),"-")</f>
        <v>A</v>
      </c>
      <c r="H2268" s="25" t="str">
        <f aca="false">F2268&amp;"-"&amp;G2268</f>
        <v>C-A</v>
      </c>
      <c r="I2268" s="24" t="n">
        <f aca="false">(F2268="G")+(G2268="G")</f>
        <v>0</v>
      </c>
      <c r="J2268" s="24" t="n">
        <f aca="false">(F2268="C")+(G2268="C")</f>
        <v>1</v>
      </c>
      <c r="K2268" s="25" t="n">
        <f aca="false">I2268+J2268</f>
        <v>1</v>
      </c>
    </row>
    <row r="2269" customFormat="false" ht="15" hidden="false" customHeight="false" outlineLevel="0" collapsed="false">
      <c r="A2269" s="24" t="s">
        <v>117</v>
      </c>
      <c r="B2269" s="24" t="s">
        <v>530</v>
      </c>
      <c r="C2269" s="24" t="s">
        <v>537</v>
      </c>
      <c r="D2269" s="24" t="n">
        <f aca="false">IFERROR(INDEX(Positions!$D$2:$D$6912,MATCH($A2269&amp;"|54",Positions!$A$2:$A$6912,0)),"-")</f>
        <v>55</v>
      </c>
      <c r="E2269" s="24" t="n">
        <f aca="false">IFERROR(INDEX(Positions!$D$2:$D$6912,MATCH($A2269&amp;"|58",Positions!$A$2:$A$6912,0)),"-")</f>
        <v>59</v>
      </c>
      <c r="F2269" s="24" t="str">
        <f aca="false">IFERROR(INDEX(Positions!$E$2:$E$6912,MATCH($A2269&amp;"|54",Positions!$A$2:$A$6912,0)),"-")</f>
        <v>U</v>
      </c>
      <c r="G2269" s="24" t="str">
        <f aca="false">IFERROR(INDEX(Positions!$E$2:$E$6912,MATCH($A2269&amp;"|58",Positions!$A$2:$A$6912,0)),"-")</f>
        <v>A</v>
      </c>
      <c r="H2269" s="25" t="str">
        <f aca="false">F2269&amp;"-"&amp;G2269</f>
        <v>U-A</v>
      </c>
      <c r="I2269" s="24" t="n">
        <f aca="false">(F2269="G")+(G2269="G")</f>
        <v>0</v>
      </c>
      <c r="J2269" s="24" t="n">
        <f aca="false">(F2269="C")+(G2269="C")</f>
        <v>0</v>
      </c>
      <c r="K2269" s="25" t="n">
        <f aca="false">I2269+J2269</f>
        <v>0</v>
      </c>
    </row>
    <row r="2270" customFormat="false" ht="15" hidden="false" customHeight="false" outlineLevel="0" collapsed="false">
      <c r="A2270" s="4" t="s">
        <v>118</v>
      </c>
      <c r="B2270" s="4" t="s">
        <v>412</v>
      </c>
      <c r="C2270" s="4" t="s">
        <v>517</v>
      </c>
      <c r="D2270" s="4" t="n">
        <f aca="false">IFERROR(INDEX(Positions!$D$2:$D$6912,MATCH($A2270&amp;"|1",Positions!$A$2:$A$6912,0)),"-")</f>
        <v>1</v>
      </c>
      <c r="E2270" s="4" t="n">
        <f aca="false">IFERROR(INDEX(Positions!$D$2:$D$6912,MATCH($A2270&amp;"|72",Positions!$A$2:$A$6912,0)),"-")</f>
        <v>72</v>
      </c>
      <c r="F2270" s="4" t="str">
        <f aca="false">IFERROR(INDEX(Positions!$E$2:$E$6912,MATCH($A2270&amp;"|1",Positions!$A$2:$A$6912,0)),"-")</f>
        <v>G</v>
      </c>
      <c r="G2270" s="4" t="str">
        <f aca="false">IFERROR(INDEX(Positions!$E$2:$E$6912,MATCH($A2270&amp;"|72",Positions!$A$2:$A$6912,0)),"-")</f>
        <v>C</v>
      </c>
      <c r="H2270" s="3" t="str">
        <f aca="false">F2270&amp;"-"&amp;G2270</f>
        <v>G-C</v>
      </c>
      <c r="I2270" s="4" t="n">
        <f aca="false">(F2270="G")+(G2270="G")</f>
        <v>1</v>
      </c>
      <c r="J2270" s="4" t="n">
        <f aca="false">(F2270="C")+(G2270="C")</f>
        <v>1</v>
      </c>
      <c r="K2270" s="3" t="n">
        <f aca="false">I2270+J2270</f>
        <v>2</v>
      </c>
    </row>
    <row r="2271" customFormat="false" ht="15" hidden="false" customHeight="false" outlineLevel="0" collapsed="false">
      <c r="A2271" s="4" t="s">
        <v>118</v>
      </c>
      <c r="B2271" s="4" t="s">
        <v>412</v>
      </c>
      <c r="C2271" s="4" t="s">
        <v>518</v>
      </c>
      <c r="D2271" s="4" t="n">
        <f aca="false">IFERROR(INDEX(Positions!$D$2:$D$6912,MATCH($A2271&amp;"|2",Positions!$A$2:$A$6912,0)),"-")</f>
        <v>2</v>
      </c>
      <c r="E2271" s="4" t="n">
        <f aca="false">IFERROR(INDEX(Positions!$D$2:$D$6912,MATCH($A2271&amp;"|71",Positions!$A$2:$A$6912,0)),"-")</f>
        <v>71</v>
      </c>
      <c r="F2271" s="4" t="str">
        <f aca="false">IFERROR(INDEX(Positions!$E$2:$E$6912,MATCH($A2271&amp;"|2",Positions!$A$2:$A$6912,0)),"-")</f>
        <v>C</v>
      </c>
      <c r="G2271" s="4" t="str">
        <f aca="false">IFERROR(INDEX(Positions!$E$2:$E$6912,MATCH($A2271&amp;"|71",Positions!$A$2:$A$6912,0)),"-")</f>
        <v>G</v>
      </c>
      <c r="H2271" s="3" t="str">
        <f aca="false">F2271&amp;"-"&amp;G2271</f>
        <v>C-G</v>
      </c>
      <c r="I2271" s="4" t="n">
        <f aca="false">(F2271="G")+(G2271="G")</f>
        <v>1</v>
      </c>
      <c r="J2271" s="4" t="n">
        <f aca="false">(F2271="C")+(G2271="C")</f>
        <v>1</v>
      </c>
      <c r="K2271" s="3" t="n">
        <f aca="false">I2271+J2271</f>
        <v>2</v>
      </c>
    </row>
    <row r="2272" customFormat="false" ht="15" hidden="false" customHeight="false" outlineLevel="0" collapsed="false">
      <c r="A2272" s="4" t="s">
        <v>118</v>
      </c>
      <c r="B2272" s="4" t="s">
        <v>412</v>
      </c>
      <c r="C2272" s="4" t="s">
        <v>386</v>
      </c>
      <c r="D2272" s="4" t="n">
        <f aca="false">IFERROR(INDEX(Positions!$D$2:$D$6912,MATCH($A2272&amp;"|3",Positions!$A$2:$A$6912,0)),"-")</f>
        <v>3</v>
      </c>
      <c r="E2272" s="4" t="n">
        <f aca="false">IFERROR(INDEX(Positions!$D$2:$D$6912,MATCH($A2272&amp;"|70",Positions!$A$2:$A$6912,0)),"-")</f>
        <v>70</v>
      </c>
      <c r="F2272" s="4" t="str">
        <f aca="false">IFERROR(INDEX(Positions!$E$2:$E$6912,MATCH($A2272&amp;"|3",Positions!$A$2:$A$6912,0)),"-")</f>
        <v>C</v>
      </c>
      <c r="G2272" s="4" t="str">
        <f aca="false">IFERROR(INDEX(Positions!$E$2:$E$6912,MATCH($A2272&amp;"|70",Positions!$A$2:$A$6912,0)),"-")</f>
        <v>G</v>
      </c>
      <c r="H2272" s="3" t="str">
        <f aca="false">F2272&amp;"-"&amp;G2272</f>
        <v>C-G</v>
      </c>
      <c r="I2272" s="4" t="n">
        <f aca="false">(F2272="G")+(G2272="G")</f>
        <v>1</v>
      </c>
      <c r="J2272" s="4" t="n">
        <f aca="false">(F2272="C")+(G2272="C")</f>
        <v>1</v>
      </c>
      <c r="K2272" s="3" t="n">
        <f aca="false">I2272+J2272</f>
        <v>2</v>
      </c>
    </row>
    <row r="2273" customFormat="false" ht="15" hidden="false" customHeight="false" outlineLevel="0" collapsed="false">
      <c r="A2273" s="4" t="s">
        <v>118</v>
      </c>
      <c r="B2273" s="4" t="s">
        <v>412</v>
      </c>
      <c r="C2273" s="4" t="s">
        <v>519</v>
      </c>
      <c r="D2273" s="4" t="n">
        <f aca="false">IFERROR(INDEX(Positions!$D$2:$D$6912,MATCH($A2273&amp;"|4",Positions!$A$2:$A$6912,0)),"-")</f>
        <v>4</v>
      </c>
      <c r="E2273" s="4" t="n">
        <f aca="false">IFERROR(INDEX(Positions!$D$2:$D$6912,MATCH($A2273&amp;"|69",Positions!$A$2:$A$6912,0)),"-")</f>
        <v>69</v>
      </c>
      <c r="F2273" s="4" t="str">
        <f aca="false">IFERROR(INDEX(Positions!$E$2:$E$6912,MATCH($A2273&amp;"|4",Positions!$A$2:$A$6912,0)),"-")</f>
        <v>G</v>
      </c>
      <c r="G2273" s="4" t="str">
        <f aca="false">IFERROR(INDEX(Positions!$E$2:$E$6912,MATCH($A2273&amp;"|69",Positions!$A$2:$A$6912,0)),"-")</f>
        <v>C</v>
      </c>
      <c r="H2273" s="3" t="str">
        <f aca="false">F2273&amp;"-"&amp;G2273</f>
        <v>G-C</v>
      </c>
      <c r="I2273" s="4" t="n">
        <f aca="false">(F2273="G")+(G2273="G")</f>
        <v>1</v>
      </c>
      <c r="J2273" s="4" t="n">
        <f aca="false">(F2273="C")+(G2273="C")</f>
        <v>1</v>
      </c>
      <c r="K2273" s="3" t="n">
        <f aca="false">I2273+J2273</f>
        <v>2</v>
      </c>
    </row>
    <row r="2274" customFormat="false" ht="15" hidden="false" customHeight="false" outlineLevel="0" collapsed="false">
      <c r="A2274" s="4" t="s">
        <v>118</v>
      </c>
      <c r="B2274" s="4" t="s">
        <v>412</v>
      </c>
      <c r="C2274" s="4" t="s">
        <v>283</v>
      </c>
      <c r="D2274" s="4" t="n">
        <f aca="false">IFERROR(INDEX(Positions!$D$2:$D$6912,MATCH($A2274&amp;"|5",Positions!$A$2:$A$6912,0)),"-")</f>
        <v>5</v>
      </c>
      <c r="E2274" s="4" t="n">
        <f aca="false">IFERROR(INDEX(Positions!$D$2:$D$6912,MATCH($A2274&amp;"|68",Positions!$A$2:$A$6912,0)),"-")</f>
        <v>68</v>
      </c>
      <c r="F2274" s="4" t="str">
        <f aca="false">IFERROR(INDEX(Positions!$E$2:$E$6912,MATCH($A2274&amp;"|5",Positions!$A$2:$A$6912,0)),"-")</f>
        <v>A</v>
      </c>
      <c r="G2274" s="4" t="str">
        <f aca="false">IFERROR(INDEX(Positions!$E$2:$E$6912,MATCH($A2274&amp;"|68",Positions!$A$2:$A$6912,0)),"-")</f>
        <v>U</v>
      </c>
      <c r="H2274" s="3" t="str">
        <f aca="false">F2274&amp;"-"&amp;G2274</f>
        <v>A-U</v>
      </c>
      <c r="I2274" s="4" t="n">
        <f aca="false">(F2274="G")+(G2274="G")</f>
        <v>0</v>
      </c>
      <c r="J2274" s="4" t="n">
        <f aca="false">(F2274="C")+(G2274="C")</f>
        <v>0</v>
      </c>
      <c r="K2274" s="3" t="n">
        <f aca="false">I2274+J2274</f>
        <v>0</v>
      </c>
    </row>
    <row r="2275" customFormat="false" ht="15" hidden="false" customHeight="false" outlineLevel="0" collapsed="false">
      <c r="A2275" s="4" t="s">
        <v>118</v>
      </c>
      <c r="B2275" s="4" t="s">
        <v>412</v>
      </c>
      <c r="C2275" s="4" t="s">
        <v>520</v>
      </c>
      <c r="D2275" s="4" t="n">
        <f aca="false">IFERROR(INDEX(Positions!$D$2:$D$6912,MATCH($A2275&amp;"|6",Positions!$A$2:$A$6912,0)),"-")</f>
        <v>6</v>
      </c>
      <c r="E2275" s="4" t="n">
        <f aca="false">IFERROR(INDEX(Positions!$D$2:$D$6912,MATCH($A2275&amp;"|67",Positions!$A$2:$A$6912,0)),"-")</f>
        <v>67</v>
      </c>
      <c r="F2275" s="4" t="str">
        <f aca="false">IFERROR(INDEX(Positions!$E$2:$E$6912,MATCH($A2275&amp;"|6",Positions!$A$2:$A$6912,0)),"-")</f>
        <v>G</v>
      </c>
      <c r="G2275" s="4" t="str">
        <f aca="false">IFERROR(INDEX(Positions!$E$2:$E$6912,MATCH($A2275&amp;"|67",Positions!$A$2:$A$6912,0)),"-")</f>
        <v>C</v>
      </c>
      <c r="H2275" s="3" t="str">
        <f aca="false">F2275&amp;"-"&amp;G2275</f>
        <v>G-C</v>
      </c>
      <c r="I2275" s="4" t="n">
        <f aca="false">(F2275="G")+(G2275="G")</f>
        <v>1</v>
      </c>
      <c r="J2275" s="4" t="n">
        <f aca="false">(F2275="C")+(G2275="C")</f>
        <v>1</v>
      </c>
      <c r="K2275" s="3" t="n">
        <f aca="false">I2275+J2275</f>
        <v>2</v>
      </c>
    </row>
    <row r="2276" customFormat="false" ht="15" hidden="false" customHeight="false" outlineLevel="0" collapsed="false">
      <c r="A2276" s="4" t="s">
        <v>118</v>
      </c>
      <c r="B2276" s="4" t="s">
        <v>412</v>
      </c>
      <c r="C2276" s="4" t="s">
        <v>521</v>
      </c>
      <c r="D2276" s="4" t="n">
        <f aca="false">IFERROR(INDEX(Positions!$D$2:$D$6912,MATCH($A2276&amp;"|7",Positions!$A$2:$A$6912,0)),"-")</f>
        <v>7</v>
      </c>
      <c r="E2276" s="4" t="n">
        <f aca="false">IFERROR(INDEX(Positions!$D$2:$D$6912,MATCH($A2276&amp;"|66",Positions!$A$2:$A$6912,0)),"-")</f>
        <v>66</v>
      </c>
      <c r="F2276" s="4" t="str">
        <f aca="false">IFERROR(INDEX(Positions!$E$2:$E$6912,MATCH($A2276&amp;"|7",Positions!$A$2:$A$6912,0)),"-")</f>
        <v>G</v>
      </c>
      <c r="G2276" s="4" t="str">
        <f aca="false">IFERROR(INDEX(Positions!$E$2:$E$6912,MATCH($A2276&amp;"|66",Positions!$A$2:$A$6912,0)),"-")</f>
        <v>C</v>
      </c>
      <c r="H2276" s="3" t="str">
        <f aca="false">F2276&amp;"-"&amp;G2276</f>
        <v>G-C</v>
      </c>
      <c r="I2276" s="4" t="n">
        <f aca="false">(F2276="G")+(G2276="G")</f>
        <v>1</v>
      </c>
      <c r="J2276" s="4" t="n">
        <f aca="false">(F2276="C")+(G2276="C")</f>
        <v>1</v>
      </c>
      <c r="K2276" s="3" t="n">
        <f aca="false">I2276+J2276</f>
        <v>2</v>
      </c>
    </row>
    <row r="2277" customFormat="false" ht="15" hidden="false" customHeight="false" outlineLevel="0" collapsed="false">
      <c r="A2277" s="4" t="s">
        <v>118</v>
      </c>
      <c r="B2277" s="4" t="s">
        <v>425</v>
      </c>
      <c r="C2277" s="4" t="s">
        <v>522</v>
      </c>
      <c r="D2277" s="4" t="n">
        <f aca="false">IFERROR(INDEX(Positions!$D$2:$D$6912,MATCH($A2277&amp;"|10",Positions!$A$2:$A$6912,0)),"-")</f>
        <v>10</v>
      </c>
      <c r="E2277" s="4" t="n">
        <f aca="false">IFERROR(INDEX(Positions!$D$2:$D$6912,MATCH($A2277&amp;"|25",Positions!$A$2:$A$6912,0)),"-")</f>
        <v>25</v>
      </c>
      <c r="F2277" s="4" t="str">
        <f aca="false">IFERROR(INDEX(Positions!$E$2:$E$6912,MATCH($A2277&amp;"|10",Positions!$A$2:$A$6912,0)),"-")</f>
        <v>G</v>
      </c>
      <c r="G2277" s="4" t="str">
        <f aca="false">IFERROR(INDEX(Positions!$E$2:$E$6912,MATCH($A2277&amp;"|25",Positions!$A$2:$A$6912,0)),"-")</f>
        <v>C</v>
      </c>
      <c r="H2277" s="3" t="str">
        <f aca="false">F2277&amp;"-"&amp;G2277</f>
        <v>G-C</v>
      </c>
      <c r="I2277" s="4" t="n">
        <f aca="false">(F2277="G")+(G2277="G")</f>
        <v>1</v>
      </c>
      <c r="J2277" s="4" t="n">
        <f aca="false">(F2277="C")+(G2277="C")</f>
        <v>1</v>
      </c>
      <c r="K2277" s="3" t="n">
        <f aca="false">I2277+J2277</f>
        <v>2</v>
      </c>
    </row>
    <row r="2278" customFormat="false" ht="15" hidden="false" customHeight="false" outlineLevel="0" collapsed="false">
      <c r="A2278" s="4" t="s">
        <v>118</v>
      </c>
      <c r="B2278" s="4" t="s">
        <v>425</v>
      </c>
      <c r="C2278" s="4" t="s">
        <v>523</v>
      </c>
      <c r="D2278" s="4" t="n">
        <f aca="false">IFERROR(INDEX(Positions!$D$2:$D$6912,MATCH($A2278&amp;"|11",Positions!$A$2:$A$6912,0)),"-")</f>
        <v>11</v>
      </c>
      <c r="E2278" s="4" t="n">
        <f aca="false">IFERROR(INDEX(Positions!$D$2:$D$6912,MATCH($A2278&amp;"|24",Positions!$A$2:$A$6912,0)),"-")</f>
        <v>24</v>
      </c>
      <c r="F2278" s="4" t="str">
        <f aca="false">IFERROR(INDEX(Positions!$E$2:$E$6912,MATCH($A2278&amp;"|11",Positions!$A$2:$A$6912,0)),"-")</f>
        <v>C</v>
      </c>
      <c r="G2278" s="4" t="str">
        <f aca="false">IFERROR(INDEX(Positions!$E$2:$E$6912,MATCH($A2278&amp;"|24",Positions!$A$2:$A$6912,0)),"-")</f>
        <v>G</v>
      </c>
      <c r="H2278" s="3" t="str">
        <f aca="false">F2278&amp;"-"&amp;G2278</f>
        <v>C-G</v>
      </c>
      <c r="I2278" s="4" t="n">
        <f aca="false">(F2278="G")+(G2278="G")</f>
        <v>1</v>
      </c>
      <c r="J2278" s="4" t="n">
        <f aca="false">(F2278="C")+(G2278="C")</f>
        <v>1</v>
      </c>
      <c r="K2278" s="3" t="n">
        <f aca="false">I2278+J2278</f>
        <v>2</v>
      </c>
    </row>
    <row r="2279" customFormat="false" ht="15" hidden="false" customHeight="false" outlineLevel="0" collapsed="false">
      <c r="A2279" s="4" t="s">
        <v>118</v>
      </c>
      <c r="B2279" s="4" t="s">
        <v>425</v>
      </c>
      <c r="C2279" s="4" t="s">
        <v>250</v>
      </c>
      <c r="D2279" s="4" t="n">
        <f aca="false">IFERROR(INDEX(Positions!$D$2:$D$6912,MATCH($A2279&amp;"|12",Positions!$A$2:$A$6912,0)),"-")</f>
        <v>12</v>
      </c>
      <c r="E2279" s="4" t="n">
        <f aca="false">IFERROR(INDEX(Positions!$D$2:$D$6912,MATCH($A2279&amp;"|23",Positions!$A$2:$A$6912,0)),"-")</f>
        <v>23</v>
      </c>
      <c r="F2279" s="4" t="str">
        <f aca="false">IFERROR(INDEX(Positions!$E$2:$E$6912,MATCH($A2279&amp;"|12",Positions!$A$2:$A$6912,0)),"-")</f>
        <v>U</v>
      </c>
      <c r="G2279" s="4" t="str">
        <f aca="false">IFERROR(INDEX(Positions!$E$2:$E$6912,MATCH($A2279&amp;"|23",Positions!$A$2:$A$6912,0)),"-")</f>
        <v>A</v>
      </c>
      <c r="H2279" s="3" t="str">
        <f aca="false">F2279&amp;"-"&amp;G2279</f>
        <v>U-A</v>
      </c>
      <c r="I2279" s="4" t="n">
        <f aca="false">(F2279="G")+(G2279="G")</f>
        <v>0</v>
      </c>
      <c r="J2279" s="4" t="n">
        <f aca="false">(F2279="C")+(G2279="C")</f>
        <v>0</v>
      </c>
      <c r="K2279" s="3" t="n">
        <f aca="false">I2279+J2279</f>
        <v>0</v>
      </c>
    </row>
    <row r="2280" customFormat="false" ht="15" hidden="false" customHeight="false" outlineLevel="0" collapsed="false">
      <c r="A2280" s="4" t="s">
        <v>118</v>
      </c>
      <c r="B2280" s="4" t="s">
        <v>425</v>
      </c>
      <c r="C2280" s="4" t="s">
        <v>154</v>
      </c>
      <c r="D2280" s="4" t="n">
        <f aca="false">IFERROR(INDEX(Positions!$D$2:$D$6912,MATCH($A2280&amp;"|13",Positions!$A$2:$A$6912,0)),"-")</f>
        <v>13</v>
      </c>
      <c r="E2280" s="4" t="n">
        <f aca="false">IFERROR(INDEX(Positions!$D$2:$D$6912,MATCH($A2280&amp;"|22",Positions!$A$2:$A$6912,0)),"-")</f>
        <v>22</v>
      </c>
      <c r="F2280" s="4" t="str">
        <f aca="false">IFERROR(INDEX(Positions!$E$2:$E$6912,MATCH($A2280&amp;"|13",Positions!$A$2:$A$6912,0)),"-")</f>
        <v>C</v>
      </c>
      <c r="G2280" s="4" t="str">
        <f aca="false">IFERROR(INDEX(Positions!$E$2:$E$6912,MATCH($A2280&amp;"|22",Positions!$A$2:$A$6912,0)),"-")</f>
        <v>G</v>
      </c>
      <c r="H2280" s="3" t="str">
        <f aca="false">F2280&amp;"-"&amp;G2280</f>
        <v>C-G</v>
      </c>
      <c r="I2280" s="4" t="n">
        <f aca="false">(F2280="G")+(G2280="G")</f>
        <v>1</v>
      </c>
      <c r="J2280" s="4" t="n">
        <f aca="false">(F2280="C")+(G2280="C")</f>
        <v>1</v>
      </c>
      <c r="K2280" s="3" t="n">
        <f aca="false">I2280+J2280</f>
        <v>2</v>
      </c>
    </row>
    <row r="2281" customFormat="false" ht="15" hidden="false" customHeight="false" outlineLevel="0" collapsed="false">
      <c r="A2281" s="4" t="s">
        <v>118</v>
      </c>
      <c r="B2281" s="4" t="s">
        <v>446</v>
      </c>
      <c r="C2281" s="4" t="s">
        <v>524</v>
      </c>
      <c r="D2281" s="4" t="n">
        <f aca="false">IFERROR(INDEX(Positions!$D$2:$D$6912,MATCH($A2281&amp;"|27",Positions!$A$2:$A$6912,0)),"-")</f>
        <v>27</v>
      </c>
      <c r="E2281" s="4" t="n">
        <f aca="false">IFERROR(INDEX(Positions!$D$2:$D$6912,MATCH($A2281&amp;"|43",Positions!$A$2:$A$6912,0)),"-")</f>
        <v>43</v>
      </c>
      <c r="F2281" s="4" t="str">
        <f aca="false">IFERROR(INDEX(Positions!$E$2:$E$6912,MATCH($A2281&amp;"|27",Positions!$A$2:$A$6912,0)),"-")</f>
        <v>U</v>
      </c>
      <c r="G2281" s="4" t="str">
        <f aca="false">IFERROR(INDEX(Positions!$E$2:$E$6912,MATCH($A2281&amp;"|43",Positions!$A$2:$A$6912,0)),"-")</f>
        <v>A</v>
      </c>
      <c r="H2281" s="3" t="str">
        <f aca="false">F2281&amp;"-"&amp;G2281</f>
        <v>U-A</v>
      </c>
      <c r="I2281" s="4" t="n">
        <f aca="false">(F2281="G")+(G2281="G")</f>
        <v>0</v>
      </c>
      <c r="J2281" s="4" t="n">
        <f aca="false">(F2281="C")+(G2281="C")</f>
        <v>0</v>
      </c>
      <c r="K2281" s="3" t="n">
        <f aca="false">I2281+J2281</f>
        <v>0</v>
      </c>
    </row>
    <row r="2282" customFormat="false" ht="15" hidden="false" customHeight="false" outlineLevel="0" collapsed="false">
      <c r="A2282" s="4" t="s">
        <v>118</v>
      </c>
      <c r="B2282" s="4" t="s">
        <v>446</v>
      </c>
      <c r="C2282" s="4" t="s">
        <v>525</v>
      </c>
      <c r="D2282" s="4" t="n">
        <f aca="false">IFERROR(INDEX(Positions!$D$2:$D$6912,MATCH($A2282&amp;"|28",Positions!$A$2:$A$6912,0)),"-")</f>
        <v>28</v>
      </c>
      <c r="E2282" s="4" t="n">
        <f aca="false">IFERROR(INDEX(Positions!$D$2:$D$6912,MATCH($A2282&amp;"|42",Positions!$A$2:$A$6912,0)),"-")</f>
        <v>42</v>
      </c>
      <c r="F2282" s="4" t="str">
        <f aca="false">IFERROR(INDEX(Positions!$E$2:$E$6912,MATCH($A2282&amp;"|28",Positions!$A$2:$A$6912,0)),"-")</f>
        <v>G</v>
      </c>
      <c r="G2282" s="4" t="str">
        <f aca="false">IFERROR(INDEX(Positions!$E$2:$E$6912,MATCH($A2282&amp;"|42",Positions!$A$2:$A$6912,0)),"-")</f>
        <v>C</v>
      </c>
      <c r="H2282" s="3" t="str">
        <f aca="false">F2282&amp;"-"&amp;G2282</f>
        <v>G-C</v>
      </c>
      <c r="I2282" s="4" t="n">
        <f aca="false">(F2282="G")+(G2282="G")</f>
        <v>1</v>
      </c>
      <c r="J2282" s="4" t="n">
        <f aca="false">(F2282="C")+(G2282="C")</f>
        <v>1</v>
      </c>
      <c r="K2282" s="3" t="n">
        <f aca="false">I2282+J2282</f>
        <v>2</v>
      </c>
    </row>
    <row r="2283" customFormat="false" ht="15" hidden="false" customHeight="false" outlineLevel="0" collapsed="false">
      <c r="A2283" s="4" t="s">
        <v>118</v>
      </c>
      <c r="B2283" s="4" t="s">
        <v>446</v>
      </c>
      <c r="C2283" s="4" t="s">
        <v>256</v>
      </c>
      <c r="D2283" s="4" t="n">
        <f aca="false">IFERROR(INDEX(Positions!$D$2:$D$6912,MATCH($A2283&amp;"|29",Positions!$A$2:$A$6912,0)),"-")</f>
        <v>29</v>
      </c>
      <c r="E2283" s="4" t="n">
        <f aca="false">IFERROR(INDEX(Positions!$D$2:$D$6912,MATCH($A2283&amp;"|41",Positions!$A$2:$A$6912,0)),"-")</f>
        <v>41</v>
      </c>
      <c r="F2283" s="4" t="str">
        <f aca="false">IFERROR(INDEX(Positions!$E$2:$E$6912,MATCH($A2283&amp;"|29",Positions!$A$2:$A$6912,0)),"-")</f>
        <v>C</v>
      </c>
      <c r="G2283" s="4" t="str">
        <f aca="false">IFERROR(INDEX(Positions!$E$2:$E$6912,MATCH($A2283&amp;"|41",Positions!$A$2:$A$6912,0)),"-")</f>
        <v>G</v>
      </c>
      <c r="H2283" s="3" t="str">
        <f aca="false">F2283&amp;"-"&amp;G2283</f>
        <v>C-G</v>
      </c>
      <c r="I2283" s="4" t="n">
        <f aca="false">(F2283="G")+(G2283="G")</f>
        <v>1</v>
      </c>
      <c r="J2283" s="4" t="n">
        <f aca="false">(F2283="C")+(G2283="C")</f>
        <v>1</v>
      </c>
      <c r="K2283" s="3" t="n">
        <f aca="false">I2283+J2283</f>
        <v>2</v>
      </c>
    </row>
    <row r="2284" customFormat="false" ht="15" hidden="false" customHeight="false" outlineLevel="0" collapsed="false">
      <c r="A2284" s="4" t="s">
        <v>118</v>
      </c>
      <c r="B2284" s="4" t="s">
        <v>446</v>
      </c>
      <c r="C2284" s="4" t="s">
        <v>526</v>
      </c>
      <c r="D2284" s="4" t="n">
        <f aca="false">IFERROR(INDEX(Positions!$D$2:$D$6912,MATCH($A2284&amp;"|30",Positions!$A$2:$A$6912,0)),"-")</f>
        <v>30</v>
      </c>
      <c r="E2284" s="4" t="n">
        <f aca="false">IFERROR(INDEX(Positions!$D$2:$D$6912,MATCH($A2284&amp;"|40",Positions!$A$2:$A$6912,0)),"-")</f>
        <v>40</v>
      </c>
      <c r="F2284" s="4" t="str">
        <f aca="false">IFERROR(INDEX(Positions!$E$2:$E$6912,MATCH($A2284&amp;"|30",Positions!$A$2:$A$6912,0)),"-")</f>
        <v>G</v>
      </c>
      <c r="G2284" s="4" t="str">
        <f aca="false">IFERROR(INDEX(Positions!$E$2:$E$6912,MATCH($A2284&amp;"|40",Positions!$A$2:$A$6912,0)),"-")</f>
        <v>C</v>
      </c>
      <c r="H2284" s="3" t="str">
        <f aca="false">F2284&amp;"-"&amp;G2284</f>
        <v>G-C</v>
      </c>
      <c r="I2284" s="4" t="n">
        <f aca="false">(F2284="G")+(G2284="G")</f>
        <v>1</v>
      </c>
      <c r="J2284" s="4" t="n">
        <f aca="false">(F2284="C")+(G2284="C")</f>
        <v>1</v>
      </c>
      <c r="K2284" s="3" t="n">
        <f aca="false">I2284+J2284</f>
        <v>2</v>
      </c>
    </row>
    <row r="2285" customFormat="false" ht="15" hidden="false" customHeight="false" outlineLevel="0" collapsed="false">
      <c r="A2285" s="4" t="s">
        <v>118</v>
      </c>
      <c r="B2285" s="4" t="s">
        <v>446</v>
      </c>
      <c r="C2285" s="4" t="s">
        <v>273</v>
      </c>
      <c r="D2285" s="4" t="n">
        <f aca="false">IFERROR(INDEX(Positions!$D$2:$D$6912,MATCH($A2285&amp;"|31",Positions!$A$2:$A$6912,0)),"-")</f>
        <v>31</v>
      </c>
      <c r="E2285" s="4" t="n">
        <f aca="false">IFERROR(INDEX(Positions!$D$2:$D$6912,MATCH($A2285&amp;"|39",Positions!$A$2:$A$6912,0)),"-")</f>
        <v>39</v>
      </c>
      <c r="F2285" s="4" t="str">
        <f aca="false">IFERROR(INDEX(Positions!$E$2:$E$6912,MATCH($A2285&amp;"|31",Positions!$A$2:$A$6912,0)),"-")</f>
        <v>A</v>
      </c>
      <c r="G2285" s="4" t="str">
        <f aca="false">IFERROR(INDEX(Positions!$E$2:$E$6912,MATCH($A2285&amp;"|39",Positions!$A$2:$A$6912,0)),"-")</f>
        <v>U</v>
      </c>
      <c r="H2285" s="3" t="str">
        <f aca="false">F2285&amp;"-"&amp;G2285</f>
        <v>A-U</v>
      </c>
      <c r="I2285" s="4" t="n">
        <f aca="false">(F2285="G")+(G2285="G")</f>
        <v>0</v>
      </c>
      <c r="J2285" s="4" t="n">
        <f aca="false">(F2285="C")+(G2285="C")</f>
        <v>0</v>
      </c>
      <c r="K2285" s="3" t="n">
        <f aca="false">I2285+J2285</f>
        <v>0</v>
      </c>
    </row>
    <row r="2286" customFormat="false" ht="15" hidden="false" customHeight="false" outlineLevel="0" collapsed="false">
      <c r="A2286" s="4" t="s">
        <v>118</v>
      </c>
      <c r="B2286" s="4" t="s">
        <v>471</v>
      </c>
      <c r="C2286" s="4" t="s">
        <v>367</v>
      </c>
      <c r="D2286" s="4" t="n">
        <f aca="false">IFERROR(INDEX(Positions!$D$2:$D$6912,MATCH($A2286&amp;"|49",Positions!$A$2:$A$6912,0)),"-")</f>
        <v>49</v>
      </c>
      <c r="E2286" s="4" t="n">
        <f aca="false">IFERROR(INDEX(Positions!$D$2:$D$6912,MATCH($A2286&amp;"|65",Positions!$A$2:$A$6912,0)),"-")</f>
        <v>65</v>
      </c>
      <c r="F2286" s="4" t="str">
        <f aca="false">IFERROR(INDEX(Positions!$E$2:$E$6912,MATCH($A2286&amp;"|49",Positions!$A$2:$A$6912,0)),"-")</f>
        <v>G</v>
      </c>
      <c r="G2286" s="4" t="str">
        <f aca="false">IFERROR(INDEX(Positions!$E$2:$E$6912,MATCH($A2286&amp;"|65",Positions!$A$2:$A$6912,0)),"-")</f>
        <v>U</v>
      </c>
      <c r="H2286" s="3" t="str">
        <f aca="false">F2286&amp;"-"&amp;G2286</f>
        <v>G-U</v>
      </c>
      <c r="I2286" s="4" t="n">
        <f aca="false">(F2286="G")+(G2286="G")</f>
        <v>1</v>
      </c>
      <c r="J2286" s="4" t="n">
        <f aca="false">(F2286="C")+(G2286="C")</f>
        <v>0</v>
      </c>
      <c r="K2286" s="3" t="n">
        <f aca="false">I2286+J2286</f>
        <v>1</v>
      </c>
    </row>
    <row r="2287" customFormat="false" ht="15" hidden="false" customHeight="false" outlineLevel="0" collapsed="false">
      <c r="A2287" s="4" t="s">
        <v>118</v>
      </c>
      <c r="B2287" s="4" t="s">
        <v>471</v>
      </c>
      <c r="C2287" s="4" t="s">
        <v>233</v>
      </c>
      <c r="D2287" s="4" t="n">
        <f aca="false">IFERROR(INDEX(Positions!$D$2:$D$6912,MATCH($A2287&amp;"|50",Positions!$A$2:$A$6912,0)),"-")</f>
        <v>50</v>
      </c>
      <c r="E2287" s="4" t="n">
        <f aca="false">IFERROR(INDEX(Positions!$D$2:$D$6912,MATCH($A2287&amp;"|64",Positions!$A$2:$A$6912,0)),"-")</f>
        <v>64</v>
      </c>
      <c r="F2287" s="4" t="str">
        <f aca="false">IFERROR(INDEX(Positions!$E$2:$E$6912,MATCH($A2287&amp;"|50",Positions!$A$2:$A$6912,0)),"-")</f>
        <v>G</v>
      </c>
      <c r="G2287" s="4" t="str">
        <f aca="false">IFERROR(INDEX(Positions!$E$2:$E$6912,MATCH($A2287&amp;"|64",Positions!$A$2:$A$6912,0)),"-")</f>
        <v>C</v>
      </c>
      <c r="H2287" s="3" t="str">
        <f aca="false">F2287&amp;"-"&amp;G2287</f>
        <v>G-C</v>
      </c>
      <c r="I2287" s="4" t="n">
        <f aca="false">(F2287="G")+(G2287="G")</f>
        <v>1</v>
      </c>
      <c r="J2287" s="4" t="n">
        <f aca="false">(F2287="C")+(G2287="C")</f>
        <v>1</v>
      </c>
      <c r="K2287" s="3" t="n">
        <f aca="false">I2287+J2287</f>
        <v>2</v>
      </c>
    </row>
    <row r="2288" customFormat="false" ht="15" hidden="false" customHeight="false" outlineLevel="0" collapsed="false">
      <c r="A2288" s="4" t="s">
        <v>118</v>
      </c>
      <c r="B2288" s="4" t="s">
        <v>471</v>
      </c>
      <c r="C2288" s="4" t="s">
        <v>527</v>
      </c>
      <c r="D2288" s="4" t="n">
        <f aca="false">IFERROR(INDEX(Positions!$D$2:$D$6912,MATCH($A2288&amp;"|51",Positions!$A$2:$A$6912,0)),"-")</f>
        <v>51</v>
      </c>
      <c r="E2288" s="4" t="n">
        <f aca="false">IFERROR(INDEX(Positions!$D$2:$D$6912,MATCH($A2288&amp;"|63",Positions!$A$2:$A$6912,0)),"-")</f>
        <v>63</v>
      </c>
      <c r="F2288" s="4" t="str">
        <f aca="false">IFERROR(INDEX(Positions!$E$2:$E$6912,MATCH($A2288&amp;"|51",Positions!$A$2:$A$6912,0)),"-")</f>
        <v>C</v>
      </c>
      <c r="G2288" s="4" t="str">
        <f aca="false">IFERROR(INDEX(Positions!$E$2:$E$6912,MATCH($A2288&amp;"|63",Positions!$A$2:$A$6912,0)),"-")</f>
        <v>G</v>
      </c>
      <c r="H2288" s="3" t="str">
        <f aca="false">F2288&amp;"-"&amp;G2288</f>
        <v>C-G</v>
      </c>
      <c r="I2288" s="4" t="n">
        <f aca="false">(F2288="G")+(G2288="G")</f>
        <v>1</v>
      </c>
      <c r="J2288" s="4" t="n">
        <f aca="false">(F2288="C")+(G2288="C")</f>
        <v>1</v>
      </c>
      <c r="K2288" s="3" t="n">
        <f aca="false">I2288+J2288</f>
        <v>2</v>
      </c>
    </row>
    <row r="2289" customFormat="false" ht="15" hidden="false" customHeight="false" outlineLevel="0" collapsed="false">
      <c r="A2289" s="4" t="s">
        <v>118</v>
      </c>
      <c r="B2289" s="4" t="s">
        <v>471</v>
      </c>
      <c r="C2289" s="4" t="s">
        <v>528</v>
      </c>
      <c r="D2289" s="4" t="n">
        <f aca="false">IFERROR(INDEX(Positions!$D$2:$D$6912,MATCH($A2289&amp;"|52",Positions!$A$2:$A$6912,0)),"-")</f>
        <v>52</v>
      </c>
      <c r="E2289" s="4" t="n">
        <f aca="false">IFERROR(INDEX(Positions!$D$2:$D$6912,MATCH($A2289&amp;"|62",Positions!$A$2:$A$6912,0)),"-")</f>
        <v>62</v>
      </c>
      <c r="F2289" s="4" t="str">
        <f aca="false">IFERROR(INDEX(Positions!$E$2:$E$6912,MATCH($A2289&amp;"|52",Positions!$A$2:$A$6912,0)),"-")</f>
        <v>G</v>
      </c>
      <c r="G2289" s="4" t="str">
        <f aca="false">IFERROR(INDEX(Positions!$E$2:$E$6912,MATCH($A2289&amp;"|62",Positions!$A$2:$A$6912,0)),"-")</f>
        <v>C</v>
      </c>
      <c r="H2289" s="3" t="str">
        <f aca="false">F2289&amp;"-"&amp;G2289</f>
        <v>G-C</v>
      </c>
      <c r="I2289" s="4" t="n">
        <f aca="false">(F2289="G")+(G2289="G")</f>
        <v>1</v>
      </c>
      <c r="J2289" s="4" t="n">
        <f aca="false">(F2289="C")+(G2289="C")</f>
        <v>1</v>
      </c>
      <c r="K2289" s="3" t="n">
        <f aca="false">I2289+J2289</f>
        <v>2</v>
      </c>
    </row>
    <row r="2290" customFormat="false" ht="15" hidden="false" customHeight="false" outlineLevel="0" collapsed="false">
      <c r="A2290" s="4" t="s">
        <v>118</v>
      </c>
      <c r="B2290" s="4" t="s">
        <v>471</v>
      </c>
      <c r="C2290" s="4" t="s">
        <v>529</v>
      </c>
      <c r="D2290" s="4" t="n">
        <f aca="false">IFERROR(INDEX(Positions!$D$2:$D$6912,MATCH($A2290&amp;"|53",Positions!$A$2:$A$6912,0)),"-")</f>
        <v>53</v>
      </c>
      <c r="E2290" s="4" t="n">
        <f aca="false">IFERROR(INDEX(Positions!$D$2:$D$6912,MATCH($A2290&amp;"|61",Positions!$A$2:$A$6912,0)),"-")</f>
        <v>61</v>
      </c>
      <c r="F2290" s="4" t="str">
        <f aca="false">IFERROR(INDEX(Positions!$E$2:$E$6912,MATCH($A2290&amp;"|53",Positions!$A$2:$A$6912,0)),"-")</f>
        <v>G</v>
      </c>
      <c r="G2290" s="4" t="str">
        <f aca="false">IFERROR(INDEX(Positions!$E$2:$E$6912,MATCH($A2290&amp;"|61",Positions!$A$2:$A$6912,0)),"-")</f>
        <v>C</v>
      </c>
      <c r="H2290" s="3" t="str">
        <f aca="false">F2290&amp;"-"&amp;G2290</f>
        <v>G-C</v>
      </c>
      <c r="I2290" s="4" t="n">
        <f aca="false">(F2290="G")+(G2290="G")</f>
        <v>1</v>
      </c>
      <c r="J2290" s="4" t="n">
        <f aca="false">(F2290="C")+(G2290="C")</f>
        <v>1</v>
      </c>
      <c r="K2290" s="3" t="n">
        <f aca="false">I2290+J2290</f>
        <v>2</v>
      </c>
    </row>
    <row r="2291" customFormat="false" ht="15" hidden="false" customHeight="false" outlineLevel="0" collapsed="false">
      <c r="A2291" s="24" t="s">
        <v>118</v>
      </c>
      <c r="B2291" s="24" t="s">
        <v>530</v>
      </c>
      <c r="C2291" s="24" t="s">
        <v>531</v>
      </c>
      <c r="D2291" s="24" t="n">
        <f aca="false">IFERROR(INDEX(Positions!$D$2:$D$6912,MATCH($A2291&amp;"|8",Positions!$A$2:$A$6912,0)),"-")</f>
        <v>8</v>
      </c>
      <c r="E2291" s="24" t="n">
        <f aca="false">IFERROR(INDEX(Positions!$D$2:$D$6912,MATCH($A2291&amp;"|14",Positions!$A$2:$A$6912,0)),"-")</f>
        <v>14</v>
      </c>
      <c r="F2291" s="24" t="str">
        <f aca="false">IFERROR(INDEX(Positions!$E$2:$E$6912,MATCH($A2291&amp;"|8",Positions!$A$2:$A$6912,0)),"-")</f>
        <v>U</v>
      </c>
      <c r="G2291" s="24" t="str">
        <f aca="false">IFERROR(INDEX(Positions!$E$2:$E$6912,MATCH($A2291&amp;"|14",Positions!$A$2:$A$6912,0)),"-")</f>
        <v>A</v>
      </c>
      <c r="H2291" s="25" t="str">
        <f aca="false">F2291&amp;"-"&amp;G2291</f>
        <v>U-A</v>
      </c>
      <c r="I2291" s="24" t="n">
        <f aca="false">(F2291="G")+(G2291="G")</f>
        <v>0</v>
      </c>
      <c r="J2291" s="24" t="n">
        <f aca="false">(F2291="C")+(G2291="C")</f>
        <v>0</v>
      </c>
      <c r="K2291" s="25" t="n">
        <f aca="false">I2291+J2291</f>
        <v>0</v>
      </c>
    </row>
    <row r="2292" customFormat="false" ht="15" hidden="false" customHeight="false" outlineLevel="0" collapsed="false">
      <c r="A2292" s="24" t="s">
        <v>118</v>
      </c>
      <c r="B2292" s="24" t="s">
        <v>530</v>
      </c>
      <c r="C2292" s="24" t="s">
        <v>532</v>
      </c>
      <c r="D2292" s="24" t="n">
        <f aca="false">IFERROR(INDEX(Positions!$D$2:$D$6912,MATCH($A2292&amp;"|15",Positions!$A$2:$A$6912,0)),"-")</f>
        <v>15</v>
      </c>
      <c r="E2292" s="24" t="n">
        <f aca="false">IFERROR(INDEX(Positions!$D$2:$D$6912,MATCH($A2292&amp;"|48",Positions!$A$2:$A$6912,0)),"-")</f>
        <v>48</v>
      </c>
      <c r="F2292" s="24" t="str">
        <f aca="false">IFERROR(INDEX(Positions!$E$2:$E$6912,MATCH($A2292&amp;"|15",Positions!$A$2:$A$6912,0)),"-")</f>
        <v>G</v>
      </c>
      <c r="G2292" s="24" t="str">
        <f aca="false">IFERROR(INDEX(Positions!$E$2:$E$6912,MATCH($A2292&amp;"|48",Positions!$A$2:$A$6912,0)),"-")</f>
        <v>C</v>
      </c>
      <c r="H2292" s="25" t="str">
        <f aca="false">F2292&amp;"-"&amp;G2292</f>
        <v>G-C</v>
      </c>
      <c r="I2292" s="24" t="n">
        <f aca="false">(F2292="G")+(G2292="G")</f>
        <v>1</v>
      </c>
      <c r="J2292" s="24" t="n">
        <f aca="false">(F2292="C")+(G2292="C")</f>
        <v>1</v>
      </c>
      <c r="K2292" s="25" t="n">
        <f aca="false">I2292+J2292</f>
        <v>2</v>
      </c>
    </row>
    <row r="2293" customFormat="false" ht="15" hidden="false" customHeight="false" outlineLevel="0" collapsed="false">
      <c r="A2293" s="24" t="s">
        <v>118</v>
      </c>
      <c r="B2293" s="24" t="s">
        <v>530</v>
      </c>
      <c r="C2293" s="24" t="s">
        <v>533</v>
      </c>
      <c r="D2293" s="24" t="n">
        <f aca="false">IFERROR(INDEX(Positions!$D$2:$D$6912,MATCH($A2293&amp;"|18",Positions!$A$2:$A$6912,0)),"-")</f>
        <v>18</v>
      </c>
      <c r="E2293" s="24" t="n">
        <f aca="false">IFERROR(INDEX(Positions!$D$2:$D$6912,MATCH($A2293&amp;"|55",Positions!$A$2:$A$6912,0)),"-")</f>
        <v>55</v>
      </c>
      <c r="F2293" s="24" t="str">
        <f aca="false">IFERROR(INDEX(Positions!$E$2:$E$6912,MATCH($A2293&amp;"|18",Positions!$A$2:$A$6912,0)),"-")</f>
        <v>G</v>
      </c>
      <c r="G2293" s="24" t="str">
        <f aca="false">IFERROR(INDEX(Positions!$E$2:$E$6912,MATCH($A2293&amp;"|55",Positions!$A$2:$A$6912,0)),"-")</f>
        <v>U</v>
      </c>
      <c r="H2293" s="25" t="str">
        <f aca="false">F2293&amp;"-"&amp;G2293</f>
        <v>G-U</v>
      </c>
      <c r="I2293" s="24" t="n">
        <f aca="false">(F2293="G")+(G2293="G")</f>
        <v>1</v>
      </c>
      <c r="J2293" s="24" t="n">
        <f aca="false">(F2293="C")+(G2293="C")</f>
        <v>0</v>
      </c>
      <c r="K2293" s="25" t="n">
        <f aca="false">I2293+J2293</f>
        <v>1</v>
      </c>
    </row>
    <row r="2294" customFormat="false" ht="15" hidden="false" customHeight="false" outlineLevel="0" collapsed="false">
      <c r="A2294" s="24" t="s">
        <v>118</v>
      </c>
      <c r="B2294" s="24" t="s">
        <v>530</v>
      </c>
      <c r="C2294" s="24" t="s">
        <v>534</v>
      </c>
      <c r="D2294" s="24" t="n">
        <f aca="false">IFERROR(INDEX(Positions!$D$2:$D$6912,MATCH($A2294&amp;"|19",Positions!$A$2:$A$6912,0)),"-")</f>
        <v>19</v>
      </c>
      <c r="E2294" s="24" t="n">
        <f aca="false">IFERROR(INDEX(Positions!$D$2:$D$6912,MATCH($A2294&amp;"|56",Positions!$A$2:$A$6912,0)),"-")</f>
        <v>56</v>
      </c>
      <c r="F2294" s="24" t="str">
        <f aca="false">IFERROR(INDEX(Positions!$E$2:$E$6912,MATCH($A2294&amp;"|19",Positions!$A$2:$A$6912,0)),"-")</f>
        <v>G</v>
      </c>
      <c r="G2294" s="24" t="str">
        <f aca="false">IFERROR(INDEX(Positions!$E$2:$E$6912,MATCH($A2294&amp;"|56",Positions!$A$2:$A$6912,0)),"-")</f>
        <v>C</v>
      </c>
      <c r="H2294" s="25" t="str">
        <f aca="false">F2294&amp;"-"&amp;G2294</f>
        <v>G-C</v>
      </c>
      <c r="I2294" s="24" t="n">
        <f aca="false">(F2294="G")+(G2294="G")</f>
        <v>1</v>
      </c>
      <c r="J2294" s="24" t="n">
        <f aca="false">(F2294="C")+(G2294="C")</f>
        <v>1</v>
      </c>
      <c r="K2294" s="25" t="n">
        <f aca="false">I2294+J2294</f>
        <v>2</v>
      </c>
    </row>
    <row r="2295" customFormat="false" ht="15" hidden="false" customHeight="false" outlineLevel="0" collapsed="false">
      <c r="A2295" s="24" t="s">
        <v>118</v>
      </c>
      <c r="B2295" s="24" t="s">
        <v>530</v>
      </c>
      <c r="C2295" s="24" t="s">
        <v>535</v>
      </c>
      <c r="D2295" s="24" t="n">
        <f aca="false">IFERROR(INDEX(Positions!$D$2:$D$6912,MATCH($A2295&amp;"|26",Positions!$A$2:$A$6912,0)),"-")</f>
        <v>26</v>
      </c>
      <c r="E2295" s="24" t="n">
        <f aca="false">IFERROR(INDEX(Positions!$D$2:$D$6912,MATCH($A2295&amp;"|44",Positions!$A$2:$A$6912,0)),"-")</f>
        <v>44</v>
      </c>
      <c r="F2295" s="24" t="str">
        <f aca="false">IFERROR(INDEX(Positions!$E$2:$E$6912,MATCH($A2295&amp;"|26",Positions!$A$2:$A$6912,0)),"-")</f>
        <v>A</v>
      </c>
      <c r="G2295" s="24" t="str">
        <f aca="false">IFERROR(INDEX(Positions!$E$2:$E$6912,MATCH($A2295&amp;"|44",Positions!$A$2:$A$6912,0)),"-")</f>
        <v>G</v>
      </c>
      <c r="H2295" s="25" t="str">
        <f aca="false">F2295&amp;"-"&amp;G2295</f>
        <v>A-G</v>
      </c>
      <c r="I2295" s="24" t="n">
        <f aca="false">(F2295="G")+(G2295="G")</f>
        <v>1</v>
      </c>
      <c r="J2295" s="24" t="n">
        <f aca="false">(F2295="C")+(G2295="C")</f>
        <v>0</v>
      </c>
      <c r="K2295" s="25" t="n">
        <f aca="false">I2295+J2295</f>
        <v>1</v>
      </c>
    </row>
    <row r="2296" customFormat="false" ht="15" hidden="false" customHeight="false" outlineLevel="0" collapsed="false">
      <c r="A2296" s="24" t="s">
        <v>118</v>
      </c>
      <c r="B2296" s="24" t="s">
        <v>530</v>
      </c>
      <c r="C2296" s="24" t="s">
        <v>536</v>
      </c>
      <c r="D2296" s="24" t="n">
        <f aca="false">IFERROR(INDEX(Positions!$D$2:$D$6912,MATCH($A2296&amp;"|32",Positions!$A$2:$A$6912,0)),"-")</f>
        <v>32</v>
      </c>
      <c r="E2296" s="24" t="n">
        <f aca="false">IFERROR(INDEX(Positions!$D$2:$D$6912,MATCH($A2296&amp;"|38",Positions!$A$2:$A$6912,0)),"-")</f>
        <v>38</v>
      </c>
      <c r="F2296" s="24" t="str">
        <f aca="false">IFERROR(INDEX(Positions!$E$2:$E$6912,MATCH($A2296&amp;"|32",Positions!$A$2:$A$6912,0)),"-")</f>
        <v>C</v>
      </c>
      <c r="G2296" s="24" t="str">
        <f aca="false">IFERROR(INDEX(Positions!$E$2:$E$6912,MATCH($A2296&amp;"|38",Positions!$A$2:$A$6912,0)),"-")</f>
        <v>A</v>
      </c>
      <c r="H2296" s="25" t="str">
        <f aca="false">F2296&amp;"-"&amp;G2296</f>
        <v>C-A</v>
      </c>
      <c r="I2296" s="24" t="n">
        <f aca="false">(F2296="G")+(G2296="G")</f>
        <v>0</v>
      </c>
      <c r="J2296" s="24" t="n">
        <f aca="false">(F2296="C")+(G2296="C")</f>
        <v>1</v>
      </c>
      <c r="K2296" s="25" t="n">
        <f aca="false">I2296+J2296</f>
        <v>1</v>
      </c>
    </row>
    <row r="2297" customFormat="false" ht="15" hidden="false" customHeight="false" outlineLevel="0" collapsed="false">
      <c r="A2297" s="24" t="s">
        <v>118</v>
      </c>
      <c r="B2297" s="24" t="s">
        <v>530</v>
      </c>
      <c r="C2297" s="24" t="s">
        <v>537</v>
      </c>
      <c r="D2297" s="24" t="n">
        <f aca="false">IFERROR(INDEX(Positions!$D$2:$D$6912,MATCH($A2297&amp;"|54",Positions!$A$2:$A$6912,0)),"-")</f>
        <v>54</v>
      </c>
      <c r="E2297" s="24" t="n">
        <f aca="false">IFERROR(INDEX(Positions!$D$2:$D$6912,MATCH($A2297&amp;"|58",Positions!$A$2:$A$6912,0)),"-")</f>
        <v>58</v>
      </c>
      <c r="F2297" s="24" t="str">
        <f aca="false">IFERROR(INDEX(Positions!$E$2:$E$6912,MATCH($A2297&amp;"|54",Positions!$A$2:$A$6912,0)),"-")</f>
        <v>U</v>
      </c>
      <c r="G2297" s="24" t="str">
        <f aca="false">IFERROR(INDEX(Positions!$E$2:$E$6912,MATCH($A2297&amp;"|58",Positions!$A$2:$A$6912,0)),"-")</f>
        <v>A</v>
      </c>
      <c r="H2297" s="25" t="str">
        <f aca="false">F2297&amp;"-"&amp;G2297</f>
        <v>U-A</v>
      </c>
      <c r="I2297" s="24" t="n">
        <f aca="false">(F2297="G")+(G2297="G")</f>
        <v>0</v>
      </c>
      <c r="J2297" s="24" t="n">
        <f aca="false">(F2297="C")+(G2297="C")</f>
        <v>0</v>
      </c>
      <c r="K2297" s="25" t="n">
        <f aca="false">I2297+J2297</f>
        <v>0</v>
      </c>
    </row>
    <row r="2298" customFormat="false" ht="15" hidden="false" customHeight="false" outlineLevel="0" collapsed="false">
      <c r="A2298" s="4" t="s">
        <v>119</v>
      </c>
      <c r="B2298" s="4" t="s">
        <v>412</v>
      </c>
      <c r="C2298" s="4" t="s">
        <v>517</v>
      </c>
      <c r="D2298" s="4" t="n">
        <f aca="false">IFERROR(INDEX(Positions!$D$2:$D$6912,MATCH($A2298&amp;"|1",Positions!$A$2:$A$6912,0)),"-")</f>
        <v>1</v>
      </c>
      <c r="E2298" s="4" t="n">
        <f aca="false">IFERROR(INDEX(Positions!$D$2:$D$6912,MATCH($A2298&amp;"|72",Positions!$A$2:$A$6912,0)),"-")</f>
        <v>72</v>
      </c>
      <c r="F2298" s="4" t="str">
        <f aca="false">IFERROR(INDEX(Positions!$E$2:$E$6912,MATCH($A2298&amp;"|1",Positions!$A$2:$A$6912,0)),"-")</f>
        <v>G</v>
      </c>
      <c r="G2298" s="4" t="str">
        <f aca="false">IFERROR(INDEX(Positions!$E$2:$E$6912,MATCH($A2298&amp;"|72",Positions!$A$2:$A$6912,0)),"-")</f>
        <v>C</v>
      </c>
      <c r="H2298" s="3" t="str">
        <f aca="false">F2298&amp;"-"&amp;G2298</f>
        <v>G-C</v>
      </c>
      <c r="I2298" s="4" t="n">
        <f aca="false">(F2298="G")+(G2298="G")</f>
        <v>1</v>
      </c>
      <c r="J2298" s="4" t="n">
        <f aca="false">(F2298="C")+(G2298="C")</f>
        <v>1</v>
      </c>
      <c r="K2298" s="3" t="n">
        <f aca="false">I2298+J2298</f>
        <v>2</v>
      </c>
    </row>
    <row r="2299" customFormat="false" ht="15" hidden="false" customHeight="false" outlineLevel="0" collapsed="false">
      <c r="A2299" s="4" t="s">
        <v>119</v>
      </c>
      <c r="B2299" s="4" t="s">
        <v>412</v>
      </c>
      <c r="C2299" s="4" t="s">
        <v>518</v>
      </c>
      <c r="D2299" s="4" t="n">
        <f aca="false">IFERROR(INDEX(Positions!$D$2:$D$6912,MATCH($A2299&amp;"|2",Positions!$A$2:$A$6912,0)),"-")</f>
        <v>2</v>
      </c>
      <c r="E2299" s="4" t="n">
        <f aca="false">IFERROR(INDEX(Positions!$D$2:$D$6912,MATCH($A2299&amp;"|71",Positions!$A$2:$A$6912,0)),"-")</f>
        <v>71</v>
      </c>
      <c r="F2299" s="4" t="str">
        <f aca="false">IFERROR(INDEX(Positions!$E$2:$E$6912,MATCH($A2299&amp;"|2",Positions!$A$2:$A$6912,0)),"-")</f>
        <v>G</v>
      </c>
      <c r="G2299" s="4" t="str">
        <f aca="false">IFERROR(INDEX(Positions!$E$2:$E$6912,MATCH($A2299&amp;"|71",Positions!$A$2:$A$6912,0)),"-")</f>
        <v>C</v>
      </c>
      <c r="H2299" s="3" t="str">
        <f aca="false">F2299&amp;"-"&amp;G2299</f>
        <v>G-C</v>
      </c>
      <c r="I2299" s="4" t="n">
        <f aca="false">(F2299="G")+(G2299="G")</f>
        <v>1</v>
      </c>
      <c r="J2299" s="4" t="n">
        <f aca="false">(F2299="C")+(G2299="C")</f>
        <v>1</v>
      </c>
      <c r="K2299" s="3" t="n">
        <f aca="false">I2299+J2299</f>
        <v>2</v>
      </c>
    </row>
    <row r="2300" customFormat="false" ht="15" hidden="false" customHeight="false" outlineLevel="0" collapsed="false">
      <c r="A2300" s="4" t="s">
        <v>119</v>
      </c>
      <c r="B2300" s="4" t="s">
        <v>412</v>
      </c>
      <c r="C2300" s="4" t="s">
        <v>386</v>
      </c>
      <c r="D2300" s="4" t="n">
        <f aca="false">IFERROR(INDEX(Positions!$D$2:$D$6912,MATCH($A2300&amp;"|3",Positions!$A$2:$A$6912,0)),"-")</f>
        <v>3</v>
      </c>
      <c r="E2300" s="4" t="n">
        <f aca="false">IFERROR(INDEX(Positions!$D$2:$D$6912,MATCH($A2300&amp;"|70",Positions!$A$2:$A$6912,0)),"-")</f>
        <v>70</v>
      </c>
      <c r="F2300" s="4" t="str">
        <f aca="false">IFERROR(INDEX(Positions!$E$2:$E$6912,MATCH($A2300&amp;"|3",Positions!$A$2:$A$6912,0)),"-")</f>
        <v>G</v>
      </c>
      <c r="G2300" s="4" t="str">
        <f aca="false">IFERROR(INDEX(Positions!$E$2:$E$6912,MATCH($A2300&amp;"|70",Positions!$A$2:$A$6912,0)),"-")</f>
        <v>U</v>
      </c>
      <c r="H2300" s="3" t="str">
        <f aca="false">F2300&amp;"-"&amp;G2300</f>
        <v>G-U</v>
      </c>
      <c r="I2300" s="4" t="n">
        <f aca="false">(F2300="G")+(G2300="G")</f>
        <v>1</v>
      </c>
      <c r="J2300" s="4" t="n">
        <f aca="false">(F2300="C")+(G2300="C")</f>
        <v>0</v>
      </c>
      <c r="K2300" s="3" t="n">
        <f aca="false">I2300+J2300</f>
        <v>1</v>
      </c>
    </row>
    <row r="2301" customFormat="false" ht="15" hidden="false" customHeight="false" outlineLevel="0" collapsed="false">
      <c r="A2301" s="4" t="s">
        <v>119</v>
      </c>
      <c r="B2301" s="4" t="s">
        <v>412</v>
      </c>
      <c r="C2301" s="4" t="s">
        <v>519</v>
      </c>
      <c r="D2301" s="4" t="n">
        <f aca="false">IFERROR(INDEX(Positions!$D$2:$D$6912,MATCH($A2301&amp;"|4",Positions!$A$2:$A$6912,0)),"-")</f>
        <v>4</v>
      </c>
      <c r="E2301" s="4" t="n">
        <f aca="false">IFERROR(INDEX(Positions!$D$2:$D$6912,MATCH($A2301&amp;"|69",Positions!$A$2:$A$6912,0)),"-")</f>
        <v>69</v>
      </c>
      <c r="F2301" s="4" t="str">
        <f aca="false">IFERROR(INDEX(Positions!$E$2:$E$6912,MATCH($A2301&amp;"|4",Positions!$A$2:$A$6912,0)),"-")</f>
        <v>G</v>
      </c>
      <c r="G2301" s="4" t="str">
        <f aca="false">IFERROR(INDEX(Positions!$E$2:$E$6912,MATCH($A2301&amp;"|69",Positions!$A$2:$A$6912,0)),"-")</f>
        <v>C</v>
      </c>
      <c r="H2301" s="3" t="str">
        <f aca="false">F2301&amp;"-"&amp;G2301</f>
        <v>G-C</v>
      </c>
      <c r="I2301" s="4" t="n">
        <f aca="false">(F2301="G")+(G2301="G")</f>
        <v>1</v>
      </c>
      <c r="J2301" s="4" t="n">
        <f aca="false">(F2301="C")+(G2301="C")</f>
        <v>1</v>
      </c>
      <c r="K2301" s="3" t="n">
        <f aca="false">I2301+J2301</f>
        <v>2</v>
      </c>
    </row>
    <row r="2302" customFormat="false" ht="15" hidden="false" customHeight="false" outlineLevel="0" collapsed="false">
      <c r="A2302" s="4" t="s">
        <v>119</v>
      </c>
      <c r="B2302" s="4" t="s">
        <v>412</v>
      </c>
      <c r="C2302" s="4" t="s">
        <v>283</v>
      </c>
      <c r="D2302" s="4" t="n">
        <f aca="false">IFERROR(INDEX(Positions!$D$2:$D$6912,MATCH($A2302&amp;"|5",Positions!$A$2:$A$6912,0)),"-")</f>
        <v>5</v>
      </c>
      <c r="E2302" s="4" t="n">
        <f aca="false">IFERROR(INDEX(Positions!$D$2:$D$6912,MATCH($A2302&amp;"|68",Positions!$A$2:$A$6912,0)),"-")</f>
        <v>68</v>
      </c>
      <c r="F2302" s="4" t="str">
        <f aca="false">IFERROR(INDEX(Positions!$E$2:$E$6912,MATCH($A2302&amp;"|5",Positions!$A$2:$A$6912,0)),"-")</f>
        <v>G</v>
      </c>
      <c r="G2302" s="4" t="str">
        <f aca="false">IFERROR(INDEX(Positions!$E$2:$E$6912,MATCH($A2302&amp;"|68",Positions!$A$2:$A$6912,0)),"-")</f>
        <v>C</v>
      </c>
      <c r="H2302" s="3" t="str">
        <f aca="false">F2302&amp;"-"&amp;G2302</f>
        <v>G-C</v>
      </c>
      <c r="I2302" s="4" t="n">
        <f aca="false">(F2302="G")+(G2302="G")</f>
        <v>1</v>
      </c>
      <c r="J2302" s="4" t="n">
        <f aca="false">(F2302="C")+(G2302="C")</f>
        <v>1</v>
      </c>
      <c r="K2302" s="3" t="n">
        <f aca="false">I2302+J2302</f>
        <v>2</v>
      </c>
    </row>
    <row r="2303" customFormat="false" ht="15" hidden="false" customHeight="false" outlineLevel="0" collapsed="false">
      <c r="A2303" s="4" t="s">
        <v>119</v>
      </c>
      <c r="B2303" s="4" t="s">
        <v>412</v>
      </c>
      <c r="C2303" s="4" t="s">
        <v>520</v>
      </c>
      <c r="D2303" s="4" t="n">
        <f aca="false">IFERROR(INDEX(Positions!$D$2:$D$6912,MATCH($A2303&amp;"|6",Positions!$A$2:$A$6912,0)),"-")</f>
        <v>6</v>
      </c>
      <c r="E2303" s="4" t="n">
        <f aca="false">IFERROR(INDEX(Positions!$D$2:$D$6912,MATCH($A2303&amp;"|67",Positions!$A$2:$A$6912,0)),"-")</f>
        <v>67</v>
      </c>
      <c r="F2303" s="4" t="str">
        <f aca="false">IFERROR(INDEX(Positions!$E$2:$E$6912,MATCH($A2303&amp;"|6",Positions!$A$2:$A$6912,0)),"-")</f>
        <v>A</v>
      </c>
      <c r="G2303" s="4" t="str">
        <f aca="false">IFERROR(INDEX(Positions!$E$2:$E$6912,MATCH($A2303&amp;"|67",Positions!$A$2:$A$6912,0)),"-")</f>
        <v>U</v>
      </c>
      <c r="H2303" s="3" t="str">
        <f aca="false">F2303&amp;"-"&amp;G2303</f>
        <v>A-U</v>
      </c>
      <c r="I2303" s="4" t="n">
        <f aca="false">(F2303="G")+(G2303="G")</f>
        <v>0</v>
      </c>
      <c r="J2303" s="4" t="n">
        <f aca="false">(F2303="C")+(G2303="C")</f>
        <v>0</v>
      </c>
      <c r="K2303" s="3" t="n">
        <f aca="false">I2303+J2303</f>
        <v>0</v>
      </c>
    </row>
    <row r="2304" customFormat="false" ht="15" hidden="false" customHeight="false" outlineLevel="0" collapsed="false">
      <c r="A2304" s="4" t="s">
        <v>119</v>
      </c>
      <c r="B2304" s="4" t="s">
        <v>412</v>
      </c>
      <c r="C2304" s="4" t="s">
        <v>521</v>
      </c>
      <c r="D2304" s="4" t="n">
        <f aca="false">IFERROR(INDEX(Positions!$D$2:$D$6912,MATCH($A2304&amp;"|7",Positions!$A$2:$A$6912,0)),"-")</f>
        <v>7</v>
      </c>
      <c r="E2304" s="4" t="n">
        <f aca="false">IFERROR(INDEX(Positions!$D$2:$D$6912,MATCH($A2304&amp;"|66",Positions!$A$2:$A$6912,0)),"-")</f>
        <v>66</v>
      </c>
      <c r="F2304" s="4" t="str">
        <f aca="false">IFERROR(INDEX(Positions!$E$2:$E$6912,MATCH($A2304&amp;"|7",Positions!$A$2:$A$6912,0)),"-")</f>
        <v>U</v>
      </c>
      <c r="G2304" s="4" t="str">
        <f aca="false">IFERROR(INDEX(Positions!$E$2:$E$6912,MATCH($A2304&amp;"|66",Positions!$A$2:$A$6912,0)),"-")</f>
        <v>A</v>
      </c>
      <c r="H2304" s="3" t="str">
        <f aca="false">F2304&amp;"-"&amp;G2304</f>
        <v>U-A</v>
      </c>
      <c r="I2304" s="4" t="n">
        <f aca="false">(F2304="G")+(G2304="G")</f>
        <v>0</v>
      </c>
      <c r="J2304" s="4" t="n">
        <f aca="false">(F2304="C")+(G2304="C")</f>
        <v>0</v>
      </c>
      <c r="K2304" s="3" t="n">
        <f aca="false">I2304+J2304</f>
        <v>0</v>
      </c>
    </row>
    <row r="2305" customFormat="false" ht="15" hidden="false" customHeight="false" outlineLevel="0" collapsed="false">
      <c r="A2305" s="4" t="s">
        <v>119</v>
      </c>
      <c r="B2305" s="4" t="s">
        <v>425</v>
      </c>
      <c r="C2305" s="4" t="s">
        <v>522</v>
      </c>
      <c r="D2305" s="4" t="n">
        <f aca="false">IFERROR(INDEX(Positions!$D$2:$D$6912,MATCH($A2305&amp;"|10",Positions!$A$2:$A$6912,0)),"-")</f>
        <v>10</v>
      </c>
      <c r="E2305" s="4" t="n">
        <f aca="false">IFERROR(INDEX(Positions!$D$2:$D$6912,MATCH($A2305&amp;"|25",Positions!$A$2:$A$6912,0)),"-")</f>
        <v>25</v>
      </c>
      <c r="F2305" s="4" t="str">
        <f aca="false">IFERROR(INDEX(Positions!$E$2:$E$6912,MATCH($A2305&amp;"|10",Positions!$A$2:$A$6912,0)),"-")</f>
        <v>G</v>
      </c>
      <c r="G2305" s="4" t="str">
        <f aca="false">IFERROR(INDEX(Positions!$E$2:$E$6912,MATCH($A2305&amp;"|25",Positions!$A$2:$A$6912,0)),"-")</f>
        <v>C</v>
      </c>
      <c r="H2305" s="3" t="str">
        <f aca="false">F2305&amp;"-"&amp;G2305</f>
        <v>G-C</v>
      </c>
      <c r="I2305" s="4" t="n">
        <f aca="false">(F2305="G")+(G2305="G")</f>
        <v>1</v>
      </c>
      <c r="J2305" s="4" t="n">
        <f aca="false">(F2305="C")+(G2305="C")</f>
        <v>1</v>
      </c>
      <c r="K2305" s="3" t="n">
        <f aca="false">I2305+J2305</f>
        <v>2</v>
      </c>
    </row>
    <row r="2306" customFormat="false" ht="15" hidden="false" customHeight="false" outlineLevel="0" collapsed="false">
      <c r="A2306" s="4" t="s">
        <v>119</v>
      </c>
      <c r="B2306" s="4" t="s">
        <v>425</v>
      </c>
      <c r="C2306" s="4" t="s">
        <v>523</v>
      </c>
      <c r="D2306" s="4" t="n">
        <f aca="false">IFERROR(INDEX(Positions!$D$2:$D$6912,MATCH($A2306&amp;"|11",Positions!$A$2:$A$6912,0)),"-")</f>
        <v>11</v>
      </c>
      <c r="E2306" s="4" t="n">
        <f aca="false">IFERROR(INDEX(Positions!$D$2:$D$6912,MATCH($A2306&amp;"|24",Positions!$A$2:$A$6912,0)),"-")</f>
        <v>24</v>
      </c>
      <c r="F2306" s="4" t="str">
        <f aca="false">IFERROR(INDEX(Positions!$E$2:$E$6912,MATCH($A2306&amp;"|11",Positions!$A$2:$A$6912,0)),"-")</f>
        <v>C</v>
      </c>
      <c r="G2306" s="4" t="str">
        <f aca="false">IFERROR(INDEX(Positions!$E$2:$E$6912,MATCH($A2306&amp;"|24",Positions!$A$2:$A$6912,0)),"-")</f>
        <v>G</v>
      </c>
      <c r="H2306" s="3" t="str">
        <f aca="false">F2306&amp;"-"&amp;G2306</f>
        <v>C-G</v>
      </c>
      <c r="I2306" s="4" t="n">
        <f aca="false">(F2306="G")+(G2306="G")</f>
        <v>1</v>
      </c>
      <c r="J2306" s="4" t="n">
        <f aca="false">(F2306="C")+(G2306="C")</f>
        <v>1</v>
      </c>
      <c r="K2306" s="3" t="n">
        <f aca="false">I2306+J2306</f>
        <v>2</v>
      </c>
    </row>
    <row r="2307" customFormat="false" ht="15" hidden="false" customHeight="false" outlineLevel="0" collapsed="false">
      <c r="A2307" s="4" t="s">
        <v>119</v>
      </c>
      <c r="B2307" s="4" t="s">
        <v>425</v>
      </c>
      <c r="C2307" s="4" t="s">
        <v>250</v>
      </c>
      <c r="D2307" s="4" t="n">
        <f aca="false">IFERROR(INDEX(Positions!$D$2:$D$6912,MATCH($A2307&amp;"|12",Positions!$A$2:$A$6912,0)),"-")</f>
        <v>12</v>
      </c>
      <c r="E2307" s="4" t="n">
        <f aca="false">IFERROR(INDEX(Positions!$D$2:$D$6912,MATCH($A2307&amp;"|23",Positions!$A$2:$A$6912,0)),"-")</f>
        <v>23</v>
      </c>
      <c r="F2307" s="4" t="str">
        <f aca="false">IFERROR(INDEX(Positions!$E$2:$E$6912,MATCH($A2307&amp;"|12",Positions!$A$2:$A$6912,0)),"-")</f>
        <v>U</v>
      </c>
      <c r="G2307" s="4" t="str">
        <f aca="false">IFERROR(INDEX(Positions!$E$2:$E$6912,MATCH($A2307&amp;"|23",Positions!$A$2:$A$6912,0)),"-")</f>
        <v>A</v>
      </c>
      <c r="H2307" s="3" t="str">
        <f aca="false">F2307&amp;"-"&amp;G2307</f>
        <v>U-A</v>
      </c>
      <c r="I2307" s="4" t="n">
        <f aca="false">(F2307="G")+(G2307="G")</f>
        <v>0</v>
      </c>
      <c r="J2307" s="4" t="n">
        <f aca="false">(F2307="C")+(G2307="C")</f>
        <v>0</v>
      </c>
      <c r="K2307" s="3" t="n">
        <f aca="false">I2307+J2307</f>
        <v>0</v>
      </c>
    </row>
    <row r="2308" customFormat="false" ht="15" hidden="false" customHeight="false" outlineLevel="0" collapsed="false">
      <c r="A2308" s="4" t="s">
        <v>119</v>
      </c>
      <c r="B2308" s="4" t="s">
        <v>425</v>
      </c>
      <c r="C2308" s="4" t="s">
        <v>154</v>
      </c>
      <c r="D2308" s="4" t="n">
        <f aca="false">IFERROR(INDEX(Positions!$D$2:$D$6912,MATCH($A2308&amp;"|13",Positions!$A$2:$A$6912,0)),"-")</f>
        <v>13</v>
      </c>
      <c r="E2308" s="4" t="n">
        <f aca="false">IFERROR(INDEX(Positions!$D$2:$D$6912,MATCH($A2308&amp;"|22",Positions!$A$2:$A$6912,0)),"-")</f>
        <v>22</v>
      </c>
      <c r="F2308" s="4" t="str">
        <f aca="false">IFERROR(INDEX(Positions!$E$2:$E$6912,MATCH($A2308&amp;"|13",Positions!$A$2:$A$6912,0)),"-")</f>
        <v>C</v>
      </c>
      <c r="G2308" s="4" t="str">
        <f aca="false">IFERROR(INDEX(Positions!$E$2:$E$6912,MATCH($A2308&amp;"|22",Positions!$A$2:$A$6912,0)),"-")</f>
        <v>G</v>
      </c>
      <c r="H2308" s="3" t="str">
        <f aca="false">F2308&amp;"-"&amp;G2308</f>
        <v>C-G</v>
      </c>
      <c r="I2308" s="4" t="n">
        <f aca="false">(F2308="G")+(G2308="G")</f>
        <v>1</v>
      </c>
      <c r="J2308" s="4" t="n">
        <f aca="false">(F2308="C")+(G2308="C")</f>
        <v>1</v>
      </c>
      <c r="K2308" s="3" t="n">
        <f aca="false">I2308+J2308</f>
        <v>2</v>
      </c>
    </row>
    <row r="2309" customFormat="false" ht="15" hidden="false" customHeight="false" outlineLevel="0" collapsed="false">
      <c r="A2309" s="4" t="s">
        <v>119</v>
      </c>
      <c r="B2309" s="4" t="s">
        <v>446</v>
      </c>
      <c r="C2309" s="4" t="s">
        <v>524</v>
      </c>
      <c r="D2309" s="4" t="n">
        <f aca="false">IFERROR(INDEX(Positions!$D$2:$D$6912,MATCH($A2309&amp;"|27",Positions!$A$2:$A$6912,0)),"-")</f>
        <v>27</v>
      </c>
      <c r="E2309" s="4" t="n">
        <f aca="false">IFERROR(INDEX(Positions!$D$2:$D$6912,MATCH($A2309&amp;"|43",Positions!$A$2:$A$6912,0)),"-")</f>
        <v>43</v>
      </c>
      <c r="F2309" s="4" t="str">
        <f aca="false">IFERROR(INDEX(Positions!$E$2:$E$6912,MATCH($A2309&amp;"|27",Positions!$A$2:$A$6912,0)),"-")</f>
        <v>C</v>
      </c>
      <c r="G2309" s="4" t="str">
        <f aca="false">IFERROR(INDEX(Positions!$E$2:$E$6912,MATCH($A2309&amp;"|43",Positions!$A$2:$A$6912,0)),"-")</f>
        <v>G</v>
      </c>
      <c r="H2309" s="3" t="str">
        <f aca="false">F2309&amp;"-"&amp;G2309</f>
        <v>C-G</v>
      </c>
      <c r="I2309" s="4" t="n">
        <f aca="false">(F2309="G")+(G2309="G")</f>
        <v>1</v>
      </c>
      <c r="J2309" s="4" t="n">
        <f aca="false">(F2309="C")+(G2309="C")</f>
        <v>1</v>
      </c>
      <c r="K2309" s="3" t="n">
        <f aca="false">I2309+J2309</f>
        <v>2</v>
      </c>
    </row>
    <row r="2310" customFormat="false" ht="15" hidden="false" customHeight="false" outlineLevel="0" collapsed="false">
      <c r="A2310" s="4" t="s">
        <v>119</v>
      </c>
      <c r="B2310" s="4" t="s">
        <v>446</v>
      </c>
      <c r="C2310" s="4" t="s">
        <v>525</v>
      </c>
      <c r="D2310" s="4" t="n">
        <f aca="false">IFERROR(INDEX(Positions!$D$2:$D$6912,MATCH($A2310&amp;"|28",Positions!$A$2:$A$6912,0)),"-")</f>
        <v>28</v>
      </c>
      <c r="E2310" s="4" t="n">
        <f aca="false">IFERROR(INDEX(Positions!$D$2:$D$6912,MATCH($A2310&amp;"|42",Positions!$A$2:$A$6912,0)),"-")</f>
        <v>42</v>
      </c>
      <c r="F2310" s="4" t="str">
        <f aca="false">IFERROR(INDEX(Positions!$E$2:$E$6912,MATCH($A2310&amp;"|28",Positions!$A$2:$A$6912,0)),"-")</f>
        <v>U</v>
      </c>
      <c r="G2310" s="4" t="str">
        <f aca="false">IFERROR(INDEX(Positions!$E$2:$E$6912,MATCH($A2310&amp;"|42",Positions!$A$2:$A$6912,0)),"-")</f>
        <v>A</v>
      </c>
      <c r="H2310" s="3" t="str">
        <f aca="false">F2310&amp;"-"&amp;G2310</f>
        <v>U-A</v>
      </c>
      <c r="I2310" s="4" t="n">
        <f aca="false">(F2310="G")+(G2310="G")</f>
        <v>0</v>
      </c>
      <c r="J2310" s="4" t="n">
        <f aca="false">(F2310="C")+(G2310="C")</f>
        <v>0</v>
      </c>
      <c r="K2310" s="3" t="n">
        <f aca="false">I2310+J2310</f>
        <v>0</v>
      </c>
    </row>
    <row r="2311" customFormat="false" ht="15" hidden="false" customHeight="false" outlineLevel="0" collapsed="false">
      <c r="A2311" s="4" t="s">
        <v>119</v>
      </c>
      <c r="B2311" s="4" t="s">
        <v>446</v>
      </c>
      <c r="C2311" s="4" t="s">
        <v>256</v>
      </c>
      <c r="D2311" s="4" t="n">
        <f aca="false">IFERROR(INDEX(Positions!$D$2:$D$6912,MATCH($A2311&amp;"|29",Positions!$A$2:$A$6912,0)),"-")</f>
        <v>29</v>
      </c>
      <c r="E2311" s="4" t="n">
        <f aca="false">IFERROR(INDEX(Positions!$D$2:$D$6912,MATCH($A2311&amp;"|41",Positions!$A$2:$A$6912,0)),"-")</f>
        <v>41</v>
      </c>
      <c r="F2311" s="4" t="str">
        <f aca="false">IFERROR(INDEX(Positions!$E$2:$E$6912,MATCH($A2311&amp;"|29",Positions!$A$2:$A$6912,0)),"-")</f>
        <v>C</v>
      </c>
      <c r="G2311" s="4" t="str">
        <f aca="false">IFERROR(INDEX(Positions!$E$2:$E$6912,MATCH($A2311&amp;"|41",Positions!$A$2:$A$6912,0)),"-")</f>
        <v>G</v>
      </c>
      <c r="H2311" s="3" t="str">
        <f aca="false">F2311&amp;"-"&amp;G2311</f>
        <v>C-G</v>
      </c>
      <c r="I2311" s="4" t="n">
        <f aca="false">(F2311="G")+(G2311="G")</f>
        <v>1</v>
      </c>
      <c r="J2311" s="4" t="n">
        <f aca="false">(F2311="C")+(G2311="C")</f>
        <v>1</v>
      </c>
      <c r="K2311" s="3" t="n">
        <f aca="false">I2311+J2311</f>
        <v>2</v>
      </c>
    </row>
    <row r="2312" customFormat="false" ht="15" hidden="false" customHeight="false" outlineLevel="0" collapsed="false">
      <c r="A2312" s="4" t="s">
        <v>119</v>
      </c>
      <c r="B2312" s="4" t="s">
        <v>446</v>
      </c>
      <c r="C2312" s="4" t="s">
        <v>526</v>
      </c>
      <c r="D2312" s="4" t="n">
        <f aca="false">IFERROR(INDEX(Positions!$D$2:$D$6912,MATCH($A2312&amp;"|30",Positions!$A$2:$A$6912,0)),"-")</f>
        <v>30</v>
      </c>
      <c r="E2312" s="4" t="n">
        <f aca="false">IFERROR(INDEX(Positions!$D$2:$D$6912,MATCH($A2312&amp;"|40",Positions!$A$2:$A$6912,0)),"-")</f>
        <v>40</v>
      </c>
      <c r="F2312" s="4" t="str">
        <f aca="false">IFERROR(INDEX(Positions!$E$2:$E$6912,MATCH($A2312&amp;"|30",Positions!$A$2:$A$6912,0)),"-")</f>
        <v>G</v>
      </c>
      <c r="G2312" s="4" t="str">
        <f aca="false">IFERROR(INDEX(Positions!$E$2:$E$6912,MATCH($A2312&amp;"|40",Positions!$A$2:$A$6912,0)),"-")</f>
        <v>C</v>
      </c>
      <c r="H2312" s="3" t="str">
        <f aca="false">F2312&amp;"-"&amp;G2312</f>
        <v>G-C</v>
      </c>
      <c r="I2312" s="4" t="n">
        <f aca="false">(F2312="G")+(G2312="G")</f>
        <v>1</v>
      </c>
      <c r="J2312" s="4" t="n">
        <f aca="false">(F2312="C")+(G2312="C")</f>
        <v>1</v>
      </c>
      <c r="K2312" s="3" t="n">
        <f aca="false">I2312+J2312</f>
        <v>2</v>
      </c>
    </row>
    <row r="2313" customFormat="false" ht="15" hidden="false" customHeight="false" outlineLevel="0" collapsed="false">
      <c r="A2313" s="4" t="s">
        <v>119</v>
      </c>
      <c r="B2313" s="4" t="s">
        <v>446</v>
      </c>
      <c r="C2313" s="4" t="s">
        <v>273</v>
      </c>
      <c r="D2313" s="4" t="n">
        <f aca="false">IFERROR(INDEX(Positions!$D$2:$D$6912,MATCH($A2313&amp;"|31",Positions!$A$2:$A$6912,0)),"-")</f>
        <v>31</v>
      </c>
      <c r="E2313" s="4" t="n">
        <f aca="false">IFERROR(INDEX(Positions!$D$2:$D$6912,MATCH($A2313&amp;"|39",Positions!$A$2:$A$6912,0)),"-")</f>
        <v>39</v>
      </c>
      <c r="F2313" s="4" t="str">
        <f aca="false">IFERROR(INDEX(Positions!$E$2:$E$6912,MATCH($A2313&amp;"|31",Positions!$A$2:$A$6912,0)),"-")</f>
        <v>C</v>
      </c>
      <c r="G2313" s="4" t="str">
        <f aca="false">IFERROR(INDEX(Positions!$E$2:$E$6912,MATCH($A2313&amp;"|39",Positions!$A$2:$A$6912,0)),"-")</f>
        <v>G</v>
      </c>
      <c r="H2313" s="3" t="str">
        <f aca="false">F2313&amp;"-"&amp;G2313</f>
        <v>C-G</v>
      </c>
      <c r="I2313" s="4" t="n">
        <f aca="false">(F2313="G")+(G2313="G")</f>
        <v>1</v>
      </c>
      <c r="J2313" s="4" t="n">
        <f aca="false">(F2313="C")+(G2313="C")</f>
        <v>1</v>
      </c>
      <c r="K2313" s="3" t="n">
        <f aca="false">I2313+J2313</f>
        <v>2</v>
      </c>
    </row>
    <row r="2314" customFormat="false" ht="15" hidden="false" customHeight="false" outlineLevel="0" collapsed="false">
      <c r="A2314" s="4" t="s">
        <v>119</v>
      </c>
      <c r="B2314" s="4" t="s">
        <v>471</v>
      </c>
      <c r="C2314" s="4" t="s">
        <v>367</v>
      </c>
      <c r="D2314" s="4" t="n">
        <f aca="false">IFERROR(INDEX(Positions!$D$2:$D$6912,MATCH($A2314&amp;"|49",Positions!$A$2:$A$6912,0)),"-")</f>
        <v>49</v>
      </c>
      <c r="E2314" s="4" t="n">
        <f aca="false">IFERROR(INDEX(Positions!$D$2:$D$6912,MATCH($A2314&amp;"|65",Positions!$A$2:$A$6912,0)),"-")</f>
        <v>65</v>
      </c>
      <c r="F2314" s="4" t="str">
        <f aca="false">IFERROR(INDEX(Positions!$E$2:$E$6912,MATCH($A2314&amp;"|49",Positions!$A$2:$A$6912,0)),"-")</f>
        <v>G</v>
      </c>
      <c r="G2314" s="4" t="str">
        <f aca="false">IFERROR(INDEX(Positions!$E$2:$E$6912,MATCH($A2314&amp;"|65",Positions!$A$2:$A$6912,0)),"-")</f>
        <v>C</v>
      </c>
      <c r="H2314" s="3" t="str">
        <f aca="false">F2314&amp;"-"&amp;G2314</f>
        <v>G-C</v>
      </c>
      <c r="I2314" s="4" t="n">
        <f aca="false">(F2314="G")+(G2314="G")</f>
        <v>1</v>
      </c>
      <c r="J2314" s="4" t="n">
        <f aca="false">(F2314="C")+(G2314="C")</f>
        <v>1</v>
      </c>
      <c r="K2314" s="3" t="n">
        <f aca="false">I2314+J2314</f>
        <v>2</v>
      </c>
    </row>
    <row r="2315" customFormat="false" ht="15" hidden="false" customHeight="false" outlineLevel="0" collapsed="false">
      <c r="A2315" s="4" t="s">
        <v>119</v>
      </c>
      <c r="B2315" s="4" t="s">
        <v>471</v>
      </c>
      <c r="C2315" s="4" t="s">
        <v>233</v>
      </c>
      <c r="D2315" s="4" t="n">
        <f aca="false">IFERROR(INDEX(Positions!$D$2:$D$6912,MATCH($A2315&amp;"|50",Positions!$A$2:$A$6912,0)),"-")</f>
        <v>50</v>
      </c>
      <c r="E2315" s="4" t="n">
        <f aca="false">IFERROR(INDEX(Positions!$D$2:$D$6912,MATCH($A2315&amp;"|64",Positions!$A$2:$A$6912,0)),"-")</f>
        <v>64</v>
      </c>
      <c r="F2315" s="4" t="str">
        <f aca="false">IFERROR(INDEX(Positions!$E$2:$E$6912,MATCH($A2315&amp;"|50",Positions!$A$2:$A$6912,0)),"-")</f>
        <v>C</v>
      </c>
      <c r="G2315" s="4" t="str">
        <f aca="false">IFERROR(INDEX(Positions!$E$2:$E$6912,MATCH($A2315&amp;"|64",Positions!$A$2:$A$6912,0)),"-")</f>
        <v>G</v>
      </c>
      <c r="H2315" s="3" t="str">
        <f aca="false">F2315&amp;"-"&amp;G2315</f>
        <v>C-G</v>
      </c>
      <c r="I2315" s="4" t="n">
        <f aca="false">(F2315="G")+(G2315="G")</f>
        <v>1</v>
      </c>
      <c r="J2315" s="4" t="n">
        <f aca="false">(F2315="C")+(G2315="C")</f>
        <v>1</v>
      </c>
      <c r="K2315" s="3" t="n">
        <f aca="false">I2315+J2315</f>
        <v>2</v>
      </c>
    </row>
    <row r="2316" customFormat="false" ht="15" hidden="false" customHeight="false" outlineLevel="0" collapsed="false">
      <c r="A2316" s="4" t="s">
        <v>119</v>
      </c>
      <c r="B2316" s="4" t="s">
        <v>471</v>
      </c>
      <c r="C2316" s="4" t="s">
        <v>527</v>
      </c>
      <c r="D2316" s="4" t="n">
        <f aca="false">IFERROR(INDEX(Positions!$D$2:$D$6912,MATCH($A2316&amp;"|51",Positions!$A$2:$A$6912,0)),"-")</f>
        <v>51</v>
      </c>
      <c r="E2316" s="4" t="n">
        <f aca="false">IFERROR(INDEX(Positions!$D$2:$D$6912,MATCH($A2316&amp;"|63",Positions!$A$2:$A$6912,0)),"-")</f>
        <v>63</v>
      </c>
      <c r="F2316" s="4" t="str">
        <f aca="false">IFERROR(INDEX(Positions!$E$2:$E$6912,MATCH($A2316&amp;"|51",Positions!$A$2:$A$6912,0)),"-")</f>
        <v>G</v>
      </c>
      <c r="G2316" s="4" t="str">
        <f aca="false">IFERROR(INDEX(Positions!$E$2:$E$6912,MATCH($A2316&amp;"|63",Positions!$A$2:$A$6912,0)),"-")</f>
        <v>C</v>
      </c>
      <c r="H2316" s="3" t="str">
        <f aca="false">F2316&amp;"-"&amp;G2316</f>
        <v>G-C</v>
      </c>
      <c r="I2316" s="4" t="n">
        <f aca="false">(F2316="G")+(G2316="G")</f>
        <v>1</v>
      </c>
      <c r="J2316" s="4" t="n">
        <f aca="false">(F2316="C")+(G2316="C")</f>
        <v>1</v>
      </c>
      <c r="K2316" s="3" t="n">
        <f aca="false">I2316+J2316</f>
        <v>2</v>
      </c>
    </row>
    <row r="2317" customFormat="false" ht="15" hidden="false" customHeight="false" outlineLevel="0" collapsed="false">
      <c r="A2317" s="4" t="s">
        <v>119</v>
      </c>
      <c r="B2317" s="4" t="s">
        <v>471</v>
      </c>
      <c r="C2317" s="4" t="s">
        <v>528</v>
      </c>
      <c r="D2317" s="4" t="n">
        <f aca="false">IFERROR(INDEX(Positions!$D$2:$D$6912,MATCH($A2317&amp;"|52",Positions!$A$2:$A$6912,0)),"-")</f>
        <v>52</v>
      </c>
      <c r="E2317" s="4" t="n">
        <f aca="false">IFERROR(INDEX(Positions!$D$2:$D$6912,MATCH($A2317&amp;"|62",Positions!$A$2:$A$6912,0)),"-")</f>
        <v>62</v>
      </c>
      <c r="F2317" s="4" t="str">
        <f aca="false">IFERROR(INDEX(Positions!$E$2:$E$6912,MATCH($A2317&amp;"|52",Positions!$A$2:$A$6912,0)),"-")</f>
        <v>G</v>
      </c>
      <c r="G2317" s="4" t="str">
        <f aca="false">IFERROR(INDEX(Positions!$E$2:$E$6912,MATCH($A2317&amp;"|62",Positions!$A$2:$A$6912,0)),"-")</f>
        <v>C</v>
      </c>
      <c r="H2317" s="3" t="str">
        <f aca="false">F2317&amp;"-"&amp;G2317</f>
        <v>G-C</v>
      </c>
      <c r="I2317" s="4" t="n">
        <f aca="false">(F2317="G")+(G2317="G")</f>
        <v>1</v>
      </c>
      <c r="J2317" s="4" t="n">
        <f aca="false">(F2317="C")+(G2317="C")</f>
        <v>1</v>
      </c>
      <c r="K2317" s="3" t="n">
        <f aca="false">I2317+J2317</f>
        <v>2</v>
      </c>
    </row>
    <row r="2318" customFormat="false" ht="15" hidden="false" customHeight="false" outlineLevel="0" collapsed="false">
      <c r="A2318" s="4" t="s">
        <v>119</v>
      </c>
      <c r="B2318" s="4" t="s">
        <v>471</v>
      </c>
      <c r="C2318" s="4" t="s">
        <v>529</v>
      </c>
      <c r="D2318" s="4" t="n">
        <f aca="false">IFERROR(INDEX(Positions!$D$2:$D$6912,MATCH($A2318&amp;"|53",Positions!$A$2:$A$6912,0)),"-")</f>
        <v>53</v>
      </c>
      <c r="E2318" s="4" t="n">
        <f aca="false">IFERROR(INDEX(Positions!$D$2:$D$6912,MATCH($A2318&amp;"|61",Positions!$A$2:$A$6912,0)),"-")</f>
        <v>61</v>
      </c>
      <c r="F2318" s="4" t="str">
        <f aca="false">IFERROR(INDEX(Positions!$E$2:$E$6912,MATCH($A2318&amp;"|53",Positions!$A$2:$A$6912,0)),"-")</f>
        <v>G</v>
      </c>
      <c r="G2318" s="4" t="str">
        <f aca="false">IFERROR(INDEX(Positions!$E$2:$E$6912,MATCH($A2318&amp;"|61",Positions!$A$2:$A$6912,0)),"-")</f>
        <v>C</v>
      </c>
      <c r="H2318" s="3" t="str">
        <f aca="false">F2318&amp;"-"&amp;G2318</f>
        <v>G-C</v>
      </c>
      <c r="I2318" s="4" t="n">
        <f aca="false">(F2318="G")+(G2318="G")</f>
        <v>1</v>
      </c>
      <c r="J2318" s="4" t="n">
        <f aca="false">(F2318="C")+(G2318="C")</f>
        <v>1</v>
      </c>
      <c r="K2318" s="3" t="n">
        <f aca="false">I2318+J2318</f>
        <v>2</v>
      </c>
    </row>
    <row r="2319" customFormat="false" ht="15" hidden="false" customHeight="false" outlineLevel="0" collapsed="false">
      <c r="A2319" s="24" t="s">
        <v>119</v>
      </c>
      <c r="B2319" s="24" t="s">
        <v>530</v>
      </c>
      <c r="C2319" s="24" t="s">
        <v>531</v>
      </c>
      <c r="D2319" s="24" t="n">
        <f aca="false">IFERROR(INDEX(Positions!$D$2:$D$6912,MATCH($A2319&amp;"|8",Positions!$A$2:$A$6912,0)),"-")</f>
        <v>8</v>
      </c>
      <c r="E2319" s="24" t="n">
        <f aca="false">IFERROR(INDEX(Positions!$D$2:$D$6912,MATCH($A2319&amp;"|14",Positions!$A$2:$A$6912,0)),"-")</f>
        <v>14</v>
      </c>
      <c r="F2319" s="24" t="str">
        <f aca="false">IFERROR(INDEX(Positions!$E$2:$E$6912,MATCH($A2319&amp;"|8",Positions!$A$2:$A$6912,0)),"-")</f>
        <v>U</v>
      </c>
      <c r="G2319" s="24" t="str">
        <f aca="false">IFERROR(INDEX(Positions!$E$2:$E$6912,MATCH($A2319&amp;"|14",Positions!$A$2:$A$6912,0)),"-")</f>
        <v>A</v>
      </c>
      <c r="H2319" s="25" t="str">
        <f aca="false">F2319&amp;"-"&amp;G2319</f>
        <v>U-A</v>
      </c>
      <c r="I2319" s="24" t="n">
        <f aca="false">(F2319="G")+(G2319="G")</f>
        <v>0</v>
      </c>
      <c r="J2319" s="24" t="n">
        <f aca="false">(F2319="C")+(G2319="C")</f>
        <v>0</v>
      </c>
      <c r="K2319" s="25" t="n">
        <f aca="false">I2319+J2319</f>
        <v>0</v>
      </c>
    </row>
    <row r="2320" customFormat="false" ht="15" hidden="false" customHeight="false" outlineLevel="0" collapsed="false">
      <c r="A2320" s="24" t="s">
        <v>119</v>
      </c>
      <c r="B2320" s="24" t="s">
        <v>530</v>
      </c>
      <c r="C2320" s="24" t="s">
        <v>532</v>
      </c>
      <c r="D2320" s="24" t="n">
        <f aca="false">IFERROR(INDEX(Positions!$D$2:$D$6912,MATCH($A2320&amp;"|15",Positions!$A$2:$A$6912,0)),"-")</f>
        <v>15</v>
      </c>
      <c r="E2320" s="24" t="n">
        <f aca="false">IFERROR(INDEX(Positions!$D$2:$D$6912,MATCH($A2320&amp;"|48",Positions!$A$2:$A$6912,0)),"-")</f>
        <v>48</v>
      </c>
      <c r="F2320" s="24" t="str">
        <f aca="false">IFERROR(INDEX(Positions!$E$2:$E$6912,MATCH($A2320&amp;"|15",Positions!$A$2:$A$6912,0)),"-")</f>
        <v>A</v>
      </c>
      <c r="G2320" s="24" t="str">
        <f aca="false">IFERROR(INDEX(Positions!$E$2:$E$6912,MATCH($A2320&amp;"|48",Positions!$A$2:$A$6912,0)),"-")</f>
        <v>A</v>
      </c>
      <c r="H2320" s="25" t="str">
        <f aca="false">F2320&amp;"-"&amp;G2320</f>
        <v>A-A</v>
      </c>
      <c r="I2320" s="24" t="n">
        <f aca="false">(F2320="G")+(G2320="G")</f>
        <v>0</v>
      </c>
      <c r="J2320" s="24" t="n">
        <f aca="false">(F2320="C")+(G2320="C")</f>
        <v>0</v>
      </c>
      <c r="K2320" s="25" t="n">
        <f aca="false">I2320+J2320</f>
        <v>0</v>
      </c>
    </row>
    <row r="2321" customFormat="false" ht="15" hidden="false" customHeight="false" outlineLevel="0" collapsed="false">
      <c r="A2321" s="24" t="s">
        <v>119</v>
      </c>
      <c r="B2321" s="24" t="s">
        <v>530</v>
      </c>
      <c r="C2321" s="24" t="s">
        <v>533</v>
      </c>
      <c r="D2321" s="24" t="n">
        <f aca="false">IFERROR(INDEX(Positions!$D$2:$D$6912,MATCH($A2321&amp;"|18",Positions!$A$2:$A$6912,0)),"-")</f>
        <v>18</v>
      </c>
      <c r="E2321" s="24" t="n">
        <f aca="false">IFERROR(INDEX(Positions!$D$2:$D$6912,MATCH($A2321&amp;"|55",Positions!$A$2:$A$6912,0)),"-")</f>
        <v>55</v>
      </c>
      <c r="F2321" s="24" t="str">
        <f aca="false">IFERROR(INDEX(Positions!$E$2:$E$6912,MATCH($A2321&amp;"|18",Positions!$A$2:$A$6912,0)),"-")</f>
        <v>G</v>
      </c>
      <c r="G2321" s="24" t="str">
        <f aca="false">IFERROR(INDEX(Positions!$E$2:$E$6912,MATCH($A2321&amp;"|55",Positions!$A$2:$A$6912,0)),"-")</f>
        <v>U</v>
      </c>
      <c r="H2321" s="25" t="str">
        <f aca="false">F2321&amp;"-"&amp;G2321</f>
        <v>G-U</v>
      </c>
      <c r="I2321" s="24" t="n">
        <f aca="false">(F2321="G")+(G2321="G")</f>
        <v>1</v>
      </c>
      <c r="J2321" s="24" t="n">
        <f aca="false">(F2321="C")+(G2321="C")</f>
        <v>0</v>
      </c>
      <c r="K2321" s="25" t="n">
        <f aca="false">I2321+J2321</f>
        <v>1</v>
      </c>
    </row>
    <row r="2322" customFormat="false" ht="15" hidden="false" customHeight="false" outlineLevel="0" collapsed="false">
      <c r="A2322" s="24" t="s">
        <v>119</v>
      </c>
      <c r="B2322" s="24" t="s">
        <v>530</v>
      </c>
      <c r="C2322" s="24" t="s">
        <v>534</v>
      </c>
      <c r="D2322" s="24" t="n">
        <f aca="false">IFERROR(INDEX(Positions!$D$2:$D$6912,MATCH($A2322&amp;"|19",Positions!$A$2:$A$6912,0)),"-")</f>
        <v>19</v>
      </c>
      <c r="E2322" s="24" t="n">
        <f aca="false">IFERROR(INDEX(Positions!$D$2:$D$6912,MATCH($A2322&amp;"|56",Positions!$A$2:$A$6912,0)),"-")</f>
        <v>56</v>
      </c>
      <c r="F2322" s="24" t="str">
        <f aca="false">IFERROR(INDEX(Positions!$E$2:$E$6912,MATCH($A2322&amp;"|19",Positions!$A$2:$A$6912,0)),"-")</f>
        <v>G</v>
      </c>
      <c r="G2322" s="24" t="str">
        <f aca="false">IFERROR(INDEX(Positions!$E$2:$E$6912,MATCH($A2322&amp;"|56",Positions!$A$2:$A$6912,0)),"-")</f>
        <v>C</v>
      </c>
      <c r="H2322" s="25" t="str">
        <f aca="false">F2322&amp;"-"&amp;G2322</f>
        <v>G-C</v>
      </c>
      <c r="I2322" s="24" t="n">
        <f aca="false">(F2322="G")+(G2322="G")</f>
        <v>1</v>
      </c>
      <c r="J2322" s="24" t="n">
        <f aca="false">(F2322="C")+(G2322="C")</f>
        <v>1</v>
      </c>
      <c r="K2322" s="25" t="n">
        <f aca="false">I2322+J2322</f>
        <v>2</v>
      </c>
    </row>
    <row r="2323" customFormat="false" ht="15" hidden="false" customHeight="false" outlineLevel="0" collapsed="false">
      <c r="A2323" s="24" t="s">
        <v>119</v>
      </c>
      <c r="B2323" s="24" t="s">
        <v>530</v>
      </c>
      <c r="C2323" s="24" t="s">
        <v>535</v>
      </c>
      <c r="D2323" s="24" t="n">
        <f aca="false">IFERROR(INDEX(Positions!$D$2:$D$6912,MATCH($A2323&amp;"|26",Positions!$A$2:$A$6912,0)),"-")</f>
        <v>26</v>
      </c>
      <c r="E2323" s="24" t="n">
        <f aca="false">IFERROR(INDEX(Positions!$D$2:$D$6912,MATCH($A2323&amp;"|44",Positions!$A$2:$A$6912,0)),"-")</f>
        <v>44</v>
      </c>
      <c r="F2323" s="24" t="str">
        <f aca="false">IFERROR(INDEX(Positions!$E$2:$E$6912,MATCH($A2323&amp;"|26",Positions!$A$2:$A$6912,0)),"-")</f>
        <v>G</v>
      </c>
      <c r="G2323" s="24" t="str">
        <f aca="false">IFERROR(INDEX(Positions!$E$2:$E$6912,MATCH($A2323&amp;"|44",Positions!$A$2:$A$6912,0)),"-")</f>
        <v>A</v>
      </c>
      <c r="H2323" s="25" t="str">
        <f aca="false">F2323&amp;"-"&amp;G2323</f>
        <v>G-A</v>
      </c>
      <c r="I2323" s="24" t="n">
        <f aca="false">(F2323="G")+(G2323="G")</f>
        <v>1</v>
      </c>
      <c r="J2323" s="24" t="n">
        <f aca="false">(F2323="C")+(G2323="C")</f>
        <v>0</v>
      </c>
      <c r="K2323" s="25" t="n">
        <f aca="false">I2323+J2323</f>
        <v>1</v>
      </c>
    </row>
    <row r="2324" customFormat="false" ht="15" hidden="false" customHeight="false" outlineLevel="0" collapsed="false">
      <c r="A2324" s="24" t="s">
        <v>119</v>
      </c>
      <c r="B2324" s="24" t="s">
        <v>530</v>
      </c>
      <c r="C2324" s="24" t="s">
        <v>536</v>
      </c>
      <c r="D2324" s="24" t="n">
        <f aca="false">IFERROR(INDEX(Positions!$D$2:$D$6912,MATCH($A2324&amp;"|32",Positions!$A$2:$A$6912,0)),"-")</f>
        <v>32</v>
      </c>
      <c r="E2324" s="24" t="n">
        <f aca="false">IFERROR(INDEX(Positions!$D$2:$D$6912,MATCH($A2324&amp;"|38",Positions!$A$2:$A$6912,0)),"-")</f>
        <v>38</v>
      </c>
      <c r="F2324" s="24" t="str">
        <f aca="false">IFERROR(INDEX(Positions!$E$2:$E$6912,MATCH($A2324&amp;"|32",Positions!$A$2:$A$6912,0)),"-")</f>
        <v>U</v>
      </c>
      <c r="G2324" s="24" t="str">
        <f aca="false">IFERROR(INDEX(Positions!$E$2:$E$6912,MATCH($A2324&amp;"|38",Positions!$A$2:$A$6912,0)),"-")</f>
        <v>U</v>
      </c>
      <c r="H2324" s="25" t="str">
        <f aca="false">F2324&amp;"-"&amp;G2324</f>
        <v>U-U</v>
      </c>
      <c r="I2324" s="24" t="n">
        <f aca="false">(F2324="G")+(G2324="G")</f>
        <v>0</v>
      </c>
      <c r="J2324" s="24" t="n">
        <f aca="false">(F2324="C")+(G2324="C")</f>
        <v>0</v>
      </c>
      <c r="K2324" s="25" t="n">
        <f aca="false">I2324+J2324</f>
        <v>0</v>
      </c>
    </row>
    <row r="2325" customFormat="false" ht="15" hidden="false" customHeight="false" outlineLevel="0" collapsed="false">
      <c r="A2325" s="24" t="s">
        <v>119</v>
      </c>
      <c r="B2325" s="24" t="s">
        <v>530</v>
      </c>
      <c r="C2325" s="24" t="s">
        <v>537</v>
      </c>
      <c r="D2325" s="24" t="n">
        <f aca="false">IFERROR(INDEX(Positions!$D$2:$D$6912,MATCH($A2325&amp;"|54",Positions!$A$2:$A$6912,0)),"-")</f>
        <v>54</v>
      </c>
      <c r="E2325" s="24" t="n">
        <f aca="false">IFERROR(INDEX(Positions!$D$2:$D$6912,MATCH($A2325&amp;"|58",Positions!$A$2:$A$6912,0)),"-")</f>
        <v>58</v>
      </c>
      <c r="F2325" s="24" t="str">
        <f aca="false">IFERROR(INDEX(Positions!$E$2:$E$6912,MATCH($A2325&amp;"|54",Positions!$A$2:$A$6912,0)),"-")</f>
        <v>A</v>
      </c>
      <c r="G2325" s="24" t="str">
        <f aca="false">IFERROR(INDEX(Positions!$E$2:$E$6912,MATCH($A2325&amp;"|58",Positions!$A$2:$A$6912,0)),"-")</f>
        <v>A</v>
      </c>
      <c r="H2325" s="25" t="str">
        <f aca="false">F2325&amp;"-"&amp;G2325</f>
        <v>A-A</v>
      </c>
      <c r="I2325" s="24" t="n">
        <f aca="false">(F2325="G")+(G2325="G")</f>
        <v>0</v>
      </c>
      <c r="J2325" s="24" t="n">
        <f aca="false">(F2325="C")+(G2325="C")</f>
        <v>0</v>
      </c>
      <c r="K2325" s="25" t="n">
        <f aca="false">I2325+J2325</f>
        <v>0</v>
      </c>
    </row>
    <row r="2326" customFormat="false" ht="15" hidden="false" customHeight="false" outlineLevel="0" collapsed="false">
      <c r="A2326" s="4" t="s">
        <v>120</v>
      </c>
      <c r="B2326" s="4" t="s">
        <v>412</v>
      </c>
      <c r="C2326" s="4" t="s">
        <v>517</v>
      </c>
      <c r="D2326" s="4" t="n">
        <f aca="false">IFERROR(INDEX(Positions!$D$2:$D$6912,MATCH($A2326&amp;"|1",Positions!$A$2:$A$6912,0)),"-")</f>
        <v>1</v>
      </c>
      <c r="E2326" s="4" t="n">
        <f aca="false">IFERROR(INDEX(Positions!$D$2:$D$6912,MATCH($A2326&amp;"|72",Positions!$A$2:$A$6912,0)),"-")</f>
        <v>72</v>
      </c>
      <c r="F2326" s="4" t="str">
        <f aca="false">IFERROR(INDEX(Positions!$E$2:$E$6912,MATCH($A2326&amp;"|1",Positions!$A$2:$A$6912,0)),"-")</f>
        <v>G</v>
      </c>
      <c r="G2326" s="4" t="str">
        <f aca="false">IFERROR(INDEX(Positions!$E$2:$E$6912,MATCH($A2326&amp;"|72",Positions!$A$2:$A$6912,0)),"-")</f>
        <v>C</v>
      </c>
      <c r="H2326" s="3" t="str">
        <f aca="false">F2326&amp;"-"&amp;G2326</f>
        <v>G-C</v>
      </c>
      <c r="I2326" s="4" t="n">
        <f aca="false">(F2326="G")+(G2326="G")</f>
        <v>1</v>
      </c>
      <c r="J2326" s="4" t="n">
        <f aca="false">(F2326="C")+(G2326="C")</f>
        <v>1</v>
      </c>
      <c r="K2326" s="3" t="n">
        <f aca="false">I2326+J2326</f>
        <v>2</v>
      </c>
    </row>
    <row r="2327" customFormat="false" ht="15" hidden="false" customHeight="false" outlineLevel="0" collapsed="false">
      <c r="A2327" s="4" t="s">
        <v>120</v>
      </c>
      <c r="B2327" s="4" t="s">
        <v>412</v>
      </c>
      <c r="C2327" s="4" t="s">
        <v>518</v>
      </c>
      <c r="D2327" s="4" t="n">
        <f aca="false">IFERROR(INDEX(Positions!$D$2:$D$6912,MATCH($A2327&amp;"|2",Positions!$A$2:$A$6912,0)),"-")</f>
        <v>2</v>
      </c>
      <c r="E2327" s="4" t="n">
        <f aca="false">IFERROR(INDEX(Positions!$D$2:$D$6912,MATCH($A2327&amp;"|71",Positions!$A$2:$A$6912,0)),"-")</f>
        <v>71</v>
      </c>
      <c r="F2327" s="4" t="str">
        <f aca="false">IFERROR(INDEX(Positions!$E$2:$E$6912,MATCH($A2327&amp;"|2",Positions!$A$2:$A$6912,0)),"-")</f>
        <v>G</v>
      </c>
      <c r="G2327" s="4" t="str">
        <f aca="false">IFERROR(INDEX(Positions!$E$2:$E$6912,MATCH($A2327&amp;"|71",Positions!$A$2:$A$6912,0)),"-")</f>
        <v>C</v>
      </c>
      <c r="H2327" s="3" t="str">
        <f aca="false">F2327&amp;"-"&amp;G2327</f>
        <v>G-C</v>
      </c>
      <c r="I2327" s="4" t="n">
        <f aca="false">(F2327="G")+(G2327="G")</f>
        <v>1</v>
      </c>
      <c r="J2327" s="4" t="n">
        <f aca="false">(F2327="C")+(G2327="C")</f>
        <v>1</v>
      </c>
      <c r="K2327" s="3" t="n">
        <f aca="false">I2327+J2327</f>
        <v>2</v>
      </c>
    </row>
    <row r="2328" customFormat="false" ht="15" hidden="false" customHeight="false" outlineLevel="0" collapsed="false">
      <c r="A2328" s="4" t="s">
        <v>120</v>
      </c>
      <c r="B2328" s="4" t="s">
        <v>412</v>
      </c>
      <c r="C2328" s="4" t="s">
        <v>386</v>
      </c>
      <c r="D2328" s="4" t="n">
        <f aca="false">IFERROR(INDEX(Positions!$D$2:$D$6912,MATCH($A2328&amp;"|3",Positions!$A$2:$A$6912,0)),"-")</f>
        <v>3</v>
      </c>
      <c r="E2328" s="4" t="n">
        <f aca="false">IFERROR(INDEX(Positions!$D$2:$D$6912,MATCH($A2328&amp;"|70",Positions!$A$2:$A$6912,0)),"-")</f>
        <v>70</v>
      </c>
      <c r="F2328" s="4" t="str">
        <f aca="false">IFERROR(INDEX(Positions!$E$2:$E$6912,MATCH($A2328&amp;"|3",Positions!$A$2:$A$6912,0)),"-")</f>
        <v>G</v>
      </c>
      <c r="G2328" s="4" t="str">
        <f aca="false">IFERROR(INDEX(Positions!$E$2:$E$6912,MATCH($A2328&amp;"|70",Positions!$A$2:$A$6912,0)),"-")</f>
        <v>U</v>
      </c>
      <c r="H2328" s="3" t="str">
        <f aca="false">F2328&amp;"-"&amp;G2328</f>
        <v>G-U</v>
      </c>
      <c r="I2328" s="4" t="n">
        <f aca="false">(F2328="G")+(G2328="G")</f>
        <v>1</v>
      </c>
      <c r="J2328" s="4" t="n">
        <f aca="false">(F2328="C")+(G2328="C")</f>
        <v>0</v>
      </c>
      <c r="K2328" s="3" t="n">
        <f aca="false">I2328+J2328</f>
        <v>1</v>
      </c>
    </row>
    <row r="2329" customFormat="false" ht="15" hidden="false" customHeight="false" outlineLevel="0" collapsed="false">
      <c r="A2329" s="4" t="s">
        <v>120</v>
      </c>
      <c r="B2329" s="4" t="s">
        <v>412</v>
      </c>
      <c r="C2329" s="4" t="s">
        <v>519</v>
      </c>
      <c r="D2329" s="4" t="n">
        <f aca="false">IFERROR(INDEX(Positions!$D$2:$D$6912,MATCH($A2329&amp;"|4",Positions!$A$2:$A$6912,0)),"-")</f>
        <v>4</v>
      </c>
      <c r="E2329" s="4" t="n">
        <f aca="false">IFERROR(INDEX(Positions!$D$2:$D$6912,MATCH($A2329&amp;"|69",Positions!$A$2:$A$6912,0)),"-")</f>
        <v>69</v>
      </c>
      <c r="F2329" s="4" t="str">
        <f aca="false">IFERROR(INDEX(Positions!$E$2:$E$6912,MATCH($A2329&amp;"|4",Positions!$A$2:$A$6912,0)),"-")</f>
        <v>G</v>
      </c>
      <c r="G2329" s="4" t="str">
        <f aca="false">IFERROR(INDEX(Positions!$E$2:$E$6912,MATCH($A2329&amp;"|69",Positions!$A$2:$A$6912,0)),"-")</f>
        <v>C</v>
      </c>
      <c r="H2329" s="3" t="str">
        <f aca="false">F2329&amp;"-"&amp;G2329</f>
        <v>G-C</v>
      </c>
      <c r="I2329" s="4" t="n">
        <f aca="false">(F2329="G")+(G2329="G")</f>
        <v>1</v>
      </c>
      <c r="J2329" s="4" t="n">
        <f aca="false">(F2329="C")+(G2329="C")</f>
        <v>1</v>
      </c>
      <c r="K2329" s="3" t="n">
        <f aca="false">I2329+J2329</f>
        <v>2</v>
      </c>
    </row>
    <row r="2330" customFormat="false" ht="15" hidden="false" customHeight="false" outlineLevel="0" collapsed="false">
      <c r="A2330" s="4" t="s">
        <v>120</v>
      </c>
      <c r="B2330" s="4" t="s">
        <v>412</v>
      </c>
      <c r="C2330" s="4" t="s">
        <v>283</v>
      </c>
      <c r="D2330" s="4" t="n">
        <f aca="false">IFERROR(INDEX(Positions!$D$2:$D$6912,MATCH($A2330&amp;"|5",Positions!$A$2:$A$6912,0)),"-")</f>
        <v>5</v>
      </c>
      <c r="E2330" s="4" t="n">
        <f aca="false">IFERROR(INDEX(Positions!$D$2:$D$6912,MATCH($A2330&amp;"|68",Positions!$A$2:$A$6912,0)),"-")</f>
        <v>68</v>
      </c>
      <c r="F2330" s="4" t="str">
        <f aca="false">IFERROR(INDEX(Positions!$E$2:$E$6912,MATCH($A2330&amp;"|5",Positions!$A$2:$A$6912,0)),"-")</f>
        <v>A</v>
      </c>
      <c r="G2330" s="4" t="str">
        <f aca="false">IFERROR(INDEX(Positions!$E$2:$E$6912,MATCH($A2330&amp;"|68",Positions!$A$2:$A$6912,0)),"-")</f>
        <v>U</v>
      </c>
      <c r="H2330" s="3" t="str">
        <f aca="false">F2330&amp;"-"&amp;G2330</f>
        <v>A-U</v>
      </c>
      <c r="I2330" s="4" t="n">
        <f aca="false">(F2330="G")+(G2330="G")</f>
        <v>0</v>
      </c>
      <c r="J2330" s="4" t="n">
        <f aca="false">(F2330="C")+(G2330="C")</f>
        <v>0</v>
      </c>
      <c r="K2330" s="3" t="n">
        <f aca="false">I2330+J2330</f>
        <v>0</v>
      </c>
    </row>
    <row r="2331" customFormat="false" ht="15" hidden="false" customHeight="false" outlineLevel="0" collapsed="false">
      <c r="A2331" s="4" t="s">
        <v>120</v>
      </c>
      <c r="B2331" s="4" t="s">
        <v>412</v>
      </c>
      <c r="C2331" s="4" t="s">
        <v>520</v>
      </c>
      <c r="D2331" s="4" t="n">
        <f aca="false">IFERROR(INDEX(Positions!$D$2:$D$6912,MATCH($A2331&amp;"|6",Positions!$A$2:$A$6912,0)),"-")</f>
        <v>6</v>
      </c>
      <c r="E2331" s="4" t="n">
        <f aca="false">IFERROR(INDEX(Positions!$D$2:$D$6912,MATCH($A2331&amp;"|67",Positions!$A$2:$A$6912,0)),"-")</f>
        <v>67</v>
      </c>
      <c r="F2331" s="4" t="str">
        <f aca="false">IFERROR(INDEX(Positions!$E$2:$E$6912,MATCH($A2331&amp;"|6",Positions!$A$2:$A$6912,0)),"-")</f>
        <v>A</v>
      </c>
      <c r="G2331" s="4" t="str">
        <f aca="false">IFERROR(INDEX(Positions!$E$2:$E$6912,MATCH($A2331&amp;"|67",Positions!$A$2:$A$6912,0)),"-")</f>
        <v>U</v>
      </c>
      <c r="H2331" s="3" t="str">
        <f aca="false">F2331&amp;"-"&amp;G2331</f>
        <v>A-U</v>
      </c>
      <c r="I2331" s="4" t="n">
        <f aca="false">(F2331="G")+(G2331="G")</f>
        <v>0</v>
      </c>
      <c r="J2331" s="4" t="n">
        <f aca="false">(F2331="C")+(G2331="C")</f>
        <v>0</v>
      </c>
      <c r="K2331" s="3" t="n">
        <f aca="false">I2331+J2331</f>
        <v>0</v>
      </c>
    </row>
    <row r="2332" customFormat="false" ht="15" hidden="false" customHeight="false" outlineLevel="0" collapsed="false">
      <c r="A2332" s="4" t="s">
        <v>120</v>
      </c>
      <c r="B2332" s="4" t="s">
        <v>412</v>
      </c>
      <c r="C2332" s="4" t="s">
        <v>521</v>
      </c>
      <c r="D2332" s="4" t="n">
        <f aca="false">IFERROR(INDEX(Positions!$D$2:$D$6912,MATCH($A2332&amp;"|7",Positions!$A$2:$A$6912,0)),"-")</f>
        <v>7</v>
      </c>
      <c r="E2332" s="4" t="n">
        <f aca="false">IFERROR(INDEX(Positions!$D$2:$D$6912,MATCH($A2332&amp;"|66",Positions!$A$2:$A$6912,0)),"-")</f>
        <v>66</v>
      </c>
      <c r="F2332" s="4" t="str">
        <f aca="false">IFERROR(INDEX(Positions!$E$2:$E$6912,MATCH($A2332&amp;"|7",Positions!$A$2:$A$6912,0)),"-")</f>
        <v>U</v>
      </c>
      <c r="G2332" s="4" t="str">
        <f aca="false">IFERROR(INDEX(Positions!$E$2:$E$6912,MATCH($A2332&amp;"|66",Positions!$A$2:$A$6912,0)),"-")</f>
        <v>A</v>
      </c>
      <c r="H2332" s="3" t="str">
        <f aca="false">F2332&amp;"-"&amp;G2332</f>
        <v>U-A</v>
      </c>
      <c r="I2332" s="4" t="n">
        <f aca="false">(F2332="G")+(G2332="G")</f>
        <v>0</v>
      </c>
      <c r="J2332" s="4" t="n">
        <f aca="false">(F2332="C")+(G2332="C")</f>
        <v>0</v>
      </c>
      <c r="K2332" s="3" t="n">
        <f aca="false">I2332+J2332</f>
        <v>0</v>
      </c>
    </row>
    <row r="2333" customFormat="false" ht="15" hidden="false" customHeight="false" outlineLevel="0" collapsed="false">
      <c r="A2333" s="4" t="s">
        <v>120</v>
      </c>
      <c r="B2333" s="4" t="s">
        <v>425</v>
      </c>
      <c r="C2333" s="4" t="s">
        <v>522</v>
      </c>
      <c r="D2333" s="4" t="n">
        <f aca="false">IFERROR(INDEX(Positions!$D$2:$D$6912,MATCH($A2333&amp;"|10",Positions!$A$2:$A$6912,0)),"-")</f>
        <v>10</v>
      </c>
      <c r="E2333" s="4" t="n">
        <f aca="false">IFERROR(INDEX(Positions!$D$2:$D$6912,MATCH($A2333&amp;"|25",Positions!$A$2:$A$6912,0)),"-")</f>
        <v>25</v>
      </c>
      <c r="F2333" s="4" t="str">
        <f aca="false">IFERROR(INDEX(Positions!$E$2:$E$6912,MATCH($A2333&amp;"|10",Positions!$A$2:$A$6912,0)),"-")</f>
        <v>G</v>
      </c>
      <c r="G2333" s="4" t="str">
        <f aca="false">IFERROR(INDEX(Positions!$E$2:$E$6912,MATCH($A2333&amp;"|25",Positions!$A$2:$A$6912,0)),"-")</f>
        <v>C</v>
      </c>
      <c r="H2333" s="3" t="str">
        <f aca="false">F2333&amp;"-"&amp;G2333</f>
        <v>G-C</v>
      </c>
      <c r="I2333" s="4" t="n">
        <f aca="false">(F2333="G")+(G2333="G")</f>
        <v>1</v>
      </c>
      <c r="J2333" s="4" t="n">
        <f aca="false">(F2333="C")+(G2333="C")</f>
        <v>1</v>
      </c>
      <c r="K2333" s="3" t="n">
        <f aca="false">I2333+J2333</f>
        <v>2</v>
      </c>
    </row>
    <row r="2334" customFormat="false" ht="15" hidden="false" customHeight="false" outlineLevel="0" collapsed="false">
      <c r="A2334" s="4" t="s">
        <v>120</v>
      </c>
      <c r="B2334" s="4" t="s">
        <v>425</v>
      </c>
      <c r="C2334" s="4" t="s">
        <v>523</v>
      </c>
      <c r="D2334" s="4" t="n">
        <f aca="false">IFERROR(INDEX(Positions!$D$2:$D$6912,MATCH($A2334&amp;"|11",Positions!$A$2:$A$6912,0)),"-")</f>
        <v>11</v>
      </c>
      <c r="E2334" s="4" t="n">
        <f aca="false">IFERROR(INDEX(Positions!$D$2:$D$6912,MATCH($A2334&amp;"|24",Positions!$A$2:$A$6912,0)),"-")</f>
        <v>24</v>
      </c>
      <c r="F2334" s="4" t="str">
        <f aca="false">IFERROR(INDEX(Positions!$E$2:$E$6912,MATCH($A2334&amp;"|11",Positions!$A$2:$A$6912,0)),"-")</f>
        <v>C</v>
      </c>
      <c r="G2334" s="4" t="str">
        <f aca="false">IFERROR(INDEX(Positions!$E$2:$E$6912,MATCH($A2334&amp;"|24",Positions!$A$2:$A$6912,0)),"-")</f>
        <v>G</v>
      </c>
      <c r="H2334" s="3" t="str">
        <f aca="false">F2334&amp;"-"&amp;G2334</f>
        <v>C-G</v>
      </c>
      <c r="I2334" s="4" t="n">
        <f aca="false">(F2334="G")+(G2334="G")</f>
        <v>1</v>
      </c>
      <c r="J2334" s="4" t="n">
        <f aca="false">(F2334="C")+(G2334="C")</f>
        <v>1</v>
      </c>
      <c r="K2334" s="3" t="n">
        <f aca="false">I2334+J2334</f>
        <v>2</v>
      </c>
    </row>
    <row r="2335" customFormat="false" ht="15" hidden="false" customHeight="false" outlineLevel="0" collapsed="false">
      <c r="A2335" s="4" t="s">
        <v>120</v>
      </c>
      <c r="B2335" s="4" t="s">
        <v>425</v>
      </c>
      <c r="C2335" s="4" t="s">
        <v>250</v>
      </c>
      <c r="D2335" s="4" t="n">
        <f aca="false">IFERROR(INDEX(Positions!$D$2:$D$6912,MATCH($A2335&amp;"|12",Positions!$A$2:$A$6912,0)),"-")</f>
        <v>12</v>
      </c>
      <c r="E2335" s="4" t="n">
        <f aca="false">IFERROR(INDEX(Positions!$D$2:$D$6912,MATCH($A2335&amp;"|23",Positions!$A$2:$A$6912,0)),"-")</f>
        <v>23</v>
      </c>
      <c r="F2335" s="4" t="str">
        <f aca="false">IFERROR(INDEX(Positions!$E$2:$E$6912,MATCH($A2335&amp;"|12",Positions!$A$2:$A$6912,0)),"-")</f>
        <v>U</v>
      </c>
      <c r="G2335" s="4" t="str">
        <f aca="false">IFERROR(INDEX(Positions!$E$2:$E$6912,MATCH($A2335&amp;"|23",Positions!$A$2:$A$6912,0)),"-")</f>
        <v>A</v>
      </c>
      <c r="H2335" s="3" t="str">
        <f aca="false">F2335&amp;"-"&amp;G2335</f>
        <v>U-A</v>
      </c>
      <c r="I2335" s="4" t="n">
        <f aca="false">(F2335="G")+(G2335="G")</f>
        <v>0</v>
      </c>
      <c r="J2335" s="4" t="n">
        <f aca="false">(F2335="C")+(G2335="C")</f>
        <v>0</v>
      </c>
      <c r="K2335" s="3" t="n">
        <f aca="false">I2335+J2335</f>
        <v>0</v>
      </c>
    </row>
    <row r="2336" customFormat="false" ht="15" hidden="false" customHeight="false" outlineLevel="0" collapsed="false">
      <c r="A2336" s="4" t="s">
        <v>120</v>
      </c>
      <c r="B2336" s="4" t="s">
        <v>425</v>
      </c>
      <c r="C2336" s="4" t="s">
        <v>154</v>
      </c>
      <c r="D2336" s="4" t="n">
        <f aca="false">IFERROR(INDEX(Positions!$D$2:$D$6912,MATCH($A2336&amp;"|13",Positions!$A$2:$A$6912,0)),"-")</f>
        <v>13</v>
      </c>
      <c r="E2336" s="4" t="n">
        <f aca="false">IFERROR(INDEX(Positions!$D$2:$D$6912,MATCH($A2336&amp;"|22",Positions!$A$2:$A$6912,0)),"-")</f>
        <v>22</v>
      </c>
      <c r="F2336" s="4" t="str">
        <f aca="false">IFERROR(INDEX(Positions!$E$2:$E$6912,MATCH($A2336&amp;"|13",Positions!$A$2:$A$6912,0)),"-")</f>
        <v>C</v>
      </c>
      <c r="G2336" s="4" t="str">
        <f aca="false">IFERROR(INDEX(Positions!$E$2:$E$6912,MATCH($A2336&amp;"|22",Positions!$A$2:$A$6912,0)),"-")</f>
        <v>G</v>
      </c>
      <c r="H2336" s="3" t="str">
        <f aca="false">F2336&amp;"-"&amp;G2336</f>
        <v>C-G</v>
      </c>
      <c r="I2336" s="4" t="n">
        <f aca="false">(F2336="G")+(G2336="G")</f>
        <v>1</v>
      </c>
      <c r="J2336" s="4" t="n">
        <f aca="false">(F2336="C")+(G2336="C")</f>
        <v>1</v>
      </c>
      <c r="K2336" s="3" t="n">
        <f aca="false">I2336+J2336</f>
        <v>2</v>
      </c>
    </row>
    <row r="2337" customFormat="false" ht="15" hidden="false" customHeight="false" outlineLevel="0" collapsed="false">
      <c r="A2337" s="4" t="s">
        <v>120</v>
      </c>
      <c r="B2337" s="4" t="s">
        <v>446</v>
      </c>
      <c r="C2337" s="4" t="s">
        <v>524</v>
      </c>
      <c r="D2337" s="4" t="n">
        <f aca="false">IFERROR(INDEX(Positions!$D$2:$D$6912,MATCH($A2337&amp;"|27",Positions!$A$2:$A$6912,0)),"-")</f>
        <v>27</v>
      </c>
      <c r="E2337" s="4" t="n">
        <f aca="false">IFERROR(INDEX(Positions!$D$2:$D$6912,MATCH($A2337&amp;"|43",Positions!$A$2:$A$6912,0)),"-")</f>
        <v>43</v>
      </c>
      <c r="F2337" s="4" t="str">
        <f aca="false">IFERROR(INDEX(Positions!$E$2:$E$6912,MATCH($A2337&amp;"|27",Positions!$A$2:$A$6912,0)),"-")</f>
        <v>C</v>
      </c>
      <c r="G2337" s="4" t="str">
        <f aca="false">IFERROR(INDEX(Positions!$E$2:$E$6912,MATCH($A2337&amp;"|43",Positions!$A$2:$A$6912,0)),"-")</f>
        <v>G</v>
      </c>
      <c r="H2337" s="3" t="str">
        <f aca="false">F2337&amp;"-"&amp;G2337</f>
        <v>C-G</v>
      </c>
      <c r="I2337" s="4" t="n">
        <f aca="false">(F2337="G")+(G2337="G")</f>
        <v>1</v>
      </c>
      <c r="J2337" s="4" t="n">
        <f aca="false">(F2337="C")+(G2337="C")</f>
        <v>1</v>
      </c>
      <c r="K2337" s="3" t="n">
        <f aca="false">I2337+J2337</f>
        <v>2</v>
      </c>
    </row>
    <row r="2338" customFormat="false" ht="15" hidden="false" customHeight="false" outlineLevel="0" collapsed="false">
      <c r="A2338" s="4" t="s">
        <v>120</v>
      </c>
      <c r="B2338" s="4" t="s">
        <v>446</v>
      </c>
      <c r="C2338" s="4" t="s">
        <v>525</v>
      </c>
      <c r="D2338" s="4" t="n">
        <f aca="false">IFERROR(INDEX(Positions!$D$2:$D$6912,MATCH($A2338&amp;"|28",Positions!$A$2:$A$6912,0)),"-")</f>
        <v>28</v>
      </c>
      <c r="E2338" s="4" t="n">
        <f aca="false">IFERROR(INDEX(Positions!$D$2:$D$6912,MATCH($A2338&amp;"|42",Positions!$A$2:$A$6912,0)),"-")</f>
        <v>42</v>
      </c>
      <c r="F2338" s="4" t="str">
        <f aca="false">IFERROR(INDEX(Positions!$E$2:$E$6912,MATCH($A2338&amp;"|28",Positions!$A$2:$A$6912,0)),"-")</f>
        <v>U</v>
      </c>
      <c r="G2338" s="4" t="str">
        <f aca="false">IFERROR(INDEX(Positions!$E$2:$E$6912,MATCH($A2338&amp;"|42",Positions!$A$2:$A$6912,0)),"-")</f>
        <v>A</v>
      </c>
      <c r="H2338" s="3" t="str">
        <f aca="false">F2338&amp;"-"&amp;G2338</f>
        <v>U-A</v>
      </c>
      <c r="I2338" s="4" t="n">
        <f aca="false">(F2338="G")+(G2338="G")</f>
        <v>0</v>
      </c>
      <c r="J2338" s="4" t="n">
        <f aca="false">(F2338="C")+(G2338="C")</f>
        <v>0</v>
      </c>
      <c r="K2338" s="3" t="n">
        <f aca="false">I2338+J2338</f>
        <v>0</v>
      </c>
    </row>
    <row r="2339" customFormat="false" ht="15" hidden="false" customHeight="false" outlineLevel="0" collapsed="false">
      <c r="A2339" s="4" t="s">
        <v>120</v>
      </c>
      <c r="B2339" s="4" t="s">
        <v>446</v>
      </c>
      <c r="C2339" s="4" t="s">
        <v>256</v>
      </c>
      <c r="D2339" s="4" t="n">
        <f aca="false">IFERROR(INDEX(Positions!$D$2:$D$6912,MATCH($A2339&amp;"|29",Positions!$A$2:$A$6912,0)),"-")</f>
        <v>29</v>
      </c>
      <c r="E2339" s="4" t="n">
        <f aca="false">IFERROR(INDEX(Positions!$D$2:$D$6912,MATCH($A2339&amp;"|41",Positions!$A$2:$A$6912,0)),"-")</f>
        <v>41</v>
      </c>
      <c r="F2339" s="4" t="str">
        <f aca="false">IFERROR(INDEX(Positions!$E$2:$E$6912,MATCH($A2339&amp;"|29",Positions!$A$2:$A$6912,0)),"-")</f>
        <v>C</v>
      </c>
      <c r="G2339" s="4" t="str">
        <f aca="false">IFERROR(INDEX(Positions!$E$2:$E$6912,MATCH($A2339&amp;"|41",Positions!$A$2:$A$6912,0)),"-")</f>
        <v>G</v>
      </c>
      <c r="H2339" s="3" t="str">
        <f aca="false">F2339&amp;"-"&amp;G2339</f>
        <v>C-G</v>
      </c>
      <c r="I2339" s="4" t="n">
        <f aca="false">(F2339="G")+(G2339="G")</f>
        <v>1</v>
      </c>
      <c r="J2339" s="4" t="n">
        <f aca="false">(F2339="C")+(G2339="C")</f>
        <v>1</v>
      </c>
      <c r="K2339" s="3" t="n">
        <f aca="false">I2339+J2339</f>
        <v>2</v>
      </c>
    </row>
    <row r="2340" customFormat="false" ht="15" hidden="false" customHeight="false" outlineLevel="0" collapsed="false">
      <c r="A2340" s="4" t="s">
        <v>120</v>
      </c>
      <c r="B2340" s="4" t="s">
        <v>446</v>
      </c>
      <c r="C2340" s="4" t="s">
        <v>526</v>
      </c>
      <c r="D2340" s="4" t="n">
        <f aca="false">IFERROR(INDEX(Positions!$D$2:$D$6912,MATCH($A2340&amp;"|30",Positions!$A$2:$A$6912,0)),"-")</f>
        <v>30</v>
      </c>
      <c r="E2340" s="4" t="n">
        <f aca="false">IFERROR(INDEX(Positions!$D$2:$D$6912,MATCH($A2340&amp;"|40",Positions!$A$2:$A$6912,0)),"-")</f>
        <v>40</v>
      </c>
      <c r="F2340" s="4" t="str">
        <f aca="false">IFERROR(INDEX(Positions!$E$2:$E$6912,MATCH($A2340&amp;"|30",Positions!$A$2:$A$6912,0)),"-")</f>
        <v>G</v>
      </c>
      <c r="G2340" s="4" t="str">
        <f aca="false">IFERROR(INDEX(Positions!$E$2:$E$6912,MATCH($A2340&amp;"|40",Positions!$A$2:$A$6912,0)),"-")</f>
        <v>C</v>
      </c>
      <c r="H2340" s="3" t="str">
        <f aca="false">F2340&amp;"-"&amp;G2340</f>
        <v>G-C</v>
      </c>
      <c r="I2340" s="4" t="n">
        <f aca="false">(F2340="G")+(G2340="G")</f>
        <v>1</v>
      </c>
      <c r="J2340" s="4" t="n">
        <f aca="false">(F2340="C")+(G2340="C")</f>
        <v>1</v>
      </c>
      <c r="K2340" s="3" t="n">
        <f aca="false">I2340+J2340</f>
        <v>2</v>
      </c>
    </row>
    <row r="2341" customFormat="false" ht="15" hidden="false" customHeight="false" outlineLevel="0" collapsed="false">
      <c r="A2341" s="4" t="s">
        <v>120</v>
      </c>
      <c r="B2341" s="4" t="s">
        <v>446</v>
      </c>
      <c r="C2341" s="4" t="s">
        <v>273</v>
      </c>
      <c r="D2341" s="4" t="n">
        <f aca="false">IFERROR(INDEX(Positions!$D$2:$D$6912,MATCH($A2341&amp;"|31",Positions!$A$2:$A$6912,0)),"-")</f>
        <v>31</v>
      </c>
      <c r="E2341" s="4" t="n">
        <f aca="false">IFERROR(INDEX(Positions!$D$2:$D$6912,MATCH($A2341&amp;"|39",Positions!$A$2:$A$6912,0)),"-")</f>
        <v>39</v>
      </c>
      <c r="F2341" s="4" t="str">
        <f aca="false">IFERROR(INDEX(Positions!$E$2:$E$6912,MATCH($A2341&amp;"|31",Positions!$A$2:$A$6912,0)),"-")</f>
        <v>C</v>
      </c>
      <c r="G2341" s="4" t="str">
        <f aca="false">IFERROR(INDEX(Positions!$E$2:$E$6912,MATCH($A2341&amp;"|39",Positions!$A$2:$A$6912,0)),"-")</f>
        <v>G</v>
      </c>
      <c r="H2341" s="3" t="str">
        <f aca="false">F2341&amp;"-"&amp;G2341</f>
        <v>C-G</v>
      </c>
      <c r="I2341" s="4" t="n">
        <f aca="false">(F2341="G")+(G2341="G")</f>
        <v>1</v>
      </c>
      <c r="J2341" s="4" t="n">
        <f aca="false">(F2341="C")+(G2341="C")</f>
        <v>1</v>
      </c>
      <c r="K2341" s="3" t="n">
        <f aca="false">I2341+J2341</f>
        <v>2</v>
      </c>
    </row>
    <row r="2342" customFormat="false" ht="15" hidden="false" customHeight="false" outlineLevel="0" collapsed="false">
      <c r="A2342" s="4" t="s">
        <v>120</v>
      </c>
      <c r="B2342" s="4" t="s">
        <v>471</v>
      </c>
      <c r="C2342" s="4" t="s">
        <v>367</v>
      </c>
      <c r="D2342" s="4" t="n">
        <f aca="false">IFERROR(INDEX(Positions!$D$2:$D$6912,MATCH($A2342&amp;"|49",Positions!$A$2:$A$6912,0)),"-")</f>
        <v>49</v>
      </c>
      <c r="E2342" s="4" t="n">
        <f aca="false">IFERROR(INDEX(Positions!$D$2:$D$6912,MATCH($A2342&amp;"|65",Positions!$A$2:$A$6912,0)),"-")</f>
        <v>65</v>
      </c>
      <c r="F2342" s="4" t="str">
        <f aca="false">IFERROR(INDEX(Positions!$E$2:$E$6912,MATCH($A2342&amp;"|49",Positions!$A$2:$A$6912,0)),"-")</f>
        <v>G</v>
      </c>
      <c r="G2342" s="4" t="str">
        <f aca="false">IFERROR(INDEX(Positions!$E$2:$E$6912,MATCH($A2342&amp;"|65",Positions!$A$2:$A$6912,0)),"-")</f>
        <v>C</v>
      </c>
      <c r="H2342" s="3" t="str">
        <f aca="false">F2342&amp;"-"&amp;G2342</f>
        <v>G-C</v>
      </c>
      <c r="I2342" s="4" t="n">
        <f aca="false">(F2342="G")+(G2342="G")</f>
        <v>1</v>
      </c>
      <c r="J2342" s="4" t="n">
        <f aca="false">(F2342="C")+(G2342="C")</f>
        <v>1</v>
      </c>
      <c r="K2342" s="3" t="n">
        <f aca="false">I2342+J2342</f>
        <v>2</v>
      </c>
    </row>
    <row r="2343" customFormat="false" ht="15" hidden="false" customHeight="false" outlineLevel="0" collapsed="false">
      <c r="A2343" s="4" t="s">
        <v>120</v>
      </c>
      <c r="B2343" s="4" t="s">
        <v>471</v>
      </c>
      <c r="C2343" s="4" t="s">
        <v>233</v>
      </c>
      <c r="D2343" s="4" t="n">
        <f aca="false">IFERROR(INDEX(Positions!$D$2:$D$6912,MATCH($A2343&amp;"|50",Positions!$A$2:$A$6912,0)),"-")</f>
        <v>50</v>
      </c>
      <c r="E2343" s="4" t="n">
        <f aca="false">IFERROR(INDEX(Positions!$D$2:$D$6912,MATCH($A2343&amp;"|64",Positions!$A$2:$A$6912,0)),"-")</f>
        <v>64</v>
      </c>
      <c r="F2343" s="4" t="str">
        <f aca="false">IFERROR(INDEX(Positions!$E$2:$E$6912,MATCH($A2343&amp;"|50",Positions!$A$2:$A$6912,0)),"-")</f>
        <v>C</v>
      </c>
      <c r="G2343" s="4" t="str">
        <f aca="false">IFERROR(INDEX(Positions!$E$2:$E$6912,MATCH($A2343&amp;"|64",Positions!$A$2:$A$6912,0)),"-")</f>
        <v>G</v>
      </c>
      <c r="H2343" s="3" t="str">
        <f aca="false">F2343&amp;"-"&amp;G2343</f>
        <v>C-G</v>
      </c>
      <c r="I2343" s="4" t="n">
        <f aca="false">(F2343="G")+(G2343="G")</f>
        <v>1</v>
      </c>
      <c r="J2343" s="4" t="n">
        <f aca="false">(F2343="C")+(G2343="C")</f>
        <v>1</v>
      </c>
      <c r="K2343" s="3" t="n">
        <f aca="false">I2343+J2343</f>
        <v>2</v>
      </c>
    </row>
    <row r="2344" customFormat="false" ht="15" hidden="false" customHeight="false" outlineLevel="0" collapsed="false">
      <c r="A2344" s="4" t="s">
        <v>120</v>
      </c>
      <c r="B2344" s="4" t="s">
        <v>471</v>
      </c>
      <c r="C2344" s="4" t="s">
        <v>527</v>
      </c>
      <c r="D2344" s="4" t="n">
        <f aca="false">IFERROR(INDEX(Positions!$D$2:$D$6912,MATCH($A2344&amp;"|51",Positions!$A$2:$A$6912,0)),"-")</f>
        <v>51</v>
      </c>
      <c r="E2344" s="4" t="n">
        <f aca="false">IFERROR(INDEX(Positions!$D$2:$D$6912,MATCH($A2344&amp;"|63",Positions!$A$2:$A$6912,0)),"-")</f>
        <v>63</v>
      </c>
      <c r="F2344" s="4" t="str">
        <f aca="false">IFERROR(INDEX(Positions!$E$2:$E$6912,MATCH($A2344&amp;"|51",Positions!$A$2:$A$6912,0)),"-")</f>
        <v>G</v>
      </c>
      <c r="G2344" s="4" t="str">
        <f aca="false">IFERROR(INDEX(Positions!$E$2:$E$6912,MATCH($A2344&amp;"|63",Positions!$A$2:$A$6912,0)),"-")</f>
        <v>C</v>
      </c>
      <c r="H2344" s="3" t="str">
        <f aca="false">F2344&amp;"-"&amp;G2344</f>
        <v>G-C</v>
      </c>
      <c r="I2344" s="4" t="n">
        <f aca="false">(F2344="G")+(G2344="G")</f>
        <v>1</v>
      </c>
      <c r="J2344" s="4" t="n">
        <f aca="false">(F2344="C")+(G2344="C")</f>
        <v>1</v>
      </c>
      <c r="K2344" s="3" t="n">
        <f aca="false">I2344+J2344</f>
        <v>2</v>
      </c>
    </row>
    <row r="2345" customFormat="false" ht="15" hidden="false" customHeight="false" outlineLevel="0" collapsed="false">
      <c r="A2345" s="4" t="s">
        <v>120</v>
      </c>
      <c r="B2345" s="4" t="s">
        <v>471</v>
      </c>
      <c r="C2345" s="4" t="s">
        <v>528</v>
      </c>
      <c r="D2345" s="4" t="n">
        <f aca="false">IFERROR(INDEX(Positions!$D$2:$D$6912,MATCH($A2345&amp;"|52",Positions!$A$2:$A$6912,0)),"-")</f>
        <v>52</v>
      </c>
      <c r="E2345" s="4" t="n">
        <f aca="false">IFERROR(INDEX(Positions!$D$2:$D$6912,MATCH($A2345&amp;"|62",Positions!$A$2:$A$6912,0)),"-")</f>
        <v>62</v>
      </c>
      <c r="F2345" s="4" t="str">
        <f aca="false">IFERROR(INDEX(Positions!$E$2:$E$6912,MATCH($A2345&amp;"|52",Positions!$A$2:$A$6912,0)),"-")</f>
        <v>G</v>
      </c>
      <c r="G2345" s="4" t="str">
        <f aca="false">IFERROR(INDEX(Positions!$E$2:$E$6912,MATCH($A2345&amp;"|62",Positions!$A$2:$A$6912,0)),"-")</f>
        <v>C</v>
      </c>
      <c r="H2345" s="3" t="str">
        <f aca="false">F2345&amp;"-"&amp;G2345</f>
        <v>G-C</v>
      </c>
      <c r="I2345" s="4" t="n">
        <f aca="false">(F2345="G")+(G2345="G")</f>
        <v>1</v>
      </c>
      <c r="J2345" s="4" t="n">
        <f aca="false">(F2345="C")+(G2345="C")</f>
        <v>1</v>
      </c>
      <c r="K2345" s="3" t="n">
        <f aca="false">I2345+J2345</f>
        <v>2</v>
      </c>
    </row>
    <row r="2346" customFormat="false" ht="15" hidden="false" customHeight="false" outlineLevel="0" collapsed="false">
      <c r="A2346" s="4" t="s">
        <v>120</v>
      </c>
      <c r="B2346" s="4" t="s">
        <v>471</v>
      </c>
      <c r="C2346" s="4" t="s">
        <v>529</v>
      </c>
      <c r="D2346" s="4" t="n">
        <f aca="false">IFERROR(INDEX(Positions!$D$2:$D$6912,MATCH($A2346&amp;"|53",Positions!$A$2:$A$6912,0)),"-")</f>
        <v>53</v>
      </c>
      <c r="E2346" s="4" t="n">
        <f aca="false">IFERROR(INDEX(Positions!$D$2:$D$6912,MATCH($A2346&amp;"|61",Positions!$A$2:$A$6912,0)),"-")</f>
        <v>61</v>
      </c>
      <c r="F2346" s="4" t="str">
        <f aca="false">IFERROR(INDEX(Positions!$E$2:$E$6912,MATCH($A2346&amp;"|53",Positions!$A$2:$A$6912,0)),"-")</f>
        <v>G</v>
      </c>
      <c r="G2346" s="4" t="str">
        <f aca="false">IFERROR(INDEX(Positions!$E$2:$E$6912,MATCH($A2346&amp;"|61",Positions!$A$2:$A$6912,0)),"-")</f>
        <v>C</v>
      </c>
      <c r="H2346" s="3" t="str">
        <f aca="false">F2346&amp;"-"&amp;G2346</f>
        <v>G-C</v>
      </c>
      <c r="I2346" s="4" t="n">
        <f aca="false">(F2346="G")+(G2346="G")</f>
        <v>1</v>
      </c>
      <c r="J2346" s="4" t="n">
        <f aca="false">(F2346="C")+(G2346="C")</f>
        <v>1</v>
      </c>
      <c r="K2346" s="3" t="n">
        <f aca="false">I2346+J2346</f>
        <v>2</v>
      </c>
    </row>
    <row r="2347" customFormat="false" ht="15" hidden="false" customHeight="false" outlineLevel="0" collapsed="false">
      <c r="A2347" s="24" t="s">
        <v>120</v>
      </c>
      <c r="B2347" s="24" t="s">
        <v>530</v>
      </c>
      <c r="C2347" s="24" t="s">
        <v>531</v>
      </c>
      <c r="D2347" s="24" t="n">
        <f aca="false">IFERROR(INDEX(Positions!$D$2:$D$6912,MATCH($A2347&amp;"|8",Positions!$A$2:$A$6912,0)),"-")</f>
        <v>8</v>
      </c>
      <c r="E2347" s="24" t="n">
        <f aca="false">IFERROR(INDEX(Positions!$D$2:$D$6912,MATCH($A2347&amp;"|14",Positions!$A$2:$A$6912,0)),"-")</f>
        <v>14</v>
      </c>
      <c r="F2347" s="24" t="str">
        <f aca="false">IFERROR(INDEX(Positions!$E$2:$E$6912,MATCH($A2347&amp;"|8",Positions!$A$2:$A$6912,0)),"-")</f>
        <v>U</v>
      </c>
      <c r="G2347" s="24" t="str">
        <f aca="false">IFERROR(INDEX(Positions!$E$2:$E$6912,MATCH($A2347&amp;"|14",Positions!$A$2:$A$6912,0)),"-")</f>
        <v>A</v>
      </c>
      <c r="H2347" s="25" t="str">
        <f aca="false">F2347&amp;"-"&amp;G2347</f>
        <v>U-A</v>
      </c>
      <c r="I2347" s="24" t="n">
        <f aca="false">(F2347="G")+(G2347="G")</f>
        <v>0</v>
      </c>
      <c r="J2347" s="24" t="n">
        <f aca="false">(F2347="C")+(G2347="C")</f>
        <v>0</v>
      </c>
      <c r="K2347" s="25" t="n">
        <f aca="false">I2347+J2347</f>
        <v>0</v>
      </c>
    </row>
    <row r="2348" customFormat="false" ht="15" hidden="false" customHeight="false" outlineLevel="0" collapsed="false">
      <c r="A2348" s="24" t="s">
        <v>120</v>
      </c>
      <c r="B2348" s="24" t="s">
        <v>530</v>
      </c>
      <c r="C2348" s="24" t="s">
        <v>532</v>
      </c>
      <c r="D2348" s="24" t="n">
        <f aca="false">IFERROR(INDEX(Positions!$D$2:$D$6912,MATCH($A2348&amp;"|15",Positions!$A$2:$A$6912,0)),"-")</f>
        <v>15</v>
      </c>
      <c r="E2348" s="24" t="n">
        <f aca="false">IFERROR(INDEX(Positions!$D$2:$D$6912,MATCH($A2348&amp;"|48",Positions!$A$2:$A$6912,0)),"-")</f>
        <v>48</v>
      </c>
      <c r="F2348" s="24" t="str">
        <f aca="false">IFERROR(INDEX(Positions!$E$2:$E$6912,MATCH($A2348&amp;"|15",Positions!$A$2:$A$6912,0)),"-")</f>
        <v>A</v>
      </c>
      <c r="G2348" s="24" t="str">
        <f aca="false">IFERROR(INDEX(Positions!$E$2:$E$6912,MATCH($A2348&amp;"|48",Positions!$A$2:$A$6912,0)),"-")</f>
        <v>A</v>
      </c>
      <c r="H2348" s="25" t="str">
        <f aca="false">F2348&amp;"-"&amp;G2348</f>
        <v>A-A</v>
      </c>
      <c r="I2348" s="24" t="n">
        <f aca="false">(F2348="G")+(G2348="G")</f>
        <v>0</v>
      </c>
      <c r="J2348" s="24" t="n">
        <f aca="false">(F2348="C")+(G2348="C")</f>
        <v>0</v>
      </c>
      <c r="K2348" s="25" t="n">
        <f aca="false">I2348+J2348</f>
        <v>0</v>
      </c>
    </row>
    <row r="2349" customFormat="false" ht="15" hidden="false" customHeight="false" outlineLevel="0" collapsed="false">
      <c r="A2349" s="24" t="s">
        <v>120</v>
      </c>
      <c r="B2349" s="24" t="s">
        <v>530</v>
      </c>
      <c r="C2349" s="24" t="s">
        <v>533</v>
      </c>
      <c r="D2349" s="24" t="n">
        <f aca="false">IFERROR(INDEX(Positions!$D$2:$D$6912,MATCH($A2349&amp;"|18",Positions!$A$2:$A$6912,0)),"-")</f>
        <v>18</v>
      </c>
      <c r="E2349" s="24" t="n">
        <f aca="false">IFERROR(INDEX(Positions!$D$2:$D$6912,MATCH($A2349&amp;"|55",Positions!$A$2:$A$6912,0)),"-")</f>
        <v>55</v>
      </c>
      <c r="F2349" s="24" t="str">
        <f aca="false">IFERROR(INDEX(Positions!$E$2:$E$6912,MATCH($A2349&amp;"|18",Positions!$A$2:$A$6912,0)),"-")</f>
        <v>G</v>
      </c>
      <c r="G2349" s="24" t="str">
        <f aca="false">IFERROR(INDEX(Positions!$E$2:$E$6912,MATCH($A2349&amp;"|55",Positions!$A$2:$A$6912,0)),"-")</f>
        <v>U</v>
      </c>
      <c r="H2349" s="25" t="str">
        <f aca="false">F2349&amp;"-"&amp;G2349</f>
        <v>G-U</v>
      </c>
      <c r="I2349" s="24" t="n">
        <f aca="false">(F2349="G")+(G2349="G")</f>
        <v>1</v>
      </c>
      <c r="J2349" s="24" t="n">
        <f aca="false">(F2349="C")+(G2349="C")</f>
        <v>0</v>
      </c>
      <c r="K2349" s="25" t="n">
        <f aca="false">I2349+J2349</f>
        <v>1</v>
      </c>
    </row>
    <row r="2350" customFormat="false" ht="15" hidden="false" customHeight="false" outlineLevel="0" collapsed="false">
      <c r="A2350" s="24" t="s">
        <v>120</v>
      </c>
      <c r="B2350" s="24" t="s">
        <v>530</v>
      </c>
      <c r="C2350" s="24" t="s">
        <v>534</v>
      </c>
      <c r="D2350" s="24" t="n">
        <f aca="false">IFERROR(INDEX(Positions!$D$2:$D$6912,MATCH($A2350&amp;"|19",Positions!$A$2:$A$6912,0)),"-")</f>
        <v>19</v>
      </c>
      <c r="E2350" s="24" t="n">
        <f aca="false">IFERROR(INDEX(Positions!$D$2:$D$6912,MATCH($A2350&amp;"|56",Positions!$A$2:$A$6912,0)),"-")</f>
        <v>56</v>
      </c>
      <c r="F2350" s="24" t="str">
        <f aca="false">IFERROR(INDEX(Positions!$E$2:$E$6912,MATCH($A2350&amp;"|19",Positions!$A$2:$A$6912,0)),"-")</f>
        <v>G</v>
      </c>
      <c r="G2350" s="24" t="str">
        <f aca="false">IFERROR(INDEX(Positions!$E$2:$E$6912,MATCH($A2350&amp;"|56",Positions!$A$2:$A$6912,0)),"-")</f>
        <v>C</v>
      </c>
      <c r="H2350" s="25" t="str">
        <f aca="false">F2350&amp;"-"&amp;G2350</f>
        <v>G-C</v>
      </c>
      <c r="I2350" s="24" t="n">
        <f aca="false">(F2350="G")+(G2350="G")</f>
        <v>1</v>
      </c>
      <c r="J2350" s="24" t="n">
        <f aca="false">(F2350="C")+(G2350="C")</f>
        <v>1</v>
      </c>
      <c r="K2350" s="25" t="n">
        <f aca="false">I2350+J2350</f>
        <v>2</v>
      </c>
    </row>
    <row r="2351" customFormat="false" ht="15" hidden="false" customHeight="false" outlineLevel="0" collapsed="false">
      <c r="A2351" s="24" t="s">
        <v>120</v>
      </c>
      <c r="B2351" s="24" t="s">
        <v>530</v>
      </c>
      <c r="C2351" s="24" t="s">
        <v>535</v>
      </c>
      <c r="D2351" s="24" t="n">
        <f aca="false">IFERROR(INDEX(Positions!$D$2:$D$6912,MATCH($A2351&amp;"|26",Positions!$A$2:$A$6912,0)),"-")</f>
        <v>26</v>
      </c>
      <c r="E2351" s="24" t="n">
        <f aca="false">IFERROR(INDEX(Positions!$D$2:$D$6912,MATCH($A2351&amp;"|44",Positions!$A$2:$A$6912,0)),"-")</f>
        <v>44</v>
      </c>
      <c r="F2351" s="24" t="str">
        <f aca="false">IFERROR(INDEX(Positions!$E$2:$E$6912,MATCH($A2351&amp;"|26",Positions!$A$2:$A$6912,0)),"-")</f>
        <v>G</v>
      </c>
      <c r="G2351" s="24" t="str">
        <f aca="false">IFERROR(INDEX(Positions!$E$2:$E$6912,MATCH($A2351&amp;"|44",Positions!$A$2:$A$6912,0)),"-")</f>
        <v>A</v>
      </c>
      <c r="H2351" s="25" t="str">
        <f aca="false">F2351&amp;"-"&amp;G2351</f>
        <v>G-A</v>
      </c>
      <c r="I2351" s="24" t="n">
        <f aca="false">(F2351="G")+(G2351="G")</f>
        <v>1</v>
      </c>
      <c r="J2351" s="24" t="n">
        <f aca="false">(F2351="C")+(G2351="C")</f>
        <v>0</v>
      </c>
      <c r="K2351" s="25" t="n">
        <f aca="false">I2351+J2351</f>
        <v>1</v>
      </c>
    </row>
    <row r="2352" customFormat="false" ht="15" hidden="false" customHeight="false" outlineLevel="0" collapsed="false">
      <c r="A2352" s="24" t="s">
        <v>120</v>
      </c>
      <c r="B2352" s="24" t="s">
        <v>530</v>
      </c>
      <c r="C2352" s="24" t="s">
        <v>536</v>
      </c>
      <c r="D2352" s="24" t="n">
        <f aca="false">IFERROR(INDEX(Positions!$D$2:$D$6912,MATCH($A2352&amp;"|32",Positions!$A$2:$A$6912,0)),"-")</f>
        <v>32</v>
      </c>
      <c r="E2352" s="24" t="n">
        <f aca="false">IFERROR(INDEX(Positions!$D$2:$D$6912,MATCH($A2352&amp;"|38",Positions!$A$2:$A$6912,0)),"-")</f>
        <v>38</v>
      </c>
      <c r="F2352" s="24" t="str">
        <f aca="false">IFERROR(INDEX(Positions!$E$2:$E$6912,MATCH($A2352&amp;"|32",Positions!$A$2:$A$6912,0)),"-")</f>
        <v>U</v>
      </c>
      <c r="G2352" s="24" t="str">
        <f aca="false">IFERROR(INDEX(Positions!$E$2:$E$6912,MATCH($A2352&amp;"|38",Positions!$A$2:$A$6912,0)),"-")</f>
        <v>U</v>
      </c>
      <c r="H2352" s="25" t="str">
        <f aca="false">F2352&amp;"-"&amp;G2352</f>
        <v>U-U</v>
      </c>
      <c r="I2352" s="24" t="n">
        <f aca="false">(F2352="G")+(G2352="G")</f>
        <v>0</v>
      </c>
      <c r="J2352" s="24" t="n">
        <f aca="false">(F2352="C")+(G2352="C")</f>
        <v>0</v>
      </c>
      <c r="K2352" s="25" t="n">
        <f aca="false">I2352+J2352</f>
        <v>0</v>
      </c>
    </row>
    <row r="2353" customFormat="false" ht="15" hidden="false" customHeight="false" outlineLevel="0" collapsed="false">
      <c r="A2353" s="24" t="s">
        <v>120</v>
      </c>
      <c r="B2353" s="24" t="s">
        <v>530</v>
      </c>
      <c r="C2353" s="24" t="s">
        <v>537</v>
      </c>
      <c r="D2353" s="24" t="n">
        <f aca="false">IFERROR(INDEX(Positions!$D$2:$D$6912,MATCH($A2353&amp;"|54",Positions!$A$2:$A$6912,0)),"-")</f>
        <v>54</v>
      </c>
      <c r="E2353" s="24" t="n">
        <f aca="false">IFERROR(INDEX(Positions!$D$2:$D$6912,MATCH($A2353&amp;"|58",Positions!$A$2:$A$6912,0)),"-")</f>
        <v>58</v>
      </c>
      <c r="F2353" s="24" t="str">
        <f aca="false">IFERROR(INDEX(Positions!$E$2:$E$6912,MATCH($A2353&amp;"|54",Positions!$A$2:$A$6912,0)),"-")</f>
        <v>A</v>
      </c>
      <c r="G2353" s="24" t="str">
        <f aca="false">IFERROR(INDEX(Positions!$E$2:$E$6912,MATCH($A2353&amp;"|58",Positions!$A$2:$A$6912,0)),"-")</f>
        <v>A</v>
      </c>
      <c r="H2353" s="25" t="str">
        <f aca="false">F2353&amp;"-"&amp;G2353</f>
        <v>A-A</v>
      </c>
      <c r="I2353" s="24" t="n">
        <f aca="false">(F2353="G")+(G2353="G")</f>
        <v>0</v>
      </c>
      <c r="J2353" s="24" t="n">
        <f aca="false">(F2353="C")+(G2353="C")</f>
        <v>0</v>
      </c>
      <c r="K2353" s="25" t="n">
        <f aca="false">I2353+J2353</f>
        <v>0</v>
      </c>
    </row>
    <row r="2354" customFormat="false" ht="15" hidden="false" customHeight="false" outlineLevel="0" collapsed="false">
      <c r="A2354" s="4" t="s">
        <v>121</v>
      </c>
      <c r="B2354" s="4" t="s">
        <v>412</v>
      </c>
      <c r="C2354" s="4" t="s">
        <v>517</v>
      </c>
      <c r="D2354" s="4" t="n">
        <f aca="false">IFERROR(INDEX(Positions!$D$2:$D$6912,MATCH($A2354&amp;"|1",Positions!$A$2:$A$6912,0)),"-")</f>
        <v>1</v>
      </c>
      <c r="E2354" s="4" t="n">
        <f aca="false">IFERROR(INDEX(Positions!$D$2:$D$6912,MATCH($A2354&amp;"|72",Positions!$A$2:$A$6912,0)),"-")</f>
        <v>71</v>
      </c>
      <c r="F2354" s="4" t="str">
        <f aca="false">IFERROR(INDEX(Positions!$E$2:$E$6912,MATCH($A2354&amp;"|1",Positions!$A$2:$A$6912,0)),"-")</f>
        <v>G</v>
      </c>
      <c r="G2354" s="4" t="str">
        <f aca="false">IFERROR(INDEX(Positions!$E$2:$E$6912,MATCH($A2354&amp;"|72",Positions!$A$2:$A$6912,0)),"-")</f>
        <v>C</v>
      </c>
      <c r="H2354" s="3" t="str">
        <f aca="false">F2354&amp;"-"&amp;G2354</f>
        <v>G-C</v>
      </c>
      <c r="I2354" s="4" t="n">
        <f aca="false">(F2354="G")+(G2354="G")</f>
        <v>1</v>
      </c>
      <c r="J2354" s="4" t="n">
        <f aca="false">(F2354="C")+(G2354="C")</f>
        <v>1</v>
      </c>
      <c r="K2354" s="3" t="n">
        <f aca="false">I2354+J2354</f>
        <v>2</v>
      </c>
    </row>
    <row r="2355" customFormat="false" ht="15" hidden="false" customHeight="false" outlineLevel="0" collapsed="false">
      <c r="A2355" s="4" t="s">
        <v>121</v>
      </c>
      <c r="B2355" s="4" t="s">
        <v>412</v>
      </c>
      <c r="C2355" s="4" t="s">
        <v>518</v>
      </c>
      <c r="D2355" s="4" t="n">
        <f aca="false">IFERROR(INDEX(Positions!$D$2:$D$6912,MATCH($A2355&amp;"|2",Positions!$A$2:$A$6912,0)),"-")</f>
        <v>2</v>
      </c>
      <c r="E2355" s="4" t="n">
        <f aca="false">IFERROR(INDEX(Positions!$D$2:$D$6912,MATCH($A2355&amp;"|71",Positions!$A$2:$A$6912,0)),"-")</f>
        <v>70</v>
      </c>
      <c r="F2355" s="4" t="str">
        <f aca="false">IFERROR(INDEX(Positions!$E$2:$E$6912,MATCH($A2355&amp;"|2",Positions!$A$2:$A$6912,0)),"-")</f>
        <v>G</v>
      </c>
      <c r="G2355" s="4" t="str">
        <f aca="false">IFERROR(INDEX(Positions!$E$2:$E$6912,MATCH($A2355&amp;"|71",Positions!$A$2:$A$6912,0)),"-")</f>
        <v>C</v>
      </c>
      <c r="H2355" s="3" t="str">
        <f aca="false">F2355&amp;"-"&amp;G2355</f>
        <v>G-C</v>
      </c>
      <c r="I2355" s="4" t="n">
        <f aca="false">(F2355="G")+(G2355="G")</f>
        <v>1</v>
      </c>
      <c r="J2355" s="4" t="n">
        <f aca="false">(F2355="C")+(G2355="C")</f>
        <v>1</v>
      </c>
      <c r="K2355" s="3" t="n">
        <f aca="false">I2355+J2355</f>
        <v>2</v>
      </c>
    </row>
    <row r="2356" customFormat="false" ht="15" hidden="false" customHeight="false" outlineLevel="0" collapsed="false">
      <c r="A2356" s="4" t="s">
        <v>121</v>
      </c>
      <c r="B2356" s="4" t="s">
        <v>412</v>
      </c>
      <c r="C2356" s="4" t="s">
        <v>386</v>
      </c>
      <c r="D2356" s="4" t="n">
        <f aca="false">IFERROR(INDEX(Positions!$D$2:$D$6912,MATCH($A2356&amp;"|3",Positions!$A$2:$A$6912,0)),"-")</f>
        <v>3</v>
      </c>
      <c r="E2356" s="4" t="n">
        <f aca="false">IFERROR(INDEX(Positions!$D$2:$D$6912,MATCH($A2356&amp;"|70",Positions!$A$2:$A$6912,0)),"-")</f>
        <v>69</v>
      </c>
      <c r="F2356" s="4" t="str">
        <f aca="false">IFERROR(INDEX(Positions!$E$2:$E$6912,MATCH($A2356&amp;"|3",Positions!$A$2:$A$6912,0)),"-")</f>
        <v>C</v>
      </c>
      <c r="G2356" s="4" t="str">
        <f aca="false">IFERROR(INDEX(Positions!$E$2:$E$6912,MATCH($A2356&amp;"|70",Positions!$A$2:$A$6912,0)),"-")</f>
        <v>A</v>
      </c>
      <c r="H2356" s="3" t="str">
        <f aca="false">F2356&amp;"-"&amp;G2356</f>
        <v>C-A</v>
      </c>
      <c r="I2356" s="4" t="n">
        <f aca="false">(F2356="G")+(G2356="G")</f>
        <v>0</v>
      </c>
      <c r="J2356" s="4" t="n">
        <f aca="false">(F2356="C")+(G2356="C")</f>
        <v>1</v>
      </c>
      <c r="K2356" s="3" t="n">
        <f aca="false">I2356+J2356</f>
        <v>1</v>
      </c>
    </row>
    <row r="2357" customFormat="false" ht="15" hidden="false" customHeight="false" outlineLevel="0" collapsed="false">
      <c r="A2357" s="4" t="s">
        <v>121</v>
      </c>
      <c r="B2357" s="4" t="s">
        <v>412</v>
      </c>
      <c r="C2357" s="4" t="s">
        <v>519</v>
      </c>
      <c r="D2357" s="4" t="n">
        <f aca="false">IFERROR(INDEX(Positions!$D$2:$D$6912,MATCH($A2357&amp;"|4",Positions!$A$2:$A$6912,0)),"-")</f>
        <v>4</v>
      </c>
      <c r="E2357" s="4" t="n">
        <f aca="false">IFERROR(INDEX(Positions!$D$2:$D$6912,MATCH($A2357&amp;"|69",Positions!$A$2:$A$6912,0)),"-")</f>
        <v>68</v>
      </c>
      <c r="F2357" s="4" t="str">
        <f aca="false">IFERROR(INDEX(Positions!$E$2:$E$6912,MATCH($A2357&amp;"|4",Positions!$A$2:$A$6912,0)),"-")</f>
        <v>C</v>
      </c>
      <c r="G2357" s="4" t="str">
        <f aca="false">IFERROR(INDEX(Positions!$E$2:$E$6912,MATCH($A2357&amp;"|69",Positions!$A$2:$A$6912,0)),"-")</f>
        <v>G</v>
      </c>
      <c r="H2357" s="3" t="str">
        <f aca="false">F2357&amp;"-"&amp;G2357</f>
        <v>C-G</v>
      </c>
      <c r="I2357" s="4" t="n">
        <f aca="false">(F2357="G")+(G2357="G")</f>
        <v>1</v>
      </c>
      <c r="J2357" s="4" t="n">
        <f aca="false">(F2357="C")+(G2357="C")</f>
        <v>1</v>
      </c>
      <c r="K2357" s="3" t="n">
        <f aca="false">I2357+J2357</f>
        <v>2</v>
      </c>
    </row>
    <row r="2358" customFormat="false" ht="15" hidden="false" customHeight="false" outlineLevel="0" collapsed="false">
      <c r="A2358" s="4" t="s">
        <v>121</v>
      </c>
      <c r="B2358" s="4" t="s">
        <v>412</v>
      </c>
      <c r="C2358" s="4" t="s">
        <v>283</v>
      </c>
      <c r="D2358" s="4" t="n">
        <f aca="false">IFERROR(INDEX(Positions!$D$2:$D$6912,MATCH($A2358&amp;"|5",Positions!$A$2:$A$6912,0)),"-")</f>
        <v>5</v>
      </c>
      <c r="E2358" s="4" t="n">
        <f aca="false">IFERROR(INDEX(Positions!$D$2:$D$6912,MATCH($A2358&amp;"|68",Positions!$A$2:$A$6912,0)),"-")</f>
        <v>67</v>
      </c>
      <c r="F2358" s="4" t="str">
        <f aca="false">IFERROR(INDEX(Positions!$E$2:$E$6912,MATCH($A2358&amp;"|5",Positions!$A$2:$A$6912,0)),"-")</f>
        <v>C</v>
      </c>
      <c r="G2358" s="4" t="str">
        <f aca="false">IFERROR(INDEX(Positions!$E$2:$E$6912,MATCH($A2358&amp;"|68",Positions!$A$2:$A$6912,0)),"-")</f>
        <v>G</v>
      </c>
      <c r="H2358" s="3" t="str">
        <f aca="false">F2358&amp;"-"&amp;G2358</f>
        <v>C-G</v>
      </c>
      <c r="I2358" s="4" t="n">
        <f aca="false">(F2358="G")+(G2358="G")</f>
        <v>1</v>
      </c>
      <c r="J2358" s="4" t="n">
        <f aca="false">(F2358="C")+(G2358="C")</f>
        <v>1</v>
      </c>
      <c r="K2358" s="3" t="n">
        <f aca="false">I2358+J2358</f>
        <v>2</v>
      </c>
    </row>
    <row r="2359" customFormat="false" ht="15" hidden="false" customHeight="false" outlineLevel="0" collapsed="false">
      <c r="A2359" s="4" t="s">
        <v>121</v>
      </c>
      <c r="B2359" s="4" t="s">
        <v>412</v>
      </c>
      <c r="C2359" s="4" t="s">
        <v>520</v>
      </c>
      <c r="D2359" s="4" t="n">
        <f aca="false">IFERROR(INDEX(Positions!$D$2:$D$6912,MATCH($A2359&amp;"|6",Positions!$A$2:$A$6912,0)),"-")</f>
        <v>6</v>
      </c>
      <c r="E2359" s="4" t="n">
        <f aca="false">IFERROR(INDEX(Positions!$D$2:$D$6912,MATCH($A2359&amp;"|67",Positions!$A$2:$A$6912,0)),"-")</f>
        <v>66</v>
      </c>
      <c r="F2359" s="4" t="str">
        <f aca="false">IFERROR(INDEX(Positions!$E$2:$E$6912,MATCH($A2359&amp;"|6",Positions!$A$2:$A$6912,0)),"-")</f>
        <v>C</v>
      </c>
      <c r="G2359" s="4" t="str">
        <f aca="false">IFERROR(INDEX(Positions!$E$2:$E$6912,MATCH($A2359&amp;"|67",Positions!$A$2:$A$6912,0)),"-")</f>
        <v>G</v>
      </c>
      <c r="H2359" s="3" t="str">
        <f aca="false">F2359&amp;"-"&amp;G2359</f>
        <v>C-G</v>
      </c>
      <c r="I2359" s="4" t="n">
        <f aca="false">(F2359="G")+(G2359="G")</f>
        <v>1</v>
      </c>
      <c r="J2359" s="4" t="n">
        <f aca="false">(F2359="C")+(G2359="C")</f>
        <v>1</v>
      </c>
      <c r="K2359" s="3" t="n">
        <f aca="false">I2359+J2359</f>
        <v>2</v>
      </c>
    </row>
    <row r="2360" customFormat="false" ht="15" hidden="false" customHeight="false" outlineLevel="0" collapsed="false">
      <c r="A2360" s="4" t="s">
        <v>121</v>
      </c>
      <c r="B2360" s="4" t="s">
        <v>412</v>
      </c>
      <c r="C2360" s="4" t="s">
        <v>521</v>
      </c>
      <c r="D2360" s="4" t="n">
        <f aca="false">IFERROR(INDEX(Positions!$D$2:$D$6912,MATCH($A2360&amp;"|7",Positions!$A$2:$A$6912,0)),"-")</f>
        <v>7</v>
      </c>
      <c r="E2360" s="4" t="n">
        <f aca="false">IFERROR(INDEX(Positions!$D$2:$D$6912,MATCH($A2360&amp;"|66",Positions!$A$2:$A$6912,0)),"-")</f>
        <v>65</v>
      </c>
      <c r="F2360" s="4" t="str">
        <f aca="false">IFERROR(INDEX(Positions!$E$2:$E$6912,MATCH($A2360&amp;"|7",Positions!$A$2:$A$6912,0)),"-")</f>
        <v>A</v>
      </c>
      <c r="G2360" s="4" t="str">
        <f aca="false">IFERROR(INDEX(Positions!$E$2:$E$6912,MATCH($A2360&amp;"|66",Positions!$A$2:$A$6912,0)),"-")</f>
        <v>U</v>
      </c>
      <c r="H2360" s="3" t="str">
        <f aca="false">F2360&amp;"-"&amp;G2360</f>
        <v>A-U</v>
      </c>
      <c r="I2360" s="4" t="n">
        <f aca="false">(F2360="G")+(G2360="G")</f>
        <v>0</v>
      </c>
      <c r="J2360" s="4" t="n">
        <f aca="false">(F2360="C")+(G2360="C")</f>
        <v>0</v>
      </c>
      <c r="K2360" s="3" t="n">
        <f aca="false">I2360+J2360</f>
        <v>0</v>
      </c>
    </row>
    <row r="2361" customFormat="false" ht="15" hidden="false" customHeight="false" outlineLevel="0" collapsed="false">
      <c r="A2361" s="4" t="s">
        <v>121</v>
      </c>
      <c r="B2361" s="4" t="s">
        <v>425</v>
      </c>
      <c r="C2361" s="4" t="s">
        <v>522</v>
      </c>
      <c r="D2361" s="4" t="n">
        <f aca="false">IFERROR(INDEX(Positions!$D$2:$D$6912,MATCH($A2361&amp;"|10",Positions!$A$2:$A$6912,0)),"-")</f>
        <v>10</v>
      </c>
      <c r="E2361" s="4" t="n">
        <f aca="false">IFERROR(INDEX(Positions!$D$2:$D$6912,MATCH($A2361&amp;"|25",Positions!$A$2:$A$6912,0)),"-")</f>
        <v>25</v>
      </c>
      <c r="F2361" s="4" t="str">
        <f aca="false">IFERROR(INDEX(Positions!$E$2:$E$6912,MATCH($A2361&amp;"|10",Positions!$A$2:$A$6912,0)),"-")</f>
        <v>G</v>
      </c>
      <c r="G2361" s="4" t="str">
        <f aca="false">IFERROR(INDEX(Positions!$E$2:$E$6912,MATCH($A2361&amp;"|25",Positions!$A$2:$A$6912,0)),"-")</f>
        <v>C</v>
      </c>
      <c r="H2361" s="3" t="str">
        <f aca="false">F2361&amp;"-"&amp;G2361</f>
        <v>G-C</v>
      </c>
      <c r="I2361" s="4" t="n">
        <f aca="false">(F2361="G")+(G2361="G")</f>
        <v>1</v>
      </c>
      <c r="J2361" s="4" t="n">
        <f aca="false">(F2361="C")+(G2361="C")</f>
        <v>1</v>
      </c>
      <c r="K2361" s="3" t="n">
        <f aca="false">I2361+J2361</f>
        <v>2</v>
      </c>
    </row>
    <row r="2362" customFormat="false" ht="15" hidden="false" customHeight="false" outlineLevel="0" collapsed="false">
      <c r="A2362" s="4" t="s">
        <v>121</v>
      </c>
      <c r="B2362" s="4" t="s">
        <v>425</v>
      </c>
      <c r="C2362" s="4" t="s">
        <v>523</v>
      </c>
      <c r="D2362" s="4" t="n">
        <f aca="false">IFERROR(INDEX(Positions!$D$2:$D$6912,MATCH($A2362&amp;"|11",Positions!$A$2:$A$6912,0)),"-")</f>
        <v>11</v>
      </c>
      <c r="E2362" s="4" t="n">
        <f aca="false">IFERROR(INDEX(Positions!$D$2:$D$6912,MATCH($A2362&amp;"|24",Positions!$A$2:$A$6912,0)),"-")</f>
        <v>24</v>
      </c>
      <c r="F2362" s="4" t="str">
        <f aca="false">IFERROR(INDEX(Positions!$E$2:$E$6912,MATCH($A2362&amp;"|11",Positions!$A$2:$A$6912,0)),"-")</f>
        <v>U</v>
      </c>
      <c r="G2362" s="4" t="str">
        <f aca="false">IFERROR(INDEX(Positions!$E$2:$E$6912,MATCH($A2362&amp;"|24",Positions!$A$2:$A$6912,0)),"-")</f>
        <v>A</v>
      </c>
      <c r="H2362" s="3" t="str">
        <f aca="false">F2362&amp;"-"&amp;G2362</f>
        <v>U-A</v>
      </c>
      <c r="I2362" s="4" t="n">
        <f aca="false">(F2362="G")+(G2362="G")</f>
        <v>0</v>
      </c>
      <c r="J2362" s="4" t="n">
        <f aca="false">(F2362="C")+(G2362="C")</f>
        <v>0</v>
      </c>
      <c r="K2362" s="3" t="n">
        <f aca="false">I2362+J2362</f>
        <v>0</v>
      </c>
    </row>
    <row r="2363" customFormat="false" ht="15" hidden="false" customHeight="false" outlineLevel="0" collapsed="false">
      <c r="A2363" s="4" t="s">
        <v>121</v>
      </c>
      <c r="B2363" s="4" t="s">
        <v>425</v>
      </c>
      <c r="C2363" s="4" t="s">
        <v>250</v>
      </c>
      <c r="D2363" s="4" t="n">
        <f aca="false">IFERROR(INDEX(Positions!$D$2:$D$6912,MATCH($A2363&amp;"|12",Positions!$A$2:$A$6912,0)),"-")</f>
        <v>12</v>
      </c>
      <c r="E2363" s="4" t="n">
        <f aca="false">IFERROR(INDEX(Positions!$D$2:$D$6912,MATCH($A2363&amp;"|23",Positions!$A$2:$A$6912,0)),"-")</f>
        <v>23</v>
      </c>
      <c r="F2363" s="4" t="str">
        <f aca="false">IFERROR(INDEX(Positions!$E$2:$E$6912,MATCH($A2363&amp;"|12",Positions!$A$2:$A$6912,0)),"-")</f>
        <v>G</v>
      </c>
      <c r="G2363" s="4" t="str">
        <f aca="false">IFERROR(INDEX(Positions!$E$2:$E$6912,MATCH($A2363&amp;"|23",Positions!$A$2:$A$6912,0)),"-")</f>
        <v>C</v>
      </c>
      <c r="H2363" s="3" t="str">
        <f aca="false">F2363&amp;"-"&amp;G2363</f>
        <v>G-C</v>
      </c>
      <c r="I2363" s="4" t="n">
        <f aca="false">(F2363="G")+(G2363="G")</f>
        <v>1</v>
      </c>
      <c r="J2363" s="4" t="n">
        <f aca="false">(F2363="C")+(G2363="C")</f>
        <v>1</v>
      </c>
      <c r="K2363" s="3" t="n">
        <f aca="false">I2363+J2363</f>
        <v>2</v>
      </c>
    </row>
    <row r="2364" customFormat="false" ht="15" hidden="false" customHeight="false" outlineLevel="0" collapsed="false">
      <c r="A2364" s="4" t="s">
        <v>121</v>
      </c>
      <c r="B2364" s="4" t="s">
        <v>425</v>
      </c>
      <c r="C2364" s="4" t="s">
        <v>154</v>
      </c>
      <c r="D2364" s="4" t="n">
        <f aca="false">IFERROR(INDEX(Positions!$D$2:$D$6912,MATCH($A2364&amp;"|13",Positions!$A$2:$A$6912,0)),"-")</f>
        <v>13</v>
      </c>
      <c r="E2364" s="4" t="n">
        <f aca="false">IFERROR(INDEX(Positions!$D$2:$D$6912,MATCH($A2364&amp;"|22",Positions!$A$2:$A$6912,0)),"-")</f>
        <v>22</v>
      </c>
      <c r="F2364" s="4" t="str">
        <f aca="false">IFERROR(INDEX(Positions!$E$2:$E$6912,MATCH($A2364&amp;"|13",Positions!$A$2:$A$6912,0)),"-")</f>
        <v>U</v>
      </c>
      <c r="G2364" s="4" t="str">
        <f aca="false">IFERROR(INDEX(Positions!$E$2:$E$6912,MATCH($A2364&amp;"|22",Positions!$A$2:$A$6912,0)),"-")</f>
        <v>G</v>
      </c>
      <c r="H2364" s="3" t="str">
        <f aca="false">F2364&amp;"-"&amp;G2364</f>
        <v>U-G</v>
      </c>
      <c r="I2364" s="4" t="n">
        <f aca="false">(F2364="G")+(G2364="G")</f>
        <v>1</v>
      </c>
      <c r="J2364" s="4" t="n">
        <f aca="false">(F2364="C")+(G2364="C")</f>
        <v>0</v>
      </c>
      <c r="K2364" s="3" t="n">
        <f aca="false">I2364+J2364</f>
        <v>1</v>
      </c>
    </row>
    <row r="2365" customFormat="false" ht="15" hidden="false" customHeight="false" outlineLevel="0" collapsed="false">
      <c r="A2365" s="4" t="s">
        <v>121</v>
      </c>
      <c r="B2365" s="4" t="s">
        <v>446</v>
      </c>
      <c r="C2365" s="4" t="s">
        <v>524</v>
      </c>
      <c r="D2365" s="4" t="n">
        <f aca="false">IFERROR(INDEX(Positions!$D$2:$D$6912,MATCH($A2365&amp;"|27",Positions!$A$2:$A$6912,0)),"-")</f>
        <v>27</v>
      </c>
      <c r="E2365" s="4" t="n">
        <f aca="false">IFERROR(INDEX(Positions!$D$2:$D$6912,MATCH($A2365&amp;"|43",Positions!$A$2:$A$6912,0)),"-")</f>
        <v>43</v>
      </c>
      <c r="F2365" s="4" t="str">
        <f aca="false">IFERROR(INDEX(Positions!$E$2:$E$6912,MATCH($A2365&amp;"|27",Positions!$A$2:$A$6912,0)),"-")</f>
        <v>C</v>
      </c>
      <c r="G2365" s="4" t="str">
        <f aca="false">IFERROR(INDEX(Positions!$E$2:$E$6912,MATCH($A2365&amp;"|43",Positions!$A$2:$A$6912,0)),"-")</f>
        <v>G</v>
      </c>
      <c r="H2365" s="3" t="str">
        <f aca="false">F2365&amp;"-"&amp;G2365</f>
        <v>C-G</v>
      </c>
      <c r="I2365" s="4" t="n">
        <f aca="false">(F2365="G")+(G2365="G")</f>
        <v>1</v>
      </c>
      <c r="J2365" s="4" t="n">
        <f aca="false">(F2365="C")+(G2365="C")</f>
        <v>1</v>
      </c>
      <c r="K2365" s="3" t="n">
        <f aca="false">I2365+J2365</f>
        <v>2</v>
      </c>
    </row>
    <row r="2366" customFormat="false" ht="15" hidden="false" customHeight="false" outlineLevel="0" collapsed="false">
      <c r="A2366" s="4" t="s">
        <v>121</v>
      </c>
      <c r="B2366" s="4" t="s">
        <v>446</v>
      </c>
      <c r="C2366" s="4" t="s">
        <v>525</v>
      </c>
      <c r="D2366" s="4" t="n">
        <f aca="false">IFERROR(INDEX(Positions!$D$2:$D$6912,MATCH($A2366&amp;"|28",Positions!$A$2:$A$6912,0)),"-")</f>
        <v>28</v>
      </c>
      <c r="E2366" s="4" t="n">
        <f aca="false">IFERROR(INDEX(Positions!$D$2:$D$6912,MATCH($A2366&amp;"|42",Positions!$A$2:$A$6912,0)),"-")</f>
        <v>42</v>
      </c>
      <c r="F2366" s="4" t="str">
        <f aca="false">IFERROR(INDEX(Positions!$E$2:$E$6912,MATCH($A2366&amp;"|28",Positions!$A$2:$A$6912,0)),"-")</f>
        <v>U</v>
      </c>
      <c r="G2366" s="4" t="str">
        <f aca="false">IFERROR(INDEX(Positions!$E$2:$E$6912,MATCH($A2366&amp;"|42",Positions!$A$2:$A$6912,0)),"-")</f>
        <v>A</v>
      </c>
      <c r="H2366" s="3" t="str">
        <f aca="false">F2366&amp;"-"&amp;G2366</f>
        <v>U-A</v>
      </c>
      <c r="I2366" s="4" t="n">
        <f aca="false">(F2366="G")+(G2366="G")</f>
        <v>0</v>
      </c>
      <c r="J2366" s="4" t="n">
        <f aca="false">(F2366="C")+(G2366="C")</f>
        <v>0</v>
      </c>
      <c r="K2366" s="3" t="n">
        <f aca="false">I2366+J2366</f>
        <v>0</v>
      </c>
    </row>
    <row r="2367" customFormat="false" ht="15" hidden="false" customHeight="false" outlineLevel="0" collapsed="false">
      <c r="A2367" s="4" t="s">
        <v>121</v>
      </c>
      <c r="B2367" s="4" t="s">
        <v>446</v>
      </c>
      <c r="C2367" s="4" t="s">
        <v>256</v>
      </c>
      <c r="D2367" s="4" t="n">
        <f aca="false">IFERROR(INDEX(Positions!$D$2:$D$6912,MATCH($A2367&amp;"|29",Positions!$A$2:$A$6912,0)),"-")</f>
        <v>29</v>
      </c>
      <c r="E2367" s="4" t="n">
        <f aca="false">IFERROR(INDEX(Positions!$D$2:$D$6912,MATCH($A2367&amp;"|41",Positions!$A$2:$A$6912,0)),"-")</f>
        <v>41</v>
      </c>
      <c r="F2367" s="4" t="str">
        <f aca="false">IFERROR(INDEX(Positions!$E$2:$E$6912,MATCH($A2367&amp;"|29",Positions!$A$2:$A$6912,0)),"-")</f>
        <v>G</v>
      </c>
      <c r="G2367" s="4" t="str">
        <f aca="false">IFERROR(INDEX(Positions!$E$2:$E$6912,MATCH($A2367&amp;"|41",Positions!$A$2:$A$6912,0)),"-")</f>
        <v>C</v>
      </c>
      <c r="H2367" s="3" t="str">
        <f aca="false">F2367&amp;"-"&amp;G2367</f>
        <v>G-C</v>
      </c>
      <c r="I2367" s="4" t="n">
        <f aca="false">(F2367="G")+(G2367="G")</f>
        <v>1</v>
      </c>
      <c r="J2367" s="4" t="n">
        <f aca="false">(F2367="C")+(G2367="C")</f>
        <v>1</v>
      </c>
      <c r="K2367" s="3" t="n">
        <f aca="false">I2367+J2367</f>
        <v>2</v>
      </c>
    </row>
    <row r="2368" customFormat="false" ht="15" hidden="false" customHeight="false" outlineLevel="0" collapsed="false">
      <c r="A2368" s="4" t="s">
        <v>121</v>
      </c>
      <c r="B2368" s="4" t="s">
        <v>446</v>
      </c>
      <c r="C2368" s="4" t="s">
        <v>526</v>
      </c>
      <c r="D2368" s="4" t="n">
        <f aca="false">IFERROR(INDEX(Positions!$D$2:$D$6912,MATCH($A2368&amp;"|30",Positions!$A$2:$A$6912,0)),"-")</f>
        <v>30</v>
      </c>
      <c r="E2368" s="4" t="n">
        <f aca="false">IFERROR(INDEX(Positions!$D$2:$D$6912,MATCH($A2368&amp;"|40",Positions!$A$2:$A$6912,0)),"-")</f>
        <v>40</v>
      </c>
      <c r="F2368" s="4" t="str">
        <f aca="false">IFERROR(INDEX(Positions!$E$2:$E$6912,MATCH($A2368&amp;"|30",Positions!$A$2:$A$6912,0)),"-")</f>
        <v>G</v>
      </c>
      <c r="G2368" s="4" t="str">
        <f aca="false">IFERROR(INDEX(Positions!$E$2:$E$6912,MATCH($A2368&amp;"|40",Positions!$A$2:$A$6912,0)),"-")</f>
        <v>C</v>
      </c>
      <c r="H2368" s="3" t="str">
        <f aca="false">F2368&amp;"-"&amp;G2368</f>
        <v>G-C</v>
      </c>
      <c r="I2368" s="4" t="n">
        <f aca="false">(F2368="G")+(G2368="G")</f>
        <v>1</v>
      </c>
      <c r="J2368" s="4" t="n">
        <f aca="false">(F2368="C")+(G2368="C")</f>
        <v>1</v>
      </c>
      <c r="K2368" s="3" t="n">
        <f aca="false">I2368+J2368</f>
        <v>2</v>
      </c>
    </row>
    <row r="2369" customFormat="false" ht="15" hidden="false" customHeight="false" outlineLevel="0" collapsed="false">
      <c r="A2369" s="4" t="s">
        <v>121</v>
      </c>
      <c r="B2369" s="4" t="s">
        <v>446</v>
      </c>
      <c r="C2369" s="4" t="s">
        <v>273</v>
      </c>
      <c r="D2369" s="4" t="n">
        <f aca="false">IFERROR(INDEX(Positions!$D$2:$D$6912,MATCH($A2369&amp;"|31",Positions!$A$2:$A$6912,0)),"-")</f>
        <v>31</v>
      </c>
      <c r="E2369" s="4" t="n">
        <f aca="false">IFERROR(INDEX(Positions!$D$2:$D$6912,MATCH($A2369&amp;"|39",Positions!$A$2:$A$6912,0)),"-")</f>
        <v>39</v>
      </c>
      <c r="F2369" s="4" t="str">
        <f aca="false">IFERROR(INDEX(Positions!$E$2:$E$6912,MATCH($A2369&amp;"|31",Positions!$A$2:$A$6912,0)),"-")</f>
        <v>A</v>
      </c>
      <c r="G2369" s="4" t="str">
        <f aca="false">IFERROR(INDEX(Positions!$E$2:$E$6912,MATCH($A2369&amp;"|39",Positions!$A$2:$A$6912,0)),"-")</f>
        <v>U</v>
      </c>
      <c r="H2369" s="3" t="str">
        <f aca="false">F2369&amp;"-"&amp;G2369</f>
        <v>A-U</v>
      </c>
      <c r="I2369" s="4" t="n">
        <f aca="false">(F2369="G")+(G2369="G")</f>
        <v>0</v>
      </c>
      <c r="J2369" s="4" t="n">
        <f aca="false">(F2369="C")+(G2369="C")</f>
        <v>0</v>
      </c>
      <c r="K2369" s="3" t="n">
        <f aca="false">I2369+J2369</f>
        <v>0</v>
      </c>
    </row>
    <row r="2370" customFormat="false" ht="15" hidden="false" customHeight="false" outlineLevel="0" collapsed="false">
      <c r="A2370" s="4" t="s">
        <v>121</v>
      </c>
      <c r="B2370" s="4" t="s">
        <v>471</v>
      </c>
      <c r="C2370" s="4" t="s">
        <v>367</v>
      </c>
      <c r="D2370" s="4" t="n">
        <f aca="false">IFERROR(INDEX(Positions!$D$2:$D$6912,MATCH($A2370&amp;"|49",Positions!$A$2:$A$6912,0)),"-")</f>
        <v>48</v>
      </c>
      <c r="E2370" s="4" t="n">
        <f aca="false">IFERROR(INDEX(Positions!$D$2:$D$6912,MATCH($A2370&amp;"|65",Positions!$A$2:$A$6912,0)),"-")</f>
        <v>64</v>
      </c>
      <c r="F2370" s="4" t="str">
        <f aca="false">IFERROR(INDEX(Positions!$E$2:$E$6912,MATCH($A2370&amp;"|49",Positions!$A$2:$A$6912,0)),"-")</f>
        <v>C</v>
      </c>
      <c r="G2370" s="4" t="str">
        <f aca="false">IFERROR(INDEX(Positions!$E$2:$E$6912,MATCH($A2370&amp;"|65",Positions!$A$2:$A$6912,0)),"-")</f>
        <v>G</v>
      </c>
      <c r="H2370" s="3" t="str">
        <f aca="false">F2370&amp;"-"&amp;G2370</f>
        <v>C-G</v>
      </c>
      <c r="I2370" s="4" t="n">
        <f aca="false">(F2370="G")+(G2370="G")</f>
        <v>1</v>
      </c>
      <c r="J2370" s="4" t="n">
        <f aca="false">(F2370="C")+(G2370="C")</f>
        <v>1</v>
      </c>
      <c r="K2370" s="3" t="n">
        <f aca="false">I2370+J2370</f>
        <v>2</v>
      </c>
    </row>
    <row r="2371" customFormat="false" ht="15" hidden="false" customHeight="false" outlineLevel="0" collapsed="false">
      <c r="A2371" s="4" t="s">
        <v>121</v>
      </c>
      <c r="B2371" s="4" t="s">
        <v>471</v>
      </c>
      <c r="C2371" s="4" t="s">
        <v>233</v>
      </c>
      <c r="D2371" s="4" t="n">
        <f aca="false">IFERROR(INDEX(Positions!$D$2:$D$6912,MATCH($A2371&amp;"|50",Positions!$A$2:$A$6912,0)),"-")</f>
        <v>49</v>
      </c>
      <c r="E2371" s="4" t="n">
        <f aca="false">IFERROR(INDEX(Positions!$D$2:$D$6912,MATCH($A2371&amp;"|64",Positions!$A$2:$A$6912,0)),"-")</f>
        <v>63</v>
      </c>
      <c r="F2371" s="4" t="str">
        <f aca="false">IFERROR(INDEX(Positions!$E$2:$E$6912,MATCH($A2371&amp;"|50",Positions!$A$2:$A$6912,0)),"-")</f>
        <v>C</v>
      </c>
      <c r="G2371" s="4" t="str">
        <f aca="false">IFERROR(INDEX(Positions!$E$2:$E$6912,MATCH($A2371&amp;"|64",Positions!$A$2:$A$6912,0)),"-")</f>
        <v>G</v>
      </c>
      <c r="H2371" s="3" t="str">
        <f aca="false">F2371&amp;"-"&amp;G2371</f>
        <v>C-G</v>
      </c>
      <c r="I2371" s="4" t="n">
        <f aca="false">(F2371="G")+(G2371="G")</f>
        <v>1</v>
      </c>
      <c r="J2371" s="4" t="n">
        <f aca="false">(F2371="C")+(G2371="C")</f>
        <v>1</v>
      </c>
      <c r="K2371" s="3" t="n">
        <f aca="false">I2371+J2371</f>
        <v>2</v>
      </c>
    </row>
    <row r="2372" customFormat="false" ht="15" hidden="false" customHeight="false" outlineLevel="0" collapsed="false">
      <c r="A2372" s="4" t="s">
        <v>121</v>
      </c>
      <c r="B2372" s="4" t="s">
        <v>471</v>
      </c>
      <c r="C2372" s="4" t="s">
        <v>527</v>
      </c>
      <c r="D2372" s="4" t="n">
        <f aca="false">IFERROR(INDEX(Positions!$D$2:$D$6912,MATCH($A2372&amp;"|51",Positions!$A$2:$A$6912,0)),"-")</f>
        <v>50</v>
      </c>
      <c r="E2372" s="4" t="n">
        <f aca="false">IFERROR(INDEX(Positions!$D$2:$D$6912,MATCH($A2372&amp;"|63",Positions!$A$2:$A$6912,0)),"-")</f>
        <v>62</v>
      </c>
      <c r="F2372" s="4" t="str">
        <f aca="false">IFERROR(INDEX(Positions!$E$2:$E$6912,MATCH($A2372&amp;"|51",Positions!$A$2:$A$6912,0)),"-")</f>
        <v>G</v>
      </c>
      <c r="G2372" s="4" t="str">
        <f aca="false">IFERROR(INDEX(Positions!$E$2:$E$6912,MATCH($A2372&amp;"|63",Positions!$A$2:$A$6912,0)),"-")</f>
        <v>C</v>
      </c>
      <c r="H2372" s="3" t="str">
        <f aca="false">F2372&amp;"-"&amp;G2372</f>
        <v>G-C</v>
      </c>
      <c r="I2372" s="4" t="n">
        <f aca="false">(F2372="G")+(G2372="G")</f>
        <v>1</v>
      </c>
      <c r="J2372" s="4" t="n">
        <f aca="false">(F2372="C")+(G2372="C")</f>
        <v>1</v>
      </c>
      <c r="K2372" s="3" t="n">
        <f aca="false">I2372+J2372</f>
        <v>2</v>
      </c>
    </row>
    <row r="2373" customFormat="false" ht="15" hidden="false" customHeight="false" outlineLevel="0" collapsed="false">
      <c r="A2373" s="4" t="s">
        <v>121</v>
      </c>
      <c r="B2373" s="4" t="s">
        <v>471</v>
      </c>
      <c r="C2373" s="4" t="s">
        <v>528</v>
      </c>
      <c r="D2373" s="4" t="n">
        <f aca="false">IFERROR(INDEX(Positions!$D$2:$D$6912,MATCH($A2373&amp;"|52",Positions!$A$2:$A$6912,0)),"-")</f>
        <v>51</v>
      </c>
      <c r="E2373" s="4" t="n">
        <f aca="false">IFERROR(INDEX(Positions!$D$2:$D$6912,MATCH($A2373&amp;"|62",Positions!$A$2:$A$6912,0)),"-")</f>
        <v>61</v>
      </c>
      <c r="F2373" s="4" t="str">
        <f aca="false">IFERROR(INDEX(Positions!$E$2:$E$6912,MATCH($A2373&amp;"|52",Positions!$A$2:$A$6912,0)),"-")</f>
        <v>A</v>
      </c>
      <c r="G2373" s="4" t="str">
        <f aca="false">IFERROR(INDEX(Positions!$E$2:$E$6912,MATCH($A2373&amp;"|62",Positions!$A$2:$A$6912,0)),"-")</f>
        <v>U</v>
      </c>
      <c r="H2373" s="3" t="str">
        <f aca="false">F2373&amp;"-"&amp;G2373</f>
        <v>A-U</v>
      </c>
      <c r="I2373" s="4" t="n">
        <f aca="false">(F2373="G")+(G2373="G")</f>
        <v>0</v>
      </c>
      <c r="J2373" s="4" t="n">
        <f aca="false">(F2373="C")+(G2373="C")</f>
        <v>0</v>
      </c>
      <c r="K2373" s="3" t="n">
        <f aca="false">I2373+J2373</f>
        <v>0</v>
      </c>
    </row>
    <row r="2374" customFormat="false" ht="15" hidden="false" customHeight="false" outlineLevel="0" collapsed="false">
      <c r="A2374" s="4" t="s">
        <v>121</v>
      </c>
      <c r="B2374" s="4" t="s">
        <v>471</v>
      </c>
      <c r="C2374" s="4" t="s">
        <v>529</v>
      </c>
      <c r="D2374" s="4" t="n">
        <f aca="false">IFERROR(INDEX(Positions!$D$2:$D$6912,MATCH($A2374&amp;"|53",Positions!$A$2:$A$6912,0)),"-")</f>
        <v>52</v>
      </c>
      <c r="E2374" s="4" t="n">
        <f aca="false">IFERROR(INDEX(Positions!$D$2:$D$6912,MATCH($A2374&amp;"|61",Positions!$A$2:$A$6912,0)),"-")</f>
        <v>60</v>
      </c>
      <c r="F2374" s="4" t="str">
        <f aca="false">IFERROR(INDEX(Positions!$E$2:$E$6912,MATCH($A2374&amp;"|53",Positions!$A$2:$A$6912,0)),"-")</f>
        <v>G</v>
      </c>
      <c r="G2374" s="4" t="str">
        <f aca="false">IFERROR(INDEX(Positions!$E$2:$E$6912,MATCH($A2374&amp;"|61",Positions!$A$2:$A$6912,0)),"-")</f>
        <v>C</v>
      </c>
      <c r="H2374" s="3" t="str">
        <f aca="false">F2374&amp;"-"&amp;G2374</f>
        <v>G-C</v>
      </c>
      <c r="I2374" s="4" t="n">
        <f aca="false">(F2374="G")+(G2374="G")</f>
        <v>1</v>
      </c>
      <c r="J2374" s="4" t="n">
        <f aca="false">(F2374="C")+(G2374="C")</f>
        <v>1</v>
      </c>
      <c r="K2374" s="3" t="n">
        <f aca="false">I2374+J2374</f>
        <v>2</v>
      </c>
    </row>
    <row r="2375" customFormat="false" ht="15" hidden="false" customHeight="false" outlineLevel="0" collapsed="false">
      <c r="A2375" s="24" t="s">
        <v>121</v>
      </c>
      <c r="B2375" s="24" t="s">
        <v>530</v>
      </c>
      <c r="C2375" s="24" t="s">
        <v>531</v>
      </c>
      <c r="D2375" s="24" t="n">
        <f aca="false">IFERROR(INDEX(Positions!$D$2:$D$6912,MATCH($A2375&amp;"|8",Positions!$A$2:$A$6912,0)),"-")</f>
        <v>8</v>
      </c>
      <c r="E2375" s="24" t="n">
        <f aca="false">IFERROR(INDEX(Positions!$D$2:$D$6912,MATCH($A2375&amp;"|14",Positions!$A$2:$A$6912,0)),"-")</f>
        <v>14</v>
      </c>
      <c r="F2375" s="24" t="str">
        <f aca="false">IFERROR(INDEX(Positions!$E$2:$E$6912,MATCH($A2375&amp;"|8",Positions!$A$2:$A$6912,0)),"-")</f>
        <v>U</v>
      </c>
      <c r="G2375" s="24" t="str">
        <f aca="false">IFERROR(INDEX(Positions!$E$2:$E$6912,MATCH($A2375&amp;"|14",Positions!$A$2:$A$6912,0)),"-")</f>
        <v>A</v>
      </c>
      <c r="H2375" s="25" t="str">
        <f aca="false">F2375&amp;"-"&amp;G2375</f>
        <v>U-A</v>
      </c>
      <c r="I2375" s="24" t="n">
        <f aca="false">(F2375="G")+(G2375="G")</f>
        <v>0</v>
      </c>
      <c r="J2375" s="24" t="n">
        <f aca="false">(F2375="C")+(G2375="C")</f>
        <v>0</v>
      </c>
      <c r="K2375" s="25" t="n">
        <f aca="false">I2375+J2375</f>
        <v>0</v>
      </c>
    </row>
    <row r="2376" customFormat="false" ht="15" hidden="false" customHeight="false" outlineLevel="0" collapsed="false">
      <c r="A2376" s="24" t="s">
        <v>121</v>
      </c>
      <c r="B2376" s="24" t="s">
        <v>530</v>
      </c>
      <c r="C2376" s="24" t="s">
        <v>532</v>
      </c>
      <c r="D2376" s="24" t="n">
        <f aca="false">IFERROR(INDEX(Positions!$D$2:$D$6912,MATCH($A2376&amp;"|15",Positions!$A$2:$A$6912,0)),"-")</f>
        <v>15</v>
      </c>
      <c r="E2376" s="24" t="n">
        <f aca="false">IFERROR(INDEX(Positions!$D$2:$D$6912,MATCH($A2376&amp;"|48",Positions!$A$2:$A$6912,0)),"-")</f>
        <v>47</v>
      </c>
      <c r="F2376" s="24" t="str">
        <f aca="false">IFERROR(INDEX(Positions!$E$2:$E$6912,MATCH($A2376&amp;"|15",Positions!$A$2:$A$6912,0)),"-")</f>
        <v>A</v>
      </c>
      <c r="G2376" s="24" t="str">
        <f aca="false">IFERROR(INDEX(Positions!$E$2:$E$6912,MATCH($A2376&amp;"|48",Positions!$A$2:$A$6912,0)),"-")</f>
        <v>U</v>
      </c>
      <c r="H2376" s="25" t="str">
        <f aca="false">F2376&amp;"-"&amp;G2376</f>
        <v>A-U</v>
      </c>
      <c r="I2376" s="24" t="n">
        <f aca="false">(F2376="G")+(G2376="G")</f>
        <v>0</v>
      </c>
      <c r="J2376" s="24" t="n">
        <f aca="false">(F2376="C")+(G2376="C")</f>
        <v>0</v>
      </c>
      <c r="K2376" s="25" t="n">
        <f aca="false">I2376+J2376</f>
        <v>0</v>
      </c>
    </row>
    <row r="2377" customFormat="false" ht="15" hidden="false" customHeight="false" outlineLevel="0" collapsed="false">
      <c r="A2377" s="24" t="s">
        <v>121</v>
      </c>
      <c r="B2377" s="24" t="s">
        <v>530</v>
      </c>
      <c r="C2377" s="24" t="s">
        <v>533</v>
      </c>
      <c r="D2377" s="24" t="n">
        <f aca="false">IFERROR(INDEX(Positions!$D$2:$D$6912,MATCH($A2377&amp;"|18",Positions!$A$2:$A$6912,0)),"-")</f>
        <v>17</v>
      </c>
      <c r="E2377" s="24" t="n">
        <f aca="false">IFERROR(INDEX(Positions!$D$2:$D$6912,MATCH($A2377&amp;"|55",Positions!$A$2:$A$6912,0)),"-")</f>
        <v>54</v>
      </c>
      <c r="F2377" s="24" t="str">
        <f aca="false">IFERROR(INDEX(Positions!$E$2:$E$6912,MATCH($A2377&amp;"|18",Positions!$A$2:$A$6912,0)),"-")</f>
        <v>G</v>
      </c>
      <c r="G2377" s="24" t="str">
        <f aca="false">IFERROR(INDEX(Positions!$E$2:$E$6912,MATCH($A2377&amp;"|55",Positions!$A$2:$A$6912,0)),"-")</f>
        <v>U</v>
      </c>
      <c r="H2377" s="25" t="str">
        <f aca="false">F2377&amp;"-"&amp;G2377</f>
        <v>G-U</v>
      </c>
      <c r="I2377" s="24" t="n">
        <f aca="false">(F2377="G")+(G2377="G")</f>
        <v>1</v>
      </c>
      <c r="J2377" s="24" t="n">
        <f aca="false">(F2377="C")+(G2377="C")</f>
        <v>0</v>
      </c>
      <c r="K2377" s="25" t="n">
        <f aca="false">I2377+J2377</f>
        <v>1</v>
      </c>
    </row>
    <row r="2378" customFormat="false" ht="15" hidden="false" customHeight="false" outlineLevel="0" collapsed="false">
      <c r="A2378" s="24" t="s">
        <v>121</v>
      </c>
      <c r="B2378" s="24" t="s">
        <v>530</v>
      </c>
      <c r="C2378" s="24" t="s">
        <v>534</v>
      </c>
      <c r="D2378" s="24" t="n">
        <f aca="false">IFERROR(INDEX(Positions!$D$2:$D$6912,MATCH($A2378&amp;"|19",Positions!$A$2:$A$6912,0)),"-")</f>
        <v>18</v>
      </c>
      <c r="E2378" s="24" t="n">
        <f aca="false">IFERROR(INDEX(Positions!$D$2:$D$6912,MATCH($A2378&amp;"|56",Positions!$A$2:$A$6912,0)),"-")</f>
        <v>55</v>
      </c>
      <c r="F2378" s="24" t="str">
        <f aca="false">IFERROR(INDEX(Positions!$E$2:$E$6912,MATCH($A2378&amp;"|19",Positions!$A$2:$A$6912,0)),"-")</f>
        <v>G</v>
      </c>
      <c r="G2378" s="24" t="str">
        <f aca="false">IFERROR(INDEX(Positions!$E$2:$E$6912,MATCH($A2378&amp;"|56",Positions!$A$2:$A$6912,0)),"-")</f>
        <v>C</v>
      </c>
      <c r="H2378" s="25" t="str">
        <f aca="false">F2378&amp;"-"&amp;G2378</f>
        <v>G-C</v>
      </c>
      <c r="I2378" s="24" t="n">
        <f aca="false">(F2378="G")+(G2378="G")</f>
        <v>1</v>
      </c>
      <c r="J2378" s="24" t="n">
        <f aca="false">(F2378="C")+(G2378="C")</f>
        <v>1</v>
      </c>
      <c r="K2378" s="25" t="n">
        <f aca="false">I2378+J2378</f>
        <v>2</v>
      </c>
    </row>
    <row r="2379" customFormat="false" ht="15" hidden="false" customHeight="false" outlineLevel="0" collapsed="false">
      <c r="A2379" s="24" t="s">
        <v>121</v>
      </c>
      <c r="B2379" s="24" t="s">
        <v>530</v>
      </c>
      <c r="C2379" s="24" t="s">
        <v>535</v>
      </c>
      <c r="D2379" s="24" t="n">
        <f aca="false">IFERROR(INDEX(Positions!$D$2:$D$6912,MATCH($A2379&amp;"|26",Positions!$A$2:$A$6912,0)),"-")</f>
        <v>26</v>
      </c>
      <c r="E2379" s="24" t="n">
        <f aca="false">IFERROR(INDEX(Positions!$D$2:$D$6912,MATCH($A2379&amp;"|44",Positions!$A$2:$A$6912,0)),"-")</f>
        <v>44</v>
      </c>
      <c r="F2379" s="24" t="str">
        <f aca="false">IFERROR(INDEX(Positions!$E$2:$E$6912,MATCH($A2379&amp;"|26",Positions!$A$2:$A$6912,0)),"-")</f>
        <v>U</v>
      </c>
      <c r="G2379" s="24" t="str">
        <f aca="false">IFERROR(INDEX(Positions!$E$2:$E$6912,MATCH($A2379&amp;"|44",Positions!$A$2:$A$6912,0)),"-")</f>
        <v>C</v>
      </c>
      <c r="H2379" s="25" t="str">
        <f aca="false">F2379&amp;"-"&amp;G2379</f>
        <v>U-C</v>
      </c>
      <c r="I2379" s="24" t="n">
        <f aca="false">(F2379="G")+(G2379="G")</f>
        <v>0</v>
      </c>
      <c r="J2379" s="24" t="n">
        <f aca="false">(F2379="C")+(G2379="C")</f>
        <v>1</v>
      </c>
      <c r="K2379" s="25" t="n">
        <f aca="false">I2379+J2379</f>
        <v>1</v>
      </c>
    </row>
    <row r="2380" customFormat="false" ht="15" hidden="false" customHeight="false" outlineLevel="0" collapsed="false">
      <c r="A2380" s="24" t="s">
        <v>121</v>
      </c>
      <c r="B2380" s="24" t="s">
        <v>530</v>
      </c>
      <c r="C2380" s="24" t="s">
        <v>536</v>
      </c>
      <c r="D2380" s="24" t="n">
        <f aca="false">IFERROR(INDEX(Positions!$D$2:$D$6912,MATCH($A2380&amp;"|32",Positions!$A$2:$A$6912,0)),"-")</f>
        <v>32</v>
      </c>
      <c r="E2380" s="24" t="n">
        <f aca="false">IFERROR(INDEX(Positions!$D$2:$D$6912,MATCH($A2380&amp;"|38",Positions!$A$2:$A$6912,0)),"-")</f>
        <v>38</v>
      </c>
      <c r="F2380" s="24" t="str">
        <f aca="false">IFERROR(INDEX(Positions!$E$2:$E$6912,MATCH($A2380&amp;"|32",Positions!$A$2:$A$6912,0)),"-")</f>
        <v>C</v>
      </c>
      <c r="G2380" s="24" t="str">
        <f aca="false">IFERROR(INDEX(Positions!$E$2:$E$6912,MATCH($A2380&amp;"|38",Positions!$A$2:$A$6912,0)),"-")</f>
        <v>A</v>
      </c>
      <c r="H2380" s="25" t="str">
        <f aca="false">F2380&amp;"-"&amp;G2380</f>
        <v>C-A</v>
      </c>
      <c r="I2380" s="24" t="n">
        <f aca="false">(F2380="G")+(G2380="G")</f>
        <v>0</v>
      </c>
      <c r="J2380" s="24" t="n">
        <f aca="false">(F2380="C")+(G2380="C")</f>
        <v>1</v>
      </c>
      <c r="K2380" s="25" t="n">
        <f aca="false">I2380+J2380</f>
        <v>1</v>
      </c>
    </row>
    <row r="2381" customFormat="false" ht="15" hidden="false" customHeight="false" outlineLevel="0" collapsed="false">
      <c r="A2381" s="24" t="s">
        <v>121</v>
      </c>
      <c r="B2381" s="24" t="s">
        <v>530</v>
      </c>
      <c r="C2381" s="24" t="s">
        <v>537</v>
      </c>
      <c r="D2381" s="24" t="n">
        <f aca="false">IFERROR(INDEX(Positions!$D$2:$D$6912,MATCH($A2381&amp;"|54",Positions!$A$2:$A$6912,0)),"-")</f>
        <v>53</v>
      </c>
      <c r="E2381" s="24" t="n">
        <f aca="false">IFERROR(INDEX(Positions!$D$2:$D$6912,MATCH($A2381&amp;"|58",Positions!$A$2:$A$6912,0)),"-")</f>
        <v>57</v>
      </c>
      <c r="F2381" s="24" t="str">
        <f aca="false">IFERROR(INDEX(Positions!$E$2:$E$6912,MATCH($A2381&amp;"|54",Positions!$A$2:$A$6912,0)),"-")</f>
        <v>U</v>
      </c>
      <c r="G2381" s="24" t="str">
        <f aca="false">IFERROR(INDEX(Positions!$E$2:$E$6912,MATCH($A2381&amp;"|58",Positions!$A$2:$A$6912,0)),"-")</f>
        <v>A</v>
      </c>
      <c r="H2381" s="25" t="str">
        <f aca="false">F2381&amp;"-"&amp;G2381</f>
        <v>U-A</v>
      </c>
      <c r="I2381" s="24" t="n">
        <f aca="false">(F2381="G")+(G2381="G")</f>
        <v>0</v>
      </c>
      <c r="J2381" s="24" t="n">
        <f aca="false">(F2381="C")+(G2381="C")</f>
        <v>0</v>
      </c>
      <c r="K2381" s="25" t="n">
        <f aca="false">I2381+J2381</f>
        <v>0</v>
      </c>
    </row>
    <row r="2382" customFormat="false" ht="15" hidden="false" customHeight="false" outlineLevel="0" collapsed="false">
      <c r="A2382" s="4" t="s">
        <v>122</v>
      </c>
      <c r="B2382" s="4" t="s">
        <v>412</v>
      </c>
      <c r="C2382" s="4" t="s">
        <v>517</v>
      </c>
      <c r="D2382" s="4" t="n">
        <f aca="false">IFERROR(INDEX(Positions!$D$2:$D$6912,MATCH($A2382&amp;"|1",Positions!$A$2:$A$6912,0)),"-")</f>
        <v>1</v>
      </c>
      <c r="E2382" s="4" t="n">
        <f aca="false">IFERROR(INDEX(Positions!$D$2:$D$6912,MATCH($A2382&amp;"|72",Positions!$A$2:$A$6912,0)),"-")</f>
        <v>71</v>
      </c>
      <c r="F2382" s="4" t="str">
        <f aca="false">IFERROR(INDEX(Positions!$E$2:$E$6912,MATCH($A2382&amp;"|1",Positions!$A$2:$A$6912,0)),"-")</f>
        <v>G</v>
      </c>
      <c r="G2382" s="4" t="str">
        <f aca="false">IFERROR(INDEX(Positions!$E$2:$E$6912,MATCH($A2382&amp;"|72",Positions!$A$2:$A$6912,0)),"-")</f>
        <v>C</v>
      </c>
      <c r="H2382" s="3" t="str">
        <f aca="false">F2382&amp;"-"&amp;G2382</f>
        <v>G-C</v>
      </c>
      <c r="I2382" s="4" t="n">
        <f aca="false">(F2382="G")+(G2382="G")</f>
        <v>1</v>
      </c>
      <c r="J2382" s="4" t="n">
        <f aca="false">(F2382="C")+(G2382="C")</f>
        <v>1</v>
      </c>
      <c r="K2382" s="3" t="n">
        <f aca="false">I2382+J2382</f>
        <v>2</v>
      </c>
    </row>
    <row r="2383" customFormat="false" ht="15" hidden="false" customHeight="false" outlineLevel="0" collapsed="false">
      <c r="A2383" s="4" t="s">
        <v>122</v>
      </c>
      <c r="B2383" s="4" t="s">
        <v>412</v>
      </c>
      <c r="C2383" s="4" t="s">
        <v>518</v>
      </c>
      <c r="D2383" s="4" t="n">
        <f aca="false">IFERROR(INDEX(Positions!$D$2:$D$6912,MATCH($A2383&amp;"|2",Positions!$A$2:$A$6912,0)),"-")</f>
        <v>2</v>
      </c>
      <c r="E2383" s="4" t="n">
        <f aca="false">IFERROR(INDEX(Positions!$D$2:$D$6912,MATCH($A2383&amp;"|71",Positions!$A$2:$A$6912,0)),"-")</f>
        <v>70</v>
      </c>
      <c r="F2383" s="4" t="str">
        <f aca="false">IFERROR(INDEX(Positions!$E$2:$E$6912,MATCH($A2383&amp;"|2",Positions!$A$2:$A$6912,0)),"-")</f>
        <v>G</v>
      </c>
      <c r="G2383" s="4" t="str">
        <f aca="false">IFERROR(INDEX(Positions!$E$2:$E$6912,MATCH($A2383&amp;"|71",Positions!$A$2:$A$6912,0)),"-")</f>
        <v>C</v>
      </c>
      <c r="H2383" s="3" t="str">
        <f aca="false">F2383&amp;"-"&amp;G2383</f>
        <v>G-C</v>
      </c>
      <c r="I2383" s="4" t="n">
        <f aca="false">(F2383="G")+(G2383="G")</f>
        <v>1</v>
      </c>
      <c r="J2383" s="4" t="n">
        <f aca="false">(F2383="C")+(G2383="C")</f>
        <v>1</v>
      </c>
      <c r="K2383" s="3" t="n">
        <f aca="false">I2383+J2383</f>
        <v>2</v>
      </c>
    </row>
    <row r="2384" customFormat="false" ht="15" hidden="false" customHeight="false" outlineLevel="0" collapsed="false">
      <c r="A2384" s="4" t="s">
        <v>122</v>
      </c>
      <c r="B2384" s="4" t="s">
        <v>412</v>
      </c>
      <c r="C2384" s="4" t="s">
        <v>386</v>
      </c>
      <c r="D2384" s="4" t="n">
        <f aca="false">IFERROR(INDEX(Positions!$D$2:$D$6912,MATCH($A2384&amp;"|3",Positions!$A$2:$A$6912,0)),"-")</f>
        <v>3</v>
      </c>
      <c r="E2384" s="4" t="n">
        <f aca="false">IFERROR(INDEX(Positions!$D$2:$D$6912,MATCH($A2384&amp;"|70",Positions!$A$2:$A$6912,0)),"-")</f>
        <v>69</v>
      </c>
      <c r="F2384" s="4" t="str">
        <f aca="false">IFERROR(INDEX(Positions!$E$2:$E$6912,MATCH($A2384&amp;"|3",Positions!$A$2:$A$6912,0)),"-")</f>
        <v>U</v>
      </c>
      <c r="G2384" s="4" t="str">
        <f aca="false">IFERROR(INDEX(Positions!$E$2:$E$6912,MATCH($A2384&amp;"|70",Positions!$A$2:$A$6912,0)),"-")</f>
        <v>A</v>
      </c>
      <c r="H2384" s="3" t="str">
        <f aca="false">F2384&amp;"-"&amp;G2384</f>
        <v>U-A</v>
      </c>
      <c r="I2384" s="4" t="n">
        <f aca="false">(F2384="G")+(G2384="G")</f>
        <v>0</v>
      </c>
      <c r="J2384" s="4" t="n">
        <f aca="false">(F2384="C")+(G2384="C")</f>
        <v>0</v>
      </c>
      <c r="K2384" s="3" t="n">
        <f aca="false">I2384+J2384</f>
        <v>0</v>
      </c>
    </row>
    <row r="2385" customFormat="false" ht="15" hidden="false" customHeight="false" outlineLevel="0" collapsed="false">
      <c r="A2385" s="4" t="s">
        <v>122</v>
      </c>
      <c r="B2385" s="4" t="s">
        <v>412</v>
      </c>
      <c r="C2385" s="4" t="s">
        <v>519</v>
      </c>
      <c r="D2385" s="4" t="n">
        <f aca="false">IFERROR(INDEX(Positions!$D$2:$D$6912,MATCH($A2385&amp;"|4",Positions!$A$2:$A$6912,0)),"-")</f>
        <v>4</v>
      </c>
      <c r="E2385" s="4" t="n">
        <f aca="false">IFERROR(INDEX(Positions!$D$2:$D$6912,MATCH($A2385&amp;"|69",Positions!$A$2:$A$6912,0)),"-")</f>
        <v>68</v>
      </c>
      <c r="F2385" s="4" t="str">
        <f aca="false">IFERROR(INDEX(Positions!$E$2:$E$6912,MATCH($A2385&amp;"|4",Positions!$A$2:$A$6912,0)),"-")</f>
        <v>C</v>
      </c>
      <c r="G2385" s="4" t="str">
        <f aca="false">IFERROR(INDEX(Positions!$E$2:$E$6912,MATCH($A2385&amp;"|69",Positions!$A$2:$A$6912,0)),"-")</f>
        <v>G</v>
      </c>
      <c r="H2385" s="3" t="str">
        <f aca="false">F2385&amp;"-"&amp;G2385</f>
        <v>C-G</v>
      </c>
      <c r="I2385" s="4" t="n">
        <f aca="false">(F2385="G")+(G2385="G")</f>
        <v>1</v>
      </c>
      <c r="J2385" s="4" t="n">
        <f aca="false">(F2385="C")+(G2385="C")</f>
        <v>1</v>
      </c>
      <c r="K2385" s="3" t="n">
        <f aca="false">I2385+J2385</f>
        <v>2</v>
      </c>
    </row>
    <row r="2386" customFormat="false" ht="15" hidden="false" customHeight="false" outlineLevel="0" collapsed="false">
      <c r="A2386" s="4" t="s">
        <v>122</v>
      </c>
      <c r="B2386" s="4" t="s">
        <v>412</v>
      </c>
      <c r="C2386" s="4" t="s">
        <v>283</v>
      </c>
      <c r="D2386" s="4" t="n">
        <f aca="false">IFERROR(INDEX(Positions!$D$2:$D$6912,MATCH($A2386&amp;"|5",Positions!$A$2:$A$6912,0)),"-")</f>
        <v>5</v>
      </c>
      <c r="E2386" s="4" t="n">
        <f aca="false">IFERROR(INDEX(Positions!$D$2:$D$6912,MATCH($A2386&amp;"|68",Positions!$A$2:$A$6912,0)),"-")</f>
        <v>67</v>
      </c>
      <c r="F2386" s="4" t="str">
        <f aca="false">IFERROR(INDEX(Positions!$E$2:$E$6912,MATCH($A2386&amp;"|5",Positions!$A$2:$A$6912,0)),"-")</f>
        <v>C</v>
      </c>
      <c r="G2386" s="4" t="str">
        <f aca="false">IFERROR(INDEX(Positions!$E$2:$E$6912,MATCH($A2386&amp;"|68",Positions!$A$2:$A$6912,0)),"-")</f>
        <v>G</v>
      </c>
      <c r="H2386" s="3" t="str">
        <f aca="false">F2386&amp;"-"&amp;G2386</f>
        <v>C-G</v>
      </c>
      <c r="I2386" s="4" t="n">
        <f aca="false">(F2386="G")+(G2386="G")</f>
        <v>1</v>
      </c>
      <c r="J2386" s="4" t="n">
        <f aca="false">(F2386="C")+(G2386="C")</f>
        <v>1</v>
      </c>
      <c r="K2386" s="3" t="n">
        <f aca="false">I2386+J2386</f>
        <v>2</v>
      </c>
    </row>
    <row r="2387" customFormat="false" ht="15" hidden="false" customHeight="false" outlineLevel="0" collapsed="false">
      <c r="A2387" s="4" t="s">
        <v>122</v>
      </c>
      <c r="B2387" s="4" t="s">
        <v>412</v>
      </c>
      <c r="C2387" s="4" t="s">
        <v>520</v>
      </c>
      <c r="D2387" s="4" t="n">
        <f aca="false">IFERROR(INDEX(Positions!$D$2:$D$6912,MATCH($A2387&amp;"|6",Positions!$A$2:$A$6912,0)),"-")</f>
        <v>6</v>
      </c>
      <c r="E2387" s="4" t="n">
        <f aca="false">IFERROR(INDEX(Positions!$D$2:$D$6912,MATCH($A2387&amp;"|67",Positions!$A$2:$A$6912,0)),"-")</f>
        <v>66</v>
      </c>
      <c r="F2387" s="4" t="str">
        <f aca="false">IFERROR(INDEX(Positions!$E$2:$E$6912,MATCH($A2387&amp;"|6",Positions!$A$2:$A$6912,0)),"-")</f>
        <v>C</v>
      </c>
      <c r="G2387" s="4" t="str">
        <f aca="false">IFERROR(INDEX(Positions!$E$2:$E$6912,MATCH($A2387&amp;"|67",Positions!$A$2:$A$6912,0)),"-")</f>
        <v>G</v>
      </c>
      <c r="H2387" s="3" t="str">
        <f aca="false">F2387&amp;"-"&amp;G2387</f>
        <v>C-G</v>
      </c>
      <c r="I2387" s="4" t="n">
        <f aca="false">(F2387="G")+(G2387="G")</f>
        <v>1</v>
      </c>
      <c r="J2387" s="4" t="n">
        <f aca="false">(F2387="C")+(G2387="C")</f>
        <v>1</v>
      </c>
      <c r="K2387" s="3" t="n">
        <f aca="false">I2387+J2387</f>
        <v>2</v>
      </c>
    </row>
    <row r="2388" customFormat="false" ht="15" hidden="false" customHeight="false" outlineLevel="0" collapsed="false">
      <c r="A2388" s="4" t="s">
        <v>122</v>
      </c>
      <c r="B2388" s="4" t="s">
        <v>412</v>
      </c>
      <c r="C2388" s="4" t="s">
        <v>521</v>
      </c>
      <c r="D2388" s="4" t="n">
        <f aca="false">IFERROR(INDEX(Positions!$D$2:$D$6912,MATCH($A2388&amp;"|7",Positions!$A$2:$A$6912,0)),"-")</f>
        <v>7</v>
      </c>
      <c r="E2388" s="4" t="n">
        <f aca="false">IFERROR(INDEX(Positions!$D$2:$D$6912,MATCH($A2388&amp;"|66",Positions!$A$2:$A$6912,0)),"-")</f>
        <v>65</v>
      </c>
      <c r="F2388" s="4" t="str">
        <f aca="false">IFERROR(INDEX(Positions!$E$2:$E$6912,MATCH($A2388&amp;"|7",Positions!$A$2:$A$6912,0)),"-")</f>
        <v>A</v>
      </c>
      <c r="G2388" s="4" t="str">
        <f aca="false">IFERROR(INDEX(Positions!$E$2:$E$6912,MATCH($A2388&amp;"|66",Positions!$A$2:$A$6912,0)),"-")</f>
        <v>U</v>
      </c>
      <c r="H2388" s="3" t="str">
        <f aca="false">F2388&amp;"-"&amp;G2388</f>
        <v>A-U</v>
      </c>
      <c r="I2388" s="4" t="n">
        <f aca="false">(F2388="G")+(G2388="G")</f>
        <v>0</v>
      </c>
      <c r="J2388" s="4" t="n">
        <f aca="false">(F2388="C")+(G2388="C")</f>
        <v>0</v>
      </c>
      <c r="K2388" s="3" t="n">
        <f aca="false">I2388+J2388</f>
        <v>0</v>
      </c>
    </row>
    <row r="2389" customFormat="false" ht="15" hidden="false" customHeight="false" outlineLevel="0" collapsed="false">
      <c r="A2389" s="4" t="s">
        <v>122</v>
      </c>
      <c r="B2389" s="4" t="s">
        <v>425</v>
      </c>
      <c r="C2389" s="4" t="s">
        <v>522</v>
      </c>
      <c r="D2389" s="4" t="n">
        <f aca="false">IFERROR(INDEX(Positions!$D$2:$D$6912,MATCH($A2389&amp;"|10",Positions!$A$2:$A$6912,0)),"-")</f>
        <v>10</v>
      </c>
      <c r="E2389" s="4" t="n">
        <f aca="false">IFERROR(INDEX(Positions!$D$2:$D$6912,MATCH($A2389&amp;"|25",Positions!$A$2:$A$6912,0)),"-")</f>
        <v>25</v>
      </c>
      <c r="F2389" s="4" t="str">
        <f aca="false">IFERROR(INDEX(Positions!$E$2:$E$6912,MATCH($A2389&amp;"|10",Positions!$A$2:$A$6912,0)),"-")</f>
        <v>G</v>
      </c>
      <c r="G2389" s="4" t="str">
        <f aca="false">IFERROR(INDEX(Positions!$E$2:$E$6912,MATCH($A2389&amp;"|25",Positions!$A$2:$A$6912,0)),"-")</f>
        <v>C</v>
      </c>
      <c r="H2389" s="3" t="str">
        <f aca="false">F2389&amp;"-"&amp;G2389</f>
        <v>G-C</v>
      </c>
      <c r="I2389" s="4" t="n">
        <f aca="false">(F2389="G")+(G2389="G")</f>
        <v>1</v>
      </c>
      <c r="J2389" s="4" t="n">
        <f aca="false">(F2389="C")+(G2389="C")</f>
        <v>1</v>
      </c>
      <c r="K2389" s="3" t="n">
        <f aca="false">I2389+J2389</f>
        <v>2</v>
      </c>
    </row>
    <row r="2390" customFormat="false" ht="15" hidden="false" customHeight="false" outlineLevel="0" collapsed="false">
      <c r="A2390" s="4" t="s">
        <v>122</v>
      </c>
      <c r="B2390" s="4" t="s">
        <v>425</v>
      </c>
      <c r="C2390" s="4" t="s">
        <v>523</v>
      </c>
      <c r="D2390" s="4" t="n">
        <f aca="false">IFERROR(INDEX(Positions!$D$2:$D$6912,MATCH($A2390&amp;"|11",Positions!$A$2:$A$6912,0)),"-")</f>
        <v>11</v>
      </c>
      <c r="E2390" s="4" t="n">
        <f aca="false">IFERROR(INDEX(Positions!$D$2:$D$6912,MATCH($A2390&amp;"|24",Positions!$A$2:$A$6912,0)),"-")</f>
        <v>24</v>
      </c>
      <c r="F2390" s="4" t="str">
        <f aca="false">IFERROR(INDEX(Positions!$E$2:$E$6912,MATCH($A2390&amp;"|11",Positions!$A$2:$A$6912,0)),"-")</f>
        <v>U</v>
      </c>
      <c r="G2390" s="4" t="str">
        <f aca="false">IFERROR(INDEX(Positions!$E$2:$E$6912,MATCH($A2390&amp;"|24",Positions!$A$2:$A$6912,0)),"-")</f>
        <v>A</v>
      </c>
      <c r="H2390" s="3" t="str">
        <f aca="false">F2390&amp;"-"&amp;G2390</f>
        <v>U-A</v>
      </c>
      <c r="I2390" s="4" t="n">
        <f aca="false">(F2390="G")+(G2390="G")</f>
        <v>0</v>
      </c>
      <c r="J2390" s="4" t="n">
        <f aca="false">(F2390="C")+(G2390="C")</f>
        <v>0</v>
      </c>
      <c r="K2390" s="3" t="n">
        <f aca="false">I2390+J2390</f>
        <v>0</v>
      </c>
    </row>
    <row r="2391" customFormat="false" ht="15" hidden="false" customHeight="false" outlineLevel="0" collapsed="false">
      <c r="A2391" s="4" t="s">
        <v>122</v>
      </c>
      <c r="B2391" s="4" t="s">
        <v>425</v>
      </c>
      <c r="C2391" s="4" t="s">
        <v>250</v>
      </c>
      <c r="D2391" s="4" t="n">
        <f aca="false">IFERROR(INDEX(Positions!$D$2:$D$6912,MATCH($A2391&amp;"|12",Positions!$A$2:$A$6912,0)),"-")</f>
        <v>12</v>
      </c>
      <c r="E2391" s="4" t="n">
        <f aca="false">IFERROR(INDEX(Positions!$D$2:$D$6912,MATCH($A2391&amp;"|23",Positions!$A$2:$A$6912,0)),"-")</f>
        <v>23</v>
      </c>
      <c r="F2391" s="4" t="str">
        <f aca="false">IFERROR(INDEX(Positions!$E$2:$E$6912,MATCH($A2391&amp;"|12",Positions!$A$2:$A$6912,0)),"-")</f>
        <v>G</v>
      </c>
      <c r="G2391" s="4" t="str">
        <f aca="false">IFERROR(INDEX(Positions!$E$2:$E$6912,MATCH($A2391&amp;"|23",Positions!$A$2:$A$6912,0)),"-")</f>
        <v>C</v>
      </c>
      <c r="H2391" s="3" t="str">
        <f aca="false">F2391&amp;"-"&amp;G2391</f>
        <v>G-C</v>
      </c>
      <c r="I2391" s="4" t="n">
        <f aca="false">(F2391="G")+(G2391="G")</f>
        <v>1</v>
      </c>
      <c r="J2391" s="4" t="n">
        <f aca="false">(F2391="C")+(G2391="C")</f>
        <v>1</v>
      </c>
      <c r="K2391" s="3" t="n">
        <f aca="false">I2391+J2391</f>
        <v>2</v>
      </c>
    </row>
    <row r="2392" customFormat="false" ht="15" hidden="false" customHeight="false" outlineLevel="0" collapsed="false">
      <c r="A2392" s="4" t="s">
        <v>122</v>
      </c>
      <c r="B2392" s="4" t="s">
        <v>425</v>
      </c>
      <c r="C2392" s="4" t="s">
        <v>154</v>
      </c>
      <c r="D2392" s="4" t="n">
        <f aca="false">IFERROR(INDEX(Positions!$D$2:$D$6912,MATCH($A2392&amp;"|13",Positions!$A$2:$A$6912,0)),"-")</f>
        <v>13</v>
      </c>
      <c r="E2392" s="4" t="n">
        <f aca="false">IFERROR(INDEX(Positions!$D$2:$D$6912,MATCH($A2392&amp;"|22",Positions!$A$2:$A$6912,0)),"-")</f>
        <v>22</v>
      </c>
      <c r="F2392" s="4" t="str">
        <f aca="false">IFERROR(INDEX(Positions!$E$2:$E$6912,MATCH($A2392&amp;"|13",Positions!$A$2:$A$6912,0)),"-")</f>
        <v>U</v>
      </c>
      <c r="G2392" s="4" t="str">
        <f aca="false">IFERROR(INDEX(Positions!$E$2:$E$6912,MATCH($A2392&amp;"|22",Positions!$A$2:$A$6912,0)),"-")</f>
        <v>G</v>
      </c>
      <c r="H2392" s="3" t="str">
        <f aca="false">F2392&amp;"-"&amp;G2392</f>
        <v>U-G</v>
      </c>
      <c r="I2392" s="4" t="n">
        <f aca="false">(F2392="G")+(G2392="G")</f>
        <v>1</v>
      </c>
      <c r="J2392" s="4" t="n">
        <f aca="false">(F2392="C")+(G2392="C")</f>
        <v>0</v>
      </c>
      <c r="K2392" s="3" t="n">
        <f aca="false">I2392+J2392</f>
        <v>1</v>
      </c>
    </row>
    <row r="2393" customFormat="false" ht="15" hidden="false" customHeight="false" outlineLevel="0" collapsed="false">
      <c r="A2393" s="4" t="s">
        <v>122</v>
      </c>
      <c r="B2393" s="4" t="s">
        <v>446</v>
      </c>
      <c r="C2393" s="4" t="s">
        <v>524</v>
      </c>
      <c r="D2393" s="4" t="n">
        <f aca="false">IFERROR(INDEX(Positions!$D$2:$D$6912,MATCH($A2393&amp;"|27",Positions!$A$2:$A$6912,0)),"-")</f>
        <v>27</v>
      </c>
      <c r="E2393" s="4" t="n">
        <f aca="false">IFERROR(INDEX(Positions!$D$2:$D$6912,MATCH($A2393&amp;"|43",Positions!$A$2:$A$6912,0)),"-")</f>
        <v>43</v>
      </c>
      <c r="F2393" s="4" t="str">
        <f aca="false">IFERROR(INDEX(Positions!$E$2:$E$6912,MATCH($A2393&amp;"|27",Positions!$A$2:$A$6912,0)),"-")</f>
        <v>C</v>
      </c>
      <c r="G2393" s="4" t="str">
        <f aca="false">IFERROR(INDEX(Positions!$E$2:$E$6912,MATCH($A2393&amp;"|43",Positions!$A$2:$A$6912,0)),"-")</f>
        <v>G</v>
      </c>
      <c r="H2393" s="3" t="str">
        <f aca="false">F2393&amp;"-"&amp;G2393</f>
        <v>C-G</v>
      </c>
      <c r="I2393" s="4" t="n">
        <f aca="false">(F2393="G")+(G2393="G")</f>
        <v>1</v>
      </c>
      <c r="J2393" s="4" t="n">
        <f aca="false">(F2393="C")+(G2393="C")</f>
        <v>1</v>
      </c>
      <c r="K2393" s="3" t="n">
        <f aca="false">I2393+J2393</f>
        <v>2</v>
      </c>
    </row>
    <row r="2394" customFormat="false" ht="15" hidden="false" customHeight="false" outlineLevel="0" collapsed="false">
      <c r="A2394" s="4" t="s">
        <v>122</v>
      </c>
      <c r="B2394" s="4" t="s">
        <v>446</v>
      </c>
      <c r="C2394" s="4" t="s">
        <v>525</v>
      </c>
      <c r="D2394" s="4" t="n">
        <f aca="false">IFERROR(INDEX(Positions!$D$2:$D$6912,MATCH($A2394&amp;"|28",Positions!$A$2:$A$6912,0)),"-")</f>
        <v>28</v>
      </c>
      <c r="E2394" s="4" t="n">
        <f aca="false">IFERROR(INDEX(Positions!$D$2:$D$6912,MATCH($A2394&amp;"|42",Positions!$A$2:$A$6912,0)),"-")</f>
        <v>42</v>
      </c>
      <c r="F2394" s="4" t="str">
        <f aca="false">IFERROR(INDEX(Positions!$E$2:$E$6912,MATCH($A2394&amp;"|28",Positions!$A$2:$A$6912,0)),"-")</f>
        <v>U</v>
      </c>
      <c r="G2394" s="4" t="str">
        <f aca="false">IFERROR(INDEX(Positions!$E$2:$E$6912,MATCH($A2394&amp;"|42",Positions!$A$2:$A$6912,0)),"-")</f>
        <v>A</v>
      </c>
      <c r="H2394" s="3" t="str">
        <f aca="false">F2394&amp;"-"&amp;G2394</f>
        <v>U-A</v>
      </c>
      <c r="I2394" s="4" t="n">
        <f aca="false">(F2394="G")+(G2394="G")</f>
        <v>0</v>
      </c>
      <c r="J2394" s="4" t="n">
        <f aca="false">(F2394="C")+(G2394="C")</f>
        <v>0</v>
      </c>
      <c r="K2394" s="3" t="n">
        <f aca="false">I2394+J2394</f>
        <v>0</v>
      </c>
    </row>
    <row r="2395" customFormat="false" ht="15" hidden="false" customHeight="false" outlineLevel="0" collapsed="false">
      <c r="A2395" s="4" t="s">
        <v>122</v>
      </c>
      <c r="B2395" s="4" t="s">
        <v>446</v>
      </c>
      <c r="C2395" s="4" t="s">
        <v>256</v>
      </c>
      <c r="D2395" s="4" t="n">
        <f aca="false">IFERROR(INDEX(Positions!$D$2:$D$6912,MATCH($A2395&amp;"|29",Positions!$A$2:$A$6912,0)),"-")</f>
        <v>29</v>
      </c>
      <c r="E2395" s="4" t="n">
        <f aca="false">IFERROR(INDEX(Positions!$D$2:$D$6912,MATCH($A2395&amp;"|41",Positions!$A$2:$A$6912,0)),"-")</f>
        <v>41</v>
      </c>
      <c r="F2395" s="4" t="str">
        <f aca="false">IFERROR(INDEX(Positions!$E$2:$E$6912,MATCH($A2395&amp;"|29",Positions!$A$2:$A$6912,0)),"-")</f>
        <v>G</v>
      </c>
      <c r="G2395" s="4" t="str">
        <f aca="false">IFERROR(INDEX(Positions!$E$2:$E$6912,MATCH($A2395&amp;"|41",Positions!$A$2:$A$6912,0)),"-")</f>
        <v>C</v>
      </c>
      <c r="H2395" s="3" t="str">
        <f aca="false">F2395&amp;"-"&amp;G2395</f>
        <v>G-C</v>
      </c>
      <c r="I2395" s="4" t="n">
        <f aca="false">(F2395="G")+(G2395="G")</f>
        <v>1</v>
      </c>
      <c r="J2395" s="4" t="n">
        <f aca="false">(F2395="C")+(G2395="C")</f>
        <v>1</v>
      </c>
      <c r="K2395" s="3" t="n">
        <f aca="false">I2395+J2395</f>
        <v>2</v>
      </c>
    </row>
    <row r="2396" customFormat="false" ht="15" hidden="false" customHeight="false" outlineLevel="0" collapsed="false">
      <c r="A2396" s="4" t="s">
        <v>122</v>
      </c>
      <c r="B2396" s="4" t="s">
        <v>446</v>
      </c>
      <c r="C2396" s="4" t="s">
        <v>526</v>
      </c>
      <c r="D2396" s="4" t="n">
        <f aca="false">IFERROR(INDEX(Positions!$D$2:$D$6912,MATCH($A2396&amp;"|30",Positions!$A$2:$A$6912,0)),"-")</f>
        <v>30</v>
      </c>
      <c r="E2396" s="4" t="n">
        <f aca="false">IFERROR(INDEX(Positions!$D$2:$D$6912,MATCH($A2396&amp;"|40",Positions!$A$2:$A$6912,0)),"-")</f>
        <v>40</v>
      </c>
      <c r="F2396" s="4" t="str">
        <f aca="false">IFERROR(INDEX(Positions!$E$2:$E$6912,MATCH($A2396&amp;"|30",Positions!$A$2:$A$6912,0)),"-")</f>
        <v>G</v>
      </c>
      <c r="G2396" s="4" t="str">
        <f aca="false">IFERROR(INDEX(Positions!$E$2:$E$6912,MATCH($A2396&amp;"|40",Positions!$A$2:$A$6912,0)),"-")</f>
        <v>C</v>
      </c>
      <c r="H2396" s="3" t="str">
        <f aca="false">F2396&amp;"-"&amp;G2396</f>
        <v>G-C</v>
      </c>
      <c r="I2396" s="4" t="n">
        <f aca="false">(F2396="G")+(G2396="G")</f>
        <v>1</v>
      </c>
      <c r="J2396" s="4" t="n">
        <f aca="false">(F2396="C")+(G2396="C")</f>
        <v>1</v>
      </c>
      <c r="K2396" s="3" t="n">
        <f aca="false">I2396+J2396</f>
        <v>2</v>
      </c>
    </row>
    <row r="2397" customFormat="false" ht="15" hidden="false" customHeight="false" outlineLevel="0" collapsed="false">
      <c r="A2397" s="4" t="s">
        <v>122</v>
      </c>
      <c r="B2397" s="4" t="s">
        <v>446</v>
      </c>
      <c r="C2397" s="4" t="s">
        <v>273</v>
      </c>
      <c r="D2397" s="4" t="n">
        <f aca="false">IFERROR(INDEX(Positions!$D$2:$D$6912,MATCH($A2397&amp;"|31",Positions!$A$2:$A$6912,0)),"-")</f>
        <v>31</v>
      </c>
      <c r="E2397" s="4" t="n">
        <f aca="false">IFERROR(INDEX(Positions!$D$2:$D$6912,MATCH($A2397&amp;"|39",Positions!$A$2:$A$6912,0)),"-")</f>
        <v>39</v>
      </c>
      <c r="F2397" s="4" t="str">
        <f aca="false">IFERROR(INDEX(Positions!$E$2:$E$6912,MATCH($A2397&amp;"|31",Positions!$A$2:$A$6912,0)),"-")</f>
        <v>A</v>
      </c>
      <c r="G2397" s="4" t="str">
        <f aca="false">IFERROR(INDEX(Positions!$E$2:$E$6912,MATCH($A2397&amp;"|39",Positions!$A$2:$A$6912,0)),"-")</f>
        <v>U</v>
      </c>
      <c r="H2397" s="3" t="str">
        <f aca="false">F2397&amp;"-"&amp;G2397</f>
        <v>A-U</v>
      </c>
      <c r="I2397" s="4" t="n">
        <f aca="false">(F2397="G")+(G2397="G")</f>
        <v>0</v>
      </c>
      <c r="J2397" s="4" t="n">
        <f aca="false">(F2397="C")+(G2397="C")</f>
        <v>0</v>
      </c>
      <c r="K2397" s="3" t="n">
        <f aca="false">I2397+J2397</f>
        <v>0</v>
      </c>
    </row>
    <row r="2398" customFormat="false" ht="15" hidden="false" customHeight="false" outlineLevel="0" collapsed="false">
      <c r="A2398" s="4" t="s">
        <v>122</v>
      </c>
      <c r="B2398" s="4" t="s">
        <v>471</v>
      </c>
      <c r="C2398" s="4" t="s">
        <v>367</v>
      </c>
      <c r="D2398" s="4" t="n">
        <f aca="false">IFERROR(INDEX(Positions!$D$2:$D$6912,MATCH($A2398&amp;"|49",Positions!$A$2:$A$6912,0)),"-")</f>
        <v>48</v>
      </c>
      <c r="E2398" s="4" t="n">
        <f aca="false">IFERROR(INDEX(Positions!$D$2:$D$6912,MATCH($A2398&amp;"|65",Positions!$A$2:$A$6912,0)),"-")</f>
        <v>64</v>
      </c>
      <c r="F2398" s="4" t="str">
        <f aca="false">IFERROR(INDEX(Positions!$E$2:$E$6912,MATCH($A2398&amp;"|49",Positions!$A$2:$A$6912,0)),"-")</f>
        <v>C</v>
      </c>
      <c r="G2398" s="4" t="str">
        <f aca="false">IFERROR(INDEX(Positions!$E$2:$E$6912,MATCH($A2398&amp;"|65",Positions!$A$2:$A$6912,0)),"-")</f>
        <v>G</v>
      </c>
      <c r="H2398" s="3" t="str">
        <f aca="false">F2398&amp;"-"&amp;G2398</f>
        <v>C-G</v>
      </c>
      <c r="I2398" s="4" t="n">
        <f aca="false">(F2398="G")+(G2398="G")</f>
        <v>1</v>
      </c>
      <c r="J2398" s="4" t="n">
        <f aca="false">(F2398="C")+(G2398="C")</f>
        <v>1</v>
      </c>
      <c r="K2398" s="3" t="n">
        <f aca="false">I2398+J2398</f>
        <v>2</v>
      </c>
    </row>
    <row r="2399" customFormat="false" ht="15" hidden="false" customHeight="false" outlineLevel="0" collapsed="false">
      <c r="A2399" s="4" t="s">
        <v>122</v>
      </c>
      <c r="B2399" s="4" t="s">
        <v>471</v>
      </c>
      <c r="C2399" s="4" t="s">
        <v>233</v>
      </c>
      <c r="D2399" s="4" t="n">
        <f aca="false">IFERROR(INDEX(Positions!$D$2:$D$6912,MATCH($A2399&amp;"|50",Positions!$A$2:$A$6912,0)),"-")</f>
        <v>49</v>
      </c>
      <c r="E2399" s="4" t="n">
        <f aca="false">IFERROR(INDEX(Positions!$D$2:$D$6912,MATCH($A2399&amp;"|64",Positions!$A$2:$A$6912,0)),"-")</f>
        <v>63</v>
      </c>
      <c r="F2399" s="4" t="str">
        <f aca="false">IFERROR(INDEX(Positions!$E$2:$E$6912,MATCH($A2399&amp;"|50",Positions!$A$2:$A$6912,0)),"-")</f>
        <v>C</v>
      </c>
      <c r="G2399" s="4" t="str">
        <f aca="false">IFERROR(INDEX(Positions!$E$2:$E$6912,MATCH($A2399&amp;"|64",Positions!$A$2:$A$6912,0)),"-")</f>
        <v>G</v>
      </c>
      <c r="H2399" s="3" t="str">
        <f aca="false">F2399&amp;"-"&amp;G2399</f>
        <v>C-G</v>
      </c>
      <c r="I2399" s="4" t="n">
        <f aca="false">(F2399="G")+(G2399="G")</f>
        <v>1</v>
      </c>
      <c r="J2399" s="4" t="n">
        <f aca="false">(F2399="C")+(G2399="C")</f>
        <v>1</v>
      </c>
      <c r="K2399" s="3" t="n">
        <f aca="false">I2399+J2399</f>
        <v>2</v>
      </c>
    </row>
    <row r="2400" customFormat="false" ht="15" hidden="false" customHeight="false" outlineLevel="0" collapsed="false">
      <c r="A2400" s="4" t="s">
        <v>122</v>
      </c>
      <c r="B2400" s="4" t="s">
        <v>471</v>
      </c>
      <c r="C2400" s="4" t="s">
        <v>527</v>
      </c>
      <c r="D2400" s="4" t="n">
        <f aca="false">IFERROR(INDEX(Positions!$D$2:$D$6912,MATCH($A2400&amp;"|51",Positions!$A$2:$A$6912,0)),"-")</f>
        <v>50</v>
      </c>
      <c r="E2400" s="4" t="n">
        <f aca="false">IFERROR(INDEX(Positions!$D$2:$D$6912,MATCH($A2400&amp;"|63",Positions!$A$2:$A$6912,0)),"-")</f>
        <v>62</v>
      </c>
      <c r="F2400" s="4" t="str">
        <f aca="false">IFERROR(INDEX(Positions!$E$2:$E$6912,MATCH($A2400&amp;"|51",Positions!$A$2:$A$6912,0)),"-")</f>
        <v>G</v>
      </c>
      <c r="G2400" s="4" t="str">
        <f aca="false">IFERROR(INDEX(Positions!$E$2:$E$6912,MATCH($A2400&amp;"|63",Positions!$A$2:$A$6912,0)),"-")</f>
        <v>C</v>
      </c>
      <c r="H2400" s="3" t="str">
        <f aca="false">F2400&amp;"-"&amp;G2400</f>
        <v>G-C</v>
      </c>
      <c r="I2400" s="4" t="n">
        <f aca="false">(F2400="G")+(G2400="G")</f>
        <v>1</v>
      </c>
      <c r="J2400" s="4" t="n">
        <f aca="false">(F2400="C")+(G2400="C")</f>
        <v>1</v>
      </c>
      <c r="K2400" s="3" t="n">
        <f aca="false">I2400+J2400</f>
        <v>2</v>
      </c>
    </row>
    <row r="2401" customFormat="false" ht="15" hidden="false" customHeight="false" outlineLevel="0" collapsed="false">
      <c r="A2401" s="4" t="s">
        <v>122</v>
      </c>
      <c r="B2401" s="4" t="s">
        <v>471</v>
      </c>
      <c r="C2401" s="4" t="s">
        <v>528</v>
      </c>
      <c r="D2401" s="4" t="n">
        <f aca="false">IFERROR(INDEX(Positions!$D$2:$D$6912,MATCH($A2401&amp;"|52",Positions!$A$2:$A$6912,0)),"-")</f>
        <v>51</v>
      </c>
      <c r="E2401" s="4" t="n">
        <f aca="false">IFERROR(INDEX(Positions!$D$2:$D$6912,MATCH($A2401&amp;"|62",Positions!$A$2:$A$6912,0)),"-")</f>
        <v>61</v>
      </c>
      <c r="F2401" s="4" t="str">
        <f aca="false">IFERROR(INDEX(Positions!$E$2:$E$6912,MATCH($A2401&amp;"|52",Positions!$A$2:$A$6912,0)),"-")</f>
        <v>A</v>
      </c>
      <c r="G2401" s="4" t="str">
        <f aca="false">IFERROR(INDEX(Positions!$E$2:$E$6912,MATCH($A2401&amp;"|62",Positions!$A$2:$A$6912,0)),"-")</f>
        <v>U</v>
      </c>
      <c r="H2401" s="3" t="str">
        <f aca="false">F2401&amp;"-"&amp;G2401</f>
        <v>A-U</v>
      </c>
      <c r="I2401" s="4" t="n">
        <f aca="false">(F2401="G")+(G2401="G")</f>
        <v>0</v>
      </c>
      <c r="J2401" s="4" t="n">
        <f aca="false">(F2401="C")+(G2401="C")</f>
        <v>0</v>
      </c>
      <c r="K2401" s="3" t="n">
        <f aca="false">I2401+J2401</f>
        <v>0</v>
      </c>
    </row>
    <row r="2402" customFormat="false" ht="15" hidden="false" customHeight="false" outlineLevel="0" collapsed="false">
      <c r="A2402" s="4" t="s">
        <v>122</v>
      </c>
      <c r="B2402" s="4" t="s">
        <v>471</v>
      </c>
      <c r="C2402" s="4" t="s">
        <v>529</v>
      </c>
      <c r="D2402" s="4" t="n">
        <f aca="false">IFERROR(INDEX(Positions!$D$2:$D$6912,MATCH($A2402&amp;"|53",Positions!$A$2:$A$6912,0)),"-")</f>
        <v>52</v>
      </c>
      <c r="E2402" s="4" t="n">
        <f aca="false">IFERROR(INDEX(Positions!$D$2:$D$6912,MATCH($A2402&amp;"|61",Positions!$A$2:$A$6912,0)),"-")</f>
        <v>60</v>
      </c>
      <c r="F2402" s="4" t="str">
        <f aca="false">IFERROR(INDEX(Positions!$E$2:$E$6912,MATCH($A2402&amp;"|53",Positions!$A$2:$A$6912,0)),"-")</f>
        <v>G</v>
      </c>
      <c r="G2402" s="4" t="str">
        <f aca="false">IFERROR(INDEX(Positions!$E$2:$E$6912,MATCH($A2402&amp;"|61",Positions!$A$2:$A$6912,0)),"-")</f>
        <v>C</v>
      </c>
      <c r="H2402" s="3" t="str">
        <f aca="false">F2402&amp;"-"&amp;G2402</f>
        <v>G-C</v>
      </c>
      <c r="I2402" s="4" t="n">
        <f aca="false">(F2402="G")+(G2402="G")</f>
        <v>1</v>
      </c>
      <c r="J2402" s="4" t="n">
        <f aca="false">(F2402="C")+(G2402="C")</f>
        <v>1</v>
      </c>
      <c r="K2402" s="3" t="n">
        <f aca="false">I2402+J2402</f>
        <v>2</v>
      </c>
    </row>
    <row r="2403" customFormat="false" ht="15" hidden="false" customHeight="false" outlineLevel="0" collapsed="false">
      <c r="A2403" s="24" t="s">
        <v>122</v>
      </c>
      <c r="B2403" s="24" t="s">
        <v>530</v>
      </c>
      <c r="C2403" s="24" t="s">
        <v>531</v>
      </c>
      <c r="D2403" s="24" t="n">
        <f aca="false">IFERROR(INDEX(Positions!$D$2:$D$6912,MATCH($A2403&amp;"|8",Positions!$A$2:$A$6912,0)),"-")</f>
        <v>8</v>
      </c>
      <c r="E2403" s="24" t="n">
        <f aca="false">IFERROR(INDEX(Positions!$D$2:$D$6912,MATCH($A2403&amp;"|14",Positions!$A$2:$A$6912,0)),"-")</f>
        <v>14</v>
      </c>
      <c r="F2403" s="24" t="str">
        <f aca="false">IFERROR(INDEX(Positions!$E$2:$E$6912,MATCH($A2403&amp;"|8",Positions!$A$2:$A$6912,0)),"-")</f>
        <v>U</v>
      </c>
      <c r="G2403" s="24" t="str">
        <f aca="false">IFERROR(INDEX(Positions!$E$2:$E$6912,MATCH($A2403&amp;"|14",Positions!$A$2:$A$6912,0)),"-")</f>
        <v>A</v>
      </c>
      <c r="H2403" s="25" t="str">
        <f aca="false">F2403&amp;"-"&amp;G2403</f>
        <v>U-A</v>
      </c>
      <c r="I2403" s="24" t="n">
        <f aca="false">(F2403="G")+(G2403="G")</f>
        <v>0</v>
      </c>
      <c r="J2403" s="24" t="n">
        <f aca="false">(F2403="C")+(G2403="C")</f>
        <v>0</v>
      </c>
      <c r="K2403" s="25" t="n">
        <f aca="false">I2403+J2403</f>
        <v>0</v>
      </c>
    </row>
    <row r="2404" customFormat="false" ht="15" hidden="false" customHeight="false" outlineLevel="0" collapsed="false">
      <c r="A2404" s="24" t="s">
        <v>122</v>
      </c>
      <c r="B2404" s="24" t="s">
        <v>530</v>
      </c>
      <c r="C2404" s="24" t="s">
        <v>532</v>
      </c>
      <c r="D2404" s="24" t="n">
        <f aca="false">IFERROR(INDEX(Positions!$D$2:$D$6912,MATCH($A2404&amp;"|15",Positions!$A$2:$A$6912,0)),"-")</f>
        <v>15</v>
      </c>
      <c r="E2404" s="24" t="n">
        <f aca="false">IFERROR(INDEX(Positions!$D$2:$D$6912,MATCH($A2404&amp;"|48",Positions!$A$2:$A$6912,0)),"-")</f>
        <v>47</v>
      </c>
      <c r="F2404" s="24" t="str">
        <f aca="false">IFERROR(INDEX(Positions!$E$2:$E$6912,MATCH($A2404&amp;"|15",Positions!$A$2:$A$6912,0)),"-")</f>
        <v>A</v>
      </c>
      <c r="G2404" s="24" t="str">
        <f aca="false">IFERROR(INDEX(Positions!$E$2:$E$6912,MATCH($A2404&amp;"|48",Positions!$A$2:$A$6912,0)),"-")</f>
        <v>U</v>
      </c>
      <c r="H2404" s="25" t="str">
        <f aca="false">F2404&amp;"-"&amp;G2404</f>
        <v>A-U</v>
      </c>
      <c r="I2404" s="24" t="n">
        <f aca="false">(F2404="G")+(G2404="G")</f>
        <v>0</v>
      </c>
      <c r="J2404" s="24" t="n">
        <f aca="false">(F2404="C")+(G2404="C")</f>
        <v>0</v>
      </c>
      <c r="K2404" s="25" t="n">
        <f aca="false">I2404+J2404</f>
        <v>0</v>
      </c>
    </row>
    <row r="2405" customFormat="false" ht="15" hidden="false" customHeight="false" outlineLevel="0" collapsed="false">
      <c r="A2405" s="24" t="s">
        <v>122</v>
      </c>
      <c r="B2405" s="24" t="s">
        <v>530</v>
      </c>
      <c r="C2405" s="24" t="s">
        <v>533</v>
      </c>
      <c r="D2405" s="24" t="n">
        <f aca="false">IFERROR(INDEX(Positions!$D$2:$D$6912,MATCH($A2405&amp;"|18",Positions!$A$2:$A$6912,0)),"-")</f>
        <v>17</v>
      </c>
      <c r="E2405" s="24" t="n">
        <f aca="false">IFERROR(INDEX(Positions!$D$2:$D$6912,MATCH($A2405&amp;"|55",Positions!$A$2:$A$6912,0)),"-")</f>
        <v>54</v>
      </c>
      <c r="F2405" s="24" t="str">
        <f aca="false">IFERROR(INDEX(Positions!$E$2:$E$6912,MATCH($A2405&amp;"|18",Positions!$A$2:$A$6912,0)),"-")</f>
        <v>G</v>
      </c>
      <c r="G2405" s="24" t="str">
        <f aca="false">IFERROR(INDEX(Positions!$E$2:$E$6912,MATCH($A2405&amp;"|55",Positions!$A$2:$A$6912,0)),"-")</f>
        <v>U</v>
      </c>
      <c r="H2405" s="25" t="str">
        <f aca="false">F2405&amp;"-"&amp;G2405</f>
        <v>G-U</v>
      </c>
      <c r="I2405" s="24" t="n">
        <f aca="false">(F2405="G")+(G2405="G")</f>
        <v>1</v>
      </c>
      <c r="J2405" s="24" t="n">
        <f aca="false">(F2405="C")+(G2405="C")</f>
        <v>0</v>
      </c>
      <c r="K2405" s="25" t="n">
        <f aca="false">I2405+J2405</f>
        <v>1</v>
      </c>
    </row>
    <row r="2406" customFormat="false" ht="15" hidden="false" customHeight="false" outlineLevel="0" collapsed="false">
      <c r="A2406" s="24" t="s">
        <v>122</v>
      </c>
      <c r="B2406" s="24" t="s">
        <v>530</v>
      </c>
      <c r="C2406" s="24" t="s">
        <v>534</v>
      </c>
      <c r="D2406" s="24" t="n">
        <f aca="false">IFERROR(INDEX(Positions!$D$2:$D$6912,MATCH($A2406&amp;"|19",Positions!$A$2:$A$6912,0)),"-")</f>
        <v>18</v>
      </c>
      <c r="E2406" s="24" t="n">
        <f aca="false">IFERROR(INDEX(Positions!$D$2:$D$6912,MATCH($A2406&amp;"|56",Positions!$A$2:$A$6912,0)),"-")</f>
        <v>55</v>
      </c>
      <c r="F2406" s="24" t="str">
        <f aca="false">IFERROR(INDEX(Positions!$E$2:$E$6912,MATCH($A2406&amp;"|19",Positions!$A$2:$A$6912,0)),"-")</f>
        <v>G</v>
      </c>
      <c r="G2406" s="24" t="str">
        <f aca="false">IFERROR(INDEX(Positions!$E$2:$E$6912,MATCH($A2406&amp;"|56",Positions!$A$2:$A$6912,0)),"-")</f>
        <v>C</v>
      </c>
      <c r="H2406" s="25" t="str">
        <f aca="false">F2406&amp;"-"&amp;G2406</f>
        <v>G-C</v>
      </c>
      <c r="I2406" s="24" t="n">
        <f aca="false">(F2406="G")+(G2406="G")</f>
        <v>1</v>
      </c>
      <c r="J2406" s="24" t="n">
        <f aca="false">(F2406="C")+(G2406="C")</f>
        <v>1</v>
      </c>
      <c r="K2406" s="25" t="n">
        <f aca="false">I2406+J2406</f>
        <v>2</v>
      </c>
    </row>
    <row r="2407" customFormat="false" ht="15" hidden="false" customHeight="false" outlineLevel="0" collapsed="false">
      <c r="A2407" s="24" t="s">
        <v>122</v>
      </c>
      <c r="B2407" s="24" t="s">
        <v>530</v>
      </c>
      <c r="C2407" s="24" t="s">
        <v>535</v>
      </c>
      <c r="D2407" s="24" t="n">
        <f aca="false">IFERROR(INDEX(Positions!$D$2:$D$6912,MATCH($A2407&amp;"|26",Positions!$A$2:$A$6912,0)),"-")</f>
        <v>26</v>
      </c>
      <c r="E2407" s="24" t="n">
        <f aca="false">IFERROR(INDEX(Positions!$D$2:$D$6912,MATCH($A2407&amp;"|44",Positions!$A$2:$A$6912,0)),"-")</f>
        <v>44</v>
      </c>
      <c r="F2407" s="24" t="str">
        <f aca="false">IFERROR(INDEX(Positions!$E$2:$E$6912,MATCH($A2407&amp;"|26",Positions!$A$2:$A$6912,0)),"-")</f>
        <v>U</v>
      </c>
      <c r="G2407" s="24" t="str">
        <f aca="false">IFERROR(INDEX(Positions!$E$2:$E$6912,MATCH($A2407&amp;"|44",Positions!$A$2:$A$6912,0)),"-")</f>
        <v>C</v>
      </c>
      <c r="H2407" s="25" t="str">
        <f aca="false">F2407&amp;"-"&amp;G2407</f>
        <v>U-C</v>
      </c>
      <c r="I2407" s="24" t="n">
        <f aca="false">(F2407="G")+(G2407="G")</f>
        <v>0</v>
      </c>
      <c r="J2407" s="24" t="n">
        <f aca="false">(F2407="C")+(G2407="C")</f>
        <v>1</v>
      </c>
      <c r="K2407" s="25" t="n">
        <f aca="false">I2407+J2407</f>
        <v>1</v>
      </c>
    </row>
    <row r="2408" customFormat="false" ht="15" hidden="false" customHeight="false" outlineLevel="0" collapsed="false">
      <c r="A2408" s="24" t="s">
        <v>122</v>
      </c>
      <c r="B2408" s="24" t="s">
        <v>530</v>
      </c>
      <c r="C2408" s="24" t="s">
        <v>536</v>
      </c>
      <c r="D2408" s="24" t="n">
        <f aca="false">IFERROR(INDEX(Positions!$D$2:$D$6912,MATCH($A2408&amp;"|32",Positions!$A$2:$A$6912,0)),"-")</f>
        <v>32</v>
      </c>
      <c r="E2408" s="24" t="n">
        <f aca="false">IFERROR(INDEX(Positions!$D$2:$D$6912,MATCH($A2408&amp;"|38",Positions!$A$2:$A$6912,0)),"-")</f>
        <v>38</v>
      </c>
      <c r="F2408" s="24" t="str">
        <f aca="false">IFERROR(INDEX(Positions!$E$2:$E$6912,MATCH($A2408&amp;"|32",Positions!$A$2:$A$6912,0)),"-")</f>
        <v>C</v>
      </c>
      <c r="G2408" s="24" t="str">
        <f aca="false">IFERROR(INDEX(Positions!$E$2:$E$6912,MATCH($A2408&amp;"|38",Positions!$A$2:$A$6912,0)),"-")</f>
        <v>A</v>
      </c>
      <c r="H2408" s="25" t="str">
        <f aca="false">F2408&amp;"-"&amp;G2408</f>
        <v>C-A</v>
      </c>
      <c r="I2408" s="24" t="n">
        <f aca="false">(F2408="G")+(G2408="G")</f>
        <v>0</v>
      </c>
      <c r="J2408" s="24" t="n">
        <f aca="false">(F2408="C")+(G2408="C")</f>
        <v>1</v>
      </c>
      <c r="K2408" s="25" t="n">
        <f aca="false">I2408+J2408</f>
        <v>1</v>
      </c>
    </row>
    <row r="2409" customFormat="false" ht="15" hidden="false" customHeight="false" outlineLevel="0" collapsed="false">
      <c r="A2409" s="24" t="s">
        <v>122</v>
      </c>
      <c r="B2409" s="24" t="s">
        <v>530</v>
      </c>
      <c r="C2409" s="24" t="s">
        <v>537</v>
      </c>
      <c r="D2409" s="24" t="n">
        <f aca="false">IFERROR(INDEX(Positions!$D$2:$D$6912,MATCH($A2409&amp;"|54",Positions!$A$2:$A$6912,0)),"-")</f>
        <v>53</v>
      </c>
      <c r="E2409" s="24" t="n">
        <f aca="false">IFERROR(INDEX(Positions!$D$2:$D$6912,MATCH($A2409&amp;"|58",Positions!$A$2:$A$6912,0)),"-")</f>
        <v>57</v>
      </c>
      <c r="F2409" s="24" t="str">
        <f aca="false">IFERROR(INDEX(Positions!$E$2:$E$6912,MATCH($A2409&amp;"|54",Positions!$A$2:$A$6912,0)),"-")</f>
        <v>U</v>
      </c>
      <c r="G2409" s="24" t="str">
        <f aca="false">IFERROR(INDEX(Positions!$E$2:$E$6912,MATCH($A2409&amp;"|58",Positions!$A$2:$A$6912,0)),"-")</f>
        <v>A</v>
      </c>
      <c r="H2409" s="25" t="str">
        <f aca="false">F2409&amp;"-"&amp;G2409</f>
        <v>U-A</v>
      </c>
      <c r="I2409" s="24" t="n">
        <f aca="false">(F2409="G")+(G2409="G")</f>
        <v>0</v>
      </c>
      <c r="J2409" s="24" t="n">
        <f aca="false">(F2409="C")+(G2409="C")</f>
        <v>0</v>
      </c>
      <c r="K2409" s="25" t="n">
        <f aca="false">I2409+J2409</f>
        <v>0</v>
      </c>
    </row>
    <row r="2410" customFormat="false" ht="15" hidden="false" customHeight="false" outlineLevel="0" collapsed="false">
      <c r="A2410" s="4" t="s">
        <v>123</v>
      </c>
      <c r="B2410" s="4" t="s">
        <v>412</v>
      </c>
      <c r="C2410" s="4" t="s">
        <v>517</v>
      </c>
      <c r="D2410" s="4" t="n">
        <f aca="false">IFERROR(INDEX(Positions!$D$2:$D$6912,MATCH($A2410&amp;"|1",Positions!$A$2:$A$6912,0)),"-")</f>
        <v>1</v>
      </c>
      <c r="E2410" s="4" t="n">
        <f aca="false">IFERROR(INDEX(Positions!$D$2:$D$6912,MATCH($A2410&amp;"|72",Positions!$A$2:$A$6912,0)),"-")</f>
        <v>71</v>
      </c>
      <c r="F2410" s="4" t="str">
        <f aca="false">IFERROR(INDEX(Positions!$E$2:$E$6912,MATCH($A2410&amp;"|1",Positions!$A$2:$A$6912,0)),"-")</f>
        <v>U</v>
      </c>
      <c r="G2410" s="4" t="str">
        <f aca="false">IFERROR(INDEX(Positions!$E$2:$E$6912,MATCH($A2410&amp;"|72",Positions!$A$2:$A$6912,0)),"-")</f>
        <v>A</v>
      </c>
      <c r="H2410" s="3" t="str">
        <f aca="false">F2410&amp;"-"&amp;G2410</f>
        <v>U-A</v>
      </c>
      <c r="I2410" s="4" t="n">
        <f aca="false">(F2410="G")+(G2410="G")</f>
        <v>0</v>
      </c>
      <c r="J2410" s="4" t="n">
        <f aca="false">(F2410="C")+(G2410="C")</f>
        <v>0</v>
      </c>
      <c r="K2410" s="3" t="n">
        <f aca="false">I2410+J2410</f>
        <v>0</v>
      </c>
    </row>
    <row r="2411" customFormat="false" ht="15" hidden="false" customHeight="false" outlineLevel="0" collapsed="false">
      <c r="A2411" s="4" t="s">
        <v>123</v>
      </c>
      <c r="B2411" s="4" t="s">
        <v>412</v>
      </c>
      <c r="C2411" s="4" t="s">
        <v>518</v>
      </c>
      <c r="D2411" s="4" t="n">
        <f aca="false">IFERROR(INDEX(Positions!$D$2:$D$6912,MATCH($A2411&amp;"|2",Positions!$A$2:$A$6912,0)),"-")</f>
        <v>2</v>
      </c>
      <c r="E2411" s="4" t="n">
        <f aca="false">IFERROR(INDEX(Positions!$D$2:$D$6912,MATCH($A2411&amp;"|71",Positions!$A$2:$A$6912,0)),"-")</f>
        <v>70</v>
      </c>
      <c r="F2411" s="4" t="str">
        <f aca="false">IFERROR(INDEX(Positions!$E$2:$E$6912,MATCH($A2411&amp;"|2",Positions!$A$2:$A$6912,0)),"-")</f>
        <v>C</v>
      </c>
      <c r="G2411" s="4" t="str">
        <f aca="false">IFERROR(INDEX(Positions!$E$2:$E$6912,MATCH($A2411&amp;"|71",Positions!$A$2:$A$6912,0)),"-")</f>
        <v>G</v>
      </c>
      <c r="H2411" s="3" t="str">
        <f aca="false">F2411&amp;"-"&amp;G2411</f>
        <v>C-G</v>
      </c>
      <c r="I2411" s="4" t="n">
        <f aca="false">(F2411="G")+(G2411="G")</f>
        <v>1</v>
      </c>
      <c r="J2411" s="4" t="n">
        <f aca="false">(F2411="C")+(G2411="C")</f>
        <v>1</v>
      </c>
      <c r="K2411" s="3" t="n">
        <f aca="false">I2411+J2411</f>
        <v>2</v>
      </c>
    </row>
    <row r="2412" customFormat="false" ht="15" hidden="false" customHeight="false" outlineLevel="0" collapsed="false">
      <c r="A2412" s="4" t="s">
        <v>123</v>
      </c>
      <c r="B2412" s="4" t="s">
        <v>412</v>
      </c>
      <c r="C2412" s="4" t="s">
        <v>386</v>
      </c>
      <c r="D2412" s="4" t="n">
        <f aca="false">IFERROR(INDEX(Positions!$D$2:$D$6912,MATCH($A2412&amp;"|3",Positions!$A$2:$A$6912,0)),"-")</f>
        <v>3</v>
      </c>
      <c r="E2412" s="4" t="n">
        <f aca="false">IFERROR(INDEX(Positions!$D$2:$D$6912,MATCH($A2412&amp;"|70",Positions!$A$2:$A$6912,0)),"-")</f>
        <v>69</v>
      </c>
      <c r="F2412" s="4" t="str">
        <f aca="false">IFERROR(INDEX(Positions!$E$2:$E$6912,MATCH($A2412&amp;"|3",Positions!$A$2:$A$6912,0)),"-")</f>
        <v>C</v>
      </c>
      <c r="G2412" s="4" t="str">
        <f aca="false">IFERROR(INDEX(Positions!$E$2:$E$6912,MATCH($A2412&amp;"|70",Positions!$A$2:$A$6912,0)),"-")</f>
        <v>G</v>
      </c>
      <c r="H2412" s="3" t="str">
        <f aca="false">F2412&amp;"-"&amp;G2412</f>
        <v>C-G</v>
      </c>
      <c r="I2412" s="4" t="n">
        <f aca="false">(F2412="G")+(G2412="G")</f>
        <v>1</v>
      </c>
      <c r="J2412" s="4" t="n">
        <f aca="false">(F2412="C")+(G2412="C")</f>
        <v>1</v>
      </c>
      <c r="K2412" s="3" t="n">
        <f aca="false">I2412+J2412</f>
        <v>2</v>
      </c>
    </row>
    <row r="2413" customFormat="false" ht="15" hidden="false" customHeight="false" outlineLevel="0" collapsed="false">
      <c r="A2413" s="4" t="s">
        <v>123</v>
      </c>
      <c r="B2413" s="4" t="s">
        <v>412</v>
      </c>
      <c r="C2413" s="4" t="s">
        <v>519</v>
      </c>
      <c r="D2413" s="4" t="n">
        <f aca="false">IFERROR(INDEX(Positions!$D$2:$D$6912,MATCH($A2413&amp;"|4",Positions!$A$2:$A$6912,0)),"-")</f>
        <v>4</v>
      </c>
      <c r="E2413" s="4" t="n">
        <f aca="false">IFERROR(INDEX(Positions!$D$2:$D$6912,MATCH($A2413&amp;"|69",Positions!$A$2:$A$6912,0)),"-")</f>
        <v>68</v>
      </c>
      <c r="F2413" s="4" t="str">
        <f aca="false">IFERROR(INDEX(Positions!$E$2:$E$6912,MATCH($A2413&amp;"|4",Positions!$A$2:$A$6912,0)),"-")</f>
        <v>C</v>
      </c>
      <c r="G2413" s="4" t="str">
        <f aca="false">IFERROR(INDEX(Positions!$E$2:$E$6912,MATCH($A2413&amp;"|69",Positions!$A$2:$A$6912,0)),"-")</f>
        <v>G</v>
      </c>
      <c r="H2413" s="3" t="str">
        <f aca="false">F2413&amp;"-"&amp;G2413</f>
        <v>C-G</v>
      </c>
      <c r="I2413" s="4" t="n">
        <f aca="false">(F2413="G")+(G2413="G")</f>
        <v>1</v>
      </c>
      <c r="J2413" s="4" t="n">
        <f aca="false">(F2413="C")+(G2413="C")</f>
        <v>1</v>
      </c>
      <c r="K2413" s="3" t="n">
        <f aca="false">I2413+J2413</f>
        <v>2</v>
      </c>
    </row>
    <row r="2414" customFormat="false" ht="15" hidden="false" customHeight="false" outlineLevel="0" collapsed="false">
      <c r="A2414" s="4" t="s">
        <v>123</v>
      </c>
      <c r="B2414" s="4" t="s">
        <v>412</v>
      </c>
      <c r="C2414" s="4" t="s">
        <v>283</v>
      </c>
      <c r="D2414" s="4" t="n">
        <f aca="false">IFERROR(INDEX(Positions!$D$2:$D$6912,MATCH($A2414&amp;"|5",Positions!$A$2:$A$6912,0)),"-")</f>
        <v>5</v>
      </c>
      <c r="E2414" s="4" t="n">
        <f aca="false">IFERROR(INDEX(Positions!$D$2:$D$6912,MATCH($A2414&amp;"|68",Positions!$A$2:$A$6912,0)),"-")</f>
        <v>67</v>
      </c>
      <c r="F2414" s="4" t="str">
        <f aca="false">IFERROR(INDEX(Positions!$E$2:$E$6912,MATCH($A2414&amp;"|5",Positions!$A$2:$A$6912,0)),"-")</f>
        <v>U</v>
      </c>
      <c r="G2414" s="4" t="str">
        <f aca="false">IFERROR(INDEX(Positions!$E$2:$E$6912,MATCH($A2414&amp;"|68",Positions!$A$2:$A$6912,0)),"-")</f>
        <v>A</v>
      </c>
      <c r="H2414" s="3" t="str">
        <f aca="false">F2414&amp;"-"&amp;G2414</f>
        <v>U-A</v>
      </c>
      <c r="I2414" s="4" t="n">
        <f aca="false">(F2414="G")+(G2414="G")</f>
        <v>0</v>
      </c>
      <c r="J2414" s="4" t="n">
        <f aca="false">(F2414="C")+(G2414="C")</f>
        <v>0</v>
      </c>
      <c r="K2414" s="3" t="n">
        <f aca="false">I2414+J2414</f>
        <v>0</v>
      </c>
    </row>
    <row r="2415" customFormat="false" ht="15" hidden="false" customHeight="false" outlineLevel="0" collapsed="false">
      <c r="A2415" s="4" t="s">
        <v>123</v>
      </c>
      <c r="B2415" s="4" t="s">
        <v>412</v>
      </c>
      <c r="C2415" s="4" t="s">
        <v>520</v>
      </c>
      <c r="D2415" s="4" t="n">
        <f aca="false">IFERROR(INDEX(Positions!$D$2:$D$6912,MATCH($A2415&amp;"|6",Positions!$A$2:$A$6912,0)),"-")</f>
        <v>6</v>
      </c>
      <c r="E2415" s="4" t="n">
        <f aca="false">IFERROR(INDEX(Positions!$D$2:$D$6912,MATCH($A2415&amp;"|67",Positions!$A$2:$A$6912,0)),"-")</f>
        <v>66</v>
      </c>
      <c r="F2415" s="4" t="str">
        <f aca="false">IFERROR(INDEX(Positions!$E$2:$E$6912,MATCH($A2415&amp;"|6",Positions!$A$2:$A$6912,0)),"-")</f>
        <v>G</v>
      </c>
      <c r="G2415" s="4" t="str">
        <f aca="false">IFERROR(INDEX(Positions!$E$2:$E$6912,MATCH($A2415&amp;"|67",Positions!$A$2:$A$6912,0)),"-")</f>
        <v>C</v>
      </c>
      <c r="H2415" s="3" t="str">
        <f aca="false">F2415&amp;"-"&amp;G2415</f>
        <v>G-C</v>
      </c>
      <c r="I2415" s="4" t="n">
        <f aca="false">(F2415="G")+(G2415="G")</f>
        <v>1</v>
      </c>
      <c r="J2415" s="4" t="n">
        <f aca="false">(F2415="C")+(G2415="C")</f>
        <v>1</v>
      </c>
      <c r="K2415" s="3" t="n">
        <f aca="false">I2415+J2415</f>
        <v>2</v>
      </c>
    </row>
    <row r="2416" customFormat="false" ht="15" hidden="false" customHeight="false" outlineLevel="0" collapsed="false">
      <c r="A2416" s="4" t="s">
        <v>123</v>
      </c>
      <c r="B2416" s="4" t="s">
        <v>412</v>
      </c>
      <c r="C2416" s="4" t="s">
        <v>521</v>
      </c>
      <c r="D2416" s="4" t="n">
        <f aca="false">IFERROR(INDEX(Positions!$D$2:$D$6912,MATCH($A2416&amp;"|7",Positions!$A$2:$A$6912,0)),"-")</f>
        <v>7</v>
      </c>
      <c r="E2416" s="4" t="n">
        <f aca="false">IFERROR(INDEX(Positions!$D$2:$D$6912,MATCH($A2416&amp;"|66",Positions!$A$2:$A$6912,0)),"-")</f>
        <v>65</v>
      </c>
      <c r="F2416" s="4" t="str">
        <f aca="false">IFERROR(INDEX(Positions!$E$2:$E$6912,MATCH($A2416&amp;"|7",Positions!$A$2:$A$6912,0)),"-")</f>
        <v>G</v>
      </c>
      <c r="G2416" s="4" t="str">
        <f aca="false">IFERROR(INDEX(Positions!$E$2:$E$6912,MATCH($A2416&amp;"|66",Positions!$A$2:$A$6912,0)),"-")</f>
        <v>U</v>
      </c>
      <c r="H2416" s="3" t="str">
        <f aca="false">F2416&amp;"-"&amp;G2416</f>
        <v>G-U</v>
      </c>
      <c r="I2416" s="4" t="n">
        <f aca="false">(F2416="G")+(G2416="G")</f>
        <v>1</v>
      </c>
      <c r="J2416" s="4" t="n">
        <f aca="false">(F2416="C")+(G2416="C")</f>
        <v>0</v>
      </c>
      <c r="K2416" s="3" t="n">
        <f aca="false">I2416+J2416</f>
        <v>1</v>
      </c>
    </row>
    <row r="2417" customFormat="false" ht="15" hidden="false" customHeight="false" outlineLevel="0" collapsed="false">
      <c r="A2417" s="4" t="s">
        <v>123</v>
      </c>
      <c r="B2417" s="4" t="s">
        <v>425</v>
      </c>
      <c r="C2417" s="4" t="s">
        <v>522</v>
      </c>
      <c r="D2417" s="4" t="n">
        <f aca="false">IFERROR(INDEX(Positions!$D$2:$D$6912,MATCH($A2417&amp;"|10",Positions!$A$2:$A$6912,0)),"-")</f>
        <v>10</v>
      </c>
      <c r="E2417" s="4" t="n">
        <f aca="false">IFERROR(INDEX(Positions!$D$2:$D$6912,MATCH($A2417&amp;"|25",Positions!$A$2:$A$6912,0)),"-")</f>
        <v>25</v>
      </c>
      <c r="F2417" s="4" t="str">
        <f aca="false">IFERROR(INDEX(Positions!$E$2:$E$6912,MATCH($A2417&amp;"|10",Positions!$A$2:$A$6912,0)),"-")</f>
        <v>G</v>
      </c>
      <c r="G2417" s="4" t="str">
        <f aca="false">IFERROR(INDEX(Positions!$E$2:$E$6912,MATCH($A2417&amp;"|25",Positions!$A$2:$A$6912,0)),"-")</f>
        <v>U</v>
      </c>
      <c r="H2417" s="3" t="str">
        <f aca="false">F2417&amp;"-"&amp;G2417</f>
        <v>G-U</v>
      </c>
      <c r="I2417" s="4" t="n">
        <f aca="false">(F2417="G")+(G2417="G")</f>
        <v>1</v>
      </c>
      <c r="J2417" s="4" t="n">
        <f aca="false">(F2417="C")+(G2417="C")</f>
        <v>0</v>
      </c>
      <c r="K2417" s="3" t="n">
        <f aca="false">I2417+J2417</f>
        <v>1</v>
      </c>
    </row>
    <row r="2418" customFormat="false" ht="15" hidden="false" customHeight="false" outlineLevel="0" collapsed="false">
      <c r="A2418" s="4" t="s">
        <v>123</v>
      </c>
      <c r="B2418" s="4" t="s">
        <v>425</v>
      </c>
      <c r="C2418" s="4" t="s">
        <v>523</v>
      </c>
      <c r="D2418" s="4" t="n">
        <f aca="false">IFERROR(INDEX(Positions!$D$2:$D$6912,MATCH($A2418&amp;"|11",Positions!$A$2:$A$6912,0)),"-")</f>
        <v>11</v>
      </c>
      <c r="E2418" s="4" t="n">
        <f aca="false">IFERROR(INDEX(Positions!$D$2:$D$6912,MATCH($A2418&amp;"|24",Positions!$A$2:$A$6912,0)),"-")</f>
        <v>24</v>
      </c>
      <c r="F2418" s="4" t="str">
        <f aca="false">IFERROR(INDEX(Positions!$E$2:$E$6912,MATCH($A2418&amp;"|11",Positions!$A$2:$A$6912,0)),"-")</f>
        <v>U</v>
      </c>
      <c r="G2418" s="4" t="str">
        <f aca="false">IFERROR(INDEX(Positions!$E$2:$E$6912,MATCH($A2418&amp;"|24",Positions!$A$2:$A$6912,0)),"-")</f>
        <v>A</v>
      </c>
      <c r="H2418" s="3" t="str">
        <f aca="false">F2418&amp;"-"&amp;G2418</f>
        <v>U-A</v>
      </c>
      <c r="I2418" s="4" t="n">
        <f aca="false">(F2418="G")+(G2418="G")</f>
        <v>0</v>
      </c>
      <c r="J2418" s="4" t="n">
        <f aca="false">(F2418="C")+(G2418="C")</f>
        <v>0</v>
      </c>
      <c r="K2418" s="3" t="n">
        <f aca="false">I2418+J2418</f>
        <v>0</v>
      </c>
    </row>
    <row r="2419" customFormat="false" ht="15" hidden="false" customHeight="false" outlineLevel="0" collapsed="false">
      <c r="A2419" s="4" t="s">
        <v>123</v>
      </c>
      <c r="B2419" s="4" t="s">
        <v>425</v>
      </c>
      <c r="C2419" s="4" t="s">
        <v>250</v>
      </c>
      <c r="D2419" s="4" t="n">
        <f aca="false">IFERROR(INDEX(Positions!$D$2:$D$6912,MATCH($A2419&amp;"|12",Positions!$A$2:$A$6912,0)),"-")</f>
        <v>12</v>
      </c>
      <c r="E2419" s="4" t="n">
        <f aca="false">IFERROR(INDEX(Positions!$D$2:$D$6912,MATCH($A2419&amp;"|23",Positions!$A$2:$A$6912,0)),"-")</f>
        <v>23</v>
      </c>
      <c r="F2419" s="4" t="str">
        <f aca="false">IFERROR(INDEX(Positions!$E$2:$E$6912,MATCH($A2419&amp;"|12",Positions!$A$2:$A$6912,0)),"-")</f>
        <v>C</v>
      </c>
      <c r="G2419" s="4" t="str">
        <f aca="false">IFERROR(INDEX(Positions!$E$2:$E$6912,MATCH($A2419&amp;"|23",Positions!$A$2:$A$6912,0)),"-")</f>
        <v>G</v>
      </c>
      <c r="H2419" s="3" t="str">
        <f aca="false">F2419&amp;"-"&amp;G2419</f>
        <v>C-G</v>
      </c>
      <c r="I2419" s="4" t="n">
        <f aca="false">(F2419="G")+(G2419="G")</f>
        <v>1</v>
      </c>
      <c r="J2419" s="4" t="n">
        <f aca="false">(F2419="C")+(G2419="C")</f>
        <v>1</v>
      </c>
      <c r="K2419" s="3" t="n">
        <f aca="false">I2419+J2419</f>
        <v>2</v>
      </c>
    </row>
    <row r="2420" customFormat="false" ht="15" hidden="false" customHeight="false" outlineLevel="0" collapsed="false">
      <c r="A2420" s="4" t="s">
        <v>123</v>
      </c>
      <c r="B2420" s="4" t="s">
        <v>425</v>
      </c>
      <c r="C2420" s="4" t="s">
        <v>154</v>
      </c>
      <c r="D2420" s="4" t="n">
        <f aca="false">IFERROR(INDEX(Positions!$D$2:$D$6912,MATCH($A2420&amp;"|13",Positions!$A$2:$A$6912,0)),"-")</f>
        <v>13</v>
      </c>
      <c r="E2420" s="4" t="n">
        <f aca="false">IFERROR(INDEX(Positions!$D$2:$D$6912,MATCH($A2420&amp;"|22",Positions!$A$2:$A$6912,0)),"-")</f>
        <v>22</v>
      </c>
      <c r="F2420" s="4" t="str">
        <f aca="false">IFERROR(INDEX(Positions!$E$2:$E$6912,MATCH($A2420&amp;"|13",Positions!$A$2:$A$6912,0)),"-")</f>
        <v>U</v>
      </c>
      <c r="G2420" s="4" t="str">
        <f aca="false">IFERROR(INDEX(Positions!$E$2:$E$6912,MATCH($A2420&amp;"|22",Positions!$A$2:$A$6912,0)),"-")</f>
        <v>G</v>
      </c>
      <c r="H2420" s="3" t="str">
        <f aca="false">F2420&amp;"-"&amp;G2420</f>
        <v>U-G</v>
      </c>
      <c r="I2420" s="4" t="n">
        <f aca="false">(F2420="G")+(G2420="G")</f>
        <v>1</v>
      </c>
      <c r="J2420" s="4" t="n">
        <f aca="false">(F2420="C")+(G2420="C")</f>
        <v>0</v>
      </c>
      <c r="K2420" s="3" t="n">
        <f aca="false">I2420+J2420</f>
        <v>1</v>
      </c>
    </row>
    <row r="2421" customFormat="false" ht="15" hidden="false" customHeight="false" outlineLevel="0" collapsed="false">
      <c r="A2421" s="4" t="s">
        <v>123</v>
      </c>
      <c r="B2421" s="4" t="s">
        <v>446</v>
      </c>
      <c r="C2421" s="4" t="s">
        <v>524</v>
      </c>
      <c r="D2421" s="4" t="n">
        <f aca="false">IFERROR(INDEX(Positions!$D$2:$D$6912,MATCH($A2421&amp;"|27",Positions!$A$2:$A$6912,0)),"-")</f>
        <v>27</v>
      </c>
      <c r="E2421" s="4" t="n">
        <f aca="false">IFERROR(INDEX(Positions!$D$2:$D$6912,MATCH($A2421&amp;"|43",Positions!$A$2:$A$6912,0)),"-")</f>
        <v>43</v>
      </c>
      <c r="F2421" s="4" t="str">
        <f aca="false">IFERROR(INDEX(Positions!$E$2:$E$6912,MATCH($A2421&amp;"|27",Positions!$A$2:$A$6912,0)),"-")</f>
        <v>C</v>
      </c>
      <c r="G2421" s="4" t="str">
        <f aca="false">IFERROR(INDEX(Positions!$E$2:$E$6912,MATCH($A2421&amp;"|43",Positions!$A$2:$A$6912,0)),"-")</f>
        <v>G</v>
      </c>
      <c r="H2421" s="3" t="str">
        <f aca="false">F2421&amp;"-"&amp;G2421</f>
        <v>C-G</v>
      </c>
      <c r="I2421" s="4" t="n">
        <f aca="false">(F2421="G")+(G2421="G")</f>
        <v>1</v>
      </c>
      <c r="J2421" s="4" t="n">
        <f aca="false">(F2421="C")+(G2421="C")</f>
        <v>1</v>
      </c>
      <c r="K2421" s="3" t="n">
        <f aca="false">I2421+J2421</f>
        <v>2</v>
      </c>
    </row>
    <row r="2422" customFormat="false" ht="15" hidden="false" customHeight="false" outlineLevel="0" collapsed="false">
      <c r="A2422" s="4" t="s">
        <v>123</v>
      </c>
      <c r="B2422" s="4" t="s">
        <v>446</v>
      </c>
      <c r="C2422" s="4" t="s">
        <v>525</v>
      </c>
      <c r="D2422" s="4" t="n">
        <f aca="false">IFERROR(INDEX(Positions!$D$2:$D$6912,MATCH($A2422&amp;"|28",Positions!$A$2:$A$6912,0)),"-")</f>
        <v>28</v>
      </c>
      <c r="E2422" s="4" t="n">
        <f aca="false">IFERROR(INDEX(Positions!$D$2:$D$6912,MATCH($A2422&amp;"|42",Positions!$A$2:$A$6912,0)),"-")</f>
        <v>42</v>
      </c>
      <c r="F2422" s="4" t="str">
        <f aca="false">IFERROR(INDEX(Positions!$E$2:$E$6912,MATCH($A2422&amp;"|28",Positions!$A$2:$A$6912,0)),"-")</f>
        <v>G</v>
      </c>
      <c r="G2422" s="4" t="str">
        <f aca="false">IFERROR(INDEX(Positions!$E$2:$E$6912,MATCH($A2422&amp;"|42",Positions!$A$2:$A$6912,0)),"-")</f>
        <v>C</v>
      </c>
      <c r="H2422" s="3" t="str">
        <f aca="false">F2422&amp;"-"&amp;G2422</f>
        <v>G-C</v>
      </c>
      <c r="I2422" s="4" t="n">
        <f aca="false">(F2422="G")+(G2422="G")</f>
        <v>1</v>
      </c>
      <c r="J2422" s="4" t="n">
        <f aca="false">(F2422="C")+(G2422="C")</f>
        <v>1</v>
      </c>
      <c r="K2422" s="3" t="n">
        <f aca="false">I2422+J2422</f>
        <v>2</v>
      </c>
    </row>
    <row r="2423" customFormat="false" ht="15" hidden="false" customHeight="false" outlineLevel="0" collapsed="false">
      <c r="A2423" s="4" t="s">
        <v>123</v>
      </c>
      <c r="B2423" s="4" t="s">
        <v>446</v>
      </c>
      <c r="C2423" s="4" t="s">
        <v>256</v>
      </c>
      <c r="D2423" s="4" t="n">
        <f aca="false">IFERROR(INDEX(Positions!$D$2:$D$6912,MATCH($A2423&amp;"|29",Positions!$A$2:$A$6912,0)),"-")</f>
        <v>29</v>
      </c>
      <c r="E2423" s="4" t="n">
        <f aca="false">IFERROR(INDEX(Positions!$D$2:$D$6912,MATCH($A2423&amp;"|41",Positions!$A$2:$A$6912,0)),"-")</f>
        <v>41</v>
      </c>
      <c r="F2423" s="4" t="str">
        <f aca="false">IFERROR(INDEX(Positions!$E$2:$E$6912,MATCH($A2423&amp;"|29",Positions!$A$2:$A$6912,0)),"-")</f>
        <v>G</v>
      </c>
      <c r="G2423" s="4" t="str">
        <f aca="false">IFERROR(INDEX(Positions!$E$2:$E$6912,MATCH($A2423&amp;"|41",Positions!$A$2:$A$6912,0)),"-")</f>
        <v>C</v>
      </c>
      <c r="H2423" s="3" t="str">
        <f aca="false">F2423&amp;"-"&amp;G2423</f>
        <v>G-C</v>
      </c>
      <c r="I2423" s="4" t="n">
        <f aca="false">(F2423="G")+(G2423="G")</f>
        <v>1</v>
      </c>
      <c r="J2423" s="4" t="n">
        <f aca="false">(F2423="C")+(G2423="C")</f>
        <v>1</v>
      </c>
      <c r="K2423" s="3" t="n">
        <f aca="false">I2423+J2423</f>
        <v>2</v>
      </c>
    </row>
    <row r="2424" customFormat="false" ht="15" hidden="false" customHeight="false" outlineLevel="0" collapsed="false">
      <c r="A2424" s="4" t="s">
        <v>123</v>
      </c>
      <c r="B2424" s="4" t="s">
        <v>446</v>
      </c>
      <c r="C2424" s="4" t="s">
        <v>526</v>
      </c>
      <c r="D2424" s="4" t="n">
        <f aca="false">IFERROR(INDEX(Positions!$D$2:$D$6912,MATCH($A2424&amp;"|30",Positions!$A$2:$A$6912,0)),"-")</f>
        <v>30</v>
      </c>
      <c r="E2424" s="4" t="n">
        <f aca="false">IFERROR(INDEX(Positions!$D$2:$D$6912,MATCH($A2424&amp;"|40",Positions!$A$2:$A$6912,0)),"-")</f>
        <v>40</v>
      </c>
      <c r="F2424" s="4" t="str">
        <f aca="false">IFERROR(INDEX(Positions!$E$2:$E$6912,MATCH($A2424&amp;"|30",Positions!$A$2:$A$6912,0)),"-")</f>
        <v>C</v>
      </c>
      <c r="G2424" s="4" t="str">
        <f aca="false">IFERROR(INDEX(Positions!$E$2:$E$6912,MATCH($A2424&amp;"|40",Positions!$A$2:$A$6912,0)),"-")</f>
        <v>G</v>
      </c>
      <c r="H2424" s="3" t="str">
        <f aca="false">F2424&amp;"-"&amp;G2424</f>
        <v>C-G</v>
      </c>
      <c r="I2424" s="4" t="n">
        <f aca="false">(F2424="G")+(G2424="G")</f>
        <v>1</v>
      </c>
      <c r="J2424" s="4" t="n">
        <f aca="false">(F2424="C")+(G2424="C")</f>
        <v>1</v>
      </c>
      <c r="K2424" s="3" t="n">
        <f aca="false">I2424+J2424</f>
        <v>2</v>
      </c>
    </row>
    <row r="2425" customFormat="false" ht="15" hidden="false" customHeight="false" outlineLevel="0" collapsed="false">
      <c r="A2425" s="4" t="s">
        <v>123</v>
      </c>
      <c r="B2425" s="4" t="s">
        <v>446</v>
      </c>
      <c r="C2425" s="4" t="s">
        <v>273</v>
      </c>
      <c r="D2425" s="4" t="n">
        <f aca="false">IFERROR(INDEX(Positions!$D$2:$D$6912,MATCH($A2425&amp;"|31",Positions!$A$2:$A$6912,0)),"-")</f>
        <v>31</v>
      </c>
      <c r="E2425" s="4" t="n">
        <f aca="false">IFERROR(INDEX(Positions!$D$2:$D$6912,MATCH($A2425&amp;"|39",Positions!$A$2:$A$6912,0)),"-")</f>
        <v>39</v>
      </c>
      <c r="F2425" s="4" t="str">
        <f aca="false">IFERROR(INDEX(Positions!$E$2:$E$6912,MATCH($A2425&amp;"|31",Positions!$A$2:$A$6912,0)),"-")</f>
        <v>G</v>
      </c>
      <c r="G2425" s="4" t="str">
        <f aca="false">IFERROR(INDEX(Positions!$E$2:$E$6912,MATCH($A2425&amp;"|39",Positions!$A$2:$A$6912,0)),"-")</f>
        <v>C</v>
      </c>
      <c r="H2425" s="3" t="str">
        <f aca="false">F2425&amp;"-"&amp;G2425</f>
        <v>G-C</v>
      </c>
      <c r="I2425" s="4" t="n">
        <f aca="false">(F2425="G")+(G2425="G")</f>
        <v>1</v>
      </c>
      <c r="J2425" s="4" t="n">
        <f aca="false">(F2425="C")+(G2425="C")</f>
        <v>1</v>
      </c>
      <c r="K2425" s="3" t="n">
        <f aca="false">I2425+J2425</f>
        <v>2</v>
      </c>
    </row>
    <row r="2426" customFormat="false" ht="15" hidden="false" customHeight="false" outlineLevel="0" collapsed="false">
      <c r="A2426" s="4" t="s">
        <v>123</v>
      </c>
      <c r="B2426" s="4" t="s">
        <v>471</v>
      </c>
      <c r="C2426" s="4" t="s">
        <v>367</v>
      </c>
      <c r="D2426" s="4" t="n">
        <f aca="false">IFERROR(INDEX(Positions!$D$2:$D$6912,MATCH($A2426&amp;"|49",Positions!$A$2:$A$6912,0)),"-")</f>
        <v>48</v>
      </c>
      <c r="E2426" s="4" t="n">
        <f aca="false">IFERROR(INDEX(Positions!$D$2:$D$6912,MATCH($A2426&amp;"|65",Positions!$A$2:$A$6912,0)),"-")</f>
        <v>64</v>
      </c>
      <c r="F2426" s="4" t="str">
        <f aca="false">IFERROR(INDEX(Positions!$E$2:$E$6912,MATCH($A2426&amp;"|49",Positions!$A$2:$A$6912,0)),"-")</f>
        <v>C</v>
      </c>
      <c r="G2426" s="4" t="str">
        <f aca="false">IFERROR(INDEX(Positions!$E$2:$E$6912,MATCH($A2426&amp;"|65",Positions!$A$2:$A$6912,0)),"-")</f>
        <v>G</v>
      </c>
      <c r="H2426" s="3" t="str">
        <f aca="false">F2426&amp;"-"&amp;G2426</f>
        <v>C-G</v>
      </c>
      <c r="I2426" s="4" t="n">
        <f aca="false">(F2426="G")+(G2426="G")</f>
        <v>1</v>
      </c>
      <c r="J2426" s="4" t="n">
        <f aca="false">(F2426="C")+(G2426="C")</f>
        <v>1</v>
      </c>
      <c r="K2426" s="3" t="n">
        <f aca="false">I2426+J2426</f>
        <v>2</v>
      </c>
    </row>
    <row r="2427" customFormat="false" ht="15" hidden="false" customHeight="false" outlineLevel="0" collapsed="false">
      <c r="A2427" s="4" t="s">
        <v>123</v>
      </c>
      <c r="B2427" s="4" t="s">
        <v>471</v>
      </c>
      <c r="C2427" s="4" t="s">
        <v>233</v>
      </c>
      <c r="D2427" s="4" t="n">
        <f aca="false">IFERROR(INDEX(Positions!$D$2:$D$6912,MATCH($A2427&amp;"|50",Positions!$A$2:$A$6912,0)),"-")</f>
        <v>49</v>
      </c>
      <c r="E2427" s="4" t="n">
        <f aca="false">IFERROR(INDEX(Positions!$D$2:$D$6912,MATCH($A2427&amp;"|64",Positions!$A$2:$A$6912,0)),"-")</f>
        <v>63</v>
      </c>
      <c r="F2427" s="4" t="str">
        <f aca="false">IFERROR(INDEX(Positions!$E$2:$E$6912,MATCH($A2427&amp;"|50",Positions!$A$2:$A$6912,0)),"-")</f>
        <v>C</v>
      </c>
      <c r="G2427" s="4" t="str">
        <f aca="false">IFERROR(INDEX(Positions!$E$2:$E$6912,MATCH($A2427&amp;"|64",Positions!$A$2:$A$6912,0)),"-")</f>
        <v>G</v>
      </c>
      <c r="H2427" s="3" t="str">
        <f aca="false">F2427&amp;"-"&amp;G2427</f>
        <v>C-G</v>
      </c>
      <c r="I2427" s="4" t="n">
        <f aca="false">(F2427="G")+(G2427="G")</f>
        <v>1</v>
      </c>
      <c r="J2427" s="4" t="n">
        <f aca="false">(F2427="C")+(G2427="C")</f>
        <v>1</v>
      </c>
      <c r="K2427" s="3" t="n">
        <f aca="false">I2427+J2427</f>
        <v>2</v>
      </c>
    </row>
    <row r="2428" customFormat="false" ht="15" hidden="false" customHeight="false" outlineLevel="0" collapsed="false">
      <c r="A2428" s="4" t="s">
        <v>123</v>
      </c>
      <c r="B2428" s="4" t="s">
        <v>471</v>
      </c>
      <c r="C2428" s="4" t="s">
        <v>527</v>
      </c>
      <c r="D2428" s="4" t="n">
        <f aca="false">IFERROR(INDEX(Positions!$D$2:$D$6912,MATCH($A2428&amp;"|51",Positions!$A$2:$A$6912,0)),"-")</f>
        <v>50</v>
      </c>
      <c r="E2428" s="4" t="n">
        <f aca="false">IFERROR(INDEX(Positions!$D$2:$D$6912,MATCH($A2428&amp;"|63",Positions!$A$2:$A$6912,0)),"-")</f>
        <v>62</v>
      </c>
      <c r="F2428" s="4" t="str">
        <f aca="false">IFERROR(INDEX(Positions!$E$2:$E$6912,MATCH($A2428&amp;"|51",Positions!$A$2:$A$6912,0)),"-")</f>
        <v>G</v>
      </c>
      <c r="G2428" s="4" t="str">
        <f aca="false">IFERROR(INDEX(Positions!$E$2:$E$6912,MATCH($A2428&amp;"|63",Positions!$A$2:$A$6912,0)),"-")</f>
        <v>C</v>
      </c>
      <c r="H2428" s="3" t="str">
        <f aca="false">F2428&amp;"-"&amp;G2428</f>
        <v>G-C</v>
      </c>
      <c r="I2428" s="4" t="n">
        <f aca="false">(F2428="G")+(G2428="G")</f>
        <v>1</v>
      </c>
      <c r="J2428" s="4" t="n">
        <f aca="false">(F2428="C")+(G2428="C")</f>
        <v>1</v>
      </c>
      <c r="K2428" s="3" t="n">
        <f aca="false">I2428+J2428</f>
        <v>2</v>
      </c>
    </row>
    <row r="2429" customFormat="false" ht="15" hidden="false" customHeight="false" outlineLevel="0" collapsed="false">
      <c r="A2429" s="4" t="s">
        <v>123</v>
      </c>
      <c r="B2429" s="4" t="s">
        <v>471</v>
      </c>
      <c r="C2429" s="4" t="s">
        <v>528</v>
      </c>
      <c r="D2429" s="4" t="n">
        <f aca="false">IFERROR(INDEX(Positions!$D$2:$D$6912,MATCH($A2429&amp;"|52",Positions!$A$2:$A$6912,0)),"-")</f>
        <v>51</v>
      </c>
      <c r="E2429" s="4" t="n">
        <f aca="false">IFERROR(INDEX(Positions!$D$2:$D$6912,MATCH($A2429&amp;"|62",Positions!$A$2:$A$6912,0)),"-")</f>
        <v>61</v>
      </c>
      <c r="F2429" s="4" t="str">
        <f aca="false">IFERROR(INDEX(Positions!$E$2:$E$6912,MATCH($A2429&amp;"|52",Positions!$A$2:$A$6912,0)),"-")</f>
        <v>G</v>
      </c>
      <c r="G2429" s="4" t="str">
        <f aca="false">IFERROR(INDEX(Positions!$E$2:$E$6912,MATCH($A2429&amp;"|62",Positions!$A$2:$A$6912,0)),"-")</f>
        <v>C</v>
      </c>
      <c r="H2429" s="3" t="str">
        <f aca="false">F2429&amp;"-"&amp;G2429</f>
        <v>G-C</v>
      </c>
      <c r="I2429" s="4" t="n">
        <f aca="false">(F2429="G")+(G2429="G")</f>
        <v>1</v>
      </c>
      <c r="J2429" s="4" t="n">
        <f aca="false">(F2429="C")+(G2429="C")</f>
        <v>1</v>
      </c>
      <c r="K2429" s="3" t="n">
        <f aca="false">I2429+J2429</f>
        <v>2</v>
      </c>
    </row>
    <row r="2430" customFormat="false" ht="15" hidden="false" customHeight="false" outlineLevel="0" collapsed="false">
      <c r="A2430" s="4" t="s">
        <v>123</v>
      </c>
      <c r="B2430" s="4" t="s">
        <v>471</v>
      </c>
      <c r="C2430" s="4" t="s">
        <v>529</v>
      </c>
      <c r="D2430" s="4" t="n">
        <f aca="false">IFERROR(INDEX(Positions!$D$2:$D$6912,MATCH($A2430&amp;"|53",Positions!$A$2:$A$6912,0)),"-")</f>
        <v>52</v>
      </c>
      <c r="E2430" s="4" t="n">
        <f aca="false">IFERROR(INDEX(Positions!$D$2:$D$6912,MATCH($A2430&amp;"|61",Positions!$A$2:$A$6912,0)),"-")</f>
        <v>60</v>
      </c>
      <c r="F2430" s="4" t="str">
        <f aca="false">IFERROR(INDEX(Positions!$E$2:$E$6912,MATCH($A2430&amp;"|53",Positions!$A$2:$A$6912,0)),"-")</f>
        <v>G</v>
      </c>
      <c r="G2430" s="4" t="str">
        <f aca="false">IFERROR(INDEX(Positions!$E$2:$E$6912,MATCH($A2430&amp;"|61",Positions!$A$2:$A$6912,0)),"-")</f>
        <v>C</v>
      </c>
      <c r="H2430" s="3" t="str">
        <f aca="false">F2430&amp;"-"&amp;G2430</f>
        <v>G-C</v>
      </c>
      <c r="I2430" s="4" t="n">
        <f aca="false">(F2430="G")+(G2430="G")</f>
        <v>1</v>
      </c>
      <c r="J2430" s="4" t="n">
        <f aca="false">(F2430="C")+(G2430="C")</f>
        <v>1</v>
      </c>
      <c r="K2430" s="3" t="n">
        <f aca="false">I2430+J2430</f>
        <v>2</v>
      </c>
    </row>
    <row r="2431" customFormat="false" ht="15" hidden="false" customHeight="false" outlineLevel="0" collapsed="false">
      <c r="A2431" s="24" t="s">
        <v>123</v>
      </c>
      <c r="B2431" s="24" t="s">
        <v>530</v>
      </c>
      <c r="C2431" s="24" t="s">
        <v>531</v>
      </c>
      <c r="D2431" s="24" t="n">
        <f aca="false">IFERROR(INDEX(Positions!$D$2:$D$6912,MATCH($A2431&amp;"|8",Positions!$A$2:$A$6912,0)),"-")</f>
        <v>8</v>
      </c>
      <c r="E2431" s="24" t="n">
        <f aca="false">IFERROR(INDEX(Positions!$D$2:$D$6912,MATCH($A2431&amp;"|14",Positions!$A$2:$A$6912,0)),"-")</f>
        <v>14</v>
      </c>
      <c r="F2431" s="24" t="str">
        <f aca="false">IFERROR(INDEX(Positions!$E$2:$E$6912,MATCH($A2431&amp;"|8",Positions!$A$2:$A$6912,0)),"-")</f>
        <v>U</v>
      </c>
      <c r="G2431" s="24" t="str">
        <f aca="false">IFERROR(INDEX(Positions!$E$2:$E$6912,MATCH($A2431&amp;"|14",Positions!$A$2:$A$6912,0)),"-")</f>
        <v>A</v>
      </c>
      <c r="H2431" s="25" t="str">
        <f aca="false">F2431&amp;"-"&amp;G2431</f>
        <v>U-A</v>
      </c>
      <c r="I2431" s="24" t="n">
        <f aca="false">(F2431="G")+(G2431="G")</f>
        <v>0</v>
      </c>
      <c r="J2431" s="24" t="n">
        <f aca="false">(F2431="C")+(G2431="C")</f>
        <v>0</v>
      </c>
      <c r="K2431" s="25" t="n">
        <f aca="false">I2431+J2431</f>
        <v>0</v>
      </c>
    </row>
    <row r="2432" customFormat="false" ht="15" hidden="false" customHeight="false" outlineLevel="0" collapsed="false">
      <c r="A2432" s="24" t="s">
        <v>123</v>
      </c>
      <c r="B2432" s="24" t="s">
        <v>530</v>
      </c>
      <c r="C2432" s="24" t="s">
        <v>532</v>
      </c>
      <c r="D2432" s="24" t="n">
        <f aca="false">IFERROR(INDEX(Positions!$D$2:$D$6912,MATCH($A2432&amp;"|15",Positions!$A$2:$A$6912,0)),"-")</f>
        <v>15</v>
      </c>
      <c r="E2432" s="24" t="n">
        <f aca="false">IFERROR(INDEX(Positions!$D$2:$D$6912,MATCH($A2432&amp;"|48",Positions!$A$2:$A$6912,0)),"-")</f>
        <v>47</v>
      </c>
      <c r="F2432" s="24" t="str">
        <f aca="false">IFERROR(INDEX(Positions!$E$2:$E$6912,MATCH($A2432&amp;"|15",Positions!$A$2:$A$6912,0)),"-")</f>
        <v>G</v>
      </c>
      <c r="G2432" s="24" t="str">
        <f aca="false">IFERROR(INDEX(Positions!$E$2:$E$6912,MATCH($A2432&amp;"|48",Positions!$A$2:$A$6912,0)),"-")</f>
        <v>C</v>
      </c>
      <c r="H2432" s="25" t="str">
        <f aca="false">F2432&amp;"-"&amp;G2432</f>
        <v>G-C</v>
      </c>
      <c r="I2432" s="24" t="n">
        <f aca="false">(F2432="G")+(G2432="G")</f>
        <v>1</v>
      </c>
      <c r="J2432" s="24" t="n">
        <f aca="false">(F2432="C")+(G2432="C")</f>
        <v>1</v>
      </c>
      <c r="K2432" s="25" t="n">
        <f aca="false">I2432+J2432</f>
        <v>2</v>
      </c>
    </row>
    <row r="2433" customFormat="false" ht="15" hidden="false" customHeight="false" outlineLevel="0" collapsed="false">
      <c r="A2433" s="24" t="s">
        <v>123</v>
      </c>
      <c r="B2433" s="24" t="s">
        <v>530</v>
      </c>
      <c r="C2433" s="24" t="s">
        <v>533</v>
      </c>
      <c r="D2433" s="24" t="n">
        <f aca="false">IFERROR(INDEX(Positions!$D$2:$D$6912,MATCH($A2433&amp;"|18",Positions!$A$2:$A$6912,0)),"-")</f>
        <v>17</v>
      </c>
      <c r="E2433" s="24" t="n">
        <f aca="false">IFERROR(INDEX(Positions!$D$2:$D$6912,MATCH($A2433&amp;"|55",Positions!$A$2:$A$6912,0)),"-")</f>
        <v>54</v>
      </c>
      <c r="F2433" s="24" t="str">
        <f aca="false">IFERROR(INDEX(Positions!$E$2:$E$6912,MATCH($A2433&amp;"|18",Positions!$A$2:$A$6912,0)),"-")</f>
        <v>G</v>
      </c>
      <c r="G2433" s="24" t="str">
        <f aca="false">IFERROR(INDEX(Positions!$E$2:$E$6912,MATCH($A2433&amp;"|55",Positions!$A$2:$A$6912,0)),"-")</f>
        <v>U</v>
      </c>
      <c r="H2433" s="25" t="str">
        <f aca="false">F2433&amp;"-"&amp;G2433</f>
        <v>G-U</v>
      </c>
      <c r="I2433" s="24" t="n">
        <f aca="false">(F2433="G")+(G2433="G")</f>
        <v>1</v>
      </c>
      <c r="J2433" s="24" t="n">
        <f aca="false">(F2433="C")+(G2433="C")</f>
        <v>0</v>
      </c>
      <c r="K2433" s="25" t="n">
        <f aca="false">I2433+J2433</f>
        <v>1</v>
      </c>
    </row>
    <row r="2434" customFormat="false" ht="15" hidden="false" customHeight="false" outlineLevel="0" collapsed="false">
      <c r="A2434" s="24" t="s">
        <v>123</v>
      </c>
      <c r="B2434" s="24" t="s">
        <v>530</v>
      </c>
      <c r="C2434" s="24" t="s">
        <v>534</v>
      </c>
      <c r="D2434" s="24" t="n">
        <f aca="false">IFERROR(INDEX(Positions!$D$2:$D$6912,MATCH($A2434&amp;"|19",Positions!$A$2:$A$6912,0)),"-")</f>
        <v>18</v>
      </c>
      <c r="E2434" s="24" t="n">
        <f aca="false">IFERROR(INDEX(Positions!$D$2:$D$6912,MATCH($A2434&amp;"|56",Positions!$A$2:$A$6912,0)),"-")</f>
        <v>55</v>
      </c>
      <c r="F2434" s="24" t="str">
        <f aca="false">IFERROR(INDEX(Positions!$E$2:$E$6912,MATCH($A2434&amp;"|19",Positions!$A$2:$A$6912,0)),"-")</f>
        <v>G</v>
      </c>
      <c r="G2434" s="24" t="str">
        <f aca="false">IFERROR(INDEX(Positions!$E$2:$E$6912,MATCH($A2434&amp;"|56",Positions!$A$2:$A$6912,0)),"-")</f>
        <v>C</v>
      </c>
      <c r="H2434" s="25" t="str">
        <f aca="false">F2434&amp;"-"&amp;G2434</f>
        <v>G-C</v>
      </c>
      <c r="I2434" s="24" t="n">
        <f aca="false">(F2434="G")+(G2434="G")</f>
        <v>1</v>
      </c>
      <c r="J2434" s="24" t="n">
        <f aca="false">(F2434="C")+(G2434="C")</f>
        <v>1</v>
      </c>
      <c r="K2434" s="25" t="n">
        <f aca="false">I2434+J2434</f>
        <v>2</v>
      </c>
    </row>
    <row r="2435" customFormat="false" ht="15" hidden="false" customHeight="false" outlineLevel="0" collapsed="false">
      <c r="A2435" s="24" t="s">
        <v>123</v>
      </c>
      <c r="B2435" s="24" t="s">
        <v>530</v>
      </c>
      <c r="C2435" s="24" t="s">
        <v>535</v>
      </c>
      <c r="D2435" s="24" t="n">
        <f aca="false">IFERROR(INDEX(Positions!$D$2:$D$6912,MATCH($A2435&amp;"|26",Positions!$A$2:$A$6912,0)),"-")</f>
        <v>26</v>
      </c>
      <c r="E2435" s="24" t="n">
        <f aca="false">IFERROR(INDEX(Positions!$D$2:$D$6912,MATCH($A2435&amp;"|44",Positions!$A$2:$A$6912,0)),"-")</f>
        <v>44</v>
      </c>
      <c r="F2435" s="24" t="str">
        <f aca="false">IFERROR(INDEX(Positions!$E$2:$E$6912,MATCH($A2435&amp;"|26",Positions!$A$2:$A$6912,0)),"-")</f>
        <v>U</v>
      </c>
      <c r="G2435" s="24" t="str">
        <f aca="false">IFERROR(INDEX(Positions!$E$2:$E$6912,MATCH($A2435&amp;"|44",Positions!$A$2:$A$6912,0)),"-")</f>
        <v>C</v>
      </c>
      <c r="H2435" s="25" t="str">
        <f aca="false">F2435&amp;"-"&amp;G2435</f>
        <v>U-C</v>
      </c>
      <c r="I2435" s="24" t="n">
        <f aca="false">(F2435="G")+(G2435="G")</f>
        <v>0</v>
      </c>
      <c r="J2435" s="24" t="n">
        <f aca="false">(F2435="C")+(G2435="C")</f>
        <v>1</v>
      </c>
      <c r="K2435" s="25" t="n">
        <f aca="false">I2435+J2435</f>
        <v>1</v>
      </c>
    </row>
    <row r="2436" customFormat="false" ht="15" hidden="false" customHeight="false" outlineLevel="0" collapsed="false">
      <c r="A2436" s="24" t="s">
        <v>123</v>
      </c>
      <c r="B2436" s="24" t="s">
        <v>530</v>
      </c>
      <c r="C2436" s="24" t="s">
        <v>536</v>
      </c>
      <c r="D2436" s="24" t="n">
        <f aca="false">IFERROR(INDEX(Positions!$D$2:$D$6912,MATCH($A2436&amp;"|32",Positions!$A$2:$A$6912,0)),"-")</f>
        <v>32</v>
      </c>
      <c r="E2436" s="24" t="n">
        <f aca="false">IFERROR(INDEX(Positions!$D$2:$D$6912,MATCH($A2436&amp;"|38",Positions!$A$2:$A$6912,0)),"-")</f>
        <v>38</v>
      </c>
      <c r="F2436" s="24" t="str">
        <f aca="false">IFERROR(INDEX(Positions!$E$2:$E$6912,MATCH($A2436&amp;"|32",Positions!$A$2:$A$6912,0)),"-")</f>
        <v>C</v>
      </c>
      <c r="G2436" s="24" t="str">
        <f aca="false">IFERROR(INDEX(Positions!$E$2:$E$6912,MATCH($A2436&amp;"|38",Positions!$A$2:$A$6912,0)),"-")</f>
        <v>C</v>
      </c>
      <c r="H2436" s="25" t="str">
        <f aca="false">F2436&amp;"-"&amp;G2436</f>
        <v>C-C</v>
      </c>
      <c r="I2436" s="24" t="n">
        <f aca="false">(F2436="G")+(G2436="G")</f>
        <v>0</v>
      </c>
      <c r="J2436" s="24" t="n">
        <f aca="false">(F2436="C")+(G2436="C")</f>
        <v>2</v>
      </c>
      <c r="K2436" s="25" t="n">
        <f aca="false">I2436+J2436</f>
        <v>2</v>
      </c>
    </row>
    <row r="2437" customFormat="false" ht="15" hidden="false" customHeight="false" outlineLevel="0" collapsed="false">
      <c r="A2437" s="24" t="s">
        <v>123</v>
      </c>
      <c r="B2437" s="24" t="s">
        <v>530</v>
      </c>
      <c r="C2437" s="24" t="s">
        <v>537</v>
      </c>
      <c r="D2437" s="24" t="n">
        <f aca="false">IFERROR(INDEX(Positions!$D$2:$D$6912,MATCH($A2437&amp;"|54",Positions!$A$2:$A$6912,0)),"-")</f>
        <v>53</v>
      </c>
      <c r="E2437" s="24" t="n">
        <f aca="false">IFERROR(INDEX(Positions!$D$2:$D$6912,MATCH($A2437&amp;"|58",Positions!$A$2:$A$6912,0)),"-")</f>
        <v>57</v>
      </c>
      <c r="F2437" s="24" t="str">
        <f aca="false">IFERROR(INDEX(Positions!$E$2:$E$6912,MATCH($A2437&amp;"|54",Positions!$A$2:$A$6912,0)),"-")</f>
        <v>U</v>
      </c>
      <c r="G2437" s="24" t="str">
        <f aca="false">IFERROR(INDEX(Positions!$E$2:$E$6912,MATCH($A2437&amp;"|58",Positions!$A$2:$A$6912,0)),"-")</f>
        <v>A</v>
      </c>
      <c r="H2437" s="25" t="str">
        <f aca="false">F2437&amp;"-"&amp;G2437</f>
        <v>U-A</v>
      </c>
      <c r="I2437" s="24" t="n">
        <f aca="false">(F2437="G")+(G2437="G")</f>
        <v>0</v>
      </c>
      <c r="J2437" s="24" t="n">
        <f aca="false">(F2437="C")+(G2437="C")</f>
        <v>0</v>
      </c>
      <c r="K2437" s="25" t="n">
        <f aca="false">I2437+J2437</f>
        <v>0</v>
      </c>
    </row>
    <row r="2438" customFormat="false" ht="15" hidden="false" customHeight="false" outlineLevel="0" collapsed="false">
      <c r="A2438" s="4" t="s">
        <v>124</v>
      </c>
      <c r="B2438" s="4" t="s">
        <v>412</v>
      </c>
      <c r="C2438" s="4" t="s">
        <v>517</v>
      </c>
      <c r="D2438" s="4" t="n">
        <f aca="false">IFERROR(INDEX(Positions!$D$2:$D$6912,MATCH($A2438&amp;"|1",Positions!$A$2:$A$6912,0)),"-")</f>
        <v>1</v>
      </c>
      <c r="E2438" s="4" t="n">
        <f aca="false">IFERROR(INDEX(Positions!$D$2:$D$6912,MATCH($A2438&amp;"|72",Positions!$A$2:$A$6912,0)),"-")</f>
        <v>71</v>
      </c>
      <c r="F2438" s="4" t="str">
        <f aca="false">IFERROR(INDEX(Positions!$E$2:$E$6912,MATCH($A2438&amp;"|1",Positions!$A$2:$A$6912,0)),"-")</f>
        <v>G</v>
      </c>
      <c r="G2438" s="4" t="str">
        <f aca="false">IFERROR(INDEX(Positions!$E$2:$E$6912,MATCH($A2438&amp;"|72",Positions!$A$2:$A$6912,0)),"-")</f>
        <v>C</v>
      </c>
      <c r="H2438" s="3" t="str">
        <f aca="false">F2438&amp;"-"&amp;G2438</f>
        <v>G-C</v>
      </c>
      <c r="I2438" s="4" t="n">
        <f aca="false">(F2438="G")+(G2438="G")</f>
        <v>1</v>
      </c>
      <c r="J2438" s="4" t="n">
        <f aca="false">(F2438="C")+(G2438="C")</f>
        <v>1</v>
      </c>
      <c r="K2438" s="3" t="n">
        <f aca="false">I2438+J2438</f>
        <v>2</v>
      </c>
    </row>
    <row r="2439" customFormat="false" ht="15" hidden="false" customHeight="false" outlineLevel="0" collapsed="false">
      <c r="A2439" s="4" t="s">
        <v>124</v>
      </c>
      <c r="B2439" s="4" t="s">
        <v>412</v>
      </c>
      <c r="C2439" s="4" t="s">
        <v>518</v>
      </c>
      <c r="D2439" s="4" t="n">
        <f aca="false">IFERROR(INDEX(Positions!$D$2:$D$6912,MATCH($A2439&amp;"|2",Positions!$A$2:$A$6912,0)),"-")</f>
        <v>2</v>
      </c>
      <c r="E2439" s="4" t="n">
        <f aca="false">IFERROR(INDEX(Positions!$D$2:$D$6912,MATCH($A2439&amp;"|71",Positions!$A$2:$A$6912,0)),"-")</f>
        <v>70</v>
      </c>
      <c r="F2439" s="4" t="str">
        <f aca="false">IFERROR(INDEX(Positions!$E$2:$E$6912,MATCH($A2439&amp;"|2",Positions!$A$2:$A$6912,0)),"-")</f>
        <v>C</v>
      </c>
      <c r="G2439" s="4" t="str">
        <f aca="false">IFERROR(INDEX(Positions!$E$2:$E$6912,MATCH($A2439&amp;"|71",Positions!$A$2:$A$6912,0)),"-")</f>
        <v>G</v>
      </c>
      <c r="H2439" s="3" t="str">
        <f aca="false">F2439&amp;"-"&amp;G2439</f>
        <v>C-G</v>
      </c>
      <c r="I2439" s="4" t="n">
        <f aca="false">(F2439="G")+(G2439="G")</f>
        <v>1</v>
      </c>
      <c r="J2439" s="4" t="n">
        <f aca="false">(F2439="C")+(G2439="C")</f>
        <v>1</v>
      </c>
      <c r="K2439" s="3" t="n">
        <f aca="false">I2439+J2439</f>
        <v>2</v>
      </c>
    </row>
    <row r="2440" customFormat="false" ht="15" hidden="false" customHeight="false" outlineLevel="0" collapsed="false">
      <c r="A2440" s="4" t="s">
        <v>124</v>
      </c>
      <c r="B2440" s="4" t="s">
        <v>412</v>
      </c>
      <c r="C2440" s="4" t="s">
        <v>386</v>
      </c>
      <c r="D2440" s="4" t="n">
        <f aca="false">IFERROR(INDEX(Positions!$D$2:$D$6912,MATCH($A2440&amp;"|3",Positions!$A$2:$A$6912,0)),"-")</f>
        <v>3</v>
      </c>
      <c r="E2440" s="4" t="n">
        <f aca="false">IFERROR(INDEX(Positions!$D$2:$D$6912,MATCH($A2440&amp;"|70",Positions!$A$2:$A$6912,0)),"-")</f>
        <v>69</v>
      </c>
      <c r="F2440" s="4" t="str">
        <f aca="false">IFERROR(INDEX(Positions!$E$2:$E$6912,MATCH($A2440&amp;"|3",Positions!$A$2:$A$6912,0)),"-")</f>
        <v>C</v>
      </c>
      <c r="G2440" s="4" t="str">
        <f aca="false">IFERROR(INDEX(Positions!$E$2:$E$6912,MATCH($A2440&amp;"|70",Positions!$A$2:$A$6912,0)),"-")</f>
        <v>G</v>
      </c>
      <c r="H2440" s="3" t="str">
        <f aca="false">F2440&amp;"-"&amp;G2440</f>
        <v>C-G</v>
      </c>
      <c r="I2440" s="4" t="n">
        <f aca="false">(F2440="G")+(G2440="G")</f>
        <v>1</v>
      </c>
      <c r="J2440" s="4" t="n">
        <f aca="false">(F2440="C")+(G2440="C")</f>
        <v>1</v>
      </c>
      <c r="K2440" s="3" t="n">
        <f aca="false">I2440+J2440</f>
        <v>2</v>
      </c>
    </row>
    <row r="2441" customFormat="false" ht="15" hidden="false" customHeight="false" outlineLevel="0" collapsed="false">
      <c r="A2441" s="4" t="s">
        <v>124</v>
      </c>
      <c r="B2441" s="4" t="s">
        <v>412</v>
      </c>
      <c r="C2441" s="4" t="s">
        <v>519</v>
      </c>
      <c r="D2441" s="4" t="n">
        <f aca="false">IFERROR(INDEX(Positions!$D$2:$D$6912,MATCH($A2441&amp;"|4",Positions!$A$2:$A$6912,0)),"-")</f>
        <v>4</v>
      </c>
      <c r="E2441" s="4" t="n">
        <f aca="false">IFERROR(INDEX(Positions!$D$2:$D$6912,MATCH($A2441&amp;"|69",Positions!$A$2:$A$6912,0)),"-")</f>
        <v>68</v>
      </c>
      <c r="F2441" s="4" t="str">
        <f aca="false">IFERROR(INDEX(Positions!$E$2:$E$6912,MATCH($A2441&amp;"|4",Positions!$A$2:$A$6912,0)),"-")</f>
        <v>G</v>
      </c>
      <c r="G2441" s="4" t="str">
        <f aca="false">IFERROR(INDEX(Positions!$E$2:$E$6912,MATCH($A2441&amp;"|69",Positions!$A$2:$A$6912,0)),"-")</f>
        <v>C</v>
      </c>
      <c r="H2441" s="3" t="str">
        <f aca="false">F2441&amp;"-"&amp;G2441</f>
        <v>G-C</v>
      </c>
      <c r="I2441" s="4" t="n">
        <f aca="false">(F2441="G")+(G2441="G")</f>
        <v>1</v>
      </c>
      <c r="J2441" s="4" t="n">
        <f aca="false">(F2441="C")+(G2441="C")</f>
        <v>1</v>
      </c>
      <c r="K2441" s="3" t="n">
        <f aca="false">I2441+J2441</f>
        <v>2</v>
      </c>
    </row>
    <row r="2442" customFormat="false" ht="15" hidden="false" customHeight="false" outlineLevel="0" collapsed="false">
      <c r="A2442" s="4" t="s">
        <v>124</v>
      </c>
      <c r="B2442" s="4" t="s">
        <v>412</v>
      </c>
      <c r="C2442" s="4" t="s">
        <v>283</v>
      </c>
      <c r="D2442" s="4" t="n">
        <f aca="false">IFERROR(INDEX(Positions!$D$2:$D$6912,MATCH($A2442&amp;"|5",Positions!$A$2:$A$6912,0)),"-")</f>
        <v>5</v>
      </c>
      <c r="E2442" s="4" t="n">
        <f aca="false">IFERROR(INDEX(Positions!$D$2:$D$6912,MATCH($A2442&amp;"|68",Positions!$A$2:$A$6912,0)),"-")</f>
        <v>67</v>
      </c>
      <c r="F2442" s="4" t="str">
        <f aca="false">IFERROR(INDEX(Positions!$E$2:$E$6912,MATCH($A2442&amp;"|5",Positions!$A$2:$A$6912,0)),"-")</f>
        <v>U</v>
      </c>
      <c r="G2442" s="4" t="str">
        <f aca="false">IFERROR(INDEX(Positions!$E$2:$E$6912,MATCH($A2442&amp;"|68",Positions!$A$2:$A$6912,0)),"-")</f>
        <v>A</v>
      </c>
      <c r="H2442" s="3" t="str">
        <f aca="false">F2442&amp;"-"&amp;G2442</f>
        <v>U-A</v>
      </c>
      <c r="I2442" s="4" t="n">
        <f aca="false">(F2442="G")+(G2442="G")</f>
        <v>0</v>
      </c>
      <c r="J2442" s="4" t="n">
        <f aca="false">(F2442="C")+(G2442="C")</f>
        <v>0</v>
      </c>
      <c r="K2442" s="3" t="n">
        <f aca="false">I2442+J2442</f>
        <v>0</v>
      </c>
    </row>
    <row r="2443" customFormat="false" ht="15" hidden="false" customHeight="false" outlineLevel="0" collapsed="false">
      <c r="A2443" s="4" t="s">
        <v>124</v>
      </c>
      <c r="B2443" s="4" t="s">
        <v>412</v>
      </c>
      <c r="C2443" s="4" t="s">
        <v>520</v>
      </c>
      <c r="D2443" s="4" t="n">
        <f aca="false">IFERROR(INDEX(Positions!$D$2:$D$6912,MATCH($A2443&amp;"|6",Positions!$A$2:$A$6912,0)),"-")</f>
        <v>6</v>
      </c>
      <c r="E2443" s="4" t="n">
        <f aca="false">IFERROR(INDEX(Positions!$D$2:$D$6912,MATCH($A2443&amp;"|67",Positions!$A$2:$A$6912,0)),"-")</f>
        <v>66</v>
      </c>
      <c r="F2443" s="4" t="str">
        <f aca="false">IFERROR(INDEX(Positions!$E$2:$E$6912,MATCH($A2443&amp;"|6",Positions!$A$2:$A$6912,0)),"-")</f>
        <v>G</v>
      </c>
      <c r="G2443" s="4" t="str">
        <f aca="false">IFERROR(INDEX(Positions!$E$2:$E$6912,MATCH($A2443&amp;"|67",Positions!$A$2:$A$6912,0)),"-")</f>
        <v>C</v>
      </c>
      <c r="H2443" s="3" t="str">
        <f aca="false">F2443&amp;"-"&amp;G2443</f>
        <v>G-C</v>
      </c>
      <c r="I2443" s="4" t="n">
        <f aca="false">(F2443="G")+(G2443="G")</f>
        <v>1</v>
      </c>
      <c r="J2443" s="4" t="n">
        <f aca="false">(F2443="C")+(G2443="C")</f>
        <v>1</v>
      </c>
      <c r="K2443" s="3" t="n">
        <f aca="false">I2443+J2443</f>
        <v>2</v>
      </c>
    </row>
    <row r="2444" customFormat="false" ht="15" hidden="false" customHeight="false" outlineLevel="0" collapsed="false">
      <c r="A2444" s="4" t="s">
        <v>124</v>
      </c>
      <c r="B2444" s="4" t="s">
        <v>412</v>
      </c>
      <c r="C2444" s="4" t="s">
        <v>521</v>
      </c>
      <c r="D2444" s="4" t="n">
        <f aca="false">IFERROR(INDEX(Positions!$D$2:$D$6912,MATCH($A2444&amp;"|7",Positions!$A$2:$A$6912,0)),"-")</f>
        <v>7</v>
      </c>
      <c r="E2444" s="4" t="n">
        <f aca="false">IFERROR(INDEX(Positions!$D$2:$D$6912,MATCH($A2444&amp;"|66",Positions!$A$2:$A$6912,0)),"-")</f>
        <v>65</v>
      </c>
      <c r="F2444" s="4" t="str">
        <f aca="false">IFERROR(INDEX(Positions!$E$2:$E$6912,MATCH($A2444&amp;"|7",Positions!$A$2:$A$6912,0)),"-")</f>
        <v>A</v>
      </c>
      <c r="G2444" s="4" t="str">
        <f aca="false">IFERROR(INDEX(Positions!$E$2:$E$6912,MATCH($A2444&amp;"|66",Positions!$A$2:$A$6912,0)),"-")</f>
        <v>U</v>
      </c>
      <c r="H2444" s="3" t="str">
        <f aca="false">F2444&amp;"-"&amp;G2444</f>
        <v>A-U</v>
      </c>
      <c r="I2444" s="4" t="n">
        <f aca="false">(F2444="G")+(G2444="G")</f>
        <v>0</v>
      </c>
      <c r="J2444" s="4" t="n">
        <f aca="false">(F2444="C")+(G2444="C")</f>
        <v>0</v>
      </c>
      <c r="K2444" s="3" t="n">
        <f aca="false">I2444+J2444</f>
        <v>0</v>
      </c>
    </row>
    <row r="2445" customFormat="false" ht="15" hidden="false" customHeight="false" outlineLevel="0" collapsed="false">
      <c r="A2445" s="4" t="s">
        <v>124</v>
      </c>
      <c r="B2445" s="4" t="s">
        <v>425</v>
      </c>
      <c r="C2445" s="4" t="s">
        <v>522</v>
      </c>
      <c r="D2445" s="4" t="n">
        <f aca="false">IFERROR(INDEX(Positions!$D$2:$D$6912,MATCH($A2445&amp;"|10",Positions!$A$2:$A$6912,0)),"-")</f>
        <v>10</v>
      </c>
      <c r="E2445" s="4" t="n">
        <f aca="false">IFERROR(INDEX(Positions!$D$2:$D$6912,MATCH($A2445&amp;"|25",Positions!$A$2:$A$6912,0)),"-")</f>
        <v>25</v>
      </c>
      <c r="F2445" s="4" t="str">
        <f aca="false">IFERROR(INDEX(Positions!$E$2:$E$6912,MATCH($A2445&amp;"|10",Positions!$A$2:$A$6912,0)),"-")</f>
        <v>G</v>
      </c>
      <c r="G2445" s="4" t="str">
        <f aca="false">IFERROR(INDEX(Positions!$E$2:$E$6912,MATCH($A2445&amp;"|25",Positions!$A$2:$A$6912,0)),"-")</f>
        <v>C</v>
      </c>
      <c r="H2445" s="3" t="str">
        <f aca="false">F2445&amp;"-"&amp;G2445</f>
        <v>G-C</v>
      </c>
      <c r="I2445" s="4" t="n">
        <f aca="false">(F2445="G")+(G2445="G")</f>
        <v>1</v>
      </c>
      <c r="J2445" s="4" t="n">
        <f aca="false">(F2445="C")+(G2445="C")</f>
        <v>1</v>
      </c>
      <c r="K2445" s="3" t="n">
        <f aca="false">I2445+J2445</f>
        <v>2</v>
      </c>
    </row>
    <row r="2446" customFormat="false" ht="15" hidden="false" customHeight="false" outlineLevel="0" collapsed="false">
      <c r="A2446" s="4" t="s">
        <v>124</v>
      </c>
      <c r="B2446" s="4" t="s">
        <v>425</v>
      </c>
      <c r="C2446" s="4" t="s">
        <v>523</v>
      </c>
      <c r="D2446" s="4" t="n">
        <f aca="false">IFERROR(INDEX(Positions!$D$2:$D$6912,MATCH($A2446&amp;"|11",Positions!$A$2:$A$6912,0)),"-")</f>
        <v>11</v>
      </c>
      <c r="E2446" s="4" t="n">
        <f aca="false">IFERROR(INDEX(Positions!$D$2:$D$6912,MATCH($A2446&amp;"|24",Positions!$A$2:$A$6912,0)),"-")</f>
        <v>24</v>
      </c>
      <c r="F2446" s="4" t="str">
        <f aca="false">IFERROR(INDEX(Positions!$E$2:$E$6912,MATCH($A2446&amp;"|11",Positions!$A$2:$A$6912,0)),"-")</f>
        <v>U</v>
      </c>
      <c r="G2446" s="4" t="str">
        <f aca="false">IFERROR(INDEX(Positions!$E$2:$E$6912,MATCH($A2446&amp;"|24",Positions!$A$2:$A$6912,0)),"-")</f>
        <v>A</v>
      </c>
      <c r="H2446" s="3" t="str">
        <f aca="false">F2446&amp;"-"&amp;G2446</f>
        <v>U-A</v>
      </c>
      <c r="I2446" s="4" t="n">
        <f aca="false">(F2446="G")+(G2446="G")</f>
        <v>0</v>
      </c>
      <c r="J2446" s="4" t="n">
        <f aca="false">(F2446="C")+(G2446="C")</f>
        <v>0</v>
      </c>
      <c r="K2446" s="3" t="n">
        <f aca="false">I2446+J2446</f>
        <v>0</v>
      </c>
    </row>
    <row r="2447" customFormat="false" ht="15" hidden="false" customHeight="false" outlineLevel="0" collapsed="false">
      <c r="A2447" s="4" t="s">
        <v>124</v>
      </c>
      <c r="B2447" s="4" t="s">
        <v>425</v>
      </c>
      <c r="C2447" s="4" t="s">
        <v>250</v>
      </c>
      <c r="D2447" s="4" t="n">
        <f aca="false">IFERROR(INDEX(Positions!$D$2:$D$6912,MATCH($A2447&amp;"|12",Positions!$A$2:$A$6912,0)),"-")</f>
        <v>12</v>
      </c>
      <c r="E2447" s="4" t="n">
        <f aca="false">IFERROR(INDEX(Positions!$D$2:$D$6912,MATCH($A2447&amp;"|23",Positions!$A$2:$A$6912,0)),"-")</f>
        <v>23</v>
      </c>
      <c r="F2447" s="4" t="str">
        <f aca="false">IFERROR(INDEX(Positions!$E$2:$E$6912,MATCH($A2447&amp;"|12",Positions!$A$2:$A$6912,0)),"-")</f>
        <v>A</v>
      </c>
      <c r="G2447" s="4" t="str">
        <f aca="false">IFERROR(INDEX(Positions!$E$2:$E$6912,MATCH($A2447&amp;"|23",Positions!$A$2:$A$6912,0)),"-")</f>
        <v>U</v>
      </c>
      <c r="H2447" s="3" t="str">
        <f aca="false">F2447&amp;"-"&amp;G2447</f>
        <v>A-U</v>
      </c>
      <c r="I2447" s="4" t="n">
        <f aca="false">(F2447="G")+(G2447="G")</f>
        <v>0</v>
      </c>
      <c r="J2447" s="4" t="n">
        <f aca="false">(F2447="C")+(G2447="C")</f>
        <v>0</v>
      </c>
      <c r="K2447" s="3" t="n">
        <f aca="false">I2447+J2447</f>
        <v>0</v>
      </c>
    </row>
    <row r="2448" customFormat="false" ht="15" hidden="false" customHeight="false" outlineLevel="0" collapsed="false">
      <c r="A2448" s="4" t="s">
        <v>124</v>
      </c>
      <c r="B2448" s="4" t="s">
        <v>425</v>
      </c>
      <c r="C2448" s="4" t="s">
        <v>154</v>
      </c>
      <c r="D2448" s="4" t="n">
        <f aca="false">IFERROR(INDEX(Positions!$D$2:$D$6912,MATCH($A2448&amp;"|13",Positions!$A$2:$A$6912,0)),"-")</f>
        <v>13</v>
      </c>
      <c r="E2448" s="4" t="n">
        <f aca="false">IFERROR(INDEX(Positions!$D$2:$D$6912,MATCH($A2448&amp;"|22",Positions!$A$2:$A$6912,0)),"-")</f>
        <v>22</v>
      </c>
      <c r="F2448" s="4" t="str">
        <f aca="false">IFERROR(INDEX(Positions!$E$2:$E$6912,MATCH($A2448&amp;"|13",Positions!$A$2:$A$6912,0)),"-")</f>
        <v>U</v>
      </c>
      <c r="G2448" s="4" t="str">
        <f aca="false">IFERROR(INDEX(Positions!$E$2:$E$6912,MATCH($A2448&amp;"|22",Positions!$A$2:$A$6912,0)),"-")</f>
        <v>G</v>
      </c>
      <c r="H2448" s="3" t="str">
        <f aca="false">F2448&amp;"-"&amp;G2448</f>
        <v>U-G</v>
      </c>
      <c r="I2448" s="4" t="n">
        <f aca="false">(F2448="G")+(G2448="G")</f>
        <v>1</v>
      </c>
      <c r="J2448" s="4" t="n">
        <f aca="false">(F2448="C")+(G2448="C")</f>
        <v>0</v>
      </c>
      <c r="K2448" s="3" t="n">
        <f aca="false">I2448+J2448</f>
        <v>1</v>
      </c>
    </row>
    <row r="2449" customFormat="false" ht="15" hidden="false" customHeight="false" outlineLevel="0" collapsed="false">
      <c r="A2449" s="4" t="s">
        <v>124</v>
      </c>
      <c r="B2449" s="4" t="s">
        <v>446</v>
      </c>
      <c r="C2449" s="4" t="s">
        <v>524</v>
      </c>
      <c r="D2449" s="4" t="n">
        <f aca="false">IFERROR(INDEX(Positions!$D$2:$D$6912,MATCH($A2449&amp;"|27",Positions!$A$2:$A$6912,0)),"-")</f>
        <v>27</v>
      </c>
      <c r="E2449" s="4" t="n">
        <f aca="false">IFERROR(INDEX(Positions!$D$2:$D$6912,MATCH($A2449&amp;"|43",Positions!$A$2:$A$6912,0)),"-")</f>
        <v>43</v>
      </c>
      <c r="F2449" s="4" t="str">
        <f aca="false">IFERROR(INDEX(Positions!$E$2:$E$6912,MATCH($A2449&amp;"|27",Positions!$A$2:$A$6912,0)),"-")</f>
        <v>C</v>
      </c>
      <c r="G2449" s="4" t="str">
        <f aca="false">IFERROR(INDEX(Positions!$E$2:$E$6912,MATCH($A2449&amp;"|43",Positions!$A$2:$A$6912,0)),"-")</f>
        <v>G</v>
      </c>
      <c r="H2449" s="3" t="str">
        <f aca="false">F2449&amp;"-"&amp;G2449</f>
        <v>C-G</v>
      </c>
      <c r="I2449" s="4" t="n">
        <f aca="false">(F2449="G")+(G2449="G")</f>
        <v>1</v>
      </c>
      <c r="J2449" s="4" t="n">
        <f aca="false">(F2449="C")+(G2449="C")</f>
        <v>1</v>
      </c>
      <c r="K2449" s="3" t="n">
        <f aca="false">I2449+J2449</f>
        <v>2</v>
      </c>
    </row>
    <row r="2450" customFormat="false" ht="15" hidden="false" customHeight="false" outlineLevel="0" collapsed="false">
      <c r="A2450" s="4" t="s">
        <v>124</v>
      </c>
      <c r="B2450" s="4" t="s">
        <v>446</v>
      </c>
      <c r="C2450" s="4" t="s">
        <v>525</v>
      </c>
      <c r="D2450" s="4" t="n">
        <f aca="false">IFERROR(INDEX(Positions!$D$2:$D$6912,MATCH($A2450&amp;"|28",Positions!$A$2:$A$6912,0)),"-")</f>
        <v>28</v>
      </c>
      <c r="E2450" s="4" t="n">
        <f aca="false">IFERROR(INDEX(Positions!$D$2:$D$6912,MATCH($A2450&amp;"|42",Positions!$A$2:$A$6912,0)),"-")</f>
        <v>42</v>
      </c>
      <c r="F2450" s="4" t="str">
        <f aca="false">IFERROR(INDEX(Positions!$E$2:$E$6912,MATCH($A2450&amp;"|28",Positions!$A$2:$A$6912,0)),"-")</f>
        <v>U</v>
      </c>
      <c r="G2450" s="4" t="str">
        <f aca="false">IFERROR(INDEX(Positions!$E$2:$E$6912,MATCH($A2450&amp;"|42",Positions!$A$2:$A$6912,0)),"-")</f>
        <v>A</v>
      </c>
      <c r="H2450" s="3" t="str">
        <f aca="false">F2450&amp;"-"&amp;G2450</f>
        <v>U-A</v>
      </c>
      <c r="I2450" s="4" t="n">
        <f aca="false">(F2450="G")+(G2450="G")</f>
        <v>0</v>
      </c>
      <c r="J2450" s="4" t="n">
        <f aca="false">(F2450="C")+(G2450="C")</f>
        <v>0</v>
      </c>
      <c r="K2450" s="3" t="n">
        <f aca="false">I2450+J2450</f>
        <v>0</v>
      </c>
    </row>
    <row r="2451" customFormat="false" ht="15" hidden="false" customHeight="false" outlineLevel="0" collapsed="false">
      <c r="A2451" s="4" t="s">
        <v>124</v>
      </c>
      <c r="B2451" s="4" t="s">
        <v>446</v>
      </c>
      <c r="C2451" s="4" t="s">
        <v>256</v>
      </c>
      <c r="D2451" s="4" t="n">
        <f aca="false">IFERROR(INDEX(Positions!$D$2:$D$6912,MATCH($A2451&amp;"|29",Positions!$A$2:$A$6912,0)),"-")</f>
        <v>29</v>
      </c>
      <c r="E2451" s="4" t="n">
        <f aca="false">IFERROR(INDEX(Positions!$D$2:$D$6912,MATCH($A2451&amp;"|41",Positions!$A$2:$A$6912,0)),"-")</f>
        <v>41</v>
      </c>
      <c r="F2451" s="4" t="str">
        <f aca="false">IFERROR(INDEX(Positions!$E$2:$E$6912,MATCH($A2451&amp;"|29",Positions!$A$2:$A$6912,0)),"-")</f>
        <v>G</v>
      </c>
      <c r="G2451" s="4" t="str">
        <f aca="false">IFERROR(INDEX(Positions!$E$2:$E$6912,MATCH($A2451&amp;"|41",Positions!$A$2:$A$6912,0)),"-")</f>
        <v>C</v>
      </c>
      <c r="H2451" s="3" t="str">
        <f aca="false">F2451&amp;"-"&amp;G2451</f>
        <v>G-C</v>
      </c>
      <c r="I2451" s="4" t="n">
        <f aca="false">(F2451="G")+(G2451="G")</f>
        <v>1</v>
      </c>
      <c r="J2451" s="4" t="n">
        <f aca="false">(F2451="C")+(G2451="C")</f>
        <v>1</v>
      </c>
      <c r="K2451" s="3" t="n">
        <f aca="false">I2451+J2451</f>
        <v>2</v>
      </c>
    </row>
    <row r="2452" customFormat="false" ht="15" hidden="false" customHeight="false" outlineLevel="0" collapsed="false">
      <c r="A2452" s="4" t="s">
        <v>124</v>
      </c>
      <c r="B2452" s="4" t="s">
        <v>446</v>
      </c>
      <c r="C2452" s="4" t="s">
        <v>526</v>
      </c>
      <c r="D2452" s="4" t="n">
        <f aca="false">IFERROR(INDEX(Positions!$D$2:$D$6912,MATCH($A2452&amp;"|30",Positions!$A$2:$A$6912,0)),"-")</f>
        <v>30</v>
      </c>
      <c r="E2452" s="4" t="n">
        <f aca="false">IFERROR(INDEX(Positions!$D$2:$D$6912,MATCH($A2452&amp;"|40",Positions!$A$2:$A$6912,0)),"-")</f>
        <v>40</v>
      </c>
      <c r="F2452" s="4" t="str">
        <f aca="false">IFERROR(INDEX(Positions!$E$2:$E$6912,MATCH($A2452&amp;"|30",Positions!$A$2:$A$6912,0)),"-")</f>
        <v>C</v>
      </c>
      <c r="G2452" s="4" t="str">
        <f aca="false">IFERROR(INDEX(Positions!$E$2:$E$6912,MATCH($A2452&amp;"|40",Positions!$A$2:$A$6912,0)),"-")</f>
        <v>G</v>
      </c>
      <c r="H2452" s="3" t="str">
        <f aca="false">F2452&amp;"-"&amp;G2452</f>
        <v>C-G</v>
      </c>
      <c r="I2452" s="4" t="n">
        <f aca="false">(F2452="G")+(G2452="G")</f>
        <v>1</v>
      </c>
      <c r="J2452" s="4" t="n">
        <f aca="false">(F2452="C")+(G2452="C")</f>
        <v>1</v>
      </c>
      <c r="K2452" s="3" t="n">
        <f aca="false">I2452+J2452</f>
        <v>2</v>
      </c>
    </row>
    <row r="2453" customFormat="false" ht="15" hidden="false" customHeight="false" outlineLevel="0" collapsed="false">
      <c r="A2453" s="4" t="s">
        <v>124</v>
      </c>
      <c r="B2453" s="4" t="s">
        <v>446</v>
      </c>
      <c r="C2453" s="4" t="s">
        <v>273</v>
      </c>
      <c r="D2453" s="4" t="n">
        <f aca="false">IFERROR(INDEX(Positions!$D$2:$D$6912,MATCH($A2453&amp;"|31",Positions!$A$2:$A$6912,0)),"-")</f>
        <v>31</v>
      </c>
      <c r="E2453" s="4" t="n">
        <f aca="false">IFERROR(INDEX(Positions!$D$2:$D$6912,MATCH($A2453&amp;"|39",Positions!$A$2:$A$6912,0)),"-")</f>
        <v>39</v>
      </c>
      <c r="F2453" s="4" t="str">
        <f aca="false">IFERROR(INDEX(Positions!$E$2:$E$6912,MATCH($A2453&amp;"|31",Positions!$A$2:$A$6912,0)),"-")</f>
        <v>G</v>
      </c>
      <c r="G2453" s="4" t="str">
        <f aca="false">IFERROR(INDEX(Positions!$E$2:$E$6912,MATCH($A2453&amp;"|39",Positions!$A$2:$A$6912,0)),"-")</f>
        <v>C</v>
      </c>
      <c r="H2453" s="3" t="str">
        <f aca="false">F2453&amp;"-"&amp;G2453</f>
        <v>G-C</v>
      </c>
      <c r="I2453" s="4" t="n">
        <f aca="false">(F2453="G")+(G2453="G")</f>
        <v>1</v>
      </c>
      <c r="J2453" s="4" t="n">
        <f aca="false">(F2453="C")+(G2453="C")</f>
        <v>1</v>
      </c>
      <c r="K2453" s="3" t="n">
        <f aca="false">I2453+J2453</f>
        <v>2</v>
      </c>
    </row>
    <row r="2454" customFormat="false" ht="15" hidden="false" customHeight="false" outlineLevel="0" collapsed="false">
      <c r="A2454" s="4" t="s">
        <v>124</v>
      </c>
      <c r="B2454" s="4" t="s">
        <v>471</v>
      </c>
      <c r="C2454" s="4" t="s">
        <v>367</v>
      </c>
      <c r="D2454" s="4" t="n">
        <f aca="false">IFERROR(INDEX(Positions!$D$2:$D$6912,MATCH($A2454&amp;"|49",Positions!$A$2:$A$6912,0)),"-")</f>
        <v>48</v>
      </c>
      <c r="E2454" s="4" t="n">
        <f aca="false">IFERROR(INDEX(Positions!$D$2:$D$6912,MATCH($A2454&amp;"|65",Positions!$A$2:$A$6912,0)),"-")</f>
        <v>64</v>
      </c>
      <c r="F2454" s="4" t="str">
        <f aca="false">IFERROR(INDEX(Positions!$E$2:$E$6912,MATCH($A2454&amp;"|49",Positions!$A$2:$A$6912,0)),"-")</f>
        <v>C</v>
      </c>
      <c r="G2454" s="4" t="str">
        <f aca="false">IFERROR(INDEX(Positions!$E$2:$E$6912,MATCH($A2454&amp;"|65",Positions!$A$2:$A$6912,0)),"-")</f>
        <v>G</v>
      </c>
      <c r="H2454" s="3" t="str">
        <f aca="false">F2454&amp;"-"&amp;G2454</f>
        <v>C-G</v>
      </c>
      <c r="I2454" s="4" t="n">
        <f aca="false">(F2454="G")+(G2454="G")</f>
        <v>1</v>
      </c>
      <c r="J2454" s="4" t="n">
        <f aca="false">(F2454="C")+(G2454="C")</f>
        <v>1</v>
      </c>
      <c r="K2454" s="3" t="n">
        <f aca="false">I2454+J2454</f>
        <v>2</v>
      </c>
    </row>
    <row r="2455" customFormat="false" ht="15" hidden="false" customHeight="false" outlineLevel="0" collapsed="false">
      <c r="A2455" s="4" t="s">
        <v>124</v>
      </c>
      <c r="B2455" s="4" t="s">
        <v>471</v>
      </c>
      <c r="C2455" s="4" t="s">
        <v>233</v>
      </c>
      <c r="D2455" s="4" t="n">
        <f aca="false">IFERROR(INDEX(Positions!$D$2:$D$6912,MATCH($A2455&amp;"|50",Positions!$A$2:$A$6912,0)),"-")</f>
        <v>49</v>
      </c>
      <c r="E2455" s="4" t="n">
        <f aca="false">IFERROR(INDEX(Positions!$D$2:$D$6912,MATCH($A2455&amp;"|64",Positions!$A$2:$A$6912,0)),"-")</f>
        <v>63</v>
      </c>
      <c r="F2455" s="4" t="str">
        <f aca="false">IFERROR(INDEX(Positions!$E$2:$E$6912,MATCH($A2455&amp;"|50",Positions!$A$2:$A$6912,0)),"-")</f>
        <v>U</v>
      </c>
      <c r="G2455" s="4" t="str">
        <f aca="false">IFERROR(INDEX(Positions!$E$2:$E$6912,MATCH($A2455&amp;"|64",Positions!$A$2:$A$6912,0)),"-")</f>
        <v>A</v>
      </c>
      <c r="H2455" s="3" t="str">
        <f aca="false">F2455&amp;"-"&amp;G2455</f>
        <v>U-A</v>
      </c>
      <c r="I2455" s="4" t="n">
        <f aca="false">(F2455="G")+(G2455="G")</f>
        <v>0</v>
      </c>
      <c r="J2455" s="4" t="n">
        <f aca="false">(F2455="C")+(G2455="C")</f>
        <v>0</v>
      </c>
      <c r="K2455" s="3" t="n">
        <f aca="false">I2455+J2455</f>
        <v>0</v>
      </c>
    </row>
    <row r="2456" customFormat="false" ht="15" hidden="false" customHeight="false" outlineLevel="0" collapsed="false">
      <c r="A2456" s="4" t="s">
        <v>124</v>
      </c>
      <c r="B2456" s="4" t="s">
        <v>471</v>
      </c>
      <c r="C2456" s="4" t="s">
        <v>527</v>
      </c>
      <c r="D2456" s="4" t="n">
        <f aca="false">IFERROR(INDEX(Positions!$D$2:$D$6912,MATCH($A2456&amp;"|51",Positions!$A$2:$A$6912,0)),"-")</f>
        <v>50</v>
      </c>
      <c r="E2456" s="4" t="n">
        <f aca="false">IFERROR(INDEX(Positions!$D$2:$D$6912,MATCH($A2456&amp;"|63",Positions!$A$2:$A$6912,0)),"-")</f>
        <v>62</v>
      </c>
      <c r="F2456" s="4" t="str">
        <f aca="false">IFERROR(INDEX(Positions!$E$2:$E$6912,MATCH($A2456&amp;"|51",Positions!$A$2:$A$6912,0)),"-")</f>
        <v>C</v>
      </c>
      <c r="G2456" s="4" t="str">
        <f aca="false">IFERROR(INDEX(Positions!$E$2:$E$6912,MATCH($A2456&amp;"|63",Positions!$A$2:$A$6912,0)),"-")</f>
        <v>G</v>
      </c>
      <c r="H2456" s="3" t="str">
        <f aca="false">F2456&amp;"-"&amp;G2456</f>
        <v>C-G</v>
      </c>
      <c r="I2456" s="4" t="n">
        <f aca="false">(F2456="G")+(G2456="G")</f>
        <v>1</v>
      </c>
      <c r="J2456" s="4" t="n">
        <f aca="false">(F2456="C")+(G2456="C")</f>
        <v>1</v>
      </c>
      <c r="K2456" s="3" t="n">
        <f aca="false">I2456+J2456</f>
        <v>2</v>
      </c>
    </row>
    <row r="2457" customFormat="false" ht="15" hidden="false" customHeight="false" outlineLevel="0" collapsed="false">
      <c r="A2457" s="4" t="s">
        <v>124</v>
      </c>
      <c r="B2457" s="4" t="s">
        <v>471</v>
      </c>
      <c r="C2457" s="4" t="s">
        <v>528</v>
      </c>
      <c r="D2457" s="4" t="n">
        <f aca="false">IFERROR(INDEX(Positions!$D$2:$D$6912,MATCH($A2457&amp;"|52",Positions!$A$2:$A$6912,0)),"-")</f>
        <v>51</v>
      </c>
      <c r="E2457" s="4" t="n">
        <f aca="false">IFERROR(INDEX(Positions!$D$2:$D$6912,MATCH($A2457&amp;"|62",Positions!$A$2:$A$6912,0)),"-")</f>
        <v>61</v>
      </c>
      <c r="F2457" s="4" t="str">
        <f aca="false">IFERROR(INDEX(Positions!$E$2:$E$6912,MATCH($A2457&amp;"|52",Positions!$A$2:$A$6912,0)),"-")</f>
        <v>G</v>
      </c>
      <c r="G2457" s="4" t="str">
        <f aca="false">IFERROR(INDEX(Positions!$E$2:$E$6912,MATCH($A2457&amp;"|62",Positions!$A$2:$A$6912,0)),"-")</f>
        <v>C</v>
      </c>
      <c r="H2457" s="3" t="str">
        <f aca="false">F2457&amp;"-"&amp;G2457</f>
        <v>G-C</v>
      </c>
      <c r="I2457" s="4" t="n">
        <f aca="false">(F2457="G")+(G2457="G")</f>
        <v>1</v>
      </c>
      <c r="J2457" s="4" t="n">
        <f aca="false">(F2457="C")+(G2457="C")</f>
        <v>1</v>
      </c>
      <c r="K2457" s="3" t="n">
        <f aca="false">I2457+J2457</f>
        <v>2</v>
      </c>
    </row>
    <row r="2458" customFormat="false" ht="15" hidden="false" customHeight="false" outlineLevel="0" collapsed="false">
      <c r="A2458" s="4" t="s">
        <v>124</v>
      </c>
      <c r="B2458" s="4" t="s">
        <v>471</v>
      </c>
      <c r="C2458" s="4" t="s">
        <v>529</v>
      </c>
      <c r="D2458" s="4" t="n">
        <f aca="false">IFERROR(INDEX(Positions!$D$2:$D$6912,MATCH($A2458&amp;"|53",Positions!$A$2:$A$6912,0)),"-")</f>
        <v>52</v>
      </c>
      <c r="E2458" s="4" t="n">
        <f aca="false">IFERROR(INDEX(Positions!$D$2:$D$6912,MATCH($A2458&amp;"|61",Positions!$A$2:$A$6912,0)),"-")</f>
        <v>60</v>
      </c>
      <c r="F2458" s="4" t="str">
        <f aca="false">IFERROR(INDEX(Positions!$E$2:$E$6912,MATCH($A2458&amp;"|53",Positions!$A$2:$A$6912,0)),"-")</f>
        <v>G</v>
      </c>
      <c r="G2458" s="4" t="str">
        <f aca="false">IFERROR(INDEX(Positions!$E$2:$E$6912,MATCH($A2458&amp;"|61",Positions!$A$2:$A$6912,0)),"-")</f>
        <v>C</v>
      </c>
      <c r="H2458" s="3" t="str">
        <f aca="false">F2458&amp;"-"&amp;G2458</f>
        <v>G-C</v>
      </c>
      <c r="I2458" s="4" t="n">
        <f aca="false">(F2458="G")+(G2458="G")</f>
        <v>1</v>
      </c>
      <c r="J2458" s="4" t="n">
        <f aca="false">(F2458="C")+(G2458="C")</f>
        <v>1</v>
      </c>
      <c r="K2458" s="3" t="n">
        <f aca="false">I2458+J2458</f>
        <v>2</v>
      </c>
    </row>
    <row r="2459" customFormat="false" ht="15" hidden="false" customHeight="false" outlineLevel="0" collapsed="false">
      <c r="A2459" s="24" t="s">
        <v>124</v>
      </c>
      <c r="B2459" s="24" t="s">
        <v>530</v>
      </c>
      <c r="C2459" s="24" t="s">
        <v>531</v>
      </c>
      <c r="D2459" s="24" t="n">
        <f aca="false">IFERROR(INDEX(Positions!$D$2:$D$6912,MATCH($A2459&amp;"|8",Positions!$A$2:$A$6912,0)),"-")</f>
        <v>8</v>
      </c>
      <c r="E2459" s="24" t="n">
        <f aca="false">IFERROR(INDEX(Positions!$D$2:$D$6912,MATCH($A2459&amp;"|14",Positions!$A$2:$A$6912,0)),"-")</f>
        <v>14</v>
      </c>
      <c r="F2459" s="24" t="str">
        <f aca="false">IFERROR(INDEX(Positions!$E$2:$E$6912,MATCH($A2459&amp;"|8",Positions!$A$2:$A$6912,0)),"-")</f>
        <v>U</v>
      </c>
      <c r="G2459" s="24" t="str">
        <f aca="false">IFERROR(INDEX(Positions!$E$2:$E$6912,MATCH($A2459&amp;"|14",Positions!$A$2:$A$6912,0)),"-")</f>
        <v>A</v>
      </c>
      <c r="H2459" s="25" t="str">
        <f aca="false">F2459&amp;"-"&amp;G2459</f>
        <v>U-A</v>
      </c>
      <c r="I2459" s="24" t="n">
        <f aca="false">(F2459="G")+(G2459="G")</f>
        <v>0</v>
      </c>
      <c r="J2459" s="24" t="n">
        <f aca="false">(F2459="C")+(G2459="C")</f>
        <v>0</v>
      </c>
      <c r="K2459" s="25" t="n">
        <f aca="false">I2459+J2459</f>
        <v>0</v>
      </c>
    </row>
    <row r="2460" customFormat="false" ht="15" hidden="false" customHeight="false" outlineLevel="0" collapsed="false">
      <c r="A2460" s="24" t="s">
        <v>124</v>
      </c>
      <c r="B2460" s="24" t="s">
        <v>530</v>
      </c>
      <c r="C2460" s="24" t="s">
        <v>532</v>
      </c>
      <c r="D2460" s="24" t="n">
        <f aca="false">IFERROR(INDEX(Positions!$D$2:$D$6912,MATCH($A2460&amp;"|15",Positions!$A$2:$A$6912,0)),"-")</f>
        <v>15</v>
      </c>
      <c r="E2460" s="24" t="n">
        <f aca="false">IFERROR(INDEX(Positions!$D$2:$D$6912,MATCH($A2460&amp;"|48",Positions!$A$2:$A$6912,0)),"-")</f>
        <v>47</v>
      </c>
      <c r="F2460" s="24" t="str">
        <f aca="false">IFERROR(INDEX(Positions!$E$2:$E$6912,MATCH($A2460&amp;"|15",Positions!$A$2:$A$6912,0)),"-")</f>
        <v>G</v>
      </c>
      <c r="G2460" s="24" t="str">
        <f aca="false">IFERROR(INDEX(Positions!$E$2:$E$6912,MATCH($A2460&amp;"|48",Positions!$A$2:$A$6912,0)),"-")</f>
        <v>C</v>
      </c>
      <c r="H2460" s="25" t="str">
        <f aca="false">F2460&amp;"-"&amp;G2460</f>
        <v>G-C</v>
      </c>
      <c r="I2460" s="24" t="n">
        <f aca="false">(F2460="G")+(G2460="G")</f>
        <v>1</v>
      </c>
      <c r="J2460" s="24" t="n">
        <f aca="false">(F2460="C")+(G2460="C")</f>
        <v>1</v>
      </c>
      <c r="K2460" s="25" t="n">
        <f aca="false">I2460+J2460</f>
        <v>2</v>
      </c>
    </row>
    <row r="2461" customFormat="false" ht="15" hidden="false" customHeight="false" outlineLevel="0" collapsed="false">
      <c r="A2461" s="24" t="s">
        <v>124</v>
      </c>
      <c r="B2461" s="24" t="s">
        <v>530</v>
      </c>
      <c r="C2461" s="24" t="s">
        <v>533</v>
      </c>
      <c r="D2461" s="24" t="n">
        <f aca="false">IFERROR(INDEX(Positions!$D$2:$D$6912,MATCH($A2461&amp;"|18",Positions!$A$2:$A$6912,0)),"-")</f>
        <v>17</v>
      </c>
      <c r="E2461" s="24" t="n">
        <f aca="false">IFERROR(INDEX(Positions!$D$2:$D$6912,MATCH($A2461&amp;"|55",Positions!$A$2:$A$6912,0)),"-")</f>
        <v>54</v>
      </c>
      <c r="F2461" s="24" t="str">
        <f aca="false">IFERROR(INDEX(Positions!$E$2:$E$6912,MATCH($A2461&amp;"|18",Positions!$A$2:$A$6912,0)),"-")</f>
        <v>G</v>
      </c>
      <c r="G2461" s="24" t="str">
        <f aca="false">IFERROR(INDEX(Positions!$E$2:$E$6912,MATCH($A2461&amp;"|55",Positions!$A$2:$A$6912,0)),"-")</f>
        <v>U</v>
      </c>
      <c r="H2461" s="25" t="str">
        <f aca="false">F2461&amp;"-"&amp;G2461</f>
        <v>G-U</v>
      </c>
      <c r="I2461" s="24" t="n">
        <f aca="false">(F2461="G")+(G2461="G")</f>
        <v>1</v>
      </c>
      <c r="J2461" s="24" t="n">
        <f aca="false">(F2461="C")+(G2461="C")</f>
        <v>0</v>
      </c>
      <c r="K2461" s="25" t="n">
        <f aca="false">I2461+J2461</f>
        <v>1</v>
      </c>
    </row>
    <row r="2462" customFormat="false" ht="15" hidden="false" customHeight="false" outlineLevel="0" collapsed="false">
      <c r="A2462" s="24" t="s">
        <v>124</v>
      </c>
      <c r="B2462" s="24" t="s">
        <v>530</v>
      </c>
      <c r="C2462" s="24" t="s">
        <v>534</v>
      </c>
      <c r="D2462" s="24" t="n">
        <f aca="false">IFERROR(INDEX(Positions!$D$2:$D$6912,MATCH($A2462&amp;"|19",Positions!$A$2:$A$6912,0)),"-")</f>
        <v>18</v>
      </c>
      <c r="E2462" s="24" t="n">
        <f aca="false">IFERROR(INDEX(Positions!$D$2:$D$6912,MATCH($A2462&amp;"|56",Positions!$A$2:$A$6912,0)),"-")</f>
        <v>55</v>
      </c>
      <c r="F2462" s="24" t="str">
        <f aca="false">IFERROR(INDEX(Positions!$E$2:$E$6912,MATCH($A2462&amp;"|19",Positions!$A$2:$A$6912,0)),"-")</f>
        <v>G</v>
      </c>
      <c r="G2462" s="24" t="str">
        <f aca="false">IFERROR(INDEX(Positions!$E$2:$E$6912,MATCH($A2462&amp;"|56",Positions!$A$2:$A$6912,0)),"-")</f>
        <v>C</v>
      </c>
      <c r="H2462" s="25" t="str">
        <f aca="false">F2462&amp;"-"&amp;G2462</f>
        <v>G-C</v>
      </c>
      <c r="I2462" s="24" t="n">
        <f aca="false">(F2462="G")+(G2462="G")</f>
        <v>1</v>
      </c>
      <c r="J2462" s="24" t="n">
        <f aca="false">(F2462="C")+(G2462="C")</f>
        <v>1</v>
      </c>
      <c r="K2462" s="25" t="n">
        <f aca="false">I2462+J2462</f>
        <v>2</v>
      </c>
    </row>
    <row r="2463" customFormat="false" ht="15" hidden="false" customHeight="false" outlineLevel="0" collapsed="false">
      <c r="A2463" s="24" t="s">
        <v>124</v>
      </c>
      <c r="B2463" s="24" t="s">
        <v>530</v>
      </c>
      <c r="C2463" s="24" t="s">
        <v>535</v>
      </c>
      <c r="D2463" s="24" t="n">
        <f aca="false">IFERROR(INDEX(Positions!$D$2:$D$6912,MATCH($A2463&amp;"|26",Positions!$A$2:$A$6912,0)),"-")</f>
        <v>26</v>
      </c>
      <c r="E2463" s="24" t="n">
        <f aca="false">IFERROR(INDEX(Positions!$D$2:$D$6912,MATCH($A2463&amp;"|44",Positions!$A$2:$A$6912,0)),"-")</f>
        <v>44</v>
      </c>
      <c r="F2463" s="24" t="str">
        <f aca="false">IFERROR(INDEX(Positions!$E$2:$E$6912,MATCH($A2463&amp;"|26",Positions!$A$2:$A$6912,0)),"-")</f>
        <v>U</v>
      </c>
      <c r="G2463" s="24" t="str">
        <f aca="false">IFERROR(INDEX(Positions!$E$2:$E$6912,MATCH($A2463&amp;"|44",Positions!$A$2:$A$6912,0)),"-")</f>
        <v>C</v>
      </c>
      <c r="H2463" s="25" t="str">
        <f aca="false">F2463&amp;"-"&amp;G2463</f>
        <v>U-C</v>
      </c>
      <c r="I2463" s="24" t="n">
        <f aca="false">(F2463="G")+(G2463="G")</f>
        <v>0</v>
      </c>
      <c r="J2463" s="24" t="n">
        <f aca="false">(F2463="C")+(G2463="C")</f>
        <v>1</v>
      </c>
      <c r="K2463" s="25" t="n">
        <f aca="false">I2463+J2463</f>
        <v>1</v>
      </c>
    </row>
    <row r="2464" customFormat="false" ht="15" hidden="false" customHeight="false" outlineLevel="0" collapsed="false">
      <c r="A2464" s="24" t="s">
        <v>124</v>
      </c>
      <c r="B2464" s="24" t="s">
        <v>530</v>
      </c>
      <c r="C2464" s="24" t="s">
        <v>536</v>
      </c>
      <c r="D2464" s="24" t="n">
        <f aca="false">IFERROR(INDEX(Positions!$D$2:$D$6912,MATCH($A2464&amp;"|32",Positions!$A$2:$A$6912,0)),"-")</f>
        <v>32</v>
      </c>
      <c r="E2464" s="24" t="n">
        <f aca="false">IFERROR(INDEX(Positions!$D$2:$D$6912,MATCH($A2464&amp;"|38",Positions!$A$2:$A$6912,0)),"-")</f>
        <v>38</v>
      </c>
      <c r="F2464" s="24" t="str">
        <f aca="false">IFERROR(INDEX(Positions!$E$2:$E$6912,MATCH($A2464&amp;"|32",Positions!$A$2:$A$6912,0)),"-")</f>
        <v>U</v>
      </c>
      <c r="G2464" s="24" t="str">
        <f aca="false">IFERROR(INDEX(Positions!$E$2:$E$6912,MATCH($A2464&amp;"|38",Positions!$A$2:$A$6912,0)),"-")</f>
        <v>C</v>
      </c>
      <c r="H2464" s="25" t="str">
        <f aca="false">F2464&amp;"-"&amp;G2464</f>
        <v>U-C</v>
      </c>
      <c r="I2464" s="24" t="n">
        <f aca="false">(F2464="G")+(G2464="G")</f>
        <v>0</v>
      </c>
      <c r="J2464" s="24" t="n">
        <f aca="false">(F2464="C")+(G2464="C")</f>
        <v>1</v>
      </c>
      <c r="K2464" s="25" t="n">
        <f aca="false">I2464+J2464</f>
        <v>1</v>
      </c>
    </row>
    <row r="2465" customFormat="false" ht="15" hidden="false" customHeight="false" outlineLevel="0" collapsed="false">
      <c r="A2465" s="24" t="s">
        <v>124</v>
      </c>
      <c r="B2465" s="24" t="s">
        <v>530</v>
      </c>
      <c r="C2465" s="24" t="s">
        <v>537</v>
      </c>
      <c r="D2465" s="24" t="n">
        <f aca="false">IFERROR(INDEX(Positions!$D$2:$D$6912,MATCH($A2465&amp;"|54",Positions!$A$2:$A$6912,0)),"-")</f>
        <v>53</v>
      </c>
      <c r="E2465" s="24" t="n">
        <f aca="false">IFERROR(INDEX(Positions!$D$2:$D$6912,MATCH($A2465&amp;"|58",Positions!$A$2:$A$6912,0)),"-")</f>
        <v>57</v>
      </c>
      <c r="F2465" s="24" t="str">
        <f aca="false">IFERROR(INDEX(Positions!$E$2:$E$6912,MATCH($A2465&amp;"|54",Positions!$A$2:$A$6912,0)),"-")</f>
        <v>U</v>
      </c>
      <c r="G2465" s="24" t="str">
        <f aca="false">IFERROR(INDEX(Positions!$E$2:$E$6912,MATCH($A2465&amp;"|58",Positions!$A$2:$A$6912,0)),"-")</f>
        <v>A</v>
      </c>
      <c r="H2465" s="25" t="str">
        <f aca="false">F2465&amp;"-"&amp;G2465</f>
        <v>U-A</v>
      </c>
      <c r="I2465" s="24" t="n">
        <f aca="false">(F2465="G")+(G2465="G")</f>
        <v>0</v>
      </c>
      <c r="J2465" s="24" t="n">
        <f aca="false">(F2465="C")+(G2465="C")</f>
        <v>0</v>
      </c>
      <c r="K2465" s="25" t="n">
        <f aca="false">I2465+J2465</f>
        <v>0</v>
      </c>
    </row>
    <row r="2466" customFormat="false" ht="15" hidden="false" customHeight="false" outlineLevel="0" collapsed="false">
      <c r="A2466" s="4" t="s">
        <v>125</v>
      </c>
      <c r="B2466" s="4" t="s">
        <v>412</v>
      </c>
      <c r="C2466" s="4" t="s">
        <v>517</v>
      </c>
      <c r="D2466" s="4" t="n">
        <f aca="false">IFERROR(INDEX(Positions!$D$2:$D$6912,MATCH($A2466&amp;"|1",Positions!$A$2:$A$6912,0)),"-")</f>
        <v>1</v>
      </c>
      <c r="E2466" s="4" t="n">
        <f aca="false">IFERROR(INDEX(Positions!$D$2:$D$6912,MATCH($A2466&amp;"|72",Positions!$A$2:$A$6912,0)),"-")</f>
        <v>72</v>
      </c>
      <c r="F2466" s="4" t="str">
        <f aca="false">IFERROR(INDEX(Positions!$E$2:$E$6912,MATCH($A2466&amp;"|1",Positions!$A$2:$A$6912,0)),"-")</f>
        <v>G</v>
      </c>
      <c r="G2466" s="4" t="str">
        <f aca="false">IFERROR(INDEX(Positions!$E$2:$E$6912,MATCH($A2466&amp;"|72",Positions!$A$2:$A$6912,0)),"-")</f>
        <v>C</v>
      </c>
      <c r="H2466" s="3" t="str">
        <f aca="false">F2466&amp;"-"&amp;G2466</f>
        <v>G-C</v>
      </c>
      <c r="I2466" s="4" t="n">
        <f aca="false">(F2466="G")+(G2466="G")</f>
        <v>1</v>
      </c>
      <c r="J2466" s="4" t="n">
        <f aca="false">(F2466="C")+(G2466="C")</f>
        <v>1</v>
      </c>
      <c r="K2466" s="3" t="n">
        <f aca="false">I2466+J2466</f>
        <v>2</v>
      </c>
    </row>
    <row r="2467" customFormat="false" ht="15" hidden="false" customHeight="false" outlineLevel="0" collapsed="false">
      <c r="A2467" s="4" t="s">
        <v>125</v>
      </c>
      <c r="B2467" s="4" t="s">
        <v>412</v>
      </c>
      <c r="C2467" s="4" t="s">
        <v>518</v>
      </c>
      <c r="D2467" s="4" t="n">
        <f aca="false">IFERROR(INDEX(Positions!$D$2:$D$6912,MATCH($A2467&amp;"|2",Positions!$A$2:$A$6912,0)),"-")</f>
        <v>2</v>
      </c>
      <c r="E2467" s="4" t="n">
        <f aca="false">IFERROR(INDEX(Positions!$D$2:$D$6912,MATCH($A2467&amp;"|71",Positions!$A$2:$A$6912,0)),"-")</f>
        <v>71</v>
      </c>
      <c r="F2467" s="4" t="str">
        <f aca="false">IFERROR(INDEX(Positions!$E$2:$E$6912,MATCH($A2467&amp;"|2",Positions!$A$2:$A$6912,0)),"-")</f>
        <v>C</v>
      </c>
      <c r="G2467" s="4" t="str">
        <f aca="false">IFERROR(INDEX(Positions!$E$2:$E$6912,MATCH($A2467&amp;"|71",Positions!$A$2:$A$6912,0)),"-")</f>
        <v>G</v>
      </c>
      <c r="H2467" s="3" t="str">
        <f aca="false">F2467&amp;"-"&amp;G2467</f>
        <v>C-G</v>
      </c>
      <c r="I2467" s="4" t="n">
        <f aca="false">(F2467="G")+(G2467="G")</f>
        <v>1</v>
      </c>
      <c r="J2467" s="4" t="n">
        <f aca="false">(F2467="C")+(G2467="C")</f>
        <v>1</v>
      </c>
      <c r="K2467" s="3" t="n">
        <f aca="false">I2467+J2467</f>
        <v>2</v>
      </c>
    </row>
    <row r="2468" customFormat="false" ht="15" hidden="false" customHeight="false" outlineLevel="0" collapsed="false">
      <c r="A2468" s="4" t="s">
        <v>125</v>
      </c>
      <c r="B2468" s="4" t="s">
        <v>412</v>
      </c>
      <c r="C2468" s="4" t="s">
        <v>386</v>
      </c>
      <c r="D2468" s="4" t="n">
        <f aca="false">IFERROR(INDEX(Positions!$D$2:$D$6912,MATCH($A2468&amp;"|3",Positions!$A$2:$A$6912,0)),"-")</f>
        <v>3</v>
      </c>
      <c r="E2468" s="4" t="n">
        <f aca="false">IFERROR(INDEX(Positions!$D$2:$D$6912,MATCH($A2468&amp;"|70",Positions!$A$2:$A$6912,0)),"-")</f>
        <v>70</v>
      </c>
      <c r="F2468" s="4" t="str">
        <f aca="false">IFERROR(INDEX(Positions!$E$2:$E$6912,MATCH($A2468&amp;"|3",Positions!$A$2:$A$6912,0)),"-")</f>
        <v>C</v>
      </c>
      <c r="G2468" s="4" t="str">
        <f aca="false">IFERROR(INDEX(Positions!$E$2:$E$6912,MATCH($A2468&amp;"|70",Positions!$A$2:$A$6912,0)),"-")</f>
        <v>G</v>
      </c>
      <c r="H2468" s="3" t="str">
        <f aca="false">F2468&amp;"-"&amp;G2468</f>
        <v>C-G</v>
      </c>
      <c r="I2468" s="4" t="n">
        <f aca="false">(F2468="G")+(G2468="G")</f>
        <v>1</v>
      </c>
      <c r="J2468" s="4" t="n">
        <f aca="false">(F2468="C")+(G2468="C")</f>
        <v>1</v>
      </c>
      <c r="K2468" s="3" t="n">
        <f aca="false">I2468+J2468</f>
        <v>2</v>
      </c>
    </row>
    <row r="2469" customFormat="false" ht="15" hidden="false" customHeight="false" outlineLevel="0" collapsed="false">
      <c r="A2469" s="4" t="s">
        <v>125</v>
      </c>
      <c r="B2469" s="4" t="s">
        <v>412</v>
      </c>
      <c r="C2469" s="4" t="s">
        <v>519</v>
      </c>
      <c r="D2469" s="4" t="n">
        <f aca="false">IFERROR(INDEX(Positions!$D$2:$D$6912,MATCH($A2469&amp;"|4",Positions!$A$2:$A$6912,0)),"-")</f>
        <v>4</v>
      </c>
      <c r="E2469" s="4" t="n">
        <f aca="false">IFERROR(INDEX(Positions!$D$2:$D$6912,MATCH($A2469&amp;"|69",Positions!$A$2:$A$6912,0)),"-")</f>
        <v>69</v>
      </c>
      <c r="F2469" s="4" t="str">
        <f aca="false">IFERROR(INDEX(Positions!$E$2:$E$6912,MATCH($A2469&amp;"|4",Positions!$A$2:$A$6912,0)),"-")</f>
        <v>U</v>
      </c>
      <c r="G2469" s="4" t="str">
        <f aca="false">IFERROR(INDEX(Positions!$E$2:$E$6912,MATCH($A2469&amp;"|69",Positions!$A$2:$A$6912,0)),"-")</f>
        <v>G</v>
      </c>
      <c r="H2469" s="3" t="str">
        <f aca="false">F2469&amp;"-"&amp;G2469</f>
        <v>U-G</v>
      </c>
      <c r="I2469" s="4" t="n">
        <f aca="false">(F2469="G")+(G2469="G")</f>
        <v>1</v>
      </c>
      <c r="J2469" s="4" t="n">
        <f aca="false">(F2469="C")+(G2469="C")</f>
        <v>0</v>
      </c>
      <c r="K2469" s="3" t="n">
        <f aca="false">I2469+J2469</f>
        <v>1</v>
      </c>
    </row>
    <row r="2470" customFormat="false" ht="15" hidden="false" customHeight="false" outlineLevel="0" collapsed="false">
      <c r="A2470" s="4" t="s">
        <v>125</v>
      </c>
      <c r="B2470" s="4" t="s">
        <v>412</v>
      </c>
      <c r="C2470" s="4" t="s">
        <v>283</v>
      </c>
      <c r="D2470" s="4" t="n">
        <f aca="false">IFERROR(INDEX(Positions!$D$2:$D$6912,MATCH($A2470&amp;"|5",Positions!$A$2:$A$6912,0)),"-")</f>
        <v>5</v>
      </c>
      <c r="E2470" s="4" t="n">
        <f aca="false">IFERROR(INDEX(Positions!$D$2:$D$6912,MATCH($A2470&amp;"|68",Positions!$A$2:$A$6912,0)),"-")</f>
        <v>68</v>
      </c>
      <c r="F2470" s="4" t="str">
        <f aca="false">IFERROR(INDEX(Positions!$E$2:$E$6912,MATCH($A2470&amp;"|5",Positions!$A$2:$A$6912,0)),"-")</f>
        <v>C</v>
      </c>
      <c r="G2470" s="4" t="str">
        <f aca="false">IFERROR(INDEX(Positions!$E$2:$E$6912,MATCH($A2470&amp;"|68",Positions!$A$2:$A$6912,0)),"-")</f>
        <v>G</v>
      </c>
      <c r="H2470" s="3" t="str">
        <f aca="false">F2470&amp;"-"&amp;G2470</f>
        <v>C-G</v>
      </c>
      <c r="I2470" s="4" t="n">
        <f aca="false">(F2470="G")+(G2470="G")</f>
        <v>1</v>
      </c>
      <c r="J2470" s="4" t="n">
        <f aca="false">(F2470="C")+(G2470="C")</f>
        <v>1</v>
      </c>
      <c r="K2470" s="3" t="n">
        <f aca="false">I2470+J2470</f>
        <v>2</v>
      </c>
    </row>
    <row r="2471" customFormat="false" ht="15" hidden="false" customHeight="false" outlineLevel="0" collapsed="false">
      <c r="A2471" s="4" t="s">
        <v>125</v>
      </c>
      <c r="B2471" s="4" t="s">
        <v>412</v>
      </c>
      <c r="C2471" s="4" t="s">
        <v>520</v>
      </c>
      <c r="D2471" s="4" t="n">
        <f aca="false">IFERROR(INDEX(Positions!$D$2:$D$6912,MATCH($A2471&amp;"|6",Positions!$A$2:$A$6912,0)),"-")</f>
        <v>6</v>
      </c>
      <c r="E2471" s="4" t="n">
        <f aca="false">IFERROR(INDEX(Positions!$D$2:$D$6912,MATCH($A2471&amp;"|67",Positions!$A$2:$A$6912,0)),"-")</f>
        <v>67</v>
      </c>
      <c r="F2471" s="4" t="str">
        <f aca="false">IFERROR(INDEX(Positions!$E$2:$E$6912,MATCH($A2471&amp;"|6",Positions!$A$2:$A$6912,0)),"-")</f>
        <v>G</v>
      </c>
      <c r="G2471" s="4" t="str">
        <f aca="false">IFERROR(INDEX(Positions!$E$2:$E$6912,MATCH($A2471&amp;"|67",Positions!$A$2:$A$6912,0)),"-")</f>
        <v>C</v>
      </c>
      <c r="H2471" s="3" t="str">
        <f aca="false">F2471&amp;"-"&amp;G2471</f>
        <v>G-C</v>
      </c>
      <c r="I2471" s="4" t="n">
        <f aca="false">(F2471="G")+(G2471="G")</f>
        <v>1</v>
      </c>
      <c r="J2471" s="4" t="n">
        <f aca="false">(F2471="C")+(G2471="C")</f>
        <v>1</v>
      </c>
      <c r="K2471" s="3" t="n">
        <f aca="false">I2471+J2471</f>
        <v>2</v>
      </c>
    </row>
    <row r="2472" customFormat="false" ht="15" hidden="false" customHeight="false" outlineLevel="0" collapsed="false">
      <c r="A2472" s="4" t="s">
        <v>125</v>
      </c>
      <c r="B2472" s="4" t="s">
        <v>412</v>
      </c>
      <c r="C2472" s="4" t="s">
        <v>521</v>
      </c>
      <c r="D2472" s="4" t="n">
        <f aca="false">IFERROR(INDEX(Positions!$D$2:$D$6912,MATCH($A2472&amp;"|7",Positions!$A$2:$A$6912,0)),"-")</f>
        <v>7</v>
      </c>
      <c r="E2472" s="4" t="n">
        <f aca="false">IFERROR(INDEX(Positions!$D$2:$D$6912,MATCH($A2472&amp;"|66",Positions!$A$2:$A$6912,0)),"-")</f>
        <v>66</v>
      </c>
      <c r="F2472" s="4" t="str">
        <f aca="false">IFERROR(INDEX(Positions!$E$2:$E$6912,MATCH($A2472&amp;"|7",Positions!$A$2:$A$6912,0)),"-")</f>
        <v>U</v>
      </c>
      <c r="G2472" s="4" t="str">
        <f aca="false">IFERROR(INDEX(Positions!$E$2:$E$6912,MATCH($A2472&amp;"|66",Positions!$A$2:$A$6912,0)),"-")</f>
        <v>A</v>
      </c>
      <c r="H2472" s="3" t="str">
        <f aca="false">F2472&amp;"-"&amp;G2472</f>
        <v>U-A</v>
      </c>
      <c r="I2472" s="4" t="n">
        <f aca="false">(F2472="G")+(G2472="G")</f>
        <v>0</v>
      </c>
      <c r="J2472" s="4" t="n">
        <f aca="false">(F2472="C")+(G2472="C")</f>
        <v>0</v>
      </c>
      <c r="K2472" s="3" t="n">
        <f aca="false">I2472+J2472</f>
        <v>0</v>
      </c>
    </row>
    <row r="2473" customFormat="false" ht="15" hidden="false" customHeight="false" outlineLevel="0" collapsed="false">
      <c r="A2473" s="4" t="s">
        <v>125</v>
      </c>
      <c r="B2473" s="4" t="s">
        <v>425</v>
      </c>
      <c r="C2473" s="4" t="s">
        <v>522</v>
      </c>
      <c r="D2473" s="4" t="n">
        <f aca="false">IFERROR(INDEX(Positions!$D$2:$D$6912,MATCH($A2473&amp;"|10",Positions!$A$2:$A$6912,0)),"-")</f>
        <v>10</v>
      </c>
      <c r="E2473" s="4" t="n">
        <f aca="false">IFERROR(INDEX(Positions!$D$2:$D$6912,MATCH($A2473&amp;"|25",Positions!$A$2:$A$6912,0)),"-")</f>
        <v>25</v>
      </c>
      <c r="F2473" s="4" t="str">
        <f aca="false">IFERROR(INDEX(Positions!$E$2:$E$6912,MATCH($A2473&amp;"|10",Positions!$A$2:$A$6912,0)),"-")</f>
        <v>G</v>
      </c>
      <c r="G2473" s="4" t="str">
        <f aca="false">IFERROR(INDEX(Positions!$E$2:$E$6912,MATCH($A2473&amp;"|25",Positions!$A$2:$A$6912,0)),"-")</f>
        <v>C</v>
      </c>
      <c r="H2473" s="3" t="str">
        <f aca="false">F2473&amp;"-"&amp;G2473</f>
        <v>G-C</v>
      </c>
      <c r="I2473" s="4" t="n">
        <f aca="false">(F2473="G")+(G2473="G")</f>
        <v>1</v>
      </c>
      <c r="J2473" s="4" t="n">
        <f aca="false">(F2473="C")+(G2473="C")</f>
        <v>1</v>
      </c>
      <c r="K2473" s="3" t="n">
        <f aca="false">I2473+J2473</f>
        <v>2</v>
      </c>
    </row>
    <row r="2474" customFormat="false" ht="15" hidden="false" customHeight="false" outlineLevel="0" collapsed="false">
      <c r="A2474" s="4" t="s">
        <v>125</v>
      </c>
      <c r="B2474" s="4" t="s">
        <v>425</v>
      </c>
      <c r="C2474" s="4" t="s">
        <v>523</v>
      </c>
      <c r="D2474" s="4" t="n">
        <f aca="false">IFERROR(INDEX(Positions!$D$2:$D$6912,MATCH($A2474&amp;"|11",Positions!$A$2:$A$6912,0)),"-")</f>
        <v>11</v>
      </c>
      <c r="E2474" s="4" t="n">
        <f aca="false">IFERROR(INDEX(Positions!$D$2:$D$6912,MATCH($A2474&amp;"|24",Positions!$A$2:$A$6912,0)),"-")</f>
        <v>24</v>
      </c>
      <c r="F2474" s="4" t="str">
        <f aca="false">IFERROR(INDEX(Positions!$E$2:$E$6912,MATCH($A2474&amp;"|11",Positions!$A$2:$A$6912,0)),"-")</f>
        <v>C</v>
      </c>
      <c r="G2474" s="4" t="str">
        <f aca="false">IFERROR(INDEX(Positions!$E$2:$E$6912,MATCH($A2474&amp;"|24",Positions!$A$2:$A$6912,0)),"-")</f>
        <v>G</v>
      </c>
      <c r="H2474" s="3" t="str">
        <f aca="false">F2474&amp;"-"&amp;G2474</f>
        <v>C-G</v>
      </c>
      <c r="I2474" s="4" t="n">
        <f aca="false">(F2474="G")+(G2474="G")</f>
        <v>1</v>
      </c>
      <c r="J2474" s="4" t="n">
        <f aca="false">(F2474="C")+(G2474="C")</f>
        <v>1</v>
      </c>
      <c r="K2474" s="3" t="n">
        <f aca="false">I2474+J2474</f>
        <v>2</v>
      </c>
    </row>
    <row r="2475" customFormat="false" ht="15" hidden="false" customHeight="false" outlineLevel="0" collapsed="false">
      <c r="A2475" s="4" t="s">
        <v>125</v>
      </c>
      <c r="B2475" s="4" t="s">
        <v>425</v>
      </c>
      <c r="C2475" s="4" t="s">
        <v>250</v>
      </c>
      <c r="D2475" s="4" t="n">
        <f aca="false">IFERROR(INDEX(Positions!$D$2:$D$6912,MATCH($A2475&amp;"|12",Positions!$A$2:$A$6912,0)),"-")</f>
        <v>12</v>
      </c>
      <c r="E2475" s="4" t="n">
        <f aca="false">IFERROR(INDEX(Positions!$D$2:$D$6912,MATCH($A2475&amp;"|23",Positions!$A$2:$A$6912,0)),"-")</f>
        <v>23</v>
      </c>
      <c r="F2475" s="4" t="str">
        <f aca="false">IFERROR(INDEX(Positions!$E$2:$E$6912,MATCH($A2475&amp;"|12",Positions!$A$2:$A$6912,0)),"-")</f>
        <v>G</v>
      </c>
      <c r="G2475" s="4" t="str">
        <f aca="false">IFERROR(INDEX(Positions!$E$2:$E$6912,MATCH($A2475&amp;"|23",Positions!$A$2:$A$6912,0)),"-")</f>
        <v>C</v>
      </c>
      <c r="H2475" s="3" t="str">
        <f aca="false">F2475&amp;"-"&amp;G2475</f>
        <v>G-C</v>
      </c>
      <c r="I2475" s="4" t="n">
        <f aca="false">(F2475="G")+(G2475="G")</f>
        <v>1</v>
      </c>
      <c r="J2475" s="4" t="n">
        <f aca="false">(F2475="C")+(G2475="C")</f>
        <v>1</v>
      </c>
      <c r="K2475" s="3" t="n">
        <f aca="false">I2475+J2475</f>
        <v>2</v>
      </c>
    </row>
    <row r="2476" customFormat="false" ht="15" hidden="false" customHeight="false" outlineLevel="0" collapsed="false">
      <c r="A2476" s="4" t="s">
        <v>125</v>
      </c>
      <c r="B2476" s="4" t="s">
        <v>425</v>
      </c>
      <c r="C2476" s="4" t="s">
        <v>154</v>
      </c>
      <c r="D2476" s="4" t="n">
        <f aca="false">IFERROR(INDEX(Positions!$D$2:$D$6912,MATCH($A2476&amp;"|13",Positions!$A$2:$A$6912,0)),"-")</f>
        <v>13</v>
      </c>
      <c r="E2476" s="4" t="n">
        <f aca="false">IFERROR(INDEX(Positions!$D$2:$D$6912,MATCH($A2476&amp;"|22",Positions!$A$2:$A$6912,0)),"-")</f>
        <v>22</v>
      </c>
      <c r="F2476" s="4" t="str">
        <f aca="false">IFERROR(INDEX(Positions!$E$2:$E$6912,MATCH($A2476&amp;"|13",Positions!$A$2:$A$6912,0)),"-")</f>
        <v>C</v>
      </c>
      <c r="G2476" s="4" t="str">
        <f aca="false">IFERROR(INDEX(Positions!$E$2:$E$6912,MATCH($A2476&amp;"|22",Positions!$A$2:$A$6912,0)),"-")</f>
        <v>G</v>
      </c>
      <c r="H2476" s="3" t="str">
        <f aca="false">F2476&amp;"-"&amp;G2476</f>
        <v>C-G</v>
      </c>
      <c r="I2476" s="4" t="n">
        <f aca="false">(F2476="G")+(G2476="G")</f>
        <v>1</v>
      </c>
      <c r="J2476" s="4" t="n">
        <f aca="false">(F2476="C")+(G2476="C")</f>
        <v>1</v>
      </c>
      <c r="K2476" s="3" t="n">
        <f aca="false">I2476+J2476</f>
        <v>2</v>
      </c>
    </row>
    <row r="2477" customFormat="false" ht="15" hidden="false" customHeight="false" outlineLevel="0" collapsed="false">
      <c r="A2477" s="4" t="s">
        <v>125</v>
      </c>
      <c r="B2477" s="4" t="s">
        <v>446</v>
      </c>
      <c r="C2477" s="4" t="s">
        <v>524</v>
      </c>
      <c r="D2477" s="4" t="n">
        <f aca="false">IFERROR(INDEX(Positions!$D$2:$D$6912,MATCH($A2477&amp;"|27",Positions!$A$2:$A$6912,0)),"-")</f>
        <v>27</v>
      </c>
      <c r="E2477" s="4" t="n">
        <f aca="false">IFERROR(INDEX(Positions!$D$2:$D$6912,MATCH($A2477&amp;"|43",Positions!$A$2:$A$6912,0)),"-")</f>
        <v>43</v>
      </c>
      <c r="F2477" s="4" t="str">
        <f aca="false">IFERROR(INDEX(Positions!$E$2:$E$6912,MATCH($A2477&amp;"|27",Positions!$A$2:$A$6912,0)),"-")</f>
        <v>U</v>
      </c>
      <c r="G2477" s="4" t="str">
        <f aca="false">IFERROR(INDEX(Positions!$E$2:$E$6912,MATCH($A2477&amp;"|43",Positions!$A$2:$A$6912,0)),"-")</f>
        <v>A</v>
      </c>
      <c r="H2477" s="3" t="str">
        <f aca="false">F2477&amp;"-"&amp;G2477</f>
        <v>U-A</v>
      </c>
      <c r="I2477" s="4" t="n">
        <f aca="false">(F2477="G")+(G2477="G")</f>
        <v>0</v>
      </c>
      <c r="J2477" s="4" t="n">
        <f aca="false">(F2477="C")+(G2477="C")</f>
        <v>0</v>
      </c>
      <c r="K2477" s="3" t="n">
        <f aca="false">I2477+J2477</f>
        <v>0</v>
      </c>
    </row>
    <row r="2478" customFormat="false" ht="15" hidden="false" customHeight="false" outlineLevel="0" collapsed="false">
      <c r="A2478" s="4" t="s">
        <v>125</v>
      </c>
      <c r="B2478" s="4" t="s">
        <v>446</v>
      </c>
      <c r="C2478" s="4" t="s">
        <v>525</v>
      </c>
      <c r="D2478" s="4" t="n">
        <f aca="false">IFERROR(INDEX(Positions!$D$2:$D$6912,MATCH($A2478&amp;"|28",Positions!$A$2:$A$6912,0)),"-")</f>
        <v>28</v>
      </c>
      <c r="E2478" s="4" t="n">
        <f aca="false">IFERROR(INDEX(Positions!$D$2:$D$6912,MATCH($A2478&amp;"|42",Positions!$A$2:$A$6912,0)),"-")</f>
        <v>42</v>
      </c>
      <c r="F2478" s="4" t="str">
        <f aca="false">IFERROR(INDEX(Positions!$E$2:$E$6912,MATCH($A2478&amp;"|28",Positions!$A$2:$A$6912,0)),"-")</f>
        <v>C</v>
      </c>
      <c r="G2478" s="4" t="str">
        <f aca="false">IFERROR(INDEX(Positions!$E$2:$E$6912,MATCH($A2478&amp;"|42",Positions!$A$2:$A$6912,0)),"-")</f>
        <v>G</v>
      </c>
      <c r="H2478" s="3" t="str">
        <f aca="false">F2478&amp;"-"&amp;G2478</f>
        <v>C-G</v>
      </c>
      <c r="I2478" s="4" t="n">
        <f aca="false">(F2478="G")+(G2478="G")</f>
        <v>1</v>
      </c>
      <c r="J2478" s="4" t="n">
        <f aca="false">(F2478="C")+(G2478="C")</f>
        <v>1</v>
      </c>
      <c r="K2478" s="3" t="n">
        <f aca="false">I2478+J2478</f>
        <v>2</v>
      </c>
    </row>
    <row r="2479" customFormat="false" ht="15" hidden="false" customHeight="false" outlineLevel="0" collapsed="false">
      <c r="A2479" s="4" t="s">
        <v>125</v>
      </c>
      <c r="B2479" s="4" t="s">
        <v>446</v>
      </c>
      <c r="C2479" s="4" t="s">
        <v>256</v>
      </c>
      <c r="D2479" s="4" t="n">
        <f aca="false">IFERROR(INDEX(Positions!$D$2:$D$6912,MATCH($A2479&amp;"|29",Positions!$A$2:$A$6912,0)),"-")</f>
        <v>29</v>
      </c>
      <c r="E2479" s="4" t="n">
        <f aca="false">IFERROR(INDEX(Positions!$D$2:$D$6912,MATCH($A2479&amp;"|41",Positions!$A$2:$A$6912,0)),"-")</f>
        <v>41</v>
      </c>
      <c r="F2479" s="4" t="str">
        <f aca="false">IFERROR(INDEX(Positions!$E$2:$E$6912,MATCH($A2479&amp;"|29",Positions!$A$2:$A$6912,0)),"-")</f>
        <v>A</v>
      </c>
      <c r="G2479" s="4" t="str">
        <f aca="false">IFERROR(INDEX(Positions!$E$2:$E$6912,MATCH($A2479&amp;"|41",Positions!$A$2:$A$6912,0)),"-")</f>
        <v>U</v>
      </c>
      <c r="H2479" s="3" t="str">
        <f aca="false">F2479&amp;"-"&amp;G2479</f>
        <v>A-U</v>
      </c>
      <c r="I2479" s="4" t="n">
        <f aca="false">(F2479="G")+(G2479="G")</f>
        <v>0</v>
      </c>
      <c r="J2479" s="4" t="n">
        <f aca="false">(F2479="C")+(G2479="C")</f>
        <v>0</v>
      </c>
      <c r="K2479" s="3" t="n">
        <f aca="false">I2479+J2479</f>
        <v>0</v>
      </c>
    </row>
    <row r="2480" customFormat="false" ht="15" hidden="false" customHeight="false" outlineLevel="0" collapsed="false">
      <c r="A2480" s="4" t="s">
        <v>125</v>
      </c>
      <c r="B2480" s="4" t="s">
        <v>446</v>
      </c>
      <c r="C2480" s="4" t="s">
        <v>526</v>
      </c>
      <c r="D2480" s="4" t="n">
        <f aca="false">IFERROR(INDEX(Positions!$D$2:$D$6912,MATCH($A2480&amp;"|30",Positions!$A$2:$A$6912,0)),"-")</f>
        <v>30</v>
      </c>
      <c r="E2480" s="4" t="n">
        <f aca="false">IFERROR(INDEX(Positions!$D$2:$D$6912,MATCH($A2480&amp;"|40",Positions!$A$2:$A$6912,0)),"-")</f>
        <v>40</v>
      </c>
      <c r="F2480" s="4" t="str">
        <f aca="false">IFERROR(INDEX(Positions!$E$2:$E$6912,MATCH($A2480&amp;"|30",Positions!$A$2:$A$6912,0)),"-")</f>
        <v>G</v>
      </c>
      <c r="G2480" s="4" t="str">
        <f aca="false">IFERROR(INDEX(Positions!$E$2:$E$6912,MATCH($A2480&amp;"|40",Positions!$A$2:$A$6912,0)),"-")</f>
        <v>C</v>
      </c>
      <c r="H2480" s="3" t="str">
        <f aca="false">F2480&amp;"-"&amp;G2480</f>
        <v>G-C</v>
      </c>
      <c r="I2480" s="4" t="n">
        <f aca="false">(F2480="G")+(G2480="G")</f>
        <v>1</v>
      </c>
      <c r="J2480" s="4" t="n">
        <f aca="false">(F2480="C")+(G2480="C")</f>
        <v>1</v>
      </c>
      <c r="K2480" s="3" t="n">
        <f aca="false">I2480+J2480</f>
        <v>2</v>
      </c>
    </row>
    <row r="2481" customFormat="false" ht="15" hidden="false" customHeight="false" outlineLevel="0" collapsed="false">
      <c r="A2481" s="4" t="s">
        <v>125</v>
      </c>
      <c r="B2481" s="4" t="s">
        <v>446</v>
      </c>
      <c r="C2481" s="4" t="s">
        <v>273</v>
      </c>
      <c r="D2481" s="4" t="n">
        <f aca="false">IFERROR(INDEX(Positions!$D$2:$D$6912,MATCH($A2481&amp;"|31",Positions!$A$2:$A$6912,0)),"-")</f>
        <v>31</v>
      </c>
      <c r="E2481" s="4" t="n">
        <f aca="false">IFERROR(INDEX(Positions!$D$2:$D$6912,MATCH($A2481&amp;"|39",Positions!$A$2:$A$6912,0)),"-")</f>
        <v>39</v>
      </c>
      <c r="F2481" s="4" t="str">
        <f aca="false">IFERROR(INDEX(Positions!$E$2:$E$6912,MATCH($A2481&amp;"|31",Positions!$A$2:$A$6912,0)),"-")</f>
        <v>U</v>
      </c>
      <c r="G2481" s="4" t="str">
        <f aca="false">IFERROR(INDEX(Positions!$E$2:$E$6912,MATCH($A2481&amp;"|39",Positions!$A$2:$A$6912,0)),"-")</f>
        <v>U</v>
      </c>
      <c r="H2481" s="3" t="str">
        <f aca="false">F2481&amp;"-"&amp;G2481</f>
        <v>U-U</v>
      </c>
      <c r="I2481" s="4" t="n">
        <f aca="false">(F2481="G")+(G2481="G")</f>
        <v>0</v>
      </c>
      <c r="J2481" s="4" t="n">
        <f aca="false">(F2481="C")+(G2481="C")</f>
        <v>0</v>
      </c>
      <c r="K2481" s="3" t="n">
        <f aca="false">I2481+J2481</f>
        <v>0</v>
      </c>
    </row>
    <row r="2482" customFormat="false" ht="15" hidden="false" customHeight="false" outlineLevel="0" collapsed="false">
      <c r="A2482" s="4" t="s">
        <v>125</v>
      </c>
      <c r="B2482" s="4" t="s">
        <v>471</v>
      </c>
      <c r="C2482" s="4" t="s">
        <v>367</v>
      </c>
      <c r="D2482" s="4" t="n">
        <f aca="false">IFERROR(INDEX(Positions!$D$2:$D$6912,MATCH($A2482&amp;"|49",Positions!$A$2:$A$6912,0)),"-")</f>
        <v>49</v>
      </c>
      <c r="E2482" s="4" t="n">
        <f aca="false">IFERROR(INDEX(Positions!$D$2:$D$6912,MATCH($A2482&amp;"|65",Positions!$A$2:$A$6912,0)),"-")</f>
        <v>65</v>
      </c>
      <c r="F2482" s="4" t="str">
        <f aca="false">IFERROR(INDEX(Positions!$E$2:$E$6912,MATCH($A2482&amp;"|49",Positions!$A$2:$A$6912,0)),"-")</f>
        <v>G</v>
      </c>
      <c r="G2482" s="4" t="str">
        <f aca="false">IFERROR(INDEX(Positions!$E$2:$E$6912,MATCH($A2482&amp;"|65",Positions!$A$2:$A$6912,0)),"-")</f>
        <v>C</v>
      </c>
      <c r="H2482" s="3" t="str">
        <f aca="false">F2482&amp;"-"&amp;G2482</f>
        <v>G-C</v>
      </c>
      <c r="I2482" s="4" t="n">
        <f aca="false">(F2482="G")+(G2482="G")</f>
        <v>1</v>
      </c>
      <c r="J2482" s="4" t="n">
        <f aca="false">(F2482="C")+(G2482="C")</f>
        <v>1</v>
      </c>
      <c r="K2482" s="3" t="n">
        <f aca="false">I2482+J2482</f>
        <v>2</v>
      </c>
    </row>
    <row r="2483" customFormat="false" ht="15" hidden="false" customHeight="false" outlineLevel="0" collapsed="false">
      <c r="A2483" s="4" t="s">
        <v>125</v>
      </c>
      <c r="B2483" s="4" t="s">
        <v>471</v>
      </c>
      <c r="C2483" s="4" t="s">
        <v>233</v>
      </c>
      <c r="D2483" s="4" t="n">
        <f aca="false">IFERROR(INDEX(Positions!$D$2:$D$6912,MATCH($A2483&amp;"|50",Positions!$A$2:$A$6912,0)),"-")</f>
        <v>50</v>
      </c>
      <c r="E2483" s="4" t="n">
        <f aca="false">IFERROR(INDEX(Positions!$D$2:$D$6912,MATCH($A2483&amp;"|64",Positions!$A$2:$A$6912,0)),"-")</f>
        <v>64</v>
      </c>
      <c r="F2483" s="4" t="str">
        <f aca="false">IFERROR(INDEX(Positions!$E$2:$E$6912,MATCH($A2483&amp;"|50",Positions!$A$2:$A$6912,0)),"-")</f>
        <v>U</v>
      </c>
      <c r="G2483" s="4" t="str">
        <f aca="false">IFERROR(INDEX(Positions!$E$2:$E$6912,MATCH($A2483&amp;"|64",Positions!$A$2:$A$6912,0)),"-")</f>
        <v>A</v>
      </c>
      <c r="H2483" s="3" t="str">
        <f aca="false">F2483&amp;"-"&amp;G2483</f>
        <v>U-A</v>
      </c>
      <c r="I2483" s="4" t="n">
        <f aca="false">(F2483="G")+(G2483="G")</f>
        <v>0</v>
      </c>
      <c r="J2483" s="4" t="n">
        <f aca="false">(F2483="C")+(G2483="C")</f>
        <v>0</v>
      </c>
      <c r="K2483" s="3" t="n">
        <f aca="false">I2483+J2483</f>
        <v>0</v>
      </c>
    </row>
    <row r="2484" customFormat="false" ht="15" hidden="false" customHeight="false" outlineLevel="0" collapsed="false">
      <c r="A2484" s="4" t="s">
        <v>125</v>
      </c>
      <c r="B2484" s="4" t="s">
        <v>471</v>
      </c>
      <c r="C2484" s="4" t="s">
        <v>527</v>
      </c>
      <c r="D2484" s="4" t="n">
        <f aca="false">IFERROR(INDEX(Positions!$D$2:$D$6912,MATCH($A2484&amp;"|51",Positions!$A$2:$A$6912,0)),"-")</f>
        <v>51</v>
      </c>
      <c r="E2484" s="4" t="n">
        <f aca="false">IFERROR(INDEX(Positions!$D$2:$D$6912,MATCH($A2484&amp;"|63",Positions!$A$2:$A$6912,0)),"-")</f>
        <v>63</v>
      </c>
      <c r="F2484" s="4" t="str">
        <f aca="false">IFERROR(INDEX(Positions!$E$2:$E$6912,MATCH($A2484&amp;"|51",Positions!$A$2:$A$6912,0)),"-")</f>
        <v>G</v>
      </c>
      <c r="G2484" s="4" t="str">
        <f aca="false">IFERROR(INDEX(Positions!$E$2:$E$6912,MATCH($A2484&amp;"|63",Positions!$A$2:$A$6912,0)),"-")</f>
        <v>C</v>
      </c>
      <c r="H2484" s="3" t="str">
        <f aca="false">F2484&amp;"-"&amp;G2484</f>
        <v>G-C</v>
      </c>
      <c r="I2484" s="4" t="n">
        <f aca="false">(F2484="G")+(G2484="G")</f>
        <v>1</v>
      </c>
      <c r="J2484" s="4" t="n">
        <f aca="false">(F2484="C")+(G2484="C")</f>
        <v>1</v>
      </c>
      <c r="K2484" s="3" t="n">
        <f aca="false">I2484+J2484</f>
        <v>2</v>
      </c>
    </row>
    <row r="2485" customFormat="false" ht="15" hidden="false" customHeight="false" outlineLevel="0" collapsed="false">
      <c r="A2485" s="4" t="s">
        <v>125</v>
      </c>
      <c r="B2485" s="4" t="s">
        <v>471</v>
      </c>
      <c r="C2485" s="4" t="s">
        <v>528</v>
      </c>
      <c r="D2485" s="4" t="n">
        <f aca="false">IFERROR(INDEX(Positions!$D$2:$D$6912,MATCH($A2485&amp;"|52",Positions!$A$2:$A$6912,0)),"-")</f>
        <v>52</v>
      </c>
      <c r="E2485" s="4" t="n">
        <f aca="false">IFERROR(INDEX(Positions!$D$2:$D$6912,MATCH($A2485&amp;"|62",Positions!$A$2:$A$6912,0)),"-")</f>
        <v>62</v>
      </c>
      <c r="F2485" s="4" t="str">
        <f aca="false">IFERROR(INDEX(Positions!$E$2:$E$6912,MATCH($A2485&amp;"|52",Positions!$A$2:$A$6912,0)),"-")</f>
        <v>A</v>
      </c>
      <c r="G2485" s="4" t="str">
        <f aca="false">IFERROR(INDEX(Positions!$E$2:$E$6912,MATCH($A2485&amp;"|62",Positions!$A$2:$A$6912,0)),"-")</f>
        <v>U</v>
      </c>
      <c r="H2485" s="3" t="str">
        <f aca="false">F2485&amp;"-"&amp;G2485</f>
        <v>A-U</v>
      </c>
      <c r="I2485" s="4" t="n">
        <f aca="false">(F2485="G")+(G2485="G")</f>
        <v>0</v>
      </c>
      <c r="J2485" s="4" t="n">
        <f aca="false">(F2485="C")+(G2485="C")</f>
        <v>0</v>
      </c>
      <c r="K2485" s="3" t="n">
        <f aca="false">I2485+J2485</f>
        <v>0</v>
      </c>
    </row>
    <row r="2486" customFormat="false" ht="15" hidden="false" customHeight="false" outlineLevel="0" collapsed="false">
      <c r="A2486" s="4" t="s">
        <v>125</v>
      </c>
      <c r="B2486" s="4" t="s">
        <v>471</v>
      </c>
      <c r="C2486" s="4" t="s">
        <v>529</v>
      </c>
      <c r="D2486" s="4" t="n">
        <f aca="false">IFERROR(INDEX(Positions!$D$2:$D$6912,MATCH($A2486&amp;"|53",Positions!$A$2:$A$6912,0)),"-")</f>
        <v>53</v>
      </c>
      <c r="E2486" s="4" t="n">
        <f aca="false">IFERROR(INDEX(Positions!$D$2:$D$6912,MATCH($A2486&amp;"|61",Positions!$A$2:$A$6912,0)),"-")</f>
        <v>61</v>
      </c>
      <c r="F2486" s="4" t="str">
        <f aca="false">IFERROR(INDEX(Positions!$E$2:$E$6912,MATCH($A2486&amp;"|53",Positions!$A$2:$A$6912,0)),"-")</f>
        <v>G</v>
      </c>
      <c r="G2486" s="4" t="str">
        <f aca="false">IFERROR(INDEX(Positions!$E$2:$E$6912,MATCH($A2486&amp;"|61",Positions!$A$2:$A$6912,0)),"-")</f>
        <v>C</v>
      </c>
      <c r="H2486" s="3" t="str">
        <f aca="false">F2486&amp;"-"&amp;G2486</f>
        <v>G-C</v>
      </c>
      <c r="I2486" s="4" t="n">
        <f aca="false">(F2486="G")+(G2486="G")</f>
        <v>1</v>
      </c>
      <c r="J2486" s="4" t="n">
        <f aca="false">(F2486="C")+(G2486="C")</f>
        <v>1</v>
      </c>
      <c r="K2486" s="3" t="n">
        <f aca="false">I2486+J2486</f>
        <v>2</v>
      </c>
    </row>
    <row r="2487" customFormat="false" ht="15" hidden="false" customHeight="false" outlineLevel="0" collapsed="false">
      <c r="A2487" s="24" t="s">
        <v>125</v>
      </c>
      <c r="B2487" s="24" t="s">
        <v>530</v>
      </c>
      <c r="C2487" s="24" t="s">
        <v>531</v>
      </c>
      <c r="D2487" s="24" t="n">
        <f aca="false">IFERROR(INDEX(Positions!$D$2:$D$6912,MATCH($A2487&amp;"|8",Positions!$A$2:$A$6912,0)),"-")</f>
        <v>8</v>
      </c>
      <c r="E2487" s="24" t="n">
        <f aca="false">IFERROR(INDEX(Positions!$D$2:$D$6912,MATCH($A2487&amp;"|14",Positions!$A$2:$A$6912,0)),"-")</f>
        <v>14</v>
      </c>
      <c r="F2487" s="24" t="str">
        <f aca="false">IFERROR(INDEX(Positions!$E$2:$E$6912,MATCH($A2487&amp;"|8",Positions!$A$2:$A$6912,0)),"-")</f>
        <v>U</v>
      </c>
      <c r="G2487" s="24" t="str">
        <f aca="false">IFERROR(INDEX(Positions!$E$2:$E$6912,MATCH($A2487&amp;"|14",Positions!$A$2:$A$6912,0)),"-")</f>
        <v>A</v>
      </c>
      <c r="H2487" s="25" t="str">
        <f aca="false">F2487&amp;"-"&amp;G2487</f>
        <v>U-A</v>
      </c>
      <c r="I2487" s="24" t="n">
        <f aca="false">(F2487="G")+(G2487="G")</f>
        <v>0</v>
      </c>
      <c r="J2487" s="24" t="n">
        <f aca="false">(F2487="C")+(G2487="C")</f>
        <v>0</v>
      </c>
      <c r="K2487" s="25" t="n">
        <f aca="false">I2487+J2487</f>
        <v>0</v>
      </c>
    </row>
    <row r="2488" customFormat="false" ht="15" hidden="false" customHeight="false" outlineLevel="0" collapsed="false">
      <c r="A2488" s="24" t="s">
        <v>125</v>
      </c>
      <c r="B2488" s="24" t="s">
        <v>530</v>
      </c>
      <c r="C2488" s="24" t="s">
        <v>532</v>
      </c>
      <c r="D2488" s="24" t="n">
        <f aca="false">IFERROR(INDEX(Positions!$D$2:$D$6912,MATCH($A2488&amp;"|15",Positions!$A$2:$A$6912,0)),"-")</f>
        <v>15</v>
      </c>
      <c r="E2488" s="24" t="n">
        <f aca="false">IFERROR(INDEX(Positions!$D$2:$D$6912,MATCH($A2488&amp;"|48",Positions!$A$2:$A$6912,0)),"-")</f>
        <v>48</v>
      </c>
      <c r="F2488" s="24" t="str">
        <f aca="false">IFERROR(INDEX(Positions!$E$2:$E$6912,MATCH($A2488&amp;"|15",Positions!$A$2:$A$6912,0)),"-")</f>
        <v>G</v>
      </c>
      <c r="G2488" s="24" t="str">
        <f aca="false">IFERROR(INDEX(Positions!$E$2:$E$6912,MATCH($A2488&amp;"|48",Positions!$A$2:$A$6912,0)),"-")</f>
        <v>C</v>
      </c>
      <c r="H2488" s="25" t="str">
        <f aca="false">F2488&amp;"-"&amp;G2488</f>
        <v>G-C</v>
      </c>
      <c r="I2488" s="24" t="n">
        <f aca="false">(F2488="G")+(G2488="G")</f>
        <v>1</v>
      </c>
      <c r="J2488" s="24" t="n">
        <f aca="false">(F2488="C")+(G2488="C")</f>
        <v>1</v>
      </c>
      <c r="K2488" s="25" t="n">
        <f aca="false">I2488+J2488</f>
        <v>2</v>
      </c>
    </row>
    <row r="2489" customFormat="false" ht="15" hidden="false" customHeight="false" outlineLevel="0" collapsed="false">
      <c r="A2489" s="24" t="s">
        <v>125</v>
      </c>
      <c r="B2489" s="24" t="s">
        <v>530</v>
      </c>
      <c r="C2489" s="24" t="s">
        <v>533</v>
      </c>
      <c r="D2489" s="24" t="n">
        <f aca="false">IFERROR(INDEX(Positions!$D$2:$D$6912,MATCH($A2489&amp;"|18",Positions!$A$2:$A$6912,0)),"-")</f>
        <v>18</v>
      </c>
      <c r="E2489" s="24" t="n">
        <f aca="false">IFERROR(INDEX(Positions!$D$2:$D$6912,MATCH($A2489&amp;"|55",Positions!$A$2:$A$6912,0)),"-")</f>
        <v>55</v>
      </c>
      <c r="F2489" s="24" t="str">
        <f aca="false">IFERROR(INDEX(Positions!$E$2:$E$6912,MATCH($A2489&amp;"|18",Positions!$A$2:$A$6912,0)),"-")</f>
        <v>G</v>
      </c>
      <c r="G2489" s="24" t="str">
        <f aca="false">IFERROR(INDEX(Positions!$E$2:$E$6912,MATCH($A2489&amp;"|55",Positions!$A$2:$A$6912,0)),"-")</f>
        <v>U</v>
      </c>
      <c r="H2489" s="25" t="str">
        <f aca="false">F2489&amp;"-"&amp;G2489</f>
        <v>G-U</v>
      </c>
      <c r="I2489" s="24" t="n">
        <f aca="false">(F2489="G")+(G2489="G")</f>
        <v>1</v>
      </c>
      <c r="J2489" s="24" t="n">
        <f aca="false">(F2489="C")+(G2489="C")</f>
        <v>0</v>
      </c>
      <c r="K2489" s="25" t="n">
        <f aca="false">I2489+J2489</f>
        <v>1</v>
      </c>
    </row>
    <row r="2490" customFormat="false" ht="15" hidden="false" customHeight="false" outlineLevel="0" collapsed="false">
      <c r="A2490" s="24" t="s">
        <v>125</v>
      </c>
      <c r="B2490" s="24" t="s">
        <v>530</v>
      </c>
      <c r="C2490" s="24" t="s">
        <v>534</v>
      </c>
      <c r="D2490" s="24" t="n">
        <f aca="false">IFERROR(INDEX(Positions!$D$2:$D$6912,MATCH($A2490&amp;"|19",Positions!$A$2:$A$6912,0)),"-")</f>
        <v>19</v>
      </c>
      <c r="E2490" s="24" t="n">
        <f aca="false">IFERROR(INDEX(Positions!$D$2:$D$6912,MATCH($A2490&amp;"|56",Positions!$A$2:$A$6912,0)),"-")</f>
        <v>56</v>
      </c>
      <c r="F2490" s="24" t="str">
        <f aca="false">IFERROR(INDEX(Positions!$E$2:$E$6912,MATCH($A2490&amp;"|19",Positions!$A$2:$A$6912,0)),"-")</f>
        <v>G</v>
      </c>
      <c r="G2490" s="24" t="str">
        <f aca="false">IFERROR(INDEX(Positions!$E$2:$E$6912,MATCH($A2490&amp;"|56",Positions!$A$2:$A$6912,0)),"-")</f>
        <v>C</v>
      </c>
      <c r="H2490" s="25" t="str">
        <f aca="false">F2490&amp;"-"&amp;G2490</f>
        <v>G-C</v>
      </c>
      <c r="I2490" s="24" t="n">
        <f aca="false">(F2490="G")+(G2490="G")</f>
        <v>1</v>
      </c>
      <c r="J2490" s="24" t="n">
        <f aca="false">(F2490="C")+(G2490="C")</f>
        <v>1</v>
      </c>
      <c r="K2490" s="25" t="n">
        <f aca="false">I2490+J2490</f>
        <v>2</v>
      </c>
    </row>
    <row r="2491" customFormat="false" ht="15" hidden="false" customHeight="false" outlineLevel="0" collapsed="false">
      <c r="A2491" s="24" t="s">
        <v>125</v>
      </c>
      <c r="B2491" s="24" t="s">
        <v>530</v>
      </c>
      <c r="C2491" s="24" t="s">
        <v>535</v>
      </c>
      <c r="D2491" s="24" t="n">
        <f aca="false">IFERROR(INDEX(Positions!$D$2:$D$6912,MATCH($A2491&amp;"|26",Positions!$A$2:$A$6912,0)),"-")</f>
        <v>26</v>
      </c>
      <c r="E2491" s="24" t="n">
        <f aca="false">IFERROR(INDEX(Positions!$D$2:$D$6912,MATCH($A2491&amp;"|44",Positions!$A$2:$A$6912,0)),"-")</f>
        <v>44</v>
      </c>
      <c r="F2491" s="24" t="str">
        <f aca="false">IFERROR(INDEX(Positions!$E$2:$E$6912,MATCH($A2491&amp;"|26",Positions!$A$2:$A$6912,0)),"-")</f>
        <v>G</v>
      </c>
      <c r="G2491" s="24" t="str">
        <f aca="false">IFERROR(INDEX(Positions!$E$2:$E$6912,MATCH($A2491&amp;"|44",Positions!$A$2:$A$6912,0)),"-")</f>
        <v>A</v>
      </c>
      <c r="H2491" s="25" t="str">
        <f aca="false">F2491&amp;"-"&amp;G2491</f>
        <v>G-A</v>
      </c>
      <c r="I2491" s="24" t="n">
        <f aca="false">(F2491="G")+(G2491="G")</f>
        <v>1</v>
      </c>
      <c r="J2491" s="24" t="n">
        <f aca="false">(F2491="C")+(G2491="C")</f>
        <v>0</v>
      </c>
      <c r="K2491" s="25" t="n">
        <f aca="false">I2491+J2491</f>
        <v>1</v>
      </c>
    </row>
    <row r="2492" customFormat="false" ht="15" hidden="false" customHeight="false" outlineLevel="0" collapsed="false">
      <c r="A2492" s="24" t="s">
        <v>125</v>
      </c>
      <c r="B2492" s="24" t="s">
        <v>530</v>
      </c>
      <c r="C2492" s="24" t="s">
        <v>536</v>
      </c>
      <c r="D2492" s="24" t="n">
        <f aca="false">IFERROR(INDEX(Positions!$D$2:$D$6912,MATCH($A2492&amp;"|32",Positions!$A$2:$A$6912,0)),"-")</f>
        <v>32</v>
      </c>
      <c r="E2492" s="24" t="n">
        <f aca="false">IFERROR(INDEX(Positions!$D$2:$D$6912,MATCH($A2492&amp;"|38",Positions!$A$2:$A$6912,0)),"-")</f>
        <v>38</v>
      </c>
      <c r="F2492" s="24" t="str">
        <f aca="false">IFERROR(INDEX(Positions!$E$2:$E$6912,MATCH($A2492&amp;"|32",Positions!$A$2:$A$6912,0)),"-")</f>
        <v>C</v>
      </c>
      <c r="G2492" s="24" t="str">
        <f aca="false">IFERROR(INDEX(Positions!$E$2:$E$6912,MATCH($A2492&amp;"|38",Positions!$A$2:$A$6912,0)),"-")</f>
        <v>A</v>
      </c>
      <c r="H2492" s="25" t="str">
        <f aca="false">F2492&amp;"-"&amp;G2492</f>
        <v>C-A</v>
      </c>
      <c r="I2492" s="24" t="n">
        <f aca="false">(F2492="G")+(G2492="G")</f>
        <v>0</v>
      </c>
      <c r="J2492" s="24" t="n">
        <f aca="false">(F2492="C")+(G2492="C")</f>
        <v>1</v>
      </c>
      <c r="K2492" s="25" t="n">
        <f aca="false">I2492+J2492</f>
        <v>1</v>
      </c>
    </row>
    <row r="2493" customFormat="false" ht="15" hidden="false" customHeight="false" outlineLevel="0" collapsed="false">
      <c r="A2493" s="24" t="s">
        <v>125</v>
      </c>
      <c r="B2493" s="24" t="s">
        <v>530</v>
      </c>
      <c r="C2493" s="24" t="s">
        <v>537</v>
      </c>
      <c r="D2493" s="24" t="n">
        <f aca="false">IFERROR(INDEX(Positions!$D$2:$D$6912,MATCH($A2493&amp;"|54",Positions!$A$2:$A$6912,0)),"-")</f>
        <v>54</v>
      </c>
      <c r="E2493" s="24" t="n">
        <f aca="false">IFERROR(INDEX(Positions!$D$2:$D$6912,MATCH($A2493&amp;"|58",Positions!$A$2:$A$6912,0)),"-")</f>
        <v>58</v>
      </c>
      <c r="F2493" s="24" t="str">
        <f aca="false">IFERROR(INDEX(Positions!$E$2:$E$6912,MATCH($A2493&amp;"|54",Positions!$A$2:$A$6912,0)),"-")</f>
        <v>U</v>
      </c>
      <c r="G2493" s="24" t="str">
        <f aca="false">IFERROR(INDEX(Positions!$E$2:$E$6912,MATCH($A2493&amp;"|58",Positions!$A$2:$A$6912,0)),"-")</f>
        <v>A</v>
      </c>
      <c r="H2493" s="25" t="str">
        <f aca="false">F2493&amp;"-"&amp;G2493</f>
        <v>U-A</v>
      </c>
      <c r="I2493" s="24" t="n">
        <f aca="false">(F2493="G")+(G2493="G")</f>
        <v>0</v>
      </c>
      <c r="J2493" s="24" t="n">
        <f aca="false">(F2493="C")+(G2493="C")</f>
        <v>0</v>
      </c>
      <c r="K2493" s="25" t="n">
        <f aca="false">I2493+J2493</f>
        <v>0</v>
      </c>
    </row>
    <row r="2494" customFormat="false" ht="15" hidden="false" customHeight="false" outlineLevel="0" collapsed="false">
      <c r="A2494" s="4" t="s">
        <v>126</v>
      </c>
      <c r="B2494" s="4" t="s">
        <v>412</v>
      </c>
      <c r="C2494" s="4" t="s">
        <v>517</v>
      </c>
      <c r="D2494" s="4" t="n">
        <f aca="false">IFERROR(INDEX(Positions!$D$2:$D$6912,MATCH($A2494&amp;"|1",Positions!$A$2:$A$6912,0)),"-")</f>
        <v>1</v>
      </c>
      <c r="E2494" s="4" t="n">
        <f aca="false">IFERROR(INDEX(Positions!$D$2:$D$6912,MATCH($A2494&amp;"|72",Positions!$A$2:$A$6912,0)),"-")</f>
        <v>71</v>
      </c>
      <c r="F2494" s="4" t="str">
        <f aca="false">IFERROR(INDEX(Positions!$E$2:$E$6912,MATCH($A2494&amp;"|1",Positions!$A$2:$A$6912,0)),"-")</f>
        <v>A</v>
      </c>
      <c r="G2494" s="4" t="str">
        <f aca="false">IFERROR(INDEX(Positions!$E$2:$E$6912,MATCH($A2494&amp;"|72",Positions!$A$2:$A$6912,0)),"-")</f>
        <v>U</v>
      </c>
      <c r="H2494" s="3" t="str">
        <f aca="false">F2494&amp;"-"&amp;G2494</f>
        <v>A-U</v>
      </c>
      <c r="I2494" s="4" t="n">
        <f aca="false">(F2494="G")+(G2494="G")</f>
        <v>0</v>
      </c>
      <c r="J2494" s="4" t="n">
        <f aca="false">(F2494="C")+(G2494="C")</f>
        <v>0</v>
      </c>
      <c r="K2494" s="3" t="n">
        <f aca="false">I2494+J2494</f>
        <v>0</v>
      </c>
    </row>
    <row r="2495" customFormat="false" ht="15" hidden="false" customHeight="false" outlineLevel="0" collapsed="false">
      <c r="A2495" s="4" t="s">
        <v>126</v>
      </c>
      <c r="B2495" s="4" t="s">
        <v>412</v>
      </c>
      <c r="C2495" s="4" t="s">
        <v>518</v>
      </c>
      <c r="D2495" s="4" t="n">
        <f aca="false">IFERROR(INDEX(Positions!$D$2:$D$6912,MATCH($A2495&amp;"|2",Positions!$A$2:$A$6912,0)),"-")</f>
        <v>2</v>
      </c>
      <c r="E2495" s="4" t="n">
        <f aca="false">IFERROR(INDEX(Positions!$D$2:$D$6912,MATCH($A2495&amp;"|71",Positions!$A$2:$A$6912,0)),"-")</f>
        <v>70</v>
      </c>
      <c r="F2495" s="4" t="str">
        <f aca="false">IFERROR(INDEX(Positions!$E$2:$E$6912,MATCH($A2495&amp;"|2",Positions!$A$2:$A$6912,0)),"-")</f>
        <v>G</v>
      </c>
      <c r="G2495" s="4" t="str">
        <f aca="false">IFERROR(INDEX(Positions!$E$2:$E$6912,MATCH($A2495&amp;"|71",Positions!$A$2:$A$6912,0)),"-")</f>
        <v>C</v>
      </c>
      <c r="H2495" s="3" t="str">
        <f aca="false">F2495&amp;"-"&amp;G2495</f>
        <v>G-C</v>
      </c>
      <c r="I2495" s="4" t="n">
        <f aca="false">(F2495="G")+(G2495="G")</f>
        <v>1</v>
      </c>
      <c r="J2495" s="4" t="n">
        <f aca="false">(F2495="C")+(G2495="C")</f>
        <v>1</v>
      </c>
      <c r="K2495" s="3" t="n">
        <f aca="false">I2495+J2495</f>
        <v>2</v>
      </c>
    </row>
    <row r="2496" customFormat="false" ht="15" hidden="false" customHeight="false" outlineLevel="0" collapsed="false">
      <c r="A2496" s="4" t="s">
        <v>126</v>
      </c>
      <c r="B2496" s="4" t="s">
        <v>412</v>
      </c>
      <c r="C2496" s="4" t="s">
        <v>386</v>
      </c>
      <c r="D2496" s="4" t="n">
        <f aca="false">IFERROR(INDEX(Positions!$D$2:$D$6912,MATCH($A2496&amp;"|3",Positions!$A$2:$A$6912,0)),"-")</f>
        <v>3</v>
      </c>
      <c r="E2496" s="4" t="n">
        <f aca="false">IFERROR(INDEX(Positions!$D$2:$D$6912,MATCH($A2496&amp;"|70",Positions!$A$2:$A$6912,0)),"-")</f>
        <v>69</v>
      </c>
      <c r="F2496" s="4" t="str">
        <f aca="false">IFERROR(INDEX(Positions!$E$2:$E$6912,MATCH($A2496&amp;"|3",Positions!$A$2:$A$6912,0)),"-")</f>
        <v>C</v>
      </c>
      <c r="G2496" s="4" t="str">
        <f aca="false">IFERROR(INDEX(Positions!$E$2:$E$6912,MATCH($A2496&amp;"|70",Positions!$A$2:$A$6912,0)),"-")</f>
        <v>G</v>
      </c>
      <c r="H2496" s="3" t="str">
        <f aca="false">F2496&amp;"-"&amp;G2496</f>
        <v>C-G</v>
      </c>
      <c r="I2496" s="4" t="n">
        <f aca="false">(F2496="G")+(G2496="G")</f>
        <v>1</v>
      </c>
      <c r="J2496" s="4" t="n">
        <f aca="false">(F2496="C")+(G2496="C")</f>
        <v>1</v>
      </c>
      <c r="K2496" s="3" t="n">
        <f aca="false">I2496+J2496</f>
        <v>2</v>
      </c>
    </row>
    <row r="2497" customFormat="false" ht="15" hidden="false" customHeight="false" outlineLevel="0" collapsed="false">
      <c r="A2497" s="4" t="s">
        <v>126</v>
      </c>
      <c r="B2497" s="4" t="s">
        <v>412</v>
      </c>
      <c r="C2497" s="4" t="s">
        <v>519</v>
      </c>
      <c r="D2497" s="4" t="n">
        <f aca="false">IFERROR(INDEX(Positions!$D$2:$D$6912,MATCH($A2497&amp;"|4",Positions!$A$2:$A$6912,0)),"-")</f>
        <v>4</v>
      </c>
      <c r="E2497" s="4" t="n">
        <f aca="false">IFERROR(INDEX(Positions!$D$2:$D$6912,MATCH($A2497&amp;"|69",Positions!$A$2:$A$6912,0)),"-")</f>
        <v>68</v>
      </c>
      <c r="F2497" s="4" t="str">
        <f aca="false">IFERROR(INDEX(Positions!$E$2:$E$6912,MATCH($A2497&amp;"|4",Positions!$A$2:$A$6912,0)),"-")</f>
        <v>A</v>
      </c>
      <c r="G2497" s="4" t="str">
        <f aca="false">IFERROR(INDEX(Positions!$E$2:$E$6912,MATCH($A2497&amp;"|69",Positions!$A$2:$A$6912,0)),"-")</f>
        <v>U</v>
      </c>
      <c r="H2497" s="3" t="str">
        <f aca="false">F2497&amp;"-"&amp;G2497</f>
        <v>A-U</v>
      </c>
      <c r="I2497" s="4" t="n">
        <f aca="false">(F2497="G")+(G2497="G")</f>
        <v>0</v>
      </c>
      <c r="J2497" s="4" t="n">
        <f aca="false">(F2497="C")+(G2497="C")</f>
        <v>0</v>
      </c>
      <c r="K2497" s="3" t="n">
        <f aca="false">I2497+J2497</f>
        <v>0</v>
      </c>
    </row>
    <row r="2498" customFormat="false" ht="15" hidden="false" customHeight="false" outlineLevel="0" collapsed="false">
      <c r="A2498" s="4" t="s">
        <v>126</v>
      </c>
      <c r="B2498" s="4" t="s">
        <v>412</v>
      </c>
      <c r="C2498" s="4" t="s">
        <v>283</v>
      </c>
      <c r="D2498" s="4" t="n">
        <f aca="false">IFERROR(INDEX(Positions!$D$2:$D$6912,MATCH($A2498&amp;"|5",Positions!$A$2:$A$6912,0)),"-")</f>
        <v>5</v>
      </c>
      <c r="E2498" s="4" t="n">
        <f aca="false">IFERROR(INDEX(Positions!$D$2:$D$6912,MATCH($A2498&amp;"|68",Positions!$A$2:$A$6912,0)),"-")</f>
        <v>67</v>
      </c>
      <c r="F2498" s="4" t="str">
        <f aca="false">IFERROR(INDEX(Positions!$E$2:$E$6912,MATCH($A2498&amp;"|5",Positions!$A$2:$A$6912,0)),"-")</f>
        <v>G</v>
      </c>
      <c r="G2498" s="4" t="str">
        <f aca="false">IFERROR(INDEX(Positions!$E$2:$E$6912,MATCH($A2498&amp;"|68",Positions!$A$2:$A$6912,0)),"-")</f>
        <v>C</v>
      </c>
      <c r="H2498" s="3" t="str">
        <f aca="false">F2498&amp;"-"&amp;G2498</f>
        <v>G-C</v>
      </c>
      <c r="I2498" s="4" t="n">
        <f aca="false">(F2498="G")+(G2498="G")</f>
        <v>1</v>
      </c>
      <c r="J2498" s="4" t="n">
        <f aca="false">(F2498="C")+(G2498="C")</f>
        <v>1</v>
      </c>
      <c r="K2498" s="3" t="n">
        <f aca="false">I2498+J2498</f>
        <v>2</v>
      </c>
    </row>
    <row r="2499" customFormat="false" ht="15" hidden="false" customHeight="false" outlineLevel="0" collapsed="false">
      <c r="A2499" s="4" t="s">
        <v>126</v>
      </c>
      <c r="B2499" s="4" t="s">
        <v>412</v>
      </c>
      <c r="C2499" s="4" t="s">
        <v>520</v>
      </c>
      <c r="D2499" s="4" t="n">
        <f aca="false">IFERROR(INDEX(Positions!$D$2:$D$6912,MATCH($A2499&amp;"|6",Positions!$A$2:$A$6912,0)),"-")</f>
        <v>6</v>
      </c>
      <c r="E2499" s="4" t="n">
        <f aca="false">IFERROR(INDEX(Positions!$D$2:$D$6912,MATCH($A2499&amp;"|67",Positions!$A$2:$A$6912,0)),"-")</f>
        <v>66</v>
      </c>
      <c r="F2499" s="4" t="str">
        <f aca="false">IFERROR(INDEX(Positions!$E$2:$E$6912,MATCH($A2499&amp;"|6",Positions!$A$2:$A$6912,0)),"-")</f>
        <v>A</v>
      </c>
      <c r="G2499" s="4" t="str">
        <f aca="false">IFERROR(INDEX(Positions!$E$2:$E$6912,MATCH($A2499&amp;"|67",Positions!$A$2:$A$6912,0)),"-")</f>
        <v>U</v>
      </c>
      <c r="H2499" s="3" t="str">
        <f aca="false">F2499&amp;"-"&amp;G2499</f>
        <v>A-U</v>
      </c>
      <c r="I2499" s="4" t="n">
        <f aca="false">(F2499="G")+(G2499="G")</f>
        <v>0</v>
      </c>
      <c r="J2499" s="4" t="n">
        <f aca="false">(F2499="C")+(G2499="C")</f>
        <v>0</v>
      </c>
      <c r="K2499" s="3" t="n">
        <f aca="false">I2499+J2499</f>
        <v>0</v>
      </c>
    </row>
    <row r="2500" customFormat="false" ht="15" hidden="false" customHeight="false" outlineLevel="0" collapsed="false">
      <c r="A2500" s="4" t="s">
        <v>126</v>
      </c>
      <c r="B2500" s="4" t="s">
        <v>412</v>
      </c>
      <c r="C2500" s="4" t="s">
        <v>521</v>
      </c>
      <c r="D2500" s="4" t="n">
        <f aca="false">IFERROR(INDEX(Positions!$D$2:$D$6912,MATCH($A2500&amp;"|7",Positions!$A$2:$A$6912,0)),"-")</f>
        <v>7</v>
      </c>
      <c r="E2500" s="4" t="n">
        <f aca="false">IFERROR(INDEX(Positions!$D$2:$D$6912,MATCH($A2500&amp;"|66",Positions!$A$2:$A$6912,0)),"-")</f>
        <v>65</v>
      </c>
      <c r="F2500" s="4" t="str">
        <f aca="false">IFERROR(INDEX(Positions!$E$2:$E$6912,MATCH($A2500&amp;"|7",Positions!$A$2:$A$6912,0)),"-")</f>
        <v>G</v>
      </c>
      <c r="G2500" s="4" t="str">
        <f aca="false">IFERROR(INDEX(Positions!$E$2:$E$6912,MATCH($A2500&amp;"|66",Positions!$A$2:$A$6912,0)),"-")</f>
        <v>C</v>
      </c>
      <c r="H2500" s="3" t="str">
        <f aca="false">F2500&amp;"-"&amp;G2500</f>
        <v>G-C</v>
      </c>
      <c r="I2500" s="4" t="n">
        <f aca="false">(F2500="G")+(G2500="G")</f>
        <v>1</v>
      </c>
      <c r="J2500" s="4" t="n">
        <f aca="false">(F2500="C")+(G2500="C")</f>
        <v>1</v>
      </c>
      <c r="K2500" s="3" t="n">
        <f aca="false">I2500+J2500</f>
        <v>2</v>
      </c>
    </row>
    <row r="2501" customFormat="false" ht="15" hidden="false" customHeight="false" outlineLevel="0" collapsed="false">
      <c r="A2501" s="4" t="s">
        <v>126</v>
      </c>
      <c r="B2501" s="4" t="s">
        <v>425</v>
      </c>
      <c r="C2501" s="4" t="s">
        <v>522</v>
      </c>
      <c r="D2501" s="4" t="n">
        <f aca="false">IFERROR(INDEX(Positions!$D$2:$D$6912,MATCH($A2501&amp;"|10",Positions!$A$2:$A$6912,0)),"-")</f>
        <v>10</v>
      </c>
      <c r="E2501" s="4" t="n">
        <f aca="false">IFERROR(INDEX(Positions!$D$2:$D$6912,MATCH($A2501&amp;"|25",Positions!$A$2:$A$6912,0)),"-")</f>
        <v>24</v>
      </c>
      <c r="F2501" s="4" t="str">
        <f aca="false">IFERROR(INDEX(Positions!$E$2:$E$6912,MATCH($A2501&amp;"|10",Positions!$A$2:$A$6912,0)),"-")</f>
        <v>G</v>
      </c>
      <c r="G2501" s="4" t="str">
        <f aca="false">IFERROR(INDEX(Positions!$E$2:$E$6912,MATCH($A2501&amp;"|25",Positions!$A$2:$A$6912,0)),"-")</f>
        <v>U</v>
      </c>
      <c r="H2501" s="3" t="str">
        <f aca="false">F2501&amp;"-"&amp;G2501</f>
        <v>G-U</v>
      </c>
      <c r="I2501" s="4" t="n">
        <f aca="false">(F2501="G")+(G2501="G")</f>
        <v>1</v>
      </c>
      <c r="J2501" s="4" t="n">
        <f aca="false">(F2501="C")+(G2501="C")</f>
        <v>0</v>
      </c>
      <c r="K2501" s="3" t="n">
        <f aca="false">I2501+J2501</f>
        <v>1</v>
      </c>
    </row>
    <row r="2502" customFormat="false" ht="15" hidden="false" customHeight="false" outlineLevel="0" collapsed="false">
      <c r="A2502" s="4" t="s">
        <v>126</v>
      </c>
      <c r="B2502" s="4" t="s">
        <v>425</v>
      </c>
      <c r="C2502" s="4" t="s">
        <v>523</v>
      </c>
      <c r="D2502" s="4" t="n">
        <f aca="false">IFERROR(INDEX(Positions!$D$2:$D$6912,MATCH($A2502&amp;"|11",Positions!$A$2:$A$6912,0)),"-")</f>
        <v>11</v>
      </c>
      <c r="E2502" s="4" t="n">
        <f aca="false">IFERROR(INDEX(Positions!$D$2:$D$6912,MATCH($A2502&amp;"|24",Positions!$A$2:$A$6912,0)),"-")</f>
        <v>23</v>
      </c>
      <c r="F2502" s="4" t="str">
        <f aca="false">IFERROR(INDEX(Positions!$E$2:$E$6912,MATCH($A2502&amp;"|11",Positions!$A$2:$A$6912,0)),"-")</f>
        <v>C</v>
      </c>
      <c r="G2502" s="4" t="str">
        <f aca="false">IFERROR(INDEX(Positions!$E$2:$E$6912,MATCH($A2502&amp;"|24",Positions!$A$2:$A$6912,0)),"-")</f>
        <v>G</v>
      </c>
      <c r="H2502" s="3" t="str">
        <f aca="false">F2502&amp;"-"&amp;G2502</f>
        <v>C-G</v>
      </c>
      <c r="I2502" s="4" t="n">
        <f aca="false">(F2502="G")+(G2502="G")</f>
        <v>1</v>
      </c>
      <c r="J2502" s="4" t="n">
        <f aca="false">(F2502="C")+(G2502="C")</f>
        <v>1</v>
      </c>
      <c r="K2502" s="3" t="n">
        <f aca="false">I2502+J2502</f>
        <v>2</v>
      </c>
    </row>
    <row r="2503" customFormat="false" ht="15" hidden="false" customHeight="false" outlineLevel="0" collapsed="false">
      <c r="A2503" s="4" t="s">
        <v>126</v>
      </c>
      <c r="B2503" s="4" t="s">
        <v>425</v>
      </c>
      <c r="C2503" s="4" t="s">
        <v>250</v>
      </c>
      <c r="D2503" s="4" t="n">
        <f aca="false">IFERROR(INDEX(Positions!$D$2:$D$6912,MATCH($A2503&amp;"|12",Positions!$A$2:$A$6912,0)),"-")</f>
        <v>12</v>
      </c>
      <c r="E2503" s="4" t="n">
        <f aca="false">IFERROR(INDEX(Positions!$D$2:$D$6912,MATCH($A2503&amp;"|23",Positions!$A$2:$A$6912,0)),"-")</f>
        <v>22</v>
      </c>
      <c r="F2503" s="4" t="str">
        <f aca="false">IFERROR(INDEX(Positions!$E$2:$E$6912,MATCH($A2503&amp;"|12",Positions!$A$2:$A$6912,0)),"-")</f>
        <v>G</v>
      </c>
      <c r="G2503" s="4" t="str">
        <f aca="false">IFERROR(INDEX(Positions!$E$2:$E$6912,MATCH($A2503&amp;"|23",Positions!$A$2:$A$6912,0)),"-")</f>
        <v>C</v>
      </c>
      <c r="H2503" s="3" t="str">
        <f aca="false">F2503&amp;"-"&amp;G2503</f>
        <v>G-C</v>
      </c>
      <c r="I2503" s="4" t="n">
        <f aca="false">(F2503="G")+(G2503="G")</f>
        <v>1</v>
      </c>
      <c r="J2503" s="4" t="n">
        <f aca="false">(F2503="C")+(G2503="C")</f>
        <v>1</v>
      </c>
      <c r="K2503" s="3" t="n">
        <f aca="false">I2503+J2503</f>
        <v>2</v>
      </c>
    </row>
    <row r="2504" customFormat="false" ht="15" hidden="false" customHeight="false" outlineLevel="0" collapsed="false">
      <c r="A2504" s="4" t="s">
        <v>126</v>
      </c>
      <c r="B2504" s="4" t="s">
        <v>425</v>
      </c>
      <c r="C2504" s="4" t="s">
        <v>154</v>
      </c>
      <c r="D2504" s="4" t="n">
        <f aca="false">IFERROR(INDEX(Positions!$D$2:$D$6912,MATCH($A2504&amp;"|13",Positions!$A$2:$A$6912,0)),"-")</f>
        <v>13</v>
      </c>
      <c r="E2504" s="4" t="n">
        <f aca="false">IFERROR(INDEX(Positions!$D$2:$D$6912,MATCH($A2504&amp;"|22",Positions!$A$2:$A$6912,0)),"-")</f>
        <v>21</v>
      </c>
      <c r="F2504" s="4" t="str">
        <f aca="false">IFERROR(INDEX(Positions!$E$2:$E$6912,MATCH($A2504&amp;"|13",Positions!$A$2:$A$6912,0)),"-")</f>
        <v>C</v>
      </c>
      <c r="G2504" s="4" t="str">
        <f aca="false">IFERROR(INDEX(Positions!$E$2:$E$6912,MATCH($A2504&amp;"|22",Positions!$A$2:$A$6912,0)),"-")</f>
        <v>G</v>
      </c>
      <c r="H2504" s="3" t="str">
        <f aca="false">F2504&amp;"-"&amp;G2504</f>
        <v>C-G</v>
      </c>
      <c r="I2504" s="4" t="n">
        <f aca="false">(F2504="G")+(G2504="G")</f>
        <v>1</v>
      </c>
      <c r="J2504" s="4" t="n">
        <f aca="false">(F2504="C")+(G2504="C")</f>
        <v>1</v>
      </c>
      <c r="K2504" s="3" t="n">
        <f aca="false">I2504+J2504</f>
        <v>2</v>
      </c>
    </row>
    <row r="2505" customFormat="false" ht="15" hidden="false" customHeight="false" outlineLevel="0" collapsed="false">
      <c r="A2505" s="4" t="s">
        <v>126</v>
      </c>
      <c r="B2505" s="4" t="s">
        <v>446</v>
      </c>
      <c r="C2505" s="4" t="s">
        <v>524</v>
      </c>
      <c r="D2505" s="4" t="n">
        <f aca="false">IFERROR(INDEX(Positions!$D$2:$D$6912,MATCH($A2505&amp;"|27",Positions!$A$2:$A$6912,0)),"-")</f>
        <v>26</v>
      </c>
      <c r="E2505" s="4" t="n">
        <f aca="false">IFERROR(INDEX(Positions!$D$2:$D$6912,MATCH($A2505&amp;"|43",Positions!$A$2:$A$6912,0)),"-")</f>
        <v>42</v>
      </c>
      <c r="F2505" s="4" t="str">
        <f aca="false">IFERROR(INDEX(Positions!$E$2:$E$6912,MATCH($A2505&amp;"|27",Positions!$A$2:$A$6912,0)),"-")</f>
        <v>C</v>
      </c>
      <c r="G2505" s="4" t="str">
        <f aca="false">IFERROR(INDEX(Positions!$E$2:$E$6912,MATCH($A2505&amp;"|43",Positions!$A$2:$A$6912,0)),"-")</f>
        <v>G</v>
      </c>
      <c r="H2505" s="3" t="str">
        <f aca="false">F2505&amp;"-"&amp;G2505</f>
        <v>C-G</v>
      </c>
      <c r="I2505" s="4" t="n">
        <f aca="false">(F2505="G")+(G2505="G")</f>
        <v>1</v>
      </c>
      <c r="J2505" s="4" t="n">
        <f aca="false">(F2505="C")+(G2505="C")</f>
        <v>1</v>
      </c>
      <c r="K2505" s="3" t="n">
        <f aca="false">I2505+J2505</f>
        <v>2</v>
      </c>
    </row>
    <row r="2506" customFormat="false" ht="15" hidden="false" customHeight="false" outlineLevel="0" collapsed="false">
      <c r="A2506" s="4" t="s">
        <v>126</v>
      </c>
      <c r="B2506" s="4" t="s">
        <v>446</v>
      </c>
      <c r="C2506" s="4" t="s">
        <v>525</v>
      </c>
      <c r="D2506" s="4" t="n">
        <f aca="false">IFERROR(INDEX(Positions!$D$2:$D$6912,MATCH($A2506&amp;"|28",Positions!$A$2:$A$6912,0)),"-")</f>
        <v>27</v>
      </c>
      <c r="E2506" s="4" t="n">
        <f aca="false">IFERROR(INDEX(Positions!$D$2:$D$6912,MATCH($A2506&amp;"|42",Positions!$A$2:$A$6912,0)),"-")</f>
        <v>41</v>
      </c>
      <c r="F2506" s="4" t="str">
        <f aca="false">IFERROR(INDEX(Positions!$E$2:$E$6912,MATCH($A2506&amp;"|28",Positions!$A$2:$A$6912,0)),"-")</f>
        <v>U</v>
      </c>
      <c r="G2506" s="4" t="str">
        <f aca="false">IFERROR(INDEX(Positions!$E$2:$E$6912,MATCH($A2506&amp;"|42",Positions!$A$2:$A$6912,0)),"-")</f>
        <v>A</v>
      </c>
      <c r="H2506" s="3" t="str">
        <f aca="false">F2506&amp;"-"&amp;G2506</f>
        <v>U-A</v>
      </c>
      <c r="I2506" s="4" t="n">
        <f aca="false">(F2506="G")+(G2506="G")</f>
        <v>0</v>
      </c>
      <c r="J2506" s="4" t="n">
        <f aca="false">(F2506="C")+(G2506="C")</f>
        <v>0</v>
      </c>
      <c r="K2506" s="3" t="n">
        <f aca="false">I2506+J2506</f>
        <v>0</v>
      </c>
    </row>
    <row r="2507" customFormat="false" ht="15" hidden="false" customHeight="false" outlineLevel="0" collapsed="false">
      <c r="A2507" s="4" t="s">
        <v>126</v>
      </c>
      <c r="B2507" s="4" t="s">
        <v>446</v>
      </c>
      <c r="C2507" s="4" t="s">
        <v>256</v>
      </c>
      <c r="D2507" s="4" t="n">
        <f aca="false">IFERROR(INDEX(Positions!$D$2:$D$6912,MATCH($A2507&amp;"|29",Positions!$A$2:$A$6912,0)),"-")</f>
        <v>28</v>
      </c>
      <c r="E2507" s="4" t="n">
        <f aca="false">IFERROR(INDEX(Positions!$D$2:$D$6912,MATCH($A2507&amp;"|41",Positions!$A$2:$A$6912,0)),"-")</f>
        <v>40</v>
      </c>
      <c r="F2507" s="4" t="str">
        <f aca="false">IFERROR(INDEX(Positions!$E$2:$E$6912,MATCH($A2507&amp;"|29",Positions!$A$2:$A$6912,0)),"-")</f>
        <v>G</v>
      </c>
      <c r="G2507" s="4" t="str">
        <f aca="false">IFERROR(INDEX(Positions!$E$2:$E$6912,MATCH($A2507&amp;"|41",Positions!$A$2:$A$6912,0)),"-")</f>
        <v>C</v>
      </c>
      <c r="H2507" s="3" t="str">
        <f aca="false">F2507&amp;"-"&amp;G2507</f>
        <v>G-C</v>
      </c>
      <c r="I2507" s="4" t="n">
        <f aca="false">(F2507="G")+(G2507="G")</f>
        <v>1</v>
      </c>
      <c r="J2507" s="4" t="n">
        <f aca="false">(F2507="C")+(G2507="C")</f>
        <v>1</v>
      </c>
      <c r="K2507" s="3" t="n">
        <f aca="false">I2507+J2507</f>
        <v>2</v>
      </c>
    </row>
    <row r="2508" customFormat="false" ht="15" hidden="false" customHeight="false" outlineLevel="0" collapsed="false">
      <c r="A2508" s="4" t="s">
        <v>126</v>
      </c>
      <c r="B2508" s="4" t="s">
        <v>446</v>
      </c>
      <c r="C2508" s="4" t="s">
        <v>526</v>
      </c>
      <c r="D2508" s="4" t="n">
        <f aca="false">IFERROR(INDEX(Positions!$D$2:$D$6912,MATCH($A2508&amp;"|30",Positions!$A$2:$A$6912,0)),"-")</f>
        <v>29</v>
      </c>
      <c r="E2508" s="4" t="n">
        <f aca="false">IFERROR(INDEX(Positions!$D$2:$D$6912,MATCH($A2508&amp;"|40",Positions!$A$2:$A$6912,0)),"-")</f>
        <v>39</v>
      </c>
      <c r="F2508" s="4" t="str">
        <f aca="false">IFERROR(INDEX(Positions!$E$2:$E$6912,MATCH($A2508&amp;"|30",Positions!$A$2:$A$6912,0)),"-")</f>
        <v>G</v>
      </c>
      <c r="G2508" s="4" t="str">
        <f aca="false">IFERROR(INDEX(Positions!$E$2:$E$6912,MATCH($A2508&amp;"|40",Positions!$A$2:$A$6912,0)),"-")</f>
        <v>C</v>
      </c>
      <c r="H2508" s="3" t="str">
        <f aca="false">F2508&amp;"-"&amp;G2508</f>
        <v>G-C</v>
      </c>
      <c r="I2508" s="4" t="n">
        <f aca="false">(F2508="G")+(G2508="G")</f>
        <v>1</v>
      </c>
      <c r="J2508" s="4" t="n">
        <f aca="false">(F2508="C")+(G2508="C")</f>
        <v>1</v>
      </c>
      <c r="K2508" s="3" t="n">
        <f aca="false">I2508+J2508</f>
        <v>2</v>
      </c>
    </row>
    <row r="2509" customFormat="false" ht="15" hidden="false" customHeight="false" outlineLevel="0" collapsed="false">
      <c r="A2509" s="4" t="s">
        <v>126</v>
      </c>
      <c r="B2509" s="4" t="s">
        <v>446</v>
      </c>
      <c r="C2509" s="4" t="s">
        <v>273</v>
      </c>
      <c r="D2509" s="4" t="n">
        <f aca="false">IFERROR(INDEX(Positions!$D$2:$D$6912,MATCH($A2509&amp;"|31",Positions!$A$2:$A$6912,0)),"-")</f>
        <v>30</v>
      </c>
      <c r="E2509" s="4" t="n">
        <f aca="false">IFERROR(INDEX(Positions!$D$2:$D$6912,MATCH($A2509&amp;"|39",Positions!$A$2:$A$6912,0)),"-")</f>
        <v>38</v>
      </c>
      <c r="F2509" s="4" t="str">
        <f aca="false">IFERROR(INDEX(Positions!$E$2:$E$6912,MATCH($A2509&amp;"|31",Positions!$A$2:$A$6912,0)),"-")</f>
        <v>G</v>
      </c>
      <c r="G2509" s="4" t="str">
        <f aca="false">IFERROR(INDEX(Positions!$E$2:$E$6912,MATCH($A2509&amp;"|39",Positions!$A$2:$A$6912,0)),"-")</f>
        <v>C</v>
      </c>
      <c r="H2509" s="3" t="str">
        <f aca="false">F2509&amp;"-"&amp;G2509</f>
        <v>G-C</v>
      </c>
      <c r="I2509" s="4" t="n">
        <f aca="false">(F2509="G")+(G2509="G")</f>
        <v>1</v>
      </c>
      <c r="J2509" s="4" t="n">
        <f aca="false">(F2509="C")+(G2509="C")</f>
        <v>1</v>
      </c>
      <c r="K2509" s="3" t="n">
        <f aca="false">I2509+J2509</f>
        <v>2</v>
      </c>
    </row>
    <row r="2510" customFormat="false" ht="15" hidden="false" customHeight="false" outlineLevel="0" collapsed="false">
      <c r="A2510" s="4" t="s">
        <v>126</v>
      </c>
      <c r="B2510" s="4" t="s">
        <v>471</v>
      </c>
      <c r="C2510" s="4" t="s">
        <v>367</v>
      </c>
      <c r="D2510" s="4" t="n">
        <f aca="false">IFERROR(INDEX(Positions!$D$2:$D$6912,MATCH($A2510&amp;"|49",Positions!$A$2:$A$6912,0)),"-")</f>
        <v>48</v>
      </c>
      <c r="E2510" s="4" t="n">
        <f aca="false">IFERROR(INDEX(Positions!$D$2:$D$6912,MATCH($A2510&amp;"|65",Positions!$A$2:$A$6912,0)),"-")</f>
        <v>64</v>
      </c>
      <c r="F2510" s="4" t="str">
        <f aca="false">IFERROR(INDEX(Positions!$E$2:$E$6912,MATCH($A2510&amp;"|49",Positions!$A$2:$A$6912,0)),"-")</f>
        <v>G</v>
      </c>
      <c r="G2510" s="4" t="str">
        <f aca="false">IFERROR(INDEX(Positions!$E$2:$E$6912,MATCH($A2510&amp;"|65",Positions!$A$2:$A$6912,0)),"-")</f>
        <v>C</v>
      </c>
      <c r="H2510" s="3" t="str">
        <f aca="false">F2510&amp;"-"&amp;G2510</f>
        <v>G-C</v>
      </c>
      <c r="I2510" s="4" t="n">
        <f aca="false">(F2510="G")+(G2510="G")</f>
        <v>1</v>
      </c>
      <c r="J2510" s="4" t="n">
        <f aca="false">(F2510="C")+(G2510="C")</f>
        <v>1</v>
      </c>
      <c r="K2510" s="3" t="n">
        <f aca="false">I2510+J2510</f>
        <v>2</v>
      </c>
    </row>
    <row r="2511" customFormat="false" ht="15" hidden="false" customHeight="false" outlineLevel="0" collapsed="false">
      <c r="A2511" s="4" t="s">
        <v>126</v>
      </c>
      <c r="B2511" s="4" t="s">
        <v>471</v>
      </c>
      <c r="C2511" s="4" t="s">
        <v>233</v>
      </c>
      <c r="D2511" s="4" t="n">
        <f aca="false">IFERROR(INDEX(Positions!$D$2:$D$6912,MATCH($A2511&amp;"|50",Positions!$A$2:$A$6912,0)),"-")</f>
        <v>49</v>
      </c>
      <c r="E2511" s="4" t="n">
        <f aca="false">IFERROR(INDEX(Positions!$D$2:$D$6912,MATCH($A2511&amp;"|64",Positions!$A$2:$A$6912,0)),"-")</f>
        <v>63</v>
      </c>
      <c r="F2511" s="4" t="str">
        <f aca="false">IFERROR(INDEX(Positions!$E$2:$E$6912,MATCH($A2511&amp;"|50",Positions!$A$2:$A$6912,0)),"-")</f>
        <v>A</v>
      </c>
      <c r="G2511" s="4" t="str">
        <f aca="false">IFERROR(INDEX(Positions!$E$2:$E$6912,MATCH($A2511&amp;"|64",Positions!$A$2:$A$6912,0)),"-")</f>
        <v>U</v>
      </c>
      <c r="H2511" s="3" t="str">
        <f aca="false">F2511&amp;"-"&amp;G2511</f>
        <v>A-U</v>
      </c>
      <c r="I2511" s="4" t="n">
        <f aca="false">(F2511="G")+(G2511="G")</f>
        <v>0</v>
      </c>
      <c r="J2511" s="4" t="n">
        <f aca="false">(F2511="C")+(G2511="C")</f>
        <v>0</v>
      </c>
      <c r="K2511" s="3" t="n">
        <f aca="false">I2511+J2511</f>
        <v>0</v>
      </c>
    </row>
    <row r="2512" customFormat="false" ht="15" hidden="false" customHeight="false" outlineLevel="0" collapsed="false">
      <c r="A2512" s="4" t="s">
        <v>126</v>
      </c>
      <c r="B2512" s="4" t="s">
        <v>471</v>
      </c>
      <c r="C2512" s="4" t="s">
        <v>527</v>
      </c>
      <c r="D2512" s="4" t="n">
        <f aca="false">IFERROR(INDEX(Positions!$D$2:$D$6912,MATCH($A2512&amp;"|51",Positions!$A$2:$A$6912,0)),"-")</f>
        <v>50</v>
      </c>
      <c r="E2512" s="4" t="n">
        <f aca="false">IFERROR(INDEX(Positions!$D$2:$D$6912,MATCH($A2512&amp;"|63",Positions!$A$2:$A$6912,0)),"-")</f>
        <v>62</v>
      </c>
      <c r="F2512" s="4" t="str">
        <f aca="false">IFERROR(INDEX(Positions!$E$2:$E$6912,MATCH($A2512&amp;"|51",Positions!$A$2:$A$6912,0)),"-")</f>
        <v>U</v>
      </c>
      <c r="G2512" s="4" t="str">
        <f aca="false">IFERROR(INDEX(Positions!$E$2:$E$6912,MATCH($A2512&amp;"|63",Positions!$A$2:$A$6912,0)),"-")</f>
        <v>A</v>
      </c>
      <c r="H2512" s="3" t="str">
        <f aca="false">F2512&amp;"-"&amp;G2512</f>
        <v>U-A</v>
      </c>
      <c r="I2512" s="4" t="n">
        <f aca="false">(F2512="G")+(G2512="G")</f>
        <v>0</v>
      </c>
      <c r="J2512" s="4" t="n">
        <f aca="false">(F2512="C")+(G2512="C")</f>
        <v>0</v>
      </c>
      <c r="K2512" s="3" t="n">
        <f aca="false">I2512+J2512</f>
        <v>0</v>
      </c>
    </row>
    <row r="2513" customFormat="false" ht="15" hidden="false" customHeight="false" outlineLevel="0" collapsed="false">
      <c r="A2513" s="4" t="s">
        <v>126</v>
      </c>
      <c r="B2513" s="4" t="s">
        <v>471</v>
      </c>
      <c r="C2513" s="4" t="s">
        <v>528</v>
      </c>
      <c r="D2513" s="4" t="n">
        <f aca="false">IFERROR(INDEX(Positions!$D$2:$D$6912,MATCH($A2513&amp;"|52",Positions!$A$2:$A$6912,0)),"-")</f>
        <v>51</v>
      </c>
      <c r="E2513" s="4" t="n">
        <f aca="false">IFERROR(INDEX(Positions!$D$2:$D$6912,MATCH($A2513&amp;"|62",Positions!$A$2:$A$6912,0)),"-")</f>
        <v>61</v>
      </c>
      <c r="F2513" s="4" t="str">
        <f aca="false">IFERROR(INDEX(Positions!$E$2:$E$6912,MATCH($A2513&amp;"|52",Positions!$A$2:$A$6912,0)),"-")</f>
        <v>G</v>
      </c>
      <c r="G2513" s="4" t="str">
        <f aca="false">IFERROR(INDEX(Positions!$E$2:$E$6912,MATCH($A2513&amp;"|62",Positions!$A$2:$A$6912,0)),"-")</f>
        <v>C</v>
      </c>
      <c r="H2513" s="3" t="str">
        <f aca="false">F2513&amp;"-"&amp;G2513</f>
        <v>G-C</v>
      </c>
      <c r="I2513" s="4" t="n">
        <f aca="false">(F2513="G")+(G2513="G")</f>
        <v>1</v>
      </c>
      <c r="J2513" s="4" t="n">
        <f aca="false">(F2513="C")+(G2513="C")</f>
        <v>1</v>
      </c>
      <c r="K2513" s="3" t="n">
        <f aca="false">I2513+J2513</f>
        <v>2</v>
      </c>
    </row>
    <row r="2514" customFormat="false" ht="15" hidden="false" customHeight="false" outlineLevel="0" collapsed="false">
      <c r="A2514" s="4" t="s">
        <v>126</v>
      </c>
      <c r="B2514" s="4" t="s">
        <v>471</v>
      </c>
      <c r="C2514" s="4" t="s">
        <v>529</v>
      </c>
      <c r="D2514" s="4" t="n">
        <f aca="false">IFERROR(INDEX(Positions!$D$2:$D$6912,MATCH($A2514&amp;"|53",Positions!$A$2:$A$6912,0)),"-")</f>
        <v>52</v>
      </c>
      <c r="E2514" s="4" t="n">
        <f aca="false">IFERROR(INDEX(Positions!$D$2:$D$6912,MATCH($A2514&amp;"|61",Positions!$A$2:$A$6912,0)),"-")</f>
        <v>60</v>
      </c>
      <c r="F2514" s="4" t="str">
        <f aca="false">IFERROR(INDEX(Positions!$E$2:$E$6912,MATCH($A2514&amp;"|53",Positions!$A$2:$A$6912,0)),"-")</f>
        <v>G</v>
      </c>
      <c r="G2514" s="4" t="str">
        <f aca="false">IFERROR(INDEX(Positions!$E$2:$E$6912,MATCH($A2514&amp;"|61",Positions!$A$2:$A$6912,0)),"-")</f>
        <v>C</v>
      </c>
      <c r="H2514" s="3" t="str">
        <f aca="false">F2514&amp;"-"&amp;G2514</f>
        <v>G-C</v>
      </c>
      <c r="I2514" s="4" t="n">
        <f aca="false">(F2514="G")+(G2514="G")</f>
        <v>1</v>
      </c>
      <c r="J2514" s="4" t="n">
        <f aca="false">(F2514="C")+(G2514="C")</f>
        <v>1</v>
      </c>
      <c r="K2514" s="3" t="n">
        <f aca="false">I2514+J2514</f>
        <v>2</v>
      </c>
    </row>
    <row r="2515" customFormat="false" ht="15" hidden="false" customHeight="false" outlineLevel="0" collapsed="false">
      <c r="A2515" s="24" t="s">
        <v>126</v>
      </c>
      <c r="B2515" s="24" t="s">
        <v>530</v>
      </c>
      <c r="C2515" s="24" t="s">
        <v>531</v>
      </c>
      <c r="D2515" s="24" t="n">
        <f aca="false">IFERROR(INDEX(Positions!$D$2:$D$6912,MATCH($A2515&amp;"|8",Positions!$A$2:$A$6912,0)),"-")</f>
        <v>8</v>
      </c>
      <c r="E2515" s="24" t="n">
        <f aca="false">IFERROR(INDEX(Positions!$D$2:$D$6912,MATCH($A2515&amp;"|14",Positions!$A$2:$A$6912,0)),"-")</f>
        <v>14</v>
      </c>
      <c r="F2515" s="24" t="str">
        <f aca="false">IFERROR(INDEX(Positions!$E$2:$E$6912,MATCH($A2515&amp;"|8",Positions!$A$2:$A$6912,0)),"-")</f>
        <v>U</v>
      </c>
      <c r="G2515" s="24" t="str">
        <f aca="false">IFERROR(INDEX(Positions!$E$2:$E$6912,MATCH($A2515&amp;"|14",Positions!$A$2:$A$6912,0)),"-")</f>
        <v>A</v>
      </c>
      <c r="H2515" s="25" t="str">
        <f aca="false">F2515&amp;"-"&amp;G2515</f>
        <v>U-A</v>
      </c>
      <c r="I2515" s="24" t="n">
        <f aca="false">(F2515="G")+(G2515="G")</f>
        <v>0</v>
      </c>
      <c r="J2515" s="24" t="n">
        <f aca="false">(F2515="C")+(G2515="C")</f>
        <v>0</v>
      </c>
      <c r="K2515" s="25" t="n">
        <f aca="false">I2515+J2515</f>
        <v>0</v>
      </c>
    </row>
    <row r="2516" customFormat="false" ht="15" hidden="false" customHeight="false" outlineLevel="0" collapsed="false">
      <c r="A2516" s="24" t="s">
        <v>126</v>
      </c>
      <c r="B2516" s="24" t="s">
        <v>530</v>
      </c>
      <c r="C2516" s="24" t="s">
        <v>532</v>
      </c>
      <c r="D2516" s="24" t="n">
        <f aca="false">IFERROR(INDEX(Positions!$D$2:$D$6912,MATCH($A2516&amp;"|15",Positions!$A$2:$A$6912,0)),"-")</f>
        <v>15</v>
      </c>
      <c r="E2516" s="24" t="n">
        <f aca="false">IFERROR(INDEX(Positions!$D$2:$D$6912,MATCH($A2516&amp;"|48",Positions!$A$2:$A$6912,0)),"-")</f>
        <v>47</v>
      </c>
      <c r="F2516" s="24" t="str">
        <f aca="false">IFERROR(INDEX(Positions!$E$2:$E$6912,MATCH($A2516&amp;"|15",Positions!$A$2:$A$6912,0)),"-")</f>
        <v>G</v>
      </c>
      <c r="G2516" s="24" t="str">
        <f aca="false">IFERROR(INDEX(Positions!$E$2:$E$6912,MATCH($A2516&amp;"|48",Positions!$A$2:$A$6912,0)),"-")</f>
        <v>C</v>
      </c>
      <c r="H2516" s="25" t="str">
        <f aca="false">F2516&amp;"-"&amp;G2516</f>
        <v>G-C</v>
      </c>
      <c r="I2516" s="24" t="n">
        <f aca="false">(F2516="G")+(G2516="G")</f>
        <v>1</v>
      </c>
      <c r="J2516" s="24" t="n">
        <f aca="false">(F2516="C")+(G2516="C")</f>
        <v>1</v>
      </c>
      <c r="K2516" s="25" t="n">
        <f aca="false">I2516+J2516</f>
        <v>2</v>
      </c>
    </row>
    <row r="2517" customFormat="false" ht="15" hidden="false" customHeight="false" outlineLevel="0" collapsed="false">
      <c r="A2517" s="24" t="s">
        <v>126</v>
      </c>
      <c r="B2517" s="24" t="s">
        <v>530</v>
      </c>
      <c r="C2517" s="24" t="s">
        <v>533</v>
      </c>
      <c r="D2517" s="24" t="n">
        <f aca="false">IFERROR(INDEX(Positions!$D$2:$D$6912,MATCH($A2517&amp;"|18",Positions!$A$2:$A$6912,0)),"-")</f>
        <v>17</v>
      </c>
      <c r="E2517" s="24" t="n">
        <f aca="false">IFERROR(INDEX(Positions!$D$2:$D$6912,MATCH($A2517&amp;"|55",Positions!$A$2:$A$6912,0)),"-")</f>
        <v>54</v>
      </c>
      <c r="F2517" s="24" t="str">
        <f aca="false">IFERROR(INDEX(Positions!$E$2:$E$6912,MATCH($A2517&amp;"|18",Positions!$A$2:$A$6912,0)),"-")</f>
        <v>G</v>
      </c>
      <c r="G2517" s="24" t="str">
        <f aca="false">IFERROR(INDEX(Positions!$E$2:$E$6912,MATCH($A2517&amp;"|55",Positions!$A$2:$A$6912,0)),"-")</f>
        <v>U</v>
      </c>
      <c r="H2517" s="25" t="str">
        <f aca="false">F2517&amp;"-"&amp;G2517</f>
        <v>G-U</v>
      </c>
      <c r="I2517" s="24" t="n">
        <f aca="false">(F2517="G")+(G2517="G")</f>
        <v>1</v>
      </c>
      <c r="J2517" s="24" t="n">
        <f aca="false">(F2517="C")+(G2517="C")</f>
        <v>0</v>
      </c>
      <c r="K2517" s="25" t="n">
        <f aca="false">I2517+J2517</f>
        <v>1</v>
      </c>
    </row>
    <row r="2518" customFormat="false" ht="15" hidden="false" customHeight="false" outlineLevel="0" collapsed="false">
      <c r="A2518" s="24" t="s">
        <v>126</v>
      </c>
      <c r="B2518" s="24" t="s">
        <v>530</v>
      </c>
      <c r="C2518" s="24" t="s">
        <v>534</v>
      </c>
      <c r="D2518" s="24" t="n">
        <f aca="false">IFERROR(INDEX(Positions!$D$2:$D$6912,MATCH($A2518&amp;"|19",Positions!$A$2:$A$6912,0)),"-")</f>
        <v>18</v>
      </c>
      <c r="E2518" s="24" t="n">
        <f aca="false">IFERROR(INDEX(Positions!$D$2:$D$6912,MATCH($A2518&amp;"|56",Positions!$A$2:$A$6912,0)),"-")</f>
        <v>55</v>
      </c>
      <c r="F2518" s="24" t="str">
        <f aca="false">IFERROR(INDEX(Positions!$E$2:$E$6912,MATCH($A2518&amp;"|19",Positions!$A$2:$A$6912,0)),"-")</f>
        <v>G</v>
      </c>
      <c r="G2518" s="24" t="str">
        <f aca="false">IFERROR(INDEX(Positions!$E$2:$E$6912,MATCH($A2518&amp;"|56",Positions!$A$2:$A$6912,0)),"-")</f>
        <v>C</v>
      </c>
      <c r="H2518" s="25" t="str">
        <f aca="false">F2518&amp;"-"&amp;G2518</f>
        <v>G-C</v>
      </c>
      <c r="I2518" s="24" t="n">
        <f aca="false">(F2518="G")+(G2518="G")</f>
        <v>1</v>
      </c>
      <c r="J2518" s="24" t="n">
        <f aca="false">(F2518="C")+(G2518="C")</f>
        <v>1</v>
      </c>
      <c r="K2518" s="25" t="n">
        <f aca="false">I2518+J2518</f>
        <v>2</v>
      </c>
    </row>
    <row r="2519" customFormat="false" ht="15" hidden="false" customHeight="false" outlineLevel="0" collapsed="false">
      <c r="A2519" s="24" t="s">
        <v>126</v>
      </c>
      <c r="B2519" s="24" t="s">
        <v>530</v>
      </c>
      <c r="C2519" s="24" t="s">
        <v>535</v>
      </c>
      <c r="D2519" s="24" t="n">
        <f aca="false">IFERROR(INDEX(Positions!$D$2:$D$6912,MATCH($A2519&amp;"|26",Positions!$A$2:$A$6912,0)),"-")</f>
        <v>25</v>
      </c>
      <c r="E2519" s="24" t="n">
        <f aca="false">IFERROR(INDEX(Positions!$D$2:$D$6912,MATCH($A2519&amp;"|44",Positions!$A$2:$A$6912,0)),"-")</f>
        <v>43</v>
      </c>
      <c r="F2519" s="24" t="str">
        <f aca="false">IFERROR(INDEX(Positions!$E$2:$E$6912,MATCH($A2519&amp;"|26",Positions!$A$2:$A$6912,0)),"-")</f>
        <v>G</v>
      </c>
      <c r="G2519" s="24" t="str">
        <f aca="false">IFERROR(INDEX(Positions!$E$2:$E$6912,MATCH($A2519&amp;"|44",Positions!$A$2:$A$6912,0)),"-")</f>
        <v>A</v>
      </c>
      <c r="H2519" s="25" t="str">
        <f aca="false">F2519&amp;"-"&amp;G2519</f>
        <v>G-A</v>
      </c>
      <c r="I2519" s="24" t="n">
        <f aca="false">(F2519="G")+(G2519="G")</f>
        <v>1</v>
      </c>
      <c r="J2519" s="24" t="n">
        <f aca="false">(F2519="C")+(G2519="C")</f>
        <v>0</v>
      </c>
      <c r="K2519" s="25" t="n">
        <f aca="false">I2519+J2519</f>
        <v>1</v>
      </c>
    </row>
    <row r="2520" customFormat="false" ht="15" hidden="false" customHeight="false" outlineLevel="0" collapsed="false">
      <c r="A2520" s="24" t="s">
        <v>126</v>
      </c>
      <c r="B2520" s="24" t="s">
        <v>530</v>
      </c>
      <c r="C2520" s="24" t="s">
        <v>536</v>
      </c>
      <c r="D2520" s="24" t="n">
        <f aca="false">IFERROR(INDEX(Positions!$D$2:$D$6912,MATCH($A2520&amp;"|32",Positions!$A$2:$A$6912,0)),"-")</f>
        <v>31</v>
      </c>
      <c r="E2520" s="24" t="n">
        <f aca="false">IFERROR(INDEX(Positions!$D$2:$D$6912,MATCH($A2520&amp;"|38",Positions!$A$2:$A$6912,0)),"-")</f>
        <v>37</v>
      </c>
      <c r="F2520" s="24" t="str">
        <f aca="false">IFERROR(INDEX(Positions!$E$2:$E$6912,MATCH($A2520&amp;"|32",Positions!$A$2:$A$6912,0)),"-")</f>
        <v>C</v>
      </c>
      <c r="G2520" s="24" t="str">
        <f aca="false">IFERROR(INDEX(Positions!$E$2:$E$6912,MATCH($A2520&amp;"|38",Positions!$A$2:$A$6912,0)),"-")</f>
        <v>A</v>
      </c>
      <c r="H2520" s="25" t="str">
        <f aca="false">F2520&amp;"-"&amp;G2520</f>
        <v>C-A</v>
      </c>
      <c r="I2520" s="24" t="n">
        <f aca="false">(F2520="G")+(G2520="G")</f>
        <v>0</v>
      </c>
      <c r="J2520" s="24" t="n">
        <f aca="false">(F2520="C")+(G2520="C")</f>
        <v>1</v>
      </c>
      <c r="K2520" s="25" t="n">
        <f aca="false">I2520+J2520</f>
        <v>1</v>
      </c>
    </row>
    <row r="2521" customFormat="false" ht="15" hidden="false" customHeight="false" outlineLevel="0" collapsed="false">
      <c r="A2521" s="24" t="s">
        <v>126</v>
      </c>
      <c r="B2521" s="24" t="s">
        <v>530</v>
      </c>
      <c r="C2521" s="24" t="s">
        <v>537</v>
      </c>
      <c r="D2521" s="24" t="n">
        <f aca="false">IFERROR(INDEX(Positions!$D$2:$D$6912,MATCH($A2521&amp;"|54",Positions!$A$2:$A$6912,0)),"-")</f>
        <v>53</v>
      </c>
      <c r="E2521" s="24" t="n">
        <f aca="false">IFERROR(INDEX(Positions!$D$2:$D$6912,MATCH($A2521&amp;"|58",Positions!$A$2:$A$6912,0)),"-")</f>
        <v>57</v>
      </c>
      <c r="F2521" s="24" t="str">
        <f aca="false">IFERROR(INDEX(Positions!$E$2:$E$6912,MATCH($A2521&amp;"|54",Positions!$A$2:$A$6912,0)),"-")</f>
        <v>A</v>
      </c>
      <c r="G2521" s="24" t="str">
        <f aca="false">IFERROR(INDEX(Positions!$E$2:$E$6912,MATCH($A2521&amp;"|58",Positions!$A$2:$A$6912,0)),"-")</f>
        <v>A</v>
      </c>
      <c r="H2521" s="25" t="str">
        <f aca="false">F2521&amp;"-"&amp;G2521</f>
        <v>A-A</v>
      </c>
      <c r="I2521" s="24" t="n">
        <f aca="false">(F2521="G")+(G2521="G")</f>
        <v>0</v>
      </c>
      <c r="J2521" s="24" t="n">
        <f aca="false">(F2521="C")+(G2521="C")</f>
        <v>0</v>
      </c>
      <c r="K2521" s="25" t="n">
        <f aca="false">I2521+J2521</f>
        <v>0</v>
      </c>
    </row>
    <row r="2522" customFormat="false" ht="15" hidden="false" customHeight="false" outlineLevel="0" collapsed="false">
      <c r="A2522" s="4" t="s">
        <v>127</v>
      </c>
      <c r="B2522" s="4" t="s">
        <v>412</v>
      </c>
      <c r="C2522" s="4" t="s">
        <v>517</v>
      </c>
      <c r="D2522" s="4" t="n">
        <f aca="false">IFERROR(INDEX(Positions!$D$2:$D$6912,MATCH($A2522&amp;"|1",Positions!$A$2:$A$6912,0)),"-")</f>
        <v>1</v>
      </c>
      <c r="E2522" s="4" t="n">
        <f aca="false">IFERROR(INDEX(Positions!$D$2:$D$6912,MATCH($A2522&amp;"|72",Positions!$A$2:$A$6912,0)),"-")</f>
        <v>72</v>
      </c>
      <c r="F2522" s="4" t="str">
        <f aca="false">IFERROR(INDEX(Positions!$E$2:$E$6912,MATCH($A2522&amp;"|1",Positions!$A$2:$A$6912,0)),"-")</f>
        <v>G</v>
      </c>
      <c r="G2522" s="4" t="str">
        <f aca="false">IFERROR(INDEX(Positions!$E$2:$E$6912,MATCH($A2522&amp;"|72",Positions!$A$2:$A$6912,0)),"-")</f>
        <v>C</v>
      </c>
      <c r="H2522" s="3" t="str">
        <f aca="false">F2522&amp;"-"&amp;G2522</f>
        <v>G-C</v>
      </c>
      <c r="I2522" s="4" t="n">
        <f aca="false">(F2522="G")+(G2522="G")</f>
        <v>1</v>
      </c>
      <c r="J2522" s="4" t="n">
        <f aca="false">(F2522="C")+(G2522="C")</f>
        <v>1</v>
      </c>
      <c r="K2522" s="3" t="n">
        <f aca="false">I2522+J2522</f>
        <v>2</v>
      </c>
    </row>
    <row r="2523" customFormat="false" ht="15" hidden="false" customHeight="false" outlineLevel="0" collapsed="false">
      <c r="A2523" s="4" t="s">
        <v>127</v>
      </c>
      <c r="B2523" s="4" t="s">
        <v>412</v>
      </c>
      <c r="C2523" s="4" t="s">
        <v>518</v>
      </c>
      <c r="D2523" s="4" t="n">
        <f aca="false">IFERROR(INDEX(Positions!$D$2:$D$6912,MATCH($A2523&amp;"|2",Positions!$A$2:$A$6912,0)),"-")</f>
        <v>2</v>
      </c>
      <c r="E2523" s="4" t="n">
        <f aca="false">IFERROR(INDEX(Positions!$D$2:$D$6912,MATCH($A2523&amp;"|71",Positions!$A$2:$A$6912,0)),"-")</f>
        <v>71</v>
      </c>
      <c r="F2523" s="4" t="str">
        <f aca="false">IFERROR(INDEX(Positions!$E$2:$E$6912,MATCH($A2523&amp;"|2",Positions!$A$2:$A$6912,0)),"-")</f>
        <v>C</v>
      </c>
      <c r="G2523" s="4" t="str">
        <f aca="false">IFERROR(INDEX(Positions!$E$2:$E$6912,MATCH($A2523&amp;"|71",Positions!$A$2:$A$6912,0)),"-")</f>
        <v>G</v>
      </c>
      <c r="H2523" s="3" t="str">
        <f aca="false">F2523&amp;"-"&amp;G2523</f>
        <v>C-G</v>
      </c>
      <c r="I2523" s="4" t="n">
        <f aca="false">(F2523="G")+(G2523="G")</f>
        <v>1</v>
      </c>
      <c r="J2523" s="4" t="n">
        <f aca="false">(F2523="C")+(G2523="C")</f>
        <v>1</v>
      </c>
      <c r="K2523" s="3" t="n">
        <f aca="false">I2523+J2523</f>
        <v>2</v>
      </c>
    </row>
    <row r="2524" customFormat="false" ht="15" hidden="false" customHeight="false" outlineLevel="0" collapsed="false">
      <c r="A2524" s="4" t="s">
        <v>127</v>
      </c>
      <c r="B2524" s="4" t="s">
        <v>412</v>
      </c>
      <c r="C2524" s="4" t="s">
        <v>386</v>
      </c>
      <c r="D2524" s="4" t="n">
        <f aca="false">IFERROR(INDEX(Positions!$D$2:$D$6912,MATCH($A2524&amp;"|3",Positions!$A$2:$A$6912,0)),"-")</f>
        <v>3</v>
      </c>
      <c r="E2524" s="4" t="n">
        <f aca="false">IFERROR(INDEX(Positions!$D$2:$D$6912,MATCH($A2524&amp;"|70",Positions!$A$2:$A$6912,0)),"-")</f>
        <v>70</v>
      </c>
      <c r="F2524" s="4" t="str">
        <f aca="false">IFERROR(INDEX(Positions!$E$2:$E$6912,MATCH($A2524&amp;"|3",Positions!$A$2:$A$6912,0)),"-")</f>
        <v>C</v>
      </c>
      <c r="G2524" s="4" t="str">
        <f aca="false">IFERROR(INDEX(Positions!$E$2:$E$6912,MATCH($A2524&amp;"|70",Positions!$A$2:$A$6912,0)),"-")</f>
        <v>G</v>
      </c>
      <c r="H2524" s="3" t="str">
        <f aca="false">F2524&amp;"-"&amp;G2524</f>
        <v>C-G</v>
      </c>
      <c r="I2524" s="4" t="n">
        <f aca="false">(F2524="G")+(G2524="G")</f>
        <v>1</v>
      </c>
      <c r="J2524" s="4" t="n">
        <f aca="false">(F2524="C")+(G2524="C")</f>
        <v>1</v>
      </c>
      <c r="K2524" s="3" t="n">
        <f aca="false">I2524+J2524</f>
        <v>2</v>
      </c>
    </row>
    <row r="2525" customFormat="false" ht="15" hidden="false" customHeight="false" outlineLevel="0" collapsed="false">
      <c r="A2525" s="4" t="s">
        <v>127</v>
      </c>
      <c r="B2525" s="4" t="s">
        <v>412</v>
      </c>
      <c r="C2525" s="4" t="s">
        <v>519</v>
      </c>
      <c r="D2525" s="4" t="n">
        <f aca="false">IFERROR(INDEX(Positions!$D$2:$D$6912,MATCH($A2525&amp;"|4",Positions!$A$2:$A$6912,0)),"-")</f>
        <v>4</v>
      </c>
      <c r="E2525" s="4" t="n">
        <f aca="false">IFERROR(INDEX(Positions!$D$2:$D$6912,MATCH($A2525&amp;"|69",Positions!$A$2:$A$6912,0)),"-")</f>
        <v>69</v>
      </c>
      <c r="F2525" s="4" t="str">
        <f aca="false">IFERROR(INDEX(Positions!$E$2:$E$6912,MATCH($A2525&amp;"|4",Positions!$A$2:$A$6912,0)),"-")</f>
        <v>G</v>
      </c>
      <c r="G2525" s="4" t="str">
        <f aca="false">IFERROR(INDEX(Positions!$E$2:$E$6912,MATCH($A2525&amp;"|69",Positions!$A$2:$A$6912,0)),"-")</f>
        <v>C</v>
      </c>
      <c r="H2525" s="3" t="str">
        <f aca="false">F2525&amp;"-"&amp;G2525</f>
        <v>G-C</v>
      </c>
      <c r="I2525" s="4" t="n">
        <f aca="false">(F2525="G")+(G2525="G")</f>
        <v>1</v>
      </c>
      <c r="J2525" s="4" t="n">
        <f aca="false">(F2525="C")+(G2525="C")</f>
        <v>1</v>
      </c>
      <c r="K2525" s="3" t="n">
        <f aca="false">I2525+J2525</f>
        <v>2</v>
      </c>
    </row>
    <row r="2526" customFormat="false" ht="15" hidden="false" customHeight="false" outlineLevel="0" collapsed="false">
      <c r="A2526" s="4" t="s">
        <v>127</v>
      </c>
      <c r="B2526" s="4" t="s">
        <v>412</v>
      </c>
      <c r="C2526" s="4" t="s">
        <v>283</v>
      </c>
      <c r="D2526" s="4" t="n">
        <f aca="false">IFERROR(INDEX(Positions!$D$2:$D$6912,MATCH($A2526&amp;"|5",Positions!$A$2:$A$6912,0)),"-")</f>
        <v>5</v>
      </c>
      <c r="E2526" s="4" t="n">
        <f aca="false">IFERROR(INDEX(Positions!$D$2:$D$6912,MATCH($A2526&amp;"|68",Positions!$A$2:$A$6912,0)),"-")</f>
        <v>68</v>
      </c>
      <c r="F2526" s="4" t="str">
        <f aca="false">IFERROR(INDEX(Positions!$E$2:$E$6912,MATCH($A2526&amp;"|5",Positions!$A$2:$A$6912,0)),"-")</f>
        <v>A</v>
      </c>
      <c r="G2526" s="4" t="str">
        <f aca="false">IFERROR(INDEX(Positions!$E$2:$E$6912,MATCH($A2526&amp;"|68",Positions!$A$2:$A$6912,0)),"-")</f>
        <v>U</v>
      </c>
      <c r="H2526" s="3" t="str">
        <f aca="false">F2526&amp;"-"&amp;G2526</f>
        <v>A-U</v>
      </c>
      <c r="I2526" s="4" t="n">
        <f aca="false">(F2526="G")+(G2526="G")</f>
        <v>0</v>
      </c>
      <c r="J2526" s="4" t="n">
        <f aca="false">(F2526="C")+(G2526="C")</f>
        <v>0</v>
      </c>
      <c r="K2526" s="3" t="n">
        <f aca="false">I2526+J2526</f>
        <v>0</v>
      </c>
    </row>
    <row r="2527" customFormat="false" ht="15" hidden="false" customHeight="false" outlineLevel="0" collapsed="false">
      <c r="A2527" s="4" t="s">
        <v>127</v>
      </c>
      <c r="B2527" s="4" t="s">
        <v>412</v>
      </c>
      <c r="C2527" s="4" t="s">
        <v>520</v>
      </c>
      <c r="D2527" s="4" t="n">
        <f aca="false">IFERROR(INDEX(Positions!$D$2:$D$6912,MATCH($A2527&amp;"|6",Positions!$A$2:$A$6912,0)),"-")</f>
        <v>6</v>
      </c>
      <c r="E2527" s="4" t="n">
        <f aca="false">IFERROR(INDEX(Positions!$D$2:$D$6912,MATCH($A2527&amp;"|67",Positions!$A$2:$A$6912,0)),"-")</f>
        <v>67</v>
      </c>
      <c r="F2527" s="4" t="str">
        <f aca="false">IFERROR(INDEX(Positions!$E$2:$E$6912,MATCH($A2527&amp;"|6",Positions!$A$2:$A$6912,0)),"-")</f>
        <v>A</v>
      </c>
      <c r="G2527" s="4" t="str">
        <f aca="false">IFERROR(INDEX(Positions!$E$2:$E$6912,MATCH($A2527&amp;"|67",Positions!$A$2:$A$6912,0)),"-")</f>
        <v>U</v>
      </c>
      <c r="H2527" s="3" t="str">
        <f aca="false">F2527&amp;"-"&amp;G2527</f>
        <v>A-U</v>
      </c>
      <c r="I2527" s="4" t="n">
        <f aca="false">(F2527="G")+(G2527="G")</f>
        <v>0</v>
      </c>
      <c r="J2527" s="4" t="n">
        <f aca="false">(F2527="C")+(G2527="C")</f>
        <v>0</v>
      </c>
      <c r="K2527" s="3" t="n">
        <f aca="false">I2527+J2527</f>
        <v>0</v>
      </c>
    </row>
    <row r="2528" customFormat="false" ht="15" hidden="false" customHeight="false" outlineLevel="0" collapsed="false">
      <c r="A2528" s="4" t="s">
        <v>127</v>
      </c>
      <c r="B2528" s="4" t="s">
        <v>412</v>
      </c>
      <c r="C2528" s="4" t="s">
        <v>521</v>
      </c>
      <c r="D2528" s="4" t="n">
        <f aca="false">IFERROR(INDEX(Positions!$D$2:$D$6912,MATCH($A2528&amp;"|7",Positions!$A$2:$A$6912,0)),"-")</f>
        <v>7</v>
      </c>
      <c r="E2528" s="4" t="n">
        <f aca="false">IFERROR(INDEX(Positions!$D$2:$D$6912,MATCH($A2528&amp;"|66",Positions!$A$2:$A$6912,0)),"-")</f>
        <v>66</v>
      </c>
      <c r="F2528" s="4" t="str">
        <f aca="false">IFERROR(INDEX(Positions!$E$2:$E$6912,MATCH($A2528&amp;"|7",Positions!$A$2:$A$6912,0)),"-")</f>
        <v>A</v>
      </c>
      <c r="G2528" s="4" t="str">
        <f aca="false">IFERROR(INDEX(Positions!$E$2:$E$6912,MATCH($A2528&amp;"|66",Positions!$A$2:$A$6912,0)),"-")</f>
        <v>U</v>
      </c>
      <c r="H2528" s="3" t="str">
        <f aca="false">F2528&amp;"-"&amp;G2528</f>
        <v>A-U</v>
      </c>
      <c r="I2528" s="4" t="n">
        <f aca="false">(F2528="G")+(G2528="G")</f>
        <v>0</v>
      </c>
      <c r="J2528" s="4" t="n">
        <f aca="false">(F2528="C")+(G2528="C")</f>
        <v>0</v>
      </c>
      <c r="K2528" s="3" t="n">
        <f aca="false">I2528+J2528</f>
        <v>0</v>
      </c>
    </row>
    <row r="2529" customFormat="false" ht="15" hidden="false" customHeight="false" outlineLevel="0" collapsed="false">
      <c r="A2529" s="4" t="s">
        <v>127</v>
      </c>
      <c r="B2529" s="4" t="s">
        <v>425</v>
      </c>
      <c r="C2529" s="4" t="s">
        <v>522</v>
      </c>
      <c r="D2529" s="4" t="n">
        <f aca="false">IFERROR(INDEX(Positions!$D$2:$D$6912,MATCH($A2529&amp;"|10",Positions!$A$2:$A$6912,0)),"-")</f>
        <v>10</v>
      </c>
      <c r="E2529" s="4" t="n">
        <f aca="false">IFERROR(INDEX(Positions!$D$2:$D$6912,MATCH($A2529&amp;"|25",Positions!$A$2:$A$6912,0)),"-")</f>
        <v>25</v>
      </c>
      <c r="F2529" s="4" t="str">
        <f aca="false">IFERROR(INDEX(Positions!$E$2:$E$6912,MATCH($A2529&amp;"|10",Positions!$A$2:$A$6912,0)),"-")</f>
        <v>G</v>
      </c>
      <c r="G2529" s="4" t="str">
        <f aca="false">IFERROR(INDEX(Positions!$E$2:$E$6912,MATCH($A2529&amp;"|25",Positions!$A$2:$A$6912,0)),"-")</f>
        <v>C</v>
      </c>
      <c r="H2529" s="3" t="str">
        <f aca="false">F2529&amp;"-"&amp;G2529</f>
        <v>G-C</v>
      </c>
      <c r="I2529" s="4" t="n">
        <f aca="false">(F2529="G")+(G2529="G")</f>
        <v>1</v>
      </c>
      <c r="J2529" s="4" t="n">
        <f aca="false">(F2529="C")+(G2529="C")</f>
        <v>1</v>
      </c>
      <c r="K2529" s="3" t="n">
        <f aca="false">I2529+J2529</f>
        <v>2</v>
      </c>
    </row>
    <row r="2530" customFormat="false" ht="15" hidden="false" customHeight="false" outlineLevel="0" collapsed="false">
      <c r="A2530" s="4" t="s">
        <v>127</v>
      </c>
      <c r="B2530" s="4" t="s">
        <v>425</v>
      </c>
      <c r="C2530" s="4" t="s">
        <v>523</v>
      </c>
      <c r="D2530" s="4" t="n">
        <f aca="false">IFERROR(INDEX(Positions!$D$2:$D$6912,MATCH($A2530&amp;"|11",Positions!$A$2:$A$6912,0)),"-")</f>
        <v>11</v>
      </c>
      <c r="E2530" s="4" t="n">
        <f aca="false">IFERROR(INDEX(Positions!$D$2:$D$6912,MATCH($A2530&amp;"|24",Positions!$A$2:$A$6912,0)),"-")</f>
        <v>24</v>
      </c>
      <c r="F2530" s="4" t="str">
        <f aca="false">IFERROR(INDEX(Positions!$E$2:$E$6912,MATCH($A2530&amp;"|11",Positions!$A$2:$A$6912,0)),"-")</f>
        <v>C</v>
      </c>
      <c r="G2530" s="4" t="str">
        <f aca="false">IFERROR(INDEX(Positions!$E$2:$E$6912,MATCH($A2530&amp;"|24",Positions!$A$2:$A$6912,0)),"-")</f>
        <v>G</v>
      </c>
      <c r="H2530" s="3" t="str">
        <f aca="false">F2530&amp;"-"&amp;G2530</f>
        <v>C-G</v>
      </c>
      <c r="I2530" s="4" t="n">
        <f aca="false">(F2530="G")+(G2530="G")</f>
        <v>1</v>
      </c>
      <c r="J2530" s="4" t="n">
        <f aca="false">(F2530="C")+(G2530="C")</f>
        <v>1</v>
      </c>
      <c r="K2530" s="3" t="n">
        <f aca="false">I2530+J2530</f>
        <v>2</v>
      </c>
    </row>
    <row r="2531" customFormat="false" ht="15" hidden="false" customHeight="false" outlineLevel="0" collapsed="false">
      <c r="A2531" s="4" t="s">
        <v>127</v>
      </c>
      <c r="B2531" s="4" t="s">
        <v>425</v>
      </c>
      <c r="C2531" s="4" t="s">
        <v>250</v>
      </c>
      <c r="D2531" s="4" t="n">
        <f aca="false">IFERROR(INDEX(Positions!$D$2:$D$6912,MATCH($A2531&amp;"|12",Positions!$A$2:$A$6912,0)),"-")</f>
        <v>12</v>
      </c>
      <c r="E2531" s="4" t="n">
        <f aca="false">IFERROR(INDEX(Positions!$D$2:$D$6912,MATCH($A2531&amp;"|23",Positions!$A$2:$A$6912,0)),"-")</f>
        <v>23</v>
      </c>
      <c r="F2531" s="4" t="str">
        <f aca="false">IFERROR(INDEX(Positions!$E$2:$E$6912,MATCH($A2531&amp;"|12",Positions!$A$2:$A$6912,0)),"-")</f>
        <v>U</v>
      </c>
      <c r="G2531" s="4" t="str">
        <f aca="false">IFERROR(INDEX(Positions!$E$2:$E$6912,MATCH($A2531&amp;"|23",Positions!$A$2:$A$6912,0)),"-")</f>
        <v>A</v>
      </c>
      <c r="H2531" s="3" t="str">
        <f aca="false">F2531&amp;"-"&amp;G2531</f>
        <v>U-A</v>
      </c>
      <c r="I2531" s="4" t="n">
        <f aca="false">(F2531="G")+(G2531="G")</f>
        <v>0</v>
      </c>
      <c r="J2531" s="4" t="n">
        <f aca="false">(F2531="C")+(G2531="C")</f>
        <v>0</v>
      </c>
      <c r="K2531" s="3" t="n">
        <f aca="false">I2531+J2531</f>
        <v>0</v>
      </c>
    </row>
    <row r="2532" customFormat="false" ht="15" hidden="false" customHeight="false" outlineLevel="0" collapsed="false">
      <c r="A2532" s="4" t="s">
        <v>127</v>
      </c>
      <c r="B2532" s="4" t="s">
        <v>425</v>
      </c>
      <c r="C2532" s="4" t="s">
        <v>154</v>
      </c>
      <c r="D2532" s="4" t="n">
        <f aca="false">IFERROR(INDEX(Positions!$D$2:$D$6912,MATCH($A2532&amp;"|13",Positions!$A$2:$A$6912,0)),"-")</f>
        <v>13</v>
      </c>
      <c r="E2532" s="4" t="n">
        <f aca="false">IFERROR(INDEX(Positions!$D$2:$D$6912,MATCH($A2532&amp;"|22",Positions!$A$2:$A$6912,0)),"-")</f>
        <v>22</v>
      </c>
      <c r="F2532" s="4" t="str">
        <f aca="false">IFERROR(INDEX(Positions!$E$2:$E$6912,MATCH($A2532&amp;"|13",Positions!$A$2:$A$6912,0)),"-")</f>
        <v>C</v>
      </c>
      <c r="G2532" s="4" t="str">
        <f aca="false">IFERROR(INDEX(Positions!$E$2:$E$6912,MATCH($A2532&amp;"|22",Positions!$A$2:$A$6912,0)),"-")</f>
        <v>G</v>
      </c>
      <c r="H2532" s="3" t="str">
        <f aca="false">F2532&amp;"-"&amp;G2532</f>
        <v>C-G</v>
      </c>
      <c r="I2532" s="4" t="n">
        <f aca="false">(F2532="G")+(G2532="G")</f>
        <v>1</v>
      </c>
      <c r="J2532" s="4" t="n">
        <f aca="false">(F2532="C")+(G2532="C")</f>
        <v>1</v>
      </c>
      <c r="K2532" s="3" t="n">
        <f aca="false">I2532+J2532</f>
        <v>2</v>
      </c>
    </row>
    <row r="2533" customFormat="false" ht="15" hidden="false" customHeight="false" outlineLevel="0" collapsed="false">
      <c r="A2533" s="4" t="s">
        <v>127</v>
      </c>
      <c r="B2533" s="4" t="s">
        <v>446</v>
      </c>
      <c r="C2533" s="4" t="s">
        <v>524</v>
      </c>
      <c r="D2533" s="4" t="n">
        <f aca="false">IFERROR(INDEX(Positions!$D$2:$D$6912,MATCH($A2533&amp;"|27",Positions!$A$2:$A$6912,0)),"-")</f>
        <v>27</v>
      </c>
      <c r="E2533" s="4" t="n">
        <f aca="false">IFERROR(INDEX(Positions!$D$2:$D$6912,MATCH($A2533&amp;"|43",Positions!$A$2:$A$6912,0)),"-")</f>
        <v>43</v>
      </c>
      <c r="F2533" s="4" t="str">
        <f aca="false">IFERROR(INDEX(Positions!$E$2:$E$6912,MATCH($A2533&amp;"|27",Positions!$A$2:$A$6912,0)),"-")</f>
        <v>U</v>
      </c>
      <c r="G2533" s="4" t="str">
        <f aca="false">IFERROR(INDEX(Positions!$E$2:$E$6912,MATCH($A2533&amp;"|43",Positions!$A$2:$A$6912,0)),"-")</f>
        <v>A</v>
      </c>
      <c r="H2533" s="3" t="str">
        <f aca="false">F2533&amp;"-"&amp;G2533</f>
        <v>U-A</v>
      </c>
      <c r="I2533" s="4" t="n">
        <f aca="false">(F2533="G")+(G2533="G")</f>
        <v>0</v>
      </c>
      <c r="J2533" s="4" t="n">
        <f aca="false">(F2533="C")+(G2533="C")</f>
        <v>0</v>
      </c>
      <c r="K2533" s="3" t="n">
        <f aca="false">I2533+J2533</f>
        <v>0</v>
      </c>
    </row>
    <row r="2534" customFormat="false" ht="15" hidden="false" customHeight="false" outlineLevel="0" collapsed="false">
      <c r="A2534" s="4" t="s">
        <v>127</v>
      </c>
      <c r="B2534" s="4" t="s">
        <v>446</v>
      </c>
      <c r="C2534" s="4" t="s">
        <v>525</v>
      </c>
      <c r="D2534" s="4" t="n">
        <f aca="false">IFERROR(INDEX(Positions!$D$2:$D$6912,MATCH($A2534&amp;"|28",Positions!$A$2:$A$6912,0)),"-")</f>
        <v>28</v>
      </c>
      <c r="E2534" s="4" t="n">
        <f aca="false">IFERROR(INDEX(Positions!$D$2:$D$6912,MATCH($A2534&amp;"|42",Positions!$A$2:$A$6912,0)),"-")</f>
        <v>42</v>
      </c>
      <c r="F2534" s="4" t="str">
        <f aca="false">IFERROR(INDEX(Positions!$E$2:$E$6912,MATCH($A2534&amp;"|28",Positions!$A$2:$A$6912,0)),"-")</f>
        <v>U</v>
      </c>
      <c r="G2534" s="4" t="str">
        <f aca="false">IFERROR(INDEX(Positions!$E$2:$E$6912,MATCH($A2534&amp;"|42",Positions!$A$2:$A$6912,0)),"-")</f>
        <v>A</v>
      </c>
      <c r="H2534" s="3" t="str">
        <f aca="false">F2534&amp;"-"&amp;G2534</f>
        <v>U-A</v>
      </c>
      <c r="I2534" s="4" t="n">
        <f aca="false">(F2534="G")+(G2534="G")</f>
        <v>0</v>
      </c>
      <c r="J2534" s="4" t="n">
        <f aca="false">(F2534="C")+(G2534="C")</f>
        <v>0</v>
      </c>
      <c r="K2534" s="3" t="n">
        <f aca="false">I2534+J2534</f>
        <v>0</v>
      </c>
    </row>
    <row r="2535" customFormat="false" ht="15" hidden="false" customHeight="false" outlineLevel="0" collapsed="false">
      <c r="A2535" s="4" t="s">
        <v>127</v>
      </c>
      <c r="B2535" s="4" t="s">
        <v>446</v>
      </c>
      <c r="C2535" s="4" t="s">
        <v>256</v>
      </c>
      <c r="D2535" s="4" t="n">
        <f aca="false">IFERROR(INDEX(Positions!$D$2:$D$6912,MATCH($A2535&amp;"|29",Positions!$A$2:$A$6912,0)),"-")</f>
        <v>29</v>
      </c>
      <c r="E2535" s="4" t="n">
        <f aca="false">IFERROR(INDEX(Positions!$D$2:$D$6912,MATCH($A2535&amp;"|41",Positions!$A$2:$A$6912,0)),"-")</f>
        <v>41</v>
      </c>
      <c r="F2535" s="4" t="str">
        <f aca="false">IFERROR(INDEX(Positions!$E$2:$E$6912,MATCH($A2535&amp;"|29",Positions!$A$2:$A$6912,0)),"-")</f>
        <v>A</v>
      </c>
      <c r="G2535" s="4" t="str">
        <f aca="false">IFERROR(INDEX(Positions!$E$2:$E$6912,MATCH($A2535&amp;"|41",Positions!$A$2:$A$6912,0)),"-")</f>
        <v>U</v>
      </c>
      <c r="H2535" s="3" t="str">
        <f aca="false">F2535&amp;"-"&amp;G2535</f>
        <v>A-U</v>
      </c>
      <c r="I2535" s="4" t="n">
        <f aca="false">(F2535="G")+(G2535="G")</f>
        <v>0</v>
      </c>
      <c r="J2535" s="4" t="n">
        <f aca="false">(F2535="C")+(G2535="C")</f>
        <v>0</v>
      </c>
      <c r="K2535" s="3" t="n">
        <f aca="false">I2535+J2535</f>
        <v>0</v>
      </c>
    </row>
    <row r="2536" customFormat="false" ht="15" hidden="false" customHeight="false" outlineLevel="0" collapsed="false">
      <c r="A2536" s="4" t="s">
        <v>127</v>
      </c>
      <c r="B2536" s="4" t="s">
        <v>446</v>
      </c>
      <c r="C2536" s="4" t="s">
        <v>526</v>
      </c>
      <c r="D2536" s="4" t="n">
        <f aca="false">IFERROR(INDEX(Positions!$D$2:$D$6912,MATCH($A2536&amp;"|30",Positions!$A$2:$A$6912,0)),"-")</f>
        <v>30</v>
      </c>
      <c r="E2536" s="4" t="n">
        <f aca="false">IFERROR(INDEX(Positions!$D$2:$D$6912,MATCH($A2536&amp;"|40",Positions!$A$2:$A$6912,0)),"-")</f>
        <v>40</v>
      </c>
      <c r="F2536" s="4" t="str">
        <f aca="false">IFERROR(INDEX(Positions!$E$2:$E$6912,MATCH($A2536&amp;"|30",Positions!$A$2:$A$6912,0)),"-")</f>
        <v>G</v>
      </c>
      <c r="G2536" s="4" t="str">
        <f aca="false">IFERROR(INDEX(Positions!$E$2:$E$6912,MATCH($A2536&amp;"|40",Positions!$A$2:$A$6912,0)),"-")</f>
        <v>C</v>
      </c>
      <c r="H2536" s="3" t="str">
        <f aca="false">F2536&amp;"-"&amp;G2536</f>
        <v>G-C</v>
      </c>
      <c r="I2536" s="4" t="n">
        <f aca="false">(F2536="G")+(G2536="G")</f>
        <v>1</v>
      </c>
      <c r="J2536" s="4" t="n">
        <f aca="false">(F2536="C")+(G2536="C")</f>
        <v>1</v>
      </c>
      <c r="K2536" s="3" t="n">
        <f aca="false">I2536+J2536</f>
        <v>2</v>
      </c>
    </row>
    <row r="2537" customFormat="false" ht="15" hidden="false" customHeight="false" outlineLevel="0" collapsed="false">
      <c r="A2537" s="4" t="s">
        <v>127</v>
      </c>
      <c r="B2537" s="4" t="s">
        <v>446</v>
      </c>
      <c r="C2537" s="4" t="s">
        <v>273</v>
      </c>
      <c r="D2537" s="4" t="n">
        <f aca="false">IFERROR(INDEX(Positions!$D$2:$D$6912,MATCH($A2537&amp;"|31",Positions!$A$2:$A$6912,0)),"-")</f>
        <v>31</v>
      </c>
      <c r="E2537" s="4" t="n">
        <f aca="false">IFERROR(INDEX(Positions!$D$2:$D$6912,MATCH($A2537&amp;"|39",Positions!$A$2:$A$6912,0)),"-")</f>
        <v>39</v>
      </c>
      <c r="F2537" s="4" t="str">
        <f aca="false">IFERROR(INDEX(Positions!$E$2:$E$6912,MATCH($A2537&amp;"|31",Positions!$A$2:$A$6912,0)),"-")</f>
        <v>A</v>
      </c>
      <c r="G2537" s="4" t="str">
        <f aca="false">IFERROR(INDEX(Positions!$E$2:$E$6912,MATCH($A2537&amp;"|39",Positions!$A$2:$A$6912,0)),"-")</f>
        <v>U</v>
      </c>
      <c r="H2537" s="3" t="str">
        <f aca="false">F2537&amp;"-"&amp;G2537</f>
        <v>A-U</v>
      </c>
      <c r="I2537" s="4" t="n">
        <f aca="false">(F2537="G")+(G2537="G")</f>
        <v>0</v>
      </c>
      <c r="J2537" s="4" t="n">
        <f aca="false">(F2537="C")+(G2537="C")</f>
        <v>0</v>
      </c>
      <c r="K2537" s="3" t="n">
        <f aca="false">I2537+J2537</f>
        <v>0</v>
      </c>
    </row>
    <row r="2538" customFormat="false" ht="15" hidden="false" customHeight="false" outlineLevel="0" collapsed="false">
      <c r="A2538" s="4" t="s">
        <v>127</v>
      </c>
      <c r="B2538" s="4" t="s">
        <v>471</v>
      </c>
      <c r="C2538" s="4" t="s">
        <v>367</v>
      </c>
      <c r="D2538" s="4" t="n">
        <f aca="false">IFERROR(INDEX(Positions!$D$2:$D$6912,MATCH($A2538&amp;"|49",Positions!$A$2:$A$6912,0)),"-")</f>
        <v>49</v>
      </c>
      <c r="E2538" s="4" t="n">
        <f aca="false">IFERROR(INDEX(Positions!$D$2:$D$6912,MATCH($A2538&amp;"|65",Positions!$A$2:$A$6912,0)),"-")</f>
        <v>65</v>
      </c>
      <c r="F2538" s="4" t="str">
        <f aca="false">IFERROR(INDEX(Positions!$E$2:$E$6912,MATCH($A2538&amp;"|49",Positions!$A$2:$A$6912,0)),"-")</f>
        <v>C</v>
      </c>
      <c r="G2538" s="4" t="str">
        <f aca="false">IFERROR(INDEX(Positions!$E$2:$E$6912,MATCH($A2538&amp;"|65",Positions!$A$2:$A$6912,0)),"-")</f>
        <v>G</v>
      </c>
      <c r="H2538" s="3" t="str">
        <f aca="false">F2538&amp;"-"&amp;G2538</f>
        <v>C-G</v>
      </c>
      <c r="I2538" s="4" t="n">
        <f aca="false">(F2538="G")+(G2538="G")</f>
        <v>1</v>
      </c>
      <c r="J2538" s="4" t="n">
        <f aca="false">(F2538="C")+(G2538="C")</f>
        <v>1</v>
      </c>
      <c r="K2538" s="3" t="n">
        <f aca="false">I2538+J2538</f>
        <v>2</v>
      </c>
    </row>
    <row r="2539" customFormat="false" ht="15" hidden="false" customHeight="false" outlineLevel="0" collapsed="false">
      <c r="A2539" s="4" t="s">
        <v>127</v>
      </c>
      <c r="B2539" s="4" t="s">
        <v>471</v>
      </c>
      <c r="C2539" s="4" t="s">
        <v>233</v>
      </c>
      <c r="D2539" s="4" t="n">
        <f aca="false">IFERROR(INDEX(Positions!$D$2:$D$6912,MATCH($A2539&amp;"|50",Positions!$A$2:$A$6912,0)),"-")</f>
        <v>50</v>
      </c>
      <c r="E2539" s="4" t="n">
        <f aca="false">IFERROR(INDEX(Positions!$D$2:$D$6912,MATCH($A2539&amp;"|64",Positions!$A$2:$A$6912,0)),"-")</f>
        <v>64</v>
      </c>
      <c r="F2539" s="4" t="str">
        <f aca="false">IFERROR(INDEX(Positions!$E$2:$E$6912,MATCH($A2539&amp;"|50",Positions!$A$2:$A$6912,0)),"-")</f>
        <v>C</v>
      </c>
      <c r="G2539" s="4" t="str">
        <f aca="false">IFERROR(INDEX(Positions!$E$2:$E$6912,MATCH($A2539&amp;"|64",Positions!$A$2:$A$6912,0)),"-")</f>
        <v>G</v>
      </c>
      <c r="H2539" s="3" t="str">
        <f aca="false">F2539&amp;"-"&amp;G2539</f>
        <v>C-G</v>
      </c>
      <c r="I2539" s="4" t="n">
        <f aca="false">(F2539="G")+(G2539="G")</f>
        <v>1</v>
      </c>
      <c r="J2539" s="4" t="n">
        <f aca="false">(F2539="C")+(G2539="C")</f>
        <v>1</v>
      </c>
      <c r="K2539" s="3" t="n">
        <f aca="false">I2539+J2539</f>
        <v>2</v>
      </c>
    </row>
    <row r="2540" customFormat="false" ht="15" hidden="false" customHeight="false" outlineLevel="0" collapsed="false">
      <c r="A2540" s="4" t="s">
        <v>127</v>
      </c>
      <c r="B2540" s="4" t="s">
        <v>471</v>
      </c>
      <c r="C2540" s="4" t="s">
        <v>527</v>
      </c>
      <c r="D2540" s="4" t="n">
        <f aca="false">IFERROR(INDEX(Positions!$D$2:$D$6912,MATCH($A2540&amp;"|51",Positions!$A$2:$A$6912,0)),"-")</f>
        <v>51</v>
      </c>
      <c r="E2540" s="4" t="n">
        <f aca="false">IFERROR(INDEX(Positions!$D$2:$D$6912,MATCH($A2540&amp;"|63",Positions!$A$2:$A$6912,0)),"-")</f>
        <v>63</v>
      </c>
      <c r="F2540" s="4" t="str">
        <f aca="false">IFERROR(INDEX(Positions!$E$2:$E$6912,MATCH($A2540&amp;"|51",Positions!$A$2:$A$6912,0)),"-")</f>
        <v>U</v>
      </c>
      <c r="G2540" s="4" t="str">
        <f aca="false">IFERROR(INDEX(Positions!$E$2:$E$6912,MATCH($A2540&amp;"|63",Positions!$A$2:$A$6912,0)),"-")</f>
        <v>G</v>
      </c>
      <c r="H2540" s="3" t="str">
        <f aca="false">F2540&amp;"-"&amp;G2540</f>
        <v>U-G</v>
      </c>
      <c r="I2540" s="4" t="n">
        <f aca="false">(F2540="G")+(G2540="G")</f>
        <v>1</v>
      </c>
      <c r="J2540" s="4" t="n">
        <f aca="false">(F2540="C")+(G2540="C")</f>
        <v>0</v>
      </c>
      <c r="K2540" s="3" t="n">
        <f aca="false">I2540+J2540</f>
        <v>1</v>
      </c>
    </row>
    <row r="2541" customFormat="false" ht="15" hidden="false" customHeight="false" outlineLevel="0" collapsed="false">
      <c r="A2541" s="4" t="s">
        <v>127</v>
      </c>
      <c r="B2541" s="4" t="s">
        <v>471</v>
      </c>
      <c r="C2541" s="4" t="s">
        <v>528</v>
      </c>
      <c r="D2541" s="4" t="n">
        <f aca="false">IFERROR(INDEX(Positions!$D$2:$D$6912,MATCH($A2541&amp;"|52",Positions!$A$2:$A$6912,0)),"-")</f>
        <v>52</v>
      </c>
      <c r="E2541" s="4" t="n">
        <f aca="false">IFERROR(INDEX(Positions!$D$2:$D$6912,MATCH($A2541&amp;"|62",Positions!$A$2:$A$6912,0)),"-")</f>
        <v>62</v>
      </c>
      <c r="F2541" s="4" t="str">
        <f aca="false">IFERROR(INDEX(Positions!$E$2:$E$6912,MATCH($A2541&amp;"|52",Positions!$A$2:$A$6912,0)),"-")</f>
        <v>G</v>
      </c>
      <c r="G2541" s="4" t="str">
        <f aca="false">IFERROR(INDEX(Positions!$E$2:$E$6912,MATCH($A2541&amp;"|62",Positions!$A$2:$A$6912,0)),"-")</f>
        <v>C</v>
      </c>
      <c r="H2541" s="3" t="str">
        <f aca="false">F2541&amp;"-"&amp;G2541</f>
        <v>G-C</v>
      </c>
      <c r="I2541" s="4" t="n">
        <f aca="false">(F2541="G")+(G2541="G")</f>
        <v>1</v>
      </c>
      <c r="J2541" s="4" t="n">
        <f aca="false">(F2541="C")+(G2541="C")</f>
        <v>1</v>
      </c>
      <c r="K2541" s="3" t="n">
        <f aca="false">I2541+J2541</f>
        <v>2</v>
      </c>
    </row>
    <row r="2542" customFormat="false" ht="15" hidden="false" customHeight="false" outlineLevel="0" collapsed="false">
      <c r="A2542" s="4" t="s">
        <v>127</v>
      </c>
      <c r="B2542" s="4" t="s">
        <v>471</v>
      </c>
      <c r="C2542" s="4" t="s">
        <v>529</v>
      </c>
      <c r="D2542" s="4" t="n">
        <f aca="false">IFERROR(INDEX(Positions!$D$2:$D$6912,MATCH($A2542&amp;"|53",Positions!$A$2:$A$6912,0)),"-")</f>
        <v>53</v>
      </c>
      <c r="E2542" s="4" t="n">
        <f aca="false">IFERROR(INDEX(Positions!$D$2:$D$6912,MATCH($A2542&amp;"|61",Positions!$A$2:$A$6912,0)),"-")</f>
        <v>61</v>
      </c>
      <c r="F2542" s="4" t="str">
        <f aca="false">IFERROR(INDEX(Positions!$E$2:$E$6912,MATCH($A2542&amp;"|53",Positions!$A$2:$A$6912,0)),"-")</f>
        <v>G</v>
      </c>
      <c r="G2542" s="4" t="str">
        <f aca="false">IFERROR(INDEX(Positions!$E$2:$E$6912,MATCH($A2542&amp;"|61",Positions!$A$2:$A$6912,0)),"-")</f>
        <v>C</v>
      </c>
      <c r="H2542" s="3" t="str">
        <f aca="false">F2542&amp;"-"&amp;G2542</f>
        <v>G-C</v>
      </c>
      <c r="I2542" s="4" t="n">
        <f aca="false">(F2542="G")+(G2542="G")</f>
        <v>1</v>
      </c>
      <c r="J2542" s="4" t="n">
        <f aca="false">(F2542="C")+(G2542="C")</f>
        <v>1</v>
      </c>
      <c r="K2542" s="3" t="n">
        <f aca="false">I2542+J2542</f>
        <v>2</v>
      </c>
    </row>
    <row r="2543" customFormat="false" ht="15" hidden="false" customHeight="false" outlineLevel="0" collapsed="false">
      <c r="A2543" s="24" t="s">
        <v>127</v>
      </c>
      <c r="B2543" s="24" t="s">
        <v>530</v>
      </c>
      <c r="C2543" s="24" t="s">
        <v>531</v>
      </c>
      <c r="D2543" s="24" t="n">
        <f aca="false">IFERROR(INDEX(Positions!$D$2:$D$6912,MATCH($A2543&amp;"|8",Positions!$A$2:$A$6912,0)),"-")</f>
        <v>8</v>
      </c>
      <c r="E2543" s="24" t="n">
        <f aca="false">IFERROR(INDEX(Positions!$D$2:$D$6912,MATCH($A2543&amp;"|14",Positions!$A$2:$A$6912,0)),"-")</f>
        <v>14</v>
      </c>
      <c r="F2543" s="24" t="str">
        <f aca="false">IFERROR(INDEX(Positions!$E$2:$E$6912,MATCH($A2543&amp;"|8",Positions!$A$2:$A$6912,0)),"-")</f>
        <v>U</v>
      </c>
      <c r="G2543" s="24" t="str">
        <f aca="false">IFERROR(INDEX(Positions!$E$2:$E$6912,MATCH($A2543&amp;"|14",Positions!$A$2:$A$6912,0)),"-")</f>
        <v>A</v>
      </c>
      <c r="H2543" s="25" t="str">
        <f aca="false">F2543&amp;"-"&amp;G2543</f>
        <v>U-A</v>
      </c>
      <c r="I2543" s="24" t="n">
        <f aca="false">(F2543="G")+(G2543="G")</f>
        <v>0</v>
      </c>
      <c r="J2543" s="24" t="n">
        <f aca="false">(F2543="C")+(G2543="C")</f>
        <v>0</v>
      </c>
      <c r="K2543" s="25" t="n">
        <f aca="false">I2543+J2543</f>
        <v>0</v>
      </c>
    </row>
    <row r="2544" customFormat="false" ht="15" hidden="false" customHeight="false" outlineLevel="0" collapsed="false">
      <c r="A2544" s="24" t="s">
        <v>127</v>
      </c>
      <c r="B2544" s="24" t="s">
        <v>530</v>
      </c>
      <c r="C2544" s="24" t="s">
        <v>532</v>
      </c>
      <c r="D2544" s="24" t="n">
        <f aca="false">IFERROR(INDEX(Positions!$D$2:$D$6912,MATCH($A2544&amp;"|15",Positions!$A$2:$A$6912,0)),"-")</f>
        <v>15</v>
      </c>
      <c r="E2544" s="24" t="n">
        <f aca="false">IFERROR(INDEX(Positions!$D$2:$D$6912,MATCH($A2544&amp;"|48",Positions!$A$2:$A$6912,0)),"-")</f>
        <v>48</v>
      </c>
      <c r="F2544" s="24" t="str">
        <f aca="false">IFERROR(INDEX(Positions!$E$2:$E$6912,MATCH($A2544&amp;"|15",Positions!$A$2:$A$6912,0)),"-")</f>
        <v>G</v>
      </c>
      <c r="G2544" s="24" t="str">
        <f aca="false">IFERROR(INDEX(Positions!$E$2:$E$6912,MATCH($A2544&amp;"|48",Positions!$A$2:$A$6912,0)),"-")</f>
        <v>C</v>
      </c>
      <c r="H2544" s="25" t="str">
        <f aca="false">F2544&amp;"-"&amp;G2544</f>
        <v>G-C</v>
      </c>
      <c r="I2544" s="24" t="n">
        <f aca="false">(F2544="G")+(G2544="G")</f>
        <v>1</v>
      </c>
      <c r="J2544" s="24" t="n">
        <f aca="false">(F2544="C")+(G2544="C")</f>
        <v>1</v>
      </c>
      <c r="K2544" s="25" t="n">
        <f aca="false">I2544+J2544</f>
        <v>2</v>
      </c>
    </row>
    <row r="2545" customFormat="false" ht="15" hidden="false" customHeight="false" outlineLevel="0" collapsed="false">
      <c r="A2545" s="24" t="s">
        <v>127</v>
      </c>
      <c r="B2545" s="24" t="s">
        <v>530</v>
      </c>
      <c r="C2545" s="24" t="s">
        <v>533</v>
      </c>
      <c r="D2545" s="24" t="n">
        <f aca="false">IFERROR(INDEX(Positions!$D$2:$D$6912,MATCH($A2545&amp;"|18",Positions!$A$2:$A$6912,0)),"-")</f>
        <v>18</v>
      </c>
      <c r="E2545" s="24" t="n">
        <f aca="false">IFERROR(INDEX(Positions!$D$2:$D$6912,MATCH($A2545&amp;"|55",Positions!$A$2:$A$6912,0)),"-")</f>
        <v>55</v>
      </c>
      <c r="F2545" s="24" t="str">
        <f aca="false">IFERROR(INDEX(Positions!$E$2:$E$6912,MATCH($A2545&amp;"|18",Positions!$A$2:$A$6912,0)),"-")</f>
        <v>G</v>
      </c>
      <c r="G2545" s="24" t="str">
        <f aca="false">IFERROR(INDEX(Positions!$E$2:$E$6912,MATCH($A2545&amp;"|55",Positions!$A$2:$A$6912,0)),"-")</f>
        <v>U</v>
      </c>
      <c r="H2545" s="25" t="str">
        <f aca="false">F2545&amp;"-"&amp;G2545</f>
        <v>G-U</v>
      </c>
      <c r="I2545" s="24" t="n">
        <f aca="false">(F2545="G")+(G2545="G")</f>
        <v>1</v>
      </c>
      <c r="J2545" s="24" t="n">
        <f aca="false">(F2545="C")+(G2545="C")</f>
        <v>0</v>
      </c>
      <c r="K2545" s="25" t="n">
        <f aca="false">I2545+J2545</f>
        <v>1</v>
      </c>
    </row>
    <row r="2546" customFormat="false" ht="15" hidden="false" customHeight="false" outlineLevel="0" collapsed="false">
      <c r="A2546" s="24" t="s">
        <v>127</v>
      </c>
      <c r="B2546" s="24" t="s">
        <v>530</v>
      </c>
      <c r="C2546" s="24" t="s">
        <v>534</v>
      </c>
      <c r="D2546" s="24" t="n">
        <f aca="false">IFERROR(INDEX(Positions!$D$2:$D$6912,MATCH($A2546&amp;"|19",Positions!$A$2:$A$6912,0)),"-")</f>
        <v>19</v>
      </c>
      <c r="E2546" s="24" t="n">
        <f aca="false">IFERROR(INDEX(Positions!$D$2:$D$6912,MATCH($A2546&amp;"|56",Positions!$A$2:$A$6912,0)),"-")</f>
        <v>56</v>
      </c>
      <c r="F2546" s="24" t="str">
        <f aca="false">IFERROR(INDEX(Positions!$E$2:$E$6912,MATCH($A2546&amp;"|19",Positions!$A$2:$A$6912,0)),"-")</f>
        <v>G</v>
      </c>
      <c r="G2546" s="24" t="str">
        <f aca="false">IFERROR(INDEX(Positions!$E$2:$E$6912,MATCH($A2546&amp;"|56",Positions!$A$2:$A$6912,0)),"-")</f>
        <v>C</v>
      </c>
      <c r="H2546" s="25" t="str">
        <f aca="false">F2546&amp;"-"&amp;G2546</f>
        <v>G-C</v>
      </c>
      <c r="I2546" s="24" t="n">
        <f aca="false">(F2546="G")+(G2546="G")</f>
        <v>1</v>
      </c>
      <c r="J2546" s="24" t="n">
        <f aca="false">(F2546="C")+(G2546="C")</f>
        <v>1</v>
      </c>
      <c r="K2546" s="25" t="n">
        <f aca="false">I2546+J2546</f>
        <v>2</v>
      </c>
    </row>
    <row r="2547" customFormat="false" ht="15" hidden="false" customHeight="false" outlineLevel="0" collapsed="false">
      <c r="A2547" s="24" t="s">
        <v>127</v>
      </c>
      <c r="B2547" s="24" t="s">
        <v>530</v>
      </c>
      <c r="C2547" s="24" t="s">
        <v>535</v>
      </c>
      <c r="D2547" s="24" t="n">
        <f aca="false">IFERROR(INDEX(Positions!$D$2:$D$6912,MATCH($A2547&amp;"|26",Positions!$A$2:$A$6912,0)),"-")</f>
        <v>26</v>
      </c>
      <c r="E2547" s="24" t="n">
        <f aca="false">IFERROR(INDEX(Positions!$D$2:$D$6912,MATCH($A2547&amp;"|44",Positions!$A$2:$A$6912,0)),"-")</f>
        <v>44</v>
      </c>
      <c r="F2547" s="24" t="str">
        <f aca="false">IFERROR(INDEX(Positions!$E$2:$E$6912,MATCH($A2547&amp;"|26",Positions!$A$2:$A$6912,0)),"-")</f>
        <v>G</v>
      </c>
      <c r="G2547" s="24" t="str">
        <f aca="false">IFERROR(INDEX(Positions!$E$2:$E$6912,MATCH($A2547&amp;"|44",Positions!$A$2:$A$6912,0)),"-")</f>
        <v>A</v>
      </c>
      <c r="H2547" s="25" t="str">
        <f aca="false">F2547&amp;"-"&amp;G2547</f>
        <v>G-A</v>
      </c>
      <c r="I2547" s="24" t="n">
        <f aca="false">(F2547="G")+(G2547="G")</f>
        <v>1</v>
      </c>
      <c r="J2547" s="24" t="n">
        <f aca="false">(F2547="C")+(G2547="C")</f>
        <v>0</v>
      </c>
      <c r="K2547" s="25" t="n">
        <f aca="false">I2547+J2547</f>
        <v>1</v>
      </c>
    </row>
    <row r="2548" customFormat="false" ht="15" hidden="false" customHeight="false" outlineLevel="0" collapsed="false">
      <c r="A2548" s="24" t="s">
        <v>127</v>
      </c>
      <c r="B2548" s="24" t="s">
        <v>530</v>
      </c>
      <c r="C2548" s="24" t="s">
        <v>536</v>
      </c>
      <c r="D2548" s="24" t="n">
        <f aca="false">IFERROR(INDEX(Positions!$D$2:$D$6912,MATCH($A2548&amp;"|32",Positions!$A$2:$A$6912,0)),"-")</f>
        <v>32</v>
      </c>
      <c r="E2548" s="24" t="n">
        <f aca="false">IFERROR(INDEX(Positions!$D$2:$D$6912,MATCH($A2548&amp;"|38",Positions!$A$2:$A$6912,0)),"-")</f>
        <v>38</v>
      </c>
      <c r="F2548" s="24" t="str">
        <f aca="false">IFERROR(INDEX(Positions!$E$2:$E$6912,MATCH($A2548&amp;"|32",Positions!$A$2:$A$6912,0)),"-")</f>
        <v>C</v>
      </c>
      <c r="G2548" s="24" t="str">
        <f aca="false">IFERROR(INDEX(Positions!$E$2:$E$6912,MATCH($A2548&amp;"|38",Positions!$A$2:$A$6912,0)),"-")</f>
        <v>A</v>
      </c>
      <c r="H2548" s="25" t="str">
        <f aca="false">F2548&amp;"-"&amp;G2548</f>
        <v>C-A</v>
      </c>
      <c r="I2548" s="24" t="n">
        <f aca="false">(F2548="G")+(G2548="G")</f>
        <v>0</v>
      </c>
      <c r="J2548" s="24" t="n">
        <f aca="false">(F2548="C")+(G2548="C")</f>
        <v>1</v>
      </c>
      <c r="K2548" s="25" t="n">
        <f aca="false">I2548+J2548</f>
        <v>1</v>
      </c>
    </row>
    <row r="2549" customFormat="false" ht="15" hidden="false" customHeight="false" outlineLevel="0" collapsed="false">
      <c r="A2549" s="24" t="s">
        <v>127</v>
      </c>
      <c r="B2549" s="24" t="s">
        <v>530</v>
      </c>
      <c r="C2549" s="24" t="s">
        <v>537</v>
      </c>
      <c r="D2549" s="24" t="n">
        <f aca="false">IFERROR(INDEX(Positions!$D$2:$D$6912,MATCH($A2549&amp;"|54",Positions!$A$2:$A$6912,0)),"-")</f>
        <v>54</v>
      </c>
      <c r="E2549" s="24" t="n">
        <f aca="false">IFERROR(INDEX(Positions!$D$2:$D$6912,MATCH($A2549&amp;"|58",Positions!$A$2:$A$6912,0)),"-")</f>
        <v>58</v>
      </c>
      <c r="F2549" s="24" t="str">
        <f aca="false">IFERROR(INDEX(Positions!$E$2:$E$6912,MATCH($A2549&amp;"|54",Positions!$A$2:$A$6912,0)),"-")</f>
        <v>U</v>
      </c>
      <c r="G2549" s="24" t="str">
        <f aca="false">IFERROR(INDEX(Positions!$E$2:$E$6912,MATCH($A2549&amp;"|58",Positions!$A$2:$A$6912,0)),"-")</f>
        <v>A</v>
      </c>
      <c r="H2549" s="25" t="str">
        <f aca="false">F2549&amp;"-"&amp;G2549</f>
        <v>U-A</v>
      </c>
      <c r="I2549" s="24" t="n">
        <f aca="false">(F2549="G")+(G2549="G")</f>
        <v>0</v>
      </c>
      <c r="J2549" s="24" t="n">
        <f aca="false">(F2549="C")+(G2549="C")</f>
        <v>0</v>
      </c>
      <c r="K2549" s="25" t="n">
        <f aca="false">I2549+J2549</f>
        <v>0</v>
      </c>
    </row>
    <row r="2550" customFormat="false" ht="15" hidden="false" customHeight="false" outlineLevel="0" collapsed="false">
      <c r="A2550" s="4" t="s">
        <v>128</v>
      </c>
      <c r="B2550" s="4" t="s">
        <v>412</v>
      </c>
      <c r="C2550" s="4" t="s">
        <v>517</v>
      </c>
      <c r="D2550" s="4" t="n">
        <f aca="false">IFERROR(INDEX(Positions!$D$2:$D$6912,MATCH($A2550&amp;"|1",Positions!$A$2:$A$6912,0)),"-")</f>
        <v>1</v>
      </c>
      <c r="E2550" s="4" t="n">
        <f aca="false">IFERROR(INDEX(Positions!$D$2:$D$6912,MATCH($A2550&amp;"|72",Positions!$A$2:$A$6912,0)),"-")</f>
        <v>72</v>
      </c>
      <c r="F2550" s="4" t="str">
        <f aca="false">IFERROR(INDEX(Positions!$E$2:$E$6912,MATCH($A2550&amp;"|1",Positions!$A$2:$A$6912,0)),"-")</f>
        <v>C</v>
      </c>
      <c r="G2550" s="4" t="str">
        <f aca="false">IFERROR(INDEX(Positions!$E$2:$E$6912,MATCH($A2550&amp;"|72",Positions!$A$2:$A$6912,0)),"-")</f>
        <v>G</v>
      </c>
      <c r="H2550" s="3" t="str">
        <f aca="false">F2550&amp;"-"&amp;G2550</f>
        <v>C-G</v>
      </c>
      <c r="I2550" s="4" t="n">
        <f aca="false">(F2550="G")+(G2550="G")</f>
        <v>1</v>
      </c>
      <c r="J2550" s="4" t="n">
        <f aca="false">(F2550="C")+(G2550="C")</f>
        <v>1</v>
      </c>
      <c r="K2550" s="3" t="n">
        <f aca="false">I2550+J2550</f>
        <v>2</v>
      </c>
    </row>
    <row r="2551" customFormat="false" ht="15" hidden="false" customHeight="false" outlineLevel="0" collapsed="false">
      <c r="A2551" s="4" t="s">
        <v>128</v>
      </c>
      <c r="B2551" s="4" t="s">
        <v>412</v>
      </c>
      <c r="C2551" s="4" t="s">
        <v>518</v>
      </c>
      <c r="D2551" s="4" t="n">
        <f aca="false">IFERROR(INDEX(Positions!$D$2:$D$6912,MATCH($A2551&amp;"|2",Positions!$A$2:$A$6912,0)),"-")</f>
        <v>2</v>
      </c>
      <c r="E2551" s="4" t="n">
        <f aca="false">IFERROR(INDEX(Positions!$D$2:$D$6912,MATCH($A2551&amp;"|71",Positions!$A$2:$A$6912,0)),"-")</f>
        <v>71</v>
      </c>
      <c r="F2551" s="4" t="str">
        <f aca="false">IFERROR(INDEX(Positions!$E$2:$E$6912,MATCH($A2551&amp;"|2",Positions!$A$2:$A$6912,0)),"-")</f>
        <v>C</v>
      </c>
      <c r="G2551" s="4" t="str">
        <f aca="false">IFERROR(INDEX(Positions!$E$2:$E$6912,MATCH($A2551&amp;"|71",Positions!$A$2:$A$6912,0)),"-")</f>
        <v>G</v>
      </c>
      <c r="H2551" s="3" t="str">
        <f aca="false">F2551&amp;"-"&amp;G2551</f>
        <v>C-G</v>
      </c>
      <c r="I2551" s="4" t="n">
        <f aca="false">(F2551="G")+(G2551="G")</f>
        <v>1</v>
      </c>
      <c r="J2551" s="4" t="n">
        <f aca="false">(F2551="C")+(G2551="C")</f>
        <v>1</v>
      </c>
      <c r="K2551" s="3" t="n">
        <f aca="false">I2551+J2551</f>
        <v>2</v>
      </c>
    </row>
    <row r="2552" customFormat="false" ht="15" hidden="false" customHeight="false" outlineLevel="0" collapsed="false">
      <c r="A2552" s="4" t="s">
        <v>128</v>
      </c>
      <c r="B2552" s="4" t="s">
        <v>412</v>
      </c>
      <c r="C2552" s="4" t="s">
        <v>386</v>
      </c>
      <c r="D2552" s="4" t="n">
        <f aca="false">IFERROR(INDEX(Positions!$D$2:$D$6912,MATCH($A2552&amp;"|3",Positions!$A$2:$A$6912,0)),"-")</f>
        <v>3</v>
      </c>
      <c r="E2552" s="4" t="n">
        <f aca="false">IFERROR(INDEX(Positions!$D$2:$D$6912,MATCH($A2552&amp;"|70",Positions!$A$2:$A$6912,0)),"-")</f>
        <v>70</v>
      </c>
      <c r="F2552" s="4" t="str">
        <f aca="false">IFERROR(INDEX(Positions!$E$2:$E$6912,MATCH($A2552&amp;"|3",Positions!$A$2:$A$6912,0)),"-")</f>
        <v>U</v>
      </c>
      <c r="G2552" s="4" t="str">
        <f aca="false">IFERROR(INDEX(Positions!$E$2:$E$6912,MATCH($A2552&amp;"|70",Positions!$A$2:$A$6912,0)),"-")</f>
        <v>A</v>
      </c>
      <c r="H2552" s="3" t="str">
        <f aca="false">F2552&amp;"-"&amp;G2552</f>
        <v>U-A</v>
      </c>
      <c r="I2552" s="4" t="n">
        <f aca="false">(F2552="G")+(G2552="G")</f>
        <v>0</v>
      </c>
      <c r="J2552" s="4" t="n">
        <f aca="false">(F2552="C")+(G2552="C")</f>
        <v>0</v>
      </c>
      <c r="K2552" s="3" t="n">
        <f aca="false">I2552+J2552</f>
        <v>0</v>
      </c>
    </row>
    <row r="2553" customFormat="false" ht="15" hidden="false" customHeight="false" outlineLevel="0" collapsed="false">
      <c r="A2553" s="4" t="s">
        <v>128</v>
      </c>
      <c r="B2553" s="4" t="s">
        <v>412</v>
      </c>
      <c r="C2553" s="4" t="s">
        <v>519</v>
      </c>
      <c r="D2553" s="4" t="n">
        <f aca="false">IFERROR(INDEX(Positions!$D$2:$D$6912,MATCH($A2553&amp;"|4",Positions!$A$2:$A$6912,0)),"-")</f>
        <v>4</v>
      </c>
      <c r="E2553" s="4" t="n">
        <f aca="false">IFERROR(INDEX(Positions!$D$2:$D$6912,MATCH($A2553&amp;"|69",Positions!$A$2:$A$6912,0)),"-")</f>
        <v>69</v>
      </c>
      <c r="F2553" s="4" t="str">
        <f aca="false">IFERROR(INDEX(Positions!$E$2:$E$6912,MATCH($A2553&amp;"|4",Positions!$A$2:$A$6912,0)),"-")</f>
        <v>U</v>
      </c>
      <c r="G2553" s="4" t="str">
        <f aca="false">IFERROR(INDEX(Positions!$E$2:$E$6912,MATCH($A2553&amp;"|69",Positions!$A$2:$A$6912,0)),"-")</f>
        <v>A</v>
      </c>
      <c r="H2553" s="3" t="str">
        <f aca="false">F2553&amp;"-"&amp;G2553</f>
        <v>U-A</v>
      </c>
      <c r="I2553" s="4" t="n">
        <f aca="false">(F2553="G")+(G2553="G")</f>
        <v>0</v>
      </c>
      <c r="J2553" s="4" t="n">
        <f aca="false">(F2553="C")+(G2553="C")</f>
        <v>0</v>
      </c>
      <c r="K2553" s="3" t="n">
        <f aca="false">I2553+J2553</f>
        <v>0</v>
      </c>
    </row>
    <row r="2554" customFormat="false" ht="15" hidden="false" customHeight="false" outlineLevel="0" collapsed="false">
      <c r="A2554" s="4" t="s">
        <v>128</v>
      </c>
      <c r="B2554" s="4" t="s">
        <v>412</v>
      </c>
      <c r="C2554" s="4" t="s">
        <v>283</v>
      </c>
      <c r="D2554" s="4" t="n">
        <f aca="false">IFERROR(INDEX(Positions!$D$2:$D$6912,MATCH($A2554&amp;"|5",Positions!$A$2:$A$6912,0)),"-")</f>
        <v>5</v>
      </c>
      <c r="E2554" s="4" t="n">
        <f aca="false">IFERROR(INDEX(Positions!$D$2:$D$6912,MATCH($A2554&amp;"|68",Positions!$A$2:$A$6912,0)),"-")</f>
        <v>68</v>
      </c>
      <c r="F2554" s="4" t="str">
        <f aca="false">IFERROR(INDEX(Positions!$E$2:$E$6912,MATCH($A2554&amp;"|5",Positions!$A$2:$A$6912,0)),"-")</f>
        <v>C</v>
      </c>
      <c r="G2554" s="4" t="str">
        <f aca="false">IFERROR(INDEX(Positions!$E$2:$E$6912,MATCH($A2554&amp;"|68",Positions!$A$2:$A$6912,0)),"-")</f>
        <v>G</v>
      </c>
      <c r="H2554" s="3" t="str">
        <f aca="false">F2554&amp;"-"&amp;G2554</f>
        <v>C-G</v>
      </c>
      <c r="I2554" s="4" t="n">
        <f aca="false">(F2554="G")+(G2554="G")</f>
        <v>1</v>
      </c>
      <c r="J2554" s="4" t="n">
        <f aca="false">(F2554="C")+(G2554="C")</f>
        <v>1</v>
      </c>
      <c r="K2554" s="3" t="n">
        <f aca="false">I2554+J2554</f>
        <v>2</v>
      </c>
    </row>
    <row r="2555" customFormat="false" ht="15" hidden="false" customHeight="false" outlineLevel="0" collapsed="false">
      <c r="A2555" s="4" t="s">
        <v>128</v>
      </c>
      <c r="B2555" s="4" t="s">
        <v>412</v>
      </c>
      <c r="C2555" s="4" t="s">
        <v>520</v>
      </c>
      <c r="D2555" s="4" t="n">
        <f aca="false">IFERROR(INDEX(Positions!$D$2:$D$6912,MATCH($A2555&amp;"|6",Positions!$A$2:$A$6912,0)),"-")</f>
        <v>6</v>
      </c>
      <c r="E2555" s="4" t="n">
        <f aca="false">IFERROR(INDEX(Positions!$D$2:$D$6912,MATCH($A2555&amp;"|67",Positions!$A$2:$A$6912,0)),"-")</f>
        <v>67</v>
      </c>
      <c r="F2555" s="4" t="str">
        <f aca="false">IFERROR(INDEX(Positions!$E$2:$E$6912,MATCH($A2555&amp;"|6",Positions!$A$2:$A$6912,0)),"-")</f>
        <v>G</v>
      </c>
      <c r="G2555" s="4" t="str">
        <f aca="false">IFERROR(INDEX(Positions!$E$2:$E$6912,MATCH($A2555&amp;"|67",Positions!$A$2:$A$6912,0)),"-")</f>
        <v>C</v>
      </c>
      <c r="H2555" s="3" t="str">
        <f aca="false">F2555&amp;"-"&amp;G2555</f>
        <v>G-C</v>
      </c>
      <c r="I2555" s="4" t="n">
        <f aca="false">(F2555="G")+(G2555="G")</f>
        <v>1</v>
      </c>
      <c r="J2555" s="4" t="n">
        <f aca="false">(F2555="C")+(G2555="C")</f>
        <v>1</v>
      </c>
      <c r="K2555" s="3" t="n">
        <f aca="false">I2555+J2555</f>
        <v>2</v>
      </c>
    </row>
    <row r="2556" customFormat="false" ht="15" hidden="false" customHeight="false" outlineLevel="0" collapsed="false">
      <c r="A2556" s="4" t="s">
        <v>128</v>
      </c>
      <c r="B2556" s="4" t="s">
        <v>412</v>
      </c>
      <c r="C2556" s="4" t="s">
        <v>521</v>
      </c>
      <c r="D2556" s="4" t="n">
        <f aca="false">IFERROR(INDEX(Positions!$D$2:$D$6912,MATCH($A2556&amp;"|7",Positions!$A$2:$A$6912,0)),"-")</f>
        <v>7</v>
      </c>
      <c r="E2556" s="4" t="n">
        <f aca="false">IFERROR(INDEX(Positions!$D$2:$D$6912,MATCH($A2556&amp;"|66",Positions!$A$2:$A$6912,0)),"-")</f>
        <v>66</v>
      </c>
      <c r="F2556" s="4" t="str">
        <f aca="false">IFERROR(INDEX(Positions!$E$2:$E$6912,MATCH($A2556&amp;"|7",Positions!$A$2:$A$6912,0)),"-")</f>
        <v>A</v>
      </c>
      <c r="G2556" s="4" t="str">
        <f aca="false">IFERROR(INDEX(Positions!$E$2:$E$6912,MATCH($A2556&amp;"|66",Positions!$A$2:$A$6912,0)),"-")</f>
        <v>U</v>
      </c>
      <c r="H2556" s="3" t="str">
        <f aca="false">F2556&amp;"-"&amp;G2556</f>
        <v>A-U</v>
      </c>
      <c r="I2556" s="4" t="n">
        <f aca="false">(F2556="G")+(G2556="G")</f>
        <v>0</v>
      </c>
      <c r="J2556" s="4" t="n">
        <f aca="false">(F2556="C")+(G2556="C")</f>
        <v>0</v>
      </c>
      <c r="K2556" s="3" t="n">
        <f aca="false">I2556+J2556</f>
        <v>0</v>
      </c>
    </row>
    <row r="2557" customFormat="false" ht="15" hidden="false" customHeight="false" outlineLevel="0" collapsed="false">
      <c r="A2557" s="4" t="s">
        <v>128</v>
      </c>
      <c r="B2557" s="4" t="s">
        <v>425</v>
      </c>
      <c r="C2557" s="4" t="s">
        <v>522</v>
      </c>
      <c r="D2557" s="4" t="n">
        <f aca="false">IFERROR(INDEX(Positions!$D$2:$D$6912,MATCH($A2557&amp;"|10",Positions!$A$2:$A$6912,0)),"-")</f>
        <v>10</v>
      </c>
      <c r="E2557" s="4" t="n">
        <f aca="false">IFERROR(INDEX(Positions!$D$2:$D$6912,MATCH($A2557&amp;"|25",Positions!$A$2:$A$6912,0)),"-")</f>
        <v>25</v>
      </c>
      <c r="F2557" s="4" t="str">
        <f aca="false">IFERROR(INDEX(Positions!$E$2:$E$6912,MATCH($A2557&amp;"|10",Positions!$A$2:$A$6912,0)),"-")</f>
        <v>G</v>
      </c>
      <c r="G2557" s="4" t="str">
        <f aca="false">IFERROR(INDEX(Positions!$E$2:$E$6912,MATCH($A2557&amp;"|25",Positions!$A$2:$A$6912,0)),"-")</f>
        <v>C</v>
      </c>
      <c r="H2557" s="3" t="str">
        <f aca="false">F2557&amp;"-"&amp;G2557</f>
        <v>G-C</v>
      </c>
      <c r="I2557" s="4" t="n">
        <f aca="false">(F2557="G")+(G2557="G")</f>
        <v>1</v>
      </c>
      <c r="J2557" s="4" t="n">
        <f aca="false">(F2557="C")+(G2557="C")</f>
        <v>1</v>
      </c>
      <c r="K2557" s="3" t="n">
        <f aca="false">I2557+J2557</f>
        <v>2</v>
      </c>
    </row>
    <row r="2558" customFormat="false" ht="15" hidden="false" customHeight="false" outlineLevel="0" collapsed="false">
      <c r="A2558" s="4" t="s">
        <v>128</v>
      </c>
      <c r="B2558" s="4" t="s">
        <v>425</v>
      </c>
      <c r="C2558" s="4" t="s">
        <v>523</v>
      </c>
      <c r="D2558" s="4" t="n">
        <f aca="false">IFERROR(INDEX(Positions!$D$2:$D$6912,MATCH($A2558&amp;"|11",Positions!$A$2:$A$6912,0)),"-")</f>
        <v>11</v>
      </c>
      <c r="E2558" s="4" t="n">
        <f aca="false">IFERROR(INDEX(Positions!$D$2:$D$6912,MATCH($A2558&amp;"|24",Positions!$A$2:$A$6912,0)),"-")</f>
        <v>24</v>
      </c>
      <c r="F2558" s="4" t="str">
        <f aca="false">IFERROR(INDEX(Positions!$E$2:$E$6912,MATCH($A2558&amp;"|11",Positions!$A$2:$A$6912,0)),"-")</f>
        <v>C</v>
      </c>
      <c r="G2558" s="4" t="str">
        <f aca="false">IFERROR(INDEX(Positions!$E$2:$E$6912,MATCH($A2558&amp;"|24",Positions!$A$2:$A$6912,0)),"-")</f>
        <v>G</v>
      </c>
      <c r="H2558" s="3" t="str">
        <f aca="false">F2558&amp;"-"&amp;G2558</f>
        <v>C-G</v>
      </c>
      <c r="I2558" s="4" t="n">
        <f aca="false">(F2558="G")+(G2558="G")</f>
        <v>1</v>
      </c>
      <c r="J2558" s="4" t="n">
        <f aca="false">(F2558="C")+(G2558="C")</f>
        <v>1</v>
      </c>
      <c r="K2558" s="3" t="n">
        <f aca="false">I2558+J2558</f>
        <v>2</v>
      </c>
    </row>
    <row r="2559" customFormat="false" ht="15" hidden="false" customHeight="false" outlineLevel="0" collapsed="false">
      <c r="A2559" s="4" t="s">
        <v>128</v>
      </c>
      <c r="B2559" s="4" t="s">
        <v>425</v>
      </c>
      <c r="C2559" s="4" t="s">
        <v>250</v>
      </c>
      <c r="D2559" s="4" t="n">
        <f aca="false">IFERROR(INDEX(Positions!$D$2:$D$6912,MATCH($A2559&amp;"|12",Positions!$A$2:$A$6912,0)),"-")</f>
        <v>12</v>
      </c>
      <c r="E2559" s="4" t="n">
        <f aca="false">IFERROR(INDEX(Positions!$D$2:$D$6912,MATCH($A2559&amp;"|23",Positions!$A$2:$A$6912,0)),"-")</f>
        <v>23</v>
      </c>
      <c r="F2559" s="4" t="str">
        <f aca="false">IFERROR(INDEX(Positions!$E$2:$E$6912,MATCH($A2559&amp;"|12",Positions!$A$2:$A$6912,0)),"-")</f>
        <v>U</v>
      </c>
      <c r="G2559" s="4" t="str">
        <f aca="false">IFERROR(INDEX(Positions!$E$2:$E$6912,MATCH($A2559&amp;"|23",Positions!$A$2:$A$6912,0)),"-")</f>
        <v>A</v>
      </c>
      <c r="H2559" s="3" t="str">
        <f aca="false">F2559&amp;"-"&amp;G2559</f>
        <v>U-A</v>
      </c>
      <c r="I2559" s="4" t="n">
        <f aca="false">(F2559="G")+(G2559="G")</f>
        <v>0</v>
      </c>
      <c r="J2559" s="4" t="n">
        <f aca="false">(F2559="C")+(G2559="C")</f>
        <v>0</v>
      </c>
      <c r="K2559" s="3" t="n">
        <f aca="false">I2559+J2559</f>
        <v>0</v>
      </c>
    </row>
    <row r="2560" customFormat="false" ht="15" hidden="false" customHeight="false" outlineLevel="0" collapsed="false">
      <c r="A2560" s="4" t="s">
        <v>128</v>
      </c>
      <c r="B2560" s="4" t="s">
        <v>425</v>
      </c>
      <c r="C2560" s="4" t="s">
        <v>154</v>
      </c>
      <c r="D2560" s="4" t="n">
        <f aca="false">IFERROR(INDEX(Positions!$D$2:$D$6912,MATCH($A2560&amp;"|13",Positions!$A$2:$A$6912,0)),"-")</f>
        <v>13</v>
      </c>
      <c r="E2560" s="4" t="n">
        <f aca="false">IFERROR(INDEX(Positions!$D$2:$D$6912,MATCH($A2560&amp;"|22",Positions!$A$2:$A$6912,0)),"-")</f>
        <v>22</v>
      </c>
      <c r="F2560" s="4" t="str">
        <f aca="false">IFERROR(INDEX(Positions!$E$2:$E$6912,MATCH($A2560&amp;"|13",Positions!$A$2:$A$6912,0)),"-")</f>
        <v>C</v>
      </c>
      <c r="G2560" s="4" t="str">
        <f aca="false">IFERROR(INDEX(Positions!$E$2:$E$6912,MATCH($A2560&amp;"|22",Positions!$A$2:$A$6912,0)),"-")</f>
        <v>G</v>
      </c>
      <c r="H2560" s="3" t="str">
        <f aca="false">F2560&amp;"-"&amp;G2560</f>
        <v>C-G</v>
      </c>
      <c r="I2560" s="4" t="n">
        <f aca="false">(F2560="G")+(G2560="G")</f>
        <v>1</v>
      </c>
      <c r="J2560" s="4" t="n">
        <f aca="false">(F2560="C")+(G2560="C")</f>
        <v>1</v>
      </c>
      <c r="K2560" s="3" t="n">
        <f aca="false">I2560+J2560</f>
        <v>2</v>
      </c>
    </row>
    <row r="2561" customFormat="false" ht="15" hidden="false" customHeight="false" outlineLevel="0" collapsed="false">
      <c r="A2561" s="4" t="s">
        <v>128</v>
      </c>
      <c r="B2561" s="4" t="s">
        <v>446</v>
      </c>
      <c r="C2561" s="4" t="s">
        <v>524</v>
      </c>
      <c r="D2561" s="4" t="n">
        <f aca="false">IFERROR(INDEX(Positions!$D$2:$D$6912,MATCH($A2561&amp;"|27",Positions!$A$2:$A$6912,0)),"-")</f>
        <v>27</v>
      </c>
      <c r="E2561" s="4" t="n">
        <f aca="false">IFERROR(INDEX(Positions!$D$2:$D$6912,MATCH($A2561&amp;"|43",Positions!$A$2:$A$6912,0)),"-")</f>
        <v>43</v>
      </c>
      <c r="F2561" s="4" t="str">
        <f aca="false">IFERROR(INDEX(Positions!$E$2:$E$6912,MATCH($A2561&amp;"|27",Positions!$A$2:$A$6912,0)),"-")</f>
        <v>G</v>
      </c>
      <c r="G2561" s="4" t="str">
        <f aca="false">IFERROR(INDEX(Positions!$E$2:$E$6912,MATCH($A2561&amp;"|43",Positions!$A$2:$A$6912,0)),"-")</f>
        <v>U</v>
      </c>
      <c r="H2561" s="3" t="str">
        <f aca="false">F2561&amp;"-"&amp;G2561</f>
        <v>G-U</v>
      </c>
      <c r="I2561" s="4" t="n">
        <f aca="false">(F2561="G")+(G2561="G")</f>
        <v>1</v>
      </c>
      <c r="J2561" s="4" t="n">
        <f aca="false">(F2561="C")+(G2561="C")</f>
        <v>0</v>
      </c>
      <c r="K2561" s="3" t="n">
        <f aca="false">I2561+J2561</f>
        <v>1</v>
      </c>
    </row>
    <row r="2562" customFormat="false" ht="15" hidden="false" customHeight="false" outlineLevel="0" collapsed="false">
      <c r="A2562" s="4" t="s">
        <v>128</v>
      </c>
      <c r="B2562" s="4" t="s">
        <v>446</v>
      </c>
      <c r="C2562" s="4" t="s">
        <v>525</v>
      </c>
      <c r="D2562" s="4" t="n">
        <f aca="false">IFERROR(INDEX(Positions!$D$2:$D$6912,MATCH($A2562&amp;"|28",Positions!$A$2:$A$6912,0)),"-")</f>
        <v>28</v>
      </c>
      <c r="E2562" s="4" t="n">
        <f aca="false">IFERROR(INDEX(Positions!$D$2:$D$6912,MATCH($A2562&amp;"|42",Positions!$A$2:$A$6912,0)),"-")</f>
        <v>42</v>
      </c>
      <c r="F2562" s="4" t="str">
        <f aca="false">IFERROR(INDEX(Positions!$E$2:$E$6912,MATCH($A2562&amp;"|28",Positions!$A$2:$A$6912,0)),"-")</f>
        <v>A</v>
      </c>
      <c r="G2562" s="4" t="str">
        <f aca="false">IFERROR(INDEX(Positions!$E$2:$E$6912,MATCH($A2562&amp;"|42",Positions!$A$2:$A$6912,0)),"-")</f>
        <v>U</v>
      </c>
      <c r="H2562" s="3" t="str">
        <f aca="false">F2562&amp;"-"&amp;G2562</f>
        <v>A-U</v>
      </c>
      <c r="I2562" s="4" t="n">
        <f aca="false">(F2562="G")+(G2562="G")</f>
        <v>0</v>
      </c>
      <c r="J2562" s="4" t="n">
        <f aca="false">(F2562="C")+(G2562="C")</f>
        <v>0</v>
      </c>
      <c r="K2562" s="3" t="n">
        <f aca="false">I2562+J2562</f>
        <v>0</v>
      </c>
    </row>
    <row r="2563" customFormat="false" ht="15" hidden="false" customHeight="false" outlineLevel="0" collapsed="false">
      <c r="A2563" s="4" t="s">
        <v>128</v>
      </c>
      <c r="B2563" s="4" t="s">
        <v>446</v>
      </c>
      <c r="C2563" s="4" t="s">
        <v>256</v>
      </c>
      <c r="D2563" s="4" t="n">
        <f aca="false">IFERROR(INDEX(Positions!$D$2:$D$6912,MATCH($A2563&amp;"|29",Positions!$A$2:$A$6912,0)),"-")</f>
        <v>29</v>
      </c>
      <c r="E2563" s="4" t="n">
        <f aca="false">IFERROR(INDEX(Positions!$D$2:$D$6912,MATCH($A2563&amp;"|41",Positions!$A$2:$A$6912,0)),"-")</f>
        <v>41</v>
      </c>
      <c r="F2563" s="4" t="str">
        <f aca="false">IFERROR(INDEX(Positions!$E$2:$E$6912,MATCH($A2563&amp;"|29",Positions!$A$2:$A$6912,0)),"-")</f>
        <v>G</v>
      </c>
      <c r="G2563" s="4" t="str">
        <f aca="false">IFERROR(INDEX(Positions!$E$2:$E$6912,MATCH($A2563&amp;"|41",Positions!$A$2:$A$6912,0)),"-")</f>
        <v>C</v>
      </c>
      <c r="H2563" s="3" t="str">
        <f aca="false">F2563&amp;"-"&amp;G2563</f>
        <v>G-C</v>
      </c>
      <c r="I2563" s="4" t="n">
        <f aca="false">(F2563="G")+(G2563="G")</f>
        <v>1</v>
      </c>
      <c r="J2563" s="4" t="n">
        <f aca="false">(F2563="C")+(G2563="C")</f>
        <v>1</v>
      </c>
      <c r="K2563" s="3" t="n">
        <f aca="false">I2563+J2563</f>
        <v>2</v>
      </c>
    </row>
    <row r="2564" customFormat="false" ht="15" hidden="false" customHeight="false" outlineLevel="0" collapsed="false">
      <c r="A2564" s="4" t="s">
        <v>128</v>
      </c>
      <c r="B2564" s="4" t="s">
        <v>446</v>
      </c>
      <c r="C2564" s="4" t="s">
        <v>526</v>
      </c>
      <c r="D2564" s="4" t="n">
        <f aca="false">IFERROR(INDEX(Positions!$D$2:$D$6912,MATCH($A2564&amp;"|30",Positions!$A$2:$A$6912,0)),"-")</f>
        <v>30</v>
      </c>
      <c r="E2564" s="4" t="n">
        <f aca="false">IFERROR(INDEX(Positions!$D$2:$D$6912,MATCH($A2564&amp;"|40",Positions!$A$2:$A$6912,0)),"-")</f>
        <v>40</v>
      </c>
      <c r="F2564" s="4" t="str">
        <f aca="false">IFERROR(INDEX(Positions!$E$2:$E$6912,MATCH($A2564&amp;"|30",Positions!$A$2:$A$6912,0)),"-")</f>
        <v>G</v>
      </c>
      <c r="G2564" s="4" t="str">
        <f aca="false">IFERROR(INDEX(Positions!$E$2:$E$6912,MATCH($A2564&amp;"|40",Positions!$A$2:$A$6912,0)),"-")</f>
        <v>C</v>
      </c>
      <c r="H2564" s="3" t="str">
        <f aca="false">F2564&amp;"-"&amp;G2564</f>
        <v>G-C</v>
      </c>
      <c r="I2564" s="4" t="n">
        <f aca="false">(F2564="G")+(G2564="G")</f>
        <v>1</v>
      </c>
      <c r="J2564" s="4" t="n">
        <f aca="false">(F2564="C")+(G2564="C")</f>
        <v>1</v>
      </c>
      <c r="K2564" s="3" t="n">
        <f aca="false">I2564+J2564</f>
        <v>2</v>
      </c>
    </row>
    <row r="2565" customFormat="false" ht="15" hidden="false" customHeight="false" outlineLevel="0" collapsed="false">
      <c r="A2565" s="4" t="s">
        <v>128</v>
      </c>
      <c r="B2565" s="4" t="s">
        <v>446</v>
      </c>
      <c r="C2565" s="4" t="s">
        <v>273</v>
      </c>
      <c r="D2565" s="4" t="n">
        <f aca="false">IFERROR(INDEX(Positions!$D$2:$D$6912,MATCH($A2565&amp;"|31",Positions!$A$2:$A$6912,0)),"-")</f>
        <v>31</v>
      </c>
      <c r="E2565" s="4" t="n">
        <f aca="false">IFERROR(INDEX(Positions!$D$2:$D$6912,MATCH($A2565&amp;"|39",Positions!$A$2:$A$6912,0)),"-")</f>
        <v>39</v>
      </c>
      <c r="F2565" s="4" t="str">
        <f aca="false">IFERROR(INDEX(Positions!$E$2:$E$6912,MATCH($A2565&amp;"|31",Positions!$A$2:$A$6912,0)),"-")</f>
        <v>A</v>
      </c>
      <c r="G2565" s="4" t="str">
        <f aca="false">IFERROR(INDEX(Positions!$E$2:$E$6912,MATCH($A2565&amp;"|39",Positions!$A$2:$A$6912,0)),"-")</f>
        <v>U</v>
      </c>
      <c r="H2565" s="3" t="str">
        <f aca="false">F2565&amp;"-"&amp;G2565</f>
        <v>A-U</v>
      </c>
      <c r="I2565" s="4" t="n">
        <f aca="false">(F2565="G")+(G2565="G")</f>
        <v>0</v>
      </c>
      <c r="J2565" s="4" t="n">
        <f aca="false">(F2565="C")+(G2565="C")</f>
        <v>0</v>
      </c>
      <c r="K2565" s="3" t="n">
        <f aca="false">I2565+J2565</f>
        <v>0</v>
      </c>
    </row>
    <row r="2566" customFormat="false" ht="15" hidden="false" customHeight="false" outlineLevel="0" collapsed="false">
      <c r="A2566" s="4" t="s">
        <v>128</v>
      </c>
      <c r="B2566" s="4" t="s">
        <v>471</v>
      </c>
      <c r="C2566" s="4" t="s">
        <v>367</v>
      </c>
      <c r="D2566" s="4" t="n">
        <f aca="false">IFERROR(INDEX(Positions!$D$2:$D$6912,MATCH($A2566&amp;"|49",Positions!$A$2:$A$6912,0)),"-")</f>
        <v>49</v>
      </c>
      <c r="E2566" s="4" t="n">
        <f aca="false">IFERROR(INDEX(Positions!$D$2:$D$6912,MATCH($A2566&amp;"|65",Positions!$A$2:$A$6912,0)),"-")</f>
        <v>65</v>
      </c>
      <c r="F2566" s="4" t="str">
        <f aca="false">IFERROR(INDEX(Positions!$E$2:$E$6912,MATCH($A2566&amp;"|49",Positions!$A$2:$A$6912,0)),"-")</f>
        <v>G</v>
      </c>
      <c r="G2566" s="4" t="str">
        <f aca="false">IFERROR(INDEX(Positions!$E$2:$E$6912,MATCH($A2566&amp;"|65",Positions!$A$2:$A$6912,0)),"-")</f>
        <v>C</v>
      </c>
      <c r="H2566" s="3" t="str">
        <f aca="false">F2566&amp;"-"&amp;G2566</f>
        <v>G-C</v>
      </c>
      <c r="I2566" s="4" t="n">
        <f aca="false">(F2566="G")+(G2566="G")</f>
        <v>1</v>
      </c>
      <c r="J2566" s="4" t="n">
        <f aca="false">(F2566="C")+(G2566="C")</f>
        <v>1</v>
      </c>
      <c r="K2566" s="3" t="n">
        <f aca="false">I2566+J2566</f>
        <v>2</v>
      </c>
    </row>
    <row r="2567" customFormat="false" ht="15" hidden="false" customHeight="false" outlineLevel="0" collapsed="false">
      <c r="A2567" s="4" t="s">
        <v>128</v>
      </c>
      <c r="B2567" s="4" t="s">
        <v>471</v>
      </c>
      <c r="C2567" s="4" t="s">
        <v>233</v>
      </c>
      <c r="D2567" s="4" t="n">
        <f aca="false">IFERROR(INDEX(Positions!$D$2:$D$6912,MATCH($A2567&amp;"|50",Positions!$A$2:$A$6912,0)),"-")</f>
        <v>50</v>
      </c>
      <c r="E2567" s="4" t="n">
        <f aca="false">IFERROR(INDEX(Positions!$D$2:$D$6912,MATCH($A2567&amp;"|64",Positions!$A$2:$A$6912,0)),"-")</f>
        <v>64</v>
      </c>
      <c r="F2567" s="4" t="str">
        <f aca="false">IFERROR(INDEX(Positions!$E$2:$E$6912,MATCH($A2567&amp;"|50",Positions!$A$2:$A$6912,0)),"-")</f>
        <v>C</v>
      </c>
      <c r="G2567" s="4" t="str">
        <f aca="false">IFERROR(INDEX(Positions!$E$2:$E$6912,MATCH($A2567&amp;"|64",Positions!$A$2:$A$6912,0)),"-")</f>
        <v>G</v>
      </c>
      <c r="H2567" s="3" t="str">
        <f aca="false">F2567&amp;"-"&amp;G2567</f>
        <v>C-G</v>
      </c>
      <c r="I2567" s="4" t="n">
        <f aca="false">(F2567="G")+(G2567="G")</f>
        <v>1</v>
      </c>
      <c r="J2567" s="4" t="n">
        <f aca="false">(F2567="C")+(G2567="C")</f>
        <v>1</v>
      </c>
      <c r="K2567" s="3" t="n">
        <f aca="false">I2567+J2567</f>
        <v>2</v>
      </c>
    </row>
    <row r="2568" customFormat="false" ht="15" hidden="false" customHeight="false" outlineLevel="0" collapsed="false">
      <c r="A2568" s="4" t="s">
        <v>128</v>
      </c>
      <c r="B2568" s="4" t="s">
        <v>471</v>
      </c>
      <c r="C2568" s="4" t="s">
        <v>527</v>
      </c>
      <c r="D2568" s="4" t="n">
        <f aca="false">IFERROR(INDEX(Positions!$D$2:$D$6912,MATCH($A2568&amp;"|51",Positions!$A$2:$A$6912,0)),"-")</f>
        <v>51</v>
      </c>
      <c r="E2568" s="4" t="n">
        <f aca="false">IFERROR(INDEX(Positions!$D$2:$D$6912,MATCH($A2568&amp;"|63",Positions!$A$2:$A$6912,0)),"-")</f>
        <v>63</v>
      </c>
      <c r="F2568" s="4" t="str">
        <f aca="false">IFERROR(INDEX(Positions!$E$2:$E$6912,MATCH($A2568&amp;"|51",Positions!$A$2:$A$6912,0)),"-")</f>
        <v>U</v>
      </c>
      <c r="G2568" s="4" t="str">
        <f aca="false">IFERROR(INDEX(Positions!$E$2:$E$6912,MATCH($A2568&amp;"|63",Positions!$A$2:$A$6912,0)),"-")</f>
        <v>G</v>
      </c>
      <c r="H2568" s="3" t="str">
        <f aca="false">F2568&amp;"-"&amp;G2568</f>
        <v>U-G</v>
      </c>
      <c r="I2568" s="4" t="n">
        <f aca="false">(F2568="G")+(G2568="G")</f>
        <v>1</v>
      </c>
      <c r="J2568" s="4" t="n">
        <f aca="false">(F2568="C")+(G2568="C")</f>
        <v>0</v>
      </c>
      <c r="K2568" s="3" t="n">
        <f aca="false">I2568+J2568</f>
        <v>1</v>
      </c>
    </row>
    <row r="2569" customFormat="false" ht="15" hidden="false" customHeight="false" outlineLevel="0" collapsed="false">
      <c r="A2569" s="4" t="s">
        <v>128</v>
      </c>
      <c r="B2569" s="4" t="s">
        <v>471</v>
      </c>
      <c r="C2569" s="4" t="s">
        <v>528</v>
      </c>
      <c r="D2569" s="4" t="n">
        <f aca="false">IFERROR(INDEX(Positions!$D$2:$D$6912,MATCH($A2569&amp;"|52",Positions!$A$2:$A$6912,0)),"-")</f>
        <v>52</v>
      </c>
      <c r="E2569" s="4" t="n">
        <f aca="false">IFERROR(INDEX(Positions!$D$2:$D$6912,MATCH($A2569&amp;"|62",Positions!$A$2:$A$6912,0)),"-")</f>
        <v>62</v>
      </c>
      <c r="F2569" s="4" t="str">
        <f aca="false">IFERROR(INDEX(Positions!$E$2:$E$6912,MATCH($A2569&amp;"|52",Positions!$A$2:$A$6912,0)),"-")</f>
        <v>G</v>
      </c>
      <c r="G2569" s="4" t="str">
        <f aca="false">IFERROR(INDEX(Positions!$E$2:$E$6912,MATCH($A2569&amp;"|62",Positions!$A$2:$A$6912,0)),"-")</f>
        <v>C</v>
      </c>
      <c r="H2569" s="3" t="str">
        <f aca="false">F2569&amp;"-"&amp;G2569</f>
        <v>G-C</v>
      </c>
      <c r="I2569" s="4" t="n">
        <f aca="false">(F2569="G")+(G2569="G")</f>
        <v>1</v>
      </c>
      <c r="J2569" s="4" t="n">
        <f aca="false">(F2569="C")+(G2569="C")</f>
        <v>1</v>
      </c>
      <c r="K2569" s="3" t="n">
        <f aca="false">I2569+J2569</f>
        <v>2</v>
      </c>
    </row>
    <row r="2570" customFormat="false" ht="15" hidden="false" customHeight="false" outlineLevel="0" collapsed="false">
      <c r="A2570" s="4" t="s">
        <v>128</v>
      </c>
      <c r="B2570" s="4" t="s">
        <v>471</v>
      </c>
      <c r="C2570" s="4" t="s">
        <v>529</v>
      </c>
      <c r="D2570" s="4" t="n">
        <f aca="false">IFERROR(INDEX(Positions!$D$2:$D$6912,MATCH($A2570&amp;"|53",Positions!$A$2:$A$6912,0)),"-")</f>
        <v>53</v>
      </c>
      <c r="E2570" s="4" t="n">
        <f aca="false">IFERROR(INDEX(Positions!$D$2:$D$6912,MATCH($A2570&amp;"|61",Positions!$A$2:$A$6912,0)),"-")</f>
        <v>61</v>
      </c>
      <c r="F2570" s="4" t="str">
        <f aca="false">IFERROR(INDEX(Positions!$E$2:$E$6912,MATCH($A2570&amp;"|53",Positions!$A$2:$A$6912,0)),"-")</f>
        <v>G</v>
      </c>
      <c r="G2570" s="4" t="str">
        <f aca="false">IFERROR(INDEX(Positions!$E$2:$E$6912,MATCH($A2570&amp;"|61",Positions!$A$2:$A$6912,0)),"-")</f>
        <v>C</v>
      </c>
      <c r="H2570" s="3" t="str">
        <f aca="false">F2570&amp;"-"&amp;G2570</f>
        <v>G-C</v>
      </c>
      <c r="I2570" s="4" t="n">
        <f aca="false">(F2570="G")+(G2570="G")</f>
        <v>1</v>
      </c>
      <c r="J2570" s="4" t="n">
        <f aca="false">(F2570="C")+(G2570="C")</f>
        <v>1</v>
      </c>
      <c r="K2570" s="3" t="n">
        <f aca="false">I2570+J2570</f>
        <v>2</v>
      </c>
    </row>
    <row r="2571" customFormat="false" ht="15" hidden="false" customHeight="false" outlineLevel="0" collapsed="false">
      <c r="A2571" s="24" t="s">
        <v>128</v>
      </c>
      <c r="B2571" s="24" t="s">
        <v>530</v>
      </c>
      <c r="C2571" s="24" t="s">
        <v>531</v>
      </c>
      <c r="D2571" s="24" t="n">
        <f aca="false">IFERROR(INDEX(Positions!$D$2:$D$6912,MATCH($A2571&amp;"|8",Positions!$A$2:$A$6912,0)),"-")</f>
        <v>8</v>
      </c>
      <c r="E2571" s="24" t="n">
        <f aca="false">IFERROR(INDEX(Positions!$D$2:$D$6912,MATCH($A2571&amp;"|14",Positions!$A$2:$A$6912,0)),"-")</f>
        <v>14</v>
      </c>
      <c r="F2571" s="24" t="str">
        <f aca="false">IFERROR(INDEX(Positions!$E$2:$E$6912,MATCH($A2571&amp;"|8",Positions!$A$2:$A$6912,0)),"-")</f>
        <v>U</v>
      </c>
      <c r="G2571" s="24" t="str">
        <f aca="false">IFERROR(INDEX(Positions!$E$2:$E$6912,MATCH($A2571&amp;"|14",Positions!$A$2:$A$6912,0)),"-")</f>
        <v>A</v>
      </c>
      <c r="H2571" s="25" t="str">
        <f aca="false">F2571&amp;"-"&amp;G2571</f>
        <v>U-A</v>
      </c>
      <c r="I2571" s="24" t="n">
        <f aca="false">(F2571="G")+(G2571="G")</f>
        <v>0</v>
      </c>
      <c r="J2571" s="24" t="n">
        <f aca="false">(F2571="C")+(G2571="C")</f>
        <v>0</v>
      </c>
      <c r="K2571" s="25" t="n">
        <f aca="false">I2571+J2571</f>
        <v>0</v>
      </c>
    </row>
    <row r="2572" customFormat="false" ht="15" hidden="false" customHeight="false" outlineLevel="0" collapsed="false">
      <c r="A2572" s="24" t="s">
        <v>128</v>
      </c>
      <c r="B2572" s="24" t="s">
        <v>530</v>
      </c>
      <c r="C2572" s="24" t="s">
        <v>532</v>
      </c>
      <c r="D2572" s="24" t="n">
        <f aca="false">IFERROR(INDEX(Positions!$D$2:$D$6912,MATCH($A2572&amp;"|15",Positions!$A$2:$A$6912,0)),"-")</f>
        <v>15</v>
      </c>
      <c r="E2572" s="24" t="n">
        <f aca="false">IFERROR(INDEX(Positions!$D$2:$D$6912,MATCH($A2572&amp;"|48",Positions!$A$2:$A$6912,0)),"-")</f>
        <v>48</v>
      </c>
      <c r="F2572" s="24" t="str">
        <f aca="false">IFERROR(INDEX(Positions!$E$2:$E$6912,MATCH($A2572&amp;"|15",Positions!$A$2:$A$6912,0)),"-")</f>
        <v>G</v>
      </c>
      <c r="G2572" s="24" t="str">
        <f aca="false">IFERROR(INDEX(Positions!$E$2:$E$6912,MATCH($A2572&amp;"|48",Positions!$A$2:$A$6912,0)),"-")</f>
        <v>C</v>
      </c>
      <c r="H2572" s="25" t="str">
        <f aca="false">F2572&amp;"-"&amp;G2572</f>
        <v>G-C</v>
      </c>
      <c r="I2572" s="24" t="n">
        <f aca="false">(F2572="G")+(G2572="G")</f>
        <v>1</v>
      </c>
      <c r="J2572" s="24" t="n">
        <f aca="false">(F2572="C")+(G2572="C")</f>
        <v>1</v>
      </c>
      <c r="K2572" s="25" t="n">
        <f aca="false">I2572+J2572</f>
        <v>2</v>
      </c>
    </row>
    <row r="2573" customFormat="false" ht="15" hidden="false" customHeight="false" outlineLevel="0" collapsed="false">
      <c r="A2573" s="24" t="s">
        <v>128</v>
      </c>
      <c r="B2573" s="24" t="s">
        <v>530</v>
      </c>
      <c r="C2573" s="24" t="s">
        <v>533</v>
      </c>
      <c r="D2573" s="24" t="n">
        <f aca="false">IFERROR(INDEX(Positions!$D$2:$D$6912,MATCH($A2573&amp;"|18",Positions!$A$2:$A$6912,0)),"-")</f>
        <v>18</v>
      </c>
      <c r="E2573" s="24" t="n">
        <f aca="false">IFERROR(INDEX(Positions!$D$2:$D$6912,MATCH($A2573&amp;"|55",Positions!$A$2:$A$6912,0)),"-")</f>
        <v>55</v>
      </c>
      <c r="F2573" s="24" t="str">
        <f aca="false">IFERROR(INDEX(Positions!$E$2:$E$6912,MATCH($A2573&amp;"|18",Positions!$A$2:$A$6912,0)),"-")</f>
        <v>G</v>
      </c>
      <c r="G2573" s="24" t="str">
        <f aca="false">IFERROR(INDEX(Positions!$E$2:$E$6912,MATCH($A2573&amp;"|55",Positions!$A$2:$A$6912,0)),"-")</f>
        <v>U</v>
      </c>
      <c r="H2573" s="25" t="str">
        <f aca="false">F2573&amp;"-"&amp;G2573</f>
        <v>G-U</v>
      </c>
      <c r="I2573" s="24" t="n">
        <f aca="false">(F2573="G")+(G2573="G")</f>
        <v>1</v>
      </c>
      <c r="J2573" s="24" t="n">
        <f aca="false">(F2573="C")+(G2573="C")</f>
        <v>0</v>
      </c>
      <c r="K2573" s="25" t="n">
        <f aca="false">I2573+J2573</f>
        <v>1</v>
      </c>
    </row>
    <row r="2574" customFormat="false" ht="15" hidden="false" customHeight="false" outlineLevel="0" collapsed="false">
      <c r="A2574" s="24" t="s">
        <v>128</v>
      </c>
      <c r="B2574" s="24" t="s">
        <v>530</v>
      </c>
      <c r="C2574" s="24" t="s">
        <v>534</v>
      </c>
      <c r="D2574" s="24" t="n">
        <f aca="false">IFERROR(INDEX(Positions!$D$2:$D$6912,MATCH($A2574&amp;"|19",Positions!$A$2:$A$6912,0)),"-")</f>
        <v>19</v>
      </c>
      <c r="E2574" s="24" t="n">
        <f aca="false">IFERROR(INDEX(Positions!$D$2:$D$6912,MATCH($A2574&amp;"|56",Positions!$A$2:$A$6912,0)),"-")</f>
        <v>56</v>
      </c>
      <c r="F2574" s="24" t="str">
        <f aca="false">IFERROR(INDEX(Positions!$E$2:$E$6912,MATCH($A2574&amp;"|19",Positions!$A$2:$A$6912,0)),"-")</f>
        <v>G</v>
      </c>
      <c r="G2574" s="24" t="str">
        <f aca="false">IFERROR(INDEX(Positions!$E$2:$E$6912,MATCH($A2574&amp;"|56",Positions!$A$2:$A$6912,0)),"-")</f>
        <v>C</v>
      </c>
      <c r="H2574" s="25" t="str">
        <f aca="false">F2574&amp;"-"&amp;G2574</f>
        <v>G-C</v>
      </c>
      <c r="I2574" s="24" t="n">
        <f aca="false">(F2574="G")+(G2574="G")</f>
        <v>1</v>
      </c>
      <c r="J2574" s="24" t="n">
        <f aca="false">(F2574="C")+(G2574="C")</f>
        <v>1</v>
      </c>
      <c r="K2574" s="25" t="n">
        <f aca="false">I2574+J2574</f>
        <v>2</v>
      </c>
    </row>
    <row r="2575" customFormat="false" ht="15" hidden="false" customHeight="false" outlineLevel="0" collapsed="false">
      <c r="A2575" s="24" t="s">
        <v>128</v>
      </c>
      <c r="B2575" s="24" t="s">
        <v>530</v>
      </c>
      <c r="C2575" s="24" t="s">
        <v>535</v>
      </c>
      <c r="D2575" s="24" t="n">
        <f aca="false">IFERROR(INDEX(Positions!$D$2:$D$6912,MATCH($A2575&amp;"|26",Positions!$A$2:$A$6912,0)),"-")</f>
        <v>26</v>
      </c>
      <c r="E2575" s="24" t="n">
        <f aca="false">IFERROR(INDEX(Positions!$D$2:$D$6912,MATCH($A2575&amp;"|44",Positions!$A$2:$A$6912,0)),"-")</f>
        <v>44</v>
      </c>
      <c r="F2575" s="24" t="str">
        <f aca="false">IFERROR(INDEX(Positions!$E$2:$E$6912,MATCH($A2575&amp;"|26",Positions!$A$2:$A$6912,0)),"-")</f>
        <v>G</v>
      </c>
      <c r="G2575" s="24" t="str">
        <f aca="false">IFERROR(INDEX(Positions!$E$2:$E$6912,MATCH($A2575&amp;"|44",Positions!$A$2:$A$6912,0)),"-")</f>
        <v>A</v>
      </c>
      <c r="H2575" s="25" t="str">
        <f aca="false">F2575&amp;"-"&amp;G2575</f>
        <v>G-A</v>
      </c>
      <c r="I2575" s="24" t="n">
        <f aca="false">(F2575="G")+(G2575="G")</f>
        <v>1</v>
      </c>
      <c r="J2575" s="24" t="n">
        <f aca="false">(F2575="C")+(G2575="C")</f>
        <v>0</v>
      </c>
      <c r="K2575" s="25" t="n">
        <f aca="false">I2575+J2575</f>
        <v>1</v>
      </c>
    </row>
    <row r="2576" customFormat="false" ht="15" hidden="false" customHeight="false" outlineLevel="0" collapsed="false">
      <c r="A2576" s="24" t="s">
        <v>128</v>
      </c>
      <c r="B2576" s="24" t="s">
        <v>530</v>
      </c>
      <c r="C2576" s="24" t="s">
        <v>536</v>
      </c>
      <c r="D2576" s="24" t="n">
        <f aca="false">IFERROR(INDEX(Positions!$D$2:$D$6912,MATCH($A2576&amp;"|32",Positions!$A$2:$A$6912,0)),"-")</f>
        <v>32</v>
      </c>
      <c r="E2576" s="24" t="n">
        <f aca="false">IFERROR(INDEX(Positions!$D$2:$D$6912,MATCH($A2576&amp;"|38",Positions!$A$2:$A$6912,0)),"-")</f>
        <v>38</v>
      </c>
      <c r="F2576" s="24" t="str">
        <f aca="false">IFERROR(INDEX(Positions!$E$2:$E$6912,MATCH($A2576&amp;"|32",Positions!$A$2:$A$6912,0)),"-")</f>
        <v>C</v>
      </c>
      <c r="G2576" s="24" t="str">
        <f aca="false">IFERROR(INDEX(Positions!$E$2:$E$6912,MATCH($A2576&amp;"|38",Positions!$A$2:$A$6912,0)),"-")</f>
        <v>A</v>
      </c>
      <c r="H2576" s="25" t="str">
        <f aca="false">F2576&amp;"-"&amp;G2576</f>
        <v>C-A</v>
      </c>
      <c r="I2576" s="24" t="n">
        <f aca="false">(F2576="G")+(G2576="G")</f>
        <v>0</v>
      </c>
      <c r="J2576" s="24" t="n">
        <f aca="false">(F2576="C")+(G2576="C")</f>
        <v>1</v>
      </c>
      <c r="K2576" s="25" t="n">
        <f aca="false">I2576+J2576</f>
        <v>1</v>
      </c>
    </row>
    <row r="2577" customFormat="false" ht="15" hidden="false" customHeight="false" outlineLevel="0" collapsed="false">
      <c r="A2577" s="24" t="s">
        <v>128</v>
      </c>
      <c r="B2577" s="24" t="s">
        <v>530</v>
      </c>
      <c r="C2577" s="24" t="s">
        <v>537</v>
      </c>
      <c r="D2577" s="24" t="n">
        <f aca="false">IFERROR(INDEX(Positions!$D$2:$D$6912,MATCH($A2577&amp;"|54",Positions!$A$2:$A$6912,0)),"-")</f>
        <v>54</v>
      </c>
      <c r="E2577" s="24" t="n">
        <f aca="false">IFERROR(INDEX(Positions!$D$2:$D$6912,MATCH($A2577&amp;"|58",Positions!$A$2:$A$6912,0)),"-")</f>
        <v>58</v>
      </c>
      <c r="F2577" s="24" t="str">
        <f aca="false">IFERROR(INDEX(Positions!$E$2:$E$6912,MATCH($A2577&amp;"|54",Positions!$A$2:$A$6912,0)),"-")</f>
        <v>U</v>
      </c>
      <c r="G2577" s="24" t="str">
        <f aca="false">IFERROR(INDEX(Positions!$E$2:$E$6912,MATCH($A2577&amp;"|58",Positions!$A$2:$A$6912,0)),"-")</f>
        <v>A</v>
      </c>
      <c r="H2577" s="25" t="str">
        <f aca="false">F2577&amp;"-"&amp;G2577</f>
        <v>U-A</v>
      </c>
      <c r="I2577" s="24" t="n">
        <f aca="false">(F2577="G")+(G2577="G")</f>
        <v>0</v>
      </c>
      <c r="J2577" s="24" t="n">
        <f aca="false">(F2577="C")+(G2577="C")</f>
        <v>0</v>
      </c>
      <c r="K2577" s="25" t="n">
        <f aca="false">I2577+J2577</f>
        <v>0</v>
      </c>
    </row>
    <row r="2578" customFormat="false" ht="15" hidden="false" customHeight="false" outlineLevel="0" collapsed="false">
      <c r="A2578" s="4" t="s">
        <v>129</v>
      </c>
      <c r="B2578" s="4" t="s">
        <v>412</v>
      </c>
      <c r="C2578" s="4" t="s">
        <v>517</v>
      </c>
      <c r="D2578" s="4" t="n">
        <f aca="false">IFERROR(INDEX(Positions!$D$2:$D$6912,MATCH($A2578&amp;"|1",Positions!$A$2:$A$6912,0)),"-")</f>
        <v>1</v>
      </c>
      <c r="E2578" s="4" t="n">
        <f aca="false">IFERROR(INDEX(Positions!$D$2:$D$6912,MATCH($A2578&amp;"|72",Positions!$A$2:$A$6912,0)),"-")</f>
        <v>72</v>
      </c>
      <c r="F2578" s="4" t="str">
        <f aca="false">IFERROR(INDEX(Positions!$E$2:$E$6912,MATCH($A2578&amp;"|1",Positions!$A$2:$A$6912,0)),"-")</f>
        <v>C</v>
      </c>
      <c r="G2578" s="4" t="str">
        <f aca="false">IFERROR(INDEX(Positions!$E$2:$E$6912,MATCH($A2578&amp;"|72",Positions!$A$2:$A$6912,0)),"-")</f>
        <v>G</v>
      </c>
      <c r="H2578" s="3" t="str">
        <f aca="false">F2578&amp;"-"&amp;G2578</f>
        <v>C-G</v>
      </c>
      <c r="I2578" s="4" t="n">
        <f aca="false">(F2578="G")+(G2578="G")</f>
        <v>1</v>
      </c>
      <c r="J2578" s="4" t="n">
        <f aca="false">(F2578="C")+(G2578="C")</f>
        <v>1</v>
      </c>
      <c r="K2578" s="3" t="n">
        <f aca="false">I2578+J2578</f>
        <v>2</v>
      </c>
    </row>
    <row r="2579" customFormat="false" ht="15" hidden="false" customHeight="false" outlineLevel="0" collapsed="false">
      <c r="A2579" s="4" t="s">
        <v>129</v>
      </c>
      <c r="B2579" s="4" t="s">
        <v>412</v>
      </c>
      <c r="C2579" s="4" t="s">
        <v>518</v>
      </c>
      <c r="D2579" s="4" t="n">
        <f aca="false">IFERROR(INDEX(Positions!$D$2:$D$6912,MATCH($A2579&amp;"|2",Positions!$A$2:$A$6912,0)),"-")</f>
        <v>2</v>
      </c>
      <c r="E2579" s="4" t="n">
        <f aca="false">IFERROR(INDEX(Positions!$D$2:$D$6912,MATCH($A2579&amp;"|71",Positions!$A$2:$A$6912,0)),"-")</f>
        <v>71</v>
      </c>
      <c r="F2579" s="4" t="str">
        <f aca="false">IFERROR(INDEX(Positions!$E$2:$E$6912,MATCH($A2579&amp;"|2",Positions!$A$2:$A$6912,0)),"-")</f>
        <v>C</v>
      </c>
      <c r="G2579" s="4" t="str">
        <f aca="false">IFERROR(INDEX(Positions!$E$2:$E$6912,MATCH($A2579&amp;"|71",Positions!$A$2:$A$6912,0)),"-")</f>
        <v>G</v>
      </c>
      <c r="H2579" s="3" t="str">
        <f aca="false">F2579&amp;"-"&amp;G2579</f>
        <v>C-G</v>
      </c>
      <c r="I2579" s="4" t="n">
        <f aca="false">(F2579="G")+(G2579="G")</f>
        <v>1</v>
      </c>
      <c r="J2579" s="4" t="n">
        <f aca="false">(F2579="C")+(G2579="C")</f>
        <v>1</v>
      </c>
      <c r="K2579" s="3" t="n">
        <f aca="false">I2579+J2579</f>
        <v>2</v>
      </c>
    </row>
    <row r="2580" customFormat="false" ht="15" hidden="false" customHeight="false" outlineLevel="0" collapsed="false">
      <c r="A2580" s="4" t="s">
        <v>129</v>
      </c>
      <c r="B2580" s="4" t="s">
        <v>412</v>
      </c>
      <c r="C2580" s="4" t="s">
        <v>386</v>
      </c>
      <c r="D2580" s="4" t="n">
        <f aca="false">IFERROR(INDEX(Positions!$D$2:$D$6912,MATCH($A2580&amp;"|3",Positions!$A$2:$A$6912,0)),"-")</f>
        <v>3</v>
      </c>
      <c r="E2580" s="4" t="n">
        <f aca="false">IFERROR(INDEX(Positions!$D$2:$D$6912,MATCH($A2580&amp;"|70",Positions!$A$2:$A$6912,0)),"-")</f>
        <v>70</v>
      </c>
      <c r="F2580" s="4" t="str">
        <f aca="false">IFERROR(INDEX(Positions!$E$2:$E$6912,MATCH($A2580&amp;"|3",Positions!$A$2:$A$6912,0)),"-")</f>
        <v>U</v>
      </c>
      <c r="G2580" s="4" t="str">
        <f aca="false">IFERROR(INDEX(Positions!$E$2:$E$6912,MATCH($A2580&amp;"|70",Positions!$A$2:$A$6912,0)),"-")</f>
        <v>A</v>
      </c>
      <c r="H2580" s="3" t="str">
        <f aca="false">F2580&amp;"-"&amp;G2580</f>
        <v>U-A</v>
      </c>
      <c r="I2580" s="4" t="n">
        <f aca="false">(F2580="G")+(G2580="G")</f>
        <v>0</v>
      </c>
      <c r="J2580" s="4" t="n">
        <f aca="false">(F2580="C")+(G2580="C")</f>
        <v>0</v>
      </c>
      <c r="K2580" s="3" t="n">
        <f aca="false">I2580+J2580</f>
        <v>0</v>
      </c>
    </row>
    <row r="2581" customFormat="false" ht="15" hidden="false" customHeight="false" outlineLevel="0" collapsed="false">
      <c r="A2581" s="4" t="s">
        <v>129</v>
      </c>
      <c r="B2581" s="4" t="s">
        <v>412</v>
      </c>
      <c r="C2581" s="4" t="s">
        <v>519</v>
      </c>
      <c r="D2581" s="4" t="n">
        <f aca="false">IFERROR(INDEX(Positions!$D$2:$D$6912,MATCH($A2581&amp;"|4",Positions!$A$2:$A$6912,0)),"-")</f>
        <v>4</v>
      </c>
      <c r="E2581" s="4" t="n">
        <f aca="false">IFERROR(INDEX(Positions!$D$2:$D$6912,MATCH($A2581&amp;"|69",Positions!$A$2:$A$6912,0)),"-")</f>
        <v>69</v>
      </c>
      <c r="F2581" s="4" t="str">
        <f aca="false">IFERROR(INDEX(Positions!$E$2:$E$6912,MATCH($A2581&amp;"|4",Positions!$A$2:$A$6912,0)),"-")</f>
        <v>U</v>
      </c>
      <c r="G2581" s="4" t="str">
        <f aca="false">IFERROR(INDEX(Positions!$E$2:$E$6912,MATCH($A2581&amp;"|69",Positions!$A$2:$A$6912,0)),"-")</f>
        <v>A</v>
      </c>
      <c r="H2581" s="3" t="str">
        <f aca="false">F2581&amp;"-"&amp;G2581</f>
        <v>U-A</v>
      </c>
      <c r="I2581" s="4" t="n">
        <f aca="false">(F2581="G")+(G2581="G")</f>
        <v>0</v>
      </c>
      <c r="J2581" s="4" t="n">
        <f aca="false">(F2581="C")+(G2581="C")</f>
        <v>0</v>
      </c>
      <c r="K2581" s="3" t="n">
        <f aca="false">I2581+J2581</f>
        <v>0</v>
      </c>
    </row>
    <row r="2582" customFormat="false" ht="15" hidden="false" customHeight="false" outlineLevel="0" collapsed="false">
      <c r="A2582" s="4" t="s">
        <v>129</v>
      </c>
      <c r="B2582" s="4" t="s">
        <v>412</v>
      </c>
      <c r="C2582" s="4" t="s">
        <v>283</v>
      </c>
      <c r="D2582" s="4" t="n">
        <f aca="false">IFERROR(INDEX(Positions!$D$2:$D$6912,MATCH($A2582&amp;"|5",Positions!$A$2:$A$6912,0)),"-")</f>
        <v>5</v>
      </c>
      <c r="E2582" s="4" t="n">
        <f aca="false">IFERROR(INDEX(Positions!$D$2:$D$6912,MATCH($A2582&amp;"|68",Positions!$A$2:$A$6912,0)),"-")</f>
        <v>68</v>
      </c>
      <c r="F2582" s="4" t="str">
        <f aca="false">IFERROR(INDEX(Positions!$E$2:$E$6912,MATCH($A2582&amp;"|5",Positions!$A$2:$A$6912,0)),"-")</f>
        <v>C</v>
      </c>
      <c r="G2582" s="4" t="str">
        <f aca="false">IFERROR(INDEX(Positions!$E$2:$E$6912,MATCH($A2582&amp;"|68",Positions!$A$2:$A$6912,0)),"-")</f>
        <v>G</v>
      </c>
      <c r="H2582" s="3" t="str">
        <f aca="false">F2582&amp;"-"&amp;G2582</f>
        <v>C-G</v>
      </c>
      <c r="I2582" s="4" t="n">
        <f aca="false">(F2582="G")+(G2582="G")</f>
        <v>1</v>
      </c>
      <c r="J2582" s="4" t="n">
        <f aca="false">(F2582="C")+(G2582="C")</f>
        <v>1</v>
      </c>
      <c r="K2582" s="3" t="n">
        <f aca="false">I2582+J2582</f>
        <v>2</v>
      </c>
    </row>
    <row r="2583" customFormat="false" ht="15" hidden="false" customHeight="false" outlineLevel="0" collapsed="false">
      <c r="A2583" s="4" t="s">
        <v>129</v>
      </c>
      <c r="B2583" s="4" t="s">
        <v>412</v>
      </c>
      <c r="C2583" s="4" t="s">
        <v>520</v>
      </c>
      <c r="D2583" s="4" t="n">
        <f aca="false">IFERROR(INDEX(Positions!$D$2:$D$6912,MATCH($A2583&amp;"|6",Positions!$A$2:$A$6912,0)),"-")</f>
        <v>6</v>
      </c>
      <c r="E2583" s="4" t="n">
        <f aca="false">IFERROR(INDEX(Positions!$D$2:$D$6912,MATCH($A2583&amp;"|67",Positions!$A$2:$A$6912,0)),"-")</f>
        <v>67</v>
      </c>
      <c r="F2583" s="4" t="str">
        <f aca="false">IFERROR(INDEX(Positions!$E$2:$E$6912,MATCH($A2583&amp;"|6",Positions!$A$2:$A$6912,0)),"-")</f>
        <v>G</v>
      </c>
      <c r="G2583" s="4" t="str">
        <f aca="false">IFERROR(INDEX(Positions!$E$2:$E$6912,MATCH($A2583&amp;"|67",Positions!$A$2:$A$6912,0)),"-")</f>
        <v>C</v>
      </c>
      <c r="H2583" s="3" t="str">
        <f aca="false">F2583&amp;"-"&amp;G2583</f>
        <v>G-C</v>
      </c>
      <c r="I2583" s="4" t="n">
        <f aca="false">(F2583="G")+(G2583="G")</f>
        <v>1</v>
      </c>
      <c r="J2583" s="4" t="n">
        <f aca="false">(F2583="C")+(G2583="C")</f>
        <v>1</v>
      </c>
      <c r="K2583" s="3" t="n">
        <f aca="false">I2583+J2583</f>
        <v>2</v>
      </c>
    </row>
    <row r="2584" customFormat="false" ht="15" hidden="false" customHeight="false" outlineLevel="0" collapsed="false">
      <c r="A2584" s="4" t="s">
        <v>129</v>
      </c>
      <c r="B2584" s="4" t="s">
        <v>412</v>
      </c>
      <c r="C2584" s="4" t="s">
        <v>521</v>
      </c>
      <c r="D2584" s="4" t="n">
        <f aca="false">IFERROR(INDEX(Positions!$D$2:$D$6912,MATCH($A2584&amp;"|7",Positions!$A$2:$A$6912,0)),"-")</f>
        <v>7</v>
      </c>
      <c r="E2584" s="4" t="n">
        <f aca="false">IFERROR(INDEX(Positions!$D$2:$D$6912,MATCH($A2584&amp;"|66",Positions!$A$2:$A$6912,0)),"-")</f>
        <v>66</v>
      </c>
      <c r="F2584" s="4" t="str">
        <f aca="false">IFERROR(INDEX(Positions!$E$2:$E$6912,MATCH($A2584&amp;"|7",Positions!$A$2:$A$6912,0)),"-")</f>
        <v>A</v>
      </c>
      <c r="G2584" s="4" t="str">
        <f aca="false">IFERROR(INDEX(Positions!$E$2:$E$6912,MATCH($A2584&amp;"|66",Positions!$A$2:$A$6912,0)),"-")</f>
        <v>U</v>
      </c>
      <c r="H2584" s="3" t="str">
        <f aca="false">F2584&amp;"-"&amp;G2584</f>
        <v>A-U</v>
      </c>
      <c r="I2584" s="4" t="n">
        <f aca="false">(F2584="G")+(G2584="G")</f>
        <v>0</v>
      </c>
      <c r="J2584" s="4" t="n">
        <f aca="false">(F2584="C")+(G2584="C")</f>
        <v>0</v>
      </c>
      <c r="K2584" s="3" t="n">
        <f aca="false">I2584+J2584</f>
        <v>0</v>
      </c>
    </row>
    <row r="2585" customFormat="false" ht="15" hidden="false" customHeight="false" outlineLevel="0" collapsed="false">
      <c r="A2585" s="4" t="s">
        <v>129</v>
      </c>
      <c r="B2585" s="4" t="s">
        <v>425</v>
      </c>
      <c r="C2585" s="4" t="s">
        <v>522</v>
      </c>
      <c r="D2585" s="4" t="n">
        <f aca="false">IFERROR(INDEX(Positions!$D$2:$D$6912,MATCH($A2585&amp;"|10",Positions!$A$2:$A$6912,0)),"-")</f>
        <v>10</v>
      </c>
      <c r="E2585" s="4" t="n">
        <f aca="false">IFERROR(INDEX(Positions!$D$2:$D$6912,MATCH($A2585&amp;"|25",Positions!$A$2:$A$6912,0)),"-")</f>
        <v>25</v>
      </c>
      <c r="F2585" s="4" t="str">
        <f aca="false">IFERROR(INDEX(Positions!$E$2:$E$6912,MATCH($A2585&amp;"|10",Positions!$A$2:$A$6912,0)),"-")</f>
        <v>G</v>
      </c>
      <c r="G2585" s="4" t="str">
        <f aca="false">IFERROR(INDEX(Positions!$E$2:$E$6912,MATCH($A2585&amp;"|25",Positions!$A$2:$A$6912,0)),"-")</f>
        <v>C</v>
      </c>
      <c r="H2585" s="3" t="str">
        <f aca="false">F2585&amp;"-"&amp;G2585</f>
        <v>G-C</v>
      </c>
      <c r="I2585" s="4" t="n">
        <f aca="false">(F2585="G")+(G2585="G")</f>
        <v>1</v>
      </c>
      <c r="J2585" s="4" t="n">
        <f aca="false">(F2585="C")+(G2585="C")</f>
        <v>1</v>
      </c>
      <c r="K2585" s="3" t="n">
        <f aca="false">I2585+J2585</f>
        <v>2</v>
      </c>
    </row>
    <row r="2586" customFormat="false" ht="15" hidden="false" customHeight="false" outlineLevel="0" collapsed="false">
      <c r="A2586" s="4" t="s">
        <v>129</v>
      </c>
      <c r="B2586" s="4" t="s">
        <v>425</v>
      </c>
      <c r="C2586" s="4" t="s">
        <v>523</v>
      </c>
      <c r="D2586" s="4" t="n">
        <f aca="false">IFERROR(INDEX(Positions!$D$2:$D$6912,MATCH($A2586&amp;"|11",Positions!$A$2:$A$6912,0)),"-")</f>
        <v>11</v>
      </c>
      <c r="E2586" s="4" t="n">
        <f aca="false">IFERROR(INDEX(Positions!$D$2:$D$6912,MATCH($A2586&amp;"|24",Positions!$A$2:$A$6912,0)),"-")</f>
        <v>24</v>
      </c>
      <c r="F2586" s="4" t="str">
        <f aca="false">IFERROR(INDEX(Positions!$E$2:$E$6912,MATCH($A2586&amp;"|11",Positions!$A$2:$A$6912,0)),"-")</f>
        <v>C</v>
      </c>
      <c r="G2586" s="4" t="str">
        <f aca="false">IFERROR(INDEX(Positions!$E$2:$E$6912,MATCH($A2586&amp;"|24",Positions!$A$2:$A$6912,0)),"-")</f>
        <v>G</v>
      </c>
      <c r="H2586" s="3" t="str">
        <f aca="false">F2586&amp;"-"&amp;G2586</f>
        <v>C-G</v>
      </c>
      <c r="I2586" s="4" t="n">
        <f aca="false">(F2586="G")+(G2586="G")</f>
        <v>1</v>
      </c>
      <c r="J2586" s="4" t="n">
        <f aca="false">(F2586="C")+(G2586="C")</f>
        <v>1</v>
      </c>
      <c r="K2586" s="3" t="n">
        <f aca="false">I2586+J2586</f>
        <v>2</v>
      </c>
    </row>
    <row r="2587" customFormat="false" ht="15" hidden="false" customHeight="false" outlineLevel="0" collapsed="false">
      <c r="A2587" s="4" t="s">
        <v>129</v>
      </c>
      <c r="B2587" s="4" t="s">
        <v>425</v>
      </c>
      <c r="C2587" s="4" t="s">
        <v>250</v>
      </c>
      <c r="D2587" s="4" t="n">
        <f aca="false">IFERROR(INDEX(Positions!$D$2:$D$6912,MATCH($A2587&amp;"|12",Positions!$A$2:$A$6912,0)),"-")</f>
        <v>12</v>
      </c>
      <c r="E2587" s="4" t="n">
        <f aca="false">IFERROR(INDEX(Positions!$D$2:$D$6912,MATCH($A2587&amp;"|23",Positions!$A$2:$A$6912,0)),"-")</f>
        <v>23</v>
      </c>
      <c r="F2587" s="4" t="str">
        <f aca="false">IFERROR(INDEX(Positions!$E$2:$E$6912,MATCH($A2587&amp;"|12",Positions!$A$2:$A$6912,0)),"-")</f>
        <v>U</v>
      </c>
      <c r="G2587" s="4" t="str">
        <f aca="false">IFERROR(INDEX(Positions!$E$2:$E$6912,MATCH($A2587&amp;"|23",Positions!$A$2:$A$6912,0)),"-")</f>
        <v>A</v>
      </c>
      <c r="H2587" s="3" t="str">
        <f aca="false">F2587&amp;"-"&amp;G2587</f>
        <v>U-A</v>
      </c>
      <c r="I2587" s="4" t="n">
        <f aca="false">(F2587="G")+(G2587="G")</f>
        <v>0</v>
      </c>
      <c r="J2587" s="4" t="n">
        <f aca="false">(F2587="C")+(G2587="C")</f>
        <v>0</v>
      </c>
      <c r="K2587" s="3" t="n">
        <f aca="false">I2587+J2587</f>
        <v>0</v>
      </c>
    </row>
    <row r="2588" customFormat="false" ht="15" hidden="false" customHeight="false" outlineLevel="0" collapsed="false">
      <c r="A2588" s="4" t="s">
        <v>129</v>
      </c>
      <c r="B2588" s="4" t="s">
        <v>425</v>
      </c>
      <c r="C2588" s="4" t="s">
        <v>154</v>
      </c>
      <c r="D2588" s="4" t="n">
        <f aca="false">IFERROR(INDEX(Positions!$D$2:$D$6912,MATCH($A2588&amp;"|13",Positions!$A$2:$A$6912,0)),"-")</f>
        <v>13</v>
      </c>
      <c r="E2588" s="4" t="n">
        <f aca="false">IFERROR(INDEX(Positions!$D$2:$D$6912,MATCH($A2588&amp;"|22",Positions!$A$2:$A$6912,0)),"-")</f>
        <v>22</v>
      </c>
      <c r="F2588" s="4" t="str">
        <f aca="false">IFERROR(INDEX(Positions!$E$2:$E$6912,MATCH($A2588&amp;"|13",Positions!$A$2:$A$6912,0)),"-")</f>
        <v>C</v>
      </c>
      <c r="G2588" s="4" t="str">
        <f aca="false">IFERROR(INDEX(Positions!$E$2:$E$6912,MATCH($A2588&amp;"|22",Positions!$A$2:$A$6912,0)),"-")</f>
        <v>G</v>
      </c>
      <c r="H2588" s="3" t="str">
        <f aca="false">F2588&amp;"-"&amp;G2588</f>
        <v>C-G</v>
      </c>
      <c r="I2588" s="4" t="n">
        <f aca="false">(F2588="G")+(G2588="G")</f>
        <v>1</v>
      </c>
      <c r="J2588" s="4" t="n">
        <f aca="false">(F2588="C")+(G2588="C")</f>
        <v>1</v>
      </c>
      <c r="K2588" s="3" t="n">
        <f aca="false">I2588+J2588</f>
        <v>2</v>
      </c>
    </row>
    <row r="2589" customFormat="false" ht="15" hidden="false" customHeight="false" outlineLevel="0" collapsed="false">
      <c r="A2589" s="4" t="s">
        <v>129</v>
      </c>
      <c r="B2589" s="4" t="s">
        <v>446</v>
      </c>
      <c r="C2589" s="4" t="s">
        <v>524</v>
      </c>
      <c r="D2589" s="4" t="n">
        <f aca="false">IFERROR(INDEX(Positions!$D$2:$D$6912,MATCH($A2589&amp;"|27",Positions!$A$2:$A$6912,0)),"-")</f>
        <v>27</v>
      </c>
      <c r="E2589" s="4" t="n">
        <f aca="false">IFERROR(INDEX(Positions!$D$2:$D$6912,MATCH($A2589&amp;"|43",Positions!$A$2:$A$6912,0)),"-")</f>
        <v>43</v>
      </c>
      <c r="F2589" s="4" t="str">
        <f aca="false">IFERROR(INDEX(Positions!$E$2:$E$6912,MATCH($A2589&amp;"|27",Positions!$A$2:$A$6912,0)),"-")</f>
        <v>G</v>
      </c>
      <c r="G2589" s="4" t="str">
        <f aca="false">IFERROR(INDEX(Positions!$E$2:$E$6912,MATCH($A2589&amp;"|43",Positions!$A$2:$A$6912,0)),"-")</f>
        <v>U</v>
      </c>
      <c r="H2589" s="3" t="str">
        <f aca="false">F2589&amp;"-"&amp;G2589</f>
        <v>G-U</v>
      </c>
      <c r="I2589" s="4" t="n">
        <f aca="false">(F2589="G")+(G2589="G")</f>
        <v>1</v>
      </c>
      <c r="J2589" s="4" t="n">
        <f aca="false">(F2589="C")+(G2589="C")</f>
        <v>0</v>
      </c>
      <c r="K2589" s="3" t="n">
        <f aca="false">I2589+J2589</f>
        <v>1</v>
      </c>
    </row>
    <row r="2590" customFormat="false" ht="15" hidden="false" customHeight="false" outlineLevel="0" collapsed="false">
      <c r="A2590" s="4" t="s">
        <v>129</v>
      </c>
      <c r="B2590" s="4" t="s">
        <v>446</v>
      </c>
      <c r="C2590" s="4" t="s">
        <v>525</v>
      </c>
      <c r="D2590" s="4" t="n">
        <f aca="false">IFERROR(INDEX(Positions!$D$2:$D$6912,MATCH($A2590&amp;"|28",Positions!$A$2:$A$6912,0)),"-")</f>
        <v>28</v>
      </c>
      <c r="E2590" s="4" t="n">
        <f aca="false">IFERROR(INDEX(Positions!$D$2:$D$6912,MATCH($A2590&amp;"|42",Positions!$A$2:$A$6912,0)),"-")</f>
        <v>42</v>
      </c>
      <c r="F2590" s="4" t="str">
        <f aca="false">IFERROR(INDEX(Positions!$E$2:$E$6912,MATCH($A2590&amp;"|28",Positions!$A$2:$A$6912,0)),"-")</f>
        <v>A</v>
      </c>
      <c r="G2590" s="4" t="str">
        <f aca="false">IFERROR(INDEX(Positions!$E$2:$E$6912,MATCH($A2590&amp;"|42",Positions!$A$2:$A$6912,0)),"-")</f>
        <v>U</v>
      </c>
      <c r="H2590" s="3" t="str">
        <f aca="false">F2590&amp;"-"&amp;G2590</f>
        <v>A-U</v>
      </c>
      <c r="I2590" s="4" t="n">
        <f aca="false">(F2590="G")+(G2590="G")</f>
        <v>0</v>
      </c>
      <c r="J2590" s="4" t="n">
        <f aca="false">(F2590="C")+(G2590="C")</f>
        <v>0</v>
      </c>
      <c r="K2590" s="3" t="n">
        <f aca="false">I2590+J2590</f>
        <v>0</v>
      </c>
    </row>
    <row r="2591" customFormat="false" ht="15" hidden="false" customHeight="false" outlineLevel="0" collapsed="false">
      <c r="A2591" s="4" t="s">
        <v>129</v>
      </c>
      <c r="B2591" s="4" t="s">
        <v>446</v>
      </c>
      <c r="C2591" s="4" t="s">
        <v>256</v>
      </c>
      <c r="D2591" s="4" t="n">
        <f aca="false">IFERROR(INDEX(Positions!$D$2:$D$6912,MATCH($A2591&amp;"|29",Positions!$A$2:$A$6912,0)),"-")</f>
        <v>29</v>
      </c>
      <c r="E2591" s="4" t="n">
        <f aca="false">IFERROR(INDEX(Positions!$D$2:$D$6912,MATCH($A2591&amp;"|41",Positions!$A$2:$A$6912,0)),"-")</f>
        <v>41</v>
      </c>
      <c r="F2591" s="4" t="str">
        <f aca="false">IFERROR(INDEX(Positions!$E$2:$E$6912,MATCH($A2591&amp;"|29",Positions!$A$2:$A$6912,0)),"-")</f>
        <v>G</v>
      </c>
      <c r="G2591" s="4" t="str">
        <f aca="false">IFERROR(INDEX(Positions!$E$2:$E$6912,MATCH($A2591&amp;"|41",Positions!$A$2:$A$6912,0)),"-")</f>
        <v>C</v>
      </c>
      <c r="H2591" s="3" t="str">
        <f aca="false">F2591&amp;"-"&amp;G2591</f>
        <v>G-C</v>
      </c>
      <c r="I2591" s="4" t="n">
        <f aca="false">(F2591="G")+(G2591="G")</f>
        <v>1</v>
      </c>
      <c r="J2591" s="4" t="n">
        <f aca="false">(F2591="C")+(G2591="C")</f>
        <v>1</v>
      </c>
      <c r="K2591" s="3" t="n">
        <f aca="false">I2591+J2591</f>
        <v>2</v>
      </c>
    </row>
    <row r="2592" customFormat="false" ht="15" hidden="false" customHeight="false" outlineLevel="0" collapsed="false">
      <c r="A2592" s="4" t="s">
        <v>129</v>
      </c>
      <c r="B2592" s="4" t="s">
        <v>446</v>
      </c>
      <c r="C2592" s="4" t="s">
        <v>526</v>
      </c>
      <c r="D2592" s="4" t="n">
        <f aca="false">IFERROR(INDEX(Positions!$D$2:$D$6912,MATCH($A2592&amp;"|30",Positions!$A$2:$A$6912,0)),"-")</f>
        <v>30</v>
      </c>
      <c r="E2592" s="4" t="n">
        <f aca="false">IFERROR(INDEX(Positions!$D$2:$D$6912,MATCH($A2592&amp;"|40",Positions!$A$2:$A$6912,0)),"-")</f>
        <v>40</v>
      </c>
      <c r="F2592" s="4" t="str">
        <f aca="false">IFERROR(INDEX(Positions!$E$2:$E$6912,MATCH($A2592&amp;"|30",Positions!$A$2:$A$6912,0)),"-")</f>
        <v>G</v>
      </c>
      <c r="G2592" s="4" t="str">
        <f aca="false">IFERROR(INDEX(Positions!$E$2:$E$6912,MATCH($A2592&amp;"|40",Positions!$A$2:$A$6912,0)),"-")</f>
        <v>C</v>
      </c>
      <c r="H2592" s="3" t="str">
        <f aca="false">F2592&amp;"-"&amp;G2592</f>
        <v>G-C</v>
      </c>
      <c r="I2592" s="4" t="n">
        <f aca="false">(F2592="G")+(G2592="G")</f>
        <v>1</v>
      </c>
      <c r="J2592" s="4" t="n">
        <f aca="false">(F2592="C")+(G2592="C")</f>
        <v>1</v>
      </c>
      <c r="K2592" s="3" t="n">
        <f aca="false">I2592+J2592</f>
        <v>2</v>
      </c>
    </row>
    <row r="2593" customFormat="false" ht="15" hidden="false" customHeight="false" outlineLevel="0" collapsed="false">
      <c r="A2593" s="4" t="s">
        <v>129</v>
      </c>
      <c r="B2593" s="4" t="s">
        <v>446</v>
      </c>
      <c r="C2593" s="4" t="s">
        <v>273</v>
      </c>
      <c r="D2593" s="4" t="n">
        <f aca="false">IFERROR(INDEX(Positions!$D$2:$D$6912,MATCH($A2593&amp;"|31",Positions!$A$2:$A$6912,0)),"-")</f>
        <v>31</v>
      </c>
      <c r="E2593" s="4" t="n">
        <f aca="false">IFERROR(INDEX(Positions!$D$2:$D$6912,MATCH($A2593&amp;"|39",Positions!$A$2:$A$6912,0)),"-")</f>
        <v>39</v>
      </c>
      <c r="F2593" s="4" t="str">
        <f aca="false">IFERROR(INDEX(Positions!$E$2:$E$6912,MATCH($A2593&amp;"|31",Positions!$A$2:$A$6912,0)),"-")</f>
        <v>A</v>
      </c>
      <c r="G2593" s="4" t="str">
        <f aca="false">IFERROR(INDEX(Positions!$E$2:$E$6912,MATCH($A2593&amp;"|39",Positions!$A$2:$A$6912,0)),"-")</f>
        <v>U</v>
      </c>
      <c r="H2593" s="3" t="str">
        <f aca="false">F2593&amp;"-"&amp;G2593</f>
        <v>A-U</v>
      </c>
      <c r="I2593" s="4" t="n">
        <f aca="false">(F2593="G")+(G2593="G")</f>
        <v>0</v>
      </c>
      <c r="J2593" s="4" t="n">
        <f aca="false">(F2593="C")+(G2593="C")</f>
        <v>0</v>
      </c>
      <c r="K2593" s="3" t="n">
        <f aca="false">I2593+J2593</f>
        <v>0</v>
      </c>
    </row>
    <row r="2594" customFormat="false" ht="15" hidden="false" customHeight="false" outlineLevel="0" collapsed="false">
      <c r="A2594" s="4" t="s">
        <v>129</v>
      </c>
      <c r="B2594" s="4" t="s">
        <v>471</v>
      </c>
      <c r="C2594" s="4" t="s">
        <v>367</v>
      </c>
      <c r="D2594" s="4" t="n">
        <f aca="false">IFERROR(INDEX(Positions!$D$2:$D$6912,MATCH($A2594&amp;"|49",Positions!$A$2:$A$6912,0)),"-")</f>
        <v>49</v>
      </c>
      <c r="E2594" s="4" t="n">
        <f aca="false">IFERROR(INDEX(Positions!$D$2:$D$6912,MATCH($A2594&amp;"|65",Positions!$A$2:$A$6912,0)),"-")</f>
        <v>65</v>
      </c>
      <c r="F2594" s="4" t="str">
        <f aca="false">IFERROR(INDEX(Positions!$E$2:$E$6912,MATCH($A2594&amp;"|49",Positions!$A$2:$A$6912,0)),"-")</f>
        <v>G</v>
      </c>
      <c r="G2594" s="4" t="str">
        <f aca="false">IFERROR(INDEX(Positions!$E$2:$E$6912,MATCH($A2594&amp;"|65",Positions!$A$2:$A$6912,0)),"-")</f>
        <v>C</v>
      </c>
      <c r="H2594" s="3" t="str">
        <f aca="false">F2594&amp;"-"&amp;G2594</f>
        <v>G-C</v>
      </c>
      <c r="I2594" s="4" t="n">
        <f aca="false">(F2594="G")+(G2594="G")</f>
        <v>1</v>
      </c>
      <c r="J2594" s="4" t="n">
        <f aca="false">(F2594="C")+(G2594="C")</f>
        <v>1</v>
      </c>
      <c r="K2594" s="3" t="n">
        <f aca="false">I2594+J2594</f>
        <v>2</v>
      </c>
    </row>
    <row r="2595" customFormat="false" ht="15" hidden="false" customHeight="false" outlineLevel="0" collapsed="false">
      <c r="A2595" s="4" t="s">
        <v>129</v>
      </c>
      <c r="B2595" s="4" t="s">
        <v>471</v>
      </c>
      <c r="C2595" s="4" t="s">
        <v>233</v>
      </c>
      <c r="D2595" s="4" t="n">
        <f aca="false">IFERROR(INDEX(Positions!$D$2:$D$6912,MATCH($A2595&amp;"|50",Positions!$A$2:$A$6912,0)),"-")</f>
        <v>50</v>
      </c>
      <c r="E2595" s="4" t="n">
        <f aca="false">IFERROR(INDEX(Positions!$D$2:$D$6912,MATCH($A2595&amp;"|64",Positions!$A$2:$A$6912,0)),"-")</f>
        <v>64</v>
      </c>
      <c r="F2595" s="4" t="str">
        <f aca="false">IFERROR(INDEX(Positions!$E$2:$E$6912,MATCH($A2595&amp;"|50",Positions!$A$2:$A$6912,0)),"-")</f>
        <v>C</v>
      </c>
      <c r="G2595" s="4" t="str">
        <f aca="false">IFERROR(INDEX(Positions!$E$2:$E$6912,MATCH($A2595&amp;"|64",Positions!$A$2:$A$6912,0)),"-")</f>
        <v>G</v>
      </c>
      <c r="H2595" s="3" t="str">
        <f aca="false">F2595&amp;"-"&amp;G2595</f>
        <v>C-G</v>
      </c>
      <c r="I2595" s="4" t="n">
        <f aca="false">(F2595="G")+(G2595="G")</f>
        <v>1</v>
      </c>
      <c r="J2595" s="4" t="n">
        <f aca="false">(F2595="C")+(G2595="C")</f>
        <v>1</v>
      </c>
      <c r="K2595" s="3" t="n">
        <f aca="false">I2595+J2595</f>
        <v>2</v>
      </c>
    </row>
    <row r="2596" customFormat="false" ht="15" hidden="false" customHeight="false" outlineLevel="0" collapsed="false">
      <c r="A2596" s="4" t="s">
        <v>129</v>
      </c>
      <c r="B2596" s="4" t="s">
        <v>471</v>
      </c>
      <c r="C2596" s="4" t="s">
        <v>527</v>
      </c>
      <c r="D2596" s="4" t="n">
        <f aca="false">IFERROR(INDEX(Positions!$D$2:$D$6912,MATCH($A2596&amp;"|51",Positions!$A$2:$A$6912,0)),"-")</f>
        <v>51</v>
      </c>
      <c r="E2596" s="4" t="n">
        <f aca="false">IFERROR(INDEX(Positions!$D$2:$D$6912,MATCH($A2596&amp;"|63",Positions!$A$2:$A$6912,0)),"-")</f>
        <v>63</v>
      </c>
      <c r="F2596" s="4" t="str">
        <f aca="false">IFERROR(INDEX(Positions!$E$2:$E$6912,MATCH($A2596&amp;"|51",Positions!$A$2:$A$6912,0)),"-")</f>
        <v>U</v>
      </c>
      <c r="G2596" s="4" t="str">
        <f aca="false">IFERROR(INDEX(Positions!$E$2:$E$6912,MATCH($A2596&amp;"|63",Positions!$A$2:$A$6912,0)),"-")</f>
        <v>G</v>
      </c>
      <c r="H2596" s="3" t="str">
        <f aca="false">F2596&amp;"-"&amp;G2596</f>
        <v>U-G</v>
      </c>
      <c r="I2596" s="4" t="n">
        <f aca="false">(F2596="G")+(G2596="G")</f>
        <v>1</v>
      </c>
      <c r="J2596" s="4" t="n">
        <f aca="false">(F2596="C")+(G2596="C")</f>
        <v>0</v>
      </c>
      <c r="K2596" s="3" t="n">
        <f aca="false">I2596+J2596</f>
        <v>1</v>
      </c>
    </row>
    <row r="2597" customFormat="false" ht="15" hidden="false" customHeight="false" outlineLevel="0" collapsed="false">
      <c r="A2597" s="4" t="s">
        <v>129</v>
      </c>
      <c r="B2597" s="4" t="s">
        <v>471</v>
      </c>
      <c r="C2597" s="4" t="s">
        <v>528</v>
      </c>
      <c r="D2597" s="4" t="n">
        <f aca="false">IFERROR(INDEX(Positions!$D$2:$D$6912,MATCH($A2597&amp;"|52",Positions!$A$2:$A$6912,0)),"-")</f>
        <v>52</v>
      </c>
      <c r="E2597" s="4" t="n">
        <f aca="false">IFERROR(INDEX(Positions!$D$2:$D$6912,MATCH($A2597&amp;"|62",Positions!$A$2:$A$6912,0)),"-")</f>
        <v>62</v>
      </c>
      <c r="F2597" s="4" t="str">
        <f aca="false">IFERROR(INDEX(Positions!$E$2:$E$6912,MATCH($A2597&amp;"|52",Positions!$A$2:$A$6912,0)),"-")</f>
        <v>G</v>
      </c>
      <c r="G2597" s="4" t="str">
        <f aca="false">IFERROR(INDEX(Positions!$E$2:$E$6912,MATCH($A2597&amp;"|62",Positions!$A$2:$A$6912,0)),"-")</f>
        <v>C</v>
      </c>
      <c r="H2597" s="3" t="str">
        <f aca="false">F2597&amp;"-"&amp;G2597</f>
        <v>G-C</v>
      </c>
      <c r="I2597" s="4" t="n">
        <f aca="false">(F2597="G")+(G2597="G")</f>
        <v>1</v>
      </c>
      <c r="J2597" s="4" t="n">
        <f aca="false">(F2597="C")+(G2597="C")</f>
        <v>1</v>
      </c>
      <c r="K2597" s="3" t="n">
        <f aca="false">I2597+J2597</f>
        <v>2</v>
      </c>
    </row>
    <row r="2598" customFormat="false" ht="15" hidden="false" customHeight="false" outlineLevel="0" collapsed="false">
      <c r="A2598" s="4" t="s">
        <v>129</v>
      </c>
      <c r="B2598" s="4" t="s">
        <v>471</v>
      </c>
      <c r="C2598" s="4" t="s">
        <v>529</v>
      </c>
      <c r="D2598" s="4" t="n">
        <f aca="false">IFERROR(INDEX(Positions!$D$2:$D$6912,MATCH($A2598&amp;"|53",Positions!$A$2:$A$6912,0)),"-")</f>
        <v>53</v>
      </c>
      <c r="E2598" s="4" t="n">
        <f aca="false">IFERROR(INDEX(Positions!$D$2:$D$6912,MATCH($A2598&amp;"|61",Positions!$A$2:$A$6912,0)),"-")</f>
        <v>61</v>
      </c>
      <c r="F2598" s="4" t="str">
        <f aca="false">IFERROR(INDEX(Positions!$E$2:$E$6912,MATCH($A2598&amp;"|53",Positions!$A$2:$A$6912,0)),"-")</f>
        <v>G</v>
      </c>
      <c r="G2598" s="4" t="str">
        <f aca="false">IFERROR(INDEX(Positions!$E$2:$E$6912,MATCH($A2598&amp;"|61",Positions!$A$2:$A$6912,0)),"-")</f>
        <v>C</v>
      </c>
      <c r="H2598" s="3" t="str">
        <f aca="false">F2598&amp;"-"&amp;G2598</f>
        <v>G-C</v>
      </c>
      <c r="I2598" s="4" t="n">
        <f aca="false">(F2598="G")+(G2598="G")</f>
        <v>1</v>
      </c>
      <c r="J2598" s="4" t="n">
        <f aca="false">(F2598="C")+(G2598="C")</f>
        <v>1</v>
      </c>
      <c r="K2598" s="3" t="n">
        <f aca="false">I2598+J2598</f>
        <v>2</v>
      </c>
    </row>
    <row r="2599" customFormat="false" ht="15" hidden="false" customHeight="false" outlineLevel="0" collapsed="false">
      <c r="A2599" s="24" t="s">
        <v>129</v>
      </c>
      <c r="B2599" s="24" t="s">
        <v>530</v>
      </c>
      <c r="C2599" s="24" t="s">
        <v>531</v>
      </c>
      <c r="D2599" s="24" t="n">
        <f aca="false">IFERROR(INDEX(Positions!$D$2:$D$6912,MATCH($A2599&amp;"|8",Positions!$A$2:$A$6912,0)),"-")</f>
        <v>8</v>
      </c>
      <c r="E2599" s="24" t="n">
        <f aca="false">IFERROR(INDEX(Positions!$D$2:$D$6912,MATCH($A2599&amp;"|14",Positions!$A$2:$A$6912,0)),"-")</f>
        <v>14</v>
      </c>
      <c r="F2599" s="24" t="str">
        <f aca="false">IFERROR(INDEX(Positions!$E$2:$E$6912,MATCH($A2599&amp;"|8",Positions!$A$2:$A$6912,0)),"-")</f>
        <v>U</v>
      </c>
      <c r="G2599" s="24" t="str">
        <f aca="false">IFERROR(INDEX(Positions!$E$2:$E$6912,MATCH($A2599&amp;"|14",Positions!$A$2:$A$6912,0)),"-")</f>
        <v>A</v>
      </c>
      <c r="H2599" s="25" t="str">
        <f aca="false">F2599&amp;"-"&amp;G2599</f>
        <v>U-A</v>
      </c>
      <c r="I2599" s="24" t="n">
        <f aca="false">(F2599="G")+(G2599="G")</f>
        <v>0</v>
      </c>
      <c r="J2599" s="24" t="n">
        <f aca="false">(F2599="C")+(G2599="C")</f>
        <v>0</v>
      </c>
      <c r="K2599" s="25" t="n">
        <f aca="false">I2599+J2599</f>
        <v>0</v>
      </c>
    </row>
    <row r="2600" customFormat="false" ht="15" hidden="false" customHeight="false" outlineLevel="0" collapsed="false">
      <c r="A2600" s="24" t="s">
        <v>129</v>
      </c>
      <c r="B2600" s="24" t="s">
        <v>530</v>
      </c>
      <c r="C2600" s="24" t="s">
        <v>532</v>
      </c>
      <c r="D2600" s="24" t="n">
        <f aca="false">IFERROR(INDEX(Positions!$D$2:$D$6912,MATCH($A2600&amp;"|15",Positions!$A$2:$A$6912,0)),"-")</f>
        <v>15</v>
      </c>
      <c r="E2600" s="24" t="n">
        <f aca="false">IFERROR(INDEX(Positions!$D$2:$D$6912,MATCH($A2600&amp;"|48",Positions!$A$2:$A$6912,0)),"-")</f>
        <v>48</v>
      </c>
      <c r="F2600" s="24" t="str">
        <f aca="false">IFERROR(INDEX(Positions!$E$2:$E$6912,MATCH($A2600&amp;"|15",Positions!$A$2:$A$6912,0)),"-")</f>
        <v>G</v>
      </c>
      <c r="G2600" s="24" t="str">
        <f aca="false">IFERROR(INDEX(Positions!$E$2:$E$6912,MATCH($A2600&amp;"|48",Positions!$A$2:$A$6912,0)),"-")</f>
        <v>C</v>
      </c>
      <c r="H2600" s="25" t="str">
        <f aca="false">F2600&amp;"-"&amp;G2600</f>
        <v>G-C</v>
      </c>
      <c r="I2600" s="24" t="n">
        <f aca="false">(F2600="G")+(G2600="G")</f>
        <v>1</v>
      </c>
      <c r="J2600" s="24" t="n">
        <f aca="false">(F2600="C")+(G2600="C")</f>
        <v>1</v>
      </c>
      <c r="K2600" s="25" t="n">
        <f aca="false">I2600+J2600</f>
        <v>2</v>
      </c>
    </row>
    <row r="2601" customFormat="false" ht="15" hidden="false" customHeight="false" outlineLevel="0" collapsed="false">
      <c r="A2601" s="24" t="s">
        <v>129</v>
      </c>
      <c r="B2601" s="24" t="s">
        <v>530</v>
      </c>
      <c r="C2601" s="24" t="s">
        <v>533</v>
      </c>
      <c r="D2601" s="24" t="n">
        <f aca="false">IFERROR(INDEX(Positions!$D$2:$D$6912,MATCH($A2601&amp;"|18",Positions!$A$2:$A$6912,0)),"-")</f>
        <v>18</v>
      </c>
      <c r="E2601" s="24" t="n">
        <f aca="false">IFERROR(INDEX(Positions!$D$2:$D$6912,MATCH($A2601&amp;"|55",Positions!$A$2:$A$6912,0)),"-")</f>
        <v>55</v>
      </c>
      <c r="F2601" s="24" t="str">
        <f aca="false">IFERROR(INDEX(Positions!$E$2:$E$6912,MATCH($A2601&amp;"|18",Positions!$A$2:$A$6912,0)),"-")</f>
        <v>G</v>
      </c>
      <c r="G2601" s="24" t="str">
        <f aca="false">IFERROR(INDEX(Positions!$E$2:$E$6912,MATCH($A2601&amp;"|55",Positions!$A$2:$A$6912,0)),"-")</f>
        <v>U</v>
      </c>
      <c r="H2601" s="25" t="str">
        <f aca="false">F2601&amp;"-"&amp;G2601</f>
        <v>G-U</v>
      </c>
      <c r="I2601" s="24" t="n">
        <f aca="false">(F2601="G")+(G2601="G")</f>
        <v>1</v>
      </c>
      <c r="J2601" s="24" t="n">
        <f aca="false">(F2601="C")+(G2601="C")</f>
        <v>0</v>
      </c>
      <c r="K2601" s="25" t="n">
        <f aca="false">I2601+J2601</f>
        <v>1</v>
      </c>
    </row>
    <row r="2602" customFormat="false" ht="15" hidden="false" customHeight="false" outlineLevel="0" collapsed="false">
      <c r="A2602" s="24" t="s">
        <v>129</v>
      </c>
      <c r="B2602" s="24" t="s">
        <v>530</v>
      </c>
      <c r="C2602" s="24" t="s">
        <v>534</v>
      </c>
      <c r="D2602" s="24" t="n">
        <f aca="false">IFERROR(INDEX(Positions!$D$2:$D$6912,MATCH($A2602&amp;"|19",Positions!$A$2:$A$6912,0)),"-")</f>
        <v>19</v>
      </c>
      <c r="E2602" s="24" t="n">
        <f aca="false">IFERROR(INDEX(Positions!$D$2:$D$6912,MATCH($A2602&amp;"|56",Positions!$A$2:$A$6912,0)),"-")</f>
        <v>56</v>
      </c>
      <c r="F2602" s="24" t="str">
        <f aca="false">IFERROR(INDEX(Positions!$E$2:$E$6912,MATCH($A2602&amp;"|19",Positions!$A$2:$A$6912,0)),"-")</f>
        <v>G</v>
      </c>
      <c r="G2602" s="24" t="str">
        <f aca="false">IFERROR(INDEX(Positions!$E$2:$E$6912,MATCH($A2602&amp;"|56",Positions!$A$2:$A$6912,0)),"-")</f>
        <v>C</v>
      </c>
      <c r="H2602" s="25" t="str">
        <f aca="false">F2602&amp;"-"&amp;G2602</f>
        <v>G-C</v>
      </c>
      <c r="I2602" s="24" t="n">
        <f aca="false">(F2602="G")+(G2602="G")</f>
        <v>1</v>
      </c>
      <c r="J2602" s="24" t="n">
        <f aca="false">(F2602="C")+(G2602="C")</f>
        <v>1</v>
      </c>
      <c r="K2602" s="25" t="n">
        <f aca="false">I2602+J2602</f>
        <v>2</v>
      </c>
    </row>
    <row r="2603" customFormat="false" ht="15" hidden="false" customHeight="false" outlineLevel="0" collapsed="false">
      <c r="A2603" s="24" t="s">
        <v>129</v>
      </c>
      <c r="B2603" s="24" t="s">
        <v>530</v>
      </c>
      <c r="C2603" s="24" t="s">
        <v>535</v>
      </c>
      <c r="D2603" s="24" t="n">
        <f aca="false">IFERROR(INDEX(Positions!$D$2:$D$6912,MATCH($A2603&amp;"|26",Positions!$A$2:$A$6912,0)),"-")</f>
        <v>26</v>
      </c>
      <c r="E2603" s="24" t="n">
        <f aca="false">IFERROR(INDEX(Positions!$D$2:$D$6912,MATCH($A2603&amp;"|44",Positions!$A$2:$A$6912,0)),"-")</f>
        <v>44</v>
      </c>
      <c r="F2603" s="24" t="str">
        <f aca="false">IFERROR(INDEX(Positions!$E$2:$E$6912,MATCH($A2603&amp;"|26",Positions!$A$2:$A$6912,0)),"-")</f>
        <v>G</v>
      </c>
      <c r="G2603" s="24" t="str">
        <f aca="false">IFERROR(INDEX(Positions!$E$2:$E$6912,MATCH($A2603&amp;"|44",Positions!$A$2:$A$6912,0)),"-")</f>
        <v>A</v>
      </c>
      <c r="H2603" s="25" t="str">
        <f aca="false">F2603&amp;"-"&amp;G2603</f>
        <v>G-A</v>
      </c>
      <c r="I2603" s="24" t="n">
        <f aca="false">(F2603="G")+(G2603="G")</f>
        <v>1</v>
      </c>
      <c r="J2603" s="24" t="n">
        <f aca="false">(F2603="C")+(G2603="C")</f>
        <v>0</v>
      </c>
      <c r="K2603" s="25" t="n">
        <f aca="false">I2603+J2603</f>
        <v>1</v>
      </c>
    </row>
    <row r="2604" customFormat="false" ht="15" hidden="false" customHeight="false" outlineLevel="0" collapsed="false">
      <c r="A2604" s="24" t="s">
        <v>129</v>
      </c>
      <c r="B2604" s="24" t="s">
        <v>530</v>
      </c>
      <c r="C2604" s="24" t="s">
        <v>536</v>
      </c>
      <c r="D2604" s="24" t="n">
        <f aca="false">IFERROR(INDEX(Positions!$D$2:$D$6912,MATCH($A2604&amp;"|32",Positions!$A$2:$A$6912,0)),"-")</f>
        <v>32</v>
      </c>
      <c r="E2604" s="24" t="n">
        <f aca="false">IFERROR(INDEX(Positions!$D$2:$D$6912,MATCH($A2604&amp;"|38",Positions!$A$2:$A$6912,0)),"-")</f>
        <v>38</v>
      </c>
      <c r="F2604" s="24" t="str">
        <f aca="false">IFERROR(INDEX(Positions!$E$2:$E$6912,MATCH($A2604&amp;"|32",Positions!$A$2:$A$6912,0)),"-")</f>
        <v>C</v>
      </c>
      <c r="G2604" s="24" t="str">
        <f aca="false">IFERROR(INDEX(Positions!$E$2:$E$6912,MATCH($A2604&amp;"|38",Positions!$A$2:$A$6912,0)),"-")</f>
        <v>A</v>
      </c>
      <c r="H2604" s="25" t="str">
        <f aca="false">F2604&amp;"-"&amp;G2604</f>
        <v>C-A</v>
      </c>
      <c r="I2604" s="24" t="n">
        <f aca="false">(F2604="G")+(G2604="G")</f>
        <v>0</v>
      </c>
      <c r="J2604" s="24" t="n">
        <f aca="false">(F2604="C")+(G2604="C")</f>
        <v>1</v>
      </c>
      <c r="K2604" s="25" t="n">
        <f aca="false">I2604+J2604</f>
        <v>1</v>
      </c>
    </row>
    <row r="2605" customFormat="false" ht="15" hidden="false" customHeight="false" outlineLevel="0" collapsed="false">
      <c r="A2605" s="24" t="s">
        <v>129</v>
      </c>
      <c r="B2605" s="24" t="s">
        <v>530</v>
      </c>
      <c r="C2605" s="24" t="s">
        <v>537</v>
      </c>
      <c r="D2605" s="24" t="n">
        <f aca="false">IFERROR(INDEX(Positions!$D$2:$D$6912,MATCH($A2605&amp;"|54",Positions!$A$2:$A$6912,0)),"-")</f>
        <v>54</v>
      </c>
      <c r="E2605" s="24" t="n">
        <f aca="false">IFERROR(INDEX(Positions!$D$2:$D$6912,MATCH($A2605&amp;"|58",Positions!$A$2:$A$6912,0)),"-")</f>
        <v>58</v>
      </c>
      <c r="F2605" s="24" t="str">
        <f aca="false">IFERROR(INDEX(Positions!$E$2:$E$6912,MATCH($A2605&amp;"|54",Positions!$A$2:$A$6912,0)),"-")</f>
        <v>U</v>
      </c>
      <c r="G2605" s="24" t="str">
        <f aca="false">IFERROR(INDEX(Positions!$E$2:$E$6912,MATCH($A2605&amp;"|58",Positions!$A$2:$A$6912,0)),"-")</f>
        <v>A</v>
      </c>
      <c r="H2605" s="25" t="str">
        <f aca="false">F2605&amp;"-"&amp;G2605</f>
        <v>U-A</v>
      </c>
      <c r="I2605" s="24" t="n">
        <f aca="false">(F2605="G")+(G2605="G")</f>
        <v>0</v>
      </c>
      <c r="J2605" s="24" t="n">
        <f aca="false">(F2605="C")+(G2605="C")</f>
        <v>0</v>
      </c>
      <c r="K2605" s="25" t="n">
        <f aca="false">I2605+J2605</f>
        <v>0</v>
      </c>
    </row>
    <row r="2606" customFormat="false" ht="15" hidden="false" customHeight="false" outlineLevel="0" collapsed="false">
      <c r="A2606" s="4" t="s">
        <v>130</v>
      </c>
      <c r="B2606" s="4" t="s">
        <v>412</v>
      </c>
      <c r="C2606" s="4" t="s">
        <v>517</v>
      </c>
      <c r="D2606" s="4" t="n">
        <f aca="false">IFERROR(INDEX(Positions!$D$2:$D$6912,MATCH($A2606&amp;"|1",Positions!$A$2:$A$6912,0)),"-")</f>
        <v>1</v>
      </c>
      <c r="E2606" s="4" t="n">
        <f aca="false">IFERROR(INDEX(Positions!$D$2:$D$6912,MATCH($A2606&amp;"|72",Positions!$A$2:$A$6912,0)),"-")</f>
        <v>72</v>
      </c>
      <c r="F2606" s="4" t="str">
        <f aca="false">IFERROR(INDEX(Positions!$E$2:$E$6912,MATCH($A2606&amp;"|1",Positions!$A$2:$A$6912,0)),"-")</f>
        <v>G</v>
      </c>
      <c r="G2606" s="4" t="str">
        <f aca="false">IFERROR(INDEX(Positions!$E$2:$E$6912,MATCH($A2606&amp;"|72",Positions!$A$2:$A$6912,0)),"-")</f>
        <v>C</v>
      </c>
      <c r="H2606" s="3" t="str">
        <f aca="false">F2606&amp;"-"&amp;G2606</f>
        <v>G-C</v>
      </c>
      <c r="I2606" s="4" t="n">
        <f aca="false">(F2606="G")+(G2606="G")</f>
        <v>1</v>
      </c>
      <c r="J2606" s="4" t="n">
        <f aca="false">(F2606="C")+(G2606="C")</f>
        <v>1</v>
      </c>
      <c r="K2606" s="3" t="n">
        <f aca="false">I2606+J2606</f>
        <v>2</v>
      </c>
    </row>
    <row r="2607" customFormat="false" ht="15" hidden="false" customHeight="false" outlineLevel="0" collapsed="false">
      <c r="A2607" s="4" t="s">
        <v>130</v>
      </c>
      <c r="B2607" s="4" t="s">
        <v>412</v>
      </c>
      <c r="C2607" s="4" t="s">
        <v>518</v>
      </c>
      <c r="D2607" s="4" t="n">
        <f aca="false">IFERROR(INDEX(Positions!$D$2:$D$6912,MATCH($A2607&amp;"|2",Positions!$A$2:$A$6912,0)),"-")</f>
        <v>2</v>
      </c>
      <c r="E2607" s="4" t="n">
        <f aca="false">IFERROR(INDEX(Positions!$D$2:$D$6912,MATCH($A2607&amp;"|71",Positions!$A$2:$A$6912,0)),"-")</f>
        <v>71</v>
      </c>
      <c r="F2607" s="4" t="str">
        <f aca="false">IFERROR(INDEX(Positions!$E$2:$E$6912,MATCH($A2607&amp;"|2",Positions!$A$2:$A$6912,0)),"-")</f>
        <v>G</v>
      </c>
      <c r="G2607" s="4" t="str">
        <f aca="false">IFERROR(INDEX(Positions!$E$2:$E$6912,MATCH($A2607&amp;"|71",Positions!$A$2:$A$6912,0)),"-")</f>
        <v>C</v>
      </c>
      <c r="H2607" s="3" t="str">
        <f aca="false">F2607&amp;"-"&amp;G2607</f>
        <v>G-C</v>
      </c>
      <c r="I2607" s="4" t="n">
        <f aca="false">(F2607="G")+(G2607="G")</f>
        <v>1</v>
      </c>
      <c r="J2607" s="4" t="n">
        <f aca="false">(F2607="C")+(G2607="C")</f>
        <v>1</v>
      </c>
      <c r="K2607" s="3" t="n">
        <f aca="false">I2607+J2607</f>
        <v>2</v>
      </c>
    </row>
    <row r="2608" customFormat="false" ht="15" hidden="false" customHeight="false" outlineLevel="0" collapsed="false">
      <c r="A2608" s="4" t="s">
        <v>130</v>
      </c>
      <c r="B2608" s="4" t="s">
        <v>412</v>
      </c>
      <c r="C2608" s="4" t="s">
        <v>386</v>
      </c>
      <c r="D2608" s="4" t="n">
        <f aca="false">IFERROR(INDEX(Positions!$D$2:$D$6912,MATCH($A2608&amp;"|3",Positions!$A$2:$A$6912,0)),"-")</f>
        <v>3</v>
      </c>
      <c r="E2608" s="4" t="n">
        <f aca="false">IFERROR(INDEX(Positions!$D$2:$D$6912,MATCH($A2608&amp;"|70",Positions!$A$2:$A$6912,0)),"-")</f>
        <v>70</v>
      </c>
      <c r="F2608" s="4" t="str">
        <f aca="false">IFERROR(INDEX(Positions!$E$2:$E$6912,MATCH($A2608&amp;"|3",Positions!$A$2:$A$6912,0)),"-")</f>
        <v>G</v>
      </c>
      <c r="G2608" s="4" t="str">
        <f aca="false">IFERROR(INDEX(Positions!$E$2:$E$6912,MATCH($A2608&amp;"|70",Positions!$A$2:$A$6912,0)),"-")</f>
        <v>U</v>
      </c>
      <c r="H2608" s="3" t="str">
        <f aca="false">F2608&amp;"-"&amp;G2608</f>
        <v>G-U</v>
      </c>
      <c r="I2608" s="4" t="n">
        <f aca="false">(F2608="G")+(G2608="G")</f>
        <v>1</v>
      </c>
      <c r="J2608" s="4" t="n">
        <f aca="false">(F2608="C")+(G2608="C")</f>
        <v>0</v>
      </c>
      <c r="K2608" s="3" t="n">
        <f aca="false">I2608+J2608</f>
        <v>1</v>
      </c>
    </row>
    <row r="2609" customFormat="false" ht="15" hidden="false" customHeight="false" outlineLevel="0" collapsed="false">
      <c r="A2609" s="4" t="s">
        <v>130</v>
      </c>
      <c r="B2609" s="4" t="s">
        <v>412</v>
      </c>
      <c r="C2609" s="4" t="s">
        <v>519</v>
      </c>
      <c r="D2609" s="4" t="n">
        <f aca="false">IFERROR(INDEX(Positions!$D$2:$D$6912,MATCH($A2609&amp;"|4",Positions!$A$2:$A$6912,0)),"-")</f>
        <v>4</v>
      </c>
      <c r="E2609" s="4" t="n">
        <f aca="false">IFERROR(INDEX(Positions!$D$2:$D$6912,MATCH($A2609&amp;"|69",Positions!$A$2:$A$6912,0)),"-")</f>
        <v>69</v>
      </c>
      <c r="F2609" s="4" t="str">
        <f aca="false">IFERROR(INDEX(Positions!$E$2:$E$6912,MATCH($A2609&amp;"|4",Positions!$A$2:$A$6912,0)),"-")</f>
        <v>G</v>
      </c>
      <c r="G2609" s="4" t="str">
        <f aca="false">IFERROR(INDEX(Positions!$E$2:$E$6912,MATCH($A2609&amp;"|69",Positions!$A$2:$A$6912,0)),"-")</f>
        <v>C</v>
      </c>
      <c r="H2609" s="3" t="str">
        <f aca="false">F2609&amp;"-"&amp;G2609</f>
        <v>G-C</v>
      </c>
      <c r="I2609" s="4" t="n">
        <f aca="false">(F2609="G")+(G2609="G")</f>
        <v>1</v>
      </c>
      <c r="J2609" s="4" t="n">
        <f aca="false">(F2609="C")+(G2609="C")</f>
        <v>1</v>
      </c>
      <c r="K2609" s="3" t="n">
        <f aca="false">I2609+J2609</f>
        <v>2</v>
      </c>
    </row>
    <row r="2610" customFormat="false" ht="15" hidden="false" customHeight="false" outlineLevel="0" collapsed="false">
      <c r="A2610" s="4" t="s">
        <v>130</v>
      </c>
      <c r="B2610" s="4" t="s">
        <v>412</v>
      </c>
      <c r="C2610" s="4" t="s">
        <v>283</v>
      </c>
      <c r="D2610" s="4" t="n">
        <f aca="false">IFERROR(INDEX(Positions!$D$2:$D$6912,MATCH($A2610&amp;"|5",Positions!$A$2:$A$6912,0)),"-")</f>
        <v>5</v>
      </c>
      <c r="E2610" s="4" t="n">
        <f aca="false">IFERROR(INDEX(Positions!$D$2:$D$6912,MATCH($A2610&amp;"|68",Positions!$A$2:$A$6912,0)),"-")</f>
        <v>68</v>
      </c>
      <c r="F2610" s="4" t="str">
        <f aca="false">IFERROR(INDEX(Positions!$E$2:$E$6912,MATCH($A2610&amp;"|5",Positions!$A$2:$A$6912,0)),"-")</f>
        <v>C</v>
      </c>
      <c r="G2610" s="4" t="str">
        <f aca="false">IFERROR(INDEX(Positions!$E$2:$E$6912,MATCH($A2610&amp;"|68",Positions!$A$2:$A$6912,0)),"-")</f>
        <v>G</v>
      </c>
      <c r="H2610" s="3" t="str">
        <f aca="false">F2610&amp;"-"&amp;G2610</f>
        <v>C-G</v>
      </c>
      <c r="I2610" s="4" t="n">
        <f aca="false">(F2610="G")+(G2610="G")</f>
        <v>1</v>
      </c>
      <c r="J2610" s="4" t="n">
        <f aca="false">(F2610="C")+(G2610="C")</f>
        <v>1</v>
      </c>
      <c r="K2610" s="3" t="n">
        <f aca="false">I2610+J2610</f>
        <v>2</v>
      </c>
    </row>
    <row r="2611" customFormat="false" ht="15" hidden="false" customHeight="false" outlineLevel="0" collapsed="false">
      <c r="A2611" s="4" t="s">
        <v>130</v>
      </c>
      <c r="B2611" s="4" t="s">
        <v>412</v>
      </c>
      <c r="C2611" s="4" t="s">
        <v>520</v>
      </c>
      <c r="D2611" s="4" t="n">
        <f aca="false">IFERROR(INDEX(Positions!$D$2:$D$6912,MATCH($A2611&amp;"|6",Positions!$A$2:$A$6912,0)),"-")</f>
        <v>6</v>
      </c>
      <c r="E2611" s="4" t="n">
        <f aca="false">IFERROR(INDEX(Positions!$D$2:$D$6912,MATCH($A2611&amp;"|67",Positions!$A$2:$A$6912,0)),"-")</f>
        <v>67</v>
      </c>
      <c r="F2611" s="4" t="str">
        <f aca="false">IFERROR(INDEX(Positions!$E$2:$E$6912,MATCH($A2611&amp;"|6",Positions!$A$2:$A$6912,0)),"-")</f>
        <v>U</v>
      </c>
      <c r="G2611" s="4" t="str">
        <f aca="false">IFERROR(INDEX(Positions!$E$2:$E$6912,MATCH($A2611&amp;"|67",Positions!$A$2:$A$6912,0)),"-")</f>
        <v>A</v>
      </c>
      <c r="H2611" s="3" t="str">
        <f aca="false">F2611&amp;"-"&amp;G2611</f>
        <v>U-A</v>
      </c>
      <c r="I2611" s="4" t="n">
        <f aca="false">(F2611="G")+(G2611="G")</f>
        <v>0</v>
      </c>
      <c r="J2611" s="4" t="n">
        <f aca="false">(F2611="C")+(G2611="C")</f>
        <v>0</v>
      </c>
      <c r="K2611" s="3" t="n">
        <f aca="false">I2611+J2611</f>
        <v>0</v>
      </c>
    </row>
    <row r="2612" customFormat="false" ht="15" hidden="false" customHeight="false" outlineLevel="0" collapsed="false">
      <c r="A2612" s="4" t="s">
        <v>130</v>
      </c>
      <c r="B2612" s="4" t="s">
        <v>412</v>
      </c>
      <c r="C2612" s="4" t="s">
        <v>521</v>
      </c>
      <c r="D2612" s="4" t="n">
        <f aca="false">IFERROR(INDEX(Positions!$D$2:$D$6912,MATCH($A2612&amp;"|7",Positions!$A$2:$A$6912,0)),"-")</f>
        <v>7</v>
      </c>
      <c r="E2612" s="4" t="n">
        <f aca="false">IFERROR(INDEX(Positions!$D$2:$D$6912,MATCH($A2612&amp;"|66",Positions!$A$2:$A$6912,0)),"-")</f>
        <v>66</v>
      </c>
      <c r="F2612" s="4" t="str">
        <f aca="false">IFERROR(INDEX(Positions!$E$2:$E$6912,MATCH($A2612&amp;"|7",Positions!$A$2:$A$6912,0)),"-")</f>
        <v>A</v>
      </c>
      <c r="G2612" s="4" t="str">
        <f aca="false">IFERROR(INDEX(Positions!$E$2:$E$6912,MATCH($A2612&amp;"|66",Positions!$A$2:$A$6912,0)),"-")</f>
        <v>U</v>
      </c>
      <c r="H2612" s="3" t="str">
        <f aca="false">F2612&amp;"-"&amp;G2612</f>
        <v>A-U</v>
      </c>
      <c r="I2612" s="4" t="n">
        <f aca="false">(F2612="G")+(G2612="G")</f>
        <v>0</v>
      </c>
      <c r="J2612" s="4" t="n">
        <f aca="false">(F2612="C")+(G2612="C")</f>
        <v>0</v>
      </c>
      <c r="K2612" s="3" t="n">
        <f aca="false">I2612+J2612</f>
        <v>0</v>
      </c>
    </row>
    <row r="2613" customFormat="false" ht="15" hidden="false" customHeight="false" outlineLevel="0" collapsed="false">
      <c r="A2613" s="4" t="s">
        <v>130</v>
      </c>
      <c r="B2613" s="4" t="s">
        <v>425</v>
      </c>
      <c r="C2613" s="4" t="s">
        <v>522</v>
      </c>
      <c r="D2613" s="4" t="n">
        <f aca="false">IFERROR(INDEX(Positions!$D$2:$D$6912,MATCH($A2613&amp;"|10",Positions!$A$2:$A$6912,0)),"-")</f>
        <v>10</v>
      </c>
      <c r="E2613" s="4" t="n">
        <f aca="false">IFERROR(INDEX(Positions!$D$2:$D$6912,MATCH($A2613&amp;"|25",Positions!$A$2:$A$6912,0)),"-")</f>
        <v>25</v>
      </c>
      <c r="F2613" s="4" t="str">
        <f aca="false">IFERROR(INDEX(Positions!$E$2:$E$6912,MATCH($A2613&amp;"|10",Positions!$A$2:$A$6912,0)),"-")</f>
        <v>G</v>
      </c>
      <c r="G2613" s="4" t="str">
        <f aca="false">IFERROR(INDEX(Positions!$E$2:$E$6912,MATCH($A2613&amp;"|25",Positions!$A$2:$A$6912,0)),"-")</f>
        <v>C</v>
      </c>
      <c r="H2613" s="3" t="str">
        <f aca="false">F2613&amp;"-"&amp;G2613</f>
        <v>G-C</v>
      </c>
      <c r="I2613" s="4" t="n">
        <f aca="false">(F2613="G")+(G2613="G")</f>
        <v>1</v>
      </c>
      <c r="J2613" s="4" t="n">
        <f aca="false">(F2613="C")+(G2613="C")</f>
        <v>1</v>
      </c>
      <c r="K2613" s="3" t="n">
        <f aca="false">I2613+J2613</f>
        <v>2</v>
      </c>
    </row>
    <row r="2614" customFormat="false" ht="15" hidden="false" customHeight="false" outlineLevel="0" collapsed="false">
      <c r="A2614" s="4" t="s">
        <v>130</v>
      </c>
      <c r="B2614" s="4" t="s">
        <v>425</v>
      </c>
      <c r="C2614" s="4" t="s">
        <v>523</v>
      </c>
      <c r="D2614" s="4" t="n">
        <f aca="false">IFERROR(INDEX(Positions!$D$2:$D$6912,MATCH($A2614&amp;"|11",Positions!$A$2:$A$6912,0)),"-")</f>
        <v>11</v>
      </c>
      <c r="E2614" s="4" t="n">
        <f aca="false">IFERROR(INDEX(Positions!$D$2:$D$6912,MATCH($A2614&amp;"|24",Positions!$A$2:$A$6912,0)),"-")</f>
        <v>24</v>
      </c>
      <c r="F2614" s="4" t="str">
        <f aca="false">IFERROR(INDEX(Positions!$E$2:$E$6912,MATCH($A2614&amp;"|11",Positions!$A$2:$A$6912,0)),"-")</f>
        <v>C</v>
      </c>
      <c r="G2614" s="4" t="str">
        <f aca="false">IFERROR(INDEX(Positions!$E$2:$E$6912,MATCH($A2614&amp;"|24",Positions!$A$2:$A$6912,0)),"-")</f>
        <v>G</v>
      </c>
      <c r="H2614" s="3" t="str">
        <f aca="false">F2614&amp;"-"&amp;G2614</f>
        <v>C-G</v>
      </c>
      <c r="I2614" s="4" t="n">
        <f aca="false">(F2614="G")+(G2614="G")</f>
        <v>1</v>
      </c>
      <c r="J2614" s="4" t="n">
        <f aca="false">(F2614="C")+(G2614="C")</f>
        <v>1</v>
      </c>
      <c r="K2614" s="3" t="n">
        <f aca="false">I2614+J2614</f>
        <v>2</v>
      </c>
    </row>
    <row r="2615" customFormat="false" ht="15" hidden="false" customHeight="false" outlineLevel="0" collapsed="false">
      <c r="A2615" s="4" t="s">
        <v>130</v>
      </c>
      <c r="B2615" s="4" t="s">
        <v>425</v>
      </c>
      <c r="C2615" s="4" t="s">
        <v>250</v>
      </c>
      <c r="D2615" s="4" t="n">
        <f aca="false">IFERROR(INDEX(Positions!$D$2:$D$6912,MATCH($A2615&amp;"|12",Positions!$A$2:$A$6912,0)),"-")</f>
        <v>12</v>
      </c>
      <c r="E2615" s="4" t="n">
        <f aca="false">IFERROR(INDEX(Positions!$D$2:$D$6912,MATCH($A2615&amp;"|23",Positions!$A$2:$A$6912,0)),"-")</f>
        <v>23</v>
      </c>
      <c r="F2615" s="4" t="str">
        <f aca="false">IFERROR(INDEX(Positions!$E$2:$E$6912,MATCH($A2615&amp;"|12",Positions!$A$2:$A$6912,0)),"-")</f>
        <v>U</v>
      </c>
      <c r="G2615" s="4" t="str">
        <f aca="false">IFERROR(INDEX(Positions!$E$2:$E$6912,MATCH($A2615&amp;"|23",Positions!$A$2:$A$6912,0)),"-")</f>
        <v>A</v>
      </c>
      <c r="H2615" s="3" t="str">
        <f aca="false">F2615&amp;"-"&amp;G2615</f>
        <v>U-A</v>
      </c>
      <c r="I2615" s="4" t="n">
        <f aca="false">(F2615="G")+(G2615="G")</f>
        <v>0</v>
      </c>
      <c r="J2615" s="4" t="n">
        <f aca="false">(F2615="C")+(G2615="C")</f>
        <v>0</v>
      </c>
      <c r="K2615" s="3" t="n">
        <f aca="false">I2615+J2615</f>
        <v>0</v>
      </c>
    </row>
    <row r="2616" customFormat="false" ht="15" hidden="false" customHeight="false" outlineLevel="0" collapsed="false">
      <c r="A2616" s="4" t="s">
        <v>130</v>
      </c>
      <c r="B2616" s="4" t="s">
        <v>425</v>
      </c>
      <c r="C2616" s="4" t="s">
        <v>154</v>
      </c>
      <c r="D2616" s="4" t="n">
        <f aca="false">IFERROR(INDEX(Positions!$D$2:$D$6912,MATCH($A2616&amp;"|13",Positions!$A$2:$A$6912,0)),"-")</f>
        <v>13</v>
      </c>
      <c r="E2616" s="4" t="n">
        <f aca="false">IFERROR(INDEX(Positions!$D$2:$D$6912,MATCH($A2616&amp;"|22",Positions!$A$2:$A$6912,0)),"-")</f>
        <v>22</v>
      </c>
      <c r="F2616" s="4" t="str">
        <f aca="false">IFERROR(INDEX(Positions!$E$2:$E$6912,MATCH($A2616&amp;"|13",Positions!$A$2:$A$6912,0)),"-")</f>
        <v>C</v>
      </c>
      <c r="G2616" s="4" t="str">
        <f aca="false">IFERROR(INDEX(Positions!$E$2:$E$6912,MATCH($A2616&amp;"|22",Positions!$A$2:$A$6912,0)),"-")</f>
        <v>G</v>
      </c>
      <c r="H2616" s="3" t="str">
        <f aca="false">F2616&amp;"-"&amp;G2616</f>
        <v>C-G</v>
      </c>
      <c r="I2616" s="4" t="n">
        <f aca="false">(F2616="G")+(G2616="G")</f>
        <v>1</v>
      </c>
      <c r="J2616" s="4" t="n">
        <f aca="false">(F2616="C")+(G2616="C")</f>
        <v>1</v>
      </c>
      <c r="K2616" s="3" t="n">
        <f aca="false">I2616+J2616</f>
        <v>2</v>
      </c>
    </row>
    <row r="2617" customFormat="false" ht="15" hidden="false" customHeight="false" outlineLevel="0" collapsed="false">
      <c r="A2617" s="4" t="s">
        <v>130</v>
      </c>
      <c r="B2617" s="4" t="s">
        <v>446</v>
      </c>
      <c r="C2617" s="4" t="s">
        <v>524</v>
      </c>
      <c r="D2617" s="4" t="n">
        <f aca="false">IFERROR(INDEX(Positions!$D$2:$D$6912,MATCH($A2617&amp;"|27",Positions!$A$2:$A$6912,0)),"-")</f>
        <v>27</v>
      </c>
      <c r="E2617" s="4" t="n">
        <f aca="false">IFERROR(INDEX(Positions!$D$2:$D$6912,MATCH($A2617&amp;"|43",Positions!$A$2:$A$6912,0)),"-")</f>
        <v>43</v>
      </c>
      <c r="F2617" s="4" t="str">
        <f aca="false">IFERROR(INDEX(Positions!$E$2:$E$6912,MATCH($A2617&amp;"|27",Positions!$A$2:$A$6912,0)),"-")</f>
        <v>C</v>
      </c>
      <c r="G2617" s="4" t="str">
        <f aca="false">IFERROR(INDEX(Positions!$E$2:$E$6912,MATCH($A2617&amp;"|43",Positions!$A$2:$A$6912,0)),"-")</f>
        <v>G</v>
      </c>
      <c r="H2617" s="3" t="str">
        <f aca="false">F2617&amp;"-"&amp;G2617</f>
        <v>C-G</v>
      </c>
      <c r="I2617" s="4" t="n">
        <f aca="false">(F2617="G")+(G2617="G")</f>
        <v>1</v>
      </c>
      <c r="J2617" s="4" t="n">
        <f aca="false">(F2617="C")+(G2617="C")</f>
        <v>1</v>
      </c>
      <c r="K2617" s="3" t="n">
        <f aca="false">I2617+J2617</f>
        <v>2</v>
      </c>
    </row>
    <row r="2618" customFormat="false" ht="15" hidden="false" customHeight="false" outlineLevel="0" collapsed="false">
      <c r="A2618" s="4" t="s">
        <v>130</v>
      </c>
      <c r="B2618" s="4" t="s">
        <v>446</v>
      </c>
      <c r="C2618" s="4" t="s">
        <v>525</v>
      </c>
      <c r="D2618" s="4" t="n">
        <f aca="false">IFERROR(INDEX(Positions!$D$2:$D$6912,MATCH($A2618&amp;"|28",Positions!$A$2:$A$6912,0)),"-")</f>
        <v>28</v>
      </c>
      <c r="E2618" s="4" t="n">
        <f aca="false">IFERROR(INDEX(Positions!$D$2:$D$6912,MATCH($A2618&amp;"|42",Positions!$A$2:$A$6912,0)),"-")</f>
        <v>42</v>
      </c>
      <c r="F2618" s="4" t="str">
        <f aca="false">IFERROR(INDEX(Positions!$E$2:$E$6912,MATCH($A2618&amp;"|28",Positions!$A$2:$A$6912,0)),"-")</f>
        <v>C</v>
      </c>
      <c r="G2618" s="4" t="str">
        <f aca="false">IFERROR(INDEX(Positions!$E$2:$E$6912,MATCH($A2618&amp;"|42",Positions!$A$2:$A$6912,0)),"-")</f>
        <v>G</v>
      </c>
      <c r="H2618" s="3" t="str">
        <f aca="false">F2618&amp;"-"&amp;G2618</f>
        <v>C-G</v>
      </c>
      <c r="I2618" s="4" t="n">
        <f aca="false">(F2618="G")+(G2618="G")</f>
        <v>1</v>
      </c>
      <c r="J2618" s="4" t="n">
        <f aca="false">(F2618="C")+(G2618="C")</f>
        <v>1</v>
      </c>
      <c r="K2618" s="3" t="n">
        <f aca="false">I2618+J2618</f>
        <v>2</v>
      </c>
    </row>
    <row r="2619" customFormat="false" ht="15" hidden="false" customHeight="false" outlineLevel="0" collapsed="false">
      <c r="A2619" s="4" t="s">
        <v>130</v>
      </c>
      <c r="B2619" s="4" t="s">
        <v>446</v>
      </c>
      <c r="C2619" s="4" t="s">
        <v>256</v>
      </c>
      <c r="D2619" s="4" t="n">
        <f aca="false">IFERROR(INDEX(Positions!$D$2:$D$6912,MATCH($A2619&amp;"|29",Positions!$A$2:$A$6912,0)),"-")</f>
        <v>29</v>
      </c>
      <c r="E2619" s="4" t="n">
        <f aca="false">IFERROR(INDEX(Positions!$D$2:$D$6912,MATCH($A2619&amp;"|41",Positions!$A$2:$A$6912,0)),"-")</f>
        <v>41</v>
      </c>
      <c r="F2619" s="4" t="str">
        <f aca="false">IFERROR(INDEX(Positions!$E$2:$E$6912,MATCH($A2619&amp;"|29",Positions!$A$2:$A$6912,0)),"-")</f>
        <v>U</v>
      </c>
      <c r="G2619" s="4" t="str">
        <f aca="false">IFERROR(INDEX(Positions!$E$2:$E$6912,MATCH($A2619&amp;"|41",Positions!$A$2:$A$6912,0)),"-")</f>
        <v>A</v>
      </c>
      <c r="H2619" s="3" t="str">
        <f aca="false">F2619&amp;"-"&amp;G2619</f>
        <v>U-A</v>
      </c>
      <c r="I2619" s="4" t="n">
        <f aca="false">(F2619="G")+(G2619="G")</f>
        <v>0</v>
      </c>
      <c r="J2619" s="4" t="n">
        <f aca="false">(F2619="C")+(G2619="C")</f>
        <v>0</v>
      </c>
      <c r="K2619" s="3" t="n">
        <f aca="false">I2619+J2619</f>
        <v>0</v>
      </c>
    </row>
    <row r="2620" customFormat="false" ht="15" hidden="false" customHeight="false" outlineLevel="0" collapsed="false">
      <c r="A2620" s="4" t="s">
        <v>130</v>
      </c>
      <c r="B2620" s="4" t="s">
        <v>446</v>
      </c>
      <c r="C2620" s="4" t="s">
        <v>526</v>
      </c>
      <c r="D2620" s="4" t="n">
        <f aca="false">IFERROR(INDEX(Positions!$D$2:$D$6912,MATCH($A2620&amp;"|30",Positions!$A$2:$A$6912,0)),"-")</f>
        <v>30</v>
      </c>
      <c r="E2620" s="4" t="n">
        <f aca="false">IFERROR(INDEX(Positions!$D$2:$D$6912,MATCH($A2620&amp;"|40",Positions!$A$2:$A$6912,0)),"-")</f>
        <v>40</v>
      </c>
      <c r="F2620" s="4" t="str">
        <f aca="false">IFERROR(INDEX(Positions!$E$2:$E$6912,MATCH($A2620&amp;"|30",Positions!$A$2:$A$6912,0)),"-")</f>
        <v>G</v>
      </c>
      <c r="G2620" s="4" t="str">
        <f aca="false">IFERROR(INDEX(Positions!$E$2:$E$6912,MATCH($A2620&amp;"|40",Positions!$A$2:$A$6912,0)),"-")</f>
        <v>C</v>
      </c>
      <c r="H2620" s="3" t="str">
        <f aca="false">F2620&amp;"-"&amp;G2620</f>
        <v>G-C</v>
      </c>
      <c r="I2620" s="4" t="n">
        <f aca="false">(F2620="G")+(G2620="G")</f>
        <v>1</v>
      </c>
      <c r="J2620" s="4" t="n">
        <f aca="false">(F2620="C")+(G2620="C")</f>
        <v>1</v>
      </c>
      <c r="K2620" s="3" t="n">
        <f aca="false">I2620+J2620</f>
        <v>2</v>
      </c>
    </row>
    <row r="2621" customFormat="false" ht="15" hidden="false" customHeight="false" outlineLevel="0" collapsed="false">
      <c r="A2621" s="4" t="s">
        <v>130</v>
      </c>
      <c r="B2621" s="4" t="s">
        <v>446</v>
      </c>
      <c r="C2621" s="4" t="s">
        <v>273</v>
      </c>
      <c r="D2621" s="4" t="n">
        <f aca="false">IFERROR(INDEX(Positions!$D$2:$D$6912,MATCH($A2621&amp;"|31",Positions!$A$2:$A$6912,0)),"-")</f>
        <v>31</v>
      </c>
      <c r="E2621" s="4" t="n">
        <f aca="false">IFERROR(INDEX(Positions!$D$2:$D$6912,MATCH($A2621&amp;"|39",Positions!$A$2:$A$6912,0)),"-")</f>
        <v>39</v>
      </c>
      <c r="F2621" s="4" t="str">
        <f aca="false">IFERROR(INDEX(Positions!$E$2:$E$6912,MATCH($A2621&amp;"|31",Positions!$A$2:$A$6912,0)),"-")</f>
        <v>C</v>
      </c>
      <c r="G2621" s="4" t="str">
        <f aca="false">IFERROR(INDEX(Positions!$E$2:$E$6912,MATCH($A2621&amp;"|39",Positions!$A$2:$A$6912,0)),"-")</f>
        <v>G</v>
      </c>
      <c r="H2621" s="3" t="str">
        <f aca="false">F2621&amp;"-"&amp;G2621</f>
        <v>C-G</v>
      </c>
      <c r="I2621" s="4" t="n">
        <f aca="false">(F2621="G")+(G2621="G")</f>
        <v>1</v>
      </c>
      <c r="J2621" s="4" t="n">
        <f aca="false">(F2621="C")+(G2621="C")</f>
        <v>1</v>
      </c>
      <c r="K2621" s="3" t="n">
        <f aca="false">I2621+J2621</f>
        <v>2</v>
      </c>
    </row>
    <row r="2622" customFormat="false" ht="15" hidden="false" customHeight="false" outlineLevel="0" collapsed="false">
      <c r="A2622" s="4" t="s">
        <v>130</v>
      </c>
      <c r="B2622" s="4" t="s">
        <v>471</v>
      </c>
      <c r="C2622" s="4" t="s">
        <v>367</v>
      </c>
      <c r="D2622" s="4" t="n">
        <f aca="false">IFERROR(INDEX(Positions!$D$2:$D$6912,MATCH($A2622&amp;"|49",Positions!$A$2:$A$6912,0)),"-")</f>
        <v>49</v>
      </c>
      <c r="E2622" s="4" t="n">
        <f aca="false">IFERROR(INDEX(Positions!$D$2:$D$6912,MATCH($A2622&amp;"|65",Positions!$A$2:$A$6912,0)),"-")</f>
        <v>65</v>
      </c>
      <c r="F2622" s="4" t="str">
        <f aca="false">IFERROR(INDEX(Positions!$E$2:$E$6912,MATCH($A2622&amp;"|49",Positions!$A$2:$A$6912,0)),"-")</f>
        <v>U</v>
      </c>
      <c r="G2622" s="4" t="str">
        <f aca="false">IFERROR(INDEX(Positions!$E$2:$E$6912,MATCH($A2622&amp;"|65",Positions!$A$2:$A$6912,0)),"-")</f>
        <v>A</v>
      </c>
      <c r="H2622" s="3" t="str">
        <f aca="false">F2622&amp;"-"&amp;G2622</f>
        <v>U-A</v>
      </c>
      <c r="I2622" s="4" t="n">
        <f aca="false">(F2622="G")+(G2622="G")</f>
        <v>0</v>
      </c>
      <c r="J2622" s="4" t="n">
        <f aca="false">(F2622="C")+(G2622="C")</f>
        <v>0</v>
      </c>
      <c r="K2622" s="3" t="n">
        <f aca="false">I2622+J2622</f>
        <v>0</v>
      </c>
    </row>
    <row r="2623" customFormat="false" ht="15" hidden="false" customHeight="false" outlineLevel="0" collapsed="false">
      <c r="A2623" s="4" t="s">
        <v>130</v>
      </c>
      <c r="B2623" s="4" t="s">
        <v>471</v>
      </c>
      <c r="C2623" s="4" t="s">
        <v>233</v>
      </c>
      <c r="D2623" s="4" t="n">
        <f aca="false">IFERROR(INDEX(Positions!$D$2:$D$6912,MATCH($A2623&amp;"|50",Positions!$A$2:$A$6912,0)),"-")</f>
        <v>50</v>
      </c>
      <c r="E2623" s="4" t="n">
        <f aca="false">IFERROR(INDEX(Positions!$D$2:$D$6912,MATCH($A2623&amp;"|64",Positions!$A$2:$A$6912,0)),"-")</f>
        <v>64</v>
      </c>
      <c r="F2623" s="4" t="str">
        <f aca="false">IFERROR(INDEX(Positions!$E$2:$E$6912,MATCH($A2623&amp;"|50",Positions!$A$2:$A$6912,0)),"-")</f>
        <v>G</v>
      </c>
      <c r="G2623" s="4" t="str">
        <f aca="false">IFERROR(INDEX(Positions!$E$2:$E$6912,MATCH($A2623&amp;"|64",Positions!$A$2:$A$6912,0)),"-")</f>
        <v>C</v>
      </c>
      <c r="H2623" s="3" t="str">
        <f aca="false">F2623&amp;"-"&amp;G2623</f>
        <v>G-C</v>
      </c>
      <c r="I2623" s="4" t="n">
        <f aca="false">(F2623="G")+(G2623="G")</f>
        <v>1</v>
      </c>
      <c r="J2623" s="4" t="n">
        <f aca="false">(F2623="C")+(G2623="C")</f>
        <v>1</v>
      </c>
      <c r="K2623" s="3" t="n">
        <f aca="false">I2623+J2623</f>
        <v>2</v>
      </c>
    </row>
    <row r="2624" customFormat="false" ht="15" hidden="false" customHeight="false" outlineLevel="0" collapsed="false">
      <c r="A2624" s="4" t="s">
        <v>130</v>
      </c>
      <c r="B2624" s="4" t="s">
        <v>471</v>
      </c>
      <c r="C2624" s="4" t="s">
        <v>527</v>
      </c>
      <c r="D2624" s="4" t="n">
        <f aca="false">IFERROR(INDEX(Positions!$D$2:$D$6912,MATCH($A2624&amp;"|51",Positions!$A$2:$A$6912,0)),"-")</f>
        <v>51</v>
      </c>
      <c r="E2624" s="4" t="n">
        <f aca="false">IFERROR(INDEX(Positions!$D$2:$D$6912,MATCH($A2624&amp;"|63",Positions!$A$2:$A$6912,0)),"-")</f>
        <v>63</v>
      </c>
      <c r="F2624" s="4" t="str">
        <f aca="false">IFERROR(INDEX(Positions!$E$2:$E$6912,MATCH($A2624&amp;"|51",Positions!$A$2:$A$6912,0)),"-")</f>
        <v>C</v>
      </c>
      <c r="G2624" s="4" t="str">
        <f aca="false">IFERROR(INDEX(Positions!$E$2:$E$6912,MATCH($A2624&amp;"|63",Positions!$A$2:$A$6912,0)),"-")</f>
        <v>G</v>
      </c>
      <c r="H2624" s="3" t="str">
        <f aca="false">F2624&amp;"-"&amp;G2624</f>
        <v>C-G</v>
      </c>
      <c r="I2624" s="4" t="n">
        <f aca="false">(F2624="G")+(G2624="G")</f>
        <v>1</v>
      </c>
      <c r="J2624" s="4" t="n">
        <f aca="false">(F2624="C")+(G2624="C")</f>
        <v>1</v>
      </c>
      <c r="K2624" s="3" t="n">
        <f aca="false">I2624+J2624</f>
        <v>2</v>
      </c>
    </row>
    <row r="2625" customFormat="false" ht="15" hidden="false" customHeight="false" outlineLevel="0" collapsed="false">
      <c r="A2625" s="4" t="s">
        <v>130</v>
      </c>
      <c r="B2625" s="4" t="s">
        <v>471</v>
      </c>
      <c r="C2625" s="4" t="s">
        <v>528</v>
      </c>
      <c r="D2625" s="4" t="n">
        <f aca="false">IFERROR(INDEX(Positions!$D$2:$D$6912,MATCH($A2625&amp;"|52",Positions!$A$2:$A$6912,0)),"-")</f>
        <v>52</v>
      </c>
      <c r="E2625" s="4" t="n">
        <f aca="false">IFERROR(INDEX(Positions!$D$2:$D$6912,MATCH($A2625&amp;"|62",Positions!$A$2:$A$6912,0)),"-")</f>
        <v>62</v>
      </c>
      <c r="F2625" s="4" t="str">
        <f aca="false">IFERROR(INDEX(Positions!$E$2:$E$6912,MATCH($A2625&amp;"|52",Positions!$A$2:$A$6912,0)),"-")</f>
        <v>G</v>
      </c>
      <c r="G2625" s="4" t="str">
        <f aca="false">IFERROR(INDEX(Positions!$E$2:$E$6912,MATCH($A2625&amp;"|62",Positions!$A$2:$A$6912,0)),"-")</f>
        <v>C</v>
      </c>
      <c r="H2625" s="3" t="str">
        <f aca="false">F2625&amp;"-"&amp;G2625</f>
        <v>G-C</v>
      </c>
      <c r="I2625" s="4" t="n">
        <f aca="false">(F2625="G")+(G2625="G")</f>
        <v>1</v>
      </c>
      <c r="J2625" s="4" t="n">
        <f aca="false">(F2625="C")+(G2625="C")</f>
        <v>1</v>
      </c>
      <c r="K2625" s="3" t="n">
        <f aca="false">I2625+J2625</f>
        <v>2</v>
      </c>
    </row>
    <row r="2626" customFormat="false" ht="15" hidden="false" customHeight="false" outlineLevel="0" collapsed="false">
      <c r="A2626" s="4" t="s">
        <v>130</v>
      </c>
      <c r="B2626" s="4" t="s">
        <v>471</v>
      </c>
      <c r="C2626" s="4" t="s">
        <v>529</v>
      </c>
      <c r="D2626" s="4" t="n">
        <f aca="false">IFERROR(INDEX(Positions!$D$2:$D$6912,MATCH($A2626&amp;"|53",Positions!$A$2:$A$6912,0)),"-")</f>
        <v>53</v>
      </c>
      <c r="E2626" s="4" t="n">
        <f aca="false">IFERROR(INDEX(Positions!$D$2:$D$6912,MATCH($A2626&amp;"|61",Positions!$A$2:$A$6912,0)),"-")</f>
        <v>61</v>
      </c>
      <c r="F2626" s="4" t="str">
        <f aca="false">IFERROR(INDEX(Positions!$E$2:$E$6912,MATCH($A2626&amp;"|53",Positions!$A$2:$A$6912,0)),"-")</f>
        <v>G</v>
      </c>
      <c r="G2626" s="4" t="str">
        <f aca="false">IFERROR(INDEX(Positions!$E$2:$E$6912,MATCH($A2626&amp;"|61",Positions!$A$2:$A$6912,0)),"-")</f>
        <v>C</v>
      </c>
      <c r="H2626" s="3" t="str">
        <f aca="false">F2626&amp;"-"&amp;G2626</f>
        <v>G-C</v>
      </c>
      <c r="I2626" s="4" t="n">
        <f aca="false">(F2626="G")+(G2626="G")</f>
        <v>1</v>
      </c>
      <c r="J2626" s="4" t="n">
        <f aca="false">(F2626="C")+(G2626="C")</f>
        <v>1</v>
      </c>
      <c r="K2626" s="3" t="n">
        <f aca="false">I2626+J2626</f>
        <v>2</v>
      </c>
    </row>
    <row r="2627" customFormat="false" ht="15" hidden="false" customHeight="false" outlineLevel="0" collapsed="false">
      <c r="A2627" s="24" t="s">
        <v>130</v>
      </c>
      <c r="B2627" s="24" t="s">
        <v>530</v>
      </c>
      <c r="C2627" s="24" t="s">
        <v>531</v>
      </c>
      <c r="D2627" s="24" t="n">
        <f aca="false">IFERROR(INDEX(Positions!$D$2:$D$6912,MATCH($A2627&amp;"|8",Positions!$A$2:$A$6912,0)),"-")</f>
        <v>8</v>
      </c>
      <c r="E2627" s="24" t="n">
        <f aca="false">IFERROR(INDEX(Positions!$D$2:$D$6912,MATCH($A2627&amp;"|14",Positions!$A$2:$A$6912,0)),"-")</f>
        <v>14</v>
      </c>
      <c r="F2627" s="24" t="str">
        <f aca="false">IFERROR(INDEX(Positions!$E$2:$E$6912,MATCH($A2627&amp;"|8",Positions!$A$2:$A$6912,0)),"-")</f>
        <v>U</v>
      </c>
      <c r="G2627" s="24" t="str">
        <f aca="false">IFERROR(INDEX(Positions!$E$2:$E$6912,MATCH($A2627&amp;"|14",Positions!$A$2:$A$6912,0)),"-")</f>
        <v>A</v>
      </c>
      <c r="H2627" s="25" t="str">
        <f aca="false">F2627&amp;"-"&amp;G2627</f>
        <v>U-A</v>
      </c>
      <c r="I2627" s="24" t="n">
        <f aca="false">(F2627="G")+(G2627="G")</f>
        <v>0</v>
      </c>
      <c r="J2627" s="24" t="n">
        <f aca="false">(F2627="C")+(G2627="C")</f>
        <v>0</v>
      </c>
      <c r="K2627" s="25" t="n">
        <f aca="false">I2627+J2627</f>
        <v>0</v>
      </c>
    </row>
    <row r="2628" customFormat="false" ht="15" hidden="false" customHeight="false" outlineLevel="0" collapsed="false">
      <c r="A2628" s="24" t="s">
        <v>130</v>
      </c>
      <c r="B2628" s="24" t="s">
        <v>530</v>
      </c>
      <c r="C2628" s="24" t="s">
        <v>532</v>
      </c>
      <c r="D2628" s="24" t="n">
        <f aca="false">IFERROR(INDEX(Positions!$D$2:$D$6912,MATCH($A2628&amp;"|15",Positions!$A$2:$A$6912,0)),"-")</f>
        <v>15</v>
      </c>
      <c r="E2628" s="24" t="n">
        <f aca="false">IFERROR(INDEX(Positions!$D$2:$D$6912,MATCH($A2628&amp;"|48",Positions!$A$2:$A$6912,0)),"-")</f>
        <v>48</v>
      </c>
      <c r="F2628" s="24" t="str">
        <f aca="false">IFERROR(INDEX(Positions!$E$2:$E$6912,MATCH($A2628&amp;"|15",Positions!$A$2:$A$6912,0)),"-")</f>
        <v>G</v>
      </c>
      <c r="G2628" s="24" t="str">
        <f aca="false">IFERROR(INDEX(Positions!$E$2:$E$6912,MATCH($A2628&amp;"|48",Positions!$A$2:$A$6912,0)),"-")</f>
        <v>C</v>
      </c>
      <c r="H2628" s="25" t="str">
        <f aca="false">F2628&amp;"-"&amp;G2628</f>
        <v>G-C</v>
      </c>
      <c r="I2628" s="24" t="n">
        <f aca="false">(F2628="G")+(G2628="G")</f>
        <v>1</v>
      </c>
      <c r="J2628" s="24" t="n">
        <f aca="false">(F2628="C")+(G2628="C")</f>
        <v>1</v>
      </c>
      <c r="K2628" s="25" t="n">
        <f aca="false">I2628+J2628</f>
        <v>2</v>
      </c>
    </row>
    <row r="2629" customFormat="false" ht="15" hidden="false" customHeight="false" outlineLevel="0" collapsed="false">
      <c r="A2629" s="24" t="s">
        <v>130</v>
      </c>
      <c r="B2629" s="24" t="s">
        <v>530</v>
      </c>
      <c r="C2629" s="24" t="s">
        <v>533</v>
      </c>
      <c r="D2629" s="24" t="n">
        <f aca="false">IFERROR(INDEX(Positions!$D$2:$D$6912,MATCH($A2629&amp;"|18",Positions!$A$2:$A$6912,0)),"-")</f>
        <v>18</v>
      </c>
      <c r="E2629" s="24" t="n">
        <f aca="false">IFERROR(INDEX(Positions!$D$2:$D$6912,MATCH($A2629&amp;"|55",Positions!$A$2:$A$6912,0)),"-")</f>
        <v>55</v>
      </c>
      <c r="F2629" s="24" t="str">
        <f aca="false">IFERROR(INDEX(Positions!$E$2:$E$6912,MATCH($A2629&amp;"|18",Positions!$A$2:$A$6912,0)),"-")</f>
        <v>G</v>
      </c>
      <c r="G2629" s="24" t="str">
        <f aca="false">IFERROR(INDEX(Positions!$E$2:$E$6912,MATCH($A2629&amp;"|55",Positions!$A$2:$A$6912,0)),"-")</f>
        <v>U</v>
      </c>
      <c r="H2629" s="25" t="str">
        <f aca="false">F2629&amp;"-"&amp;G2629</f>
        <v>G-U</v>
      </c>
      <c r="I2629" s="24" t="n">
        <f aca="false">(F2629="G")+(G2629="G")</f>
        <v>1</v>
      </c>
      <c r="J2629" s="24" t="n">
        <f aca="false">(F2629="C")+(G2629="C")</f>
        <v>0</v>
      </c>
      <c r="K2629" s="25" t="n">
        <f aca="false">I2629+J2629</f>
        <v>1</v>
      </c>
    </row>
    <row r="2630" customFormat="false" ht="15" hidden="false" customHeight="false" outlineLevel="0" collapsed="false">
      <c r="A2630" s="24" t="s">
        <v>130</v>
      </c>
      <c r="B2630" s="24" t="s">
        <v>530</v>
      </c>
      <c r="C2630" s="24" t="s">
        <v>534</v>
      </c>
      <c r="D2630" s="24" t="n">
        <f aca="false">IFERROR(INDEX(Positions!$D$2:$D$6912,MATCH($A2630&amp;"|19",Positions!$A$2:$A$6912,0)),"-")</f>
        <v>19</v>
      </c>
      <c r="E2630" s="24" t="n">
        <f aca="false">IFERROR(INDEX(Positions!$D$2:$D$6912,MATCH($A2630&amp;"|56",Positions!$A$2:$A$6912,0)),"-")</f>
        <v>56</v>
      </c>
      <c r="F2630" s="24" t="str">
        <f aca="false">IFERROR(INDEX(Positions!$E$2:$E$6912,MATCH($A2630&amp;"|19",Positions!$A$2:$A$6912,0)),"-")</f>
        <v>G</v>
      </c>
      <c r="G2630" s="24" t="str">
        <f aca="false">IFERROR(INDEX(Positions!$E$2:$E$6912,MATCH($A2630&amp;"|56",Positions!$A$2:$A$6912,0)),"-")</f>
        <v>C</v>
      </c>
      <c r="H2630" s="25" t="str">
        <f aca="false">F2630&amp;"-"&amp;G2630</f>
        <v>G-C</v>
      </c>
      <c r="I2630" s="24" t="n">
        <f aca="false">(F2630="G")+(G2630="G")</f>
        <v>1</v>
      </c>
      <c r="J2630" s="24" t="n">
        <f aca="false">(F2630="C")+(G2630="C")</f>
        <v>1</v>
      </c>
      <c r="K2630" s="25" t="n">
        <f aca="false">I2630+J2630</f>
        <v>2</v>
      </c>
    </row>
    <row r="2631" customFormat="false" ht="15" hidden="false" customHeight="false" outlineLevel="0" collapsed="false">
      <c r="A2631" s="24" t="s">
        <v>130</v>
      </c>
      <c r="B2631" s="24" t="s">
        <v>530</v>
      </c>
      <c r="C2631" s="24" t="s">
        <v>535</v>
      </c>
      <c r="D2631" s="24" t="n">
        <f aca="false">IFERROR(INDEX(Positions!$D$2:$D$6912,MATCH($A2631&amp;"|26",Positions!$A$2:$A$6912,0)),"-")</f>
        <v>26</v>
      </c>
      <c r="E2631" s="24" t="n">
        <f aca="false">IFERROR(INDEX(Positions!$D$2:$D$6912,MATCH($A2631&amp;"|44",Positions!$A$2:$A$6912,0)),"-")</f>
        <v>44</v>
      </c>
      <c r="F2631" s="24" t="str">
        <f aca="false">IFERROR(INDEX(Positions!$E$2:$E$6912,MATCH($A2631&amp;"|26",Positions!$A$2:$A$6912,0)),"-")</f>
        <v>G</v>
      </c>
      <c r="G2631" s="24" t="str">
        <f aca="false">IFERROR(INDEX(Positions!$E$2:$E$6912,MATCH($A2631&amp;"|44",Positions!$A$2:$A$6912,0)),"-")</f>
        <v>A</v>
      </c>
      <c r="H2631" s="25" t="str">
        <f aca="false">F2631&amp;"-"&amp;G2631</f>
        <v>G-A</v>
      </c>
      <c r="I2631" s="24" t="n">
        <f aca="false">(F2631="G")+(G2631="G")</f>
        <v>1</v>
      </c>
      <c r="J2631" s="24" t="n">
        <f aca="false">(F2631="C")+(G2631="C")</f>
        <v>0</v>
      </c>
      <c r="K2631" s="25" t="n">
        <f aca="false">I2631+J2631</f>
        <v>1</v>
      </c>
    </row>
    <row r="2632" customFormat="false" ht="15" hidden="false" customHeight="false" outlineLevel="0" collapsed="false">
      <c r="A2632" s="24" t="s">
        <v>130</v>
      </c>
      <c r="B2632" s="24" t="s">
        <v>530</v>
      </c>
      <c r="C2632" s="24" t="s">
        <v>536</v>
      </c>
      <c r="D2632" s="24" t="n">
        <f aca="false">IFERROR(INDEX(Positions!$D$2:$D$6912,MATCH($A2632&amp;"|32",Positions!$A$2:$A$6912,0)),"-")</f>
        <v>32</v>
      </c>
      <c r="E2632" s="24" t="n">
        <f aca="false">IFERROR(INDEX(Positions!$D$2:$D$6912,MATCH($A2632&amp;"|38",Positions!$A$2:$A$6912,0)),"-")</f>
        <v>38</v>
      </c>
      <c r="F2632" s="24" t="str">
        <f aca="false">IFERROR(INDEX(Positions!$E$2:$E$6912,MATCH($A2632&amp;"|32",Positions!$A$2:$A$6912,0)),"-")</f>
        <v>U</v>
      </c>
      <c r="G2632" s="24" t="str">
        <f aca="false">IFERROR(INDEX(Positions!$E$2:$E$6912,MATCH($A2632&amp;"|38",Positions!$A$2:$A$6912,0)),"-")</f>
        <v>C</v>
      </c>
      <c r="H2632" s="25" t="str">
        <f aca="false">F2632&amp;"-"&amp;G2632</f>
        <v>U-C</v>
      </c>
      <c r="I2632" s="24" t="n">
        <f aca="false">(F2632="G")+(G2632="G")</f>
        <v>0</v>
      </c>
      <c r="J2632" s="24" t="n">
        <f aca="false">(F2632="C")+(G2632="C")</f>
        <v>1</v>
      </c>
      <c r="K2632" s="25" t="n">
        <f aca="false">I2632+J2632</f>
        <v>1</v>
      </c>
    </row>
    <row r="2633" customFormat="false" ht="15" hidden="false" customHeight="false" outlineLevel="0" collapsed="false">
      <c r="A2633" s="24" t="s">
        <v>130</v>
      </c>
      <c r="B2633" s="24" t="s">
        <v>530</v>
      </c>
      <c r="C2633" s="24" t="s">
        <v>537</v>
      </c>
      <c r="D2633" s="24" t="n">
        <f aca="false">IFERROR(INDEX(Positions!$D$2:$D$6912,MATCH($A2633&amp;"|54",Positions!$A$2:$A$6912,0)),"-")</f>
        <v>54</v>
      </c>
      <c r="E2633" s="24" t="n">
        <f aca="false">IFERROR(INDEX(Positions!$D$2:$D$6912,MATCH($A2633&amp;"|58",Positions!$A$2:$A$6912,0)),"-")</f>
        <v>58</v>
      </c>
      <c r="F2633" s="24" t="str">
        <f aca="false">IFERROR(INDEX(Positions!$E$2:$E$6912,MATCH($A2633&amp;"|54",Positions!$A$2:$A$6912,0)),"-")</f>
        <v>U</v>
      </c>
      <c r="G2633" s="24" t="str">
        <f aca="false">IFERROR(INDEX(Positions!$E$2:$E$6912,MATCH($A2633&amp;"|58",Positions!$A$2:$A$6912,0)),"-")</f>
        <v>A</v>
      </c>
      <c r="H2633" s="25" t="str">
        <f aca="false">F2633&amp;"-"&amp;G2633</f>
        <v>U-A</v>
      </c>
      <c r="I2633" s="24" t="n">
        <f aca="false">(F2633="G")+(G2633="G")</f>
        <v>0</v>
      </c>
      <c r="J2633" s="24" t="n">
        <f aca="false">(F2633="C")+(G2633="C")</f>
        <v>0</v>
      </c>
      <c r="K2633" s="25" t="n">
        <f aca="false">I2633+J2633</f>
        <v>0</v>
      </c>
    </row>
    <row r="2634" customFormat="false" ht="15" hidden="false" customHeight="false" outlineLevel="0" collapsed="false">
      <c r="A2634" s="4" t="s">
        <v>131</v>
      </c>
      <c r="B2634" s="4" t="s">
        <v>412</v>
      </c>
      <c r="C2634" s="4" t="s">
        <v>517</v>
      </c>
      <c r="D2634" s="4" t="n">
        <f aca="false">IFERROR(INDEX(Positions!$D$2:$D$6912,MATCH($A2634&amp;"|1",Positions!$A$2:$A$6912,0)),"-")</f>
        <v>1</v>
      </c>
      <c r="E2634" s="4" t="n">
        <f aca="false">IFERROR(INDEX(Positions!$D$2:$D$6912,MATCH($A2634&amp;"|72",Positions!$A$2:$A$6912,0)),"-")</f>
        <v>73</v>
      </c>
      <c r="F2634" s="4" t="str">
        <f aca="false">IFERROR(INDEX(Positions!$E$2:$E$6912,MATCH($A2634&amp;"|1",Positions!$A$2:$A$6912,0)),"-")</f>
        <v>C</v>
      </c>
      <c r="G2634" s="4" t="str">
        <f aca="false">IFERROR(INDEX(Positions!$E$2:$E$6912,MATCH($A2634&amp;"|72",Positions!$A$2:$A$6912,0)),"-")</f>
        <v>A</v>
      </c>
      <c r="H2634" s="3" t="str">
        <f aca="false">F2634&amp;"-"&amp;G2634</f>
        <v>C-A</v>
      </c>
      <c r="I2634" s="4" t="n">
        <f aca="false">(F2634="G")+(G2634="G")</f>
        <v>0</v>
      </c>
      <c r="J2634" s="4" t="n">
        <f aca="false">(F2634="C")+(G2634="C")</f>
        <v>1</v>
      </c>
      <c r="K2634" s="3" t="n">
        <f aca="false">I2634+J2634</f>
        <v>1</v>
      </c>
    </row>
    <row r="2635" customFormat="false" ht="15" hidden="false" customHeight="false" outlineLevel="0" collapsed="false">
      <c r="A2635" s="4" t="s">
        <v>131</v>
      </c>
      <c r="B2635" s="4" t="s">
        <v>412</v>
      </c>
      <c r="C2635" s="4" t="s">
        <v>518</v>
      </c>
      <c r="D2635" s="4" t="n">
        <f aca="false">IFERROR(INDEX(Positions!$D$2:$D$6912,MATCH($A2635&amp;"|2",Positions!$A$2:$A$6912,0)),"-")</f>
        <v>2</v>
      </c>
      <c r="E2635" s="4" t="n">
        <f aca="false">IFERROR(INDEX(Positions!$D$2:$D$6912,MATCH($A2635&amp;"|71",Positions!$A$2:$A$6912,0)),"-")</f>
        <v>72</v>
      </c>
      <c r="F2635" s="4" t="str">
        <f aca="false">IFERROR(INDEX(Positions!$E$2:$E$6912,MATCH($A2635&amp;"|2",Positions!$A$2:$A$6912,0)),"-")</f>
        <v>G</v>
      </c>
      <c r="G2635" s="4" t="str">
        <f aca="false">IFERROR(INDEX(Positions!$E$2:$E$6912,MATCH($A2635&amp;"|71",Positions!$A$2:$A$6912,0)),"-")</f>
        <v>C</v>
      </c>
      <c r="H2635" s="3" t="str">
        <f aca="false">F2635&amp;"-"&amp;G2635</f>
        <v>G-C</v>
      </c>
      <c r="I2635" s="4" t="n">
        <f aca="false">(F2635="G")+(G2635="G")</f>
        <v>1</v>
      </c>
      <c r="J2635" s="4" t="n">
        <f aca="false">(F2635="C")+(G2635="C")</f>
        <v>1</v>
      </c>
      <c r="K2635" s="3" t="n">
        <f aca="false">I2635+J2635</f>
        <v>2</v>
      </c>
    </row>
    <row r="2636" customFormat="false" ht="15" hidden="false" customHeight="false" outlineLevel="0" collapsed="false">
      <c r="A2636" s="4" t="s">
        <v>131</v>
      </c>
      <c r="B2636" s="4" t="s">
        <v>412</v>
      </c>
      <c r="C2636" s="4" t="s">
        <v>386</v>
      </c>
      <c r="D2636" s="4" t="n">
        <f aca="false">IFERROR(INDEX(Positions!$D$2:$D$6912,MATCH($A2636&amp;"|3",Positions!$A$2:$A$6912,0)),"-")</f>
        <v>3</v>
      </c>
      <c r="E2636" s="4" t="n">
        <f aca="false">IFERROR(INDEX(Positions!$D$2:$D$6912,MATCH($A2636&amp;"|70",Positions!$A$2:$A$6912,0)),"-")</f>
        <v>71</v>
      </c>
      <c r="F2636" s="4" t="str">
        <f aca="false">IFERROR(INDEX(Positions!$E$2:$E$6912,MATCH($A2636&amp;"|3",Positions!$A$2:$A$6912,0)),"-")</f>
        <v>C</v>
      </c>
      <c r="G2636" s="4" t="str">
        <f aca="false">IFERROR(INDEX(Positions!$E$2:$E$6912,MATCH($A2636&amp;"|70",Positions!$A$2:$A$6912,0)),"-")</f>
        <v>G</v>
      </c>
      <c r="H2636" s="3" t="str">
        <f aca="false">F2636&amp;"-"&amp;G2636</f>
        <v>C-G</v>
      </c>
      <c r="I2636" s="4" t="n">
        <f aca="false">(F2636="G")+(G2636="G")</f>
        <v>1</v>
      </c>
      <c r="J2636" s="4" t="n">
        <f aca="false">(F2636="C")+(G2636="C")</f>
        <v>1</v>
      </c>
      <c r="K2636" s="3" t="n">
        <f aca="false">I2636+J2636</f>
        <v>2</v>
      </c>
    </row>
    <row r="2637" customFormat="false" ht="15" hidden="false" customHeight="false" outlineLevel="0" collapsed="false">
      <c r="A2637" s="4" t="s">
        <v>131</v>
      </c>
      <c r="B2637" s="4" t="s">
        <v>412</v>
      </c>
      <c r="C2637" s="4" t="s">
        <v>519</v>
      </c>
      <c r="D2637" s="4" t="n">
        <f aca="false">IFERROR(INDEX(Positions!$D$2:$D$6912,MATCH($A2637&amp;"|4",Positions!$A$2:$A$6912,0)),"-")</f>
        <v>4</v>
      </c>
      <c r="E2637" s="4" t="n">
        <f aca="false">IFERROR(INDEX(Positions!$D$2:$D$6912,MATCH($A2637&amp;"|69",Positions!$A$2:$A$6912,0)),"-")</f>
        <v>70</v>
      </c>
      <c r="F2637" s="4" t="str">
        <f aca="false">IFERROR(INDEX(Positions!$E$2:$E$6912,MATCH($A2637&amp;"|4",Positions!$A$2:$A$6912,0)),"-")</f>
        <v>G</v>
      </c>
      <c r="G2637" s="4" t="str">
        <f aca="false">IFERROR(INDEX(Positions!$E$2:$E$6912,MATCH($A2637&amp;"|69",Positions!$A$2:$A$6912,0)),"-")</f>
        <v>C</v>
      </c>
      <c r="H2637" s="3" t="str">
        <f aca="false">F2637&amp;"-"&amp;G2637</f>
        <v>G-C</v>
      </c>
      <c r="I2637" s="4" t="n">
        <f aca="false">(F2637="G")+(G2637="G")</f>
        <v>1</v>
      </c>
      <c r="J2637" s="4" t="n">
        <f aca="false">(F2637="C")+(G2637="C")</f>
        <v>1</v>
      </c>
      <c r="K2637" s="3" t="n">
        <f aca="false">I2637+J2637</f>
        <v>2</v>
      </c>
    </row>
    <row r="2638" customFormat="false" ht="15" hidden="false" customHeight="false" outlineLevel="0" collapsed="false">
      <c r="A2638" s="4" t="s">
        <v>131</v>
      </c>
      <c r="B2638" s="4" t="s">
        <v>412</v>
      </c>
      <c r="C2638" s="4" t="s">
        <v>283</v>
      </c>
      <c r="D2638" s="4" t="n">
        <f aca="false">IFERROR(INDEX(Positions!$D$2:$D$6912,MATCH($A2638&amp;"|5",Positions!$A$2:$A$6912,0)),"-")</f>
        <v>5</v>
      </c>
      <c r="E2638" s="4" t="n">
        <f aca="false">IFERROR(INDEX(Positions!$D$2:$D$6912,MATCH($A2638&amp;"|68",Positions!$A$2:$A$6912,0)),"-")</f>
        <v>69</v>
      </c>
      <c r="F2638" s="4" t="str">
        <f aca="false">IFERROR(INDEX(Positions!$E$2:$E$6912,MATCH($A2638&amp;"|5",Positions!$A$2:$A$6912,0)),"-")</f>
        <v>G</v>
      </c>
      <c r="G2638" s="4" t="str">
        <f aca="false">IFERROR(INDEX(Positions!$E$2:$E$6912,MATCH($A2638&amp;"|68",Positions!$A$2:$A$6912,0)),"-")</f>
        <v>C</v>
      </c>
      <c r="H2638" s="3" t="str">
        <f aca="false">F2638&amp;"-"&amp;G2638</f>
        <v>G-C</v>
      </c>
      <c r="I2638" s="4" t="n">
        <f aca="false">(F2638="G")+(G2638="G")</f>
        <v>1</v>
      </c>
      <c r="J2638" s="4" t="n">
        <f aca="false">(F2638="C")+(G2638="C")</f>
        <v>1</v>
      </c>
      <c r="K2638" s="3" t="n">
        <f aca="false">I2638+J2638</f>
        <v>2</v>
      </c>
    </row>
    <row r="2639" customFormat="false" ht="15" hidden="false" customHeight="false" outlineLevel="0" collapsed="false">
      <c r="A2639" s="4" t="s">
        <v>131</v>
      </c>
      <c r="B2639" s="4" t="s">
        <v>412</v>
      </c>
      <c r="C2639" s="4" t="s">
        <v>520</v>
      </c>
      <c r="D2639" s="4" t="n">
        <f aca="false">IFERROR(INDEX(Positions!$D$2:$D$6912,MATCH($A2639&amp;"|6",Positions!$A$2:$A$6912,0)),"-")</f>
        <v>6</v>
      </c>
      <c r="E2639" s="4" t="n">
        <f aca="false">IFERROR(INDEX(Positions!$D$2:$D$6912,MATCH($A2639&amp;"|67",Positions!$A$2:$A$6912,0)),"-")</f>
        <v>68</v>
      </c>
      <c r="F2639" s="4" t="str">
        <f aca="false">IFERROR(INDEX(Positions!$E$2:$E$6912,MATCH($A2639&amp;"|6",Positions!$A$2:$A$6912,0)),"-")</f>
        <v>G</v>
      </c>
      <c r="G2639" s="4" t="str">
        <f aca="false">IFERROR(INDEX(Positions!$E$2:$E$6912,MATCH($A2639&amp;"|67",Positions!$A$2:$A$6912,0)),"-")</f>
        <v>C</v>
      </c>
      <c r="H2639" s="3" t="str">
        <f aca="false">F2639&amp;"-"&amp;G2639</f>
        <v>G-C</v>
      </c>
      <c r="I2639" s="4" t="n">
        <f aca="false">(F2639="G")+(G2639="G")</f>
        <v>1</v>
      </c>
      <c r="J2639" s="4" t="n">
        <f aca="false">(F2639="C")+(G2639="C")</f>
        <v>1</v>
      </c>
      <c r="K2639" s="3" t="n">
        <f aca="false">I2639+J2639</f>
        <v>2</v>
      </c>
    </row>
    <row r="2640" customFormat="false" ht="15" hidden="false" customHeight="false" outlineLevel="0" collapsed="false">
      <c r="A2640" s="4" t="s">
        <v>131</v>
      </c>
      <c r="B2640" s="4" t="s">
        <v>412</v>
      </c>
      <c r="C2640" s="4" t="s">
        <v>521</v>
      </c>
      <c r="D2640" s="4" t="n">
        <f aca="false">IFERROR(INDEX(Positions!$D$2:$D$6912,MATCH($A2640&amp;"|7",Positions!$A$2:$A$6912,0)),"-")</f>
        <v>7</v>
      </c>
      <c r="E2640" s="4" t="n">
        <f aca="false">IFERROR(INDEX(Positions!$D$2:$D$6912,MATCH($A2640&amp;"|66",Positions!$A$2:$A$6912,0)),"-")</f>
        <v>67</v>
      </c>
      <c r="F2640" s="4" t="str">
        <f aca="false">IFERROR(INDEX(Positions!$E$2:$E$6912,MATCH($A2640&amp;"|7",Positions!$A$2:$A$6912,0)),"-")</f>
        <v>G</v>
      </c>
      <c r="G2640" s="4" t="str">
        <f aca="false">IFERROR(INDEX(Positions!$E$2:$E$6912,MATCH($A2640&amp;"|66",Positions!$A$2:$A$6912,0)),"-")</f>
        <v>C</v>
      </c>
      <c r="H2640" s="3" t="str">
        <f aca="false">F2640&amp;"-"&amp;G2640</f>
        <v>G-C</v>
      </c>
      <c r="I2640" s="4" t="n">
        <f aca="false">(F2640="G")+(G2640="G")</f>
        <v>1</v>
      </c>
      <c r="J2640" s="4" t="n">
        <f aca="false">(F2640="C")+(G2640="C")</f>
        <v>1</v>
      </c>
      <c r="K2640" s="3" t="n">
        <f aca="false">I2640+J2640</f>
        <v>2</v>
      </c>
    </row>
    <row r="2641" customFormat="false" ht="15" hidden="false" customHeight="false" outlineLevel="0" collapsed="false">
      <c r="A2641" s="4" t="s">
        <v>131</v>
      </c>
      <c r="B2641" s="4" t="s">
        <v>425</v>
      </c>
      <c r="C2641" s="4" t="s">
        <v>522</v>
      </c>
      <c r="D2641" s="4" t="n">
        <f aca="false">IFERROR(INDEX(Positions!$D$2:$D$6912,MATCH($A2641&amp;"|10",Positions!$A$2:$A$6912,0)),"-")</f>
        <v>10</v>
      </c>
      <c r="E2641" s="4" t="n">
        <f aca="false">IFERROR(INDEX(Positions!$D$2:$D$6912,MATCH($A2641&amp;"|25",Positions!$A$2:$A$6912,0)),"-")</f>
        <v>26</v>
      </c>
      <c r="F2641" s="4" t="str">
        <f aca="false">IFERROR(INDEX(Positions!$E$2:$E$6912,MATCH($A2641&amp;"|10",Positions!$A$2:$A$6912,0)),"-")</f>
        <v>G</v>
      </c>
      <c r="G2641" s="4" t="str">
        <f aca="false">IFERROR(INDEX(Positions!$E$2:$E$6912,MATCH($A2641&amp;"|25",Positions!$A$2:$A$6912,0)),"-")</f>
        <v>C</v>
      </c>
      <c r="H2641" s="3" t="str">
        <f aca="false">F2641&amp;"-"&amp;G2641</f>
        <v>G-C</v>
      </c>
      <c r="I2641" s="4" t="n">
        <f aca="false">(F2641="G")+(G2641="G")</f>
        <v>1</v>
      </c>
      <c r="J2641" s="4" t="n">
        <f aca="false">(F2641="C")+(G2641="C")</f>
        <v>1</v>
      </c>
      <c r="K2641" s="3" t="n">
        <f aca="false">I2641+J2641</f>
        <v>2</v>
      </c>
    </row>
    <row r="2642" customFormat="false" ht="15" hidden="false" customHeight="false" outlineLevel="0" collapsed="false">
      <c r="A2642" s="4" t="s">
        <v>131</v>
      </c>
      <c r="B2642" s="4" t="s">
        <v>425</v>
      </c>
      <c r="C2642" s="4" t="s">
        <v>523</v>
      </c>
      <c r="D2642" s="4" t="n">
        <f aca="false">IFERROR(INDEX(Positions!$D$2:$D$6912,MATCH($A2642&amp;"|11",Positions!$A$2:$A$6912,0)),"-")</f>
        <v>11</v>
      </c>
      <c r="E2642" s="4" t="n">
        <f aca="false">IFERROR(INDEX(Positions!$D$2:$D$6912,MATCH($A2642&amp;"|24",Positions!$A$2:$A$6912,0)),"-")</f>
        <v>25</v>
      </c>
      <c r="F2642" s="4" t="str">
        <f aca="false">IFERROR(INDEX(Positions!$E$2:$E$6912,MATCH($A2642&amp;"|11",Positions!$A$2:$A$6912,0)),"-")</f>
        <v>A</v>
      </c>
      <c r="G2642" s="4" t="str">
        <f aca="false">IFERROR(INDEX(Positions!$E$2:$E$6912,MATCH($A2642&amp;"|24",Positions!$A$2:$A$6912,0)),"-")</f>
        <v>U</v>
      </c>
      <c r="H2642" s="3" t="str">
        <f aca="false">F2642&amp;"-"&amp;G2642</f>
        <v>A-U</v>
      </c>
      <c r="I2642" s="4" t="n">
        <f aca="false">(F2642="G")+(G2642="G")</f>
        <v>0</v>
      </c>
      <c r="J2642" s="4" t="n">
        <f aca="false">(F2642="C")+(G2642="C")</f>
        <v>0</v>
      </c>
      <c r="K2642" s="3" t="n">
        <f aca="false">I2642+J2642</f>
        <v>0</v>
      </c>
    </row>
    <row r="2643" customFormat="false" ht="15" hidden="false" customHeight="false" outlineLevel="0" collapsed="false">
      <c r="A2643" s="4" t="s">
        <v>131</v>
      </c>
      <c r="B2643" s="4" t="s">
        <v>425</v>
      </c>
      <c r="C2643" s="4" t="s">
        <v>250</v>
      </c>
      <c r="D2643" s="4" t="n">
        <f aca="false">IFERROR(INDEX(Positions!$D$2:$D$6912,MATCH($A2643&amp;"|12",Positions!$A$2:$A$6912,0)),"-")</f>
        <v>12</v>
      </c>
      <c r="E2643" s="4" t="n">
        <f aca="false">IFERROR(INDEX(Positions!$D$2:$D$6912,MATCH($A2643&amp;"|23",Positions!$A$2:$A$6912,0)),"-")</f>
        <v>24</v>
      </c>
      <c r="F2643" s="4" t="str">
        <f aca="false">IFERROR(INDEX(Positions!$E$2:$E$6912,MATCH($A2643&amp;"|12",Positions!$A$2:$A$6912,0)),"-")</f>
        <v>G</v>
      </c>
      <c r="G2643" s="4" t="str">
        <f aca="false">IFERROR(INDEX(Positions!$E$2:$E$6912,MATCH($A2643&amp;"|23",Positions!$A$2:$A$6912,0)),"-")</f>
        <v>C</v>
      </c>
      <c r="H2643" s="3" t="str">
        <f aca="false">F2643&amp;"-"&amp;G2643</f>
        <v>G-C</v>
      </c>
      <c r="I2643" s="4" t="n">
        <f aca="false">(F2643="G")+(G2643="G")</f>
        <v>1</v>
      </c>
      <c r="J2643" s="4" t="n">
        <f aca="false">(F2643="C")+(G2643="C")</f>
        <v>1</v>
      </c>
      <c r="K2643" s="3" t="n">
        <f aca="false">I2643+J2643</f>
        <v>2</v>
      </c>
    </row>
    <row r="2644" customFormat="false" ht="15" hidden="false" customHeight="false" outlineLevel="0" collapsed="false">
      <c r="A2644" s="4" t="s">
        <v>131</v>
      </c>
      <c r="B2644" s="4" t="s">
        <v>425</v>
      </c>
      <c r="C2644" s="4" t="s">
        <v>154</v>
      </c>
      <c r="D2644" s="4" t="n">
        <f aca="false">IFERROR(INDEX(Positions!$D$2:$D$6912,MATCH($A2644&amp;"|13",Positions!$A$2:$A$6912,0)),"-")</f>
        <v>13</v>
      </c>
      <c r="E2644" s="4" t="n">
        <f aca="false">IFERROR(INDEX(Positions!$D$2:$D$6912,MATCH($A2644&amp;"|22",Positions!$A$2:$A$6912,0)),"-")</f>
        <v>23</v>
      </c>
      <c r="F2644" s="4" t="str">
        <f aca="false">IFERROR(INDEX(Positions!$E$2:$E$6912,MATCH($A2644&amp;"|13",Positions!$A$2:$A$6912,0)),"-")</f>
        <v>C</v>
      </c>
      <c r="G2644" s="4" t="str">
        <f aca="false">IFERROR(INDEX(Positions!$E$2:$E$6912,MATCH($A2644&amp;"|22",Positions!$A$2:$A$6912,0)),"-")</f>
        <v>G</v>
      </c>
      <c r="H2644" s="3" t="str">
        <f aca="false">F2644&amp;"-"&amp;G2644</f>
        <v>C-G</v>
      </c>
      <c r="I2644" s="4" t="n">
        <f aca="false">(F2644="G")+(G2644="G")</f>
        <v>1</v>
      </c>
      <c r="J2644" s="4" t="n">
        <f aca="false">(F2644="C")+(G2644="C")</f>
        <v>1</v>
      </c>
      <c r="K2644" s="3" t="n">
        <f aca="false">I2644+J2644</f>
        <v>2</v>
      </c>
    </row>
    <row r="2645" customFormat="false" ht="15" hidden="false" customHeight="false" outlineLevel="0" collapsed="false">
      <c r="A2645" s="4" t="s">
        <v>131</v>
      </c>
      <c r="B2645" s="4" t="s">
        <v>446</v>
      </c>
      <c r="C2645" s="4" t="s">
        <v>524</v>
      </c>
      <c r="D2645" s="4" t="n">
        <f aca="false">IFERROR(INDEX(Positions!$D$2:$D$6912,MATCH($A2645&amp;"|27",Positions!$A$2:$A$6912,0)),"-")</f>
        <v>28</v>
      </c>
      <c r="E2645" s="4" t="n">
        <f aca="false">IFERROR(INDEX(Positions!$D$2:$D$6912,MATCH($A2645&amp;"|43",Positions!$A$2:$A$6912,0)),"-")</f>
        <v>44</v>
      </c>
      <c r="F2645" s="4" t="str">
        <f aca="false">IFERROR(INDEX(Positions!$E$2:$E$6912,MATCH($A2645&amp;"|27",Positions!$A$2:$A$6912,0)),"-")</f>
        <v>U</v>
      </c>
      <c r="G2645" s="4" t="str">
        <f aca="false">IFERROR(INDEX(Positions!$E$2:$E$6912,MATCH($A2645&amp;"|43",Positions!$A$2:$A$6912,0)),"-")</f>
        <v>A</v>
      </c>
      <c r="H2645" s="3" t="str">
        <f aca="false">F2645&amp;"-"&amp;G2645</f>
        <v>U-A</v>
      </c>
      <c r="I2645" s="4" t="n">
        <f aca="false">(F2645="G")+(G2645="G")</f>
        <v>0</v>
      </c>
      <c r="J2645" s="4" t="n">
        <f aca="false">(F2645="C")+(G2645="C")</f>
        <v>0</v>
      </c>
      <c r="K2645" s="3" t="n">
        <f aca="false">I2645+J2645</f>
        <v>0</v>
      </c>
    </row>
    <row r="2646" customFormat="false" ht="15" hidden="false" customHeight="false" outlineLevel="0" collapsed="false">
      <c r="A2646" s="4" t="s">
        <v>131</v>
      </c>
      <c r="B2646" s="4" t="s">
        <v>446</v>
      </c>
      <c r="C2646" s="4" t="s">
        <v>525</v>
      </c>
      <c r="D2646" s="4" t="n">
        <f aca="false">IFERROR(INDEX(Positions!$D$2:$D$6912,MATCH($A2646&amp;"|28",Positions!$A$2:$A$6912,0)),"-")</f>
        <v>29</v>
      </c>
      <c r="E2646" s="4" t="n">
        <f aca="false">IFERROR(INDEX(Positions!$D$2:$D$6912,MATCH($A2646&amp;"|42",Positions!$A$2:$A$6912,0)),"-")</f>
        <v>43</v>
      </c>
      <c r="F2646" s="4" t="str">
        <f aca="false">IFERROR(INDEX(Positions!$E$2:$E$6912,MATCH($A2646&amp;"|28",Positions!$A$2:$A$6912,0)),"-")</f>
        <v>C</v>
      </c>
      <c r="G2646" s="4" t="str">
        <f aca="false">IFERROR(INDEX(Positions!$E$2:$E$6912,MATCH($A2646&amp;"|42",Positions!$A$2:$A$6912,0)),"-")</f>
        <v>G</v>
      </c>
      <c r="H2646" s="3" t="str">
        <f aca="false">F2646&amp;"-"&amp;G2646</f>
        <v>C-G</v>
      </c>
      <c r="I2646" s="4" t="n">
        <f aca="false">(F2646="G")+(G2646="G")</f>
        <v>1</v>
      </c>
      <c r="J2646" s="4" t="n">
        <f aca="false">(F2646="C")+(G2646="C")</f>
        <v>1</v>
      </c>
      <c r="K2646" s="3" t="n">
        <f aca="false">I2646+J2646</f>
        <v>2</v>
      </c>
    </row>
    <row r="2647" customFormat="false" ht="15" hidden="false" customHeight="false" outlineLevel="0" collapsed="false">
      <c r="A2647" s="4" t="s">
        <v>131</v>
      </c>
      <c r="B2647" s="4" t="s">
        <v>446</v>
      </c>
      <c r="C2647" s="4" t="s">
        <v>256</v>
      </c>
      <c r="D2647" s="4" t="n">
        <f aca="false">IFERROR(INDEX(Positions!$D$2:$D$6912,MATCH($A2647&amp;"|29",Positions!$A$2:$A$6912,0)),"-")</f>
        <v>30</v>
      </c>
      <c r="E2647" s="4" t="n">
        <f aca="false">IFERROR(INDEX(Positions!$D$2:$D$6912,MATCH($A2647&amp;"|41",Positions!$A$2:$A$6912,0)),"-")</f>
        <v>42</v>
      </c>
      <c r="F2647" s="4" t="str">
        <f aca="false">IFERROR(INDEX(Positions!$E$2:$E$6912,MATCH($A2647&amp;"|29",Positions!$A$2:$A$6912,0)),"-")</f>
        <v>G</v>
      </c>
      <c r="G2647" s="4" t="str">
        <f aca="false">IFERROR(INDEX(Positions!$E$2:$E$6912,MATCH($A2647&amp;"|41",Positions!$A$2:$A$6912,0)),"-")</f>
        <v>C</v>
      </c>
      <c r="H2647" s="3" t="str">
        <f aca="false">F2647&amp;"-"&amp;G2647</f>
        <v>G-C</v>
      </c>
      <c r="I2647" s="4" t="n">
        <f aca="false">(F2647="G")+(G2647="G")</f>
        <v>1</v>
      </c>
      <c r="J2647" s="4" t="n">
        <f aca="false">(F2647="C")+(G2647="C")</f>
        <v>1</v>
      </c>
      <c r="K2647" s="3" t="n">
        <f aca="false">I2647+J2647</f>
        <v>2</v>
      </c>
    </row>
    <row r="2648" customFormat="false" ht="15" hidden="false" customHeight="false" outlineLevel="0" collapsed="false">
      <c r="A2648" s="4" t="s">
        <v>131</v>
      </c>
      <c r="B2648" s="4" t="s">
        <v>446</v>
      </c>
      <c r="C2648" s="4" t="s">
        <v>526</v>
      </c>
      <c r="D2648" s="4" t="n">
        <f aca="false">IFERROR(INDEX(Positions!$D$2:$D$6912,MATCH($A2648&amp;"|30",Positions!$A$2:$A$6912,0)),"-")</f>
        <v>31</v>
      </c>
      <c r="E2648" s="4" t="n">
        <f aca="false">IFERROR(INDEX(Positions!$D$2:$D$6912,MATCH($A2648&amp;"|40",Positions!$A$2:$A$6912,0)),"-")</f>
        <v>41</v>
      </c>
      <c r="F2648" s="4" t="str">
        <f aca="false">IFERROR(INDEX(Positions!$E$2:$E$6912,MATCH($A2648&amp;"|30",Positions!$A$2:$A$6912,0)),"-")</f>
        <v>G</v>
      </c>
      <c r="G2648" s="4" t="str">
        <f aca="false">IFERROR(INDEX(Positions!$E$2:$E$6912,MATCH($A2648&amp;"|40",Positions!$A$2:$A$6912,0)),"-")</f>
        <v>C</v>
      </c>
      <c r="H2648" s="3" t="str">
        <f aca="false">F2648&amp;"-"&amp;G2648</f>
        <v>G-C</v>
      </c>
      <c r="I2648" s="4" t="n">
        <f aca="false">(F2648="G")+(G2648="G")</f>
        <v>1</v>
      </c>
      <c r="J2648" s="4" t="n">
        <f aca="false">(F2648="C")+(G2648="C")</f>
        <v>1</v>
      </c>
      <c r="K2648" s="3" t="n">
        <f aca="false">I2648+J2648</f>
        <v>2</v>
      </c>
    </row>
    <row r="2649" customFormat="false" ht="15" hidden="false" customHeight="false" outlineLevel="0" collapsed="false">
      <c r="A2649" s="4" t="s">
        <v>131</v>
      </c>
      <c r="B2649" s="4" t="s">
        <v>446</v>
      </c>
      <c r="C2649" s="4" t="s">
        <v>273</v>
      </c>
      <c r="D2649" s="4" t="n">
        <f aca="false">IFERROR(INDEX(Positions!$D$2:$D$6912,MATCH($A2649&amp;"|31",Positions!$A$2:$A$6912,0)),"-")</f>
        <v>32</v>
      </c>
      <c r="E2649" s="4" t="n">
        <f aca="false">IFERROR(INDEX(Positions!$D$2:$D$6912,MATCH($A2649&amp;"|39",Positions!$A$2:$A$6912,0)),"-")</f>
        <v>40</v>
      </c>
      <c r="F2649" s="4" t="str">
        <f aca="false">IFERROR(INDEX(Positions!$E$2:$E$6912,MATCH($A2649&amp;"|31",Positions!$A$2:$A$6912,0)),"-")</f>
        <v>G</v>
      </c>
      <c r="G2649" s="4" t="str">
        <f aca="false">IFERROR(INDEX(Positions!$E$2:$E$6912,MATCH($A2649&amp;"|39",Positions!$A$2:$A$6912,0)),"-")</f>
        <v>C</v>
      </c>
      <c r="H2649" s="3" t="str">
        <f aca="false">F2649&amp;"-"&amp;G2649</f>
        <v>G-C</v>
      </c>
      <c r="I2649" s="4" t="n">
        <f aca="false">(F2649="G")+(G2649="G")</f>
        <v>1</v>
      </c>
      <c r="J2649" s="4" t="n">
        <f aca="false">(F2649="C")+(G2649="C")</f>
        <v>1</v>
      </c>
      <c r="K2649" s="3" t="n">
        <f aca="false">I2649+J2649</f>
        <v>2</v>
      </c>
    </row>
    <row r="2650" customFormat="false" ht="15" hidden="false" customHeight="false" outlineLevel="0" collapsed="false">
      <c r="A2650" s="4" t="s">
        <v>131</v>
      </c>
      <c r="B2650" s="4" t="s">
        <v>471</v>
      </c>
      <c r="C2650" s="4" t="s">
        <v>367</v>
      </c>
      <c r="D2650" s="4" t="n">
        <f aca="false">IFERROR(INDEX(Positions!$D$2:$D$6912,MATCH($A2650&amp;"|49",Positions!$A$2:$A$6912,0)),"-")</f>
        <v>50</v>
      </c>
      <c r="E2650" s="4" t="n">
        <f aca="false">IFERROR(INDEX(Positions!$D$2:$D$6912,MATCH($A2650&amp;"|65",Positions!$A$2:$A$6912,0)),"-")</f>
        <v>66</v>
      </c>
      <c r="F2650" s="4" t="str">
        <f aca="false">IFERROR(INDEX(Positions!$E$2:$E$6912,MATCH($A2650&amp;"|49",Positions!$A$2:$A$6912,0)),"-")</f>
        <v>G</v>
      </c>
      <c r="G2650" s="4" t="str">
        <f aca="false">IFERROR(INDEX(Positions!$E$2:$E$6912,MATCH($A2650&amp;"|65",Positions!$A$2:$A$6912,0)),"-")</f>
        <v>C</v>
      </c>
      <c r="H2650" s="3" t="str">
        <f aca="false">F2650&amp;"-"&amp;G2650</f>
        <v>G-C</v>
      </c>
      <c r="I2650" s="4" t="n">
        <f aca="false">(F2650="G")+(G2650="G")</f>
        <v>1</v>
      </c>
      <c r="J2650" s="4" t="n">
        <f aca="false">(F2650="C")+(G2650="C")</f>
        <v>1</v>
      </c>
      <c r="K2650" s="3" t="n">
        <f aca="false">I2650+J2650</f>
        <v>2</v>
      </c>
    </row>
    <row r="2651" customFormat="false" ht="15" hidden="false" customHeight="false" outlineLevel="0" collapsed="false">
      <c r="A2651" s="4" t="s">
        <v>131</v>
      </c>
      <c r="B2651" s="4" t="s">
        <v>471</v>
      </c>
      <c r="C2651" s="4" t="s">
        <v>233</v>
      </c>
      <c r="D2651" s="4" t="n">
        <f aca="false">IFERROR(INDEX(Positions!$D$2:$D$6912,MATCH($A2651&amp;"|50",Positions!$A$2:$A$6912,0)),"-")</f>
        <v>51</v>
      </c>
      <c r="E2651" s="4" t="n">
        <f aca="false">IFERROR(INDEX(Positions!$D$2:$D$6912,MATCH($A2651&amp;"|64",Positions!$A$2:$A$6912,0)),"-")</f>
        <v>65</v>
      </c>
      <c r="F2651" s="4" t="str">
        <f aca="false">IFERROR(INDEX(Positions!$E$2:$E$6912,MATCH($A2651&amp;"|50",Positions!$A$2:$A$6912,0)),"-")</f>
        <v>U</v>
      </c>
      <c r="G2651" s="4" t="str">
        <f aca="false">IFERROR(INDEX(Positions!$E$2:$E$6912,MATCH($A2651&amp;"|64",Positions!$A$2:$A$6912,0)),"-")</f>
        <v>G</v>
      </c>
      <c r="H2651" s="3" t="str">
        <f aca="false">F2651&amp;"-"&amp;G2651</f>
        <v>U-G</v>
      </c>
      <c r="I2651" s="4" t="n">
        <f aca="false">(F2651="G")+(G2651="G")</f>
        <v>1</v>
      </c>
      <c r="J2651" s="4" t="n">
        <f aca="false">(F2651="C")+(G2651="C")</f>
        <v>0</v>
      </c>
      <c r="K2651" s="3" t="n">
        <f aca="false">I2651+J2651</f>
        <v>1</v>
      </c>
    </row>
    <row r="2652" customFormat="false" ht="15" hidden="false" customHeight="false" outlineLevel="0" collapsed="false">
      <c r="A2652" s="4" t="s">
        <v>131</v>
      </c>
      <c r="B2652" s="4" t="s">
        <v>471</v>
      </c>
      <c r="C2652" s="4" t="s">
        <v>527</v>
      </c>
      <c r="D2652" s="4" t="n">
        <f aca="false">IFERROR(INDEX(Positions!$D$2:$D$6912,MATCH($A2652&amp;"|51",Positions!$A$2:$A$6912,0)),"-")</f>
        <v>52</v>
      </c>
      <c r="E2652" s="4" t="n">
        <f aca="false">IFERROR(INDEX(Positions!$D$2:$D$6912,MATCH($A2652&amp;"|63",Positions!$A$2:$A$6912,0)),"-")</f>
        <v>64</v>
      </c>
      <c r="F2652" s="4" t="str">
        <f aca="false">IFERROR(INDEX(Positions!$E$2:$E$6912,MATCH($A2652&amp;"|51",Positions!$A$2:$A$6912,0)),"-")</f>
        <v>C</v>
      </c>
      <c r="G2652" s="4" t="str">
        <f aca="false">IFERROR(INDEX(Positions!$E$2:$E$6912,MATCH($A2652&amp;"|63",Positions!$A$2:$A$6912,0)),"-")</f>
        <v>G</v>
      </c>
      <c r="H2652" s="3" t="str">
        <f aca="false">F2652&amp;"-"&amp;G2652</f>
        <v>C-G</v>
      </c>
      <c r="I2652" s="4" t="n">
        <f aca="false">(F2652="G")+(G2652="G")</f>
        <v>1</v>
      </c>
      <c r="J2652" s="4" t="n">
        <f aca="false">(F2652="C")+(G2652="C")</f>
        <v>1</v>
      </c>
      <c r="K2652" s="3" t="n">
        <f aca="false">I2652+J2652</f>
        <v>2</v>
      </c>
    </row>
    <row r="2653" customFormat="false" ht="15" hidden="false" customHeight="false" outlineLevel="0" collapsed="false">
      <c r="A2653" s="4" t="s">
        <v>131</v>
      </c>
      <c r="B2653" s="4" t="s">
        <v>471</v>
      </c>
      <c r="C2653" s="4" t="s">
        <v>528</v>
      </c>
      <c r="D2653" s="4" t="n">
        <f aca="false">IFERROR(INDEX(Positions!$D$2:$D$6912,MATCH($A2653&amp;"|52",Positions!$A$2:$A$6912,0)),"-")</f>
        <v>53</v>
      </c>
      <c r="E2653" s="4" t="n">
        <f aca="false">IFERROR(INDEX(Positions!$D$2:$D$6912,MATCH($A2653&amp;"|62",Positions!$A$2:$A$6912,0)),"-")</f>
        <v>63</v>
      </c>
      <c r="F2653" s="4" t="str">
        <f aca="false">IFERROR(INDEX(Positions!$E$2:$E$6912,MATCH($A2653&amp;"|52",Positions!$A$2:$A$6912,0)),"-")</f>
        <v>G</v>
      </c>
      <c r="G2653" s="4" t="str">
        <f aca="false">IFERROR(INDEX(Positions!$E$2:$E$6912,MATCH($A2653&amp;"|62",Positions!$A$2:$A$6912,0)),"-")</f>
        <v>C</v>
      </c>
      <c r="H2653" s="3" t="str">
        <f aca="false">F2653&amp;"-"&amp;G2653</f>
        <v>G-C</v>
      </c>
      <c r="I2653" s="4" t="n">
        <f aca="false">(F2653="G")+(G2653="G")</f>
        <v>1</v>
      </c>
      <c r="J2653" s="4" t="n">
        <f aca="false">(F2653="C")+(G2653="C")</f>
        <v>1</v>
      </c>
      <c r="K2653" s="3" t="n">
        <f aca="false">I2653+J2653</f>
        <v>2</v>
      </c>
    </row>
    <row r="2654" customFormat="false" ht="15" hidden="false" customHeight="false" outlineLevel="0" collapsed="false">
      <c r="A2654" s="4" t="s">
        <v>131</v>
      </c>
      <c r="B2654" s="4" t="s">
        <v>471</v>
      </c>
      <c r="C2654" s="4" t="s">
        <v>529</v>
      </c>
      <c r="D2654" s="4" t="n">
        <f aca="false">IFERROR(INDEX(Positions!$D$2:$D$6912,MATCH($A2654&amp;"|53",Positions!$A$2:$A$6912,0)),"-")</f>
        <v>54</v>
      </c>
      <c r="E2654" s="4" t="n">
        <f aca="false">IFERROR(INDEX(Positions!$D$2:$D$6912,MATCH($A2654&amp;"|61",Positions!$A$2:$A$6912,0)),"-")</f>
        <v>62</v>
      </c>
      <c r="F2654" s="4" t="str">
        <f aca="false">IFERROR(INDEX(Positions!$E$2:$E$6912,MATCH($A2654&amp;"|53",Positions!$A$2:$A$6912,0)),"-")</f>
        <v>G</v>
      </c>
      <c r="G2654" s="4" t="str">
        <f aca="false">IFERROR(INDEX(Positions!$E$2:$E$6912,MATCH($A2654&amp;"|61",Positions!$A$2:$A$6912,0)),"-")</f>
        <v>C</v>
      </c>
      <c r="H2654" s="3" t="str">
        <f aca="false">F2654&amp;"-"&amp;G2654</f>
        <v>G-C</v>
      </c>
      <c r="I2654" s="4" t="n">
        <f aca="false">(F2654="G")+(G2654="G")</f>
        <v>1</v>
      </c>
      <c r="J2654" s="4" t="n">
        <f aca="false">(F2654="C")+(G2654="C")</f>
        <v>1</v>
      </c>
      <c r="K2654" s="3" t="n">
        <f aca="false">I2654+J2654</f>
        <v>2</v>
      </c>
    </row>
    <row r="2655" customFormat="false" ht="15" hidden="false" customHeight="false" outlineLevel="0" collapsed="false">
      <c r="A2655" s="24" t="s">
        <v>131</v>
      </c>
      <c r="B2655" s="24" t="s">
        <v>530</v>
      </c>
      <c r="C2655" s="24" t="s">
        <v>531</v>
      </c>
      <c r="D2655" s="24" t="n">
        <f aca="false">IFERROR(INDEX(Positions!$D$2:$D$6912,MATCH($A2655&amp;"|8",Positions!$A$2:$A$6912,0)),"-")</f>
        <v>8</v>
      </c>
      <c r="E2655" s="24" t="n">
        <f aca="false">IFERROR(INDEX(Positions!$D$2:$D$6912,MATCH($A2655&amp;"|14",Positions!$A$2:$A$6912,0)),"-")</f>
        <v>14</v>
      </c>
      <c r="F2655" s="24" t="str">
        <f aca="false">IFERROR(INDEX(Positions!$E$2:$E$6912,MATCH($A2655&amp;"|8",Positions!$A$2:$A$6912,0)),"-")</f>
        <v>U</v>
      </c>
      <c r="G2655" s="24" t="str">
        <f aca="false">IFERROR(INDEX(Positions!$E$2:$E$6912,MATCH($A2655&amp;"|14",Positions!$A$2:$A$6912,0)),"-")</f>
        <v>A</v>
      </c>
      <c r="H2655" s="25" t="str">
        <f aca="false">F2655&amp;"-"&amp;G2655</f>
        <v>U-A</v>
      </c>
      <c r="I2655" s="24" t="n">
        <f aca="false">(F2655="G")+(G2655="G")</f>
        <v>0</v>
      </c>
      <c r="J2655" s="24" t="n">
        <f aca="false">(F2655="C")+(G2655="C")</f>
        <v>0</v>
      </c>
      <c r="K2655" s="25" t="n">
        <f aca="false">I2655+J2655</f>
        <v>0</v>
      </c>
    </row>
    <row r="2656" customFormat="false" ht="15" hidden="false" customHeight="false" outlineLevel="0" collapsed="false">
      <c r="A2656" s="24" t="s">
        <v>131</v>
      </c>
      <c r="B2656" s="24" t="s">
        <v>530</v>
      </c>
      <c r="C2656" s="24" t="s">
        <v>532</v>
      </c>
      <c r="D2656" s="24" t="n">
        <f aca="false">IFERROR(INDEX(Positions!$D$2:$D$6912,MATCH($A2656&amp;"|15",Positions!$A$2:$A$6912,0)),"-")</f>
        <v>15</v>
      </c>
      <c r="E2656" s="24" t="n">
        <f aca="false">IFERROR(INDEX(Positions!$D$2:$D$6912,MATCH($A2656&amp;"|48",Positions!$A$2:$A$6912,0)),"-")</f>
        <v>49</v>
      </c>
      <c r="F2656" s="24" t="str">
        <f aca="false">IFERROR(INDEX(Positions!$E$2:$E$6912,MATCH($A2656&amp;"|15",Positions!$A$2:$A$6912,0)),"-")</f>
        <v>G</v>
      </c>
      <c r="G2656" s="24" t="str">
        <f aca="false">IFERROR(INDEX(Positions!$E$2:$E$6912,MATCH($A2656&amp;"|48",Positions!$A$2:$A$6912,0)),"-")</f>
        <v>C</v>
      </c>
      <c r="H2656" s="25" t="str">
        <f aca="false">F2656&amp;"-"&amp;G2656</f>
        <v>G-C</v>
      </c>
      <c r="I2656" s="24" t="n">
        <f aca="false">(F2656="G")+(G2656="G")</f>
        <v>1</v>
      </c>
      <c r="J2656" s="24" t="n">
        <f aca="false">(F2656="C")+(G2656="C")</f>
        <v>1</v>
      </c>
      <c r="K2656" s="25" t="n">
        <f aca="false">I2656+J2656</f>
        <v>2</v>
      </c>
    </row>
    <row r="2657" customFormat="false" ht="15" hidden="false" customHeight="false" outlineLevel="0" collapsed="false">
      <c r="A2657" s="24" t="s">
        <v>131</v>
      </c>
      <c r="B2657" s="24" t="s">
        <v>530</v>
      </c>
      <c r="C2657" s="24" t="s">
        <v>533</v>
      </c>
      <c r="D2657" s="24" t="n">
        <f aca="false">IFERROR(INDEX(Positions!$D$2:$D$6912,MATCH($A2657&amp;"|18",Positions!$A$2:$A$6912,0)),"-")</f>
        <v>19</v>
      </c>
      <c r="E2657" s="24" t="n">
        <f aca="false">IFERROR(INDEX(Positions!$D$2:$D$6912,MATCH($A2657&amp;"|55",Positions!$A$2:$A$6912,0)),"-")</f>
        <v>56</v>
      </c>
      <c r="F2657" s="24" t="str">
        <f aca="false">IFERROR(INDEX(Positions!$E$2:$E$6912,MATCH($A2657&amp;"|18",Positions!$A$2:$A$6912,0)),"-")</f>
        <v>G</v>
      </c>
      <c r="G2657" s="24" t="str">
        <f aca="false">IFERROR(INDEX(Positions!$E$2:$E$6912,MATCH($A2657&amp;"|55",Positions!$A$2:$A$6912,0)),"-")</f>
        <v>U</v>
      </c>
      <c r="H2657" s="25" t="str">
        <f aca="false">F2657&amp;"-"&amp;G2657</f>
        <v>G-U</v>
      </c>
      <c r="I2657" s="24" t="n">
        <f aca="false">(F2657="G")+(G2657="G")</f>
        <v>1</v>
      </c>
      <c r="J2657" s="24" t="n">
        <f aca="false">(F2657="C")+(G2657="C")</f>
        <v>0</v>
      </c>
      <c r="K2657" s="25" t="n">
        <f aca="false">I2657+J2657</f>
        <v>1</v>
      </c>
    </row>
    <row r="2658" customFormat="false" ht="15" hidden="false" customHeight="false" outlineLevel="0" collapsed="false">
      <c r="A2658" s="24" t="s">
        <v>131</v>
      </c>
      <c r="B2658" s="24" t="s">
        <v>530</v>
      </c>
      <c r="C2658" s="24" t="s">
        <v>534</v>
      </c>
      <c r="D2658" s="24" t="n">
        <f aca="false">IFERROR(INDEX(Positions!$D$2:$D$6912,MATCH($A2658&amp;"|19",Positions!$A$2:$A$6912,0)),"-")</f>
        <v>20</v>
      </c>
      <c r="E2658" s="24" t="n">
        <f aca="false">IFERROR(INDEX(Positions!$D$2:$D$6912,MATCH($A2658&amp;"|56",Positions!$A$2:$A$6912,0)),"-")</f>
        <v>57</v>
      </c>
      <c r="F2658" s="24" t="str">
        <f aca="false">IFERROR(INDEX(Positions!$E$2:$E$6912,MATCH($A2658&amp;"|19",Positions!$A$2:$A$6912,0)),"-")</f>
        <v>G</v>
      </c>
      <c r="G2658" s="24" t="str">
        <f aca="false">IFERROR(INDEX(Positions!$E$2:$E$6912,MATCH($A2658&amp;"|56",Positions!$A$2:$A$6912,0)),"-")</f>
        <v>C</v>
      </c>
      <c r="H2658" s="25" t="str">
        <f aca="false">F2658&amp;"-"&amp;G2658</f>
        <v>G-C</v>
      </c>
      <c r="I2658" s="24" t="n">
        <f aca="false">(F2658="G")+(G2658="G")</f>
        <v>1</v>
      </c>
      <c r="J2658" s="24" t="n">
        <f aca="false">(F2658="C")+(G2658="C")</f>
        <v>1</v>
      </c>
      <c r="K2658" s="25" t="n">
        <f aca="false">I2658+J2658</f>
        <v>2</v>
      </c>
    </row>
    <row r="2659" customFormat="false" ht="15" hidden="false" customHeight="false" outlineLevel="0" collapsed="false">
      <c r="A2659" s="24" t="s">
        <v>131</v>
      </c>
      <c r="B2659" s="24" t="s">
        <v>530</v>
      </c>
      <c r="C2659" s="24" t="s">
        <v>535</v>
      </c>
      <c r="D2659" s="24" t="n">
        <f aca="false">IFERROR(INDEX(Positions!$D$2:$D$6912,MATCH($A2659&amp;"|26",Positions!$A$2:$A$6912,0)),"-")</f>
        <v>27</v>
      </c>
      <c r="E2659" s="24" t="n">
        <f aca="false">IFERROR(INDEX(Positions!$D$2:$D$6912,MATCH($A2659&amp;"|44",Positions!$A$2:$A$6912,0)),"-")</f>
        <v>45</v>
      </c>
      <c r="F2659" s="24" t="str">
        <f aca="false">IFERROR(INDEX(Positions!$E$2:$E$6912,MATCH($A2659&amp;"|26",Positions!$A$2:$A$6912,0)),"-")</f>
        <v>G</v>
      </c>
      <c r="G2659" s="24" t="str">
        <f aca="false">IFERROR(INDEX(Positions!$E$2:$E$6912,MATCH($A2659&amp;"|44",Positions!$A$2:$A$6912,0)),"-")</f>
        <v>A</v>
      </c>
      <c r="H2659" s="25" t="str">
        <f aca="false">F2659&amp;"-"&amp;G2659</f>
        <v>G-A</v>
      </c>
      <c r="I2659" s="24" t="n">
        <f aca="false">(F2659="G")+(G2659="G")</f>
        <v>1</v>
      </c>
      <c r="J2659" s="24" t="n">
        <f aca="false">(F2659="C")+(G2659="C")</f>
        <v>0</v>
      </c>
      <c r="K2659" s="25" t="n">
        <f aca="false">I2659+J2659</f>
        <v>1</v>
      </c>
    </row>
    <row r="2660" customFormat="false" ht="15" hidden="false" customHeight="false" outlineLevel="0" collapsed="false">
      <c r="A2660" s="24" t="s">
        <v>131</v>
      </c>
      <c r="B2660" s="24" t="s">
        <v>530</v>
      </c>
      <c r="C2660" s="24" t="s">
        <v>536</v>
      </c>
      <c r="D2660" s="24" t="n">
        <f aca="false">IFERROR(INDEX(Positions!$D$2:$D$6912,MATCH($A2660&amp;"|32",Positions!$A$2:$A$6912,0)),"-")</f>
        <v>33</v>
      </c>
      <c r="E2660" s="24" t="n">
        <f aca="false">IFERROR(INDEX(Positions!$D$2:$D$6912,MATCH($A2660&amp;"|38",Positions!$A$2:$A$6912,0)),"-")</f>
        <v>39</v>
      </c>
      <c r="F2660" s="24" t="str">
        <f aca="false">IFERROR(INDEX(Positions!$E$2:$E$6912,MATCH($A2660&amp;"|32",Positions!$A$2:$A$6912,0)),"-")</f>
        <v>C</v>
      </c>
      <c r="G2660" s="24" t="str">
        <f aca="false">IFERROR(INDEX(Positions!$E$2:$E$6912,MATCH($A2660&amp;"|38",Positions!$A$2:$A$6912,0)),"-")</f>
        <v>A</v>
      </c>
      <c r="H2660" s="25" t="str">
        <f aca="false">F2660&amp;"-"&amp;G2660</f>
        <v>C-A</v>
      </c>
      <c r="I2660" s="24" t="n">
        <f aca="false">(F2660="G")+(G2660="G")</f>
        <v>0</v>
      </c>
      <c r="J2660" s="24" t="n">
        <f aca="false">(F2660="C")+(G2660="C")</f>
        <v>1</v>
      </c>
      <c r="K2660" s="25" t="n">
        <f aca="false">I2660+J2660</f>
        <v>1</v>
      </c>
    </row>
    <row r="2661" customFormat="false" ht="15" hidden="false" customHeight="false" outlineLevel="0" collapsed="false">
      <c r="A2661" s="24" t="s">
        <v>131</v>
      </c>
      <c r="B2661" s="24" t="s">
        <v>530</v>
      </c>
      <c r="C2661" s="24" t="s">
        <v>537</v>
      </c>
      <c r="D2661" s="24" t="n">
        <f aca="false">IFERROR(INDEX(Positions!$D$2:$D$6912,MATCH($A2661&amp;"|54",Positions!$A$2:$A$6912,0)),"-")</f>
        <v>55</v>
      </c>
      <c r="E2661" s="24" t="n">
        <f aca="false">IFERROR(INDEX(Positions!$D$2:$D$6912,MATCH($A2661&amp;"|58",Positions!$A$2:$A$6912,0)),"-")</f>
        <v>59</v>
      </c>
      <c r="F2661" s="24" t="str">
        <f aca="false">IFERROR(INDEX(Positions!$E$2:$E$6912,MATCH($A2661&amp;"|54",Positions!$A$2:$A$6912,0)),"-")</f>
        <v>U</v>
      </c>
      <c r="G2661" s="24" t="str">
        <f aca="false">IFERROR(INDEX(Positions!$E$2:$E$6912,MATCH($A2661&amp;"|58",Positions!$A$2:$A$6912,0)),"-")</f>
        <v>A</v>
      </c>
      <c r="H2661" s="25" t="str">
        <f aca="false">F2661&amp;"-"&amp;G2661</f>
        <v>U-A</v>
      </c>
      <c r="I2661" s="24" t="n">
        <f aca="false">(F2661="G")+(G2661="G")</f>
        <v>0</v>
      </c>
      <c r="J2661" s="24" t="n">
        <f aca="false">(F2661="C")+(G2661="C")</f>
        <v>0</v>
      </c>
      <c r="K2661" s="25" t="n">
        <f aca="false">I2661+J2661</f>
        <v>0</v>
      </c>
    </row>
    <row r="2662" customFormat="false" ht="15" hidden="false" customHeight="false" outlineLevel="0" collapsed="false">
      <c r="A2662" s="4" t="s">
        <v>132</v>
      </c>
      <c r="B2662" s="4" t="s">
        <v>412</v>
      </c>
      <c r="C2662" s="4" t="s">
        <v>517</v>
      </c>
      <c r="D2662" s="4" t="n">
        <f aca="false">IFERROR(INDEX(Positions!$D$2:$D$6912,MATCH($A2662&amp;"|1",Positions!$A$2:$A$6912,0)),"-")</f>
        <v>1</v>
      </c>
      <c r="E2662" s="4" t="n">
        <f aca="false">IFERROR(INDEX(Positions!$D$2:$D$6912,MATCH($A2662&amp;"|72",Positions!$A$2:$A$6912,0)),"-")</f>
        <v>73</v>
      </c>
      <c r="F2662" s="4" t="str">
        <f aca="false">IFERROR(INDEX(Positions!$E$2:$E$6912,MATCH($A2662&amp;"|1",Positions!$A$2:$A$6912,0)),"-")</f>
        <v>G</v>
      </c>
      <c r="G2662" s="4" t="str">
        <f aca="false">IFERROR(INDEX(Positions!$E$2:$E$6912,MATCH($A2662&amp;"|72",Positions!$A$2:$A$6912,0)),"-")</f>
        <v>C</v>
      </c>
      <c r="H2662" s="3" t="str">
        <f aca="false">F2662&amp;"-"&amp;G2662</f>
        <v>G-C</v>
      </c>
      <c r="I2662" s="4" t="n">
        <f aca="false">(F2662="G")+(G2662="G")</f>
        <v>1</v>
      </c>
      <c r="J2662" s="4" t="n">
        <f aca="false">(F2662="C")+(G2662="C")</f>
        <v>1</v>
      </c>
      <c r="K2662" s="3" t="n">
        <f aca="false">I2662+J2662</f>
        <v>2</v>
      </c>
    </row>
    <row r="2663" customFormat="false" ht="15" hidden="false" customHeight="false" outlineLevel="0" collapsed="false">
      <c r="A2663" s="4" t="s">
        <v>132</v>
      </c>
      <c r="B2663" s="4" t="s">
        <v>412</v>
      </c>
      <c r="C2663" s="4" t="s">
        <v>518</v>
      </c>
      <c r="D2663" s="4" t="n">
        <f aca="false">IFERROR(INDEX(Positions!$D$2:$D$6912,MATCH($A2663&amp;"|2",Positions!$A$2:$A$6912,0)),"-")</f>
        <v>2</v>
      </c>
      <c r="E2663" s="4" t="n">
        <f aca="false">IFERROR(INDEX(Positions!$D$2:$D$6912,MATCH($A2663&amp;"|71",Positions!$A$2:$A$6912,0)),"-")</f>
        <v>72</v>
      </c>
      <c r="F2663" s="4" t="str">
        <f aca="false">IFERROR(INDEX(Positions!$E$2:$E$6912,MATCH($A2663&amp;"|2",Positions!$A$2:$A$6912,0)),"-")</f>
        <v>G</v>
      </c>
      <c r="G2663" s="4" t="str">
        <f aca="false">IFERROR(INDEX(Positions!$E$2:$E$6912,MATCH($A2663&amp;"|71",Positions!$A$2:$A$6912,0)),"-")</f>
        <v>C</v>
      </c>
      <c r="H2663" s="3" t="str">
        <f aca="false">F2663&amp;"-"&amp;G2663</f>
        <v>G-C</v>
      </c>
      <c r="I2663" s="4" t="n">
        <f aca="false">(F2663="G")+(G2663="G")</f>
        <v>1</v>
      </c>
      <c r="J2663" s="4" t="n">
        <f aca="false">(F2663="C")+(G2663="C")</f>
        <v>1</v>
      </c>
      <c r="K2663" s="3" t="n">
        <f aca="false">I2663+J2663</f>
        <v>2</v>
      </c>
    </row>
    <row r="2664" customFormat="false" ht="15" hidden="false" customHeight="false" outlineLevel="0" collapsed="false">
      <c r="A2664" s="4" t="s">
        <v>132</v>
      </c>
      <c r="B2664" s="4" t="s">
        <v>412</v>
      </c>
      <c r="C2664" s="4" t="s">
        <v>386</v>
      </c>
      <c r="D2664" s="4" t="n">
        <f aca="false">IFERROR(INDEX(Positions!$D$2:$D$6912,MATCH($A2664&amp;"|3",Positions!$A$2:$A$6912,0)),"-")</f>
        <v>3</v>
      </c>
      <c r="E2664" s="4" t="n">
        <f aca="false">IFERROR(INDEX(Positions!$D$2:$D$6912,MATCH($A2664&amp;"|70",Positions!$A$2:$A$6912,0)),"-")</f>
        <v>71</v>
      </c>
      <c r="F2664" s="4" t="str">
        <f aca="false">IFERROR(INDEX(Positions!$E$2:$E$6912,MATCH($A2664&amp;"|3",Positions!$A$2:$A$6912,0)),"-")</f>
        <v>C</v>
      </c>
      <c r="G2664" s="4" t="str">
        <f aca="false">IFERROR(INDEX(Positions!$E$2:$E$6912,MATCH($A2664&amp;"|70",Positions!$A$2:$A$6912,0)),"-")</f>
        <v>G</v>
      </c>
      <c r="H2664" s="3" t="str">
        <f aca="false">F2664&amp;"-"&amp;G2664</f>
        <v>C-G</v>
      </c>
      <c r="I2664" s="4" t="n">
        <f aca="false">(F2664="G")+(G2664="G")</f>
        <v>1</v>
      </c>
      <c r="J2664" s="4" t="n">
        <f aca="false">(F2664="C")+(G2664="C")</f>
        <v>1</v>
      </c>
      <c r="K2664" s="3" t="n">
        <f aca="false">I2664+J2664</f>
        <v>2</v>
      </c>
    </row>
    <row r="2665" customFormat="false" ht="15" hidden="false" customHeight="false" outlineLevel="0" collapsed="false">
      <c r="A2665" s="4" t="s">
        <v>132</v>
      </c>
      <c r="B2665" s="4" t="s">
        <v>412</v>
      </c>
      <c r="C2665" s="4" t="s">
        <v>519</v>
      </c>
      <c r="D2665" s="4" t="n">
        <f aca="false">IFERROR(INDEX(Positions!$D$2:$D$6912,MATCH($A2665&amp;"|4",Positions!$A$2:$A$6912,0)),"-")</f>
        <v>4</v>
      </c>
      <c r="E2665" s="4" t="n">
        <f aca="false">IFERROR(INDEX(Positions!$D$2:$D$6912,MATCH($A2665&amp;"|69",Positions!$A$2:$A$6912,0)),"-")</f>
        <v>70</v>
      </c>
      <c r="F2665" s="4" t="str">
        <f aca="false">IFERROR(INDEX(Positions!$E$2:$E$6912,MATCH($A2665&amp;"|4",Positions!$A$2:$A$6912,0)),"-")</f>
        <v>U</v>
      </c>
      <c r="G2665" s="4" t="str">
        <f aca="false">IFERROR(INDEX(Positions!$E$2:$E$6912,MATCH($A2665&amp;"|69",Positions!$A$2:$A$6912,0)),"-")</f>
        <v>A</v>
      </c>
      <c r="H2665" s="3" t="str">
        <f aca="false">F2665&amp;"-"&amp;G2665</f>
        <v>U-A</v>
      </c>
      <c r="I2665" s="4" t="n">
        <f aca="false">(F2665="G")+(G2665="G")</f>
        <v>0</v>
      </c>
      <c r="J2665" s="4" t="n">
        <f aca="false">(F2665="C")+(G2665="C")</f>
        <v>0</v>
      </c>
      <c r="K2665" s="3" t="n">
        <f aca="false">I2665+J2665</f>
        <v>0</v>
      </c>
    </row>
    <row r="2666" customFormat="false" ht="15" hidden="false" customHeight="false" outlineLevel="0" collapsed="false">
      <c r="A2666" s="4" t="s">
        <v>132</v>
      </c>
      <c r="B2666" s="4" t="s">
        <v>412</v>
      </c>
      <c r="C2666" s="4" t="s">
        <v>283</v>
      </c>
      <c r="D2666" s="4" t="n">
        <f aca="false">IFERROR(INDEX(Positions!$D$2:$D$6912,MATCH($A2666&amp;"|5",Positions!$A$2:$A$6912,0)),"-")</f>
        <v>5</v>
      </c>
      <c r="E2666" s="4" t="n">
        <f aca="false">IFERROR(INDEX(Positions!$D$2:$D$6912,MATCH($A2666&amp;"|68",Positions!$A$2:$A$6912,0)),"-")</f>
        <v>69</v>
      </c>
      <c r="F2666" s="4" t="str">
        <f aca="false">IFERROR(INDEX(Positions!$E$2:$E$6912,MATCH($A2666&amp;"|5",Positions!$A$2:$A$6912,0)),"-")</f>
        <v>A</v>
      </c>
      <c r="G2666" s="4" t="str">
        <f aca="false">IFERROR(INDEX(Positions!$E$2:$E$6912,MATCH($A2666&amp;"|68",Positions!$A$2:$A$6912,0)),"-")</f>
        <v>U</v>
      </c>
      <c r="H2666" s="3" t="str">
        <f aca="false">F2666&amp;"-"&amp;G2666</f>
        <v>A-U</v>
      </c>
      <c r="I2666" s="4" t="n">
        <f aca="false">(F2666="G")+(G2666="G")</f>
        <v>0</v>
      </c>
      <c r="J2666" s="4" t="n">
        <f aca="false">(F2666="C")+(G2666="C")</f>
        <v>0</v>
      </c>
      <c r="K2666" s="3" t="n">
        <f aca="false">I2666+J2666</f>
        <v>0</v>
      </c>
    </row>
    <row r="2667" customFormat="false" ht="15" hidden="false" customHeight="false" outlineLevel="0" collapsed="false">
      <c r="A2667" s="4" t="s">
        <v>132</v>
      </c>
      <c r="B2667" s="4" t="s">
        <v>412</v>
      </c>
      <c r="C2667" s="4" t="s">
        <v>520</v>
      </c>
      <c r="D2667" s="4" t="n">
        <f aca="false">IFERROR(INDEX(Positions!$D$2:$D$6912,MATCH($A2667&amp;"|6",Positions!$A$2:$A$6912,0)),"-")</f>
        <v>6</v>
      </c>
      <c r="E2667" s="4" t="n">
        <f aca="false">IFERROR(INDEX(Positions!$D$2:$D$6912,MATCH($A2667&amp;"|67",Positions!$A$2:$A$6912,0)),"-")</f>
        <v>68</v>
      </c>
      <c r="F2667" s="4" t="str">
        <f aca="false">IFERROR(INDEX(Positions!$E$2:$E$6912,MATCH($A2667&amp;"|6",Positions!$A$2:$A$6912,0)),"-")</f>
        <v>C</v>
      </c>
      <c r="G2667" s="4" t="str">
        <f aca="false">IFERROR(INDEX(Positions!$E$2:$E$6912,MATCH($A2667&amp;"|67",Positions!$A$2:$A$6912,0)),"-")</f>
        <v>G</v>
      </c>
      <c r="H2667" s="3" t="str">
        <f aca="false">F2667&amp;"-"&amp;G2667</f>
        <v>C-G</v>
      </c>
      <c r="I2667" s="4" t="n">
        <f aca="false">(F2667="G")+(G2667="G")</f>
        <v>1</v>
      </c>
      <c r="J2667" s="4" t="n">
        <f aca="false">(F2667="C")+(G2667="C")</f>
        <v>1</v>
      </c>
      <c r="K2667" s="3" t="n">
        <f aca="false">I2667+J2667</f>
        <v>2</v>
      </c>
    </row>
    <row r="2668" customFormat="false" ht="15" hidden="false" customHeight="false" outlineLevel="0" collapsed="false">
      <c r="A2668" s="4" t="s">
        <v>132</v>
      </c>
      <c r="B2668" s="4" t="s">
        <v>412</v>
      </c>
      <c r="C2668" s="4" t="s">
        <v>521</v>
      </c>
      <c r="D2668" s="4" t="n">
        <f aca="false">IFERROR(INDEX(Positions!$D$2:$D$6912,MATCH($A2668&amp;"|7",Positions!$A$2:$A$6912,0)),"-")</f>
        <v>7</v>
      </c>
      <c r="E2668" s="4" t="n">
        <f aca="false">IFERROR(INDEX(Positions!$D$2:$D$6912,MATCH($A2668&amp;"|66",Positions!$A$2:$A$6912,0)),"-")</f>
        <v>67</v>
      </c>
      <c r="F2668" s="4" t="str">
        <f aca="false">IFERROR(INDEX(Positions!$E$2:$E$6912,MATCH($A2668&amp;"|7",Positions!$A$2:$A$6912,0)),"-")</f>
        <v>G</v>
      </c>
      <c r="G2668" s="4" t="str">
        <f aca="false">IFERROR(INDEX(Positions!$E$2:$E$6912,MATCH($A2668&amp;"|66",Positions!$A$2:$A$6912,0)),"-")</f>
        <v>C</v>
      </c>
      <c r="H2668" s="3" t="str">
        <f aca="false">F2668&amp;"-"&amp;G2668</f>
        <v>G-C</v>
      </c>
      <c r="I2668" s="4" t="n">
        <f aca="false">(F2668="G")+(G2668="G")</f>
        <v>1</v>
      </c>
      <c r="J2668" s="4" t="n">
        <f aca="false">(F2668="C")+(G2668="C")</f>
        <v>1</v>
      </c>
      <c r="K2668" s="3" t="n">
        <f aca="false">I2668+J2668</f>
        <v>2</v>
      </c>
    </row>
    <row r="2669" customFormat="false" ht="15" hidden="false" customHeight="false" outlineLevel="0" collapsed="false">
      <c r="A2669" s="4" t="s">
        <v>132</v>
      </c>
      <c r="B2669" s="4" t="s">
        <v>425</v>
      </c>
      <c r="C2669" s="4" t="s">
        <v>522</v>
      </c>
      <c r="D2669" s="4" t="n">
        <f aca="false">IFERROR(INDEX(Positions!$D$2:$D$6912,MATCH($A2669&amp;"|10",Positions!$A$2:$A$6912,0)),"-")</f>
        <v>10</v>
      </c>
      <c r="E2669" s="4" t="n">
        <f aca="false">IFERROR(INDEX(Positions!$D$2:$D$6912,MATCH($A2669&amp;"|25",Positions!$A$2:$A$6912,0)),"-")</f>
        <v>26</v>
      </c>
      <c r="F2669" s="4" t="str">
        <f aca="false">IFERROR(INDEX(Positions!$E$2:$E$6912,MATCH($A2669&amp;"|10",Positions!$A$2:$A$6912,0)),"-")</f>
        <v>G</v>
      </c>
      <c r="G2669" s="4" t="str">
        <f aca="false">IFERROR(INDEX(Positions!$E$2:$E$6912,MATCH($A2669&amp;"|25",Positions!$A$2:$A$6912,0)),"-")</f>
        <v>C</v>
      </c>
      <c r="H2669" s="3" t="str">
        <f aca="false">F2669&amp;"-"&amp;G2669</f>
        <v>G-C</v>
      </c>
      <c r="I2669" s="4" t="n">
        <f aca="false">(F2669="G")+(G2669="G")</f>
        <v>1</v>
      </c>
      <c r="J2669" s="4" t="n">
        <f aca="false">(F2669="C")+(G2669="C")</f>
        <v>1</v>
      </c>
      <c r="K2669" s="3" t="n">
        <f aca="false">I2669+J2669</f>
        <v>2</v>
      </c>
    </row>
    <row r="2670" customFormat="false" ht="15" hidden="false" customHeight="false" outlineLevel="0" collapsed="false">
      <c r="A2670" s="4" t="s">
        <v>132</v>
      </c>
      <c r="B2670" s="4" t="s">
        <v>425</v>
      </c>
      <c r="C2670" s="4" t="s">
        <v>523</v>
      </c>
      <c r="D2670" s="4" t="n">
        <f aca="false">IFERROR(INDEX(Positions!$D$2:$D$6912,MATCH($A2670&amp;"|11",Positions!$A$2:$A$6912,0)),"-")</f>
        <v>11</v>
      </c>
      <c r="E2670" s="4" t="n">
        <f aca="false">IFERROR(INDEX(Positions!$D$2:$D$6912,MATCH($A2670&amp;"|24",Positions!$A$2:$A$6912,0)),"-")</f>
        <v>25</v>
      </c>
      <c r="F2670" s="4" t="str">
        <f aca="false">IFERROR(INDEX(Positions!$E$2:$E$6912,MATCH($A2670&amp;"|11",Positions!$A$2:$A$6912,0)),"-")</f>
        <v>C</v>
      </c>
      <c r="G2670" s="4" t="str">
        <f aca="false">IFERROR(INDEX(Positions!$E$2:$E$6912,MATCH($A2670&amp;"|24",Positions!$A$2:$A$6912,0)),"-")</f>
        <v>G</v>
      </c>
      <c r="H2670" s="3" t="str">
        <f aca="false">F2670&amp;"-"&amp;G2670</f>
        <v>C-G</v>
      </c>
      <c r="I2670" s="4" t="n">
        <f aca="false">(F2670="G")+(G2670="G")</f>
        <v>1</v>
      </c>
      <c r="J2670" s="4" t="n">
        <f aca="false">(F2670="C")+(G2670="C")</f>
        <v>1</v>
      </c>
      <c r="K2670" s="3" t="n">
        <f aca="false">I2670+J2670</f>
        <v>2</v>
      </c>
    </row>
    <row r="2671" customFormat="false" ht="15" hidden="false" customHeight="false" outlineLevel="0" collapsed="false">
      <c r="A2671" s="4" t="s">
        <v>132</v>
      </c>
      <c r="B2671" s="4" t="s">
        <v>425</v>
      </c>
      <c r="C2671" s="4" t="s">
        <v>250</v>
      </c>
      <c r="D2671" s="4" t="n">
        <f aca="false">IFERROR(INDEX(Positions!$D$2:$D$6912,MATCH($A2671&amp;"|12",Positions!$A$2:$A$6912,0)),"-")</f>
        <v>12</v>
      </c>
      <c r="E2671" s="4" t="n">
        <f aca="false">IFERROR(INDEX(Positions!$D$2:$D$6912,MATCH($A2671&amp;"|23",Positions!$A$2:$A$6912,0)),"-")</f>
        <v>24</v>
      </c>
      <c r="F2671" s="4" t="str">
        <f aca="false">IFERROR(INDEX(Positions!$E$2:$E$6912,MATCH($A2671&amp;"|12",Positions!$A$2:$A$6912,0)),"-")</f>
        <v>U</v>
      </c>
      <c r="G2671" s="4" t="str">
        <f aca="false">IFERROR(INDEX(Positions!$E$2:$E$6912,MATCH($A2671&amp;"|23",Positions!$A$2:$A$6912,0)),"-")</f>
        <v>A</v>
      </c>
      <c r="H2671" s="3" t="str">
        <f aca="false">F2671&amp;"-"&amp;G2671</f>
        <v>U-A</v>
      </c>
      <c r="I2671" s="4" t="n">
        <f aca="false">(F2671="G")+(G2671="G")</f>
        <v>0</v>
      </c>
      <c r="J2671" s="4" t="n">
        <f aca="false">(F2671="C")+(G2671="C")</f>
        <v>0</v>
      </c>
      <c r="K2671" s="3" t="n">
        <f aca="false">I2671+J2671</f>
        <v>0</v>
      </c>
    </row>
    <row r="2672" customFormat="false" ht="15" hidden="false" customHeight="false" outlineLevel="0" collapsed="false">
      <c r="A2672" s="4" t="s">
        <v>132</v>
      </c>
      <c r="B2672" s="4" t="s">
        <v>425</v>
      </c>
      <c r="C2672" s="4" t="s">
        <v>154</v>
      </c>
      <c r="D2672" s="4" t="n">
        <f aca="false">IFERROR(INDEX(Positions!$D$2:$D$6912,MATCH($A2672&amp;"|13",Positions!$A$2:$A$6912,0)),"-")</f>
        <v>13</v>
      </c>
      <c r="E2672" s="4" t="n">
        <f aca="false">IFERROR(INDEX(Positions!$D$2:$D$6912,MATCH($A2672&amp;"|22",Positions!$A$2:$A$6912,0)),"-")</f>
        <v>23</v>
      </c>
      <c r="F2672" s="4" t="str">
        <f aca="false">IFERROR(INDEX(Positions!$E$2:$E$6912,MATCH($A2672&amp;"|13",Positions!$A$2:$A$6912,0)),"-")</f>
        <v>C</v>
      </c>
      <c r="G2672" s="4" t="str">
        <f aca="false">IFERROR(INDEX(Positions!$E$2:$E$6912,MATCH($A2672&amp;"|22",Positions!$A$2:$A$6912,0)),"-")</f>
        <v>G</v>
      </c>
      <c r="H2672" s="3" t="str">
        <f aca="false">F2672&amp;"-"&amp;G2672</f>
        <v>C-G</v>
      </c>
      <c r="I2672" s="4" t="n">
        <f aca="false">(F2672="G")+(G2672="G")</f>
        <v>1</v>
      </c>
      <c r="J2672" s="4" t="n">
        <f aca="false">(F2672="C")+(G2672="C")</f>
        <v>1</v>
      </c>
      <c r="K2672" s="3" t="n">
        <f aca="false">I2672+J2672</f>
        <v>2</v>
      </c>
    </row>
    <row r="2673" customFormat="false" ht="15" hidden="false" customHeight="false" outlineLevel="0" collapsed="false">
      <c r="A2673" s="4" t="s">
        <v>132</v>
      </c>
      <c r="B2673" s="4" t="s">
        <v>446</v>
      </c>
      <c r="C2673" s="4" t="s">
        <v>524</v>
      </c>
      <c r="D2673" s="4" t="n">
        <f aca="false">IFERROR(INDEX(Positions!$D$2:$D$6912,MATCH($A2673&amp;"|27",Positions!$A$2:$A$6912,0)),"-")</f>
        <v>28</v>
      </c>
      <c r="E2673" s="4" t="n">
        <f aca="false">IFERROR(INDEX(Positions!$D$2:$D$6912,MATCH($A2673&amp;"|43",Positions!$A$2:$A$6912,0)),"-")</f>
        <v>44</v>
      </c>
      <c r="F2673" s="4" t="str">
        <f aca="false">IFERROR(INDEX(Positions!$E$2:$E$6912,MATCH($A2673&amp;"|27",Positions!$A$2:$A$6912,0)),"-")</f>
        <v>C</v>
      </c>
      <c r="G2673" s="4" t="str">
        <f aca="false">IFERROR(INDEX(Positions!$E$2:$E$6912,MATCH($A2673&amp;"|43",Positions!$A$2:$A$6912,0)),"-")</f>
        <v>G</v>
      </c>
      <c r="H2673" s="3" t="str">
        <f aca="false">F2673&amp;"-"&amp;G2673</f>
        <v>C-G</v>
      </c>
      <c r="I2673" s="4" t="n">
        <f aca="false">(F2673="G")+(G2673="G")</f>
        <v>1</v>
      </c>
      <c r="J2673" s="4" t="n">
        <f aca="false">(F2673="C")+(G2673="C")</f>
        <v>1</v>
      </c>
      <c r="K2673" s="3" t="n">
        <f aca="false">I2673+J2673</f>
        <v>2</v>
      </c>
    </row>
    <row r="2674" customFormat="false" ht="15" hidden="false" customHeight="false" outlineLevel="0" collapsed="false">
      <c r="A2674" s="4" t="s">
        <v>132</v>
      </c>
      <c r="B2674" s="4" t="s">
        <v>446</v>
      </c>
      <c r="C2674" s="4" t="s">
        <v>525</v>
      </c>
      <c r="D2674" s="4" t="n">
        <f aca="false">IFERROR(INDEX(Positions!$D$2:$D$6912,MATCH($A2674&amp;"|28",Positions!$A$2:$A$6912,0)),"-")</f>
        <v>29</v>
      </c>
      <c r="E2674" s="4" t="n">
        <f aca="false">IFERROR(INDEX(Positions!$D$2:$D$6912,MATCH($A2674&amp;"|42",Positions!$A$2:$A$6912,0)),"-")</f>
        <v>43</v>
      </c>
      <c r="F2674" s="4" t="str">
        <f aca="false">IFERROR(INDEX(Positions!$E$2:$E$6912,MATCH($A2674&amp;"|28",Positions!$A$2:$A$6912,0)),"-")</f>
        <v>A</v>
      </c>
      <c r="G2674" s="4" t="str">
        <f aca="false">IFERROR(INDEX(Positions!$E$2:$E$6912,MATCH($A2674&amp;"|42",Positions!$A$2:$A$6912,0)),"-")</f>
        <v>U</v>
      </c>
      <c r="H2674" s="3" t="str">
        <f aca="false">F2674&amp;"-"&amp;G2674</f>
        <v>A-U</v>
      </c>
      <c r="I2674" s="4" t="n">
        <f aca="false">(F2674="G")+(G2674="G")</f>
        <v>0</v>
      </c>
      <c r="J2674" s="4" t="n">
        <f aca="false">(F2674="C")+(G2674="C")</f>
        <v>0</v>
      </c>
      <c r="K2674" s="3" t="n">
        <f aca="false">I2674+J2674</f>
        <v>0</v>
      </c>
    </row>
    <row r="2675" customFormat="false" ht="15" hidden="false" customHeight="false" outlineLevel="0" collapsed="false">
      <c r="A2675" s="4" t="s">
        <v>132</v>
      </c>
      <c r="B2675" s="4" t="s">
        <v>446</v>
      </c>
      <c r="C2675" s="4" t="s">
        <v>256</v>
      </c>
      <c r="D2675" s="4" t="n">
        <f aca="false">IFERROR(INDEX(Positions!$D$2:$D$6912,MATCH($A2675&amp;"|29",Positions!$A$2:$A$6912,0)),"-")</f>
        <v>30</v>
      </c>
      <c r="E2675" s="4" t="n">
        <f aca="false">IFERROR(INDEX(Positions!$D$2:$D$6912,MATCH($A2675&amp;"|41",Positions!$A$2:$A$6912,0)),"-")</f>
        <v>42</v>
      </c>
      <c r="F2675" s="4" t="str">
        <f aca="false">IFERROR(INDEX(Positions!$E$2:$E$6912,MATCH($A2675&amp;"|29",Positions!$A$2:$A$6912,0)),"-")</f>
        <v>U</v>
      </c>
      <c r="G2675" s="4" t="str">
        <f aca="false">IFERROR(INDEX(Positions!$E$2:$E$6912,MATCH($A2675&amp;"|41",Positions!$A$2:$A$6912,0)),"-")</f>
        <v>A</v>
      </c>
      <c r="H2675" s="3" t="str">
        <f aca="false">F2675&amp;"-"&amp;G2675</f>
        <v>U-A</v>
      </c>
      <c r="I2675" s="4" t="n">
        <f aca="false">(F2675="G")+(G2675="G")</f>
        <v>0</v>
      </c>
      <c r="J2675" s="4" t="n">
        <f aca="false">(F2675="C")+(G2675="C")</f>
        <v>0</v>
      </c>
      <c r="K2675" s="3" t="n">
        <f aca="false">I2675+J2675</f>
        <v>0</v>
      </c>
    </row>
    <row r="2676" customFormat="false" ht="15" hidden="false" customHeight="false" outlineLevel="0" collapsed="false">
      <c r="A2676" s="4" t="s">
        <v>132</v>
      </c>
      <c r="B2676" s="4" t="s">
        <v>446</v>
      </c>
      <c r="C2676" s="4" t="s">
        <v>526</v>
      </c>
      <c r="D2676" s="4" t="n">
        <f aca="false">IFERROR(INDEX(Positions!$D$2:$D$6912,MATCH($A2676&amp;"|30",Positions!$A$2:$A$6912,0)),"-")</f>
        <v>31</v>
      </c>
      <c r="E2676" s="4" t="n">
        <f aca="false">IFERROR(INDEX(Positions!$D$2:$D$6912,MATCH($A2676&amp;"|40",Positions!$A$2:$A$6912,0)),"-")</f>
        <v>41</v>
      </c>
      <c r="F2676" s="4" t="str">
        <f aca="false">IFERROR(INDEX(Positions!$E$2:$E$6912,MATCH($A2676&amp;"|30",Positions!$A$2:$A$6912,0)),"-")</f>
        <v>C</v>
      </c>
      <c r="G2676" s="4" t="str">
        <f aca="false">IFERROR(INDEX(Positions!$E$2:$E$6912,MATCH($A2676&amp;"|40",Positions!$A$2:$A$6912,0)),"-")</f>
        <v>G</v>
      </c>
      <c r="H2676" s="3" t="str">
        <f aca="false">F2676&amp;"-"&amp;G2676</f>
        <v>C-G</v>
      </c>
      <c r="I2676" s="4" t="n">
        <f aca="false">(F2676="G")+(G2676="G")</f>
        <v>1</v>
      </c>
      <c r="J2676" s="4" t="n">
        <f aca="false">(F2676="C")+(G2676="C")</f>
        <v>1</v>
      </c>
      <c r="K2676" s="3" t="n">
        <f aca="false">I2676+J2676</f>
        <v>2</v>
      </c>
    </row>
    <row r="2677" customFormat="false" ht="15" hidden="false" customHeight="false" outlineLevel="0" collapsed="false">
      <c r="A2677" s="4" t="s">
        <v>132</v>
      </c>
      <c r="B2677" s="4" t="s">
        <v>446</v>
      </c>
      <c r="C2677" s="4" t="s">
        <v>273</v>
      </c>
      <c r="D2677" s="4" t="n">
        <f aca="false">IFERROR(INDEX(Positions!$D$2:$D$6912,MATCH($A2677&amp;"|31",Positions!$A$2:$A$6912,0)),"-")</f>
        <v>32</v>
      </c>
      <c r="E2677" s="4" t="n">
        <f aca="false">IFERROR(INDEX(Positions!$D$2:$D$6912,MATCH($A2677&amp;"|39",Positions!$A$2:$A$6912,0)),"-")</f>
        <v>40</v>
      </c>
      <c r="F2677" s="4" t="str">
        <f aca="false">IFERROR(INDEX(Positions!$E$2:$E$6912,MATCH($A2677&amp;"|31",Positions!$A$2:$A$6912,0)),"-")</f>
        <v>A</v>
      </c>
      <c r="G2677" s="4" t="str">
        <f aca="false">IFERROR(INDEX(Positions!$E$2:$E$6912,MATCH($A2677&amp;"|39",Positions!$A$2:$A$6912,0)),"-")</f>
        <v>U</v>
      </c>
      <c r="H2677" s="3" t="str">
        <f aca="false">F2677&amp;"-"&amp;G2677</f>
        <v>A-U</v>
      </c>
      <c r="I2677" s="4" t="n">
        <f aca="false">(F2677="G")+(G2677="G")</f>
        <v>0</v>
      </c>
      <c r="J2677" s="4" t="n">
        <f aca="false">(F2677="C")+(G2677="C")</f>
        <v>0</v>
      </c>
      <c r="K2677" s="3" t="n">
        <f aca="false">I2677+J2677</f>
        <v>0</v>
      </c>
    </row>
    <row r="2678" customFormat="false" ht="15" hidden="false" customHeight="false" outlineLevel="0" collapsed="false">
      <c r="A2678" s="4" t="s">
        <v>132</v>
      </c>
      <c r="B2678" s="4" t="s">
        <v>471</v>
      </c>
      <c r="C2678" s="4" t="s">
        <v>367</v>
      </c>
      <c r="D2678" s="4" t="n">
        <f aca="false">IFERROR(INDEX(Positions!$D$2:$D$6912,MATCH($A2678&amp;"|49",Positions!$A$2:$A$6912,0)),"-")</f>
        <v>50</v>
      </c>
      <c r="E2678" s="4" t="n">
        <f aca="false">IFERROR(INDEX(Positions!$D$2:$D$6912,MATCH($A2678&amp;"|65",Positions!$A$2:$A$6912,0)),"-")</f>
        <v>66</v>
      </c>
      <c r="F2678" s="4" t="str">
        <f aca="false">IFERROR(INDEX(Positions!$E$2:$E$6912,MATCH($A2678&amp;"|49",Positions!$A$2:$A$6912,0)),"-")</f>
        <v>A</v>
      </c>
      <c r="G2678" s="4" t="str">
        <f aca="false">IFERROR(INDEX(Positions!$E$2:$E$6912,MATCH($A2678&amp;"|65",Positions!$A$2:$A$6912,0)),"-")</f>
        <v>U</v>
      </c>
      <c r="H2678" s="3" t="str">
        <f aca="false">F2678&amp;"-"&amp;G2678</f>
        <v>A-U</v>
      </c>
      <c r="I2678" s="4" t="n">
        <f aca="false">(F2678="G")+(G2678="G")</f>
        <v>0</v>
      </c>
      <c r="J2678" s="4" t="n">
        <f aca="false">(F2678="C")+(G2678="C")</f>
        <v>0</v>
      </c>
      <c r="K2678" s="3" t="n">
        <f aca="false">I2678+J2678</f>
        <v>0</v>
      </c>
    </row>
    <row r="2679" customFormat="false" ht="15" hidden="false" customHeight="false" outlineLevel="0" collapsed="false">
      <c r="A2679" s="4" t="s">
        <v>132</v>
      </c>
      <c r="B2679" s="4" t="s">
        <v>471</v>
      </c>
      <c r="C2679" s="4" t="s">
        <v>233</v>
      </c>
      <c r="D2679" s="4" t="n">
        <f aca="false">IFERROR(INDEX(Positions!$D$2:$D$6912,MATCH($A2679&amp;"|50",Positions!$A$2:$A$6912,0)),"-")</f>
        <v>51</v>
      </c>
      <c r="E2679" s="4" t="n">
        <f aca="false">IFERROR(INDEX(Positions!$D$2:$D$6912,MATCH($A2679&amp;"|64",Positions!$A$2:$A$6912,0)),"-")</f>
        <v>65</v>
      </c>
      <c r="F2679" s="4" t="str">
        <f aca="false">IFERROR(INDEX(Positions!$E$2:$E$6912,MATCH($A2679&amp;"|50",Positions!$A$2:$A$6912,0)),"-")</f>
        <v>C</v>
      </c>
      <c r="G2679" s="4" t="str">
        <f aca="false">IFERROR(INDEX(Positions!$E$2:$E$6912,MATCH($A2679&amp;"|64",Positions!$A$2:$A$6912,0)),"-")</f>
        <v>G</v>
      </c>
      <c r="H2679" s="3" t="str">
        <f aca="false">F2679&amp;"-"&amp;G2679</f>
        <v>C-G</v>
      </c>
      <c r="I2679" s="4" t="n">
        <f aca="false">(F2679="G")+(G2679="G")</f>
        <v>1</v>
      </c>
      <c r="J2679" s="4" t="n">
        <f aca="false">(F2679="C")+(G2679="C")</f>
        <v>1</v>
      </c>
      <c r="K2679" s="3" t="n">
        <f aca="false">I2679+J2679</f>
        <v>2</v>
      </c>
    </row>
    <row r="2680" customFormat="false" ht="15" hidden="false" customHeight="false" outlineLevel="0" collapsed="false">
      <c r="A2680" s="4" t="s">
        <v>132</v>
      </c>
      <c r="B2680" s="4" t="s">
        <v>471</v>
      </c>
      <c r="C2680" s="4" t="s">
        <v>527</v>
      </c>
      <c r="D2680" s="4" t="n">
        <f aca="false">IFERROR(INDEX(Positions!$D$2:$D$6912,MATCH($A2680&amp;"|51",Positions!$A$2:$A$6912,0)),"-")</f>
        <v>52</v>
      </c>
      <c r="E2680" s="4" t="n">
        <f aca="false">IFERROR(INDEX(Positions!$D$2:$D$6912,MATCH($A2680&amp;"|63",Positions!$A$2:$A$6912,0)),"-")</f>
        <v>64</v>
      </c>
      <c r="F2680" s="4" t="str">
        <f aca="false">IFERROR(INDEX(Positions!$E$2:$E$6912,MATCH($A2680&amp;"|51",Positions!$A$2:$A$6912,0)),"-")</f>
        <v>A</v>
      </c>
      <c r="G2680" s="4" t="str">
        <f aca="false">IFERROR(INDEX(Positions!$E$2:$E$6912,MATCH($A2680&amp;"|63",Positions!$A$2:$A$6912,0)),"-")</f>
        <v>C</v>
      </c>
      <c r="H2680" s="3" t="str">
        <f aca="false">F2680&amp;"-"&amp;G2680</f>
        <v>A-C</v>
      </c>
      <c r="I2680" s="4" t="n">
        <f aca="false">(F2680="G")+(G2680="G")</f>
        <v>0</v>
      </c>
      <c r="J2680" s="4" t="n">
        <f aca="false">(F2680="C")+(G2680="C")</f>
        <v>1</v>
      </c>
      <c r="K2680" s="3" t="n">
        <f aca="false">I2680+J2680</f>
        <v>1</v>
      </c>
    </row>
    <row r="2681" customFormat="false" ht="15" hidden="false" customHeight="false" outlineLevel="0" collapsed="false">
      <c r="A2681" s="4" t="s">
        <v>132</v>
      </c>
      <c r="B2681" s="4" t="s">
        <v>471</v>
      </c>
      <c r="C2681" s="4" t="s">
        <v>528</v>
      </c>
      <c r="D2681" s="4" t="n">
        <f aca="false">IFERROR(INDEX(Positions!$D$2:$D$6912,MATCH($A2681&amp;"|52",Positions!$A$2:$A$6912,0)),"-")</f>
        <v>53</v>
      </c>
      <c r="E2681" s="4" t="n">
        <f aca="false">IFERROR(INDEX(Positions!$D$2:$D$6912,MATCH($A2681&amp;"|62",Positions!$A$2:$A$6912,0)),"-")</f>
        <v>63</v>
      </c>
      <c r="F2681" s="4" t="str">
        <f aca="false">IFERROR(INDEX(Positions!$E$2:$E$6912,MATCH($A2681&amp;"|52",Positions!$A$2:$A$6912,0)),"-")</f>
        <v>G</v>
      </c>
      <c r="G2681" s="4" t="str">
        <f aca="false">IFERROR(INDEX(Positions!$E$2:$E$6912,MATCH($A2681&amp;"|62",Positions!$A$2:$A$6912,0)),"-")</f>
        <v>C</v>
      </c>
      <c r="H2681" s="3" t="str">
        <f aca="false">F2681&amp;"-"&amp;G2681</f>
        <v>G-C</v>
      </c>
      <c r="I2681" s="4" t="n">
        <f aca="false">(F2681="G")+(G2681="G")</f>
        <v>1</v>
      </c>
      <c r="J2681" s="4" t="n">
        <f aca="false">(F2681="C")+(G2681="C")</f>
        <v>1</v>
      </c>
      <c r="K2681" s="3" t="n">
        <f aca="false">I2681+J2681</f>
        <v>2</v>
      </c>
    </row>
    <row r="2682" customFormat="false" ht="15" hidden="false" customHeight="false" outlineLevel="0" collapsed="false">
      <c r="A2682" s="4" t="s">
        <v>132</v>
      </c>
      <c r="B2682" s="4" t="s">
        <v>471</v>
      </c>
      <c r="C2682" s="4" t="s">
        <v>529</v>
      </c>
      <c r="D2682" s="4" t="n">
        <f aca="false">IFERROR(INDEX(Positions!$D$2:$D$6912,MATCH($A2682&amp;"|53",Positions!$A$2:$A$6912,0)),"-")</f>
        <v>54</v>
      </c>
      <c r="E2682" s="4" t="n">
        <f aca="false">IFERROR(INDEX(Positions!$D$2:$D$6912,MATCH($A2682&amp;"|61",Positions!$A$2:$A$6912,0)),"-")</f>
        <v>62</v>
      </c>
      <c r="F2682" s="4" t="str">
        <f aca="false">IFERROR(INDEX(Positions!$E$2:$E$6912,MATCH($A2682&amp;"|53",Positions!$A$2:$A$6912,0)),"-")</f>
        <v>G</v>
      </c>
      <c r="G2682" s="4" t="str">
        <f aca="false">IFERROR(INDEX(Positions!$E$2:$E$6912,MATCH($A2682&amp;"|61",Positions!$A$2:$A$6912,0)),"-")</f>
        <v>C</v>
      </c>
      <c r="H2682" s="3" t="str">
        <f aca="false">F2682&amp;"-"&amp;G2682</f>
        <v>G-C</v>
      </c>
      <c r="I2682" s="4" t="n">
        <f aca="false">(F2682="G")+(G2682="G")</f>
        <v>1</v>
      </c>
      <c r="J2682" s="4" t="n">
        <f aca="false">(F2682="C")+(G2682="C")</f>
        <v>1</v>
      </c>
      <c r="K2682" s="3" t="n">
        <f aca="false">I2682+J2682</f>
        <v>2</v>
      </c>
    </row>
    <row r="2683" customFormat="false" ht="15" hidden="false" customHeight="false" outlineLevel="0" collapsed="false">
      <c r="A2683" s="24" t="s">
        <v>132</v>
      </c>
      <c r="B2683" s="24" t="s">
        <v>530</v>
      </c>
      <c r="C2683" s="24" t="s">
        <v>531</v>
      </c>
      <c r="D2683" s="24" t="n">
        <f aca="false">IFERROR(INDEX(Positions!$D$2:$D$6912,MATCH($A2683&amp;"|8",Positions!$A$2:$A$6912,0)),"-")</f>
        <v>8</v>
      </c>
      <c r="E2683" s="24" t="n">
        <f aca="false">IFERROR(INDEX(Positions!$D$2:$D$6912,MATCH($A2683&amp;"|14",Positions!$A$2:$A$6912,0)),"-")</f>
        <v>14</v>
      </c>
      <c r="F2683" s="24" t="str">
        <f aca="false">IFERROR(INDEX(Positions!$E$2:$E$6912,MATCH($A2683&amp;"|8",Positions!$A$2:$A$6912,0)),"-")</f>
        <v>U</v>
      </c>
      <c r="G2683" s="24" t="str">
        <f aca="false">IFERROR(INDEX(Positions!$E$2:$E$6912,MATCH($A2683&amp;"|14",Positions!$A$2:$A$6912,0)),"-")</f>
        <v>A</v>
      </c>
      <c r="H2683" s="25" t="str">
        <f aca="false">F2683&amp;"-"&amp;G2683</f>
        <v>U-A</v>
      </c>
      <c r="I2683" s="24" t="n">
        <f aca="false">(F2683="G")+(G2683="G")</f>
        <v>0</v>
      </c>
      <c r="J2683" s="24" t="n">
        <f aca="false">(F2683="C")+(G2683="C")</f>
        <v>0</v>
      </c>
      <c r="K2683" s="25" t="n">
        <f aca="false">I2683+J2683</f>
        <v>0</v>
      </c>
    </row>
    <row r="2684" customFormat="false" ht="15" hidden="false" customHeight="false" outlineLevel="0" collapsed="false">
      <c r="A2684" s="24" t="s">
        <v>132</v>
      </c>
      <c r="B2684" s="24" t="s">
        <v>530</v>
      </c>
      <c r="C2684" s="24" t="s">
        <v>532</v>
      </c>
      <c r="D2684" s="24" t="n">
        <f aca="false">IFERROR(INDEX(Positions!$D$2:$D$6912,MATCH($A2684&amp;"|15",Positions!$A$2:$A$6912,0)),"-")</f>
        <v>15</v>
      </c>
      <c r="E2684" s="24" t="n">
        <f aca="false">IFERROR(INDEX(Positions!$D$2:$D$6912,MATCH($A2684&amp;"|48",Positions!$A$2:$A$6912,0)),"-")</f>
        <v>49</v>
      </c>
      <c r="F2684" s="24" t="str">
        <f aca="false">IFERROR(INDEX(Positions!$E$2:$E$6912,MATCH($A2684&amp;"|15",Positions!$A$2:$A$6912,0)),"-")</f>
        <v>G</v>
      </c>
      <c r="G2684" s="24" t="str">
        <f aca="false">IFERROR(INDEX(Positions!$E$2:$E$6912,MATCH($A2684&amp;"|48",Positions!$A$2:$A$6912,0)),"-")</f>
        <v>C</v>
      </c>
      <c r="H2684" s="25" t="str">
        <f aca="false">F2684&amp;"-"&amp;G2684</f>
        <v>G-C</v>
      </c>
      <c r="I2684" s="24" t="n">
        <f aca="false">(F2684="G")+(G2684="G")</f>
        <v>1</v>
      </c>
      <c r="J2684" s="24" t="n">
        <f aca="false">(F2684="C")+(G2684="C")</f>
        <v>1</v>
      </c>
      <c r="K2684" s="25" t="n">
        <f aca="false">I2684+J2684</f>
        <v>2</v>
      </c>
    </row>
    <row r="2685" customFormat="false" ht="15" hidden="false" customHeight="false" outlineLevel="0" collapsed="false">
      <c r="A2685" s="24" t="s">
        <v>132</v>
      </c>
      <c r="B2685" s="24" t="s">
        <v>530</v>
      </c>
      <c r="C2685" s="24" t="s">
        <v>533</v>
      </c>
      <c r="D2685" s="24" t="n">
        <f aca="false">IFERROR(INDEX(Positions!$D$2:$D$6912,MATCH($A2685&amp;"|18",Positions!$A$2:$A$6912,0)),"-")</f>
        <v>18</v>
      </c>
      <c r="E2685" s="24" t="n">
        <f aca="false">IFERROR(INDEX(Positions!$D$2:$D$6912,MATCH($A2685&amp;"|55",Positions!$A$2:$A$6912,0)),"-")</f>
        <v>56</v>
      </c>
      <c r="F2685" s="24" t="str">
        <f aca="false">IFERROR(INDEX(Positions!$E$2:$E$6912,MATCH($A2685&amp;"|18",Positions!$A$2:$A$6912,0)),"-")</f>
        <v>G</v>
      </c>
      <c r="G2685" s="24" t="str">
        <f aca="false">IFERROR(INDEX(Positions!$E$2:$E$6912,MATCH($A2685&amp;"|55",Positions!$A$2:$A$6912,0)),"-")</f>
        <v>U</v>
      </c>
      <c r="H2685" s="25" t="str">
        <f aca="false">F2685&amp;"-"&amp;G2685</f>
        <v>G-U</v>
      </c>
      <c r="I2685" s="24" t="n">
        <f aca="false">(F2685="G")+(G2685="G")</f>
        <v>1</v>
      </c>
      <c r="J2685" s="24" t="n">
        <f aca="false">(F2685="C")+(G2685="C")</f>
        <v>0</v>
      </c>
      <c r="K2685" s="25" t="n">
        <f aca="false">I2685+J2685</f>
        <v>1</v>
      </c>
    </row>
    <row r="2686" customFormat="false" ht="15" hidden="false" customHeight="false" outlineLevel="0" collapsed="false">
      <c r="A2686" s="24" t="s">
        <v>132</v>
      </c>
      <c r="B2686" s="24" t="s">
        <v>530</v>
      </c>
      <c r="C2686" s="24" t="s">
        <v>534</v>
      </c>
      <c r="D2686" s="24" t="n">
        <f aca="false">IFERROR(INDEX(Positions!$D$2:$D$6912,MATCH($A2686&amp;"|19",Positions!$A$2:$A$6912,0)),"-")</f>
        <v>19</v>
      </c>
      <c r="E2686" s="24" t="n">
        <f aca="false">IFERROR(INDEX(Positions!$D$2:$D$6912,MATCH($A2686&amp;"|56",Positions!$A$2:$A$6912,0)),"-")</f>
        <v>57</v>
      </c>
      <c r="F2686" s="24" t="str">
        <f aca="false">IFERROR(INDEX(Positions!$E$2:$E$6912,MATCH($A2686&amp;"|19",Positions!$A$2:$A$6912,0)),"-")</f>
        <v>G</v>
      </c>
      <c r="G2686" s="24" t="str">
        <f aca="false">IFERROR(INDEX(Positions!$E$2:$E$6912,MATCH($A2686&amp;"|56",Positions!$A$2:$A$6912,0)),"-")</f>
        <v>C</v>
      </c>
      <c r="H2686" s="25" t="str">
        <f aca="false">F2686&amp;"-"&amp;G2686</f>
        <v>G-C</v>
      </c>
      <c r="I2686" s="24" t="n">
        <f aca="false">(F2686="G")+(G2686="G")</f>
        <v>1</v>
      </c>
      <c r="J2686" s="24" t="n">
        <f aca="false">(F2686="C")+(G2686="C")</f>
        <v>1</v>
      </c>
      <c r="K2686" s="25" t="n">
        <f aca="false">I2686+J2686</f>
        <v>2</v>
      </c>
    </row>
    <row r="2687" customFormat="false" ht="15" hidden="false" customHeight="false" outlineLevel="0" collapsed="false">
      <c r="A2687" s="24" t="s">
        <v>132</v>
      </c>
      <c r="B2687" s="24" t="s">
        <v>530</v>
      </c>
      <c r="C2687" s="24" t="s">
        <v>535</v>
      </c>
      <c r="D2687" s="24" t="n">
        <f aca="false">IFERROR(INDEX(Positions!$D$2:$D$6912,MATCH($A2687&amp;"|26",Positions!$A$2:$A$6912,0)),"-")</f>
        <v>27</v>
      </c>
      <c r="E2687" s="24" t="n">
        <f aca="false">IFERROR(INDEX(Positions!$D$2:$D$6912,MATCH($A2687&amp;"|44",Positions!$A$2:$A$6912,0)),"-")</f>
        <v>45</v>
      </c>
      <c r="F2687" s="24" t="str">
        <f aca="false">IFERROR(INDEX(Positions!$E$2:$E$6912,MATCH($A2687&amp;"|26",Positions!$A$2:$A$6912,0)),"-")</f>
        <v>A</v>
      </c>
      <c r="G2687" s="24" t="str">
        <f aca="false">IFERROR(INDEX(Positions!$E$2:$E$6912,MATCH($A2687&amp;"|44",Positions!$A$2:$A$6912,0)),"-")</f>
        <v>G</v>
      </c>
      <c r="H2687" s="25" t="str">
        <f aca="false">F2687&amp;"-"&amp;G2687</f>
        <v>A-G</v>
      </c>
      <c r="I2687" s="24" t="n">
        <f aca="false">(F2687="G")+(G2687="G")</f>
        <v>1</v>
      </c>
      <c r="J2687" s="24" t="n">
        <f aca="false">(F2687="C")+(G2687="C")</f>
        <v>0</v>
      </c>
      <c r="K2687" s="25" t="n">
        <f aca="false">I2687+J2687</f>
        <v>1</v>
      </c>
    </row>
    <row r="2688" customFormat="false" ht="15" hidden="false" customHeight="false" outlineLevel="0" collapsed="false">
      <c r="A2688" s="24" t="s">
        <v>132</v>
      </c>
      <c r="B2688" s="24" t="s">
        <v>530</v>
      </c>
      <c r="C2688" s="24" t="s">
        <v>536</v>
      </c>
      <c r="D2688" s="24" t="n">
        <f aca="false">IFERROR(INDEX(Positions!$D$2:$D$6912,MATCH($A2688&amp;"|32",Positions!$A$2:$A$6912,0)),"-")</f>
        <v>33</v>
      </c>
      <c r="E2688" s="24" t="n">
        <f aca="false">IFERROR(INDEX(Positions!$D$2:$D$6912,MATCH($A2688&amp;"|38",Positions!$A$2:$A$6912,0)),"-")</f>
        <v>39</v>
      </c>
      <c r="F2688" s="24" t="str">
        <f aca="false">IFERROR(INDEX(Positions!$E$2:$E$6912,MATCH($A2688&amp;"|32",Positions!$A$2:$A$6912,0)),"-")</f>
        <v>C</v>
      </c>
      <c r="G2688" s="24" t="str">
        <f aca="false">IFERROR(INDEX(Positions!$E$2:$E$6912,MATCH($A2688&amp;"|38",Positions!$A$2:$A$6912,0)),"-")</f>
        <v>A</v>
      </c>
      <c r="H2688" s="25" t="str">
        <f aca="false">F2688&amp;"-"&amp;G2688</f>
        <v>C-A</v>
      </c>
      <c r="I2688" s="24" t="n">
        <f aca="false">(F2688="G")+(G2688="G")</f>
        <v>0</v>
      </c>
      <c r="J2688" s="24" t="n">
        <f aca="false">(F2688="C")+(G2688="C")</f>
        <v>1</v>
      </c>
      <c r="K2688" s="25" t="n">
        <f aca="false">I2688+J2688</f>
        <v>1</v>
      </c>
    </row>
    <row r="2689" customFormat="false" ht="15" hidden="false" customHeight="false" outlineLevel="0" collapsed="false">
      <c r="A2689" s="24" t="s">
        <v>132</v>
      </c>
      <c r="B2689" s="24" t="s">
        <v>530</v>
      </c>
      <c r="C2689" s="24" t="s">
        <v>537</v>
      </c>
      <c r="D2689" s="24" t="n">
        <f aca="false">IFERROR(INDEX(Positions!$D$2:$D$6912,MATCH($A2689&amp;"|54",Positions!$A$2:$A$6912,0)),"-")</f>
        <v>55</v>
      </c>
      <c r="E2689" s="24" t="n">
        <f aca="false">IFERROR(INDEX(Positions!$D$2:$D$6912,MATCH($A2689&amp;"|58",Positions!$A$2:$A$6912,0)),"-")</f>
        <v>59</v>
      </c>
      <c r="F2689" s="24" t="str">
        <f aca="false">IFERROR(INDEX(Positions!$E$2:$E$6912,MATCH($A2689&amp;"|54",Positions!$A$2:$A$6912,0)),"-")</f>
        <v>U</v>
      </c>
      <c r="G2689" s="24" t="str">
        <f aca="false">IFERROR(INDEX(Positions!$E$2:$E$6912,MATCH($A2689&amp;"|58",Positions!$A$2:$A$6912,0)),"-")</f>
        <v>A</v>
      </c>
      <c r="H2689" s="25" t="str">
        <f aca="false">F2689&amp;"-"&amp;G2689</f>
        <v>U-A</v>
      </c>
      <c r="I2689" s="24" t="n">
        <f aca="false">(F2689="G")+(G2689="G")</f>
        <v>0</v>
      </c>
      <c r="J2689" s="24" t="n">
        <f aca="false">(F2689="C")+(G2689="C")</f>
        <v>0</v>
      </c>
      <c r="K2689" s="25" t="n">
        <f aca="false">I2689+J2689</f>
        <v>0</v>
      </c>
    </row>
  </sheetData>
  <autoFilter ref="A1:K26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6"/>
    <col collapsed="false" customWidth="true" hidden="false" outlineLevel="0" max="4" min="3" style="0" width="12"/>
    <col collapsed="false" customWidth="true" hidden="false" outlineLevel="0" max="5" min="5" style="0" width="30"/>
    <col collapsed="false" customWidth="true" hidden="false" outlineLevel="0" max="6" min="6" style="0" width="8"/>
    <col collapsed="false" customWidth="true" hidden="false" outlineLevel="0" max="8" min="7" style="0" width="9"/>
    <col collapsed="false" customWidth="true" hidden="false" outlineLevel="0" max="9" min="9" style="0" width="10"/>
    <col collapsed="false" customWidth="true" hidden="false" outlineLevel="0" max="10" min="10" style="0" width="9"/>
  </cols>
  <sheetData>
    <row r="1" customFormat="false" ht="26.85" hidden="false" customHeight="false" outlineLevel="0" collapsed="false">
      <c r="A1" s="2" t="s">
        <v>1</v>
      </c>
      <c r="B1" s="2" t="s">
        <v>538</v>
      </c>
      <c r="C1" s="2" t="s">
        <v>539</v>
      </c>
      <c r="D1" s="2" t="s">
        <v>540</v>
      </c>
      <c r="E1" s="2" t="s">
        <v>541</v>
      </c>
      <c r="F1" s="2" t="s">
        <v>542</v>
      </c>
      <c r="G1" s="2" t="s">
        <v>514</v>
      </c>
      <c r="H1" s="2" t="s">
        <v>515</v>
      </c>
      <c r="I1" s="2" t="s">
        <v>516</v>
      </c>
      <c r="J1" s="2" t="s">
        <v>543</v>
      </c>
    </row>
    <row r="2" customFormat="false" ht="15" hidden="false" customHeight="false" outlineLevel="0" collapsed="false">
      <c r="A2" s="4" t="s">
        <v>37</v>
      </c>
      <c r="B2" s="4" t="s">
        <v>430</v>
      </c>
      <c r="C2" s="4" t="s">
        <v>544</v>
      </c>
      <c r="D2" s="4" t="s">
        <v>545</v>
      </c>
      <c r="E2" s="4" t="s">
        <v>546</v>
      </c>
      <c r="F2" s="4" t="n">
        <f aca="false">COUNTIFS(Positions!$B$2:$B$6912,A2,Positions!$F$2:$F$6912,B2)</f>
        <v>9</v>
      </c>
      <c r="G2" s="4" t="n">
        <f aca="false">COUNTIFS(Positions!$B$2:$B$6912,A2,Positions!$F$2:$F$6912,B2,Positions!$E$2:$E$6912,"G")</f>
        <v>3</v>
      </c>
      <c r="H2" s="4" t="n">
        <f aca="false">COUNTIFS(Positions!$B$2:$B$6912,A2,Positions!$F$2:$F$6912,B2,Positions!$E$2:$E$6912,"C")</f>
        <v>2</v>
      </c>
      <c r="I2" s="3" t="n">
        <f aca="false">G2+H2</f>
        <v>5</v>
      </c>
      <c r="J2" s="6" t="n">
        <f aca="false">IF(F2=0,0,I2/F2)</f>
        <v>0.555555555555556</v>
      </c>
    </row>
    <row r="3" customFormat="false" ht="15" hidden="false" customHeight="false" outlineLevel="0" collapsed="false">
      <c r="A3" s="4" t="s">
        <v>37</v>
      </c>
      <c r="B3" s="4" t="s">
        <v>452</v>
      </c>
      <c r="C3" s="4" t="s">
        <v>547</v>
      </c>
      <c r="D3" s="4" t="s">
        <v>548</v>
      </c>
      <c r="E3" s="4" t="s">
        <v>549</v>
      </c>
      <c r="F3" s="4" t="n">
        <f aca="false">COUNTIFS(Positions!$B$2:$B$6912,A3,Positions!$F$2:$F$6912,B3)</f>
        <v>7</v>
      </c>
      <c r="G3" s="4" t="n">
        <f aca="false">COUNTIFS(Positions!$B$2:$B$6912,A3,Positions!$F$2:$F$6912,B3,Positions!$E$2:$E$6912,"G")</f>
        <v>0</v>
      </c>
      <c r="H3" s="4" t="n">
        <f aca="false">COUNTIFS(Positions!$B$2:$B$6912,A3,Positions!$F$2:$F$6912,B3,Positions!$E$2:$E$6912,"C")</f>
        <v>2</v>
      </c>
      <c r="I3" s="3" t="n">
        <f aca="false">G3+H3</f>
        <v>2</v>
      </c>
      <c r="J3" s="6" t="n">
        <f aca="false">IF(F3=0,0,I3/F3)</f>
        <v>0.285714285714286</v>
      </c>
    </row>
    <row r="4" customFormat="false" ht="15" hidden="false" customHeight="false" outlineLevel="0" collapsed="false">
      <c r="A4" s="4" t="s">
        <v>37</v>
      </c>
      <c r="B4" s="4" t="s">
        <v>465</v>
      </c>
      <c r="C4" s="4" t="s">
        <v>550</v>
      </c>
      <c r="D4" s="4" t="s">
        <v>551</v>
      </c>
      <c r="E4" s="4" t="s">
        <v>552</v>
      </c>
      <c r="F4" s="4" t="n">
        <f aca="false">COUNTIFS(Positions!$B$2:$B$6912,A4,Positions!$F$2:$F$6912,B4)</f>
        <v>5</v>
      </c>
      <c r="G4" s="4" t="n">
        <f aca="false">COUNTIFS(Positions!$B$2:$B$6912,A4,Positions!$F$2:$F$6912,B4,Positions!$E$2:$E$6912,"G")</f>
        <v>1</v>
      </c>
      <c r="H4" s="4" t="n">
        <f aca="false">COUNTIFS(Positions!$B$2:$B$6912,A4,Positions!$F$2:$F$6912,B4,Positions!$E$2:$E$6912,"C")</f>
        <v>1</v>
      </c>
      <c r="I4" s="3" t="n">
        <f aca="false">G4+H4</f>
        <v>2</v>
      </c>
      <c r="J4" s="6" t="n">
        <f aca="false">IF(F4=0,0,I4/F4)</f>
        <v>0.4</v>
      </c>
    </row>
    <row r="5" customFormat="false" ht="15" hidden="false" customHeight="false" outlineLevel="0" collapsed="false">
      <c r="A5" s="4" t="s">
        <v>37</v>
      </c>
      <c r="B5" s="4" t="s">
        <v>477</v>
      </c>
      <c r="C5" s="4" t="s">
        <v>553</v>
      </c>
      <c r="D5" s="4" t="s">
        <v>554</v>
      </c>
      <c r="E5" s="4" t="s">
        <v>555</v>
      </c>
      <c r="F5" s="4" t="n">
        <f aca="false">COUNTIFS(Positions!$B$2:$B$6912,A5,Positions!$F$2:$F$6912,B5)</f>
        <v>7</v>
      </c>
      <c r="G5" s="4" t="n">
        <f aca="false">COUNTIFS(Positions!$B$2:$B$6912,A5,Positions!$F$2:$F$6912,B5,Positions!$E$2:$E$6912,"G")</f>
        <v>3</v>
      </c>
      <c r="H5" s="4" t="n">
        <f aca="false">COUNTIFS(Positions!$B$2:$B$6912,A5,Positions!$F$2:$F$6912,B5,Positions!$E$2:$E$6912,"C")</f>
        <v>1</v>
      </c>
      <c r="I5" s="3" t="n">
        <f aca="false">G5+H5</f>
        <v>4</v>
      </c>
      <c r="J5" s="6" t="n">
        <f aca="false">IF(F5=0,0,I5/F5)</f>
        <v>0.571428571428571</v>
      </c>
    </row>
    <row r="6" customFormat="false" ht="15" hidden="false" customHeight="false" outlineLevel="0" collapsed="false">
      <c r="A6" s="7" t="s">
        <v>37</v>
      </c>
      <c r="B6" s="7" t="s">
        <v>556</v>
      </c>
      <c r="C6" s="7" t="s">
        <v>557</v>
      </c>
      <c r="D6" s="7" t="s">
        <v>558</v>
      </c>
      <c r="E6" s="7" t="s">
        <v>346</v>
      </c>
      <c r="F6" s="7" t="n">
        <f aca="false">COUNTIFS(Positions!$B$2:$B$6912,A6,Positions!$F$2:$F$6912,"Position 8")+COUNTIFS(Positions!$B$2:$B$6912,A6,Positions!$F$2:$F$6912,"Position 9")+COUNTIFS(Positions!$B$2:$B$6912,A6,Positions!$F$2:$F$6912,"Position 26")</f>
        <v>3</v>
      </c>
      <c r="G6" s="7" t="n">
        <f aca="false">COUNTIFS(Positions!$B$2:$B$6912,A6,Positions!$F$2:$F$6912,"Position 8",Positions!$E$2:$E$6912,"G")+COUNTIFS(Positions!$B$2:$B$6912,A6,Positions!$F$2:$F$6912,"Position 9",Positions!$E$2:$E$6912,"G")+COUNTIFS(Positions!$B$2:$B$6912,A6,Positions!$F$2:$F$6912,"Position 26",Positions!$E$2:$E$6912,"G")</f>
        <v>2</v>
      </c>
      <c r="H6" s="7" t="n">
        <f aca="false">COUNTIFS(Positions!$B$2:$B$6912,A6,Positions!$F$2:$F$6912,"Position 8",Positions!$E$2:$E$6912,"C")+COUNTIFS(Positions!$B$2:$B$6912,A6,Positions!$F$2:$F$6912,"Position 9",Positions!$E$2:$E$6912,"C")+COUNTIFS(Positions!$B$2:$B$6912,A6,Positions!$F$2:$F$6912,"Position 26",Positions!$E$2:$E$6912,"C")</f>
        <v>0</v>
      </c>
      <c r="I6" s="8" t="n">
        <f aca="false">G6+H6</f>
        <v>2</v>
      </c>
      <c r="J6" s="26" t="n">
        <f aca="false">IF(F6=0,0,I6/F6)</f>
        <v>0.666666666666667</v>
      </c>
    </row>
    <row r="7" customFormat="false" ht="15" hidden="false" customHeight="false" outlineLevel="0" collapsed="false">
      <c r="A7" s="4" t="s">
        <v>38</v>
      </c>
      <c r="B7" s="4" t="s">
        <v>430</v>
      </c>
      <c r="C7" s="4" t="s">
        <v>544</v>
      </c>
      <c r="D7" s="4" t="s">
        <v>545</v>
      </c>
      <c r="E7" s="4" t="s">
        <v>559</v>
      </c>
      <c r="F7" s="4" t="n">
        <f aca="false">COUNTIFS(Positions!$B$2:$B$6912,A7,Positions!$F$2:$F$6912,B7)</f>
        <v>9</v>
      </c>
      <c r="G7" s="4" t="n">
        <f aca="false">COUNTIFS(Positions!$B$2:$B$6912,A7,Positions!$F$2:$F$6912,B7,Positions!$E$2:$E$6912,"G")</f>
        <v>3</v>
      </c>
      <c r="H7" s="4" t="n">
        <f aca="false">COUNTIFS(Positions!$B$2:$B$6912,A7,Positions!$F$2:$F$6912,B7,Positions!$E$2:$E$6912,"C")</f>
        <v>1</v>
      </c>
      <c r="I7" s="3" t="n">
        <f aca="false">G7+H7</f>
        <v>4</v>
      </c>
      <c r="J7" s="6" t="n">
        <f aca="false">IF(F7=0,0,I7/F7)</f>
        <v>0.444444444444444</v>
      </c>
    </row>
    <row r="8" customFormat="false" ht="15" hidden="false" customHeight="false" outlineLevel="0" collapsed="false">
      <c r="A8" s="4" t="s">
        <v>38</v>
      </c>
      <c r="B8" s="4" t="s">
        <v>452</v>
      </c>
      <c r="C8" s="4" t="s">
        <v>547</v>
      </c>
      <c r="D8" s="4" t="s">
        <v>548</v>
      </c>
      <c r="E8" s="4" t="s">
        <v>560</v>
      </c>
      <c r="F8" s="4" t="n">
        <f aca="false">COUNTIFS(Positions!$B$2:$B$6912,A8,Positions!$F$2:$F$6912,B8)</f>
        <v>7</v>
      </c>
      <c r="G8" s="4" t="n">
        <f aca="false">COUNTIFS(Positions!$B$2:$B$6912,A8,Positions!$F$2:$F$6912,B8,Positions!$E$2:$E$6912,"G")</f>
        <v>3</v>
      </c>
      <c r="H8" s="4" t="n">
        <f aca="false">COUNTIFS(Positions!$B$2:$B$6912,A8,Positions!$F$2:$F$6912,B8,Positions!$E$2:$E$6912,"C")</f>
        <v>1</v>
      </c>
      <c r="I8" s="3" t="n">
        <f aca="false">G8+H8</f>
        <v>4</v>
      </c>
      <c r="J8" s="6" t="n">
        <f aca="false">IF(F8=0,0,I8/F8)</f>
        <v>0.571428571428571</v>
      </c>
    </row>
    <row r="9" customFormat="false" ht="15" hidden="false" customHeight="false" outlineLevel="0" collapsed="false">
      <c r="A9" s="4" t="s">
        <v>38</v>
      </c>
      <c r="B9" s="4" t="s">
        <v>465</v>
      </c>
      <c r="C9" s="4" t="s">
        <v>550</v>
      </c>
      <c r="D9" s="4" t="s">
        <v>561</v>
      </c>
      <c r="E9" s="4" t="s">
        <v>562</v>
      </c>
      <c r="F9" s="4" t="n">
        <f aca="false">COUNTIFS(Positions!$B$2:$B$6912,A9,Positions!$F$2:$F$6912,B9)</f>
        <v>4</v>
      </c>
      <c r="G9" s="4" t="n">
        <f aca="false">COUNTIFS(Positions!$B$2:$B$6912,A9,Positions!$F$2:$F$6912,B9,Positions!$E$2:$E$6912,"G")</f>
        <v>0</v>
      </c>
      <c r="H9" s="4" t="n">
        <f aca="false">COUNTIFS(Positions!$B$2:$B$6912,A9,Positions!$F$2:$F$6912,B9,Positions!$E$2:$E$6912,"C")</f>
        <v>1</v>
      </c>
      <c r="I9" s="3" t="n">
        <f aca="false">G9+H9</f>
        <v>1</v>
      </c>
      <c r="J9" s="6" t="n">
        <f aca="false">IF(F9=0,0,I9/F9)</f>
        <v>0.25</v>
      </c>
    </row>
    <row r="10" customFormat="false" ht="15" hidden="false" customHeight="false" outlineLevel="0" collapsed="false">
      <c r="A10" s="4" t="s">
        <v>38</v>
      </c>
      <c r="B10" s="4" t="s">
        <v>477</v>
      </c>
      <c r="C10" s="4" t="s">
        <v>553</v>
      </c>
      <c r="D10" s="4" t="s">
        <v>553</v>
      </c>
      <c r="E10" s="4" t="s">
        <v>563</v>
      </c>
      <c r="F10" s="4" t="n">
        <f aca="false">COUNTIFS(Positions!$B$2:$B$6912,A10,Positions!$F$2:$F$6912,B10)</f>
        <v>7</v>
      </c>
      <c r="G10" s="4" t="n">
        <f aca="false">COUNTIFS(Positions!$B$2:$B$6912,A10,Positions!$F$2:$F$6912,B10,Positions!$E$2:$E$6912,"G")</f>
        <v>1</v>
      </c>
      <c r="H10" s="4" t="n">
        <f aca="false">COUNTIFS(Positions!$B$2:$B$6912,A10,Positions!$F$2:$F$6912,B10,Positions!$E$2:$E$6912,"C")</f>
        <v>1</v>
      </c>
      <c r="I10" s="3" t="n">
        <f aca="false">G10+H10</f>
        <v>2</v>
      </c>
      <c r="J10" s="6" t="n">
        <f aca="false">IF(F10=0,0,I10/F10)</f>
        <v>0.285714285714286</v>
      </c>
    </row>
    <row r="11" customFormat="false" ht="15" hidden="false" customHeight="false" outlineLevel="0" collapsed="false">
      <c r="A11" s="7" t="s">
        <v>38</v>
      </c>
      <c r="B11" s="7" t="s">
        <v>556</v>
      </c>
      <c r="C11" s="7" t="s">
        <v>557</v>
      </c>
      <c r="D11" s="7" t="s">
        <v>558</v>
      </c>
      <c r="E11" s="7" t="s">
        <v>564</v>
      </c>
      <c r="F11" s="7" t="n">
        <f aca="false">COUNTIFS(Positions!$B$2:$B$6912,A11,Positions!$F$2:$F$6912,"Position 8")+COUNTIFS(Positions!$B$2:$B$6912,A11,Positions!$F$2:$F$6912,"Position 9")+COUNTIFS(Positions!$B$2:$B$6912,A11,Positions!$F$2:$F$6912,"Position 26")</f>
        <v>3</v>
      </c>
      <c r="G11" s="7" t="n">
        <f aca="false">COUNTIFS(Positions!$B$2:$B$6912,A11,Positions!$F$2:$F$6912,"Position 8",Positions!$E$2:$E$6912,"G")+COUNTIFS(Positions!$B$2:$B$6912,A11,Positions!$F$2:$F$6912,"Position 9",Positions!$E$2:$E$6912,"G")+COUNTIFS(Positions!$B$2:$B$6912,A11,Positions!$F$2:$F$6912,"Position 26",Positions!$E$2:$E$6912,"G")</f>
        <v>1</v>
      </c>
      <c r="H11" s="7" t="n">
        <f aca="false">COUNTIFS(Positions!$B$2:$B$6912,A11,Positions!$F$2:$F$6912,"Position 8",Positions!$E$2:$E$6912,"C")+COUNTIFS(Positions!$B$2:$B$6912,A11,Positions!$F$2:$F$6912,"Position 9",Positions!$E$2:$E$6912,"C")+COUNTIFS(Positions!$B$2:$B$6912,A11,Positions!$F$2:$F$6912,"Position 26",Positions!$E$2:$E$6912,"C")</f>
        <v>0</v>
      </c>
      <c r="I11" s="8" t="n">
        <f aca="false">G11+H11</f>
        <v>1</v>
      </c>
      <c r="J11" s="26" t="n">
        <f aca="false">IF(F11=0,0,I11/F11)</f>
        <v>0.333333333333333</v>
      </c>
    </row>
    <row r="12" customFormat="false" ht="15" hidden="false" customHeight="false" outlineLevel="0" collapsed="false">
      <c r="A12" s="4" t="s">
        <v>39</v>
      </c>
      <c r="B12" s="4" t="s">
        <v>430</v>
      </c>
      <c r="C12" s="4" t="s">
        <v>544</v>
      </c>
      <c r="D12" s="4" t="s">
        <v>565</v>
      </c>
      <c r="E12" s="4" t="s">
        <v>566</v>
      </c>
      <c r="F12" s="4" t="n">
        <f aca="false">COUNTIFS(Positions!$B$2:$B$6912,A12,Positions!$F$2:$F$6912,B12)</f>
        <v>10</v>
      </c>
      <c r="G12" s="4" t="n">
        <f aca="false">COUNTIFS(Positions!$B$2:$B$6912,A12,Positions!$F$2:$F$6912,B12,Positions!$E$2:$E$6912,"G")</f>
        <v>4</v>
      </c>
      <c r="H12" s="4" t="n">
        <f aca="false">COUNTIFS(Positions!$B$2:$B$6912,A12,Positions!$F$2:$F$6912,B12,Positions!$E$2:$E$6912,"C")</f>
        <v>2</v>
      </c>
      <c r="I12" s="3" t="n">
        <f aca="false">G12+H12</f>
        <v>6</v>
      </c>
      <c r="J12" s="6" t="n">
        <f aca="false">IF(F12=0,0,I12/F12)</f>
        <v>0.6</v>
      </c>
    </row>
    <row r="13" customFormat="false" ht="15" hidden="false" customHeight="false" outlineLevel="0" collapsed="false">
      <c r="A13" s="4" t="s">
        <v>39</v>
      </c>
      <c r="B13" s="4" t="s">
        <v>452</v>
      </c>
      <c r="C13" s="4" t="s">
        <v>547</v>
      </c>
      <c r="D13" s="4" t="s">
        <v>567</v>
      </c>
      <c r="E13" s="4" t="s">
        <v>549</v>
      </c>
      <c r="F13" s="4" t="n">
        <f aca="false">COUNTIFS(Positions!$B$2:$B$6912,A13,Positions!$F$2:$F$6912,B13)</f>
        <v>7</v>
      </c>
      <c r="G13" s="4" t="n">
        <f aca="false">COUNTIFS(Positions!$B$2:$B$6912,A13,Positions!$F$2:$F$6912,B13,Positions!$E$2:$E$6912,"G")</f>
        <v>0</v>
      </c>
      <c r="H13" s="4" t="n">
        <f aca="false">COUNTIFS(Positions!$B$2:$B$6912,A13,Positions!$F$2:$F$6912,B13,Positions!$E$2:$E$6912,"C")</f>
        <v>2</v>
      </c>
      <c r="I13" s="3" t="n">
        <f aca="false">G13+H13</f>
        <v>2</v>
      </c>
      <c r="J13" s="6" t="n">
        <f aca="false">IF(F13=0,0,I13/F13)</f>
        <v>0.285714285714286</v>
      </c>
    </row>
    <row r="14" customFormat="false" ht="15" hidden="false" customHeight="false" outlineLevel="0" collapsed="false">
      <c r="A14" s="4" t="s">
        <v>39</v>
      </c>
      <c r="B14" s="4" t="s">
        <v>465</v>
      </c>
      <c r="C14" s="4" t="s">
        <v>550</v>
      </c>
      <c r="D14" s="4" t="s">
        <v>568</v>
      </c>
      <c r="E14" s="4" t="s">
        <v>552</v>
      </c>
      <c r="F14" s="4" t="n">
        <f aca="false">COUNTIFS(Positions!$B$2:$B$6912,A14,Positions!$F$2:$F$6912,B14)</f>
        <v>5</v>
      </c>
      <c r="G14" s="4" t="n">
        <f aca="false">COUNTIFS(Positions!$B$2:$B$6912,A14,Positions!$F$2:$F$6912,B14,Positions!$E$2:$E$6912,"G")</f>
        <v>1</v>
      </c>
      <c r="H14" s="4" t="n">
        <f aca="false">COUNTIFS(Positions!$B$2:$B$6912,A14,Positions!$F$2:$F$6912,B14,Positions!$E$2:$E$6912,"C")</f>
        <v>1</v>
      </c>
      <c r="I14" s="3" t="n">
        <f aca="false">G14+H14</f>
        <v>2</v>
      </c>
      <c r="J14" s="6" t="n">
        <f aca="false">IF(F14=0,0,I14/F14)</f>
        <v>0.4</v>
      </c>
    </row>
    <row r="15" customFormat="false" ht="15" hidden="false" customHeight="false" outlineLevel="0" collapsed="false">
      <c r="A15" s="4" t="s">
        <v>39</v>
      </c>
      <c r="B15" s="4" t="s">
        <v>477</v>
      </c>
      <c r="C15" s="4" t="s">
        <v>553</v>
      </c>
      <c r="D15" s="4" t="s">
        <v>569</v>
      </c>
      <c r="E15" s="4" t="s">
        <v>570</v>
      </c>
      <c r="F15" s="4" t="n">
        <f aca="false">COUNTIFS(Positions!$B$2:$B$6912,A15,Positions!$F$2:$F$6912,B15)</f>
        <v>7</v>
      </c>
      <c r="G15" s="4" t="n">
        <f aca="false">COUNTIFS(Positions!$B$2:$B$6912,A15,Positions!$F$2:$F$6912,B15,Positions!$E$2:$E$6912,"G")</f>
        <v>0</v>
      </c>
      <c r="H15" s="4" t="n">
        <f aca="false">COUNTIFS(Positions!$B$2:$B$6912,A15,Positions!$F$2:$F$6912,B15,Positions!$E$2:$E$6912,"C")</f>
        <v>1</v>
      </c>
      <c r="I15" s="3" t="n">
        <f aca="false">G15+H15</f>
        <v>1</v>
      </c>
      <c r="J15" s="6" t="n">
        <f aca="false">IF(F15=0,0,I15/F15)</f>
        <v>0.142857142857143</v>
      </c>
    </row>
    <row r="16" customFormat="false" ht="15" hidden="false" customHeight="false" outlineLevel="0" collapsed="false">
      <c r="A16" s="7" t="s">
        <v>39</v>
      </c>
      <c r="B16" s="7" t="s">
        <v>556</v>
      </c>
      <c r="C16" s="7" t="s">
        <v>557</v>
      </c>
      <c r="D16" s="7" t="s">
        <v>571</v>
      </c>
      <c r="E16" s="7" t="s">
        <v>346</v>
      </c>
      <c r="F16" s="7" t="n">
        <f aca="false">COUNTIFS(Positions!$B$2:$B$6912,A16,Positions!$F$2:$F$6912,"Position 8")+COUNTIFS(Positions!$B$2:$B$6912,A16,Positions!$F$2:$F$6912,"Position 9")+COUNTIFS(Positions!$B$2:$B$6912,A16,Positions!$F$2:$F$6912,"Position 26")</f>
        <v>3</v>
      </c>
      <c r="G16" s="7" t="n">
        <f aca="false">COUNTIFS(Positions!$B$2:$B$6912,A16,Positions!$F$2:$F$6912,"Position 8",Positions!$E$2:$E$6912,"G")+COUNTIFS(Positions!$B$2:$B$6912,A16,Positions!$F$2:$F$6912,"Position 9",Positions!$E$2:$E$6912,"G")+COUNTIFS(Positions!$B$2:$B$6912,A16,Positions!$F$2:$F$6912,"Position 26",Positions!$E$2:$E$6912,"G")</f>
        <v>2</v>
      </c>
      <c r="H16" s="7" t="n">
        <f aca="false">COUNTIFS(Positions!$B$2:$B$6912,A16,Positions!$F$2:$F$6912,"Position 8",Positions!$E$2:$E$6912,"C")+COUNTIFS(Positions!$B$2:$B$6912,A16,Positions!$F$2:$F$6912,"Position 9",Positions!$E$2:$E$6912,"C")+COUNTIFS(Positions!$B$2:$B$6912,A16,Positions!$F$2:$F$6912,"Position 26",Positions!$E$2:$E$6912,"C")</f>
        <v>0</v>
      </c>
      <c r="I16" s="8" t="n">
        <f aca="false">G16+H16</f>
        <v>2</v>
      </c>
      <c r="J16" s="26" t="n">
        <f aca="false">IF(F16=0,0,I16/F16)</f>
        <v>0.666666666666667</v>
      </c>
    </row>
    <row r="17" customFormat="false" ht="15" hidden="false" customHeight="false" outlineLevel="0" collapsed="false">
      <c r="A17" s="4" t="s">
        <v>40</v>
      </c>
      <c r="B17" s="4" t="s">
        <v>430</v>
      </c>
      <c r="C17" s="4" t="s">
        <v>544</v>
      </c>
      <c r="D17" s="4" t="s">
        <v>572</v>
      </c>
      <c r="E17" s="4" t="s">
        <v>573</v>
      </c>
      <c r="F17" s="4" t="n">
        <f aca="false">COUNTIFS(Positions!$B$2:$B$6912,A17,Positions!$F$2:$F$6912,B17)</f>
        <v>7</v>
      </c>
      <c r="G17" s="4" t="n">
        <f aca="false">COUNTIFS(Positions!$B$2:$B$6912,A17,Positions!$F$2:$F$6912,B17,Positions!$E$2:$E$6912,"G")</f>
        <v>3</v>
      </c>
      <c r="H17" s="4" t="n">
        <f aca="false">COUNTIFS(Positions!$B$2:$B$6912,A17,Positions!$F$2:$F$6912,B17,Positions!$E$2:$E$6912,"C")</f>
        <v>1</v>
      </c>
      <c r="I17" s="3" t="n">
        <f aca="false">G17+H17</f>
        <v>4</v>
      </c>
      <c r="J17" s="6" t="n">
        <f aca="false">IF(F17=0,0,I17/F17)</f>
        <v>0.571428571428571</v>
      </c>
    </row>
    <row r="18" customFormat="false" ht="15" hidden="false" customHeight="false" outlineLevel="0" collapsed="false">
      <c r="A18" s="4" t="s">
        <v>40</v>
      </c>
      <c r="B18" s="4" t="s">
        <v>452</v>
      </c>
      <c r="C18" s="4" t="s">
        <v>547</v>
      </c>
      <c r="D18" s="4" t="s">
        <v>574</v>
      </c>
      <c r="E18" s="4" t="s">
        <v>575</v>
      </c>
      <c r="F18" s="4" t="n">
        <f aca="false">COUNTIFS(Positions!$B$2:$B$6912,A18,Positions!$F$2:$F$6912,B18)</f>
        <v>7</v>
      </c>
      <c r="G18" s="4" t="n">
        <f aca="false">COUNTIFS(Positions!$B$2:$B$6912,A18,Positions!$F$2:$F$6912,B18,Positions!$E$2:$E$6912,"G")</f>
        <v>1</v>
      </c>
      <c r="H18" s="4" t="n">
        <f aca="false">COUNTIFS(Positions!$B$2:$B$6912,A18,Positions!$F$2:$F$6912,B18,Positions!$E$2:$E$6912,"C")</f>
        <v>2</v>
      </c>
      <c r="I18" s="3" t="n">
        <f aca="false">G18+H18</f>
        <v>3</v>
      </c>
      <c r="J18" s="6" t="n">
        <f aca="false">IF(F18=0,0,I18/F18)</f>
        <v>0.428571428571429</v>
      </c>
    </row>
    <row r="19" customFormat="false" ht="15" hidden="false" customHeight="false" outlineLevel="0" collapsed="false">
      <c r="A19" s="4" t="s">
        <v>40</v>
      </c>
      <c r="B19" s="4" t="s">
        <v>465</v>
      </c>
      <c r="C19" s="4" t="s">
        <v>550</v>
      </c>
      <c r="D19" s="4" t="s">
        <v>576</v>
      </c>
      <c r="E19" s="4" t="s">
        <v>577</v>
      </c>
      <c r="F19" s="4" t="n">
        <f aca="false">COUNTIFS(Positions!$B$2:$B$6912,A19,Positions!$F$2:$F$6912,B19)</f>
        <v>5</v>
      </c>
      <c r="G19" s="4" t="n">
        <f aca="false">COUNTIFS(Positions!$B$2:$B$6912,A19,Positions!$F$2:$F$6912,B19,Positions!$E$2:$E$6912,"G")</f>
        <v>2</v>
      </c>
      <c r="H19" s="4" t="n">
        <f aca="false">COUNTIFS(Positions!$B$2:$B$6912,A19,Positions!$F$2:$F$6912,B19,Positions!$E$2:$E$6912,"C")</f>
        <v>2</v>
      </c>
      <c r="I19" s="3" t="n">
        <f aca="false">G19+H19</f>
        <v>4</v>
      </c>
      <c r="J19" s="6" t="n">
        <f aca="false">IF(F19=0,0,I19/F19)</f>
        <v>0.8</v>
      </c>
    </row>
    <row r="20" customFormat="false" ht="15" hidden="false" customHeight="false" outlineLevel="0" collapsed="false">
      <c r="A20" s="4" t="s">
        <v>40</v>
      </c>
      <c r="B20" s="4" t="s">
        <v>477</v>
      </c>
      <c r="C20" s="4" t="s">
        <v>553</v>
      </c>
      <c r="D20" s="4" t="s">
        <v>578</v>
      </c>
      <c r="E20" s="4" t="s">
        <v>570</v>
      </c>
      <c r="F20" s="4" t="n">
        <f aca="false">COUNTIFS(Positions!$B$2:$B$6912,A20,Positions!$F$2:$F$6912,B20)</f>
        <v>7</v>
      </c>
      <c r="G20" s="4" t="n">
        <f aca="false">COUNTIFS(Positions!$B$2:$B$6912,A20,Positions!$F$2:$F$6912,B20,Positions!$E$2:$E$6912,"G")</f>
        <v>0</v>
      </c>
      <c r="H20" s="4" t="n">
        <f aca="false">COUNTIFS(Positions!$B$2:$B$6912,A20,Positions!$F$2:$F$6912,B20,Positions!$E$2:$E$6912,"C")</f>
        <v>1</v>
      </c>
      <c r="I20" s="3" t="n">
        <f aca="false">G20+H20</f>
        <v>1</v>
      </c>
      <c r="J20" s="6" t="n">
        <f aca="false">IF(F20=0,0,I20/F20)</f>
        <v>0.142857142857143</v>
      </c>
    </row>
    <row r="21" customFormat="false" ht="15" hidden="false" customHeight="false" outlineLevel="0" collapsed="false">
      <c r="A21" s="7" t="s">
        <v>40</v>
      </c>
      <c r="B21" s="7" t="s">
        <v>556</v>
      </c>
      <c r="C21" s="7" t="s">
        <v>557</v>
      </c>
      <c r="D21" s="7" t="s">
        <v>579</v>
      </c>
      <c r="E21" s="7" t="s">
        <v>580</v>
      </c>
      <c r="F21" s="7" t="n">
        <f aca="false">COUNTIFS(Positions!$B$2:$B$6912,A21,Positions!$F$2:$F$6912,"Position 8")+COUNTIFS(Positions!$B$2:$B$6912,A21,Positions!$F$2:$F$6912,"Position 9")+COUNTIFS(Positions!$B$2:$B$6912,A21,Positions!$F$2:$F$6912,"Position 26")</f>
        <v>3</v>
      </c>
      <c r="G21" s="7" t="n">
        <f aca="false">COUNTIFS(Positions!$B$2:$B$6912,A21,Positions!$F$2:$F$6912,"Position 8",Positions!$E$2:$E$6912,"G")+COUNTIFS(Positions!$B$2:$B$6912,A21,Positions!$F$2:$F$6912,"Position 9",Positions!$E$2:$E$6912,"G")+COUNTIFS(Positions!$B$2:$B$6912,A21,Positions!$F$2:$F$6912,"Position 26",Positions!$E$2:$E$6912,"G")</f>
        <v>1</v>
      </c>
      <c r="H21" s="7" t="n">
        <f aca="false">COUNTIFS(Positions!$B$2:$B$6912,A21,Positions!$F$2:$F$6912,"Position 8",Positions!$E$2:$E$6912,"C")+COUNTIFS(Positions!$B$2:$B$6912,A21,Positions!$F$2:$F$6912,"Position 9",Positions!$E$2:$E$6912,"C")+COUNTIFS(Positions!$B$2:$B$6912,A21,Positions!$F$2:$F$6912,"Position 26",Positions!$E$2:$E$6912,"C")</f>
        <v>0</v>
      </c>
      <c r="I21" s="8" t="n">
        <f aca="false">G21+H21</f>
        <v>1</v>
      </c>
      <c r="J21" s="26" t="n">
        <f aca="false">IF(F21=0,0,I21/F21)</f>
        <v>0.333333333333333</v>
      </c>
    </row>
    <row r="22" customFormat="false" ht="15" hidden="false" customHeight="false" outlineLevel="0" collapsed="false">
      <c r="A22" s="4" t="s">
        <v>41</v>
      </c>
      <c r="B22" s="4" t="s">
        <v>430</v>
      </c>
      <c r="C22" s="4" t="s">
        <v>544</v>
      </c>
      <c r="D22" s="4" t="s">
        <v>565</v>
      </c>
      <c r="E22" s="4" t="s">
        <v>581</v>
      </c>
      <c r="F22" s="4" t="n">
        <f aca="false">COUNTIFS(Positions!$B$2:$B$6912,A22,Positions!$F$2:$F$6912,B22)</f>
        <v>10</v>
      </c>
      <c r="G22" s="4" t="n">
        <f aca="false">COUNTIFS(Positions!$B$2:$B$6912,A22,Positions!$F$2:$F$6912,B22,Positions!$E$2:$E$6912,"G")</f>
        <v>4</v>
      </c>
      <c r="H22" s="4" t="n">
        <f aca="false">COUNTIFS(Positions!$B$2:$B$6912,A22,Positions!$F$2:$F$6912,B22,Positions!$E$2:$E$6912,"C")</f>
        <v>1</v>
      </c>
      <c r="I22" s="3" t="n">
        <f aca="false">G22+H22</f>
        <v>5</v>
      </c>
      <c r="J22" s="6" t="n">
        <f aca="false">IF(F22=0,0,I22/F22)</f>
        <v>0.5</v>
      </c>
    </row>
    <row r="23" customFormat="false" ht="15" hidden="false" customHeight="false" outlineLevel="0" collapsed="false">
      <c r="A23" s="4" t="s">
        <v>41</v>
      </c>
      <c r="B23" s="4" t="s">
        <v>452</v>
      </c>
      <c r="C23" s="4" t="s">
        <v>547</v>
      </c>
      <c r="D23" s="4" t="s">
        <v>567</v>
      </c>
      <c r="E23" s="4" t="s">
        <v>549</v>
      </c>
      <c r="F23" s="4" t="n">
        <f aca="false">COUNTIFS(Positions!$B$2:$B$6912,A23,Positions!$F$2:$F$6912,B23)</f>
        <v>7</v>
      </c>
      <c r="G23" s="4" t="n">
        <f aca="false">COUNTIFS(Positions!$B$2:$B$6912,A23,Positions!$F$2:$F$6912,B23,Positions!$E$2:$E$6912,"G")</f>
        <v>0</v>
      </c>
      <c r="H23" s="4" t="n">
        <f aca="false">COUNTIFS(Positions!$B$2:$B$6912,A23,Positions!$F$2:$F$6912,B23,Positions!$E$2:$E$6912,"C")</f>
        <v>2</v>
      </c>
      <c r="I23" s="3" t="n">
        <f aca="false">G23+H23</f>
        <v>2</v>
      </c>
      <c r="J23" s="6" t="n">
        <f aca="false">IF(F23=0,0,I23/F23)</f>
        <v>0.285714285714286</v>
      </c>
    </row>
    <row r="24" customFormat="false" ht="15" hidden="false" customHeight="false" outlineLevel="0" collapsed="false">
      <c r="A24" s="4" t="s">
        <v>41</v>
      </c>
      <c r="B24" s="4" t="s">
        <v>465</v>
      </c>
      <c r="C24" s="4" t="s">
        <v>550</v>
      </c>
      <c r="D24" s="4" t="s">
        <v>568</v>
      </c>
      <c r="E24" s="4" t="s">
        <v>552</v>
      </c>
      <c r="F24" s="4" t="n">
        <f aca="false">COUNTIFS(Positions!$B$2:$B$6912,A24,Positions!$F$2:$F$6912,B24)</f>
        <v>5</v>
      </c>
      <c r="G24" s="4" t="n">
        <f aca="false">COUNTIFS(Positions!$B$2:$B$6912,A24,Positions!$F$2:$F$6912,B24,Positions!$E$2:$E$6912,"G")</f>
        <v>1</v>
      </c>
      <c r="H24" s="4" t="n">
        <f aca="false">COUNTIFS(Positions!$B$2:$B$6912,A24,Positions!$F$2:$F$6912,B24,Positions!$E$2:$E$6912,"C")</f>
        <v>1</v>
      </c>
      <c r="I24" s="3" t="n">
        <f aca="false">G24+H24</f>
        <v>2</v>
      </c>
      <c r="J24" s="6" t="n">
        <f aca="false">IF(F24=0,0,I24/F24)</f>
        <v>0.4</v>
      </c>
    </row>
    <row r="25" customFormat="false" ht="15" hidden="false" customHeight="false" outlineLevel="0" collapsed="false">
      <c r="A25" s="4" t="s">
        <v>41</v>
      </c>
      <c r="B25" s="4" t="s">
        <v>477</v>
      </c>
      <c r="C25" s="4" t="s">
        <v>553</v>
      </c>
      <c r="D25" s="4" t="s">
        <v>569</v>
      </c>
      <c r="E25" s="4" t="s">
        <v>570</v>
      </c>
      <c r="F25" s="4" t="n">
        <f aca="false">COUNTIFS(Positions!$B$2:$B$6912,A25,Positions!$F$2:$F$6912,B25)</f>
        <v>7</v>
      </c>
      <c r="G25" s="4" t="n">
        <f aca="false">COUNTIFS(Positions!$B$2:$B$6912,A25,Positions!$F$2:$F$6912,B25,Positions!$E$2:$E$6912,"G")</f>
        <v>0</v>
      </c>
      <c r="H25" s="4" t="n">
        <f aca="false">COUNTIFS(Positions!$B$2:$B$6912,A25,Positions!$F$2:$F$6912,B25,Positions!$E$2:$E$6912,"C")</f>
        <v>1</v>
      </c>
      <c r="I25" s="3" t="n">
        <f aca="false">G25+H25</f>
        <v>1</v>
      </c>
      <c r="J25" s="6" t="n">
        <f aca="false">IF(F25=0,0,I25/F25)</f>
        <v>0.142857142857143</v>
      </c>
    </row>
    <row r="26" customFormat="false" ht="15" hidden="false" customHeight="false" outlineLevel="0" collapsed="false">
      <c r="A26" s="7" t="s">
        <v>41</v>
      </c>
      <c r="B26" s="7" t="s">
        <v>556</v>
      </c>
      <c r="C26" s="7" t="s">
        <v>557</v>
      </c>
      <c r="D26" s="7" t="s">
        <v>571</v>
      </c>
      <c r="E26" s="7" t="s">
        <v>346</v>
      </c>
      <c r="F26" s="7" t="n">
        <f aca="false">COUNTIFS(Positions!$B$2:$B$6912,A26,Positions!$F$2:$F$6912,"Position 8")+COUNTIFS(Positions!$B$2:$B$6912,A26,Positions!$F$2:$F$6912,"Position 9")+COUNTIFS(Positions!$B$2:$B$6912,A26,Positions!$F$2:$F$6912,"Position 26")</f>
        <v>3</v>
      </c>
      <c r="G26" s="7" t="n">
        <f aca="false">COUNTIFS(Positions!$B$2:$B$6912,A26,Positions!$F$2:$F$6912,"Position 8",Positions!$E$2:$E$6912,"G")+COUNTIFS(Positions!$B$2:$B$6912,A26,Positions!$F$2:$F$6912,"Position 9",Positions!$E$2:$E$6912,"G")+COUNTIFS(Positions!$B$2:$B$6912,A26,Positions!$F$2:$F$6912,"Position 26",Positions!$E$2:$E$6912,"G")</f>
        <v>2</v>
      </c>
      <c r="H26" s="7" t="n">
        <f aca="false">COUNTIFS(Positions!$B$2:$B$6912,A26,Positions!$F$2:$F$6912,"Position 8",Positions!$E$2:$E$6912,"C")+COUNTIFS(Positions!$B$2:$B$6912,A26,Positions!$F$2:$F$6912,"Position 9",Positions!$E$2:$E$6912,"C")+COUNTIFS(Positions!$B$2:$B$6912,A26,Positions!$F$2:$F$6912,"Position 26",Positions!$E$2:$E$6912,"C")</f>
        <v>0</v>
      </c>
      <c r="I26" s="8" t="n">
        <f aca="false">G26+H26</f>
        <v>2</v>
      </c>
      <c r="J26" s="26" t="n">
        <f aca="false">IF(F26=0,0,I26/F26)</f>
        <v>0.666666666666667</v>
      </c>
    </row>
    <row r="27" customFormat="false" ht="15" hidden="false" customHeight="false" outlineLevel="0" collapsed="false">
      <c r="A27" s="4" t="s">
        <v>42</v>
      </c>
      <c r="B27" s="4" t="s">
        <v>430</v>
      </c>
      <c r="C27" s="4" t="s">
        <v>544</v>
      </c>
      <c r="D27" s="4" t="s">
        <v>565</v>
      </c>
      <c r="E27" s="4" t="s">
        <v>582</v>
      </c>
      <c r="F27" s="4" t="n">
        <f aca="false">COUNTIFS(Positions!$B$2:$B$6912,A27,Positions!$F$2:$F$6912,B27)</f>
        <v>10</v>
      </c>
      <c r="G27" s="4" t="n">
        <f aca="false">COUNTIFS(Positions!$B$2:$B$6912,A27,Positions!$F$2:$F$6912,B27,Positions!$E$2:$E$6912,"G")</f>
        <v>3</v>
      </c>
      <c r="H27" s="4" t="n">
        <f aca="false">COUNTIFS(Positions!$B$2:$B$6912,A27,Positions!$F$2:$F$6912,B27,Positions!$E$2:$E$6912,"C")</f>
        <v>3</v>
      </c>
      <c r="I27" s="3" t="n">
        <f aca="false">G27+H27</f>
        <v>6</v>
      </c>
      <c r="J27" s="6" t="n">
        <f aca="false">IF(F27=0,0,I27/F27)</f>
        <v>0.6</v>
      </c>
    </row>
    <row r="28" customFormat="false" ht="15" hidden="false" customHeight="false" outlineLevel="0" collapsed="false">
      <c r="A28" s="4" t="s">
        <v>42</v>
      </c>
      <c r="B28" s="4" t="s">
        <v>452</v>
      </c>
      <c r="C28" s="4" t="s">
        <v>547</v>
      </c>
      <c r="D28" s="4" t="s">
        <v>567</v>
      </c>
      <c r="E28" s="4" t="s">
        <v>583</v>
      </c>
      <c r="F28" s="4" t="n">
        <f aca="false">COUNTIFS(Positions!$B$2:$B$6912,A28,Positions!$F$2:$F$6912,B28)</f>
        <v>7</v>
      </c>
      <c r="G28" s="4" t="n">
        <f aca="false">COUNTIFS(Positions!$B$2:$B$6912,A28,Positions!$F$2:$F$6912,B28,Positions!$E$2:$E$6912,"G")</f>
        <v>2</v>
      </c>
      <c r="H28" s="4" t="n">
        <f aca="false">COUNTIFS(Positions!$B$2:$B$6912,A28,Positions!$F$2:$F$6912,B28,Positions!$E$2:$E$6912,"C")</f>
        <v>1</v>
      </c>
      <c r="I28" s="3" t="n">
        <f aca="false">G28+H28</f>
        <v>3</v>
      </c>
      <c r="J28" s="6" t="n">
        <f aca="false">IF(F28=0,0,I28/F28)</f>
        <v>0.428571428571429</v>
      </c>
    </row>
    <row r="29" customFormat="false" ht="15" hidden="false" customHeight="false" outlineLevel="0" collapsed="false">
      <c r="A29" s="4" t="s">
        <v>42</v>
      </c>
      <c r="B29" s="4" t="s">
        <v>465</v>
      </c>
      <c r="C29" s="4" t="s">
        <v>550</v>
      </c>
      <c r="D29" s="4" t="s">
        <v>584</v>
      </c>
      <c r="E29" s="4" t="s">
        <v>585</v>
      </c>
      <c r="F29" s="4" t="n">
        <f aca="false">COUNTIFS(Positions!$B$2:$B$6912,A29,Positions!$F$2:$F$6912,B29)</f>
        <v>15</v>
      </c>
      <c r="G29" s="4" t="n">
        <f aca="false">COUNTIFS(Positions!$B$2:$B$6912,A29,Positions!$F$2:$F$6912,B29,Positions!$E$2:$E$6912,"G")</f>
        <v>3</v>
      </c>
      <c r="H29" s="4" t="n">
        <f aca="false">COUNTIFS(Positions!$B$2:$B$6912,A29,Positions!$F$2:$F$6912,B29,Positions!$E$2:$E$6912,"C")</f>
        <v>6</v>
      </c>
      <c r="I29" s="3" t="n">
        <f aca="false">G29+H29</f>
        <v>9</v>
      </c>
      <c r="J29" s="6" t="n">
        <f aca="false">IF(F29=0,0,I29/F29)</f>
        <v>0.6</v>
      </c>
    </row>
    <row r="30" customFormat="false" ht="15" hidden="false" customHeight="false" outlineLevel="0" collapsed="false">
      <c r="A30" s="4" t="s">
        <v>42</v>
      </c>
      <c r="B30" s="4" t="s">
        <v>477</v>
      </c>
      <c r="C30" s="4" t="s">
        <v>553</v>
      </c>
      <c r="D30" s="4" t="s">
        <v>586</v>
      </c>
      <c r="E30" s="4" t="s">
        <v>570</v>
      </c>
      <c r="F30" s="4" t="n">
        <f aca="false">COUNTIFS(Positions!$B$2:$B$6912,A30,Positions!$F$2:$F$6912,B30)</f>
        <v>7</v>
      </c>
      <c r="G30" s="4" t="n">
        <f aca="false">COUNTIFS(Positions!$B$2:$B$6912,A30,Positions!$F$2:$F$6912,B30,Positions!$E$2:$E$6912,"G")</f>
        <v>0</v>
      </c>
      <c r="H30" s="4" t="n">
        <f aca="false">COUNTIFS(Positions!$B$2:$B$6912,A30,Positions!$F$2:$F$6912,B30,Positions!$E$2:$E$6912,"C")</f>
        <v>1</v>
      </c>
      <c r="I30" s="3" t="n">
        <f aca="false">G30+H30</f>
        <v>1</v>
      </c>
      <c r="J30" s="6" t="n">
        <f aca="false">IF(F30=0,0,I30/F30)</f>
        <v>0.142857142857143</v>
      </c>
    </row>
    <row r="31" customFormat="false" ht="15" hidden="false" customHeight="false" outlineLevel="0" collapsed="false">
      <c r="A31" s="7" t="s">
        <v>42</v>
      </c>
      <c r="B31" s="7" t="s">
        <v>556</v>
      </c>
      <c r="C31" s="7" t="s">
        <v>557</v>
      </c>
      <c r="D31" s="7" t="s">
        <v>571</v>
      </c>
      <c r="E31" s="7" t="s">
        <v>580</v>
      </c>
      <c r="F31" s="7" t="n">
        <f aca="false">COUNTIFS(Positions!$B$2:$B$6912,A31,Positions!$F$2:$F$6912,"Position 8")+COUNTIFS(Positions!$B$2:$B$6912,A31,Positions!$F$2:$F$6912,"Position 9")+COUNTIFS(Positions!$B$2:$B$6912,A31,Positions!$F$2:$F$6912,"Position 26")</f>
        <v>3</v>
      </c>
      <c r="G31" s="7" t="n">
        <f aca="false">COUNTIFS(Positions!$B$2:$B$6912,A31,Positions!$F$2:$F$6912,"Position 8",Positions!$E$2:$E$6912,"G")+COUNTIFS(Positions!$B$2:$B$6912,A31,Positions!$F$2:$F$6912,"Position 9",Positions!$E$2:$E$6912,"G")+COUNTIFS(Positions!$B$2:$B$6912,A31,Positions!$F$2:$F$6912,"Position 26",Positions!$E$2:$E$6912,"G")</f>
        <v>1</v>
      </c>
      <c r="H31" s="7" t="n">
        <f aca="false">COUNTIFS(Positions!$B$2:$B$6912,A31,Positions!$F$2:$F$6912,"Position 8",Positions!$E$2:$E$6912,"C")+COUNTIFS(Positions!$B$2:$B$6912,A31,Positions!$F$2:$F$6912,"Position 9",Positions!$E$2:$E$6912,"C")+COUNTIFS(Positions!$B$2:$B$6912,A31,Positions!$F$2:$F$6912,"Position 26",Positions!$E$2:$E$6912,"C")</f>
        <v>0</v>
      </c>
      <c r="I31" s="8" t="n">
        <f aca="false">G31+H31</f>
        <v>1</v>
      </c>
      <c r="J31" s="26" t="n">
        <f aca="false">IF(F31=0,0,I31/F31)</f>
        <v>0.333333333333333</v>
      </c>
    </row>
    <row r="32" customFormat="false" ht="15" hidden="false" customHeight="false" outlineLevel="0" collapsed="false">
      <c r="A32" s="4" t="s">
        <v>43</v>
      </c>
      <c r="B32" s="4" t="s">
        <v>430</v>
      </c>
      <c r="C32" s="4" t="s">
        <v>544</v>
      </c>
      <c r="D32" s="4" t="s">
        <v>572</v>
      </c>
      <c r="E32" s="4" t="s">
        <v>573</v>
      </c>
      <c r="F32" s="4" t="n">
        <f aca="false">COUNTIFS(Positions!$B$2:$B$6912,A32,Positions!$F$2:$F$6912,B32)</f>
        <v>7</v>
      </c>
      <c r="G32" s="4" t="n">
        <f aca="false">COUNTIFS(Positions!$B$2:$B$6912,A32,Positions!$F$2:$F$6912,B32,Positions!$E$2:$E$6912,"G")</f>
        <v>3</v>
      </c>
      <c r="H32" s="4" t="n">
        <f aca="false">COUNTIFS(Positions!$B$2:$B$6912,A32,Positions!$F$2:$F$6912,B32,Positions!$E$2:$E$6912,"C")</f>
        <v>1</v>
      </c>
      <c r="I32" s="3" t="n">
        <f aca="false">G32+H32</f>
        <v>4</v>
      </c>
      <c r="J32" s="6" t="n">
        <f aca="false">IF(F32=0,0,I32/F32)</f>
        <v>0.571428571428571</v>
      </c>
    </row>
    <row r="33" customFormat="false" ht="15" hidden="false" customHeight="false" outlineLevel="0" collapsed="false">
      <c r="A33" s="4" t="s">
        <v>43</v>
      </c>
      <c r="B33" s="4" t="s">
        <v>452</v>
      </c>
      <c r="C33" s="4" t="s">
        <v>547</v>
      </c>
      <c r="D33" s="4" t="s">
        <v>574</v>
      </c>
      <c r="E33" s="4" t="s">
        <v>587</v>
      </c>
      <c r="F33" s="4" t="n">
        <f aca="false">COUNTIFS(Positions!$B$2:$B$6912,A33,Positions!$F$2:$F$6912,B33)</f>
        <v>7</v>
      </c>
      <c r="G33" s="4" t="n">
        <f aca="false">COUNTIFS(Positions!$B$2:$B$6912,A33,Positions!$F$2:$F$6912,B33,Positions!$E$2:$E$6912,"G")</f>
        <v>2</v>
      </c>
      <c r="H33" s="4" t="n">
        <f aca="false">COUNTIFS(Positions!$B$2:$B$6912,A33,Positions!$F$2:$F$6912,B33,Positions!$E$2:$E$6912,"C")</f>
        <v>0</v>
      </c>
      <c r="I33" s="3" t="n">
        <f aca="false">G33+H33</f>
        <v>2</v>
      </c>
      <c r="J33" s="6" t="n">
        <f aca="false">IF(F33=0,0,I33/F33)</f>
        <v>0.285714285714286</v>
      </c>
    </row>
    <row r="34" customFormat="false" ht="15" hidden="false" customHeight="false" outlineLevel="0" collapsed="false">
      <c r="A34" s="4" t="s">
        <v>43</v>
      </c>
      <c r="B34" s="4" t="s">
        <v>465</v>
      </c>
      <c r="C34" s="4" t="s">
        <v>550</v>
      </c>
      <c r="D34" s="4" t="s">
        <v>576</v>
      </c>
      <c r="E34" s="4" t="s">
        <v>588</v>
      </c>
      <c r="F34" s="4" t="n">
        <f aca="false">COUNTIFS(Positions!$B$2:$B$6912,A34,Positions!$F$2:$F$6912,B34)</f>
        <v>5</v>
      </c>
      <c r="G34" s="4" t="n">
        <f aca="false">COUNTIFS(Positions!$B$2:$B$6912,A34,Positions!$F$2:$F$6912,B34,Positions!$E$2:$E$6912,"G")</f>
        <v>1</v>
      </c>
      <c r="H34" s="4" t="n">
        <f aca="false">COUNTIFS(Positions!$B$2:$B$6912,A34,Positions!$F$2:$F$6912,B34,Positions!$E$2:$E$6912,"C")</f>
        <v>2</v>
      </c>
      <c r="I34" s="3" t="n">
        <f aca="false">G34+H34</f>
        <v>3</v>
      </c>
      <c r="J34" s="6" t="n">
        <f aca="false">IF(F34=0,0,I34/F34)</f>
        <v>0.6</v>
      </c>
    </row>
    <row r="35" customFormat="false" ht="15" hidden="false" customHeight="false" outlineLevel="0" collapsed="false">
      <c r="A35" s="4" t="s">
        <v>43</v>
      </c>
      <c r="B35" s="4" t="s">
        <v>477</v>
      </c>
      <c r="C35" s="4" t="s">
        <v>553</v>
      </c>
      <c r="D35" s="4" t="s">
        <v>578</v>
      </c>
      <c r="E35" s="4" t="s">
        <v>570</v>
      </c>
      <c r="F35" s="4" t="n">
        <f aca="false">COUNTIFS(Positions!$B$2:$B$6912,A35,Positions!$F$2:$F$6912,B35)</f>
        <v>7</v>
      </c>
      <c r="G35" s="4" t="n">
        <f aca="false">COUNTIFS(Positions!$B$2:$B$6912,A35,Positions!$F$2:$F$6912,B35,Positions!$E$2:$E$6912,"G")</f>
        <v>0</v>
      </c>
      <c r="H35" s="4" t="n">
        <f aca="false">COUNTIFS(Positions!$B$2:$B$6912,A35,Positions!$F$2:$F$6912,B35,Positions!$E$2:$E$6912,"C")</f>
        <v>1</v>
      </c>
      <c r="I35" s="3" t="n">
        <f aca="false">G35+H35</f>
        <v>1</v>
      </c>
      <c r="J35" s="6" t="n">
        <f aca="false">IF(F35=0,0,I35/F35)</f>
        <v>0.142857142857143</v>
      </c>
    </row>
    <row r="36" customFormat="false" ht="15" hidden="false" customHeight="false" outlineLevel="0" collapsed="false">
      <c r="A36" s="7" t="s">
        <v>43</v>
      </c>
      <c r="B36" s="7" t="s">
        <v>556</v>
      </c>
      <c r="C36" s="7" t="s">
        <v>557</v>
      </c>
      <c r="D36" s="7" t="s">
        <v>579</v>
      </c>
      <c r="E36" s="7" t="s">
        <v>580</v>
      </c>
      <c r="F36" s="7" t="n">
        <f aca="false">COUNTIFS(Positions!$B$2:$B$6912,A36,Positions!$F$2:$F$6912,"Position 8")+COUNTIFS(Positions!$B$2:$B$6912,A36,Positions!$F$2:$F$6912,"Position 9")+COUNTIFS(Positions!$B$2:$B$6912,A36,Positions!$F$2:$F$6912,"Position 26")</f>
        <v>3</v>
      </c>
      <c r="G36" s="7" t="n">
        <f aca="false">COUNTIFS(Positions!$B$2:$B$6912,A36,Positions!$F$2:$F$6912,"Position 8",Positions!$E$2:$E$6912,"G")+COUNTIFS(Positions!$B$2:$B$6912,A36,Positions!$F$2:$F$6912,"Position 9",Positions!$E$2:$E$6912,"G")+COUNTIFS(Positions!$B$2:$B$6912,A36,Positions!$F$2:$F$6912,"Position 26",Positions!$E$2:$E$6912,"G")</f>
        <v>1</v>
      </c>
      <c r="H36" s="7" t="n">
        <f aca="false">COUNTIFS(Positions!$B$2:$B$6912,A36,Positions!$F$2:$F$6912,"Position 8",Positions!$E$2:$E$6912,"C")+COUNTIFS(Positions!$B$2:$B$6912,A36,Positions!$F$2:$F$6912,"Position 9",Positions!$E$2:$E$6912,"C")+COUNTIFS(Positions!$B$2:$B$6912,A36,Positions!$F$2:$F$6912,"Position 26",Positions!$E$2:$E$6912,"C")</f>
        <v>0</v>
      </c>
      <c r="I36" s="8" t="n">
        <f aca="false">G36+H36</f>
        <v>1</v>
      </c>
      <c r="J36" s="26" t="n">
        <f aca="false">IF(F36=0,0,I36/F36)</f>
        <v>0.333333333333333</v>
      </c>
    </row>
    <row r="37" customFormat="false" ht="15" hidden="false" customHeight="false" outlineLevel="0" collapsed="false">
      <c r="A37" s="4" t="s">
        <v>44</v>
      </c>
      <c r="B37" s="4" t="s">
        <v>430</v>
      </c>
      <c r="C37" s="4" t="s">
        <v>544</v>
      </c>
      <c r="D37" s="4" t="s">
        <v>565</v>
      </c>
      <c r="E37" s="4" t="s">
        <v>589</v>
      </c>
      <c r="F37" s="4" t="n">
        <f aca="false">COUNTIFS(Positions!$B$2:$B$6912,A37,Positions!$F$2:$F$6912,B37)</f>
        <v>10</v>
      </c>
      <c r="G37" s="4" t="n">
        <f aca="false">COUNTIFS(Positions!$B$2:$B$6912,A37,Positions!$F$2:$F$6912,B37,Positions!$E$2:$E$6912,"G")</f>
        <v>3</v>
      </c>
      <c r="H37" s="4" t="n">
        <f aca="false">COUNTIFS(Positions!$B$2:$B$6912,A37,Positions!$F$2:$F$6912,B37,Positions!$E$2:$E$6912,"C")</f>
        <v>2</v>
      </c>
      <c r="I37" s="3" t="n">
        <f aca="false">G37+H37</f>
        <v>5</v>
      </c>
      <c r="J37" s="6" t="n">
        <f aca="false">IF(F37=0,0,I37/F37)</f>
        <v>0.5</v>
      </c>
    </row>
    <row r="38" customFormat="false" ht="15" hidden="false" customHeight="false" outlineLevel="0" collapsed="false">
      <c r="A38" s="4" t="s">
        <v>44</v>
      </c>
      <c r="B38" s="4" t="s">
        <v>452</v>
      </c>
      <c r="C38" s="4" t="s">
        <v>547</v>
      </c>
      <c r="D38" s="4" t="s">
        <v>567</v>
      </c>
      <c r="E38" s="4" t="s">
        <v>590</v>
      </c>
      <c r="F38" s="4" t="n">
        <f aca="false">COUNTIFS(Positions!$B$2:$B$6912,A38,Positions!$F$2:$F$6912,B38)</f>
        <v>7</v>
      </c>
      <c r="G38" s="4" t="n">
        <f aca="false">COUNTIFS(Positions!$B$2:$B$6912,A38,Positions!$F$2:$F$6912,B38,Positions!$E$2:$E$6912,"G")</f>
        <v>0</v>
      </c>
      <c r="H38" s="4" t="n">
        <f aca="false">COUNTIFS(Positions!$B$2:$B$6912,A38,Positions!$F$2:$F$6912,B38,Positions!$E$2:$E$6912,"C")</f>
        <v>3</v>
      </c>
      <c r="I38" s="3" t="n">
        <f aca="false">G38+H38</f>
        <v>3</v>
      </c>
      <c r="J38" s="6" t="n">
        <f aca="false">IF(F38=0,0,I38/F38)</f>
        <v>0.428571428571429</v>
      </c>
    </row>
    <row r="39" customFormat="false" ht="15" hidden="false" customHeight="false" outlineLevel="0" collapsed="false">
      <c r="A39" s="4" t="s">
        <v>44</v>
      </c>
      <c r="B39" s="4" t="s">
        <v>465</v>
      </c>
      <c r="C39" s="4" t="s">
        <v>550</v>
      </c>
      <c r="D39" s="4" t="s">
        <v>568</v>
      </c>
      <c r="E39" s="4" t="s">
        <v>591</v>
      </c>
      <c r="F39" s="4" t="n">
        <f aca="false">COUNTIFS(Positions!$B$2:$B$6912,A39,Positions!$F$2:$F$6912,B39)</f>
        <v>5</v>
      </c>
      <c r="G39" s="4" t="n">
        <f aca="false">COUNTIFS(Positions!$B$2:$B$6912,A39,Positions!$F$2:$F$6912,B39,Positions!$E$2:$E$6912,"G")</f>
        <v>2</v>
      </c>
      <c r="H39" s="4" t="n">
        <f aca="false">COUNTIFS(Positions!$B$2:$B$6912,A39,Positions!$F$2:$F$6912,B39,Positions!$E$2:$E$6912,"C")</f>
        <v>1</v>
      </c>
      <c r="I39" s="3" t="n">
        <f aca="false">G39+H39</f>
        <v>3</v>
      </c>
      <c r="J39" s="6" t="n">
        <f aca="false">IF(F39=0,0,I39/F39)</f>
        <v>0.6</v>
      </c>
    </row>
    <row r="40" customFormat="false" ht="15" hidden="false" customHeight="false" outlineLevel="0" collapsed="false">
      <c r="A40" s="4" t="s">
        <v>44</v>
      </c>
      <c r="B40" s="4" t="s">
        <v>477</v>
      </c>
      <c r="C40" s="4" t="s">
        <v>553</v>
      </c>
      <c r="D40" s="4" t="s">
        <v>569</v>
      </c>
      <c r="E40" s="4" t="s">
        <v>592</v>
      </c>
      <c r="F40" s="4" t="n">
        <f aca="false">COUNTIFS(Positions!$B$2:$B$6912,A40,Positions!$F$2:$F$6912,B40)</f>
        <v>7</v>
      </c>
      <c r="G40" s="4" t="n">
        <f aca="false">COUNTIFS(Positions!$B$2:$B$6912,A40,Positions!$F$2:$F$6912,B40,Positions!$E$2:$E$6912,"G")</f>
        <v>1</v>
      </c>
      <c r="H40" s="4" t="n">
        <f aca="false">COUNTIFS(Positions!$B$2:$B$6912,A40,Positions!$F$2:$F$6912,B40,Positions!$E$2:$E$6912,"C")</f>
        <v>1</v>
      </c>
      <c r="I40" s="3" t="n">
        <f aca="false">G40+H40</f>
        <v>2</v>
      </c>
      <c r="J40" s="6" t="n">
        <f aca="false">IF(F40=0,0,I40/F40)</f>
        <v>0.285714285714286</v>
      </c>
    </row>
    <row r="41" customFormat="false" ht="15" hidden="false" customHeight="false" outlineLevel="0" collapsed="false">
      <c r="A41" s="7" t="s">
        <v>44</v>
      </c>
      <c r="B41" s="7" t="s">
        <v>556</v>
      </c>
      <c r="C41" s="7" t="s">
        <v>557</v>
      </c>
      <c r="D41" s="7" t="s">
        <v>571</v>
      </c>
      <c r="E41" s="7" t="s">
        <v>346</v>
      </c>
      <c r="F41" s="7" t="n">
        <f aca="false">COUNTIFS(Positions!$B$2:$B$6912,A41,Positions!$F$2:$F$6912,"Position 8")+COUNTIFS(Positions!$B$2:$B$6912,A41,Positions!$F$2:$F$6912,"Position 9")+COUNTIFS(Positions!$B$2:$B$6912,A41,Positions!$F$2:$F$6912,"Position 26")</f>
        <v>3</v>
      </c>
      <c r="G41" s="7" t="n">
        <f aca="false">COUNTIFS(Positions!$B$2:$B$6912,A41,Positions!$F$2:$F$6912,"Position 8",Positions!$E$2:$E$6912,"G")+COUNTIFS(Positions!$B$2:$B$6912,A41,Positions!$F$2:$F$6912,"Position 9",Positions!$E$2:$E$6912,"G")+COUNTIFS(Positions!$B$2:$B$6912,A41,Positions!$F$2:$F$6912,"Position 26",Positions!$E$2:$E$6912,"G")</f>
        <v>2</v>
      </c>
      <c r="H41" s="7" t="n">
        <f aca="false">COUNTIFS(Positions!$B$2:$B$6912,A41,Positions!$F$2:$F$6912,"Position 8",Positions!$E$2:$E$6912,"C")+COUNTIFS(Positions!$B$2:$B$6912,A41,Positions!$F$2:$F$6912,"Position 9",Positions!$E$2:$E$6912,"C")+COUNTIFS(Positions!$B$2:$B$6912,A41,Positions!$F$2:$F$6912,"Position 26",Positions!$E$2:$E$6912,"C")</f>
        <v>0</v>
      </c>
      <c r="I41" s="8" t="n">
        <f aca="false">G41+H41</f>
        <v>2</v>
      </c>
      <c r="J41" s="26" t="n">
        <f aca="false">IF(F41=0,0,I41/F41)</f>
        <v>0.666666666666667</v>
      </c>
    </row>
    <row r="42" customFormat="false" ht="15" hidden="false" customHeight="false" outlineLevel="0" collapsed="false">
      <c r="A42" s="4" t="s">
        <v>45</v>
      </c>
      <c r="B42" s="4" t="s">
        <v>430</v>
      </c>
      <c r="C42" s="4" t="s">
        <v>544</v>
      </c>
      <c r="D42" s="4" t="s">
        <v>565</v>
      </c>
      <c r="E42" s="4" t="s">
        <v>593</v>
      </c>
      <c r="F42" s="4" t="n">
        <f aca="false">COUNTIFS(Positions!$B$2:$B$6912,A42,Positions!$F$2:$F$6912,B42)</f>
        <v>10</v>
      </c>
      <c r="G42" s="4" t="n">
        <f aca="false">COUNTIFS(Positions!$B$2:$B$6912,A42,Positions!$F$2:$F$6912,B42,Positions!$E$2:$E$6912,"G")</f>
        <v>3</v>
      </c>
      <c r="H42" s="4" t="n">
        <f aca="false">COUNTIFS(Positions!$B$2:$B$6912,A42,Positions!$F$2:$F$6912,B42,Positions!$E$2:$E$6912,"C")</f>
        <v>2</v>
      </c>
      <c r="I42" s="3" t="n">
        <f aca="false">G42+H42</f>
        <v>5</v>
      </c>
      <c r="J42" s="6" t="n">
        <f aca="false">IF(F42=0,0,I42/F42)</f>
        <v>0.5</v>
      </c>
    </row>
    <row r="43" customFormat="false" ht="15" hidden="false" customHeight="false" outlineLevel="0" collapsed="false">
      <c r="A43" s="4" t="s">
        <v>45</v>
      </c>
      <c r="B43" s="4" t="s">
        <v>452</v>
      </c>
      <c r="C43" s="4" t="s">
        <v>547</v>
      </c>
      <c r="D43" s="4" t="s">
        <v>567</v>
      </c>
      <c r="E43" s="4" t="s">
        <v>594</v>
      </c>
      <c r="F43" s="4" t="n">
        <f aca="false">COUNTIFS(Positions!$B$2:$B$6912,A43,Positions!$F$2:$F$6912,B43)</f>
        <v>7</v>
      </c>
      <c r="G43" s="4" t="n">
        <f aca="false">COUNTIFS(Positions!$B$2:$B$6912,A43,Positions!$F$2:$F$6912,B43,Positions!$E$2:$E$6912,"G")</f>
        <v>0</v>
      </c>
      <c r="H43" s="4" t="n">
        <f aca="false">COUNTIFS(Positions!$B$2:$B$6912,A43,Positions!$F$2:$F$6912,B43,Positions!$E$2:$E$6912,"C")</f>
        <v>2</v>
      </c>
      <c r="I43" s="3" t="n">
        <f aca="false">G43+H43</f>
        <v>2</v>
      </c>
      <c r="J43" s="6" t="n">
        <f aca="false">IF(F43=0,0,I43/F43)</f>
        <v>0.285714285714286</v>
      </c>
    </row>
    <row r="44" customFormat="false" ht="15" hidden="false" customHeight="false" outlineLevel="0" collapsed="false">
      <c r="A44" s="4" t="s">
        <v>45</v>
      </c>
      <c r="B44" s="4" t="s">
        <v>465</v>
      </c>
      <c r="C44" s="4" t="s">
        <v>550</v>
      </c>
      <c r="D44" s="4" t="s">
        <v>568</v>
      </c>
      <c r="E44" s="4" t="s">
        <v>591</v>
      </c>
      <c r="F44" s="4" t="n">
        <f aca="false">COUNTIFS(Positions!$B$2:$B$6912,A44,Positions!$F$2:$F$6912,B44)</f>
        <v>5</v>
      </c>
      <c r="G44" s="4" t="n">
        <f aca="false">COUNTIFS(Positions!$B$2:$B$6912,A44,Positions!$F$2:$F$6912,B44,Positions!$E$2:$E$6912,"G")</f>
        <v>2</v>
      </c>
      <c r="H44" s="4" t="n">
        <f aca="false">COUNTIFS(Positions!$B$2:$B$6912,A44,Positions!$F$2:$F$6912,B44,Positions!$E$2:$E$6912,"C")</f>
        <v>1</v>
      </c>
      <c r="I44" s="3" t="n">
        <f aca="false">G44+H44</f>
        <v>3</v>
      </c>
      <c r="J44" s="6" t="n">
        <f aca="false">IF(F44=0,0,I44/F44)</f>
        <v>0.6</v>
      </c>
    </row>
    <row r="45" customFormat="false" ht="15" hidden="false" customHeight="false" outlineLevel="0" collapsed="false">
      <c r="A45" s="4" t="s">
        <v>45</v>
      </c>
      <c r="B45" s="4" t="s">
        <v>477</v>
      </c>
      <c r="C45" s="4" t="s">
        <v>553</v>
      </c>
      <c r="D45" s="4" t="s">
        <v>569</v>
      </c>
      <c r="E45" s="4" t="s">
        <v>570</v>
      </c>
      <c r="F45" s="4" t="n">
        <f aca="false">COUNTIFS(Positions!$B$2:$B$6912,A45,Positions!$F$2:$F$6912,B45)</f>
        <v>7</v>
      </c>
      <c r="G45" s="4" t="n">
        <f aca="false">COUNTIFS(Positions!$B$2:$B$6912,A45,Positions!$F$2:$F$6912,B45,Positions!$E$2:$E$6912,"G")</f>
        <v>0</v>
      </c>
      <c r="H45" s="4" t="n">
        <f aca="false">COUNTIFS(Positions!$B$2:$B$6912,A45,Positions!$F$2:$F$6912,B45,Positions!$E$2:$E$6912,"C")</f>
        <v>1</v>
      </c>
      <c r="I45" s="3" t="n">
        <f aca="false">G45+H45</f>
        <v>1</v>
      </c>
      <c r="J45" s="6" t="n">
        <f aca="false">IF(F45=0,0,I45/F45)</f>
        <v>0.142857142857143</v>
      </c>
    </row>
    <row r="46" customFormat="false" ht="15" hidden="false" customHeight="false" outlineLevel="0" collapsed="false">
      <c r="A46" s="7" t="s">
        <v>45</v>
      </c>
      <c r="B46" s="7" t="s">
        <v>556</v>
      </c>
      <c r="C46" s="7" t="s">
        <v>557</v>
      </c>
      <c r="D46" s="7" t="s">
        <v>571</v>
      </c>
      <c r="E46" s="7" t="s">
        <v>595</v>
      </c>
      <c r="F46" s="7" t="n">
        <f aca="false">COUNTIFS(Positions!$B$2:$B$6912,A46,Positions!$F$2:$F$6912,"Position 8")+COUNTIFS(Positions!$B$2:$B$6912,A46,Positions!$F$2:$F$6912,"Position 9")+COUNTIFS(Positions!$B$2:$B$6912,A46,Positions!$F$2:$F$6912,"Position 26")</f>
        <v>3</v>
      </c>
      <c r="G46" s="7" t="n">
        <f aca="false">COUNTIFS(Positions!$B$2:$B$6912,A46,Positions!$F$2:$F$6912,"Position 8",Positions!$E$2:$E$6912,"G")+COUNTIFS(Positions!$B$2:$B$6912,A46,Positions!$F$2:$F$6912,"Position 9",Positions!$E$2:$E$6912,"G")+COUNTIFS(Positions!$B$2:$B$6912,A46,Positions!$F$2:$F$6912,"Position 26",Positions!$E$2:$E$6912,"G")</f>
        <v>1</v>
      </c>
      <c r="H46" s="7" t="n">
        <f aca="false">COUNTIFS(Positions!$B$2:$B$6912,A46,Positions!$F$2:$F$6912,"Position 8",Positions!$E$2:$E$6912,"C")+COUNTIFS(Positions!$B$2:$B$6912,A46,Positions!$F$2:$F$6912,"Position 9",Positions!$E$2:$E$6912,"C")+COUNTIFS(Positions!$B$2:$B$6912,A46,Positions!$F$2:$F$6912,"Position 26",Positions!$E$2:$E$6912,"C")</f>
        <v>0</v>
      </c>
      <c r="I46" s="8" t="n">
        <f aca="false">G46+H46</f>
        <v>1</v>
      </c>
      <c r="J46" s="26" t="n">
        <f aca="false">IF(F46=0,0,I46/F46)</f>
        <v>0.333333333333333</v>
      </c>
    </row>
    <row r="47" customFormat="false" ht="15" hidden="false" customHeight="false" outlineLevel="0" collapsed="false">
      <c r="A47" s="4" t="s">
        <v>46</v>
      </c>
      <c r="B47" s="4" t="s">
        <v>430</v>
      </c>
      <c r="C47" s="4" t="s">
        <v>544</v>
      </c>
      <c r="D47" s="4" t="s">
        <v>565</v>
      </c>
      <c r="E47" s="4" t="s">
        <v>593</v>
      </c>
      <c r="F47" s="4" t="n">
        <f aca="false">COUNTIFS(Positions!$B$2:$B$6912,A47,Positions!$F$2:$F$6912,B47)</f>
        <v>10</v>
      </c>
      <c r="G47" s="4" t="n">
        <f aca="false">COUNTIFS(Positions!$B$2:$B$6912,A47,Positions!$F$2:$F$6912,B47,Positions!$E$2:$E$6912,"G")</f>
        <v>3</v>
      </c>
      <c r="H47" s="4" t="n">
        <f aca="false">COUNTIFS(Positions!$B$2:$B$6912,A47,Positions!$F$2:$F$6912,B47,Positions!$E$2:$E$6912,"C")</f>
        <v>2</v>
      </c>
      <c r="I47" s="3" t="n">
        <f aca="false">G47+H47</f>
        <v>5</v>
      </c>
      <c r="J47" s="6" t="n">
        <f aca="false">IF(F47=0,0,I47/F47)</f>
        <v>0.5</v>
      </c>
    </row>
    <row r="48" customFormat="false" ht="15" hidden="false" customHeight="false" outlineLevel="0" collapsed="false">
      <c r="A48" s="4" t="s">
        <v>46</v>
      </c>
      <c r="B48" s="4" t="s">
        <v>452</v>
      </c>
      <c r="C48" s="4" t="s">
        <v>547</v>
      </c>
      <c r="D48" s="4" t="s">
        <v>567</v>
      </c>
      <c r="E48" s="4" t="s">
        <v>596</v>
      </c>
      <c r="F48" s="4" t="n">
        <f aca="false">COUNTIFS(Positions!$B$2:$B$6912,A48,Positions!$F$2:$F$6912,B48)</f>
        <v>7</v>
      </c>
      <c r="G48" s="4" t="n">
        <f aca="false">COUNTIFS(Positions!$B$2:$B$6912,A48,Positions!$F$2:$F$6912,B48,Positions!$E$2:$E$6912,"G")</f>
        <v>1</v>
      </c>
      <c r="H48" s="4" t="n">
        <f aca="false">COUNTIFS(Positions!$B$2:$B$6912,A48,Positions!$F$2:$F$6912,B48,Positions!$E$2:$E$6912,"C")</f>
        <v>1</v>
      </c>
      <c r="I48" s="3" t="n">
        <f aca="false">G48+H48</f>
        <v>2</v>
      </c>
      <c r="J48" s="6" t="n">
        <f aca="false">IF(F48=0,0,I48/F48)</f>
        <v>0.285714285714286</v>
      </c>
    </row>
    <row r="49" customFormat="false" ht="15" hidden="false" customHeight="false" outlineLevel="0" collapsed="false">
      <c r="A49" s="4" t="s">
        <v>46</v>
      </c>
      <c r="B49" s="4" t="s">
        <v>465</v>
      </c>
      <c r="C49" s="4" t="s">
        <v>550</v>
      </c>
      <c r="D49" s="4" t="s">
        <v>568</v>
      </c>
      <c r="E49" s="4" t="s">
        <v>591</v>
      </c>
      <c r="F49" s="4" t="n">
        <f aca="false">COUNTIFS(Positions!$B$2:$B$6912,A49,Positions!$F$2:$F$6912,B49)</f>
        <v>5</v>
      </c>
      <c r="G49" s="4" t="n">
        <f aca="false">COUNTIFS(Positions!$B$2:$B$6912,A49,Positions!$F$2:$F$6912,B49,Positions!$E$2:$E$6912,"G")</f>
        <v>2</v>
      </c>
      <c r="H49" s="4" t="n">
        <f aca="false">COUNTIFS(Positions!$B$2:$B$6912,A49,Positions!$F$2:$F$6912,B49,Positions!$E$2:$E$6912,"C")</f>
        <v>1</v>
      </c>
      <c r="I49" s="3" t="n">
        <f aca="false">G49+H49</f>
        <v>3</v>
      </c>
      <c r="J49" s="6" t="n">
        <f aca="false">IF(F49=0,0,I49/F49)</f>
        <v>0.6</v>
      </c>
    </row>
    <row r="50" customFormat="false" ht="15" hidden="false" customHeight="false" outlineLevel="0" collapsed="false">
      <c r="A50" s="4" t="s">
        <v>46</v>
      </c>
      <c r="B50" s="4" t="s">
        <v>477</v>
      </c>
      <c r="C50" s="4" t="s">
        <v>553</v>
      </c>
      <c r="D50" s="4" t="s">
        <v>569</v>
      </c>
      <c r="E50" s="4" t="s">
        <v>570</v>
      </c>
      <c r="F50" s="4" t="n">
        <f aca="false">COUNTIFS(Positions!$B$2:$B$6912,A50,Positions!$F$2:$F$6912,B50)</f>
        <v>7</v>
      </c>
      <c r="G50" s="4" t="n">
        <f aca="false">COUNTIFS(Positions!$B$2:$B$6912,A50,Positions!$F$2:$F$6912,B50,Positions!$E$2:$E$6912,"G")</f>
        <v>0</v>
      </c>
      <c r="H50" s="4" t="n">
        <f aca="false">COUNTIFS(Positions!$B$2:$B$6912,A50,Positions!$F$2:$F$6912,B50,Positions!$E$2:$E$6912,"C")</f>
        <v>1</v>
      </c>
      <c r="I50" s="3" t="n">
        <f aca="false">G50+H50</f>
        <v>1</v>
      </c>
      <c r="J50" s="6" t="n">
        <f aca="false">IF(F50=0,0,I50/F50)</f>
        <v>0.142857142857143</v>
      </c>
    </row>
    <row r="51" customFormat="false" ht="15" hidden="false" customHeight="false" outlineLevel="0" collapsed="false">
      <c r="A51" s="7" t="s">
        <v>46</v>
      </c>
      <c r="B51" s="7" t="s">
        <v>556</v>
      </c>
      <c r="C51" s="7" t="s">
        <v>557</v>
      </c>
      <c r="D51" s="7" t="s">
        <v>571</v>
      </c>
      <c r="E51" s="7" t="s">
        <v>595</v>
      </c>
      <c r="F51" s="7" t="n">
        <f aca="false">COUNTIFS(Positions!$B$2:$B$6912,A51,Positions!$F$2:$F$6912,"Position 8")+COUNTIFS(Positions!$B$2:$B$6912,A51,Positions!$F$2:$F$6912,"Position 9")+COUNTIFS(Positions!$B$2:$B$6912,A51,Positions!$F$2:$F$6912,"Position 26")</f>
        <v>3</v>
      </c>
      <c r="G51" s="7" t="n">
        <f aca="false">COUNTIFS(Positions!$B$2:$B$6912,A51,Positions!$F$2:$F$6912,"Position 8",Positions!$E$2:$E$6912,"G")+COUNTIFS(Positions!$B$2:$B$6912,A51,Positions!$F$2:$F$6912,"Position 9",Positions!$E$2:$E$6912,"G")+COUNTIFS(Positions!$B$2:$B$6912,A51,Positions!$F$2:$F$6912,"Position 26",Positions!$E$2:$E$6912,"G")</f>
        <v>1</v>
      </c>
      <c r="H51" s="7" t="n">
        <f aca="false">COUNTIFS(Positions!$B$2:$B$6912,A51,Positions!$F$2:$F$6912,"Position 8",Positions!$E$2:$E$6912,"C")+COUNTIFS(Positions!$B$2:$B$6912,A51,Positions!$F$2:$F$6912,"Position 9",Positions!$E$2:$E$6912,"C")+COUNTIFS(Positions!$B$2:$B$6912,A51,Positions!$F$2:$F$6912,"Position 26",Positions!$E$2:$E$6912,"C")</f>
        <v>0</v>
      </c>
      <c r="I51" s="8" t="n">
        <f aca="false">G51+H51</f>
        <v>1</v>
      </c>
      <c r="J51" s="26" t="n">
        <f aca="false">IF(F51=0,0,I51/F51)</f>
        <v>0.333333333333333</v>
      </c>
    </row>
    <row r="52" customFormat="false" ht="15" hidden="false" customHeight="false" outlineLevel="0" collapsed="false">
      <c r="A52" s="4" t="s">
        <v>47</v>
      </c>
      <c r="B52" s="4" t="s">
        <v>430</v>
      </c>
      <c r="C52" s="4" t="s">
        <v>544</v>
      </c>
      <c r="D52" s="4" t="s">
        <v>544</v>
      </c>
      <c r="E52" s="4" t="s">
        <v>597</v>
      </c>
      <c r="F52" s="4" t="n">
        <f aca="false">COUNTIFS(Positions!$B$2:$B$6912,A52,Positions!$F$2:$F$6912,B52)</f>
        <v>8</v>
      </c>
      <c r="G52" s="4" t="n">
        <f aca="false">COUNTIFS(Positions!$B$2:$B$6912,A52,Positions!$F$2:$F$6912,B52,Positions!$E$2:$E$6912,"G")</f>
        <v>3</v>
      </c>
      <c r="H52" s="4" t="n">
        <f aca="false">COUNTIFS(Positions!$B$2:$B$6912,A52,Positions!$F$2:$F$6912,B52,Positions!$E$2:$E$6912,"C")</f>
        <v>1</v>
      </c>
      <c r="I52" s="3" t="n">
        <f aca="false">G52+H52</f>
        <v>4</v>
      </c>
      <c r="J52" s="6" t="n">
        <f aca="false">IF(F52=0,0,I52/F52)</f>
        <v>0.5</v>
      </c>
    </row>
    <row r="53" customFormat="false" ht="15" hidden="false" customHeight="false" outlineLevel="0" collapsed="false">
      <c r="A53" s="4" t="s">
        <v>47</v>
      </c>
      <c r="B53" s="4" t="s">
        <v>452</v>
      </c>
      <c r="C53" s="4" t="s">
        <v>547</v>
      </c>
      <c r="D53" s="4" t="s">
        <v>547</v>
      </c>
      <c r="E53" s="4" t="s">
        <v>598</v>
      </c>
      <c r="F53" s="4" t="n">
        <f aca="false">COUNTIFS(Positions!$B$2:$B$6912,A53,Positions!$F$2:$F$6912,B53)</f>
        <v>7</v>
      </c>
      <c r="G53" s="4" t="n">
        <f aca="false">COUNTIFS(Positions!$B$2:$B$6912,A53,Positions!$F$2:$F$6912,B53,Positions!$E$2:$E$6912,"G")</f>
        <v>0</v>
      </c>
      <c r="H53" s="4" t="n">
        <f aca="false">COUNTIFS(Positions!$B$2:$B$6912,A53,Positions!$F$2:$F$6912,B53,Positions!$E$2:$E$6912,"C")</f>
        <v>3</v>
      </c>
      <c r="I53" s="3" t="n">
        <f aca="false">G53+H53</f>
        <v>3</v>
      </c>
      <c r="J53" s="6" t="n">
        <f aca="false">IF(F53=0,0,I53/F53)</f>
        <v>0.428571428571429</v>
      </c>
    </row>
    <row r="54" customFormat="false" ht="15" hidden="false" customHeight="false" outlineLevel="0" collapsed="false">
      <c r="A54" s="4" t="s">
        <v>47</v>
      </c>
      <c r="B54" s="4" t="s">
        <v>465</v>
      </c>
      <c r="C54" s="4" t="s">
        <v>550</v>
      </c>
      <c r="D54" s="4" t="s">
        <v>599</v>
      </c>
      <c r="E54" s="4" t="s">
        <v>600</v>
      </c>
      <c r="F54" s="4" t="n">
        <f aca="false">COUNTIFS(Positions!$B$2:$B$6912,A54,Positions!$F$2:$F$6912,B54)</f>
        <v>4</v>
      </c>
      <c r="G54" s="4" t="n">
        <f aca="false">COUNTIFS(Positions!$B$2:$B$6912,A54,Positions!$F$2:$F$6912,B54,Positions!$E$2:$E$6912,"G")</f>
        <v>2</v>
      </c>
      <c r="H54" s="4" t="n">
        <f aca="false">COUNTIFS(Positions!$B$2:$B$6912,A54,Positions!$F$2:$F$6912,B54,Positions!$E$2:$E$6912,"C")</f>
        <v>1</v>
      </c>
      <c r="I54" s="3" t="n">
        <f aca="false">G54+H54</f>
        <v>3</v>
      </c>
      <c r="J54" s="6" t="n">
        <f aca="false">IF(F54=0,0,I54/F54)</f>
        <v>0.75</v>
      </c>
    </row>
    <row r="55" customFormat="false" ht="15" hidden="false" customHeight="false" outlineLevel="0" collapsed="false">
      <c r="A55" s="4" t="s">
        <v>47</v>
      </c>
      <c r="B55" s="4" t="s">
        <v>477</v>
      </c>
      <c r="C55" s="4" t="s">
        <v>553</v>
      </c>
      <c r="D55" s="4" t="s">
        <v>578</v>
      </c>
      <c r="E55" s="4" t="s">
        <v>601</v>
      </c>
      <c r="F55" s="4" t="n">
        <f aca="false">COUNTIFS(Positions!$B$2:$B$6912,A55,Positions!$F$2:$F$6912,B55)</f>
        <v>7</v>
      </c>
      <c r="G55" s="4" t="n">
        <f aca="false">COUNTIFS(Positions!$B$2:$B$6912,A55,Positions!$F$2:$F$6912,B55,Positions!$E$2:$E$6912,"G")</f>
        <v>1</v>
      </c>
      <c r="H55" s="4" t="n">
        <f aca="false">COUNTIFS(Positions!$B$2:$B$6912,A55,Positions!$F$2:$F$6912,B55,Positions!$E$2:$E$6912,"C")</f>
        <v>1</v>
      </c>
      <c r="I55" s="3" t="n">
        <f aca="false">G55+H55</f>
        <v>2</v>
      </c>
      <c r="J55" s="6" t="n">
        <f aca="false">IF(F55=0,0,I55/F55)</f>
        <v>0.285714285714286</v>
      </c>
    </row>
    <row r="56" customFormat="false" ht="15" hidden="false" customHeight="false" outlineLevel="0" collapsed="false">
      <c r="A56" s="7" t="s">
        <v>47</v>
      </c>
      <c r="B56" s="7" t="s">
        <v>556</v>
      </c>
      <c r="C56" s="7" t="s">
        <v>557</v>
      </c>
      <c r="D56" s="7" t="s">
        <v>557</v>
      </c>
      <c r="E56" s="7" t="s">
        <v>595</v>
      </c>
      <c r="F56" s="7" t="n">
        <f aca="false">COUNTIFS(Positions!$B$2:$B$6912,A56,Positions!$F$2:$F$6912,"Position 8")+COUNTIFS(Positions!$B$2:$B$6912,A56,Positions!$F$2:$F$6912,"Position 9")+COUNTIFS(Positions!$B$2:$B$6912,A56,Positions!$F$2:$F$6912,"Position 26")</f>
        <v>3</v>
      </c>
      <c r="G56" s="7" t="n">
        <f aca="false">COUNTIFS(Positions!$B$2:$B$6912,A56,Positions!$F$2:$F$6912,"Position 8",Positions!$E$2:$E$6912,"G")+COUNTIFS(Positions!$B$2:$B$6912,A56,Positions!$F$2:$F$6912,"Position 9",Positions!$E$2:$E$6912,"G")+COUNTIFS(Positions!$B$2:$B$6912,A56,Positions!$F$2:$F$6912,"Position 26",Positions!$E$2:$E$6912,"G")</f>
        <v>1</v>
      </c>
      <c r="H56" s="7" t="n">
        <f aca="false">COUNTIFS(Positions!$B$2:$B$6912,A56,Positions!$F$2:$F$6912,"Position 8",Positions!$E$2:$E$6912,"C")+COUNTIFS(Positions!$B$2:$B$6912,A56,Positions!$F$2:$F$6912,"Position 9",Positions!$E$2:$E$6912,"C")+COUNTIFS(Positions!$B$2:$B$6912,A56,Positions!$F$2:$F$6912,"Position 26",Positions!$E$2:$E$6912,"C")</f>
        <v>0</v>
      </c>
      <c r="I56" s="8" t="n">
        <f aca="false">G56+H56</f>
        <v>1</v>
      </c>
      <c r="J56" s="26" t="n">
        <f aca="false">IF(F56=0,0,I56/F56)</f>
        <v>0.333333333333333</v>
      </c>
    </row>
    <row r="57" customFormat="false" ht="15" hidden="false" customHeight="false" outlineLevel="0" collapsed="false">
      <c r="A57" s="4" t="s">
        <v>48</v>
      </c>
      <c r="B57" s="4" t="s">
        <v>430</v>
      </c>
      <c r="C57" s="4" t="s">
        <v>544</v>
      </c>
      <c r="D57" s="4" t="s">
        <v>544</v>
      </c>
      <c r="E57" s="4" t="s">
        <v>602</v>
      </c>
      <c r="F57" s="4" t="n">
        <f aca="false">COUNTIFS(Positions!$B$2:$B$6912,A57,Positions!$F$2:$F$6912,B57)</f>
        <v>8</v>
      </c>
      <c r="G57" s="4" t="n">
        <f aca="false">COUNTIFS(Positions!$B$2:$B$6912,A57,Positions!$F$2:$F$6912,B57,Positions!$E$2:$E$6912,"G")</f>
        <v>3</v>
      </c>
      <c r="H57" s="4" t="n">
        <f aca="false">COUNTIFS(Positions!$B$2:$B$6912,A57,Positions!$F$2:$F$6912,B57,Positions!$E$2:$E$6912,"C")</f>
        <v>0</v>
      </c>
      <c r="I57" s="3" t="n">
        <f aca="false">G57+H57</f>
        <v>3</v>
      </c>
      <c r="J57" s="6" t="n">
        <f aca="false">IF(F57=0,0,I57/F57)</f>
        <v>0.375</v>
      </c>
    </row>
    <row r="58" customFormat="false" ht="15" hidden="false" customHeight="false" outlineLevel="0" collapsed="false">
      <c r="A58" s="4" t="s">
        <v>48</v>
      </c>
      <c r="B58" s="4" t="s">
        <v>452</v>
      </c>
      <c r="C58" s="4" t="s">
        <v>547</v>
      </c>
      <c r="D58" s="4" t="s">
        <v>547</v>
      </c>
      <c r="E58" s="4" t="s">
        <v>603</v>
      </c>
      <c r="F58" s="4" t="n">
        <f aca="false">COUNTIFS(Positions!$B$2:$B$6912,A58,Positions!$F$2:$F$6912,B58)</f>
        <v>7</v>
      </c>
      <c r="G58" s="4" t="n">
        <f aca="false">COUNTIFS(Positions!$B$2:$B$6912,A58,Positions!$F$2:$F$6912,B58,Positions!$E$2:$E$6912,"G")</f>
        <v>3</v>
      </c>
      <c r="H58" s="4" t="n">
        <f aca="false">COUNTIFS(Positions!$B$2:$B$6912,A58,Positions!$F$2:$F$6912,B58,Positions!$E$2:$E$6912,"C")</f>
        <v>1</v>
      </c>
      <c r="I58" s="3" t="n">
        <f aca="false">G58+H58</f>
        <v>4</v>
      </c>
      <c r="J58" s="6" t="n">
        <f aca="false">IF(F58=0,0,I58/F58)</f>
        <v>0.571428571428571</v>
      </c>
    </row>
    <row r="59" customFormat="false" ht="15" hidden="false" customHeight="false" outlineLevel="0" collapsed="false">
      <c r="A59" s="4" t="s">
        <v>48</v>
      </c>
      <c r="B59" s="4" t="s">
        <v>465</v>
      </c>
      <c r="C59" s="4" t="s">
        <v>550</v>
      </c>
      <c r="D59" s="4" t="s">
        <v>599</v>
      </c>
      <c r="E59" s="4" t="s">
        <v>562</v>
      </c>
      <c r="F59" s="4" t="n">
        <f aca="false">COUNTIFS(Positions!$B$2:$B$6912,A59,Positions!$F$2:$F$6912,B59)</f>
        <v>4</v>
      </c>
      <c r="G59" s="4" t="n">
        <f aca="false">COUNTIFS(Positions!$B$2:$B$6912,A59,Positions!$F$2:$F$6912,B59,Positions!$E$2:$E$6912,"G")</f>
        <v>0</v>
      </c>
      <c r="H59" s="4" t="n">
        <f aca="false">COUNTIFS(Positions!$B$2:$B$6912,A59,Positions!$F$2:$F$6912,B59,Positions!$E$2:$E$6912,"C")</f>
        <v>1</v>
      </c>
      <c r="I59" s="3" t="n">
        <f aca="false">G59+H59</f>
        <v>1</v>
      </c>
      <c r="J59" s="6" t="n">
        <f aca="false">IF(F59=0,0,I59/F59)</f>
        <v>0.25</v>
      </c>
    </row>
    <row r="60" customFormat="false" ht="15" hidden="false" customHeight="false" outlineLevel="0" collapsed="false">
      <c r="A60" s="4" t="s">
        <v>48</v>
      </c>
      <c r="B60" s="4" t="s">
        <v>477</v>
      </c>
      <c r="C60" s="4" t="s">
        <v>553</v>
      </c>
      <c r="D60" s="4" t="s">
        <v>578</v>
      </c>
      <c r="E60" s="4" t="s">
        <v>563</v>
      </c>
      <c r="F60" s="4" t="n">
        <f aca="false">COUNTIFS(Positions!$B$2:$B$6912,A60,Positions!$F$2:$F$6912,B60)</f>
        <v>7</v>
      </c>
      <c r="G60" s="4" t="n">
        <f aca="false">COUNTIFS(Positions!$B$2:$B$6912,A60,Positions!$F$2:$F$6912,B60,Positions!$E$2:$E$6912,"G")</f>
        <v>1</v>
      </c>
      <c r="H60" s="4" t="n">
        <f aca="false">COUNTIFS(Positions!$B$2:$B$6912,A60,Positions!$F$2:$F$6912,B60,Positions!$E$2:$E$6912,"C")</f>
        <v>1</v>
      </c>
      <c r="I60" s="3" t="n">
        <f aca="false">G60+H60</f>
        <v>2</v>
      </c>
      <c r="J60" s="6" t="n">
        <f aca="false">IF(F60=0,0,I60/F60)</f>
        <v>0.285714285714286</v>
      </c>
    </row>
    <row r="61" customFormat="false" ht="15" hidden="false" customHeight="false" outlineLevel="0" collapsed="false">
      <c r="A61" s="7" t="s">
        <v>48</v>
      </c>
      <c r="B61" s="7" t="s">
        <v>556</v>
      </c>
      <c r="C61" s="7" t="s">
        <v>557</v>
      </c>
      <c r="D61" s="7" t="s">
        <v>557</v>
      </c>
      <c r="E61" s="7" t="s">
        <v>335</v>
      </c>
      <c r="F61" s="7" t="n">
        <f aca="false">COUNTIFS(Positions!$B$2:$B$6912,A61,Positions!$F$2:$F$6912,"Position 8")+COUNTIFS(Positions!$B$2:$B$6912,A61,Positions!$F$2:$F$6912,"Position 9")+COUNTIFS(Positions!$B$2:$B$6912,A61,Positions!$F$2:$F$6912,"Position 26")</f>
        <v>3</v>
      </c>
      <c r="G61" s="7" t="n">
        <f aca="false">COUNTIFS(Positions!$B$2:$B$6912,A61,Positions!$F$2:$F$6912,"Position 8",Positions!$E$2:$E$6912,"G")+COUNTIFS(Positions!$B$2:$B$6912,A61,Positions!$F$2:$F$6912,"Position 9",Positions!$E$2:$E$6912,"G")+COUNTIFS(Positions!$B$2:$B$6912,A61,Positions!$F$2:$F$6912,"Position 26",Positions!$E$2:$E$6912,"G")</f>
        <v>0</v>
      </c>
      <c r="H61" s="7" t="n">
        <f aca="false">COUNTIFS(Positions!$B$2:$B$6912,A61,Positions!$F$2:$F$6912,"Position 8",Positions!$E$2:$E$6912,"C")+COUNTIFS(Positions!$B$2:$B$6912,A61,Positions!$F$2:$F$6912,"Position 9",Positions!$E$2:$E$6912,"C")+COUNTIFS(Positions!$B$2:$B$6912,A61,Positions!$F$2:$F$6912,"Position 26",Positions!$E$2:$E$6912,"C")</f>
        <v>2</v>
      </c>
      <c r="I61" s="8" t="n">
        <f aca="false">G61+H61</f>
        <v>2</v>
      </c>
      <c r="J61" s="26" t="n">
        <f aca="false">IF(F61=0,0,I61/F61)</f>
        <v>0.666666666666667</v>
      </c>
    </row>
    <row r="62" customFormat="false" ht="15" hidden="false" customHeight="false" outlineLevel="0" collapsed="false">
      <c r="A62" s="4" t="s">
        <v>49</v>
      </c>
      <c r="B62" s="4" t="s">
        <v>430</v>
      </c>
      <c r="C62" s="4" t="s">
        <v>544</v>
      </c>
      <c r="D62" s="4" t="s">
        <v>572</v>
      </c>
      <c r="E62" s="4" t="s">
        <v>604</v>
      </c>
      <c r="F62" s="4" t="n">
        <f aca="false">COUNTIFS(Positions!$B$2:$B$6912,A62,Positions!$F$2:$F$6912,B62)</f>
        <v>7</v>
      </c>
      <c r="G62" s="4" t="n">
        <f aca="false">COUNTIFS(Positions!$B$2:$B$6912,A62,Positions!$F$2:$F$6912,B62,Positions!$E$2:$E$6912,"G")</f>
        <v>3</v>
      </c>
      <c r="H62" s="4" t="n">
        <f aca="false">COUNTIFS(Positions!$B$2:$B$6912,A62,Positions!$F$2:$F$6912,B62,Positions!$E$2:$E$6912,"C")</f>
        <v>0</v>
      </c>
      <c r="I62" s="3" t="n">
        <f aca="false">G62+H62</f>
        <v>3</v>
      </c>
      <c r="J62" s="6" t="n">
        <f aca="false">IF(F62=0,0,I62/F62)</f>
        <v>0.428571428571429</v>
      </c>
    </row>
    <row r="63" customFormat="false" ht="15" hidden="false" customHeight="false" outlineLevel="0" collapsed="false">
      <c r="A63" s="4" t="s">
        <v>49</v>
      </c>
      <c r="B63" s="4" t="s">
        <v>452</v>
      </c>
      <c r="C63" s="4" t="s">
        <v>547</v>
      </c>
      <c r="D63" s="4" t="s">
        <v>574</v>
      </c>
      <c r="E63" s="4" t="s">
        <v>605</v>
      </c>
      <c r="F63" s="4" t="n">
        <f aca="false">COUNTIFS(Positions!$B$2:$B$6912,A63,Positions!$F$2:$F$6912,B63)</f>
        <v>7</v>
      </c>
      <c r="G63" s="4" t="n">
        <f aca="false">COUNTIFS(Positions!$B$2:$B$6912,A63,Positions!$F$2:$F$6912,B63,Positions!$E$2:$E$6912,"G")</f>
        <v>0</v>
      </c>
      <c r="H63" s="4" t="n">
        <f aca="false">COUNTIFS(Positions!$B$2:$B$6912,A63,Positions!$F$2:$F$6912,B63,Positions!$E$2:$E$6912,"C")</f>
        <v>3</v>
      </c>
      <c r="I63" s="3" t="n">
        <f aca="false">G63+H63</f>
        <v>3</v>
      </c>
      <c r="J63" s="6" t="n">
        <f aca="false">IF(F63=0,0,I63/F63)</f>
        <v>0.428571428571429</v>
      </c>
    </row>
    <row r="64" customFormat="false" ht="15" hidden="false" customHeight="false" outlineLevel="0" collapsed="false">
      <c r="A64" s="4" t="s">
        <v>49</v>
      </c>
      <c r="B64" s="4" t="s">
        <v>465</v>
      </c>
      <c r="C64" s="4" t="s">
        <v>550</v>
      </c>
      <c r="D64" s="4" t="s">
        <v>576</v>
      </c>
      <c r="E64" s="4" t="s">
        <v>591</v>
      </c>
      <c r="F64" s="4" t="n">
        <f aca="false">COUNTIFS(Positions!$B$2:$B$6912,A64,Positions!$F$2:$F$6912,B64)</f>
        <v>5</v>
      </c>
      <c r="G64" s="4" t="n">
        <f aca="false">COUNTIFS(Positions!$B$2:$B$6912,A64,Positions!$F$2:$F$6912,B64,Positions!$E$2:$E$6912,"G")</f>
        <v>2</v>
      </c>
      <c r="H64" s="4" t="n">
        <f aca="false">COUNTIFS(Positions!$B$2:$B$6912,A64,Positions!$F$2:$F$6912,B64,Positions!$E$2:$E$6912,"C")</f>
        <v>1</v>
      </c>
      <c r="I64" s="3" t="n">
        <f aca="false">G64+H64</f>
        <v>3</v>
      </c>
      <c r="J64" s="6" t="n">
        <f aca="false">IF(F64=0,0,I64/F64)</f>
        <v>0.6</v>
      </c>
    </row>
    <row r="65" customFormat="false" ht="15" hidden="false" customHeight="false" outlineLevel="0" collapsed="false">
      <c r="A65" s="4" t="s">
        <v>49</v>
      </c>
      <c r="B65" s="4" t="s">
        <v>477</v>
      </c>
      <c r="C65" s="4" t="s">
        <v>553</v>
      </c>
      <c r="D65" s="4" t="s">
        <v>578</v>
      </c>
      <c r="E65" s="4" t="s">
        <v>606</v>
      </c>
      <c r="F65" s="4" t="n">
        <f aca="false">COUNTIFS(Positions!$B$2:$B$6912,A65,Positions!$F$2:$F$6912,B65)</f>
        <v>7</v>
      </c>
      <c r="G65" s="4" t="n">
        <f aca="false">COUNTIFS(Positions!$B$2:$B$6912,A65,Positions!$F$2:$F$6912,B65,Positions!$E$2:$E$6912,"G")</f>
        <v>1</v>
      </c>
      <c r="H65" s="4" t="n">
        <f aca="false">COUNTIFS(Positions!$B$2:$B$6912,A65,Positions!$F$2:$F$6912,B65,Positions!$E$2:$E$6912,"C")</f>
        <v>1</v>
      </c>
      <c r="I65" s="3" t="n">
        <f aca="false">G65+H65</f>
        <v>2</v>
      </c>
      <c r="J65" s="6" t="n">
        <f aca="false">IF(F65=0,0,I65/F65)</f>
        <v>0.285714285714286</v>
      </c>
    </row>
    <row r="66" customFormat="false" ht="15" hidden="false" customHeight="false" outlineLevel="0" collapsed="false">
      <c r="A66" s="7" t="s">
        <v>49</v>
      </c>
      <c r="B66" s="7" t="s">
        <v>556</v>
      </c>
      <c r="C66" s="7" t="s">
        <v>557</v>
      </c>
      <c r="D66" s="7" t="s">
        <v>579</v>
      </c>
      <c r="E66" s="7" t="s">
        <v>346</v>
      </c>
      <c r="F66" s="7" t="n">
        <f aca="false">COUNTIFS(Positions!$B$2:$B$6912,A66,Positions!$F$2:$F$6912,"Position 8")+COUNTIFS(Positions!$B$2:$B$6912,A66,Positions!$F$2:$F$6912,"Position 9")+COUNTIFS(Positions!$B$2:$B$6912,A66,Positions!$F$2:$F$6912,"Position 26")</f>
        <v>3</v>
      </c>
      <c r="G66" s="7" t="n">
        <f aca="false">COUNTIFS(Positions!$B$2:$B$6912,A66,Positions!$F$2:$F$6912,"Position 8",Positions!$E$2:$E$6912,"G")+COUNTIFS(Positions!$B$2:$B$6912,A66,Positions!$F$2:$F$6912,"Position 9",Positions!$E$2:$E$6912,"G")+COUNTIFS(Positions!$B$2:$B$6912,A66,Positions!$F$2:$F$6912,"Position 26",Positions!$E$2:$E$6912,"G")</f>
        <v>2</v>
      </c>
      <c r="H66" s="7" t="n">
        <f aca="false">COUNTIFS(Positions!$B$2:$B$6912,A66,Positions!$F$2:$F$6912,"Position 8",Positions!$E$2:$E$6912,"C")+COUNTIFS(Positions!$B$2:$B$6912,A66,Positions!$F$2:$F$6912,"Position 9",Positions!$E$2:$E$6912,"C")+COUNTIFS(Positions!$B$2:$B$6912,A66,Positions!$F$2:$F$6912,"Position 26",Positions!$E$2:$E$6912,"C")</f>
        <v>0</v>
      </c>
      <c r="I66" s="8" t="n">
        <f aca="false">G66+H66</f>
        <v>2</v>
      </c>
      <c r="J66" s="26" t="n">
        <f aca="false">IF(F66=0,0,I66/F66)</f>
        <v>0.666666666666667</v>
      </c>
    </row>
    <row r="67" customFormat="false" ht="15" hidden="false" customHeight="false" outlineLevel="0" collapsed="false">
      <c r="A67" s="4" t="s">
        <v>50</v>
      </c>
      <c r="B67" s="4" t="s">
        <v>430</v>
      </c>
      <c r="C67" s="4" t="s">
        <v>544</v>
      </c>
      <c r="D67" s="4" t="s">
        <v>544</v>
      </c>
      <c r="E67" s="4" t="s">
        <v>607</v>
      </c>
      <c r="F67" s="4" t="n">
        <f aca="false">COUNTIFS(Positions!$B$2:$B$6912,A67,Positions!$F$2:$F$6912,B67)</f>
        <v>8</v>
      </c>
      <c r="G67" s="4" t="n">
        <f aca="false">COUNTIFS(Positions!$B$2:$B$6912,A67,Positions!$F$2:$F$6912,B67,Positions!$E$2:$E$6912,"G")</f>
        <v>3</v>
      </c>
      <c r="H67" s="4" t="n">
        <f aca="false">COUNTIFS(Positions!$B$2:$B$6912,A67,Positions!$F$2:$F$6912,B67,Positions!$E$2:$E$6912,"C")</f>
        <v>1</v>
      </c>
      <c r="I67" s="3" t="n">
        <f aca="false">G67+H67</f>
        <v>4</v>
      </c>
      <c r="J67" s="6" t="n">
        <f aca="false">IF(F67=0,0,I67/F67)</f>
        <v>0.5</v>
      </c>
    </row>
    <row r="68" customFormat="false" ht="15" hidden="false" customHeight="false" outlineLevel="0" collapsed="false">
      <c r="A68" s="4" t="s">
        <v>50</v>
      </c>
      <c r="B68" s="4" t="s">
        <v>452</v>
      </c>
      <c r="C68" s="4" t="s">
        <v>547</v>
      </c>
      <c r="D68" s="4" t="s">
        <v>547</v>
      </c>
      <c r="E68" s="4" t="s">
        <v>608</v>
      </c>
      <c r="F68" s="4" t="n">
        <f aca="false">COUNTIFS(Positions!$B$2:$B$6912,A68,Positions!$F$2:$F$6912,B68)</f>
        <v>7</v>
      </c>
      <c r="G68" s="4" t="n">
        <f aca="false">COUNTIFS(Positions!$B$2:$B$6912,A68,Positions!$F$2:$F$6912,B68,Positions!$E$2:$E$6912,"G")</f>
        <v>0</v>
      </c>
      <c r="H68" s="4" t="n">
        <f aca="false">COUNTIFS(Positions!$B$2:$B$6912,A68,Positions!$F$2:$F$6912,B68,Positions!$E$2:$E$6912,"C")</f>
        <v>1</v>
      </c>
      <c r="I68" s="3" t="n">
        <f aca="false">G68+H68</f>
        <v>1</v>
      </c>
      <c r="J68" s="6" t="n">
        <f aca="false">IF(F68=0,0,I68/F68)</f>
        <v>0.142857142857143</v>
      </c>
    </row>
    <row r="69" customFormat="false" ht="15" hidden="false" customHeight="false" outlineLevel="0" collapsed="false">
      <c r="A69" s="4" t="s">
        <v>50</v>
      </c>
      <c r="B69" s="4" t="s">
        <v>465</v>
      </c>
      <c r="C69" s="4" t="s">
        <v>550</v>
      </c>
      <c r="D69" s="4" t="s">
        <v>550</v>
      </c>
      <c r="E69" s="4" t="s">
        <v>609</v>
      </c>
      <c r="F69" s="4" t="n">
        <f aca="false">COUNTIFS(Positions!$B$2:$B$6912,A69,Positions!$F$2:$F$6912,B69)</f>
        <v>5</v>
      </c>
      <c r="G69" s="4" t="n">
        <f aca="false">COUNTIFS(Positions!$B$2:$B$6912,A69,Positions!$F$2:$F$6912,B69,Positions!$E$2:$E$6912,"G")</f>
        <v>3</v>
      </c>
      <c r="H69" s="4" t="n">
        <f aca="false">COUNTIFS(Positions!$B$2:$B$6912,A69,Positions!$F$2:$F$6912,B69,Positions!$E$2:$E$6912,"C")</f>
        <v>1</v>
      </c>
      <c r="I69" s="3" t="n">
        <f aca="false">G69+H69</f>
        <v>4</v>
      </c>
      <c r="J69" s="6" t="n">
        <f aca="false">IF(F69=0,0,I69/F69)</f>
        <v>0.8</v>
      </c>
    </row>
    <row r="70" customFormat="false" ht="15" hidden="false" customHeight="false" outlineLevel="0" collapsed="false">
      <c r="A70" s="4" t="s">
        <v>50</v>
      </c>
      <c r="B70" s="4" t="s">
        <v>477</v>
      </c>
      <c r="C70" s="4" t="s">
        <v>553</v>
      </c>
      <c r="D70" s="4" t="s">
        <v>553</v>
      </c>
      <c r="E70" s="4" t="s">
        <v>610</v>
      </c>
      <c r="F70" s="4" t="n">
        <f aca="false">COUNTIFS(Positions!$B$2:$B$6912,A70,Positions!$F$2:$F$6912,B70)</f>
        <v>7</v>
      </c>
      <c r="G70" s="4" t="n">
        <f aca="false">COUNTIFS(Positions!$B$2:$B$6912,A70,Positions!$F$2:$F$6912,B70,Positions!$E$2:$E$6912,"G")</f>
        <v>1</v>
      </c>
      <c r="H70" s="4" t="n">
        <f aca="false">COUNTIFS(Positions!$B$2:$B$6912,A70,Positions!$F$2:$F$6912,B70,Positions!$E$2:$E$6912,"C")</f>
        <v>1</v>
      </c>
      <c r="I70" s="3" t="n">
        <f aca="false">G70+H70</f>
        <v>2</v>
      </c>
      <c r="J70" s="6" t="n">
        <f aca="false">IF(F70=0,0,I70/F70)</f>
        <v>0.285714285714286</v>
      </c>
    </row>
    <row r="71" customFormat="false" ht="15" hidden="false" customHeight="false" outlineLevel="0" collapsed="false">
      <c r="A71" s="7" t="s">
        <v>50</v>
      </c>
      <c r="B71" s="7" t="s">
        <v>556</v>
      </c>
      <c r="C71" s="7" t="s">
        <v>557</v>
      </c>
      <c r="D71" s="7" t="s">
        <v>557</v>
      </c>
      <c r="E71" s="7" t="s">
        <v>611</v>
      </c>
      <c r="F71" s="7" t="n">
        <f aca="false">COUNTIFS(Positions!$B$2:$B$6912,A71,Positions!$F$2:$F$6912,"Position 8")+COUNTIFS(Positions!$B$2:$B$6912,A71,Positions!$F$2:$F$6912,"Position 9")+COUNTIFS(Positions!$B$2:$B$6912,A71,Positions!$F$2:$F$6912,"Position 26")</f>
        <v>3</v>
      </c>
      <c r="G71" s="7" t="n">
        <f aca="false">COUNTIFS(Positions!$B$2:$B$6912,A71,Positions!$F$2:$F$6912,"Position 8",Positions!$E$2:$E$6912,"G")+COUNTIFS(Positions!$B$2:$B$6912,A71,Positions!$F$2:$F$6912,"Position 9",Positions!$E$2:$E$6912,"G")+COUNTIFS(Positions!$B$2:$B$6912,A71,Positions!$F$2:$F$6912,"Position 26",Positions!$E$2:$E$6912,"G")</f>
        <v>0</v>
      </c>
      <c r="H71" s="7" t="n">
        <f aca="false">COUNTIFS(Positions!$B$2:$B$6912,A71,Positions!$F$2:$F$6912,"Position 8",Positions!$E$2:$E$6912,"C")+COUNTIFS(Positions!$B$2:$B$6912,A71,Positions!$F$2:$F$6912,"Position 9",Positions!$E$2:$E$6912,"C")+COUNTIFS(Positions!$B$2:$B$6912,A71,Positions!$F$2:$F$6912,"Position 26",Positions!$E$2:$E$6912,"C")</f>
        <v>0</v>
      </c>
      <c r="I71" s="8" t="n">
        <f aca="false">G71+H71</f>
        <v>0</v>
      </c>
      <c r="J71" s="26" t="n">
        <f aca="false">IF(F71=0,0,I71/F71)</f>
        <v>0</v>
      </c>
    </row>
    <row r="72" customFormat="false" ht="15" hidden="false" customHeight="false" outlineLevel="0" collapsed="false">
      <c r="A72" s="4" t="s">
        <v>51</v>
      </c>
      <c r="B72" s="4" t="s">
        <v>430</v>
      </c>
      <c r="C72" s="4" t="s">
        <v>544</v>
      </c>
      <c r="D72" s="4" t="s">
        <v>544</v>
      </c>
      <c r="E72" s="4" t="s">
        <v>607</v>
      </c>
      <c r="F72" s="4" t="n">
        <f aca="false">COUNTIFS(Positions!$B$2:$B$6912,A72,Positions!$F$2:$F$6912,B72)</f>
        <v>8</v>
      </c>
      <c r="G72" s="4" t="n">
        <f aca="false">COUNTIFS(Positions!$B$2:$B$6912,A72,Positions!$F$2:$F$6912,B72,Positions!$E$2:$E$6912,"G")</f>
        <v>3</v>
      </c>
      <c r="H72" s="4" t="n">
        <f aca="false">COUNTIFS(Positions!$B$2:$B$6912,A72,Positions!$F$2:$F$6912,B72,Positions!$E$2:$E$6912,"C")</f>
        <v>1</v>
      </c>
      <c r="I72" s="3" t="n">
        <f aca="false">G72+H72</f>
        <v>4</v>
      </c>
      <c r="J72" s="6" t="n">
        <f aca="false">IF(F72=0,0,I72/F72)</f>
        <v>0.5</v>
      </c>
    </row>
    <row r="73" customFormat="false" ht="15" hidden="false" customHeight="false" outlineLevel="0" collapsed="false">
      <c r="A73" s="4" t="s">
        <v>51</v>
      </c>
      <c r="B73" s="4" t="s">
        <v>452</v>
      </c>
      <c r="C73" s="4" t="s">
        <v>547</v>
      </c>
      <c r="D73" s="4" t="s">
        <v>547</v>
      </c>
      <c r="E73" s="4" t="s">
        <v>612</v>
      </c>
      <c r="F73" s="4" t="n">
        <f aca="false">COUNTIFS(Positions!$B$2:$B$6912,A73,Positions!$F$2:$F$6912,B73)</f>
        <v>7</v>
      </c>
      <c r="G73" s="4" t="n">
        <f aca="false">COUNTIFS(Positions!$B$2:$B$6912,A73,Positions!$F$2:$F$6912,B73,Positions!$E$2:$E$6912,"G")</f>
        <v>0</v>
      </c>
      <c r="H73" s="4" t="n">
        <f aca="false">COUNTIFS(Positions!$B$2:$B$6912,A73,Positions!$F$2:$F$6912,B73,Positions!$E$2:$E$6912,"C")</f>
        <v>2</v>
      </c>
      <c r="I73" s="3" t="n">
        <f aca="false">G73+H73</f>
        <v>2</v>
      </c>
      <c r="J73" s="6" t="n">
        <f aca="false">IF(F73=0,0,I73/F73)</f>
        <v>0.285714285714286</v>
      </c>
    </row>
    <row r="74" customFormat="false" ht="15" hidden="false" customHeight="false" outlineLevel="0" collapsed="false">
      <c r="A74" s="4" t="s">
        <v>51</v>
      </c>
      <c r="B74" s="4" t="s">
        <v>465</v>
      </c>
      <c r="C74" s="4" t="s">
        <v>550</v>
      </c>
      <c r="D74" s="4" t="s">
        <v>550</v>
      </c>
      <c r="E74" s="4" t="s">
        <v>609</v>
      </c>
      <c r="F74" s="4" t="n">
        <f aca="false">COUNTIFS(Positions!$B$2:$B$6912,A74,Positions!$F$2:$F$6912,B74)</f>
        <v>5</v>
      </c>
      <c r="G74" s="4" t="n">
        <f aca="false">COUNTIFS(Positions!$B$2:$B$6912,A74,Positions!$F$2:$F$6912,B74,Positions!$E$2:$E$6912,"G")</f>
        <v>3</v>
      </c>
      <c r="H74" s="4" t="n">
        <f aca="false">COUNTIFS(Positions!$B$2:$B$6912,A74,Positions!$F$2:$F$6912,B74,Positions!$E$2:$E$6912,"C")</f>
        <v>1</v>
      </c>
      <c r="I74" s="3" t="n">
        <f aca="false">G74+H74</f>
        <v>4</v>
      </c>
      <c r="J74" s="6" t="n">
        <f aca="false">IF(F74=0,0,I74/F74)</f>
        <v>0.8</v>
      </c>
    </row>
    <row r="75" customFormat="false" ht="15" hidden="false" customHeight="false" outlineLevel="0" collapsed="false">
      <c r="A75" s="4" t="s">
        <v>51</v>
      </c>
      <c r="B75" s="4" t="s">
        <v>477</v>
      </c>
      <c r="C75" s="4" t="s">
        <v>553</v>
      </c>
      <c r="D75" s="4" t="s">
        <v>553</v>
      </c>
      <c r="E75" s="4" t="s">
        <v>613</v>
      </c>
      <c r="F75" s="4" t="n">
        <f aca="false">COUNTIFS(Positions!$B$2:$B$6912,A75,Positions!$F$2:$F$6912,B75)</f>
        <v>7</v>
      </c>
      <c r="G75" s="4" t="n">
        <f aca="false">COUNTIFS(Positions!$B$2:$B$6912,A75,Positions!$F$2:$F$6912,B75,Positions!$E$2:$E$6912,"G")</f>
        <v>2</v>
      </c>
      <c r="H75" s="4" t="n">
        <f aca="false">COUNTIFS(Positions!$B$2:$B$6912,A75,Positions!$F$2:$F$6912,B75,Positions!$E$2:$E$6912,"C")</f>
        <v>2</v>
      </c>
      <c r="I75" s="3" t="n">
        <f aca="false">G75+H75</f>
        <v>4</v>
      </c>
      <c r="J75" s="6" t="n">
        <f aca="false">IF(F75=0,0,I75/F75)</f>
        <v>0.571428571428571</v>
      </c>
    </row>
    <row r="76" customFormat="false" ht="15" hidden="false" customHeight="false" outlineLevel="0" collapsed="false">
      <c r="A76" s="7" t="s">
        <v>51</v>
      </c>
      <c r="B76" s="7" t="s">
        <v>556</v>
      </c>
      <c r="C76" s="7" t="s">
        <v>557</v>
      </c>
      <c r="D76" s="7" t="s">
        <v>557</v>
      </c>
      <c r="E76" s="7" t="s">
        <v>611</v>
      </c>
      <c r="F76" s="7" t="n">
        <f aca="false">COUNTIFS(Positions!$B$2:$B$6912,A76,Positions!$F$2:$F$6912,"Position 8")+COUNTIFS(Positions!$B$2:$B$6912,A76,Positions!$F$2:$F$6912,"Position 9")+COUNTIFS(Positions!$B$2:$B$6912,A76,Positions!$F$2:$F$6912,"Position 26")</f>
        <v>3</v>
      </c>
      <c r="G76" s="7" t="n">
        <f aca="false">COUNTIFS(Positions!$B$2:$B$6912,A76,Positions!$F$2:$F$6912,"Position 8",Positions!$E$2:$E$6912,"G")+COUNTIFS(Positions!$B$2:$B$6912,A76,Positions!$F$2:$F$6912,"Position 9",Positions!$E$2:$E$6912,"G")+COUNTIFS(Positions!$B$2:$B$6912,A76,Positions!$F$2:$F$6912,"Position 26",Positions!$E$2:$E$6912,"G")</f>
        <v>0</v>
      </c>
      <c r="H76" s="7" t="n">
        <f aca="false">COUNTIFS(Positions!$B$2:$B$6912,A76,Positions!$F$2:$F$6912,"Position 8",Positions!$E$2:$E$6912,"C")+COUNTIFS(Positions!$B$2:$B$6912,A76,Positions!$F$2:$F$6912,"Position 9",Positions!$E$2:$E$6912,"C")+COUNTIFS(Positions!$B$2:$B$6912,A76,Positions!$F$2:$F$6912,"Position 26",Positions!$E$2:$E$6912,"C")</f>
        <v>0</v>
      </c>
      <c r="I76" s="8" t="n">
        <f aca="false">G76+H76</f>
        <v>0</v>
      </c>
      <c r="J76" s="26" t="n">
        <f aca="false">IF(F76=0,0,I76/F76)</f>
        <v>0</v>
      </c>
    </row>
    <row r="77" customFormat="false" ht="15" hidden="false" customHeight="false" outlineLevel="0" collapsed="false">
      <c r="A77" s="4" t="s">
        <v>52</v>
      </c>
      <c r="B77" s="4" t="s">
        <v>430</v>
      </c>
      <c r="C77" s="4" t="s">
        <v>544</v>
      </c>
      <c r="D77" s="4" t="s">
        <v>544</v>
      </c>
      <c r="E77" s="4" t="s">
        <v>614</v>
      </c>
      <c r="F77" s="4" t="n">
        <f aca="false">COUNTIFS(Positions!$B$2:$B$6912,A77,Positions!$F$2:$F$6912,B77)</f>
        <v>8</v>
      </c>
      <c r="G77" s="4" t="n">
        <f aca="false">COUNTIFS(Positions!$B$2:$B$6912,A77,Positions!$F$2:$F$6912,B77,Positions!$E$2:$E$6912,"G")</f>
        <v>4</v>
      </c>
      <c r="H77" s="4" t="n">
        <f aca="false">COUNTIFS(Positions!$B$2:$B$6912,A77,Positions!$F$2:$F$6912,B77,Positions!$E$2:$E$6912,"C")</f>
        <v>0</v>
      </c>
      <c r="I77" s="3" t="n">
        <f aca="false">G77+H77</f>
        <v>4</v>
      </c>
      <c r="J77" s="6" t="n">
        <f aca="false">IF(F77=0,0,I77/F77)</f>
        <v>0.5</v>
      </c>
    </row>
    <row r="78" customFormat="false" ht="15" hidden="false" customHeight="false" outlineLevel="0" collapsed="false">
      <c r="A78" s="4" t="s">
        <v>52</v>
      </c>
      <c r="B78" s="4" t="s">
        <v>452</v>
      </c>
      <c r="C78" s="4" t="s">
        <v>547</v>
      </c>
      <c r="D78" s="4" t="s">
        <v>547</v>
      </c>
      <c r="E78" s="4" t="s">
        <v>615</v>
      </c>
      <c r="F78" s="4" t="n">
        <f aca="false">COUNTIFS(Positions!$B$2:$B$6912,A78,Positions!$F$2:$F$6912,B78)</f>
        <v>7</v>
      </c>
      <c r="G78" s="4" t="n">
        <f aca="false">COUNTIFS(Positions!$B$2:$B$6912,A78,Positions!$F$2:$F$6912,B78,Positions!$E$2:$E$6912,"G")</f>
        <v>2</v>
      </c>
      <c r="H78" s="4" t="n">
        <f aca="false">COUNTIFS(Positions!$B$2:$B$6912,A78,Positions!$F$2:$F$6912,B78,Positions!$E$2:$E$6912,"C")</f>
        <v>1</v>
      </c>
      <c r="I78" s="3" t="n">
        <f aca="false">G78+H78</f>
        <v>3</v>
      </c>
      <c r="J78" s="6" t="n">
        <f aca="false">IF(F78=0,0,I78/F78)</f>
        <v>0.428571428571429</v>
      </c>
    </row>
    <row r="79" customFormat="false" ht="15" hidden="false" customHeight="false" outlineLevel="0" collapsed="false">
      <c r="A79" s="4" t="s">
        <v>52</v>
      </c>
      <c r="B79" s="4" t="s">
        <v>465</v>
      </c>
      <c r="C79" s="4" t="s">
        <v>550</v>
      </c>
      <c r="D79" s="4" t="s">
        <v>550</v>
      </c>
      <c r="E79" s="4" t="s">
        <v>591</v>
      </c>
      <c r="F79" s="4" t="n">
        <f aca="false">COUNTIFS(Positions!$B$2:$B$6912,A79,Positions!$F$2:$F$6912,B79)</f>
        <v>5</v>
      </c>
      <c r="G79" s="4" t="n">
        <f aca="false">COUNTIFS(Positions!$B$2:$B$6912,A79,Positions!$F$2:$F$6912,B79,Positions!$E$2:$E$6912,"G")</f>
        <v>2</v>
      </c>
      <c r="H79" s="4" t="n">
        <f aca="false">COUNTIFS(Positions!$B$2:$B$6912,A79,Positions!$F$2:$F$6912,B79,Positions!$E$2:$E$6912,"C")</f>
        <v>1</v>
      </c>
      <c r="I79" s="3" t="n">
        <f aca="false">G79+H79</f>
        <v>3</v>
      </c>
      <c r="J79" s="6" t="n">
        <f aca="false">IF(F79=0,0,I79/F79)</f>
        <v>0.6</v>
      </c>
    </row>
    <row r="80" customFormat="false" ht="15" hidden="false" customHeight="false" outlineLevel="0" collapsed="false">
      <c r="A80" s="4" t="s">
        <v>52</v>
      </c>
      <c r="B80" s="4" t="s">
        <v>477</v>
      </c>
      <c r="C80" s="4" t="s">
        <v>553</v>
      </c>
      <c r="D80" s="4" t="s">
        <v>553</v>
      </c>
      <c r="E80" s="4" t="s">
        <v>616</v>
      </c>
      <c r="F80" s="4" t="n">
        <f aca="false">COUNTIFS(Positions!$B$2:$B$6912,A80,Positions!$F$2:$F$6912,B80)</f>
        <v>7</v>
      </c>
      <c r="G80" s="4" t="n">
        <f aca="false">COUNTIFS(Positions!$B$2:$B$6912,A80,Positions!$F$2:$F$6912,B80,Positions!$E$2:$E$6912,"G")</f>
        <v>0</v>
      </c>
      <c r="H80" s="4" t="n">
        <f aca="false">COUNTIFS(Positions!$B$2:$B$6912,A80,Positions!$F$2:$F$6912,B80,Positions!$E$2:$E$6912,"C")</f>
        <v>2</v>
      </c>
      <c r="I80" s="3" t="n">
        <f aca="false">G80+H80</f>
        <v>2</v>
      </c>
      <c r="J80" s="6" t="n">
        <f aca="false">IF(F80=0,0,I80/F80)</f>
        <v>0.285714285714286</v>
      </c>
    </row>
    <row r="81" customFormat="false" ht="15" hidden="false" customHeight="false" outlineLevel="0" collapsed="false">
      <c r="A81" s="7" t="s">
        <v>52</v>
      </c>
      <c r="B81" s="7" t="s">
        <v>556</v>
      </c>
      <c r="C81" s="7" t="s">
        <v>557</v>
      </c>
      <c r="D81" s="7" t="s">
        <v>557</v>
      </c>
      <c r="E81" s="7" t="s">
        <v>580</v>
      </c>
      <c r="F81" s="7" t="n">
        <f aca="false">COUNTIFS(Positions!$B$2:$B$6912,A81,Positions!$F$2:$F$6912,"Position 8")+COUNTIFS(Positions!$B$2:$B$6912,A81,Positions!$F$2:$F$6912,"Position 9")+COUNTIFS(Positions!$B$2:$B$6912,A81,Positions!$F$2:$F$6912,"Position 26")</f>
        <v>3</v>
      </c>
      <c r="G81" s="7" t="n">
        <f aca="false">COUNTIFS(Positions!$B$2:$B$6912,A81,Positions!$F$2:$F$6912,"Position 8",Positions!$E$2:$E$6912,"G")+COUNTIFS(Positions!$B$2:$B$6912,A81,Positions!$F$2:$F$6912,"Position 9",Positions!$E$2:$E$6912,"G")+COUNTIFS(Positions!$B$2:$B$6912,A81,Positions!$F$2:$F$6912,"Position 26",Positions!$E$2:$E$6912,"G")</f>
        <v>1</v>
      </c>
      <c r="H81" s="7" t="n">
        <f aca="false">COUNTIFS(Positions!$B$2:$B$6912,A81,Positions!$F$2:$F$6912,"Position 8",Positions!$E$2:$E$6912,"C")+COUNTIFS(Positions!$B$2:$B$6912,A81,Positions!$F$2:$F$6912,"Position 9",Positions!$E$2:$E$6912,"C")+COUNTIFS(Positions!$B$2:$B$6912,A81,Positions!$F$2:$F$6912,"Position 26",Positions!$E$2:$E$6912,"C")</f>
        <v>0</v>
      </c>
      <c r="I81" s="8" t="n">
        <f aca="false">G81+H81</f>
        <v>1</v>
      </c>
      <c r="J81" s="26" t="n">
        <f aca="false">IF(F81=0,0,I81/F81)</f>
        <v>0.333333333333333</v>
      </c>
    </row>
    <row r="82" customFormat="false" ht="15" hidden="false" customHeight="false" outlineLevel="0" collapsed="false">
      <c r="A82" s="4" t="s">
        <v>53</v>
      </c>
      <c r="B82" s="4" t="s">
        <v>430</v>
      </c>
      <c r="C82" s="4" t="s">
        <v>544</v>
      </c>
      <c r="D82" s="4" t="s">
        <v>544</v>
      </c>
      <c r="E82" s="4" t="s">
        <v>617</v>
      </c>
      <c r="F82" s="4" t="n">
        <f aca="false">COUNTIFS(Positions!$B$2:$B$6912,A82,Positions!$F$2:$F$6912,B82)</f>
        <v>8</v>
      </c>
      <c r="G82" s="4" t="n">
        <f aca="false">COUNTIFS(Positions!$B$2:$B$6912,A82,Positions!$F$2:$F$6912,B82,Positions!$E$2:$E$6912,"G")</f>
        <v>3</v>
      </c>
      <c r="H82" s="4" t="n">
        <f aca="false">COUNTIFS(Positions!$B$2:$B$6912,A82,Positions!$F$2:$F$6912,B82,Positions!$E$2:$E$6912,"C")</f>
        <v>0</v>
      </c>
      <c r="I82" s="3" t="n">
        <f aca="false">G82+H82</f>
        <v>3</v>
      </c>
      <c r="J82" s="6" t="n">
        <f aca="false">IF(F82=0,0,I82/F82)</f>
        <v>0.375</v>
      </c>
    </row>
    <row r="83" customFormat="false" ht="15" hidden="false" customHeight="false" outlineLevel="0" collapsed="false">
      <c r="A83" s="4" t="s">
        <v>53</v>
      </c>
      <c r="B83" s="4" t="s">
        <v>452</v>
      </c>
      <c r="C83" s="4" t="s">
        <v>547</v>
      </c>
      <c r="D83" s="4" t="s">
        <v>547</v>
      </c>
      <c r="E83" s="4" t="s">
        <v>618</v>
      </c>
      <c r="F83" s="4" t="n">
        <f aca="false">COUNTIFS(Positions!$B$2:$B$6912,A83,Positions!$F$2:$F$6912,B83)</f>
        <v>7</v>
      </c>
      <c r="G83" s="4" t="n">
        <f aca="false">COUNTIFS(Positions!$B$2:$B$6912,A83,Positions!$F$2:$F$6912,B83,Positions!$E$2:$E$6912,"G")</f>
        <v>2</v>
      </c>
      <c r="H83" s="4" t="n">
        <f aca="false">COUNTIFS(Positions!$B$2:$B$6912,A83,Positions!$F$2:$F$6912,B83,Positions!$E$2:$E$6912,"C")</f>
        <v>1</v>
      </c>
      <c r="I83" s="3" t="n">
        <f aca="false">G83+H83</f>
        <v>3</v>
      </c>
      <c r="J83" s="6" t="n">
        <f aca="false">IF(F83=0,0,I83/F83)</f>
        <v>0.428571428571429</v>
      </c>
    </row>
    <row r="84" customFormat="false" ht="15" hidden="false" customHeight="false" outlineLevel="0" collapsed="false">
      <c r="A84" s="4" t="s">
        <v>53</v>
      </c>
      <c r="B84" s="4" t="s">
        <v>465</v>
      </c>
      <c r="C84" s="4" t="s">
        <v>550</v>
      </c>
      <c r="D84" s="4" t="s">
        <v>550</v>
      </c>
      <c r="E84" s="4" t="s">
        <v>591</v>
      </c>
      <c r="F84" s="4" t="n">
        <f aca="false">COUNTIFS(Positions!$B$2:$B$6912,A84,Positions!$F$2:$F$6912,B84)</f>
        <v>5</v>
      </c>
      <c r="G84" s="4" t="n">
        <f aca="false">COUNTIFS(Positions!$B$2:$B$6912,A84,Positions!$F$2:$F$6912,B84,Positions!$E$2:$E$6912,"G")</f>
        <v>2</v>
      </c>
      <c r="H84" s="4" t="n">
        <f aca="false">COUNTIFS(Positions!$B$2:$B$6912,A84,Positions!$F$2:$F$6912,B84,Positions!$E$2:$E$6912,"C")</f>
        <v>1</v>
      </c>
      <c r="I84" s="3" t="n">
        <f aca="false">G84+H84</f>
        <v>3</v>
      </c>
      <c r="J84" s="6" t="n">
        <f aca="false">IF(F84=0,0,I84/F84)</f>
        <v>0.6</v>
      </c>
    </row>
    <row r="85" customFormat="false" ht="15" hidden="false" customHeight="false" outlineLevel="0" collapsed="false">
      <c r="A85" s="4" t="s">
        <v>53</v>
      </c>
      <c r="B85" s="4" t="s">
        <v>477</v>
      </c>
      <c r="C85" s="4" t="s">
        <v>553</v>
      </c>
      <c r="D85" s="4" t="s">
        <v>553</v>
      </c>
      <c r="E85" s="4" t="s">
        <v>570</v>
      </c>
      <c r="F85" s="4" t="n">
        <f aca="false">COUNTIFS(Positions!$B$2:$B$6912,A85,Positions!$F$2:$F$6912,B85)</f>
        <v>7</v>
      </c>
      <c r="G85" s="4" t="n">
        <f aca="false">COUNTIFS(Positions!$B$2:$B$6912,A85,Positions!$F$2:$F$6912,B85,Positions!$E$2:$E$6912,"G")</f>
        <v>0</v>
      </c>
      <c r="H85" s="4" t="n">
        <f aca="false">COUNTIFS(Positions!$B$2:$B$6912,A85,Positions!$F$2:$F$6912,B85,Positions!$E$2:$E$6912,"C")</f>
        <v>1</v>
      </c>
      <c r="I85" s="3" t="n">
        <f aca="false">G85+H85</f>
        <v>1</v>
      </c>
      <c r="J85" s="6" t="n">
        <f aca="false">IF(F85=0,0,I85/F85)</f>
        <v>0.142857142857143</v>
      </c>
    </row>
    <row r="86" customFormat="false" ht="15" hidden="false" customHeight="false" outlineLevel="0" collapsed="false">
      <c r="A86" s="7" t="s">
        <v>53</v>
      </c>
      <c r="B86" s="7" t="s">
        <v>556</v>
      </c>
      <c r="C86" s="7" t="s">
        <v>557</v>
      </c>
      <c r="D86" s="7" t="s">
        <v>557</v>
      </c>
      <c r="E86" s="7" t="s">
        <v>580</v>
      </c>
      <c r="F86" s="7" t="n">
        <f aca="false">COUNTIFS(Positions!$B$2:$B$6912,A86,Positions!$F$2:$F$6912,"Position 8")+COUNTIFS(Positions!$B$2:$B$6912,A86,Positions!$F$2:$F$6912,"Position 9")+COUNTIFS(Positions!$B$2:$B$6912,A86,Positions!$F$2:$F$6912,"Position 26")</f>
        <v>3</v>
      </c>
      <c r="G86" s="7" t="n">
        <f aca="false">COUNTIFS(Positions!$B$2:$B$6912,A86,Positions!$F$2:$F$6912,"Position 8",Positions!$E$2:$E$6912,"G")+COUNTIFS(Positions!$B$2:$B$6912,A86,Positions!$F$2:$F$6912,"Position 9",Positions!$E$2:$E$6912,"G")+COUNTIFS(Positions!$B$2:$B$6912,A86,Positions!$F$2:$F$6912,"Position 26",Positions!$E$2:$E$6912,"G")</f>
        <v>1</v>
      </c>
      <c r="H86" s="7" t="n">
        <f aca="false">COUNTIFS(Positions!$B$2:$B$6912,A86,Positions!$F$2:$F$6912,"Position 8",Positions!$E$2:$E$6912,"C")+COUNTIFS(Positions!$B$2:$B$6912,A86,Positions!$F$2:$F$6912,"Position 9",Positions!$E$2:$E$6912,"C")+COUNTIFS(Positions!$B$2:$B$6912,A86,Positions!$F$2:$F$6912,"Position 26",Positions!$E$2:$E$6912,"C")</f>
        <v>0</v>
      </c>
      <c r="I86" s="8" t="n">
        <f aca="false">G86+H86</f>
        <v>1</v>
      </c>
      <c r="J86" s="26" t="n">
        <f aca="false">IF(F86=0,0,I86/F86)</f>
        <v>0.333333333333333</v>
      </c>
    </row>
    <row r="87" customFormat="false" ht="15" hidden="false" customHeight="false" outlineLevel="0" collapsed="false">
      <c r="A87" s="4" t="s">
        <v>54</v>
      </c>
      <c r="B87" s="4" t="s">
        <v>430</v>
      </c>
      <c r="C87" s="4" t="s">
        <v>544</v>
      </c>
      <c r="D87" s="4" t="s">
        <v>544</v>
      </c>
      <c r="E87" s="4" t="s">
        <v>619</v>
      </c>
      <c r="F87" s="4" t="n">
        <f aca="false">COUNTIFS(Positions!$B$2:$B$6912,A87,Positions!$F$2:$F$6912,B87)</f>
        <v>8</v>
      </c>
      <c r="G87" s="4" t="n">
        <f aca="false">COUNTIFS(Positions!$B$2:$B$6912,A87,Positions!$F$2:$F$6912,B87,Positions!$E$2:$E$6912,"G")</f>
        <v>3</v>
      </c>
      <c r="H87" s="4" t="n">
        <f aca="false">COUNTIFS(Positions!$B$2:$B$6912,A87,Positions!$F$2:$F$6912,B87,Positions!$E$2:$E$6912,"C")</f>
        <v>1</v>
      </c>
      <c r="I87" s="3" t="n">
        <f aca="false">G87+H87</f>
        <v>4</v>
      </c>
      <c r="J87" s="6" t="n">
        <f aca="false">IF(F87=0,0,I87/F87)</f>
        <v>0.5</v>
      </c>
    </row>
    <row r="88" customFormat="false" ht="15" hidden="false" customHeight="false" outlineLevel="0" collapsed="false">
      <c r="A88" s="4" t="s">
        <v>54</v>
      </c>
      <c r="B88" s="4" t="s">
        <v>452</v>
      </c>
      <c r="C88" s="4" t="s">
        <v>547</v>
      </c>
      <c r="D88" s="4" t="s">
        <v>547</v>
      </c>
      <c r="E88" s="4" t="s">
        <v>590</v>
      </c>
      <c r="F88" s="4" t="n">
        <f aca="false">COUNTIFS(Positions!$B$2:$B$6912,A88,Positions!$F$2:$F$6912,B88)</f>
        <v>7</v>
      </c>
      <c r="G88" s="4" t="n">
        <f aca="false">COUNTIFS(Positions!$B$2:$B$6912,A88,Positions!$F$2:$F$6912,B88,Positions!$E$2:$E$6912,"G")</f>
        <v>0</v>
      </c>
      <c r="H88" s="4" t="n">
        <f aca="false">COUNTIFS(Positions!$B$2:$B$6912,A88,Positions!$F$2:$F$6912,B88,Positions!$E$2:$E$6912,"C")</f>
        <v>3</v>
      </c>
      <c r="I88" s="3" t="n">
        <f aca="false">G88+H88</f>
        <v>3</v>
      </c>
      <c r="J88" s="6" t="n">
        <f aca="false">IF(F88=0,0,I88/F88)</f>
        <v>0.428571428571429</v>
      </c>
    </row>
    <row r="89" customFormat="false" ht="15" hidden="false" customHeight="false" outlineLevel="0" collapsed="false">
      <c r="A89" s="4" t="s">
        <v>54</v>
      </c>
      <c r="B89" s="4" t="s">
        <v>465</v>
      </c>
      <c r="C89" s="4" t="s">
        <v>550</v>
      </c>
      <c r="D89" s="4" t="s">
        <v>550</v>
      </c>
      <c r="E89" s="4" t="s">
        <v>591</v>
      </c>
      <c r="F89" s="4" t="n">
        <f aca="false">COUNTIFS(Positions!$B$2:$B$6912,A89,Positions!$F$2:$F$6912,B89)</f>
        <v>5</v>
      </c>
      <c r="G89" s="4" t="n">
        <f aca="false">COUNTIFS(Positions!$B$2:$B$6912,A89,Positions!$F$2:$F$6912,B89,Positions!$E$2:$E$6912,"G")</f>
        <v>2</v>
      </c>
      <c r="H89" s="4" t="n">
        <f aca="false">COUNTIFS(Positions!$B$2:$B$6912,A89,Positions!$F$2:$F$6912,B89,Positions!$E$2:$E$6912,"C")</f>
        <v>1</v>
      </c>
      <c r="I89" s="3" t="n">
        <f aca="false">G89+H89</f>
        <v>3</v>
      </c>
      <c r="J89" s="6" t="n">
        <f aca="false">IF(F89=0,0,I89/F89)</f>
        <v>0.6</v>
      </c>
    </row>
    <row r="90" customFormat="false" ht="15" hidden="false" customHeight="false" outlineLevel="0" collapsed="false">
      <c r="A90" s="4" t="s">
        <v>54</v>
      </c>
      <c r="B90" s="4" t="s">
        <v>477</v>
      </c>
      <c r="C90" s="4" t="s">
        <v>553</v>
      </c>
      <c r="D90" s="4" t="s">
        <v>553</v>
      </c>
      <c r="E90" s="4" t="s">
        <v>620</v>
      </c>
      <c r="F90" s="4" t="n">
        <f aca="false">COUNTIFS(Positions!$B$2:$B$6912,A90,Positions!$F$2:$F$6912,B90)</f>
        <v>7</v>
      </c>
      <c r="G90" s="4" t="n">
        <f aca="false">COUNTIFS(Positions!$B$2:$B$6912,A90,Positions!$F$2:$F$6912,B90,Positions!$E$2:$E$6912,"G")</f>
        <v>1</v>
      </c>
      <c r="H90" s="4" t="n">
        <f aca="false">COUNTIFS(Positions!$B$2:$B$6912,A90,Positions!$F$2:$F$6912,B90,Positions!$E$2:$E$6912,"C")</f>
        <v>2</v>
      </c>
      <c r="I90" s="3" t="n">
        <f aca="false">G90+H90</f>
        <v>3</v>
      </c>
      <c r="J90" s="6" t="n">
        <f aca="false">IF(F90=0,0,I90/F90)</f>
        <v>0.428571428571429</v>
      </c>
    </row>
    <row r="91" customFormat="false" ht="15" hidden="false" customHeight="false" outlineLevel="0" collapsed="false">
      <c r="A91" s="7" t="s">
        <v>54</v>
      </c>
      <c r="B91" s="7" t="s">
        <v>556</v>
      </c>
      <c r="C91" s="7" t="s">
        <v>557</v>
      </c>
      <c r="D91" s="7" t="s">
        <v>557</v>
      </c>
      <c r="E91" s="7" t="s">
        <v>580</v>
      </c>
      <c r="F91" s="7" t="n">
        <f aca="false">COUNTIFS(Positions!$B$2:$B$6912,A91,Positions!$F$2:$F$6912,"Position 8")+COUNTIFS(Positions!$B$2:$B$6912,A91,Positions!$F$2:$F$6912,"Position 9")+COUNTIFS(Positions!$B$2:$B$6912,A91,Positions!$F$2:$F$6912,"Position 26")</f>
        <v>3</v>
      </c>
      <c r="G91" s="7" t="n">
        <f aca="false">COUNTIFS(Positions!$B$2:$B$6912,A91,Positions!$F$2:$F$6912,"Position 8",Positions!$E$2:$E$6912,"G")+COUNTIFS(Positions!$B$2:$B$6912,A91,Positions!$F$2:$F$6912,"Position 9",Positions!$E$2:$E$6912,"G")+COUNTIFS(Positions!$B$2:$B$6912,A91,Positions!$F$2:$F$6912,"Position 26",Positions!$E$2:$E$6912,"G")</f>
        <v>1</v>
      </c>
      <c r="H91" s="7" t="n">
        <f aca="false">COUNTIFS(Positions!$B$2:$B$6912,A91,Positions!$F$2:$F$6912,"Position 8",Positions!$E$2:$E$6912,"C")+COUNTIFS(Positions!$B$2:$B$6912,A91,Positions!$F$2:$F$6912,"Position 9",Positions!$E$2:$E$6912,"C")+COUNTIFS(Positions!$B$2:$B$6912,A91,Positions!$F$2:$F$6912,"Position 26",Positions!$E$2:$E$6912,"C")</f>
        <v>0</v>
      </c>
      <c r="I91" s="8" t="n">
        <f aca="false">G91+H91</f>
        <v>1</v>
      </c>
      <c r="J91" s="26" t="n">
        <f aca="false">IF(F91=0,0,I91/F91)</f>
        <v>0.333333333333333</v>
      </c>
    </row>
    <row r="92" customFormat="false" ht="15" hidden="false" customHeight="false" outlineLevel="0" collapsed="false">
      <c r="A92" s="4" t="s">
        <v>55</v>
      </c>
      <c r="B92" s="4" t="s">
        <v>430</v>
      </c>
      <c r="C92" s="4" t="s">
        <v>544</v>
      </c>
      <c r="D92" s="4" t="s">
        <v>544</v>
      </c>
      <c r="E92" s="4" t="s">
        <v>619</v>
      </c>
      <c r="F92" s="4" t="n">
        <f aca="false">COUNTIFS(Positions!$B$2:$B$6912,A92,Positions!$F$2:$F$6912,B92)</f>
        <v>8</v>
      </c>
      <c r="G92" s="4" t="n">
        <f aca="false">COUNTIFS(Positions!$B$2:$B$6912,A92,Positions!$F$2:$F$6912,B92,Positions!$E$2:$E$6912,"G")</f>
        <v>3</v>
      </c>
      <c r="H92" s="4" t="n">
        <f aca="false">COUNTIFS(Positions!$B$2:$B$6912,A92,Positions!$F$2:$F$6912,B92,Positions!$E$2:$E$6912,"C")</f>
        <v>1</v>
      </c>
      <c r="I92" s="3" t="n">
        <f aca="false">G92+H92</f>
        <v>4</v>
      </c>
      <c r="J92" s="6" t="n">
        <f aca="false">IF(F92=0,0,I92/F92)</f>
        <v>0.5</v>
      </c>
    </row>
    <row r="93" customFormat="false" ht="15" hidden="false" customHeight="false" outlineLevel="0" collapsed="false">
      <c r="A93" s="4" t="s">
        <v>55</v>
      </c>
      <c r="B93" s="4" t="s">
        <v>452</v>
      </c>
      <c r="C93" s="4" t="s">
        <v>547</v>
      </c>
      <c r="D93" s="4" t="s">
        <v>547</v>
      </c>
      <c r="E93" s="4" t="s">
        <v>621</v>
      </c>
      <c r="F93" s="4" t="n">
        <f aca="false">COUNTIFS(Positions!$B$2:$B$6912,A93,Positions!$F$2:$F$6912,B93)</f>
        <v>7</v>
      </c>
      <c r="G93" s="4" t="n">
        <f aca="false">COUNTIFS(Positions!$B$2:$B$6912,A93,Positions!$F$2:$F$6912,B93,Positions!$E$2:$E$6912,"G")</f>
        <v>0</v>
      </c>
      <c r="H93" s="4" t="n">
        <f aca="false">COUNTIFS(Positions!$B$2:$B$6912,A93,Positions!$F$2:$F$6912,B93,Positions!$E$2:$E$6912,"C")</f>
        <v>3</v>
      </c>
      <c r="I93" s="3" t="n">
        <f aca="false">G93+H93</f>
        <v>3</v>
      </c>
      <c r="J93" s="6" t="n">
        <f aca="false">IF(F93=0,0,I93/F93)</f>
        <v>0.428571428571429</v>
      </c>
    </row>
    <row r="94" customFormat="false" ht="15" hidden="false" customHeight="false" outlineLevel="0" collapsed="false">
      <c r="A94" s="4" t="s">
        <v>55</v>
      </c>
      <c r="B94" s="4" t="s">
        <v>465</v>
      </c>
      <c r="C94" s="4" t="s">
        <v>550</v>
      </c>
      <c r="D94" s="4" t="s">
        <v>550</v>
      </c>
      <c r="E94" s="4" t="s">
        <v>577</v>
      </c>
      <c r="F94" s="4" t="n">
        <f aca="false">COUNTIFS(Positions!$B$2:$B$6912,A94,Positions!$F$2:$F$6912,B94)</f>
        <v>5</v>
      </c>
      <c r="G94" s="4" t="n">
        <f aca="false">COUNTIFS(Positions!$B$2:$B$6912,A94,Positions!$F$2:$F$6912,B94,Positions!$E$2:$E$6912,"G")</f>
        <v>2</v>
      </c>
      <c r="H94" s="4" t="n">
        <f aca="false">COUNTIFS(Positions!$B$2:$B$6912,A94,Positions!$F$2:$F$6912,B94,Positions!$E$2:$E$6912,"C")</f>
        <v>2</v>
      </c>
      <c r="I94" s="3" t="n">
        <f aca="false">G94+H94</f>
        <v>4</v>
      </c>
      <c r="J94" s="6" t="n">
        <f aca="false">IF(F94=0,0,I94/F94)</f>
        <v>0.8</v>
      </c>
    </row>
    <row r="95" customFormat="false" ht="15" hidden="false" customHeight="false" outlineLevel="0" collapsed="false">
      <c r="A95" s="4" t="s">
        <v>55</v>
      </c>
      <c r="B95" s="4" t="s">
        <v>477</v>
      </c>
      <c r="C95" s="4" t="s">
        <v>553</v>
      </c>
      <c r="D95" s="4" t="s">
        <v>553</v>
      </c>
      <c r="E95" s="4" t="s">
        <v>622</v>
      </c>
      <c r="F95" s="4" t="n">
        <f aca="false">COUNTIFS(Positions!$B$2:$B$6912,A95,Positions!$F$2:$F$6912,B95)</f>
        <v>7</v>
      </c>
      <c r="G95" s="4" t="n">
        <f aca="false">COUNTIFS(Positions!$B$2:$B$6912,A95,Positions!$F$2:$F$6912,B95,Positions!$E$2:$E$6912,"G")</f>
        <v>1</v>
      </c>
      <c r="H95" s="4" t="n">
        <f aca="false">COUNTIFS(Positions!$B$2:$B$6912,A95,Positions!$F$2:$F$6912,B95,Positions!$E$2:$E$6912,"C")</f>
        <v>2</v>
      </c>
      <c r="I95" s="3" t="n">
        <f aca="false">G95+H95</f>
        <v>3</v>
      </c>
      <c r="J95" s="6" t="n">
        <f aca="false">IF(F95=0,0,I95/F95)</f>
        <v>0.428571428571429</v>
      </c>
    </row>
    <row r="96" customFormat="false" ht="15" hidden="false" customHeight="false" outlineLevel="0" collapsed="false">
      <c r="A96" s="7" t="s">
        <v>55</v>
      </c>
      <c r="B96" s="7" t="s">
        <v>556</v>
      </c>
      <c r="C96" s="7" t="s">
        <v>557</v>
      </c>
      <c r="D96" s="7" t="s">
        <v>557</v>
      </c>
      <c r="E96" s="7" t="s">
        <v>595</v>
      </c>
      <c r="F96" s="7" t="n">
        <f aca="false">COUNTIFS(Positions!$B$2:$B$6912,A96,Positions!$F$2:$F$6912,"Position 8")+COUNTIFS(Positions!$B$2:$B$6912,A96,Positions!$F$2:$F$6912,"Position 9")+COUNTIFS(Positions!$B$2:$B$6912,A96,Positions!$F$2:$F$6912,"Position 26")</f>
        <v>3</v>
      </c>
      <c r="G96" s="7" t="n">
        <f aca="false">COUNTIFS(Positions!$B$2:$B$6912,A96,Positions!$F$2:$F$6912,"Position 8",Positions!$E$2:$E$6912,"G")+COUNTIFS(Positions!$B$2:$B$6912,A96,Positions!$F$2:$F$6912,"Position 9",Positions!$E$2:$E$6912,"G")+COUNTIFS(Positions!$B$2:$B$6912,A96,Positions!$F$2:$F$6912,"Position 26",Positions!$E$2:$E$6912,"G")</f>
        <v>1</v>
      </c>
      <c r="H96" s="7" t="n">
        <f aca="false">COUNTIFS(Positions!$B$2:$B$6912,A96,Positions!$F$2:$F$6912,"Position 8",Positions!$E$2:$E$6912,"C")+COUNTIFS(Positions!$B$2:$B$6912,A96,Positions!$F$2:$F$6912,"Position 9",Positions!$E$2:$E$6912,"C")+COUNTIFS(Positions!$B$2:$B$6912,A96,Positions!$F$2:$F$6912,"Position 26",Positions!$E$2:$E$6912,"C")</f>
        <v>0</v>
      </c>
      <c r="I96" s="8" t="n">
        <f aca="false">G96+H96</f>
        <v>1</v>
      </c>
      <c r="J96" s="26" t="n">
        <f aca="false">IF(F96=0,0,I96/F96)</f>
        <v>0.333333333333333</v>
      </c>
    </row>
    <row r="97" customFormat="false" ht="15" hidden="false" customHeight="false" outlineLevel="0" collapsed="false">
      <c r="A97" s="4" t="s">
        <v>56</v>
      </c>
      <c r="B97" s="4" t="s">
        <v>430</v>
      </c>
      <c r="C97" s="4" t="s">
        <v>544</v>
      </c>
      <c r="D97" s="4" t="s">
        <v>544</v>
      </c>
      <c r="E97" s="4" t="s">
        <v>619</v>
      </c>
      <c r="F97" s="4" t="n">
        <f aca="false">COUNTIFS(Positions!$B$2:$B$6912,A97,Positions!$F$2:$F$6912,B97)</f>
        <v>8</v>
      </c>
      <c r="G97" s="4" t="n">
        <f aca="false">COUNTIFS(Positions!$B$2:$B$6912,A97,Positions!$F$2:$F$6912,B97,Positions!$E$2:$E$6912,"G")</f>
        <v>3</v>
      </c>
      <c r="H97" s="4" t="n">
        <f aca="false">COUNTIFS(Positions!$B$2:$B$6912,A97,Positions!$F$2:$F$6912,B97,Positions!$E$2:$E$6912,"C")</f>
        <v>1</v>
      </c>
      <c r="I97" s="3" t="n">
        <f aca="false">G97+H97</f>
        <v>4</v>
      </c>
      <c r="J97" s="6" t="n">
        <f aca="false">IF(F97=0,0,I97/F97)</f>
        <v>0.5</v>
      </c>
    </row>
    <row r="98" customFormat="false" ht="15" hidden="false" customHeight="false" outlineLevel="0" collapsed="false">
      <c r="A98" s="4" t="s">
        <v>56</v>
      </c>
      <c r="B98" s="4" t="s">
        <v>452</v>
      </c>
      <c r="C98" s="4" t="s">
        <v>547</v>
      </c>
      <c r="D98" s="4" t="s">
        <v>547</v>
      </c>
      <c r="E98" s="4" t="s">
        <v>623</v>
      </c>
      <c r="F98" s="4" t="n">
        <f aca="false">COUNTIFS(Positions!$B$2:$B$6912,A98,Positions!$F$2:$F$6912,B98)</f>
        <v>7</v>
      </c>
      <c r="G98" s="4" t="n">
        <f aca="false">COUNTIFS(Positions!$B$2:$B$6912,A98,Positions!$F$2:$F$6912,B98,Positions!$E$2:$E$6912,"G")</f>
        <v>0</v>
      </c>
      <c r="H98" s="4" t="n">
        <f aca="false">COUNTIFS(Positions!$B$2:$B$6912,A98,Positions!$F$2:$F$6912,B98,Positions!$E$2:$E$6912,"C")</f>
        <v>2</v>
      </c>
      <c r="I98" s="3" t="n">
        <f aca="false">G98+H98</f>
        <v>2</v>
      </c>
      <c r="J98" s="6" t="n">
        <f aca="false">IF(F98=0,0,I98/F98)</f>
        <v>0.285714285714286</v>
      </c>
    </row>
    <row r="99" customFormat="false" ht="15" hidden="false" customHeight="false" outlineLevel="0" collapsed="false">
      <c r="A99" s="4" t="s">
        <v>56</v>
      </c>
      <c r="B99" s="4" t="s">
        <v>465</v>
      </c>
      <c r="C99" s="4" t="s">
        <v>550</v>
      </c>
      <c r="D99" s="4" t="s">
        <v>550</v>
      </c>
      <c r="E99" s="4" t="s">
        <v>591</v>
      </c>
      <c r="F99" s="4" t="n">
        <f aca="false">COUNTIFS(Positions!$B$2:$B$6912,A99,Positions!$F$2:$F$6912,B99)</f>
        <v>5</v>
      </c>
      <c r="G99" s="4" t="n">
        <f aca="false">COUNTIFS(Positions!$B$2:$B$6912,A99,Positions!$F$2:$F$6912,B99,Positions!$E$2:$E$6912,"G")</f>
        <v>2</v>
      </c>
      <c r="H99" s="4" t="n">
        <f aca="false">COUNTIFS(Positions!$B$2:$B$6912,A99,Positions!$F$2:$F$6912,B99,Positions!$E$2:$E$6912,"C")</f>
        <v>1</v>
      </c>
      <c r="I99" s="3" t="n">
        <f aca="false">G99+H99</f>
        <v>3</v>
      </c>
      <c r="J99" s="6" t="n">
        <f aca="false">IF(F99=0,0,I99/F99)</f>
        <v>0.6</v>
      </c>
    </row>
    <row r="100" customFormat="false" ht="15" hidden="false" customHeight="false" outlineLevel="0" collapsed="false">
      <c r="A100" s="4" t="s">
        <v>56</v>
      </c>
      <c r="B100" s="4" t="s">
        <v>477</v>
      </c>
      <c r="C100" s="4" t="s">
        <v>553</v>
      </c>
      <c r="D100" s="4" t="s">
        <v>553</v>
      </c>
      <c r="E100" s="4" t="s">
        <v>622</v>
      </c>
      <c r="F100" s="4" t="n">
        <f aca="false">COUNTIFS(Positions!$B$2:$B$6912,A100,Positions!$F$2:$F$6912,B100)</f>
        <v>7</v>
      </c>
      <c r="G100" s="4" t="n">
        <f aca="false">COUNTIFS(Positions!$B$2:$B$6912,A100,Positions!$F$2:$F$6912,B100,Positions!$E$2:$E$6912,"G")</f>
        <v>1</v>
      </c>
      <c r="H100" s="4" t="n">
        <f aca="false">COUNTIFS(Positions!$B$2:$B$6912,A100,Positions!$F$2:$F$6912,B100,Positions!$E$2:$E$6912,"C")</f>
        <v>2</v>
      </c>
      <c r="I100" s="3" t="n">
        <f aca="false">G100+H100</f>
        <v>3</v>
      </c>
      <c r="J100" s="6" t="n">
        <f aca="false">IF(F100=0,0,I100/F100)</f>
        <v>0.428571428571429</v>
      </c>
    </row>
    <row r="101" customFormat="false" ht="15" hidden="false" customHeight="false" outlineLevel="0" collapsed="false">
      <c r="A101" s="7" t="s">
        <v>56</v>
      </c>
      <c r="B101" s="7" t="s">
        <v>556</v>
      </c>
      <c r="C101" s="7" t="s">
        <v>557</v>
      </c>
      <c r="D101" s="7" t="s">
        <v>557</v>
      </c>
      <c r="E101" s="7" t="s">
        <v>580</v>
      </c>
      <c r="F101" s="7" t="n">
        <f aca="false">COUNTIFS(Positions!$B$2:$B$6912,A101,Positions!$F$2:$F$6912,"Position 8")+COUNTIFS(Positions!$B$2:$B$6912,A101,Positions!$F$2:$F$6912,"Position 9")+COUNTIFS(Positions!$B$2:$B$6912,A101,Positions!$F$2:$F$6912,"Position 26")</f>
        <v>3</v>
      </c>
      <c r="G101" s="7" t="n">
        <f aca="false">COUNTIFS(Positions!$B$2:$B$6912,A101,Positions!$F$2:$F$6912,"Position 8",Positions!$E$2:$E$6912,"G")+COUNTIFS(Positions!$B$2:$B$6912,A101,Positions!$F$2:$F$6912,"Position 9",Positions!$E$2:$E$6912,"G")+COUNTIFS(Positions!$B$2:$B$6912,A101,Positions!$F$2:$F$6912,"Position 26",Positions!$E$2:$E$6912,"G")</f>
        <v>1</v>
      </c>
      <c r="H101" s="7" t="n">
        <f aca="false">COUNTIFS(Positions!$B$2:$B$6912,A101,Positions!$F$2:$F$6912,"Position 8",Positions!$E$2:$E$6912,"C")+COUNTIFS(Positions!$B$2:$B$6912,A101,Positions!$F$2:$F$6912,"Position 9",Positions!$E$2:$E$6912,"C")+COUNTIFS(Positions!$B$2:$B$6912,A101,Positions!$F$2:$F$6912,"Position 26",Positions!$E$2:$E$6912,"C")</f>
        <v>0</v>
      </c>
      <c r="I101" s="8" t="n">
        <f aca="false">G101+H101</f>
        <v>1</v>
      </c>
      <c r="J101" s="26" t="n">
        <f aca="false">IF(F101=0,0,I101/F101)</f>
        <v>0.333333333333333</v>
      </c>
    </row>
    <row r="102" customFormat="false" ht="15" hidden="false" customHeight="false" outlineLevel="0" collapsed="false">
      <c r="A102" s="4" t="s">
        <v>57</v>
      </c>
      <c r="B102" s="4" t="s">
        <v>430</v>
      </c>
      <c r="C102" s="4" t="s">
        <v>544</v>
      </c>
      <c r="D102" s="4" t="s">
        <v>544</v>
      </c>
      <c r="E102" s="4" t="s">
        <v>624</v>
      </c>
      <c r="F102" s="4" t="n">
        <f aca="false">COUNTIFS(Positions!$B$2:$B$6912,A102,Positions!$F$2:$F$6912,B102)</f>
        <v>8</v>
      </c>
      <c r="G102" s="4" t="n">
        <f aca="false">COUNTIFS(Positions!$B$2:$B$6912,A102,Positions!$F$2:$F$6912,B102,Positions!$E$2:$E$6912,"G")</f>
        <v>3</v>
      </c>
      <c r="H102" s="4" t="n">
        <f aca="false">COUNTIFS(Positions!$B$2:$B$6912,A102,Positions!$F$2:$F$6912,B102,Positions!$E$2:$E$6912,"C")</f>
        <v>0</v>
      </c>
      <c r="I102" s="3" t="n">
        <f aca="false">G102+H102</f>
        <v>3</v>
      </c>
      <c r="J102" s="6" t="n">
        <f aca="false">IF(F102=0,0,I102/F102)</f>
        <v>0.375</v>
      </c>
    </row>
    <row r="103" customFormat="false" ht="15" hidden="false" customHeight="false" outlineLevel="0" collapsed="false">
      <c r="A103" s="4" t="s">
        <v>57</v>
      </c>
      <c r="B103" s="4" t="s">
        <v>452</v>
      </c>
      <c r="C103" s="4" t="s">
        <v>547</v>
      </c>
      <c r="D103" s="4" t="s">
        <v>547</v>
      </c>
      <c r="E103" s="4" t="s">
        <v>625</v>
      </c>
      <c r="F103" s="4" t="n">
        <f aca="false">COUNTIFS(Positions!$B$2:$B$6912,A103,Positions!$F$2:$F$6912,B103)</f>
        <v>7</v>
      </c>
      <c r="G103" s="4" t="n">
        <f aca="false">COUNTIFS(Positions!$B$2:$B$6912,A103,Positions!$F$2:$F$6912,B103,Positions!$E$2:$E$6912,"G")</f>
        <v>1</v>
      </c>
      <c r="H103" s="4" t="n">
        <f aca="false">COUNTIFS(Positions!$B$2:$B$6912,A103,Positions!$F$2:$F$6912,B103,Positions!$E$2:$E$6912,"C")</f>
        <v>1</v>
      </c>
      <c r="I103" s="3" t="n">
        <f aca="false">G103+H103</f>
        <v>2</v>
      </c>
      <c r="J103" s="6" t="n">
        <f aca="false">IF(F103=0,0,I103/F103)</f>
        <v>0.285714285714286</v>
      </c>
    </row>
    <row r="104" customFormat="false" ht="15" hidden="false" customHeight="false" outlineLevel="0" collapsed="false">
      <c r="A104" s="4" t="s">
        <v>57</v>
      </c>
      <c r="B104" s="4" t="s">
        <v>465</v>
      </c>
      <c r="C104" s="4" t="s">
        <v>550</v>
      </c>
      <c r="D104" s="4" t="s">
        <v>550</v>
      </c>
      <c r="E104" s="4" t="s">
        <v>626</v>
      </c>
      <c r="F104" s="4" t="n">
        <f aca="false">COUNTIFS(Positions!$B$2:$B$6912,A104,Positions!$F$2:$F$6912,B104)</f>
        <v>5</v>
      </c>
      <c r="G104" s="4" t="n">
        <f aca="false">COUNTIFS(Positions!$B$2:$B$6912,A104,Positions!$F$2:$F$6912,B104,Positions!$E$2:$E$6912,"G")</f>
        <v>2</v>
      </c>
      <c r="H104" s="4" t="n">
        <f aca="false">COUNTIFS(Positions!$B$2:$B$6912,A104,Positions!$F$2:$F$6912,B104,Positions!$E$2:$E$6912,"C")</f>
        <v>0</v>
      </c>
      <c r="I104" s="3" t="n">
        <f aca="false">G104+H104</f>
        <v>2</v>
      </c>
      <c r="J104" s="6" t="n">
        <f aca="false">IF(F104=0,0,I104/F104)</f>
        <v>0.4</v>
      </c>
    </row>
    <row r="105" customFormat="false" ht="15" hidden="false" customHeight="false" outlineLevel="0" collapsed="false">
      <c r="A105" s="4" t="s">
        <v>57</v>
      </c>
      <c r="B105" s="4" t="s">
        <v>477</v>
      </c>
      <c r="C105" s="4" t="s">
        <v>553</v>
      </c>
      <c r="D105" s="4" t="s">
        <v>553</v>
      </c>
      <c r="E105" s="4" t="s">
        <v>627</v>
      </c>
      <c r="F105" s="4" t="n">
        <f aca="false">COUNTIFS(Positions!$B$2:$B$6912,A105,Positions!$F$2:$F$6912,B105)</f>
        <v>7</v>
      </c>
      <c r="G105" s="4" t="n">
        <f aca="false">COUNTIFS(Positions!$B$2:$B$6912,A105,Positions!$F$2:$F$6912,B105,Positions!$E$2:$E$6912,"G")</f>
        <v>1</v>
      </c>
      <c r="H105" s="4" t="n">
        <f aca="false">COUNTIFS(Positions!$B$2:$B$6912,A105,Positions!$F$2:$F$6912,B105,Positions!$E$2:$E$6912,"C")</f>
        <v>1</v>
      </c>
      <c r="I105" s="3" t="n">
        <f aca="false">G105+H105</f>
        <v>2</v>
      </c>
      <c r="J105" s="6" t="n">
        <f aca="false">IF(F105=0,0,I105/F105)</f>
        <v>0.285714285714286</v>
      </c>
    </row>
    <row r="106" customFormat="false" ht="15" hidden="false" customHeight="false" outlineLevel="0" collapsed="false">
      <c r="A106" s="7" t="s">
        <v>57</v>
      </c>
      <c r="B106" s="7" t="s">
        <v>556</v>
      </c>
      <c r="C106" s="7" t="s">
        <v>557</v>
      </c>
      <c r="D106" s="7" t="s">
        <v>557</v>
      </c>
      <c r="E106" s="7" t="s">
        <v>580</v>
      </c>
      <c r="F106" s="7" t="n">
        <f aca="false">COUNTIFS(Positions!$B$2:$B$6912,A106,Positions!$F$2:$F$6912,"Position 8")+COUNTIFS(Positions!$B$2:$B$6912,A106,Positions!$F$2:$F$6912,"Position 9")+COUNTIFS(Positions!$B$2:$B$6912,A106,Positions!$F$2:$F$6912,"Position 26")</f>
        <v>3</v>
      </c>
      <c r="G106" s="7" t="n">
        <f aca="false">COUNTIFS(Positions!$B$2:$B$6912,A106,Positions!$F$2:$F$6912,"Position 8",Positions!$E$2:$E$6912,"G")+COUNTIFS(Positions!$B$2:$B$6912,A106,Positions!$F$2:$F$6912,"Position 9",Positions!$E$2:$E$6912,"G")+COUNTIFS(Positions!$B$2:$B$6912,A106,Positions!$F$2:$F$6912,"Position 26",Positions!$E$2:$E$6912,"G")</f>
        <v>1</v>
      </c>
      <c r="H106" s="7" t="n">
        <f aca="false">COUNTIFS(Positions!$B$2:$B$6912,A106,Positions!$F$2:$F$6912,"Position 8",Positions!$E$2:$E$6912,"C")+COUNTIFS(Positions!$B$2:$B$6912,A106,Positions!$F$2:$F$6912,"Position 9",Positions!$E$2:$E$6912,"C")+COUNTIFS(Positions!$B$2:$B$6912,A106,Positions!$F$2:$F$6912,"Position 26",Positions!$E$2:$E$6912,"C")</f>
        <v>0</v>
      </c>
      <c r="I106" s="8" t="n">
        <f aca="false">G106+H106</f>
        <v>1</v>
      </c>
      <c r="J106" s="26" t="n">
        <f aca="false">IF(F106=0,0,I106/F106)</f>
        <v>0.333333333333333</v>
      </c>
    </row>
    <row r="107" customFormat="false" ht="15" hidden="false" customHeight="false" outlineLevel="0" collapsed="false">
      <c r="A107" s="4" t="s">
        <v>58</v>
      </c>
      <c r="B107" s="4" t="s">
        <v>430</v>
      </c>
      <c r="C107" s="4" t="s">
        <v>544</v>
      </c>
      <c r="D107" s="4" t="s">
        <v>544</v>
      </c>
      <c r="E107" s="4" t="s">
        <v>624</v>
      </c>
      <c r="F107" s="4" t="n">
        <f aca="false">COUNTIFS(Positions!$B$2:$B$6912,A107,Positions!$F$2:$F$6912,B107)</f>
        <v>8</v>
      </c>
      <c r="G107" s="4" t="n">
        <f aca="false">COUNTIFS(Positions!$B$2:$B$6912,A107,Positions!$F$2:$F$6912,B107,Positions!$E$2:$E$6912,"G")</f>
        <v>3</v>
      </c>
      <c r="H107" s="4" t="n">
        <f aca="false">COUNTIFS(Positions!$B$2:$B$6912,A107,Positions!$F$2:$F$6912,B107,Positions!$E$2:$E$6912,"C")</f>
        <v>0</v>
      </c>
      <c r="I107" s="3" t="n">
        <f aca="false">G107+H107</f>
        <v>3</v>
      </c>
      <c r="J107" s="6" t="n">
        <f aca="false">IF(F107=0,0,I107/F107)</f>
        <v>0.375</v>
      </c>
    </row>
    <row r="108" customFormat="false" ht="15" hidden="false" customHeight="false" outlineLevel="0" collapsed="false">
      <c r="A108" s="4" t="s">
        <v>58</v>
      </c>
      <c r="B108" s="4" t="s">
        <v>452</v>
      </c>
      <c r="C108" s="4" t="s">
        <v>547</v>
      </c>
      <c r="D108" s="4" t="s">
        <v>547</v>
      </c>
      <c r="E108" s="4" t="s">
        <v>625</v>
      </c>
      <c r="F108" s="4" t="n">
        <f aca="false">COUNTIFS(Positions!$B$2:$B$6912,A108,Positions!$F$2:$F$6912,B108)</f>
        <v>7</v>
      </c>
      <c r="G108" s="4" t="n">
        <f aca="false">COUNTIFS(Positions!$B$2:$B$6912,A108,Positions!$F$2:$F$6912,B108,Positions!$E$2:$E$6912,"G")</f>
        <v>1</v>
      </c>
      <c r="H108" s="4" t="n">
        <f aca="false">COUNTIFS(Positions!$B$2:$B$6912,A108,Positions!$F$2:$F$6912,B108,Positions!$E$2:$E$6912,"C")</f>
        <v>1</v>
      </c>
      <c r="I108" s="3" t="n">
        <f aca="false">G108+H108</f>
        <v>2</v>
      </c>
      <c r="J108" s="6" t="n">
        <f aca="false">IF(F108=0,0,I108/F108)</f>
        <v>0.285714285714286</v>
      </c>
    </row>
    <row r="109" customFormat="false" ht="15" hidden="false" customHeight="false" outlineLevel="0" collapsed="false">
      <c r="A109" s="4" t="s">
        <v>58</v>
      </c>
      <c r="B109" s="4" t="s">
        <v>465</v>
      </c>
      <c r="C109" s="4" t="s">
        <v>550</v>
      </c>
      <c r="D109" s="4" t="s">
        <v>550</v>
      </c>
      <c r="E109" s="4" t="s">
        <v>626</v>
      </c>
      <c r="F109" s="4" t="n">
        <f aca="false">COUNTIFS(Positions!$B$2:$B$6912,A109,Positions!$F$2:$F$6912,B109)</f>
        <v>5</v>
      </c>
      <c r="G109" s="4" t="n">
        <f aca="false">COUNTIFS(Positions!$B$2:$B$6912,A109,Positions!$F$2:$F$6912,B109,Positions!$E$2:$E$6912,"G")</f>
        <v>2</v>
      </c>
      <c r="H109" s="4" t="n">
        <f aca="false">COUNTIFS(Positions!$B$2:$B$6912,A109,Positions!$F$2:$F$6912,B109,Positions!$E$2:$E$6912,"C")</f>
        <v>0</v>
      </c>
      <c r="I109" s="3" t="n">
        <f aca="false">G109+H109</f>
        <v>2</v>
      </c>
      <c r="J109" s="6" t="n">
        <f aca="false">IF(F109=0,0,I109/F109)</f>
        <v>0.4</v>
      </c>
    </row>
    <row r="110" customFormat="false" ht="15" hidden="false" customHeight="false" outlineLevel="0" collapsed="false">
      <c r="A110" s="4" t="s">
        <v>58</v>
      </c>
      <c r="B110" s="4" t="s">
        <v>477</v>
      </c>
      <c r="C110" s="4" t="s">
        <v>553</v>
      </c>
      <c r="D110" s="4" t="s">
        <v>553</v>
      </c>
      <c r="E110" s="4" t="s">
        <v>627</v>
      </c>
      <c r="F110" s="4" t="n">
        <f aca="false">COUNTIFS(Positions!$B$2:$B$6912,A110,Positions!$F$2:$F$6912,B110)</f>
        <v>7</v>
      </c>
      <c r="G110" s="4" t="n">
        <f aca="false">COUNTIFS(Positions!$B$2:$B$6912,A110,Positions!$F$2:$F$6912,B110,Positions!$E$2:$E$6912,"G")</f>
        <v>1</v>
      </c>
      <c r="H110" s="4" t="n">
        <f aca="false">COUNTIFS(Positions!$B$2:$B$6912,A110,Positions!$F$2:$F$6912,B110,Positions!$E$2:$E$6912,"C")</f>
        <v>1</v>
      </c>
      <c r="I110" s="3" t="n">
        <f aca="false">G110+H110</f>
        <v>2</v>
      </c>
      <c r="J110" s="6" t="n">
        <f aca="false">IF(F110=0,0,I110/F110)</f>
        <v>0.285714285714286</v>
      </c>
    </row>
    <row r="111" customFormat="false" ht="15" hidden="false" customHeight="false" outlineLevel="0" collapsed="false">
      <c r="A111" s="7" t="s">
        <v>58</v>
      </c>
      <c r="B111" s="7" t="s">
        <v>556</v>
      </c>
      <c r="C111" s="7" t="s">
        <v>557</v>
      </c>
      <c r="D111" s="7" t="s">
        <v>557</v>
      </c>
      <c r="E111" s="7" t="s">
        <v>580</v>
      </c>
      <c r="F111" s="7" t="n">
        <f aca="false">COUNTIFS(Positions!$B$2:$B$6912,A111,Positions!$F$2:$F$6912,"Position 8")+COUNTIFS(Positions!$B$2:$B$6912,A111,Positions!$F$2:$F$6912,"Position 9")+COUNTIFS(Positions!$B$2:$B$6912,A111,Positions!$F$2:$F$6912,"Position 26")</f>
        <v>3</v>
      </c>
      <c r="G111" s="7" t="n">
        <f aca="false">COUNTIFS(Positions!$B$2:$B$6912,A111,Positions!$F$2:$F$6912,"Position 8",Positions!$E$2:$E$6912,"G")+COUNTIFS(Positions!$B$2:$B$6912,A111,Positions!$F$2:$F$6912,"Position 9",Positions!$E$2:$E$6912,"G")+COUNTIFS(Positions!$B$2:$B$6912,A111,Positions!$F$2:$F$6912,"Position 26",Positions!$E$2:$E$6912,"G")</f>
        <v>1</v>
      </c>
      <c r="H111" s="7" t="n">
        <f aca="false">COUNTIFS(Positions!$B$2:$B$6912,A111,Positions!$F$2:$F$6912,"Position 8",Positions!$E$2:$E$6912,"C")+COUNTIFS(Positions!$B$2:$B$6912,A111,Positions!$F$2:$F$6912,"Position 9",Positions!$E$2:$E$6912,"C")+COUNTIFS(Positions!$B$2:$B$6912,A111,Positions!$F$2:$F$6912,"Position 26",Positions!$E$2:$E$6912,"C")</f>
        <v>0</v>
      </c>
      <c r="I111" s="8" t="n">
        <f aca="false">G111+H111</f>
        <v>1</v>
      </c>
      <c r="J111" s="26" t="n">
        <f aca="false">IF(F111=0,0,I111/F111)</f>
        <v>0.333333333333333</v>
      </c>
    </row>
    <row r="112" customFormat="false" ht="15" hidden="false" customHeight="false" outlineLevel="0" collapsed="false">
      <c r="A112" s="4" t="s">
        <v>59</v>
      </c>
      <c r="B112" s="4" t="s">
        <v>430</v>
      </c>
      <c r="C112" s="4" t="s">
        <v>544</v>
      </c>
      <c r="D112" s="4" t="s">
        <v>545</v>
      </c>
      <c r="E112" s="4" t="s">
        <v>628</v>
      </c>
      <c r="F112" s="4" t="n">
        <f aca="false">COUNTIFS(Positions!$B$2:$B$6912,A112,Positions!$F$2:$F$6912,B112)</f>
        <v>9</v>
      </c>
      <c r="G112" s="4" t="n">
        <f aca="false">COUNTIFS(Positions!$B$2:$B$6912,A112,Positions!$F$2:$F$6912,B112,Positions!$E$2:$E$6912,"G")</f>
        <v>3</v>
      </c>
      <c r="H112" s="4" t="n">
        <f aca="false">COUNTIFS(Positions!$B$2:$B$6912,A112,Positions!$F$2:$F$6912,B112,Positions!$E$2:$E$6912,"C")</f>
        <v>0</v>
      </c>
      <c r="I112" s="3" t="n">
        <f aca="false">G112+H112</f>
        <v>3</v>
      </c>
      <c r="J112" s="6" t="n">
        <f aca="false">IF(F112=0,0,I112/F112)</f>
        <v>0.333333333333333</v>
      </c>
    </row>
    <row r="113" customFormat="false" ht="15" hidden="false" customHeight="false" outlineLevel="0" collapsed="false">
      <c r="A113" s="4" t="s">
        <v>59</v>
      </c>
      <c r="B113" s="4" t="s">
        <v>452</v>
      </c>
      <c r="C113" s="4" t="s">
        <v>547</v>
      </c>
      <c r="D113" s="4" t="s">
        <v>548</v>
      </c>
      <c r="E113" s="4" t="s">
        <v>629</v>
      </c>
      <c r="F113" s="4" t="n">
        <f aca="false">COUNTIFS(Positions!$B$2:$B$6912,A113,Positions!$F$2:$F$6912,B113)</f>
        <v>7</v>
      </c>
      <c r="G113" s="4" t="n">
        <f aca="false">COUNTIFS(Positions!$B$2:$B$6912,A113,Positions!$F$2:$F$6912,B113,Positions!$E$2:$E$6912,"G")</f>
        <v>0</v>
      </c>
      <c r="H113" s="4" t="n">
        <f aca="false">COUNTIFS(Positions!$B$2:$B$6912,A113,Positions!$F$2:$F$6912,B113,Positions!$E$2:$E$6912,"C")</f>
        <v>1</v>
      </c>
      <c r="I113" s="3" t="n">
        <f aca="false">G113+H113</f>
        <v>1</v>
      </c>
      <c r="J113" s="6" t="n">
        <f aca="false">IF(F113=0,0,I113/F113)</f>
        <v>0.142857142857143</v>
      </c>
    </row>
    <row r="114" customFormat="false" ht="15" hidden="false" customHeight="false" outlineLevel="0" collapsed="false">
      <c r="A114" s="4" t="s">
        <v>59</v>
      </c>
      <c r="B114" s="4" t="s">
        <v>465</v>
      </c>
      <c r="C114" s="4" t="s">
        <v>550</v>
      </c>
      <c r="D114" s="4" t="s">
        <v>551</v>
      </c>
      <c r="E114" s="4" t="s">
        <v>591</v>
      </c>
      <c r="F114" s="4" t="n">
        <f aca="false">COUNTIFS(Positions!$B$2:$B$6912,A114,Positions!$F$2:$F$6912,B114)</f>
        <v>5</v>
      </c>
      <c r="G114" s="4" t="n">
        <f aca="false">COUNTIFS(Positions!$B$2:$B$6912,A114,Positions!$F$2:$F$6912,B114,Positions!$E$2:$E$6912,"G")</f>
        <v>2</v>
      </c>
      <c r="H114" s="4" t="n">
        <f aca="false">COUNTIFS(Positions!$B$2:$B$6912,A114,Positions!$F$2:$F$6912,B114,Positions!$E$2:$E$6912,"C")</f>
        <v>1</v>
      </c>
      <c r="I114" s="3" t="n">
        <f aca="false">G114+H114</f>
        <v>3</v>
      </c>
      <c r="J114" s="6" t="n">
        <f aca="false">IF(F114=0,0,I114/F114)</f>
        <v>0.6</v>
      </c>
    </row>
    <row r="115" customFormat="false" ht="15" hidden="false" customHeight="false" outlineLevel="0" collapsed="false">
      <c r="A115" s="4" t="s">
        <v>59</v>
      </c>
      <c r="B115" s="4" t="s">
        <v>477</v>
      </c>
      <c r="C115" s="4" t="s">
        <v>553</v>
      </c>
      <c r="D115" s="4" t="s">
        <v>554</v>
      </c>
      <c r="E115" s="4" t="s">
        <v>622</v>
      </c>
      <c r="F115" s="4" t="n">
        <f aca="false">COUNTIFS(Positions!$B$2:$B$6912,A115,Positions!$F$2:$F$6912,B115)</f>
        <v>7</v>
      </c>
      <c r="G115" s="4" t="n">
        <f aca="false">COUNTIFS(Positions!$B$2:$B$6912,A115,Positions!$F$2:$F$6912,B115,Positions!$E$2:$E$6912,"G")</f>
        <v>1</v>
      </c>
      <c r="H115" s="4" t="n">
        <f aca="false">COUNTIFS(Positions!$B$2:$B$6912,A115,Positions!$F$2:$F$6912,B115,Positions!$E$2:$E$6912,"C")</f>
        <v>2</v>
      </c>
      <c r="I115" s="3" t="n">
        <f aca="false">G115+H115</f>
        <v>3</v>
      </c>
      <c r="J115" s="6" t="n">
        <f aca="false">IF(F115=0,0,I115/F115)</f>
        <v>0.428571428571429</v>
      </c>
    </row>
    <row r="116" customFormat="false" ht="15" hidden="false" customHeight="false" outlineLevel="0" collapsed="false">
      <c r="A116" s="7" t="s">
        <v>59</v>
      </c>
      <c r="B116" s="7" t="s">
        <v>556</v>
      </c>
      <c r="C116" s="7" t="s">
        <v>557</v>
      </c>
      <c r="D116" s="7" t="s">
        <v>558</v>
      </c>
      <c r="E116" s="7" t="s">
        <v>580</v>
      </c>
      <c r="F116" s="7" t="n">
        <f aca="false">COUNTIFS(Positions!$B$2:$B$6912,A116,Positions!$F$2:$F$6912,"Position 8")+COUNTIFS(Positions!$B$2:$B$6912,A116,Positions!$F$2:$F$6912,"Position 9")+COUNTIFS(Positions!$B$2:$B$6912,A116,Positions!$F$2:$F$6912,"Position 26")</f>
        <v>3</v>
      </c>
      <c r="G116" s="7" t="n">
        <f aca="false">COUNTIFS(Positions!$B$2:$B$6912,A116,Positions!$F$2:$F$6912,"Position 8",Positions!$E$2:$E$6912,"G")+COUNTIFS(Positions!$B$2:$B$6912,A116,Positions!$F$2:$F$6912,"Position 9",Positions!$E$2:$E$6912,"G")+COUNTIFS(Positions!$B$2:$B$6912,A116,Positions!$F$2:$F$6912,"Position 26",Positions!$E$2:$E$6912,"G")</f>
        <v>1</v>
      </c>
      <c r="H116" s="7" t="n">
        <f aca="false">COUNTIFS(Positions!$B$2:$B$6912,A116,Positions!$F$2:$F$6912,"Position 8",Positions!$E$2:$E$6912,"C")+COUNTIFS(Positions!$B$2:$B$6912,A116,Positions!$F$2:$F$6912,"Position 9",Positions!$E$2:$E$6912,"C")+COUNTIFS(Positions!$B$2:$B$6912,A116,Positions!$F$2:$F$6912,"Position 26",Positions!$E$2:$E$6912,"C")</f>
        <v>0</v>
      </c>
      <c r="I116" s="8" t="n">
        <f aca="false">G116+H116</f>
        <v>1</v>
      </c>
      <c r="J116" s="26" t="n">
        <f aca="false">IF(F116=0,0,I116/F116)</f>
        <v>0.333333333333333</v>
      </c>
    </row>
    <row r="117" customFormat="false" ht="15" hidden="false" customHeight="false" outlineLevel="0" collapsed="false">
      <c r="A117" s="4" t="s">
        <v>60</v>
      </c>
      <c r="B117" s="4" t="s">
        <v>430</v>
      </c>
      <c r="C117" s="4" t="s">
        <v>544</v>
      </c>
      <c r="D117" s="4" t="s">
        <v>544</v>
      </c>
      <c r="E117" s="4" t="s">
        <v>614</v>
      </c>
      <c r="F117" s="4" t="n">
        <f aca="false">COUNTIFS(Positions!$B$2:$B$6912,A117,Positions!$F$2:$F$6912,B117)</f>
        <v>8</v>
      </c>
      <c r="G117" s="4" t="n">
        <f aca="false">COUNTIFS(Positions!$B$2:$B$6912,A117,Positions!$F$2:$F$6912,B117,Positions!$E$2:$E$6912,"G")</f>
        <v>4</v>
      </c>
      <c r="H117" s="4" t="n">
        <f aca="false">COUNTIFS(Positions!$B$2:$B$6912,A117,Positions!$F$2:$F$6912,B117,Positions!$E$2:$E$6912,"C")</f>
        <v>0</v>
      </c>
      <c r="I117" s="3" t="n">
        <f aca="false">G117+H117</f>
        <v>4</v>
      </c>
      <c r="J117" s="6" t="n">
        <f aca="false">IF(F117=0,0,I117/F117)</f>
        <v>0.5</v>
      </c>
    </row>
    <row r="118" customFormat="false" ht="15" hidden="false" customHeight="false" outlineLevel="0" collapsed="false">
      <c r="A118" s="4" t="s">
        <v>60</v>
      </c>
      <c r="B118" s="4" t="s">
        <v>452</v>
      </c>
      <c r="C118" s="4" t="s">
        <v>547</v>
      </c>
      <c r="D118" s="4" t="s">
        <v>547</v>
      </c>
      <c r="E118" s="4" t="s">
        <v>615</v>
      </c>
      <c r="F118" s="4" t="n">
        <f aca="false">COUNTIFS(Positions!$B$2:$B$6912,A118,Positions!$F$2:$F$6912,B118)</f>
        <v>7</v>
      </c>
      <c r="G118" s="4" t="n">
        <f aca="false">COUNTIFS(Positions!$B$2:$B$6912,A118,Positions!$F$2:$F$6912,B118,Positions!$E$2:$E$6912,"G")</f>
        <v>2</v>
      </c>
      <c r="H118" s="4" t="n">
        <f aca="false">COUNTIFS(Positions!$B$2:$B$6912,A118,Positions!$F$2:$F$6912,B118,Positions!$E$2:$E$6912,"C")</f>
        <v>1</v>
      </c>
      <c r="I118" s="3" t="n">
        <f aca="false">G118+H118</f>
        <v>3</v>
      </c>
      <c r="J118" s="6" t="n">
        <f aca="false">IF(F118=0,0,I118/F118)</f>
        <v>0.428571428571429</v>
      </c>
    </row>
    <row r="119" customFormat="false" ht="15" hidden="false" customHeight="false" outlineLevel="0" collapsed="false">
      <c r="A119" s="4" t="s">
        <v>60</v>
      </c>
      <c r="B119" s="4" t="s">
        <v>465</v>
      </c>
      <c r="C119" s="4" t="s">
        <v>550</v>
      </c>
      <c r="D119" s="4" t="s">
        <v>550</v>
      </c>
      <c r="E119" s="4" t="s">
        <v>591</v>
      </c>
      <c r="F119" s="4" t="n">
        <f aca="false">COUNTIFS(Positions!$B$2:$B$6912,A119,Positions!$F$2:$F$6912,B119)</f>
        <v>5</v>
      </c>
      <c r="G119" s="4" t="n">
        <f aca="false">COUNTIFS(Positions!$B$2:$B$6912,A119,Positions!$F$2:$F$6912,B119,Positions!$E$2:$E$6912,"G")</f>
        <v>2</v>
      </c>
      <c r="H119" s="4" t="n">
        <f aca="false">COUNTIFS(Positions!$B$2:$B$6912,A119,Positions!$F$2:$F$6912,B119,Positions!$E$2:$E$6912,"C")</f>
        <v>1</v>
      </c>
      <c r="I119" s="3" t="n">
        <f aca="false">G119+H119</f>
        <v>3</v>
      </c>
      <c r="J119" s="6" t="n">
        <f aca="false">IF(F119=0,0,I119/F119)</f>
        <v>0.6</v>
      </c>
    </row>
    <row r="120" customFormat="false" ht="15" hidden="false" customHeight="false" outlineLevel="0" collapsed="false">
      <c r="A120" s="4" t="s">
        <v>60</v>
      </c>
      <c r="B120" s="4" t="s">
        <v>477</v>
      </c>
      <c r="C120" s="4" t="s">
        <v>553</v>
      </c>
      <c r="D120" s="4" t="s">
        <v>553</v>
      </c>
      <c r="E120" s="4" t="s">
        <v>616</v>
      </c>
      <c r="F120" s="4" t="n">
        <f aca="false">COUNTIFS(Positions!$B$2:$B$6912,A120,Positions!$F$2:$F$6912,B120)</f>
        <v>7</v>
      </c>
      <c r="G120" s="4" t="n">
        <f aca="false">COUNTIFS(Positions!$B$2:$B$6912,A120,Positions!$F$2:$F$6912,B120,Positions!$E$2:$E$6912,"G")</f>
        <v>0</v>
      </c>
      <c r="H120" s="4" t="n">
        <f aca="false">COUNTIFS(Positions!$B$2:$B$6912,A120,Positions!$F$2:$F$6912,B120,Positions!$E$2:$E$6912,"C")</f>
        <v>2</v>
      </c>
      <c r="I120" s="3" t="n">
        <f aca="false">G120+H120</f>
        <v>2</v>
      </c>
      <c r="J120" s="6" t="n">
        <f aca="false">IF(F120=0,0,I120/F120)</f>
        <v>0.285714285714286</v>
      </c>
    </row>
    <row r="121" customFormat="false" ht="15" hidden="false" customHeight="false" outlineLevel="0" collapsed="false">
      <c r="A121" s="7" t="s">
        <v>60</v>
      </c>
      <c r="B121" s="7" t="s">
        <v>556</v>
      </c>
      <c r="C121" s="7" t="s">
        <v>557</v>
      </c>
      <c r="D121" s="7" t="s">
        <v>557</v>
      </c>
      <c r="E121" s="7" t="s">
        <v>580</v>
      </c>
      <c r="F121" s="7" t="n">
        <f aca="false">COUNTIFS(Positions!$B$2:$B$6912,A121,Positions!$F$2:$F$6912,"Position 8")+COUNTIFS(Positions!$B$2:$B$6912,A121,Positions!$F$2:$F$6912,"Position 9")+COUNTIFS(Positions!$B$2:$B$6912,A121,Positions!$F$2:$F$6912,"Position 26")</f>
        <v>3</v>
      </c>
      <c r="G121" s="7" t="n">
        <f aca="false">COUNTIFS(Positions!$B$2:$B$6912,A121,Positions!$F$2:$F$6912,"Position 8",Positions!$E$2:$E$6912,"G")+COUNTIFS(Positions!$B$2:$B$6912,A121,Positions!$F$2:$F$6912,"Position 9",Positions!$E$2:$E$6912,"G")+COUNTIFS(Positions!$B$2:$B$6912,A121,Positions!$F$2:$F$6912,"Position 26",Positions!$E$2:$E$6912,"G")</f>
        <v>1</v>
      </c>
      <c r="H121" s="7" t="n">
        <f aca="false">COUNTIFS(Positions!$B$2:$B$6912,A121,Positions!$F$2:$F$6912,"Position 8",Positions!$E$2:$E$6912,"C")+COUNTIFS(Positions!$B$2:$B$6912,A121,Positions!$F$2:$F$6912,"Position 9",Positions!$E$2:$E$6912,"C")+COUNTIFS(Positions!$B$2:$B$6912,A121,Positions!$F$2:$F$6912,"Position 26",Positions!$E$2:$E$6912,"C")</f>
        <v>0</v>
      </c>
      <c r="I121" s="8" t="n">
        <f aca="false">G121+H121</f>
        <v>1</v>
      </c>
      <c r="J121" s="26" t="n">
        <f aca="false">IF(F121=0,0,I121/F121)</f>
        <v>0.333333333333333</v>
      </c>
    </row>
    <row r="122" customFormat="false" ht="15" hidden="false" customHeight="false" outlineLevel="0" collapsed="false">
      <c r="A122" s="4" t="s">
        <v>61</v>
      </c>
      <c r="B122" s="4" t="s">
        <v>430</v>
      </c>
      <c r="C122" s="4" t="s">
        <v>544</v>
      </c>
      <c r="D122" s="4" t="s">
        <v>544</v>
      </c>
      <c r="E122" s="4" t="s">
        <v>614</v>
      </c>
      <c r="F122" s="4" t="n">
        <f aca="false">COUNTIFS(Positions!$B$2:$B$6912,A122,Positions!$F$2:$F$6912,B122)</f>
        <v>8</v>
      </c>
      <c r="G122" s="4" t="n">
        <f aca="false">COUNTIFS(Positions!$B$2:$B$6912,A122,Positions!$F$2:$F$6912,B122,Positions!$E$2:$E$6912,"G")</f>
        <v>4</v>
      </c>
      <c r="H122" s="4" t="n">
        <f aca="false">COUNTIFS(Positions!$B$2:$B$6912,A122,Positions!$F$2:$F$6912,B122,Positions!$E$2:$E$6912,"C")</f>
        <v>0</v>
      </c>
      <c r="I122" s="3" t="n">
        <f aca="false">G122+H122</f>
        <v>4</v>
      </c>
      <c r="J122" s="6" t="n">
        <f aca="false">IF(F122=0,0,I122/F122)</f>
        <v>0.5</v>
      </c>
    </row>
    <row r="123" customFormat="false" ht="15" hidden="false" customHeight="false" outlineLevel="0" collapsed="false">
      <c r="A123" s="4" t="s">
        <v>61</v>
      </c>
      <c r="B123" s="4" t="s">
        <v>452</v>
      </c>
      <c r="C123" s="4" t="s">
        <v>547</v>
      </c>
      <c r="D123" s="4" t="s">
        <v>547</v>
      </c>
      <c r="E123" s="4" t="s">
        <v>615</v>
      </c>
      <c r="F123" s="4" t="n">
        <f aca="false">COUNTIFS(Positions!$B$2:$B$6912,A123,Positions!$F$2:$F$6912,B123)</f>
        <v>7</v>
      </c>
      <c r="G123" s="4" t="n">
        <f aca="false">COUNTIFS(Positions!$B$2:$B$6912,A123,Positions!$F$2:$F$6912,B123,Positions!$E$2:$E$6912,"G")</f>
        <v>2</v>
      </c>
      <c r="H123" s="4" t="n">
        <f aca="false">COUNTIFS(Positions!$B$2:$B$6912,A123,Positions!$F$2:$F$6912,B123,Positions!$E$2:$E$6912,"C")</f>
        <v>1</v>
      </c>
      <c r="I123" s="3" t="n">
        <f aca="false">G123+H123</f>
        <v>3</v>
      </c>
      <c r="J123" s="6" t="n">
        <f aca="false">IF(F123=0,0,I123/F123)</f>
        <v>0.428571428571429</v>
      </c>
    </row>
    <row r="124" customFormat="false" ht="15" hidden="false" customHeight="false" outlineLevel="0" collapsed="false">
      <c r="A124" s="4" t="s">
        <v>61</v>
      </c>
      <c r="B124" s="4" t="s">
        <v>465</v>
      </c>
      <c r="C124" s="4" t="s">
        <v>550</v>
      </c>
      <c r="D124" s="4" t="s">
        <v>550</v>
      </c>
      <c r="E124" s="4" t="s">
        <v>591</v>
      </c>
      <c r="F124" s="4" t="n">
        <f aca="false">COUNTIFS(Positions!$B$2:$B$6912,A124,Positions!$F$2:$F$6912,B124)</f>
        <v>5</v>
      </c>
      <c r="G124" s="4" t="n">
        <f aca="false">COUNTIFS(Positions!$B$2:$B$6912,A124,Positions!$F$2:$F$6912,B124,Positions!$E$2:$E$6912,"G")</f>
        <v>2</v>
      </c>
      <c r="H124" s="4" t="n">
        <f aca="false">COUNTIFS(Positions!$B$2:$B$6912,A124,Positions!$F$2:$F$6912,B124,Positions!$E$2:$E$6912,"C")</f>
        <v>1</v>
      </c>
      <c r="I124" s="3" t="n">
        <f aca="false">G124+H124</f>
        <v>3</v>
      </c>
      <c r="J124" s="6" t="n">
        <f aca="false">IF(F124=0,0,I124/F124)</f>
        <v>0.6</v>
      </c>
    </row>
    <row r="125" customFormat="false" ht="15" hidden="false" customHeight="false" outlineLevel="0" collapsed="false">
      <c r="A125" s="4" t="s">
        <v>61</v>
      </c>
      <c r="B125" s="4" t="s">
        <v>477</v>
      </c>
      <c r="C125" s="4" t="s">
        <v>553</v>
      </c>
      <c r="D125" s="4" t="s">
        <v>553</v>
      </c>
      <c r="E125" s="4" t="s">
        <v>622</v>
      </c>
      <c r="F125" s="4" t="n">
        <f aca="false">COUNTIFS(Positions!$B$2:$B$6912,A125,Positions!$F$2:$F$6912,B125)</f>
        <v>7</v>
      </c>
      <c r="G125" s="4" t="n">
        <f aca="false">COUNTIFS(Positions!$B$2:$B$6912,A125,Positions!$F$2:$F$6912,B125,Positions!$E$2:$E$6912,"G")</f>
        <v>1</v>
      </c>
      <c r="H125" s="4" t="n">
        <f aca="false">COUNTIFS(Positions!$B$2:$B$6912,A125,Positions!$F$2:$F$6912,B125,Positions!$E$2:$E$6912,"C")</f>
        <v>2</v>
      </c>
      <c r="I125" s="3" t="n">
        <f aca="false">G125+H125</f>
        <v>3</v>
      </c>
      <c r="J125" s="6" t="n">
        <f aca="false">IF(F125=0,0,I125/F125)</f>
        <v>0.428571428571429</v>
      </c>
    </row>
    <row r="126" customFormat="false" ht="15" hidden="false" customHeight="false" outlineLevel="0" collapsed="false">
      <c r="A126" s="7" t="s">
        <v>61</v>
      </c>
      <c r="B126" s="7" t="s">
        <v>556</v>
      </c>
      <c r="C126" s="7" t="s">
        <v>557</v>
      </c>
      <c r="D126" s="7" t="s">
        <v>557</v>
      </c>
      <c r="E126" s="7" t="s">
        <v>580</v>
      </c>
      <c r="F126" s="7" t="n">
        <f aca="false">COUNTIFS(Positions!$B$2:$B$6912,A126,Positions!$F$2:$F$6912,"Position 8")+COUNTIFS(Positions!$B$2:$B$6912,A126,Positions!$F$2:$F$6912,"Position 9")+COUNTIFS(Positions!$B$2:$B$6912,A126,Positions!$F$2:$F$6912,"Position 26")</f>
        <v>3</v>
      </c>
      <c r="G126" s="7" t="n">
        <f aca="false">COUNTIFS(Positions!$B$2:$B$6912,A126,Positions!$F$2:$F$6912,"Position 8",Positions!$E$2:$E$6912,"G")+COUNTIFS(Positions!$B$2:$B$6912,A126,Positions!$F$2:$F$6912,"Position 9",Positions!$E$2:$E$6912,"G")+COUNTIFS(Positions!$B$2:$B$6912,A126,Positions!$F$2:$F$6912,"Position 26",Positions!$E$2:$E$6912,"G")</f>
        <v>1</v>
      </c>
      <c r="H126" s="7" t="n">
        <f aca="false">COUNTIFS(Positions!$B$2:$B$6912,A126,Positions!$F$2:$F$6912,"Position 8",Positions!$E$2:$E$6912,"C")+COUNTIFS(Positions!$B$2:$B$6912,A126,Positions!$F$2:$F$6912,"Position 9",Positions!$E$2:$E$6912,"C")+COUNTIFS(Positions!$B$2:$B$6912,A126,Positions!$F$2:$F$6912,"Position 26",Positions!$E$2:$E$6912,"C")</f>
        <v>0</v>
      </c>
      <c r="I126" s="8" t="n">
        <f aca="false">G126+H126</f>
        <v>1</v>
      </c>
      <c r="J126" s="26" t="n">
        <f aca="false">IF(F126=0,0,I126/F126)</f>
        <v>0.333333333333333</v>
      </c>
    </row>
    <row r="127" customFormat="false" ht="15" hidden="false" customHeight="false" outlineLevel="0" collapsed="false">
      <c r="A127" s="4" t="s">
        <v>62</v>
      </c>
      <c r="B127" s="4" t="s">
        <v>430</v>
      </c>
      <c r="C127" s="4" t="s">
        <v>544</v>
      </c>
      <c r="D127" s="4" t="s">
        <v>544</v>
      </c>
      <c r="E127" s="4" t="s">
        <v>602</v>
      </c>
      <c r="F127" s="4" t="n">
        <f aca="false">COUNTIFS(Positions!$B$2:$B$6912,A127,Positions!$F$2:$F$6912,B127)</f>
        <v>8</v>
      </c>
      <c r="G127" s="4" t="n">
        <f aca="false">COUNTIFS(Positions!$B$2:$B$6912,A127,Positions!$F$2:$F$6912,B127,Positions!$E$2:$E$6912,"G")</f>
        <v>3</v>
      </c>
      <c r="H127" s="4" t="n">
        <f aca="false">COUNTIFS(Positions!$B$2:$B$6912,A127,Positions!$F$2:$F$6912,B127,Positions!$E$2:$E$6912,"C")</f>
        <v>0</v>
      </c>
      <c r="I127" s="3" t="n">
        <f aca="false">G127+H127</f>
        <v>3</v>
      </c>
      <c r="J127" s="6" t="n">
        <f aca="false">IF(F127=0,0,I127/F127)</f>
        <v>0.375</v>
      </c>
    </row>
    <row r="128" customFormat="false" ht="15" hidden="false" customHeight="false" outlineLevel="0" collapsed="false">
      <c r="A128" s="4" t="s">
        <v>62</v>
      </c>
      <c r="B128" s="4" t="s">
        <v>452</v>
      </c>
      <c r="C128" s="4" t="s">
        <v>547</v>
      </c>
      <c r="D128" s="4" t="s">
        <v>547</v>
      </c>
      <c r="E128" s="4" t="s">
        <v>630</v>
      </c>
      <c r="F128" s="4" t="n">
        <f aca="false">COUNTIFS(Positions!$B$2:$B$6912,A128,Positions!$F$2:$F$6912,B128)</f>
        <v>7</v>
      </c>
      <c r="G128" s="4" t="n">
        <f aca="false">COUNTIFS(Positions!$B$2:$B$6912,A128,Positions!$F$2:$F$6912,B128,Positions!$E$2:$E$6912,"G")</f>
        <v>1</v>
      </c>
      <c r="H128" s="4" t="n">
        <f aca="false">COUNTIFS(Positions!$B$2:$B$6912,A128,Positions!$F$2:$F$6912,B128,Positions!$E$2:$E$6912,"C")</f>
        <v>3</v>
      </c>
      <c r="I128" s="3" t="n">
        <f aca="false">G128+H128</f>
        <v>4</v>
      </c>
      <c r="J128" s="6" t="n">
        <f aca="false">IF(F128=0,0,I128/F128)</f>
        <v>0.571428571428571</v>
      </c>
    </row>
    <row r="129" customFormat="false" ht="15" hidden="false" customHeight="false" outlineLevel="0" collapsed="false">
      <c r="A129" s="4" t="s">
        <v>62</v>
      </c>
      <c r="B129" s="4" t="s">
        <v>465</v>
      </c>
      <c r="C129" s="4" t="s">
        <v>550</v>
      </c>
      <c r="D129" s="4" t="s">
        <v>599</v>
      </c>
      <c r="E129" s="4" t="s">
        <v>631</v>
      </c>
      <c r="F129" s="4" t="n">
        <f aca="false">COUNTIFS(Positions!$B$2:$B$6912,A129,Positions!$F$2:$F$6912,B129)</f>
        <v>4</v>
      </c>
      <c r="G129" s="4" t="n">
        <f aca="false">COUNTIFS(Positions!$B$2:$B$6912,A129,Positions!$F$2:$F$6912,B129,Positions!$E$2:$E$6912,"G")</f>
        <v>1</v>
      </c>
      <c r="H129" s="4" t="n">
        <f aca="false">COUNTIFS(Positions!$B$2:$B$6912,A129,Positions!$F$2:$F$6912,B129,Positions!$E$2:$E$6912,"C")</f>
        <v>1</v>
      </c>
      <c r="I129" s="3" t="n">
        <f aca="false">G129+H129</f>
        <v>2</v>
      </c>
      <c r="J129" s="6" t="n">
        <f aca="false">IF(F129=0,0,I129/F129)</f>
        <v>0.5</v>
      </c>
    </row>
    <row r="130" customFormat="false" ht="15" hidden="false" customHeight="false" outlineLevel="0" collapsed="false">
      <c r="A130" s="4" t="s">
        <v>62</v>
      </c>
      <c r="B130" s="4" t="s">
        <v>477</v>
      </c>
      <c r="C130" s="4" t="s">
        <v>553</v>
      </c>
      <c r="D130" s="4" t="s">
        <v>578</v>
      </c>
      <c r="E130" s="4" t="s">
        <v>632</v>
      </c>
      <c r="F130" s="4" t="n">
        <f aca="false">COUNTIFS(Positions!$B$2:$B$6912,A130,Positions!$F$2:$F$6912,B130)</f>
        <v>7</v>
      </c>
      <c r="G130" s="4" t="n">
        <f aca="false">COUNTIFS(Positions!$B$2:$B$6912,A130,Positions!$F$2:$F$6912,B130,Positions!$E$2:$E$6912,"G")</f>
        <v>0</v>
      </c>
      <c r="H130" s="4" t="n">
        <f aca="false">COUNTIFS(Positions!$B$2:$B$6912,A130,Positions!$F$2:$F$6912,B130,Positions!$E$2:$E$6912,"C")</f>
        <v>1</v>
      </c>
      <c r="I130" s="3" t="n">
        <f aca="false">G130+H130</f>
        <v>1</v>
      </c>
      <c r="J130" s="6" t="n">
        <f aca="false">IF(F130=0,0,I130/F130)</f>
        <v>0.142857142857143</v>
      </c>
    </row>
    <row r="131" customFormat="false" ht="15" hidden="false" customHeight="false" outlineLevel="0" collapsed="false">
      <c r="A131" s="7" t="s">
        <v>62</v>
      </c>
      <c r="B131" s="7" t="s">
        <v>556</v>
      </c>
      <c r="C131" s="7" t="s">
        <v>557</v>
      </c>
      <c r="D131" s="7" t="s">
        <v>557</v>
      </c>
      <c r="E131" s="7" t="s">
        <v>611</v>
      </c>
      <c r="F131" s="7" t="n">
        <f aca="false">COUNTIFS(Positions!$B$2:$B$6912,A131,Positions!$F$2:$F$6912,"Position 8")+COUNTIFS(Positions!$B$2:$B$6912,A131,Positions!$F$2:$F$6912,"Position 9")+COUNTIFS(Positions!$B$2:$B$6912,A131,Positions!$F$2:$F$6912,"Position 26")</f>
        <v>3</v>
      </c>
      <c r="G131" s="7" t="n">
        <f aca="false">COUNTIFS(Positions!$B$2:$B$6912,A131,Positions!$F$2:$F$6912,"Position 8",Positions!$E$2:$E$6912,"G")+COUNTIFS(Positions!$B$2:$B$6912,A131,Positions!$F$2:$F$6912,"Position 9",Positions!$E$2:$E$6912,"G")+COUNTIFS(Positions!$B$2:$B$6912,A131,Positions!$F$2:$F$6912,"Position 26",Positions!$E$2:$E$6912,"G")</f>
        <v>0</v>
      </c>
      <c r="H131" s="7" t="n">
        <f aca="false">COUNTIFS(Positions!$B$2:$B$6912,A131,Positions!$F$2:$F$6912,"Position 8",Positions!$E$2:$E$6912,"C")+COUNTIFS(Positions!$B$2:$B$6912,A131,Positions!$F$2:$F$6912,"Position 9",Positions!$E$2:$E$6912,"C")+COUNTIFS(Positions!$B$2:$B$6912,A131,Positions!$F$2:$F$6912,"Position 26",Positions!$E$2:$E$6912,"C")</f>
        <v>0</v>
      </c>
      <c r="I131" s="8" t="n">
        <f aca="false">G131+H131</f>
        <v>0</v>
      </c>
      <c r="J131" s="26" t="n">
        <f aca="false">IF(F131=0,0,I131/F131)</f>
        <v>0</v>
      </c>
    </row>
    <row r="132" customFormat="false" ht="15" hidden="false" customHeight="false" outlineLevel="0" collapsed="false">
      <c r="A132" s="4" t="s">
        <v>63</v>
      </c>
      <c r="B132" s="4" t="s">
        <v>430</v>
      </c>
      <c r="C132" s="4" t="s">
        <v>544</v>
      </c>
      <c r="D132" s="4" t="s">
        <v>544</v>
      </c>
      <c r="E132" s="4" t="s">
        <v>602</v>
      </c>
      <c r="F132" s="4" t="n">
        <f aca="false">COUNTIFS(Positions!$B$2:$B$6912,A132,Positions!$F$2:$F$6912,B132)</f>
        <v>8</v>
      </c>
      <c r="G132" s="4" t="n">
        <f aca="false">COUNTIFS(Positions!$B$2:$B$6912,A132,Positions!$F$2:$F$6912,B132,Positions!$E$2:$E$6912,"G")</f>
        <v>3</v>
      </c>
      <c r="H132" s="4" t="n">
        <f aca="false">COUNTIFS(Positions!$B$2:$B$6912,A132,Positions!$F$2:$F$6912,B132,Positions!$E$2:$E$6912,"C")</f>
        <v>0</v>
      </c>
      <c r="I132" s="3" t="n">
        <f aca="false">G132+H132</f>
        <v>3</v>
      </c>
      <c r="J132" s="6" t="n">
        <f aca="false">IF(F132=0,0,I132/F132)</f>
        <v>0.375</v>
      </c>
    </row>
    <row r="133" customFormat="false" ht="15" hidden="false" customHeight="false" outlineLevel="0" collapsed="false">
      <c r="A133" s="4" t="s">
        <v>63</v>
      </c>
      <c r="B133" s="4" t="s">
        <v>452</v>
      </c>
      <c r="C133" s="4" t="s">
        <v>547</v>
      </c>
      <c r="D133" s="4" t="s">
        <v>547</v>
      </c>
      <c r="E133" s="4" t="s">
        <v>633</v>
      </c>
      <c r="F133" s="4" t="n">
        <f aca="false">COUNTIFS(Positions!$B$2:$B$6912,A133,Positions!$F$2:$F$6912,B133)</f>
        <v>7</v>
      </c>
      <c r="G133" s="4" t="n">
        <f aca="false">COUNTIFS(Positions!$B$2:$B$6912,A133,Positions!$F$2:$F$6912,B133,Positions!$E$2:$E$6912,"G")</f>
        <v>1</v>
      </c>
      <c r="H133" s="4" t="n">
        <f aca="false">COUNTIFS(Positions!$B$2:$B$6912,A133,Positions!$F$2:$F$6912,B133,Positions!$E$2:$E$6912,"C")</f>
        <v>1</v>
      </c>
      <c r="I133" s="3" t="n">
        <f aca="false">G133+H133</f>
        <v>2</v>
      </c>
      <c r="J133" s="6" t="n">
        <f aca="false">IF(F133=0,0,I133/F133)</f>
        <v>0.285714285714286</v>
      </c>
    </row>
    <row r="134" customFormat="false" ht="15" hidden="false" customHeight="false" outlineLevel="0" collapsed="false">
      <c r="A134" s="4" t="s">
        <v>63</v>
      </c>
      <c r="B134" s="4" t="s">
        <v>465</v>
      </c>
      <c r="C134" s="4" t="s">
        <v>550</v>
      </c>
      <c r="D134" s="4" t="s">
        <v>599</v>
      </c>
      <c r="E134" s="4" t="s">
        <v>634</v>
      </c>
      <c r="F134" s="4" t="n">
        <f aca="false">COUNTIFS(Positions!$B$2:$B$6912,A134,Positions!$F$2:$F$6912,B134)</f>
        <v>4</v>
      </c>
      <c r="G134" s="4" t="n">
        <f aca="false">COUNTIFS(Positions!$B$2:$B$6912,A134,Positions!$F$2:$F$6912,B134,Positions!$E$2:$E$6912,"G")</f>
        <v>0</v>
      </c>
      <c r="H134" s="4" t="n">
        <f aca="false">COUNTIFS(Positions!$B$2:$B$6912,A134,Positions!$F$2:$F$6912,B134,Positions!$E$2:$E$6912,"C")</f>
        <v>1</v>
      </c>
      <c r="I134" s="3" t="n">
        <f aca="false">G134+H134</f>
        <v>1</v>
      </c>
      <c r="J134" s="6" t="n">
        <f aca="false">IF(F134=0,0,I134/F134)</f>
        <v>0.25</v>
      </c>
    </row>
    <row r="135" customFormat="false" ht="15" hidden="false" customHeight="false" outlineLevel="0" collapsed="false">
      <c r="A135" s="4" t="s">
        <v>63</v>
      </c>
      <c r="B135" s="4" t="s">
        <v>477</v>
      </c>
      <c r="C135" s="4" t="s">
        <v>553</v>
      </c>
      <c r="D135" s="4" t="s">
        <v>578</v>
      </c>
      <c r="E135" s="4" t="s">
        <v>563</v>
      </c>
      <c r="F135" s="4" t="n">
        <f aca="false">COUNTIFS(Positions!$B$2:$B$6912,A135,Positions!$F$2:$F$6912,B135)</f>
        <v>7</v>
      </c>
      <c r="G135" s="4" t="n">
        <f aca="false">COUNTIFS(Positions!$B$2:$B$6912,A135,Positions!$F$2:$F$6912,B135,Positions!$E$2:$E$6912,"G")</f>
        <v>1</v>
      </c>
      <c r="H135" s="4" t="n">
        <f aca="false">COUNTIFS(Positions!$B$2:$B$6912,A135,Positions!$F$2:$F$6912,B135,Positions!$E$2:$E$6912,"C")</f>
        <v>1</v>
      </c>
      <c r="I135" s="3" t="n">
        <f aca="false">G135+H135</f>
        <v>2</v>
      </c>
      <c r="J135" s="6" t="n">
        <f aca="false">IF(F135=0,0,I135/F135)</f>
        <v>0.285714285714286</v>
      </c>
    </row>
    <row r="136" customFormat="false" ht="15" hidden="false" customHeight="false" outlineLevel="0" collapsed="false">
      <c r="A136" s="7" t="s">
        <v>63</v>
      </c>
      <c r="B136" s="7" t="s">
        <v>556</v>
      </c>
      <c r="C136" s="7" t="s">
        <v>557</v>
      </c>
      <c r="D136" s="7" t="s">
        <v>557</v>
      </c>
      <c r="E136" s="7" t="s">
        <v>635</v>
      </c>
      <c r="F136" s="7" t="n">
        <f aca="false">COUNTIFS(Positions!$B$2:$B$6912,A136,Positions!$F$2:$F$6912,"Position 8")+COUNTIFS(Positions!$B$2:$B$6912,A136,Positions!$F$2:$F$6912,"Position 9")+COUNTIFS(Positions!$B$2:$B$6912,A136,Positions!$F$2:$F$6912,"Position 26")</f>
        <v>3</v>
      </c>
      <c r="G136" s="7" t="n">
        <f aca="false">COUNTIFS(Positions!$B$2:$B$6912,A136,Positions!$F$2:$F$6912,"Position 8",Positions!$E$2:$E$6912,"G")+COUNTIFS(Positions!$B$2:$B$6912,A136,Positions!$F$2:$F$6912,"Position 9",Positions!$E$2:$E$6912,"G")+COUNTIFS(Positions!$B$2:$B$6912,A136,Positions!$F$2:$F$6912,"Position 26",Positions!$E$2:$E$6912,"G")</f>
        <v>0</v>
      </c>
      <c r="H136" s="7" t="n">
        <f aca="false">COUNTIFS(Positions!$B$2:$B$6912,A136,Positions!$F$2:$F$6912,"Position 8",Positions!$E$2:$E$6912,"C")+COUNTIFS(Positions!$B$2:$B$6912,A136,Positions!$F$2:$F$6912,"Position 9",Positions!$E$2:$E$6912,"C")+COUNTIFS(Positions!$B$2:$B$6912,A136,Positions!$F$2:$F$6912,"Position 26",Positions!$E$2:$E$6912,"C")</f>
        <v>0</v>
      </c>
      <c r="I136" s="8" t="n">
        <f aca="false">G136+H136</f>
        <v>0</v>
      </c>
      <c r="J136" s="26" t="n">
        <f aca="false">IF(F136=0,0,I136/F136)</f>
        <v>0</v>
      </c>
    </row>
    <row r="137" customFormat="false" ht="15" hidden="false" customHeight="false" outlineLevel="0" collapsed="false">
      <c r="A137" s="4" t="s">
        <v>64</v>
      </c>
      <c r="B137" s="4" t="s">
        <v>430</v>
      </c>
      <c r="C137" s="4" t="s">
        <v>544</v>
      </c>
      <c r="D137" s="4" t="s">
        <v>544</v>
      </c>
      <c r="E137" s="4" t="s">
        <v>636</v>
      </c>
      <c r="F137" s="4" t="n">
        <f aca="false">COUNTIFS(Positions!$B$2:$B$6912,A137,Positions!$F$2:$F$6912,B137)</f>
        <v>8</v>
      </c>
      <c r="G137" s="4" t="n">
        <f aca="false">COUNTIFS(Positions!$B$2:$B$6912,A137,Positions!$F$2:$F$6912,B137,Positions!$E$2:$E$6912,"G")</f>
        <v>2</v>
      </c>
      <c r="H137" s="4" t="n">
        <f aca="false">COUNTIFS(Positions!$B$2:$B$6912,A137,Positions!$F$2:$F$6912,B137,Positions!$E$2:$E$6912,"C")</f>
        <v>1</v>
      </c>
      <c r="I137" s="3" t="n">
        <f aca="false">G137+H137</f>
        <v>3</v>
      </c>
      <c r="J137" s="6" t="n">
        <f aca="false">IF(F137=0,0,I137/F137)</f>
        <v>0.375</v>
      </c>
    </row>
    <row r="138" customFormat="false" ht="15" hidden="false" customHeight="false" outlineLevel="0" collapsed="false">
      <c r="A138" s="4" t="s">
        <v>64</v>
      </c>
      <c r="B138" s="4" t="s">
        <v>452</v>
      </c>
      <c r="C138" s="4" t="s">
        <v>547</v>
      </c>
      <c r="D138" s="4" t="s">
        <v>547</v>
      </c>
      <c r="E138" s="4" t="s">
        <v>598</v>
      </c>
      <c r="F138" s="4" t="n">
        <f aca="false">COUNTIFS(Positions!$B$2:$B$6912,A138,Positions!$F$2:$F$6912,B138)</f>
        <v>7</v>
      </c>
      <c r="G138" s="4" t="n">
        <f aca="false">COUNTIFS(Positions!$B$2:$B$6912,A138,Positions!$F$2:$F$6912,B138,Positions!$E$2:$E$6912,"G")</f>
        <v>0</v>
      </c>
      <c r="H138" s="4" t="n">
        <f aca="false">COUNTIFS(Positions!$B$2:$B$6912,A138,Positions!$F$2:$F$6912,B138,Positions!$E$2:$E$6912,"C")</f>
        <v>3</v>
      </c>
      <c r="I138" s="3" t="n">
        <f aca="false">G138+H138</f>
        <v>3</v>
      </c>
      <c r="J138" s="6" t="n">
        <f aca="false">IF(F138=0,0,I138/F138)</f>
        <v>0.428571428571429</v>
      </c>
    </row>
    <row r="139" customFormat="false" ht="15" hidden="false" customHeight="false" outlineLevel="0" collapsed="false">
      <c r="A139" s="4" t="s">
        <v>64</v>
      </c>
      <c r="B139" s="4" t="s">
        <v>465</v>
      </c>
      <c r="C139" s="4" t="s">
        <v>550</v>
      </c>
      <c r="D139" s="4" t="s">
        <v>599</v>
      </c>
      <c r="E139" s="4" t="s">
        <v>637</v>
      </c>
      <c r="F139" s="4" t="n">
        <f aca="false">COUNTIFS(Positions!$B$2:$B$6912,A139,Positions!$F$2:$F$6912,B139)</f>
        <v>4</v>
      </c>
      <c r="G139" s="4" t="n">
        <f aca="false">COUNTIFS(Positions!$B$2:$B$6912,A139,Positions!$F$2:$F$6912,B139,Positions!$E$2:$E$6912,"G")</f>
        <v>1</v>
      </c>
      <c r="H139" s="4" t="n">
        <f aca="false">COUNTIFS(Positions!$B$2:$B$6912,A139,Positions!$F$2:$F$6912,B139,Positions!$E$2:$E$6912,"C")</f>
        <v>0</v>
      </c>
      <c r="I139" s="3" t="n">
        <f aca="false">G139+H139</f>
        <v>1</v>
      </c>
      <c r="J139" s="6" t="n">
        <f aca="false">IF(F139=0,0,I139/F139)</f>
        <v>0.25</v>
      </c>
    </row>
    <row r="140" customFormat="false" ht="15" hidden="false" customHeight="false" outlineLevel="0" collapsed="false">
      <c r="A140" s="4" t="s">
        <v>64</v>
      </c>
      <c r="B140" s="4" t="s">
        <v>477</v>
      </c>
      <c r="C140" s="4" t="s">
        <v>553</v>
      </c>
      <c r="D140" s="4" t="s">
        <v>578</v>
      </c>
      <c r="E140" s="4" t="s">
        <v>601</v>
      </c>
      <c r="F140" s="4" t="n">
        <f aca="false">COUNTIFS(Positions!$B$2:$B$6912,A140,Positions!$F$2:$F$6912,B140)</f>
        <v>7</v>
      </c>
      <c r="G140" s="4" t="n">
        <f aca="false">COUNTIFS(Positions!$B$2:$B$6912,A140,Positions!$F$2:$F$6912,B140,Positions!$E$2:$E$6912,"G")</f>
        <v>1</v>
      </c>
      <c r="H140" s="4" t="n">
        <f aca="false">COUNTIFS(Positions!$B$2:$B$6912,A140,Positions!$F$2:$F$6912,B140,Positions!$E$2:$E$6912,"C")</f>
        <v>1</v>
      </c>
      <c r="I140" s="3" t="n">
        <f aca="false">G140+H140</f>
        <v>2</v>
      </c>
      <c r="J140" s="6" t="n">
        <f aca="false">IF(F140=0,0,I140/F140)</f>
        <v>0.285714285714286</v>
      </c>
    </row>
    <row r="141" customFormat="false" ht="15" hidden="false" customHeight="false" outlineLevel="0" collapsed="false">
      <c r="A141" s="7" t="s">
        <v>64</v>
      </c>
      <c r="B141" s="7" t="s">
        <v>556</v>
      </c>
      <c r="C141" s="7" t="s">
        <v>557</v>
      </c>
      <c r="D141" s="7" t="s">
        <v>557</v>
      </c>
      <c r="E141" s="7" t="s">
        <v>611</v>
      </c>
      <c r="F141" s="7" t="n">
        <f aca="false">COUNTIFS(Positions!$B$2:$B$6912,A141,Positions!$F$2:$F$6912,"Position 8")+COUNTIFS(Positions!$B$2:$B$6912,A141,Positions!$F$2:$F$6912,"Position 9")+COUNTIFS(Positions!$B$2:$B$6912,A141,Positions!$F$2:$F$6912,"Position 26")</f>
        <v>3</v>
      </c>
      <c r="G141" s="7" t="n">
        <f aca="false">COUNTIFS(Positions!$B$2:$B$6912,A141,Positions!$F$2:$F$6912,"Position 8",Positions!$E$2:$E$6912,"G")+COUNTIFS(Positions!$B$2:$B$6912,A141,Positions!$F$2:$F$6912,"Position 9",Positions!$E$2:$E$6912,"G")+COUNTIFS(Positions!$B$2:$B$6912,A141,Positions!$F$2:$F$6912,"Position 26",Positions!$E$2:$E$6912,"G")</f>
        <v>0</v>
      </c>
      <c r="H141" s="7" t="n">
        <f aca="false">COUNTIFS(Positions!$B$2:$B$6912,A141,Positions!$F$2:$F$6912,"Position 8",Positions!$E$2:$E$6912,"C")+COUNTIFS(Positions!$B$2:$B$6912,A141,Positions!$F$2:$F$6912,"Position 9",Positions!$E$2:$E$6912,"C")+COUNTIFS(Positions!$B$2:$B$6912,A141,Positions!$F$2:$F$6912,"Position 26",Positions!$E$2:$E$6912,"C")</f>
        <v>0</v>
      </c>
      <c r="I141" s="8" t="n">
        <f aca="false">G141+H141</f>
        <v>0</v>
      </c>
      <c r="J141" s="26" t="n">
        <f aca="false">IF(F141=0,0,I141/F141)</f>
        <v>0</v>
      </c>
    </row>
    <row r="142" customFormat="false" ht="15" hidden="false" customHeight="false" outlineLevel="0" collapsed="false">
      <c r="A142" s="4" t="s">
        <v>65</v>
      </c>
      <c r="B142" s="4" t="s">
        <v>430</v>
      </c>
      <c r="C142" s="4" t="s">
        <v>544</v>
      </c>
      <c r="D142" s="4" t="s">
        <v>544</v>
      </c>
      <c r="E142" s="4" t="s">
        <v>638</v>
      </c>
      <c r="F142" s="4" t="n">
        <f aca="false">COUNTIFS(Positions!$B$2:$B$6912,A142,Positions!$F$2:$F$6912,B142)</f>
        <v>8</v>
      </c>
      <c r="G142" s="4" t="n">
        <f aca="false">COUNTIFS(Positions!$B$2:$B$6912,A142,Positions!$F$2:$F$6912,B142,Positions!$E$2:$E$6912,"G")</f>
        <v>3</v>
      </c>
      <c r="H142" s="4" t="n">
        <f aca="false">COUNTIFS(Positions!$B$2:$B$6912,A142,Positions!$F$2:$F$6912,B142,Positions!$E$2:$E$6912,"C")</f>
        <v>0</v>
      </c>
      <c r="I142" s="3" t="n">
        <f aca="false">G142+H142</f>
        <v>3</v>
      </c>
      <c r="J142" s="6" t="n">
        <f aca="false">IF(F142=0,0,I142/F142)</f>
        <v>0.375</v>
      </c>
    </row>
    <row r="143" customFormat="false" ht="15" hidden="false" customHeight="false" outlineLevel="0" collapsed="false">
      <c r="A143" s="4" t="s">
        <v>65</v>
      </c>
      <c r="B143" s="4" t="s">
        <v>452</v>
      </c>
      <c r="C143" s="4" t="s">
        <v>547</v>
      </c>
      <c r="D143" s="4" t="s">
        <v>547</v>
      </c>
      <c r="E143" s="4" t="s">
        <v>639</v>
      </c>
      <c r="F143" s="4" t="n">
        <f aca="false">COUNTIFS(Positions!$B$2:$B$6912,A143,Positions!$F$2:$F$6912,B143)</f>
        <v>7</v>
      </c>
      <c r="G143" s="4" t="n">
        <f aca="false">COUNTIFS(Positions!$B$2:$B$6912,A143,Positions!$F$2:$F$6912,B143,Positions!$E$2:$E$6912,"G")</f>
        <v>0</v>
      </c>
      <c r="H143" s="4" t="n">
        <f aca="false">COUNTIFS(Positions!$B$2:$B$6912,A143,Positions!$F$2:$F$6912,B143,Positions!$E$2:$E$6912,"C")</f>
        <v>4</v>
      </c>
      <c r="I143" s="3" t="n">
        <f aca="false">G143+H143</f>
        <v>4</v>
      </c>
      <c r="J143" s="6" t="n">
        <f aca="false">IF(F143=0,0,I143/F143)</f>
        <v>0.571428571428571</v>
      </c>
    </row>
    <row r="144" customFormat="false" ht="15" hidden="false" customHeight="false" outlineLevel="0" collapsed="false">
      <c r="A144" s="4" t="s">
        <v>65</v>
      </c>
      <c r="B144" s="4" t="s">
        <v>465</v>
      </c>
      <c r="C144" s="4" t="s">
        <v>550</v>
      </c>
      <c r="D144" s="4" t="s">
        <v>599</v>
      </c>
      <c r="E144" s="4" t="s">
        <v>640</v>
      </c>
      <c r="F144" s="4" t="n">
        <f aca="false">COUNTIFS(Positions!$B$2:$B$6912,A144,Positions!$F$2:$F$6912,B144)</f>
        <v>4</v>
      </c>
      <c r="G144" s="4" t="n">
        <f aca="false">COUNTIFS(Positions!$B$2:$B$6912,A144,Positions!$F$2:$F$6912,B144,Positions!$E$2:$E$6912,"G")</f>
        <v>1</v>
      </c>
      <c r="H144" s="4" t="n">
        <f aca="false">COUNTIFS(Positions!$B$2:$B$6912,A144,Positions!$F$2:$F$6912,B144,Positions!$E$2:$E$6912,"C")</f>
        <v>1</v>
      </c>
      <c r="I144" s="3" t="n">
        <f aca="false">G144+H144</f>
        <v>2</v>
      </c>
      <c r="J144" s="6" t="n">
        <f aca="false">IF(F144=0,0,I144/F144)</f>
        <v>0.5</v>
      </c>
    </row>
    <row r="145" customFormat="false" ht="15" hidden="false" customHeight="false" outlineLevel="0" collapsed="false">
      <c r="A145" s="4" t="s">
        <v>65</v>
      </c>
      <c r="B145" s="4" t="s">
        <v>477</v>
      </c>
      <c r="C145" s="4" t="s">
        <v>553</v>
      </c>
      <c r="D145" s="4" t="s">
        <v>578</v>
      </c>
      <c r="E145" s="4" t="s">
        <v>622</v>
      </c>
      <c r="F145" s="4" t="n">
        <f aca="false">COUNTIFS(Positions!$B$2:$B$6912,A145,Positions!$F$2:$F$6912,B145)</f>
        <v>7</v>
      </c>
      <c r="G145" s="4" t="n">
        <f aca="false">COUNTIFS(Positions!$B$2:$B$6912,A145,Positions!$F$2:$F$6912,B145,Positions!$E$2:$E$6912,"G")</f>
        <v>1</v>
      </c>
      <c r="H145" s="4" t="n">
        <f aca="false">COUNTIFS(Positions!$B$2:$B$6912,A145,Positions!$F$2:$F$6912,B145,Positions!$E$2:$E$6912,"C")</f>
        <v>2</v>
      </c>
      <c r="I145" s="3" t="n">
        <f aca="false">G145+H145</f>
        <v>3</v>
      </c>
      <c r="J145" s="6" t="n">
        <f aca="false">IF(F145=0,0,I145/F145)</f>
        <v>0.428571428571429</v>
      </c>
    </row>
    <row r="146" customFormat="false" ht="15" hidden="false" customHeight="false" outlineLevel="0" collapsed="false">
      <c r="A146" s="7" t="s">
        <v>65</v>
      </c>
      <c r="B146" s="7" t="s">
        <v>556</v>
      </c>
      <c r="C146" s="7" t="s">
        <v>557</v>
      </c>
      <c r="D146" s="7" t="s">
        <v>557</v>
      </c>
      <c r="E146" s="7" t="s">
        <v>595</v>
      </c>
      <c r="F146" s="7" t="n">
        <f aca="false">COUNTIFS(Positions!$B$2:$B$6912,A146,Positions!$F$2:$F$6912,"Position 8")+COUNTIFS(Positions!$B$2:$B$6912,A146,Positions!$F$2:$F$6912,"Position 9")+COUNTIFS(Positions!$B$2:$B$6912,A146,Positions!$F$2:$F$6912,"Position 26")</f>
        <v>3</v>
      </c>
      <c r="G146" s="7" t="n">
        <f aca="false">COUNTIFS(Positions!$B$2:$B$6912,A146,Positions!$F$2:$F$6912,"Position 8",Positions!$E$2:$E$6912,"G")+COUNTIFS(Positions!$B$2:$B$6912,A146,Positions!$F$2:$F$6912,"Position 9",Positions!$E$2:$E$6912,"G")+COUNTIFS(Positions!$B$2:$B$6912,A146,Positions!$F$2:$F$6912,"Position 26",Positions!$E$2:$E$6912,"G")</f>
        <v>1</v>
      </c>
      <c r="H146" s="7" t="n">
        <f aca="false">COUNTIFS(Positions!$B$2:$B$6912,A146,Positions!$F$2:$F$6912,"Position 8",Positions!$E$2:$E$6912,"C")+COUNTIFS(Positions!$B$2:$B$6912,A146,Positions!$F$2:$F$6912,"Position 9",Positions!$E$2:$E$6912,"C")+COUNTIFS(Positions!$B$2:$B$6912,A146,Positions!$F$2:$F$6912,"Position 26",Positions!$E$2:$E$6912,"C")</f>
        <v>0</v>
      </c>
      <c r="I146" s="8" t="n">
        <f aca="false">G146+H146</f>
        <v>1</v>
      </c>
      <c r="J146" s="26" t="n">
        <f aca="false">IF(F146=0,0,I146/F146)</f>
        <v>0.333333333333333</v>
      </c>
    </row>
    <row r="147" customFormat="false" ht="15" hidden="false" customHeight="false" outlineLevel="0" collapsed="false">
      <c r="A147" s="4" t="s">
        <v>66</v>
      </c>
      <c r="B147" s="4" t="s">
        <v>430</v>
      </c>
      <c r="C147" s="4" t="s">
        <v>544</v>
      </c>
      <c r="D147" s="4" t="s">
        <v>544</v>
      </c>
      <c r="E147" s="4" t="s">
        <v>617</v>
      </c>
      <c r="F147" s="4" t="n">
        <f aca="false">COUNTIFS(Positions!$B$2:$B$6912,A147,Positions!$F$2:$F$6912,B147)</f>
        <v>8</v>
      </c>
      <c r="G147" s="4" t="n">
        <f aca="false">COUNTIFS(Positions!$B$2:$B$6912,A147,Positions!$F$2:$F$6912,B147,Positions!$E$2:$E$6912,"G")</f>
        <v>3</v>
      </c>
      <c r="H147" s="4" t="n">
        <f aca="false">COUNTIFS(Positions!$B$2:$B$6912,A147,Positions!$F$2:$F$6912,B147,Positions!$E$2:$E$6912,"C")</f>
        <v>0</v>
      </c>
      <c r="I147" s="3" t="n">
        <f aca="false">G147+H147</f>
        <v>3</v>
      </c>
      <c r="J147" s="6" t="n">
        <f aca="false">IF(F147=0,0,I147/F147)</f>
        <v>0.375</v>
      </c>
    </row>
    <row r="148" customFormat="false" ht="15" hidden="false" customHeight="false" outlineLevel="0" collapsed="false">
      <c r="A148" s="4" t="s">
        <v>66</v>
      </c>
      <c r="B148" s="4" t="s">
        <v>452</v>
      </c>
      <c r="C148" s="4" t="s">
        <v>547</v>
      </c>
      <c r="D148" s="4" t="s">
        <v>547</v>
      </c>
      <c r="E148" s="4" t="s">
        <v>608</v>
      </c>
      <c r="F148" s="4" t="n">
        <f aca="false">COUNTIFS(Positions!$B$2:$B$6912,A148,Positions!$F$2:$F$6912,B148)</f>
        <v>7</v>
      </c>
      <c r="G148" s="4" t="n">
        <f aca="false">COUNTIFS(Positions!$B$2:$B$6912,A148,Positions!$F$2:$F$6912,B148,Positions!$E$2:$E$6912,"G")</f>
        <v>0</v>
      </c>
      <c r="H148" s="4" t="n">
        <f aca="false">COUNTIFS(Positions!$B$2:$B$6912,A148,Positions!$F$2:$F$6912,B148,Positions!$E$2:$E$6912,"C")</f>
        <v>1</v>
      </c>
      <c r="I148" s="3" t="n">
        <f aca="false">G148+H148</f>
        <v>1</v>
      </c>
      <c r="J148" s="6" t="n">
        <f aca="false">IF(F148=0,0,I148/F148)</f>
        <v>0.142857142857143</v>
      </c>
    </row>
    <row r="149" customFormat="false" ht="15" hidden="false" customHeight="false" outlineLevel="0" collapsed="false">
      <c r="A149" s="4" t="s">
        <v>66</v>
      </c>
      <c r="B149" s="4" t="s">
        <v>465</v>
      </c>
      <c r="C149" s="4" t="s">
        <v>550</v>
      </c>
      <c r="D149" s="4" t="s">
        <v>550</v>
      </c>
      <c r="E149" s="4" t="s">
        <v>641</v>
      </c>
      <c r="F149" s="4" t="n">
        <f aca="false">COUNTIFS(Positions!$B$2:$B$6912,A149,Positions!$F$2:$F$6912,B149)</f>
        <v>5</v>
      </c>
      <c r="G149" s="4" t="n">
        <f aca="false">COUNTIFS(Positions!$B$2:$B$6912,A149,Positions!$F$2:$F$6912,B149,Positions!$E$2:$E$6912,"G")</f>
        <v>2</v>
      </c>
      <c r="H149" s="4" t="n">
        <f aca="false">COUNTIFS(Positions!$B$2:$B$6912,A149,Positions!$F$2:$F$6912,B149,Positions!$E$2:$E$6912,"C")</f>
        <v>1</v>
      </c>
      <c r="I149" s="3" t="n">
        <f aca="false">G149+H149</f>
        <v>3</v>
      </c>
      <c r="J149" s="6" t="n">
        <f aca="false">IF(F149=0,0,I149/F149)</f>
        <v>0.6</v>
      </c>
    </row>
    <row r="150" customFormat="false" ht="15" hidden="false" customHeight="false" outlineLevel="0" collapsed="false">
      <c r="A150" s="4" t="s">
        <v>66</v>
      </c>
      <c r="B150" s="4" t="s">
        <v>477</v>
      </c>
      <c r="C150" s="4" t="s">
        <v>553</v>
      </c>
      <c r="D150" s="4" t="s">
        <v>553</v>
      </c>
      <c r="E150" s="4" t="s">
        <v>613</v>
      </c>
      <c r="F150" s="4" t="n">
        <f aca="false">COUNTIFS(Positions!$B$2:$B$6912,A150,Positions!$F$2:$F$6912,B150)</f>
        <v>7</v>
      </c>
      <c r="G150" s="4" t="n">
        <f aca="false">COUNTIFS(Positions!$B$2:$B$6912,A150,Positions!$F$2:$F$6912,B150,Positions!$E$2:$E$6912,"G")</f>
        <v>2</v>
      </c>
      <c r="H150" s="4" t="n">
        <f aca="false">COUNTIFS(Positions!$B$2:$B$6912,A150,Positions!$F$2:$F$6912,B150,Positions!$E$2:$E$6912,"C")</f>
        <v>2</v>
      </c>
      <c r="I150" s="3" t="n">
        <f aca="false">G150+H150</f>
        <v>4</v>
      </c>
      <c r="J150" s="6" t="n">
        <f aca="false">IF(F150=0,0,I150/F150)</f>
        <v>0.571428571428571</v>
      </c>
    </row>
    <row r="151" customFormat="false" ht="15" hidden="false" customHeight="false" outlineLevel="0" collapsed="false">
      <c r="A151" s="7" t="s">
        <v>66</v>
      </c>
      <c r="B151" s="7" t="s">
        <v>556</v>
      </c>
      <c r="C151" s="7" t="s">
        <v>557</v>
      </c>
      <c r="D151" s="7" t="s">
        <v>557</v>
      </c>
      <c r="E151" s="7" t="s">
        <v>580</v>
      </c>
      <c r="F151" s="7" t="n">
        <f aca="false">COUNTIFS(Positions!$B$2:$B$6912,A151,Positions!$F$2:$F$6912,"Position 8")+COUNTIFS(Positions!$B$2:$B$6912,A151,Positions!$F$2:$F$6912,"Position 9")+COUNTIFS(Positions!$B$2:$B$6912,A151,Positions!$F$2:$F$6912,"Position 26")</f>
        <v>3</v>
      </c>
      <c r="G151" s="7" t="n">
        <f aca="false">COUNTIFS(Positions!$B$2:$B$6912,A151,Positions!$F$2:$F$6912,"Position 8",Positions!$E$2:$E$6912,"G")+COUNTIFS(Positions!$B$2:$B$6912,A151,Positions!$F$2:$F$6912,"Position 9",Positions!$E$2:$E$6912,"G")+COUNTIFS(Positions!$B$2:$B$6912,A151,Positions!$F$2:$F$6912,"Position 26",Positions!$E$2:$E$6912,"G")</f>
        <v>1</v>
      </c>
      <c r="H151" s="7" t="n">
        <f aca="false">COUNTIFS(Positions!$B$2:$B$6912,A151,Positions!$F$2:$F$6912,"Position 8",Positions!$E$2:$E$6912,"C")+COUNTIFS(Positions!$B$2:$B$6912,A151,Positions!$F$2:$F$6912,"Position 9",Positions!$E$2:$E$6912,"C")+COUNTIFS(Positions!$B$2:$B$6912,A151,Positions!$F$2:$F$6912,"Position 26",Positions!$E$2:$E$6912,"C")</f>
        <v>0</v>
      </c>
      <c r="I151" s="8" t="n">
        <f aca="false">G151+H151</f>
        <v>1</v>
      </c>
      <c r="J151" s="26" t="n">
        <f aca="false">IF(F151=0,0,I151/F151)</f>
        <v>0.333333333333333</v>
      </c>
    </row>
    <row r="152" customFormat="false" ht="15" hidden="false" customHeight="false" outlineLevel="0" collapsed="false">
      <c r="A152" s="4" t="s">
        <v>67</v>
      </c>
      <c r="B152" s="4" t="s">
        <v>430</v>
      </c>
      <c r="C152" s="4" t="s">
        <v>544</v>
      </c>
      <c r="D152" s="4" t="s">
        <v>572</v>
      </c>
      <c r="E152" s="4" t="s">
        <v>642</v>
      </c>
      <c r="F152" s="4" t="n">
        <f aca="false">COUNTIFS(Positions!$B$2:$B$6912,A152,Positions!$F$2:$F$6912,B152)</f>
        <v>7</v>
      </c>
      <c r="G152" s="4" t="n">
        <f aca="false">COUNTIFS(Positions!$B$2:$B$6912,A152,Positions!$F$2:$F$6912,B152,Positions!$E$2:$E$6912,"G")</f>
        <v>3</v>
      </c>
      <c r="H152" s="4" t="n">
        <f aca="false">COUNTIFS(Positions!$B$2:$B$6912,A152,Positions!$F$2:$F$6912,B152,Positions!$E$2:$E$6912,"C")</f>
        <v>1</v>
      </c>
      <c r="I152" s="3" t="n">
        <f aca="false">G152+H152</f>
        <v>4</v>
      </c>
      <c r="J152" s="6" t="n">
        <f aca="false">IF(F152=0,0,I152/F152)</f>
        <v>0.571428571428571</v>
      </c>
    </row>
    <row r="153" customFormat="false" ht="15" hidden="false" customHeight="false" outlineLevel="0" collapsed="false">
      <c r="A153" s="4" t="s">
        <v>67</v>
      </c>
      <c r="B153" s="4" t="s">
        <v>452</v>
      </c>
      <c r="C153" s="4" t="s">
        <v>547</v>
      </c>
      <c r="D153" s="4" t="s">
        <v>574</v>
      </c>
      <c r="E153" s="4" t="s">
        <v>643</v>
      </c>
      <c r="F153" s="4" t="n">
        <f aca="false">COUNTIFS(Positions!$B$2:$B$6912,A153,Positions!$F$2:$F$6912,B153)</f>
        <v>7</v>
      </c>
      <c r="G153" s="4" t="n">
        <f aca="false">COUNTIFS(Positions!$B$2:$B$6912,A153,Positions!$F$2:$F$6912,B153,Positions!$E$2:$E$6912,"G")</f>
        <v>1</v>
      </c>
      <c r="H153" s="4" t="n">
        <f aca="false">COUNTIFS(Positions!$B$2:$B$6912,A153,Positions!$F$2:$F$6912,B153,Positions!$E$2:$E$6912,"C")</f>
        <v>2</v>
      </c>
      <c r="I153" s="3" t="n">
        <f aca="false">G153+H153</f>
        <v>3</v>
      </c>
      <c r="J153" s="6" t="n">
        <f aca="false">IF(F153=0,0,I153/F153)</f>
        <v>0.428571428571429</v>
      </c>
    </row>
    <row r="154" customFormat="false" ht="15" hidden="false" customHeight="false" outlineLevel="0" collapsed="false">
      <c r="A154" s="4" t="s">
        <v>67</v>
      </c>
      <c r="B154" s="4" t="s">
        <v>465</v>
      </c>
      <c r="C154" s="4" t="s">
        <v>550</v>
      </c>
      <c r="D154" s="4" t="s">
        <v>576</v>
      </c>
      <c r="E154" s="4" t="s">
        <v>609</v>
      </c>
      <c r="F154" s="4" t="n">
        <f aca="false">COUNTIFS(Positions!$B$2:$B$6912,A154,Positions!$F$2:$F$6912,B154)</f>
        <v>5</v>
      </c>
      <c r="G154" s="4" t="n">
        <f aca="false">COUNTIFS(Positions!$B$2:$B$6912,A154,Positions!$F$2:$F$6912,B154,Positions!$E$2:$E$6912,"G")</f>
        <v>3</v>
      </c>
      <c r="H154" s="4" t="n">
        <f aca="false">COUNTIFS(Positions!$B$2:$B$6912,A154,Positions!$F$2:$F$6912,B154,Positions!$E$2:$E$6912,"C")</f>
        <v>1</v>
      </c>
      <c r="I154" s="3" t="n">
        <f aca="false">G154+H154</f>
        <v>4</v>
      </c>
      <c r="J154" s="6" t="n">
        <f aca="false">IF(F154=0,0,I154/F154)</f>
        <v>0.8</v>
      </c>
    </row>
    <row r="155" customFormat="false" ht="15" hidden="false" customHeight="false" outlineLevel="0" collapsed="false">
      <c r="A155" s="4" t="s">
        <v>67</v>
      </c>
      <c r="B155" s="4" t="s">
        <v>477</v>
      </c>
      <c r="C155" s="4" t="s">
        <v>553</v>
      </c>
      <c r="D155" s="4" t="s">
        <v>578</v>
      </c>
      <c r="E155" s="4" t="s">
        <v>601</v>
      </c>
      <c r="F155" s="4" t="n">
        <f aca="false">COUNTIFS(Positions!$B$2:$B$6912,A155,Positions!$F$2:$F$6912,B155)</f>
        <v>7</v>
      </c>
      <c r="G155" s="4" t="n">
        <f aca="false">COUNTIFS(Positions!$B$2:$B$6912,A155,Positions!$F$2:$F$6912,B155,Positions!$E$2:$E$6912,"G")</f>
        <v>1</v>
      </c>
      <c r="H155" s="4" t="n">
        <f aca="false">COUNTIFS(Positions!$B$2:$B$6912,A155,Positions!$F$2:$F$6912,B155,Positions!$E$2:$E$6912,"C")</f>
        <v>1</v>
      </c>
      <c r="I155" s="3" t="n">
        <f aca="false">G155+H155</f>
        <v>2</v>
      </c>
      <c r="J155" s="6" t="n">
        <f aca="false">IF(F155=0,0,I155/F155)</f>
        <v>0.285714285714286</v>
      </c>
    </row>
    <row r="156" customFormat="false" ht="15" hidden="false" customHeight="false" outlineLevel="0" collapsed="false">
      <c r="A156" s="7" t="s">
        <v>67</v>
      </c>
      <c r="B156" s="7" t="s">
        <v>556</v>
      </c>
      <c r="C156" s="7" t="s">
        <v>557</v>
      </c>
      <c r="D156" s="7" t="s">
        <v>579</v>
      </c>
      <c r="E156" s="7" t="s">
        <v>611</v>
      </c>
      <c r="F156" s="7" t="n">
        <f aca="false">COUNTIFS(Positions!$B$2:$B$6912,A156,Positions!$F$2:$F$6912,"Position 8")+COUNTIFS(Positions!$B$2:$B$6912,A156,Positions!$F$2:$F$6912,"Position 9")+COUNTIFS(Positions!$B$2:$B$6912,A156,Positions!$F$2:$F$6912,"Position 26")</f>
        <v>3</v>
      </c>
      <c r="G156" s="7" t="n">
        <f aca="false">COUNTIFS(Positions!$B$2:$B$6912,A156,Positions!$F$2:$F$6912,"Position 8",Positions!$E$2:$E$6912,"G")+COUNTIFS(Positions!$B$2:$B$6912,A156,Positions!$F$2:$F$6912,"Position 9",Positions!$E$2:$E$6912,"G")+COUNTIFS(Positions!$B$2:$B$6912,A156,Positions!$F$2:$F$6912,"Position 26",Positions!$E$2:$E$6912,"G")</f>
        <v>0</v>
      </c>
      <c r="H156" s="7" t="n">
        <f aca="false">COUNTIFS(Positions!$B$2:$B$6912,A156,Positions!$F$2:$F$6912,"Position 8",Positions!$E$2:$E$6912,"C")+COUNTIFS(Positions!$B$2:$B$6912,A156,Positions!$F$2:$F$6912,"Position 9",Positions!$E$2:$E$6912,"C")+COUNTIFS(Positions!$B$2:$B$6912,A156,Positions!$F$2:$F$6912,"Position 26",Positions!$E$2:$E$6912,"C")</f>
        <v>0</v>
      </c>
      <c r="I156" s="8" t="n">
        <f aca="false">G156+H156</f>
        <v>0</v>
      </c>
      <c r="J156" s="26" t="n">
        <f aca="false">IF(F156=0,0,I156/F156)</f>
        <v>0</v>
      </c>
    </row>
    <row r="157" customFormat="false" ht="15" hidden="false" customHeight="false" outlineLevel="0" collapsed="false">
      <c r="A157" s="4" t="s">
        <v>68</v>
      </c>
      <c r="B157" s="4" t="s">
        <v>430</v>
      </c>
      <c r="C157" s="4" t="s">
        <v>544</v>
      </c>
      <c r="D157" s="4" t="s">
        <v>572</v>
      </c>
      <c r="E157" s="4" t="s">
        <v>644</v>
      </c>
      <c r="F157" s="4" t="n">
        <f aca="false">COUNTIFS(Positions!$B$2:$B$6912,A157,Positions!$F$2:$F$6912,B157)</f>
        <v>7</v>
      </c>
      <c r="G157" s="4" t="n">
        <f aca="false">COUNTIFS(Positions!$B$2:$B$6912,A157,Positions!$F$2:$F$6912,B157,Positions!$E$2:$E$6912,"G")</f>
        <v>3</v>
      </c>
      <c r="H157" s="4" t="n">
        <f aca="false">COUNTIFS(Positions!$B$2:$B$6912,A157,Positions!$F$2:$F$6912,B157,Positions!$E$2:$E$6912,"C")</f>
        <v>0</v>
      </c>
      <c r="I157" s="3" t="n">
        <f aca="false">G157+H157</f>
        <v>3</v>
      </c>
      <c r="J157" s="6" t="n">
        <f aca="false">IF(F157=0,0,I157/F157)</f>
        <v>0.428571428571429</v>
      </c>
    </row>
    <row r="158" customFormat="false" ht="15" hidden="false" customHeight="false" outlineLevel="0" collapsed="false">
      <c r="A158" s="4" t="s">
        <v>68</v>
      </c>
      <c r="B158" s="4" t="s">
        <v>452</v>
      </c>
      <c r="C158" s="4" t="s">
        <v>547</v>
      </c>
      <c r="D158" s="4" t="s">
        <v>574</v>
      </c>
      <c r="E158" s="4" t="s">
        <v>645</v>
      </c>
      <c r="F158" s="4" t="n">
        <f aca="false">COUNTIFS(Positions!$B$2:$B$6912,A158,Positions!$F$2:$F$6912,B158)</f>
        <v>7</v>
      </c>
      <c r="G158" s="4" t="n">
        <f aca="false">COUNTIFS(Positions!$B$2:$B$6912,A158,Positions!$F$2:$F$6912,B158,Positions!$E$2:$E$6912,"G")</f>
        <v>0</v>
      </c>
      <c r="H158" s="4" t="n">
        <f aca="false">COUNTIFS(Positions!$B$2:$B$6912,A158,Positions!$F$2:$F$6912,B158,Positions!$E$2:$E$6912,"C")</f>
        <v>2</v>
      </c>
      <c r="I158" s="3" t="n">
        <f aca="false">G158+H158</f>
        <v>2</v>
      </c>
      <c r="J158" s="6" t="n">
        <f aca="false">IF(F158=0,0,I158/F158)</f>
        <v>0.285714285714286</v>
      </c>
    </row>
    <row r="159" customFormat="false" ht="15" hidden="false" customHeight="false" outlineLevel="0" collapsed="false">
      <c r="A159" s="4" t="s">
        <v>68</v>
      </c>
      <c r="B159" s="4" t="s">
        <v>465</v>
      </c>
      <c r="C159" s="4" t="s">
        <v>550</v>
      </c>
      <c r="D159" s="4" t="s">
        <v>576</v>
      </c>
      <c r="E159" s="4" t="s">
        <v>609</v>
      </c>
      <c r="F159" s="4" t="n">
        <f aca="false">COUNTIFS(Positions!$B$2:$B$6912,A159,Positions!$F$2:$F$6912,B159)</f>
        <v>5</v>
      </c>
      <c r="G159" s="4" t="n">
        <f aca="false">COUNTIFS(Positions!$B$2:$B$6912,A159,Positions!$F$2:$F$6912,B159,Positions!$E$2:$E$6912,"G")</f>
        <v>3</v>
      </c>
      <c r="H159" s="4" t="n">
        <f aca="false">COUNTIFS(Positions!$B$2:$B$6912,A159,Positions!$F$2:$F$6912,B159,Positions!$E$2:$E$6912,"C")</f>
        <v>1</v>
      </c>
      <c r="I159" s="3" t="n">
        <f aca="false">G159+H159</f>
        <v>4</v>
      </c>
      <c r="J159" s="6" t="n">
        <f aca="false">IF(F159=0,0,I159/F159)</f>
        <v>0.8</v>
      </c>
    </row>
    <row r="160" customFormat="false" ht="15" hidden="false" customHeight="false" outlineLevel="0" collapsed="false">
      <c r="A160" s="4" t="s">
        <v>68</v>
      </c>
      <c r="B160" s="4" t="s">
        <v>477</v>
      </c>
      <c r="C160" s="4" t="s">
        <v>553</v>
      </c>
      <c r="D160" s="4" t="s">
        <v>578</v>
      </c>
      <c r="E160" s="4" t="s">
        <v>616</v>
      </c>
      <c r="F160" s="4" t="n">
        <f aca="false">COUNTIFS(Positions!$B$2:$B$6912,A160,Positions!$F$2:$F$6912,B160)</f>
        <v>7</v>
      </c>
      <c r="G160" s="4" t="n">
        <f aca="false">COUNTIFS(Positions!$B$2:$B$6912,A160,Positions!$F$2:$F$6912,B160,Positions!$E$2:$E$6912,"G")</f>
        <v>0</v>
      </c>
      <c r="H160" s="4" t="n">
        <f aca="false">COUNTIFS(Positions!$B$2:$B$6912,A160,Positions!$F$2:$F$6912,B160,Positions!$E$2:$E$6912,"C")</f>
        <v>2</v>
      </c>
      <c r="I160" s="3" t="n">
        <f aca="false">G160+H160</f>
        <v>2</v>
      </c>
      <c r="J160" s="6" t="n">
        <f aca="false">IF(F160=0,0,I160/F160)</f>
        <v>0.285714285714286</v>
      </c>
    </row>
    <row r="161" customFormat="false" ht="15" hidden="false" customHeight="false" outlineLevel="0" collapsed="false">
      <c r="A161" s="7" t="s">
        <v>68</v>
      </c>
      <c r="B161" s="7" t="s">
        <v>556</v>
      </c>
      <c r="C161" s="7" t="s">
        <v>557</v>
      </c>
      <c r="D161" s="7" t="s">
        <v>579</v>
      </c>
      <c r="E161" s="7" t="s">
        <v>611</v>
      </c>
      <c r="F161" s="7" t="n">
        <f aca="false">COUNTIFS(Positions!$B$2:$B$6912,A161,Positions!$F$2:$F$6912,"Position 8")+COUNTIFS(Positions!$B$2:$B$6912,A161,Positions!$F$2:$F$6912,"Position 9")+COUNTIFS(Positions!$B$2:$B$6912,A161,Positions!$F$2:$F$6912,"Position 26")</f>
        <v>3</v>
      </c>
      <c r="G161" s="7" t="n">
        <f aca="false">COUNTIFS(Positions!$B$2:$B$6912,A161,Positions!$F$2:$F$6912,"Position 8",Positions!$E$2:$E$6912,"G")+COUNTIFS(Positions!$B$2:$B$6912,A161,Positions!$F$2:$F$6912,"Position 9",Positions!$E$2:$E$6912,"G")+COUNTIFS(Positions!$B$2:$B$6912,A161,Positions!$F$2:$F$6912,"Position 26",Positions!$E$2:$E$6912,"G")</f>
        <v>0</v>
      </c>
      <c r="H161" s="7" t="n">
        <f aca="false">COUNTIFS(Positions!$B$2:$B$6912,A161,Positions!$F$2:$F$6912,"Position 8",Positions!$E$2:$E$6912,"C")+COUNTIFS(Positions!$B$2:$B$6912,A161,Positions!$F$2:$F$6912,"Position 9",Positions!$E$2:$E$6912,"C")+COUNTIFS(Positions!$B$2:$B$6912,A161,Positions!$F$2:$F$6912,"Position 26",Positions!$E$2:$E$6912,"C")</f>
        <v>0</v>
      </c>
      <c r="I161" s="8" t="n">
        <f aca="false">G161+H161</f>
        <v>0</v>
      </c>
      <c r="J161" s="26" t="n">
        <f aca="false">IF(F161=0,0,I161/F161)</f>
        <v>0</v>
      </c>
    </row>
    <row r="162" customFormat="false" ht="15" hidden="false" customHeight="false" outlineLevel="0" collapsed="false">
      <c r="A162" s="4" t="s">
        <v>69</v>
      </c>
      <c r="B162" s="4" t="s">
        <v>430</v>
      </c>
      <c r="C162" s="4" t="s">
        <v>544</v>
      </c>
      <c r="D162" s="4" t="s">
        <v>544</v>
      </c>
      <c r="E162" s="4" t="s">
        <v>607</v>
      </c>
      <c r="F162" s="4" t="n">
        <f aca="false">COUNTIFS(Positions!$B$2:$B$6912,A162,Positions!$F$2:$F$6912,B162)</f>
        <v>8</v>
      </c>
      <c r="G162" s="4" t="n">
        <f aca="false">COUNTIFS(Positions!$B$2:$B$6912,A162,Positions!$F$2:$F$6912,B162,Positions!$E$2:$E$6912,"G")</f>
        <v>3</v>
      </c>
      <c r="H162" s="4" t="n">
        <f aca="false">COUNTIFS(Positions!$B$2:$B$6912,A162,Positions!$F$2:$F$6912,B162,Positions!$E$2:$E$6912,"C")</f>
        <v>1</v>
      </c>
      <c r="I162" s="3" t="n">
        <f aca="false">G162+H162</f>
        <v>4</v>
      </c>
      <c r="J162" s="6" t="n">
        <f aca="false">IF(F162=0,0,I162/F162)</f>
        <v>0.5</v>
      </c>
    </row>
    <row r="163" customFormat="false" ht="15" hidden="false" customHeight="false" outlineLevel="0" collapsed="false">
      <c r="A163" s="4" t="s">
        <v>69</v>
      </c>
      <c r="B163" s="4" t="s">
        <v>452</v>
      </c>
      <c r="C163" s="4" t="s">
        <v>547</v>
      </c>
      <c r="D163" s="4" t="s">
        <v>547</v>
      </c>
      <c r="E163" s="4" t="s">
        <v>646</v>
      </c>
      <c r="F163" s="4" t="n">
        <f aca="false">COUNTIFS(Positions!$B$2:$B$6912,A163,Positions!$F$2:$F$6912,B163)</f>
        <v>7</v>
      </c>
      <c r="G163" s="4" t="n">
        <f aca="false">COUNTIFS(Positions!$B$2:$B$6912,A163,Positions!$F$2:$F$6912,B163,Positions!$E$2:$E$6912,"G")</f>
        <v>0</v>
      </c>
      <c r="H163" s="4" t="n">
        <f aca="false">COUNTIFS(Positions!$B$2:$B$6912,A163,Positions!$F$2:$F$6912,B163,Positions!$E$2:$E$6912,"C")</f>
        <v>1</v>
      </c>
      <c r="I163" s="3" t="n">
        <f aca="false">G163+H163</f>
        <v>1</v>
      </c>
      <c r="J163" s="6" t="n">
        <f aca="false">IF(F163=0,0,I163/F163)</f>
        <v>0.142857142857143</v>
      </c>
    </row>
    <row r="164" customFormat="false" ht="15" hidden="false" customHeight="false" outlineLevel="0" collapsed="false">
      <c r="A164" s="4" t="s">
        <v>69</v>
      </c>
      <c r="B164" s="4" t="s">
        <v>465</v>
      </c>
      <c r="C164" s="4" t="s">
        <v>550</v>
      </c>
      <c r="D164" s="4" t="s">
        <v>550</v>
      </c>
      <c r="E164" s="4" t="s">
        <v>609</v>
      </c>
      <c r="F164" s="4" t="n">
        <f aca="false">COUNTIFS(Positions!$B$2:$B$6912,A164,Positions!$F$2:$F$6912,B164)</f>
        <v>5</v>
      </c>
      <c r="G164" s="4" t="n">
        <f aca="false">COUNTIFS(Positions!$B$2:$B$6912,A164,Positions!$F$2:$F$6912,B164,Positions!$E$2:$E$6912,"G")</f>
        <v>3</v>
      </c>
      <c r="H164" s="4" t="n">
        <f aca="false">COUNTIFS(Positions!$B$2:$B$6912,A164,Positions!$F$2:$F$6912,B164,Positions!$E$2:$E$6912,"C")</f>
        <v>1</v>
      </c>
      <c r="I164" s="3" t="n">
        <f aca="false">G164+H164</f>
        <v>4</v>
      </c>
      <c r="J164" s="6" t="n">
        <f aca="false">IF(F164=0,0,I164/F164)</f>
        <v>0.8</v>
      </c>
    </row>
    <row r="165" customFormat="false" ht="15" hidden="false" customHeight="false" outlineLevel="0" collapsed="false">
      <c r="A165" s="4" t="s">
        <v>69</v>
      </c>
      <c r="B165" s="4" t="s">
        <v>477</v>
      </c>
      <c r="C165" s="4" t="s">
        <v>553</v>
      </c>
      <c r="D165" s="4" t="s">
        <v>553</v>
      </c>
      <c r="E165" s="4" t="s">
        <v>613</v>
      </c>
      <c r="F165" s="4" t="n">
        <f aca="false">COUNTIFS(Positions!$B$2:$B$6912,A165,Positions!$F$2:$F$6912,B165)</f>
        <v>7</v>
      </c>
      <c r="G165" s="4" t="n">
        <f aca="false">COUNTIFS(Positions!$B$2:$B$6912,A165,Positions!$F$2:$F$6912,B165,Positions!$E$2:$E$6912,"G")</f>
        <v>2</v>
      </c>
      <c r="H165" s="4" t="n">
        <f aca="false">COUNTIFS(Positions!$B$2:$B$6912,A165,Positions!$F$2:$F$6912,B165,Positions!$E$2:$E$6912,"C")</f>
        <v>2</v>
      </c>
      <c r="I165" s="3" t="n">
        <f aca="false">G165+H165</f>
        <v>4</v>
      </c>
      <c r="J165" s="6" t="n">
        <f aca="false">IF(F165=0,0,I165/F165)</f>
        <v>0.571428571428571</v>
      </c>
    </row>
    <row r="166" customFormat="false" ht="15" hidden="false" customHeight="false" outlineLevel="0" collapsed="false">
      <c r="A166" s="7" t="s">
        <v>69</v>
      </c>
      <c r="B166" s="7" t="s">
        <v>556</v>
      </c>
      <c r="C166" s="7" t="s">
        <v>557</v>
      </c>
      <c r="D166" s="7" t="s">
        <v>557</v>
      </c>
      <c r="E166" s="7" t="s">
        <v>611</v>
      </c>
      <c r="F166" s="7" t="n">
        <f aca="false">COUNTIFS(Positions!$B$2:$B$6912,A166,Positions!$F$2:$F$6912,"Position 8")+COUNTIFS(Positions!$B$2:$B$6912,A166,Positions!$F$2:$F$6912,"Position 9")+COUNTIFS(Positions!$B$2:$B$6912,A166,Positions!$F$2:$F$6912,"Position 26")</f>
        <v>3</v>
      </c>
      <c r="G166" s="7" t="n">
        <f aca="false">COUNTIFS(Positions!$B$2:$B$6912,A166,Positions!$F$2:$F$6912,"Position 8",Positions!$E$2:$E$6912,"G")+COUNTIFS(Positions!$B$2:$B$6912,A166,Positions!$F$2:$F$6912,"Position 9",Positions!$E$2:$E$6912,"G")+COUNTIFS(Positions!$B$2:$B$6912,A166,Positions!$F$2:$F$6912,"Position 26",Positions!$E$2:$E$6912,"G")</f>
        <v>0</v>
      </c>
      <c r="H166" s="7" t="n">
        <f aca="false">COUNTIFS(Positions!$B$2:$B$6912,A166,Positions!$F$2:$F$6912,"Position 8",Positions!$E$2:$E$6912,"C")+COUNTIFS(Positions!$B$2:$B$6912,A166,Positions!$F$2:$F$6912,"Position 9",Positions!$E$2:$E$6912,"C")+COUNTIFS(Positions!$B$2:$B$6912,A166,Positions!$F$2:$F$6912,"Position 26",Positions!$E$2:$E$6912,"C")</f>
        <v>0</v>
      </c>
      <c r="I166" s="8" t="n">
        <f aca="false">G166+H166</f>
        <v>0</v>
      </c>
      <c r="J166" s="26" t="n">
        <f aca="false">IF(F166=0,0,I166/F166)</f>
        <v>0</v>
      </c>
    </row>
    <row r="167" customFormat="false" ht="15" hidden="false" customHeight="false" outlineLevel="0" collapsed="false">
      <c r="A167" s="4" t="s">
        <v>70</v>
      </c>
      <c r="B167" s="4" t="s">
        <v>430</v>
      </c>
      <c r="C167" s="4" t="s">
        <v>544</v>
      </c>
      <c r="D167" s="4" t="s">
        <v>544</v>
      </c>
      <c r="E167" s="4" t="s">
        <v>607</v>
      </c>
      <c r="F167" s="4" t="n">
        <f aca="false">COUNTIFS(Positions!$B$2:$B$6912,A167,Positions!$F$2:$F$6912,B167)</f>
        <v>8</v>
      </c>
      <c r="G167" s="4" t="n">
        <f aca="false">COUNTIFS(Positions!$B$2:$B$6912,A167,Positions!$F$2:$F$6912,B167,Positions!$E$2:$E$6912,"G")</f>
        <v>3</v>
      </c>
      <c r="H167" s="4" t="n">
        <f aca="false">COUNTIFS(Positions!$B$2:$B$6912,A167,Positions!$F$2:$F$6912,B167,Positions!$E$2:$E$6912,"C")</f>
        <v>1</v>
      </c>
      <c r="I167" s="3" t="n">
        <f aca="false">G167+H167</f>
        <v>4</v>
      </c>
      <c r="J167" s="6" t="n">
        <f aca="false">IF(F167=0,0,I167/F167)</f>
        <v>0.5</v>
      </c>
    </row>
    <row r="168" customFormat="false" ht="15" hidden="false" customHeight="false" outlineLevel="0" collapsed="false">
      <c r="A168" s="4" t="s">
        <v>70</v>
      </c>
      <c r="B168" s="4" t="s">
        <v>452</v>
      </c>
      <c r="C168" s="4" t="s">
        <v>547</v>
      </c>
      <c r="D168" s="4" t="s">
        <v>547</v>
      </c>
      <c r="E168" s="4" t="s">
        <v>608</v>
      </c>
      <c r="F168" s="4" t="n">
        <f aca="false">COUNTIFS(Positions!$B$2:$B$6912,A168,Positions!$F$2:$F$6912,B168)</f>
        <v>7</v>
      </c>
      <c r="G168" s="4" t="n">
        <f aca="false">COUNTIFS(Positions!$B$2:$B$6912,A168,Positions!$F$2:$F$6912,B168,Positions!$E$2:$E$6912,"G")</f>
        <v>0</v>
      </c>
      <c r="H168" s="4" t="n">
        <f aca="false">COUNTIFS(Positions!$B$2:$B$6912,A168,Positions!$F$2:$F$6912,B168,Positions!$E$2:$E$6912,"C")</f>
        <v>1</v>
      </c>
      <c r="I168" s="3" t="n">
        <f aca="false">G168+H168</f>
        <v>1</v>
      </c>
      <c r="J168" s="6" t="n">
        <f aca="false">IF(F168=0,0,I168/F168)</f>
        <v>0.142857142857143</v>
      </c>
    </row>
    <row r="169" customFormat="false" ht="15" hidden="false" customHeight="false" outlineLevel="0" collapsed="false">
      <c r="A169" s="4" t="s">
        <v>70</v>
      </c>
      <c r="B169" s="4" t="s">
        <v>465</v>
      </c>
      <c r="C169" s="4" t="s">
        <v>550</v>
      </c>
      <c r="D169" s="4" t="s">
        <v>550</v>
      </c>
      <c r="E169" s="4" t="s">
        <v>609</v>
      </c>
      <c r="F169" s="4" t="n">
        <f aca="false">COUNTIFS(Positions!$B$2:$B$6912,A169,Positions!$F$2:$F$6912,B169)</f>
        <v>5</v>
      </c>
      <c r="G169" s="4" t="n">
        <f aca="false">COUNTIFS(Positions!$B$2:$B$6912,A169,Positions!$F$2:$F$6912,B169,Positions!$E$2:$E$6912,"G")</f>
        <v>3</v>
      </c>
      <c r="H169" s="4" t="n">
        <f aca="false">COUNTIFS(Positions!$B$2:$B$6912,A169,Positions!$F$2:$F$6912,B169,Positions!$E$2:$E$6912,"C")</f>
        <v>1</v>
      </c>
      <c r="I169" s="3" t="n">
        <f aca="false">G169+H169</f>
        <v>4</v>
      </c>
      <c r="J169" s="6" t="n">
        <f aca="false">IF(F169=0,0,I169/F169)</f>
        <v>0.8</v>
      </c>
    </row>
    <row r="170" customFormat="false" ht="15" hidden="false" customHeight="false" outlineLevel="0" collapsed="false">
      <c r="A170" s="4" t="s">
        <v>70</v>
      </c>
      <c r="B170" s="4" t="s">
        <v>477</v>
      </c>
      <c r="C170" s="4" t="s">
        <v>553</v>
      </c>
      <c r="D170" s="4" t="s">
        <v>553</v>
      </c>
      <c r="E170" s="4" t="s">
        <v>647</v>
      </c>
      <c r="F170" s="4" t="n">
        <f aca="false">COUNTIFS(Positions!$B$2:$B$6912,A170,Positions!$F$2:$F$6912,B170)</f>
        <v>7</v>
      </c>
      <c r="G170" s="4" t="n">
        <f aca="false">COUNTIFS(Positions!$B$2:$B$6912,A170,Positions!$F$2:$F$6912,B170,Positions!$E$2:$E$6912,"G")</f>
        <v>2</v>
      </c>
      <c r="H170" s="4" t="n">
        <f aca="false">COUNTIFS(Positions!$B$2:$B$6912,A170,Positions!$F$2:$F$6912,B170,Positions!$E$2:$E$6912,"C")</f>
        <v>1</v>
      </c>
      <c r="I170" s="3" t="n">
        <f aca="false">G170+H170</f>
        <v>3</v>
      </c>
      <c r="J170" s="6" t="n">
        <f aca="false">IF(F170=0,0,I170/F170)</f>
        <v>0.428571428571429</v>
      </c>
    </row>
    <row r="171" customFormat="false" ht="15" hidden="false" customHeight="false" outlineLevel="0" collapsed="false">
      <c r="A171" s="7" t="s">
        <v>70</v>
      </c>
      <c r="B171" s="7" t="s">
        <v>556</v>
      </c>
      <c r="C171" s="7" t="s">
        <v>557</v>
      </c>
      <c r="D171" s="7" t="s">
        <v>557</v>
      </c>
      <c r="E171" s="7" t="s">
        <v>611</v>
      </c>
      <c r="F171" s="7" t="n">
        <f aca="false">COUNTIFS(Positions!$B$2:$B$6912,A171,Positions!$F$2:$F$6912,"Position 8")+COUNTIFS(Positions!$B$2:$B$6912,A171,Positions!$F$2:$F$6912,"Position 9")+COUNTIFS(Positions!$B$2:$B$6912,A171,Positions!$F$2:$F$6912,"Position 26")</f>
        <v>3</v>
      </c>
      <c r="G171" s="7" t="n">
        <f aca="false">COUNTIFS(Positions!$B$2:$B$6912,A171,Positions!$F$2:$F$6912,"Position 8",Positions!$E$2:$E$6912,"G")+COUNTIFS(Positions!$B$2:$B$6912,A171,Positions!$F$2:$F$6912,"Position 9",Positions!$E$2:$E$6912,"G")+COUNTIFS(Positions!$B$2:$B$6912,A171,Positions!$F$2:$F$6912,"Position 26",Positions!$E$2:$E$6912,"G")</f>
        <v>0</v>
      </c>
      <c r="H171" s="7" t="n">
        <f aca="false">COUNTIFS(Positions!$B$2:$B$6912,A171,Positions!$F$2:$F$6912,"Position 8",Positions!$E$2:$E$6912,"C")+COUNTIFS(Positions!$B$2:$B$6912,A171,Positions!$F$2:$F$6912,"Position 9",Positions!$E$2:$E$6912,"C")+COUNTIFS(Positions!$B$2:$B$6912,A171,Positions!$F$2:$F$6912,"Position 26",Positions!$E$2:$E$6912,"C")</f>
        <v>0</v>
      </c>
      <c r="I171" s="8" t="n">
        <f aca="false">G171+H171</f>
        <v>0</v>
      </c>
      <c r="J171" s="26" t="n">
        <f aca="false">IF(F171=0,0,I171/F171)</f>
        <v>0</v>
      </c>
    </row>
    <row r="172" customFormat="false" ht="15" hidden="false" customHeight="false" outlineLevel="0" collapsed="false">
      <c r="A172" s="4" t="s">
        <v>71</v>
      </c>
      <c r="B172" s="4" t="s">
        <v>430</v>
      </c>
      <c r="C172" s="4" t="s">
        <v>544</v>
      </c>
      <c r="D172" s="4" t="s">
        <v>544</v>
      </c>
      <c r="E172" s="4" t="s">
        <v>607</v>
      </c>
      <c r="F172" s="4" t="n">
        <f aca="false">COUNTIFS(Positions!$B$2:$B$6912,A172,Positions!$F$2:$F$6912,B172)</f>
        <v>8</v>
      </c>
      <c r="G172" s="4" t="n">
        <f aca="false">COUNTIFS(Positions!$B$2:$B$6912,A172,Positions!$F$2:$F$6912,B172,Positions!$E$2:$E$6912,"G")</f>
        <v>3</v>
      </c>
      <c r="H172" s="4" t="n">
        <f aca="false">COUNTIFS(Positions!$B$2:$B$6912,A172,Positions!$F$2:$F$6912,B172,Positions!$E$2:$E$6912,"C")</f>
        <v>1</v>
      </c>
      <c r="I172" s="3" t="n">
        <f aca="false">G172+H172</f>
        <v>4</v>
      </c>
      <c r="J172" s="6" t="n">
        <f aca="false">IF(F172=0,0,I172/F172)</f>
        <v>0.5</v>
      </c>
    </row>
    <row r="173" customFormat="false" ht="15" hidden="false" customHeight="false" outlineLevel="0" collapsed="false">
      <c r="A173" s="4" t="s">
        <v>71</v>
      </c>
      <c r="B173" s="4" t="s">
        <v>452</v>
      </c>
      <c r="C173" s="4" t="s">
        <v>547</v>
      </c>
      <c r="D173" s="4" t="s">
        <v>547</v>
      </c>
      <c r="E173" s="4" t="s">
        <v>608</v>
      </c>
      <c r="F173" s="4" t="n">
        <f aca="false">COUNTIFS(Positions!$B$2:$B$6912,A173,Positions!$F$2:$F$6912,B173)</f>
        <v>7</v>
      </c>
      <c r="G173" s="4" t="n">
        <f aca="false">COUNTIFS(Positions!$B$2:$B$6912,A173,Positions!$F$2:$F$6912,B173,Positions!$E$2:$E$6912,"G")</f>
        <v>0</v>
      </c>
      <c r="H173" s="4" t="n">
        <f aca="false">COUNTIFS(Positions!$B$2:$B$6912,A173,Positions!$F$2:$F$6912,B173,Positions!$E$2:$E$6912,"C")</f>
        <v>1</v>
      </c>
      <c r="I173" s="3" t="n">
        <f aca="false">G173+H173</f>
        <v>1</v>
      </c>
      <c r="J173" s="6" t="n">
        <f aca="false">IF(F173=0,0,I173/F173)</f>
        <v>0.142857142857143</v>
      </c>
    </row>
    <row r="174" customFormat="false" ht="15" hidden="false" customHeight="false" outlineLevel="0" collapsed="false">
      <c r="A174" s="4" t="s">
        <v>71</v>
      </c>
      <c r="B174" s="4" t="s">
        <v>465</v>
      </c>
      <c r="C174" s="4" t="s">
        <v>550</v>
      </c>
      <c r="D174" s="4" t="s">
        <v>550</v>
      </c>
      <c r="E174" s="4" t="s">
        <v>609</v>
      </c>
      <c r="F174" s="4" t="n">
        <f aca="false">COUNTIFS(Positions!$B$2:$B$6912,A174,Positions!$F$2:$F$6912,B174)</f>
        <v>5</v>
      </c>
      <c r="G174" s="4" t="n">
        <f aca="false">COUNTIFS(Positions!$B$2:$B$6912,A174,Positions!$F$2:$F$6912,B174,Positions!$E$2:$E$6912,"G")</f>
        <v>3</v>
      </c>
      <c r="H174" s="4" t="n">
        <f aca="false">COUNTIFS(Positions!$B$2:$B$6912,A174,Positions!$F$2:$F$6912,B174,Positions!$E$2:$E$6912,"C")</f>
        <v>1</v>
      </c>
      <c r="I174" s="3" t="n">
        <f aca="false">G174+H174</f>
        <v>4</v>
      </c>
      <c r="J174" s="6" t="n">
        <f aca="false">IF(F174=0,0,I174/F174)</f>
        <v>0.8</v>
      </c>
    </row>
    <row r="175" customFormat="false" ht="15" hidden="false" customHeight="false" outlineLevel="0" collapsed="false">
      <c r="A175" s="4" t="s">
        <v>71</v>
      </c>
      <c r="B175" s="4" t="s">
        <v>477</v>
      </c>
      <c r="C175" s="4" t="s">
        <v>553</v>
      </c>
      <c r="D175" s="4" t="s">
        <v>553</v>
      </c>
      <c r="E175" s="4" t="s">
        <v>647</v>
      </c>
      <c r="F175" s="4" t="n">
        <f aca="false">COUNTIFS(Positions!$B$2:$B$6912,A175,Positions!$F$2:$F$6912,B175)</f>
        <v>7</v>
      </c>
      <c r="G175" s="4" t="n">
        <f aca="false">COUNTIFS(Positions!$B$2:$B$6912,A175,Positions!$F$2:$F$6912,B175,Positions!$E$2:$E$6912,"G")</f>
        <v>2</v>
      </c>
      <c r="H175" s="4" t="n">
        <f aca="false">COUNTIFS(Positions!$B$2:$B$6912,A175,Positions!$F$2:$F$6912,B175,Positions!$E$2:$E$6912,"C")</f>
        <v>1</v>
      </c>
      <c r="I175" s="3" t="n">
        <f aca="false">G175+H175</f>
        <v>3</v>
      </c>
      <c r="J175" s="6" t="n">
        <f aca="false">IF(F175=0,0,I175/F175)</f>
        <v>0.428571428571429</v>
      </c>
    </row>
    <row r="176" customFormat="false" ht="15" hidden="false" customHeight="false" outlineLevel="0" collapsed="false">
      <c r="A176" s="7" t="s">
        <v>71</v>
      </c>
      <c r="B176" s="7" t="s">
        <v>556</v>
      </c>
      <c r="C176" s="7" t="s">
        <v>557</v>
      </c>
      <c r="D176" s="7" t="s">
        <v>557</v>
      </c>
      <c r="E176" s="7" t="s">
        <v>611</v>
      </c>
      <c r="F176" s="7" t="n">
        <f aca="false">COUNTIFS(Positions!$B$2:$B$6912,A176,Positions!$F$2:$F$6912,"Position 8")+COUNTIFS(Positions!$B$2:$B$6912,A176,Positions!$F$2:$F$6912,"Position 9")+COUNTIFS(Positions!$B$2:$B$6912,A176,Positions!$F$2:$F$6912,"Position 26")</f>
        <v>3</v>
      </c>
      <c r="G176" s="7" t="n">
        <f aca="false">COUNTIFS(Positions!$B$2:$B$6912,A176,Positions!$F$2:$F$6912,"Position 8",Positions!$E$2:$E$6912,"G")+COUNTIFS(Positions!$B$2:$B$6912,A176,Positions!$F$2:$F$6912,"Position 9",Positions!$E$2:$E$6912,"G")+COUNTIFS(Positions!$B$2:$B$6912,A176,Positions!$F$2:$F$6912,"Position 26",Positions!$E$2:$E$6912,"G")</f>
        <v>0</v>
      </c>
      <c r="H176" s="7" t="n">
        <f aca="false">COUNTIFS(Positions!$B$2:$B$6912,A176,Positions!$F$2:$F$6912,"Position 8",Positions!$E$2:$E$6912,"C")+COUNTIFS(Positions!$B$2:$B$6912,A176,Positions!$F$2:$F$6912,"Position 9",Positions!$E$2:$E$6912,"C")+COUNTIFS(Positions!$B$2:$B$6912,A176,Positions!$F$2:$F$6912,"Position 26",Positions!$E$2:$E$6912,"C")</f>
        <v>0</v>
      </c>
      <c r="I176" s="8" t="n">
        <f aca="false">G176+H176</f>
        <v>0</v>
      </c>
      <c r="J176" s="26" t="n">
        <f aca="false">IF(F176=0,0,I176/F176)</f>
        <v>0</v>
      </c>
    </row>
    <row r="177" customFormat="false" ht="15" hidden="false" customHeight="false" outlineLevel="0" collapsed="false">
      <c r="A177" s="4" t="s">
        <v>72</v>
      </c>
      <c r="B177" s="4" t="s">
        <v>430</v>
      </c>
      <c r="C177" s="4" t="s">
        <v>544</v>
      </c>
      <c r="D177" s="4" t="s">
        <v>544</v>
      </c>
      <c r="E177" s="4" t="s">
        <v>607</v>
      </c>
      <c r="F177" s="4" t="n">
        <f aca="false">COUNTIFS(Positions!$B$2:$B$6912,A177,Positions!$F$2:$F$6912,B177)</f>
        <v>8</v>
      </c>
      <c r="G177" s="4" t="n">
        <f aca="false">COUNTIFS(Positions!$B$2:$B$6912,A177,Positions!$F$2:$F$6912,B177,Positions!$E$2:$E$6912,"G")</f>
        <v>3</v>
      </c>
      <c r="H177" s="4" t="n">
        <f aca="false">COUNTIFS(Positions!$B$2:$B$6912,A177,Positions!$F$2:$F$6912,B177,Positions!$E$2:$E$6912,"C")</f>
        <v>1</v>
      </c>
      <c r="I177" s="3" t="n">
        <f aca="false">G177+H177</f>
        <v>4</v>
      </c>
      <c r="J177" s="6" t="n">
        <f aca="false">IF(F177=0,0,I177/F177)</f>
        <v>0.5</v>
      </c>
    </row>
    <row r="178" customFormat="false" ht="15" hidden="false" customHeight="false" outlineLevel="0" collapsed="false">
      <c r="A178" s="4" t="s">
        <v>72</v>
      </c>
      <c r="B178" s="4" t="s">
        <v>452</v>
      </c>
      <c r="C178" s="4" t="s">
        <v>547</v>
      </c>
      <c r="D178" s="4" t="s">
        <v>547</v>
      </c>
      <c r="E178" s="4" t="s">
        <v>608</v>
      </c>
      <c r="F178" s="4" t="n">
        <f aca="false">COUNTIFS(Positions!$B$2:$B$6912,A178,Positions!$F$2:$F$6912,B178)</f>
        <v>7</v>
      </c>
      <c r="G178" s="4" t="n">
        <f aca="false">COUNTIFS(Positions!$B$2:$B$6912,A178,Positions!$F$2:$F$6912,B178,Positions!$E$2:$E$6912,"G")</f>
        <v>0</v>
      </c>
      <c r="H178" s="4" t="n">
        <f aca="false">COUNTIFS(Positions!$B$2:$B$6912,A178,Positions!$F$2:$F$6912,B178,Positions!$E$2:$E$6912,"C")</f>
        <v>1</v>
      </c>
      <c r="I178" s="3" t="n">
        <f aca="false">G178+H178</f>
        <v>1</v>
      </c>
      <c r="J178" s="6" t="n">
        <f aca="false">IF(F178=0,0,I178/F178)</f>
        <v>0.142857142857143</v>
      </c>
    </row>
    <row r="179" customFormat="false" ht="15" hidden="false" customHeight="false" outlineLevel="0" collapsed="false">
      <c r="A179" s="4" t="s">
        <v>72</v>
      </c>
      <c r="B179" s="4" t="s">
        <v>465</v>
      </c>
      <c r="C179" s="4" t="s">
        <v>550</v>
      </c>
      <c r="D179" s="4" t="s">
        <v>550</v>
      </c>
      <c r="E179" s="4" t="s">
        <v>609</v>
      </c>
      <c r="F179" s="4" t="n">
        <f aca="false">COUNTIFS(Positions!$B$2:$B$6912,A179,Positions!$F$2:$F$6912,B179)</f>
        <v>5</v>
      </c>
      <c r="G179" s="4" t="n">
        <f aca="false">COUNTIFS(Positions!$B$2:$B$6912,A179,Positions!$F$2:$F$6912,B179,Positions!$E$2:$E$6912,"G")</f>
        <v>3</v>
      </c>
      <c r="H179" s="4" t="n">
        <f aca="false">COUNTIFS(Positions!$B$2:$B$6912,A179,Positions!$F$2:$F$6912,B179,Positions!$E$2:$E$6912,"C")</f>
        <v>1</v>
      </c>
      <c r="I179" s="3" t="n">
        <f aca="false">G179+H179</f>
        <v>4</v>
      </c>
      <c r="J179" s="6" t="n">
        <f aca="false">IF(F179=0,0,I179/F179)</f>
        <v>0.8</v>
      </c>
    </row>
    <row r="180" customFormat="false" ht="15" hidden="false" customHeight="false" outlineLevel="0" collapsed="false">
      <c r="A180" s="4" t="s">
        <v>72</v>
      </c>
      <c r="B180" s="4" t="s">
        <v>477</v>
      </c>
      <c r="C180" s="4" t="s">
        <v>553</v>
      </c>
      <c r="D180" s="4" t="s">
        <v>553</v>
      </c>
      <c r="E180" s="4" t="s">
        <v>647</v>
      </c>
      <c r="F180" s="4" t="n">
        <f aca="false">COUNTIFS(Positions!$B$2:$B$6912,A180,Positions!$F$2:$F$6912,B180)</f>
        <v>7</v>
      </c>
      <c r="G180" s="4" t="n">
        <f aca="false">COUNTIFS(Positions!$B$2:$B$6912,A180,Positions!$F$2:$F$6912,B180,Positions!$E$2:$E$6912,"G")</f>
        <v>2</v>
      </c>
      <c r="H180" s="4" t="n">
        <f aca="false">COUNTIFS(Positions!$B$2:$B$6912,A180,Positions!$F$2:$F$6912,B180,Positions!$E$2:$E$6912,"C")</f>
        <v>1</v>
      </c>
      <c r="I180" s="3" t="n">
        <f aca="false">G180+H180</f>
        <v>3</v>
      </c>
      <c r="J180" s="6" t="n">
        <f aca="false">IF(F180=0,0,I180/F180)</f>
        <v>0.428571428571429</v>
      </c>
    </row>
    <row r="181" customFormat="false" ht="15" hidden="false" customHeight="false" outlineLevel="0" collapsed="false">
      <c r="A181" s="7" t="s">
        <v>72</v>
      </c>
      <c r="B181" s="7" t="s">
        <v>556</v>
      </c>
      <c r="C181" s="7" t="s">
        <v>557</v>
      </c>
      <c r="D181" s="7" t="s">
        <v>557</v>
      </c>
      <c r="E181" s="7" t="s">
        <v>611</v>
      </c>
      <c r="F181" s="7" t="n">
        <f aca="false">COUNTIFS(Positions!$B$2:$B$6912,A181,Positions!$F$2:$F$6912,"Position 8")+COUNTIFS(Positions!$B$2:$B$6912,A181,Positions!$F$2:$F$6912,"Position 9")+COUNTIFS(Positions!$B$2:$B$6912,A181,Positions!$F$2:$F$6912,"Position 26")</f>
        <v>3</v>
      </c>
      <c r="G181" s="7" t="n">
        <f aca="false">COUNTIFS(Positions!$B$2:$B$6912,A181,Positions!$F$2:$F$6912,"Position 8",Positions!$E$2:$E$6912,"G")+COUNTIFS(Positions!$B$2:$B$6912,A181,Positions!$F$2:$F$6912,"Position 9",Positions!$E$2:$E$6912,"G")+COUNTIFS(Positions!$B$2:$B$6912,A181,Positions!$F$2:$F$6912,"Position 26",Positions!$E$2:$E$6912,"G")</f>
        <v>0</v>
      </c>
      <c r="H181" s="7" t="n">
        <f aca="false">COUNTIFS(Positions!$B$2:$B$6912,A181,Positions!$F$2:$F$6912,"Position 8",Positions!$E$2:$E$6912,"C")+COUNTIFS(Positions!$B$2:$B$6912,A181,Positions!$F$2:$F$6912,"Position 9",Positions!$E$2:$E$6912,"C")+COUNTIFS(Positions!$B$2:$B$6912,A181,Positions!$F$2:$F$6912,"Position 26",Positions!$E$2:$E$6912,"C")</f>
        <v>0</v>
      </c>
      <c r="I181" s="8" t="n">
        <f aca="false">G181+H181</f>
        <v>0</v>
      </c>
      <c r="J181" s="26" t="n">
        <f aca="false">IF(F181=0,0,I181/F181)</f>
        <v>0</v>
      </c>
    </row>
    <row r="182" customFormat="false" ht="15" hidden="false" customHeight="false" outlineLevel="0" collapsed="false">
      <c r="A182" s="4" t="s">
        <v>73</v>
      </c>
      <c r="B182" s="4" t="s">
        <v>430</v>
      </c>
      <c r="C182" s="4" t="s">
        <v>544</v>
      </c>
      <c r="D182" s="4" t="s">
        <v>544</v>
      </c>
      <c r="E182" s="4" t="s">
        <v>617</v>
      </c>
      <c r="F182" s="4" t="n">
        <f aca="false">COUNTIFS(Positions!$B$2:$B$6912,A182,Positions!$F$2:$F$6912,B182)</f>
        <v>8</v>
      </c>
      <c r="G182" s="4" t="n">
        <f aca="false">COUNTIFS(Positions!$B$2:$B$6912,A182,Positions!$F$2:$F$6912,B182,Positions!$E$2:$E$6912,"G")</f>
        <v>3</v>
      </c>
      <c r="H182" s="4" t="n">
        <f aca="false">COUNTIFS(Positions!$B$2:$B$6912,A182,Positions!$F$2:$F$6912,B182,Positions!$E$2:$E$6912,"C")</f>
        <v>0</v>
      </c>
      <c r="I182" s="3" t="n">
        <f aca="false">G182+H182</f>
        <v>3</v>
      </c>
      <c r="J182" s="6" t="n">
        <f aca="false">IF(F182=0,0,I182/F182)</f>
        <v>0.375</v>
      </c>
    </row>
    <row r="183" customFormat="false" ht="15" hidden="false" customHeight="false" outlineLevel="0" collapsed="false">
      <c r="A183" s="4" t="s">
        <v>73</v>
      </c>
      <c r="B183" s="4" t="s">
        <v>452</v>
      </c>
      <c r="C183" s="4" t="s">
        <v>547</v>
      </c>
      <c r="D183" s="4" t="s">
        <v>547</v>
      </c>
      <c r="E183" s="4" t="s">
        <v>618</v>
      </c>
      <c r="F183" s="4" t="n">
        <f aca="false">COUNTIFS(Positions!$B$2:$B$6912,A183,Positions!$F$2:$F$6912,B183)</f>
        <v>7</v>
      </c>
      <c r="G183" s="4" t="n">
        <f aca="false">COUNTIFS(Positions!$B$2:$B$6912,A183,Positions!$F$2:$F$6912,B183,Positions!$E$2:$E$6912,"G")</f>
        <v>2</v>
      </c>
      <c r="H183" s="4" t="n">
        <f aca="false">COUNTIFS(Positions!$B$2:$B$6912,A183,Positions!$F$2:$F$6912,B183,Positions!$E$2:$E$6912,"C")</f>
        <v>1</v>
      </c>
      <c r="I183" s="3" t="n">
        <f aca="false">G183+H183</f>
        <v>3</v>
      </c>
      <c r="J183" s="6" t="n">
        <f aca="false">IF(F183=0,0,I183/F183)</f>
        <v>0.428571428571429</v>
      </c>
    </row>
    <row r="184" customFormat="false" ht="15" hidden="false" customHeight="false" outlineLevel="0" collapsed="false">
      <c r="A184" s="4" t="s">
        <v>73</v>
      </c>
      <c r="B184" s="4" t="s">
        <v>465</v>
      </c>
      <c r="C184" s="4" t="s">
        <v>550</v>
      </c>
      <c r="D184" s="4" t="s">
        <v>550</v>
      </c>
      <c r="E184" s="4" t="s">
        <v>591</v>
      </c>
      <c r="F184" s="4" t="n">
        <f aca="false">COUNTIFS(Positions!$B$2:$B$6912,A184,Positions!$F$2:$F$6912,B184)</f>
        <v>5</v>
      </c>
      <c r="G184" s="4" t="n">
        <f aca="false">COUNTIFS(Positions!$B$2:$B$6912,A184,Positions!$F$2:$F$6912,B184,Positions!$E$2:$E$6912,"G")</f>
        <v>2</v>
      </c>
      <c r="H184" s="4" t="n">
        <f aca="false">COUNTIFS(Positions!$B$2:$B$6912,A184,Positions!$F$2:$F$6912,B184,Positions!$E$2:$E$6912,"C")</f>
        <v>1</v>
      </c>
      <c r="I184" s="3" t="n">
        <f aca="false">G184+H184</f>
        <v>3</v>
      </c>
      <c r="J184" s="6" t="n">
        <f aca="false">IF(F184=0,0,I184/F184)</f>
        <v>0.6</v>
      </c>
    </row>
    <row r="185" customFormat="false" ht="15" hidden="false" customHeight="false" outlineLevel="0" collapsed="false">
      <c r="A185" s="4" t="s">
        <v>73</v>
      </c>
      <c r="B185" s="4" t="s">
        <v>477</v>
      </c>
      <c r="C185" s="4" t="s">
        <v>553</v>
      </c>
      <c r="D185" s="4" t="s">
        <v>553</v>
      </c>
      <c r="E185" s="4" t="s">
        <v>563</v>
      </c>
      <c r="F185" s="4" t="n">
        <f aca="false">COUNTIFS(Positions!$B$2:$B$6912,A185,Positions!$F$2:$F$6912,B185)</f>
        <v>7</v>
      </c>
      <c r="G185" s="4" t="n">
        <f aca="false">COUNTIFS(Positions!$B$2:$B$6912,A185,Positions!$F$2:$F$6912,B185,Positions!$E$2:$E$6912,"G")</f>
        <v>1</v>
      </c>
      <c r="H185" s="4" t="n">
        <f aca="false">COUNTIFS(Positions!$B$2:$B$6912,A185,Positions!$F$2:$F$6912,B185,Positions!$E$2:$E$6912,"C")</f>
        <v>1</v>
      </c>
      <c r="I185" s="3" t="n">
        <f aca="false">G185+H185</f>
        <v>2</v>
      </c>
      <c r="J185" s="6" t="n">
        <f aca="false">IF(F185=0,0,I185/F185)</f>
        <v>0.285714285714286</v>
      </c>
    </row>
    <row r="186" customFormat="false" ht="15" hidden="false" customHeight="false" outlineLevel="0" collapsed="false">
      <c r="A186" s="7" t="s">
        <v>73</v>
      </c>
      <c r="B186" s="7" t="s">
        <v>556</v>
      </c>
      <c r="C186" s="7" t="s">
        <v>557</v>
      </c>
      <c r="D186" s="7" t="s">
        <v>557</v>
      </c>
      <c r="E186" s="7" t="s">
        <v>580</v>
      </c>
      <c r="F186" s="7" t="n">
        <f aca="false">COUNTIFS(Positions!$B$2:$B$6912,A186,Positions!$F$2:$F$6912,"Position 8")+COUNTIFS(Positions!$B$2:$B$6912,A186,Positions!$F$2:$F$6912,"Position 9")+COUNTIFS(Positions!$B$2:$B$6912,A186,Positions!$F$2:$F$6912,"Position 26")</f>
        <v>3</v>
      </c>
      <c r="G186" s="7" t="n">
        <f aca="false">COUNTIFS(Positions!$B$2:$B$6912,A186,Positions!$F$2:$F$6912,"Position 8",Positions!$E$2:$E$6912,"G")+COUNTIFS(Positions!$B$2:$B$6912,A186,Positions!$F$2:$F$6912,"Position 9",Positions!$E$2:$E$6912,"G")+COUNTIFS(Positions!$B$2:$B$6912,A186,Positions!$F$2:$F$6912,"Position 26",Positions!$E$2:$E$6912,"G")</f>
        <v>1</v>
      </c>
      <c r="H186" s="7" t="n">
        <f aca="false">COUNTIFS(Positions!$B$2:$B$6912,A186,Positions!$F$2:$F$6912,"Position 8",Positions!$E$2:$E$6912,"C")+COUNTIFS(Positions!$B$2:$B$6912,A186,Positions!$F$2:$F$6912,"Position 9",Positions!$E$2:$E$6912,"C")+COUNTIFS(Positions!$B$2:$B$6912,A186,Positions!$F$2:$F$6912,"Position 26",Positions!$E$2:$E$6912,"C")</f>
        <v>0</v>
      </c>
      <c r="I186" s="8" t="n">
        <f aca="false">G186+H186</f>
        <v>1</v>
      </c>
      <c r="J186" s="26" t="n">
        <f aca="false">IF(F186=0,0,I186/F186)</f>
        <v>0.333333333333333</v>
      </c>
    </row>
    <row r="187" customFormat="false" ht="15" hidden="false" customHeight="false" outlineLevel="0" collapsed="false">
      <c r="A187" s="4" t="s">
        <v>74</v>
      </c>
      <c r="B187" s="4" t="s">
        <v>430</v>
      </c>
      <c r="C187" s="4" t="s">
        <v>544</v>
      </c>
      <c r="D187" s="4" t="s">
        <v>544</v>
      </c>
      <c r="E187" s="4" t="s">
        <v>602</v>
      </c>
      <c r="F187" s="4" t="n">
        <f aca="false">COUNTIFS(Positions!$B$2:$B$6912,A187,Positions!$F$2:$F$6912,B187)</f>
        <v>8</v>
      </c>
      <c r="G187" s="4" t="n">
        <f aca="false">COUNTIFS(Positions!$B$2:$B$6912,A187,Positions!$F$2:$F$6912,B187,Positions!$E$2:$E$6912,"G")</f>
        <v>3</v>
      </c>
      <c r="H187" s="4" t="n">
        <f aca="false">COUNTIFS(Positions!$B$2:$B$6912,A187,Positions!$F$2:$F$6912,B187,Positions!$E$2:$E$6912,"C")</f>
        <v>0</v>
      </c>
      <c r="I187" s="3" t="n">
        <f aca="false">G187+H187</f>
        <v>3</v>
      </c>
      <c r="J187" s="6" t="n">
        <f aca="false">IF(F187=0,0,I187/F187)</f>
        <v>0.375</v>
      </c>
    </row>
    <row r="188" customFormat="false" ht="15" hidden="false" customHeight="false" outlineLevel="0" collapsed="false">
      <c r="A188" s="4" t="s">
        <v>74</v>
      </c>
      <c r="B188" s="4" t="s">
        <v>452</v>
      </c>
      <c r="C188" s="4" t="s">
        <v>547</v>
      </c>
      <c r="D188" s="4" t="s">
        <v>547</v>
      </c>
      <c r="E188" s="4" t="s">
        <v>639</v>
      </c>
      <c r="F188" s="4" t="n">
        <f aca="false">COUNTIFS(Positions!$B$2:$B$6912,A188,Positions!$F$2:$F$6912,B188)</f>
        <v>7</v>
      </c>
      <c r="G188" s="4" t="n">
        <f aca="false">COUNTIFS(Positions!$B$2:$B$6912,A188,Positions!$F$2:$F$6912,B188,Positions!$E$2:$E$6912,"G")</f>
        <v>0</v>
      </c>
      <c r="H188" s="4" t="n">
        <f aca="false">COUNTIFS(Positions!$B$2:$B$6912,A188,Positions!$F$2:$F$6912,B188,Positions!$E$2:$E$6912,"C")</f>
        <v>4</v>
      </c>
      <c r="I188" s="3" t="n">
        <f aca="false">G188+H188</f>
        <v>4</v>
      </c>
      <c r="J188" s="6" t="n">
        <f aca="false">IF(F188=0,0,I188/F188)</f>
        <v>0.571428571428571</v>
      </c>
    </row>
    <row r="189" customFormat="false" ht="15" hidden="false" customHeight="false" outlineLevel="0" collapsed="false">
      <c r="A189" s="4" t="s">
        <v>74</v>
      </c>
      <c r="B189" s="4" t="s">
        <v>465</v>
      </c>
      <c r="C189" s="4" t="s">
        <v>550</v>
      </c>
      <c r="D189" s="4" t="s">
        <v>599</v>
      </c>
      <c r="E189" s="4" t="s">
        <v>648</v>
      </c>
      <c r="F189" s="4" t="n">
        <f aca="false">COUNTIFS(Positions!$B$2:$B$6912,A189,Positions!$F$2:$F$6912,B189)</f>
        <v>4</v>
      </c>
      <c r="G189" s="4" t="n">
        <f aca="false">COUNTIFS(Positions!$B$2:$B$6912,A189,Positions!$F$2:$F$6912,B189,Positions!$E$2:$E$6912,"G")</f>
        <v>2</v>
      </c>
      <c r="H189" s="4" t="n">
        <f aca="false">COUNTIFS(Positions!$B$2:$B$6912,A189,Positions!$F$2:$F$6912,B189,Positions!$E$2:$E$6912,"C")</f>
        <v>2</v>
      </c>
      <c r="I189" s="3" t="n">
        <f aca="false">G189+H189</f>
        <v>4</v>
      </c>
      <c r="J189" s="6" t="n">
        <f aca="false">IF(F189=0,0,I189/F189)</f>
        <v>1</v>
      </c>
    </row>
    <row r="190" customFormat="false" ht="15" hidden="false" customHeight="false" outlineLevel="0" collapsed="false">
      <c r="A190" s="4" t="s">
        <v>74</v>
      </c>
      <c r="B190" s="4" t="s">
        <v>477</v>
      </c>
      <c r="C190" s="4" t="s">
        <v>553</v>
      </c>
      <c r="D190" s="4" t="s">
        <v>578</v>
      </c>
      <c r="E190" s="4" t="s">
        <v>601</v>
      </c>
      <c r="F190" s="4" t="n">
        <f aca="false">COUNTIFS(Positions!$B$2:$B$6912,A190,Positions!$F$2:$F$6912,B190)</f>
        <v>7</v>
      </c>
      <c r="G190" s="4" t="n">
        <f aca="false">COUNTIFS(Positions!$B$2:$B$6912,A190,Positions!$F$2:$F$6912,B190,Positions!$E$2:$E$6912,"G")</f>
        <v>1</v>
      </c>
      <c r="H190" s="4" t="n">
        <f aca="false">COUNTIFS(Positions!$B$2:$B$6912,A190,Positions!$F$2:$F$6912,B190,Positions!$E$2:$E$6912,"C")</f>
        <v>1</v>
      </c>
      <c r="I190" s="3" t="n">
        <f aca="false">G190+H190</f>
        <v>2</v>
      </c>
      <c r="J190" s="6" t="n">
        <f aca="false">IF(F190=0,0,I190/F190)</f>
        <v>0.285714285714286</v>
      </c>
    </row>
    <row r="191" customFormat="false" ht="15" hidden="false" customHeight="false" outlineLevel="0" collapsed="false">
      <c r="A191" s="7" t="s">
        <v>74</v>
      </c>
      <c r="B191" s="7" t="s">
        <v>556</v>
      </c>
      <c r="C191" s="7" t="s">
        <v>557</v>
      </c>
      <c r="D191" s="7" t="s">
        <v>557</v>
      </c>
      <c r="E191" s="7" t="s">
        <v>564</v>
      </c>
      <c r="F191" s="7" t="n">
        <f aca="false">COUNTIFS(Positions!$B$2:$B$6912,A191,Positions!$F$2:$F$6912,"Position 8")+COUNTIFS(Positions!$B$2:$B$6912,A191,Positions!$F$2:$F$6912,"Position 9")+COUNTIFS(Positions!$B$2:$B$6912,A191,Positions!$F$2:$F$6912,"Position 26")</f>
        <v>3</v>
      </c>
      <c r="G191" s="7" t="n">
        <f aca="false">COUNTIFS(Positions!$B$2:$B$6912,A191,Positions!$F$2:$F$6912,"Position 8",Positions!$E$2:$E$6912,"G")+COUNTIFS(Positions!$B$2:$B$6912,A191,Positions!$F$2:$F$6912,"Position 9",Positions!$E$2:$E$6912,"G")+COUNTIFS(Positions!$B$2:$B$6912,A191,Positions!$F$2:$F$6912,"Position 26",Positions!$E$2:$E$6912,"G")</f>
        <v>1</v>
      </c>
      <c r="H191" s="7" t="n">
        <f aca="false">COUNTIFS(Positions!$B$2:$B$6912,A191,Positions!$F$2:$F$6912,"Position 8",Positions!$E$2:$E$6912,"C")+COUNTIFS(Positions!$B$2:$B$6912,A191,Positions!$F$2:$F$6912,"Position 9",Positions!$E$2:$E$6912,"C")+COUNTIFS(Positions!$B$2:$B$6912,A191,Positions!$F$2:$F$6912,"Position 26",Positions!$E$2:$E$6912,"C")</f>
        <v>0</v>
      </c>
      <c r="I191" s="8" t="n">
        <f aca="false">G191+H191</f>
        <v>1</v>
      </c>
      <c r="J191" s="26" t="n">
        <f aca="false">IF(F191=0,0,I191/F191)</f>
        <v>0.333333333333333</v>
      </c>
    </row>
    <row r="192" customFormat="false" ht="15" hidden="false" customHeight="false" outlineLevel="0" collapsed="false">
      <c r="A192" s="4" t="s">
        <v>75</v>
      </c>
      <c r="B192" s="4" t="s">
        <v>430</v>
      </c>
      <c r="C192" s="4" t="s">
        <v>544</v>
      </c>
      <c r="D192" s="4" t="s">
        <v>545</v>
      </c>
      <c r="E192" s="4" t="s">
        <v>628</v>
      </c>
      <c r="F192" s="4" t="n">
        <f aca="false">COUNTIFS(Positions!$B$2:$B$6912,A192,Positions!$F$2:$F$6912,B192)</f>
        <v>9</v>
      </c>
      <c r="G192" s="4" t="n">
        <f aca="false">COUNTIFS(Positions!$B$2:$B$6912,A192,Positions!$F$2:$F$6912,B192,Positions!$E$2:$E$6912,"G")</f>
        <v>3</v>
      </c>
      <c r="H192" s="4" t="n">
        <f aca="false">COUNTIFS(Positions!$B$2:$B$6912,A192,Positions!$F$2:$F$6912,B192,Positions!$E$2:$E$6912,"C")</f>
        <v>0</v>
      </c>
      <c r="I192" s="3" t="n">
        <f aca="false">G192+H192</f>
        <v>3</v>
      </c>
      <c r="J192" s="6" t="n">
        <f aca="false">IF(F192=0,0,I192/F192)</f>
        <v>0.333333333333333</v>
      </c>
    </row>
    <row r="193" customFormat="false" ht="15" hidden="false" customHeight="false" outlineLevel="0" collapsed="false">
      <c r="A193" s="4" t="s">
        <v>75</v>
      </c>
      <c r="B193" s="4" t="s">
        <v>452</v>
      </c>
      <c r="C193" s="4" t="s">
        <v>547</v>
      </c>
      <c r="D193" s="4" t="s">
        <v>548</v>
      </c>
      <c r="E193" s="4" t="s">
        <v>629</v>
      </c>
      <c r="F193" s="4" t="n">
        <f aca="false">COUNTIFS(Positions!$B$2:$B$6912,A193,Positions!$F$2:$F$6912,B193)</f>
        <v>7</v>
      </c>
      <c r="G193" s="4" t="n">
        <f aca="false">COUNTIFS(Positions!$B$2:$B$6912,A193,Positions!$F$2:$F$6912,B193,Positions!$E$2:$E$6912,"G")</f>
        <v>0</v>
      </c>
      <c r="H193" s="4" t="n">
        <f aca="false">COUNTIFS(Positions!$B$2:$B$6912,A193,Positions!$F$2:$F$6912,B193,Positions!$E$2:$E$6912,"C")</f>
        <v>1</v>
      </c>
      <c r="I193" s="3" t="n">
        <f aca="false">G193+H193</f>
        <v>1</v>
      </c>
      <c r="J193" s="6" t="n">
        <f aca="false">IF(F193=0,0,I193/F193)</f>
        <v>0.142857142857143</v>
      </c>
    </row>
    <row r="194" customFormat="false" ht="15" hidden="false" customHeight="false" outlineLevel="0" collapsed="false">
      <c r="A194" s="4" t="s">
        <v>75</v>
      </c>
      <c r="B194" s="4" t="s">
        <v>465</v>
      </c>
      <c r="C194" s="4" t="s">
        <v>550</v>
      </c>
      <c r="D194" s="4" t="s">
        <v>551</v>
      </c>
      <c r="E194" s="4" t="s">
        <v>591</v>
      </c>
      <c r="F194" s="4" t="n">
        <f aca="false">COUNTIFS(Positions!$B$2:$B$6912,A194,Positions!$F$2:$F$6912,B194)</f>
        <v>5</v>
      </c>
      <c r="G194" s="4" t="n">
        <f aca="false">COUNTIFS(Positions!$B$2:$B$6912,A194,Positions!$F$2:$F$6912,B194,Positions!$E$2:$E$6912,"G")</f>
        <v>2</v>
      </c>
      <c r="H194" s="4" t="n">
        <f aca="false">COUNTIFS(Positions!$B$2:$B$6912,A194,Positions!$F$2:$F$6912,B194,Positions!$E$2:$E$6912,"C")</f>
        <v>1</v>
      </c>
      <c r="I194" s="3" t="n">
        <f aca="false">G194+H194</f>
        <v>3</v>
      </c>
      <c r="J194" s="6" t="n">
        <f aca="false">IF(F194=0,0,I194/F194)</f>
        <v>0.6</v>
      </c>
    </row>
    <row r="195" customFormat="false" ht="15" hidden="false" customHeight="false" outlineLevel="0" collapsed="false">
      <c r="A195" s="4" t="s">
        <v>75</v>
      </c>
      <c r="B195" s="4" t="s">
        <v>477</v>
      </c>
      <c r="C195" s="4" t="s">
        <v>553</v>
      </c>
      <c r="D195" s="4" t="s">
        <v>554</v>
      </c>
      <c r="E195" s="4" t="s">
        <v>622</v>
      </c>
      <c r="F195" s="4" t="n">
        <f aca="false">COUNTIFS(Positions!$B$2:$B$6912,A195,Positions!$F$2:$F$6912,B195)</f>
        <v>7</v>
      </c>
      <c r="G195" s="4" t="n">
        <f aca="false">COUNTIFS(Positions!$B$2:$B$6912,A195,Positions!$F$2:$F$6912,B195,Positions!$E$2:$E$6912,"G")</f>
        <v>1</v>
      </c>
      <c r="H195" s="4" t="n">
        <f aca="false">COUNTIFS(Positions!$B$2:$B$6912,A195,Positions!$F$2:$F$6912,B195,Positions!$E$2:$E$6912,"C")</f>
        <v>2</v>
      </c>
      <c r="I195" s="3" t="n">
        <f aca="false">G195+H195</f>
        <v>3</v>
      </c>
      <c r="J195" s="6" t="n">
        <f aca="false">IF(F195=0,0,I195/F195)</f>
        <v>0.428571428571429</v>
      </c>
    </row>
    <row r="196" customFormat="false" ht="15" hidden="false" customHeight="false" outlineLevel="0" collapsed="false">
      <c r="A196" s="7" t="s">
        <v>75</v>
      </c>
      <c r="B196" s="7" t="s">
        <v>556</v>
      </c>
      <c r="C196" s="7" t="s">
        <v>557</v>
      </c>
      <c r="D196" s="7" t="s">
        <v>558</v>
      </c>
      <c r="E196" s="7" t="s">
        <v>580</v>
      </c>
      <c r="F196" s="7" t="n">
        <f aca="false">COUNTIFS(Positions!$B$2:$B$6912,A196,Positions!$F$2:$F$6912,"Position 8")+COUNTIFS(Positions!$B$2:$B$6912,A196,Positions!$F$2:$F$6912,"Position 9")+COUNTIFS(Positions!$B$2:$B$6912,A196,Positions!$F$2:$F$6912,"Position 26")</f>
        <v>3</v>
      </c>
      <c r="G196" s="7" t="n">
        <f aca="false">COUNTIFS(Positions!$B$2:$B$6912,A196,Positions!$F$2:$F$6912,"Position 8",Positions!$E$2:$E$6912,"G")+COUNTIFS(Positions!$B$2:$B$6912,A196,Positions!$F$2:$F$6912,"Position 9",Positions!$E$2:$E$6912,"G")+COUNTIFS(Positions!$B$2:$B$6912,A196,Positions!$F$2:$F$6912,"Position 26",Positions!$E$2:$E$6912,"G")</f>
        <v>1</v>
      </c>
      <c r="H196" s="7" t="n">
        <f aca="false">COUNTIFS(Positions!$B$2:$B$6912,A196,Positions!$F$2:$F$6912,"Position 8",Positions!$E$2:$E$6912,"C")+COUNTIFS(Positions!$B$2:$B$6912,A196,Positions!$F$2:$F$6912,"Position 9",Positions!$E$2:$E$6912,"C")+COUNTIFS(Positions!$B$2:$B$6912,A196,Positions!$F$2:$F$6912,"Position 26",Positions!$E$2:$E$6912,"C")</f>
        <v>0</v>
      </c>
      <c r="I196" s="8" t="n">
        <f aca="false">G196+H196</f>
        <v>1</v>
      </c>
      <c r="J196" s="26" t="n">
        <f aca="false">IF(F196=0,0,I196/F196)</f>
        <v>0.333333333333333</v>
      </c>
    </row>
    <row r="197" customFormat="false" ht="15" hidden="false" customHeight="false" outlineLevel="0" collapsed="false">
      <c r="A197" s="4" t="s">
        <v>76</v>
      </c>
      <c r="B197" s="4" t="s">
        <v>430</v>
      </c>
      <c r="C197" s="4" t="s">
        <v>544</v>
      </c>
      <c r="D197" s="4" t="s">
        <v>544</v>
      </c>
      <c r="E197" s="4" t="s">
        <v>607</v>
      </c>
      <c r="F197" s="4" t="n">
        <f aca="false">COUNTIFS(Positions!$B$2:$B$6912,A197,Positions!$F$2:$F$6912,B197)</f>
        <v>8</v>
      </c>
      <c r="G197" s="4" t="n">
        <f aca="false">COUNTIFS(Positions!$B$2:$B$6912,A197,Positions!$F$2:$F$6912,B197,Positions!$E$2:$E$6912,"G")</f>
        <v>3</v>
      </c>
      <c r="H197" s="4" t="n">
        <f aca="false">COUNTIFS(Positions!$B$2:$B$6912,A197,Positions!$F$2:$F$6912,B197,Positions!$E$2:$E$6912,"C")</f>
        <v>1</v>
      </c>
      <c r="I197" s="3" t="n">
        <f aca="false">G197+H197</f>
        <v>4</v>
      </c>
      <c r="J197" s="6" t="n">
        <f aca="false">IF(F197=0,0,I197/F197)</f>
        <v>0.5</v>
      </c>
    </row>
    <row r="198" customFormat="false" ht="15" hidden="false" customHeight="false" outlineLevel="0" collapsed="false">
      <c r="A198" s="4" t="s">
        <v>76</v>
      </c>
      <c r="B198" s="4" t="s">
        <v>452</v>
      </c>
      <c r="C198" s="4" t="s">
        <v>547</v>
      </c>
      <c r="D198" s="4" t="s">
        <v>547</v>
      </c>
      <c r="E198" s="4" t="s">
        <v>612</v>
      </c>
      <c r="F198" s="4" t="n">
        <f aca="false">COUNTIFS(Positions!$B$2:$B$6912,A198,Positions!$F$2:$F$6912,B198)</f>
        <v>7</v>
      </c>
      <c r="G198" s="4" t="n">
        <f aca="false">COUNTIFS(Positions!$B$2:$B$6912,A198,Positions!$F$2:$F$6912,B198,Positions!$E$2:$E$6912,"G")</f>
        <v>0</v>
      </c>
      <c r="H198" s="4" t="n">
        <f aca="false">COUNTIFS(Positions!$B$2:$B$6912,A198,Positions!$F$2:$F$6912,B198,Positions!$E$2:$E$6912,"C")</f>
        <v>2</v>
      </c>
      <c r="I198" s="3" t="n">
        <f aca="false">G198+H198</f>
        <v>2</v>
      </c>
      <c r="J198" s="6" t="n">
        <f aca="false">IF(F198=0,0,I198/F198)</f>
        <v>0.285714285714286</v>
      </c>
    </row>
    <row r="199" customFormat="false" ht="15" hidden="false" customHeight="false" outlineLevel="0" collapsed="false">
      <c r="A199" s="4" t="s">
        <v>76</v>
      </c>
      <c r="B199" s="4" t="s">
        <v>465</v>
      </c>
      <c r="C199" s="4" t="s">
        <v>550</v>
      </c>
      <c r="D199" s="4" t="s">
        <v>550</v>
      </c>
      <c r="E199" s="4" t="s">
        <v>609</v>
      </c>
      <c r="F199" s="4" t="n">
        <f aca="false">COUNTIFS(Positions!$B$2:$B$6912,A199,Positions!$F$2:$F$6912,B199)</f>
        <v>5</v>
      </c>
      <c r="G199" s="4" t="n">
        <f aca="false">COUNTIFS(Positions!$B$2:$B$6912,A199,Positions!$F$2:$F$6912,B199,Positions!$E$2:$E$6912,"G")</f>
        <v>3</v>
      </c>
      <c r="H199" s="4" t="n">
        <f aca="false">COUNTIFS(Positions!$B$2:$B$6912,A199,Positions!$F$2:$F$6912,B199,Positions!$E$2:$E$6912,"C")</f>
        <v>1</v>
      </c>
      <c r="I199" s="3" t="n">
        <f aca="false">G199+H199</f>
        <v>4</v>
      </c>
      <c r="J199" s="6" t="n">
        <f aca="false">IF(F199=0,0,I199/F199)</f>
        <v>0.8</v>
      </c>
    </row>
    <row r="200" customFormat="false" ht="15" hidden="false" customHeight="false" outlineLevel="0" collapsed="false">
      <c r="A200" s="4" t="s">
        <v>76</v>
      </c>
      <c r="B200" s="4" t="s">
        <v>477</v>
      </c>
      <c r="C200" s="4" t="s">
        <v>553</v>
      </c>
      <c r="D200" s="4" t="s">
        <v>553</v>
      </c>
      <c r="E200" s="4" t="s">
        <v>613</v>
      </c>
      <c r="F200" s="4" t="n">
        <f aca="false">COUNTIFS(Positions!$B$2:$B$6912,A200,Positions!$F$2:$F$6912,B200)</f>
        <v>7</v>
      </c>
      <c r="G200" s="4" t="n">
        <f aca="false">COUNTIFS(Positions!$B$2:$B$6912,A200,Positions!$F$2:$F$6912,B200,Positions!$E$2:$E$6912,"G")</f>
        <v>2</v>
      </c>
      <c r="H200" s="4" t="n">
        <f aca="false">COUNTIFS(Positions!$B$2:$B$6912,A200,Positions!$F$2:$F$6912,B200,Positions!$E$2:$E$6912,"C")</f>
        <v>2</v>
      </c>
      <c r="I200" s="3" t="n">
        <f aca="false">G200+H200</f>
        <v>4</v>
      </c>
      <c r="J200" s="6" t="n">
        <f aca="false">IF(F200=0,0,I200/F200)</f>
        <v>0.571428571428571</v>
      </c>
    </row>
    <row r="201" customFormat="false" ht="15" hidden="false" customHeight="false" outlineLevel="0" collapsed="false">
      <c r="A201" s="7" t="s">
        <v>76</v>
      </c>
      <c r="B201" s="7" t="s">
        <v>556</v>
      </c>
      <c r="C201" s="7" t="s">
        <v>557</v>
      </c>
      <c r="D201" s="7" t="s">
        <v>557</v>
      </c>
      <c r="E201" s="7" t="s">
        <v>611</v>
      </c>
      <c r="F201" s="7" t="n">
        <f aca="false">COUNTIFS(Positions!$B$2:$B$6912,A201,Positions!$F$2:$F$6912,"Position 8")+COUNTIFS(Positions!$B$2:$B$6912,A201,Positions!$F$2:$F$6912,"Position 9")+COUNTIFS(Positions!$B$2:$B$6912,A201,Positions!$F$2:$F$6912,"Position 26")</f>
        <v>3</v>
      </c>
      <c r="G201" s="7" t="n">
        <f aca="false">COUNTIFS(Positions!$B$2:$B$6912,A201,Positions!$F$2:$F$6912,"Position 8",Positions!$E$2:$E$6912,"G")+COUNTIFS(Positions!$B$2:$B$6912,A201,Positions!$F$2:$F$6912,"Position 9",Positions!$E$2:$E$6912,"G")+COUNTIFS(Positions!$B$2:$B$6912,A201,Positions!$F$2:$F$6912,"Position 26",Positions!$E$2:$E$6912,"G")</f>
        <v>0</v>
      </c>
      <c r="H201" s="7" t="n">
        <f aca="false">COUNTIFS(Positions!$B$2:$B$6912,A201,Positions!$F$2:$F$6912,"Position 8",Positions!$E$2:$E$6912,"C")+COUNTIFS(Positions!$B$2:$B$6912,A201,Positions!$F$2:$F$6912,"Position 9",Positions!$E$2:$E$6912,"C")+COUNTIFS(Positions!$B$2:$B$6912,A201,Positions!$F$2:$F$6912,"Position 26",Positions!$E$2:$E$6912,"C")</f>
        <v>0</v>
      </c>
      <c r="I201" s="8" t="n">
        <f aca="false">G201+H201</f>
        <v>0</v>
      </c>
      <c r="J201" s="26" t="n">
        <f aca="false">IF(F201=0,0,I201/F201)</f>
        <v>0</v>
      </c>
    </row>
    <row r="202" customFormat="false" ht="15" hidden="false" customHeight="false" outlineLevel="0" collapsed="false">
      <c r="A202" s="4" t="s">
        <v>77</v>
      </c>
      <c r="B202" s="4" t="s">
        <v>430</v>
      </c>
      <c r="C202" s="4" t="s">
        <v>544</v>
      </c>
      <c r="D202" s="4" t="s">
        <v>544</v>
      </c>
      <c r="E202" s="4" t="s">
        <v>614</v>
      </c>
      <c r="F202" s="4" t="n">
        <f aca="false">COUNTIFS(Positions!$B$2:$B$6912,A202,Positions!$F$2:$F$6912,B202)</f>
        <v>8</v>
      </c>
      <c r="G202" s="4" t="n">
        <f aca="false">COUNTIFS(Positions!$B$2:$B$6912,A202,Positions!$F$2:$F$6912,B202,Positions!$E$2:$E$6912,"G")</f>
        <v>4</v>
      </c>
      <c r="H202" s="4" t="n">
        <f aca="false">COUNTIFS(Positions!$B$2:$B$6912,A202,Positions!$F$2:$F$6912,B202,Positions!$E$2:$E$6912,"C")</f>
        <v>0</v>
      </c>
      <c r="I202" s="3" t="n">
        <f aca="false">G202+H202</f>
        <v>4</v>
      </c>
      <c r="J202" s="6" t="n">
        <f aca="false">IF(F202=0,0,I202/F202)</f>
        <v>0.5</v>
      </c>
    </row>
    <row r="203" customFormat="false" ht="15" hidden="false" customHeight="false" outlineLevel="0" collapsed="false">
      <c r="A203" s="4" t="s">
        <v>77</v>
      </c>
      <c r="B203" s="4" t="s">
        <v>452</v>
      </c>
      <c r="C203" s="4" t="s">
        <v>547</v>
      </c>
      <c r="D203" s="4" t="s">
        <v>547</v>
      </c>
      <c r="E203" s="4" t="s">
        <v>615</v>
      </c>
      <c r="F203" s="4" t="n">
        <f aca="false">COUNTIFS(Positions!$B$2:$B$6912,A203,Positions!$F$2:$F$6912,B203)</f>
        <v>7</v>
      </c>
      <c r="G203" s="4" t="n">
        <f aca="false">COUNTIFS(Positions!$B$2:$B$6912,A203,Positions!$F$2:$F$6912,B203,Positions!$E$2:$E$6912,"G")</f>
        <v>2</v>
      </c>
      <c r="H203" s="4" t="n">
        <f aca="false">COUNTIFS(Positions!$B$2:$B$6912,A203,Positions!$F$2:$F$6912,B203,Positions!$E$2:$E$6912,"C")</f>
        <v>1</v>
      </c>
      <c r="I203" s="3" t="n">
        <f aca="false">G203+H203</f>
        <v>3</v>
      </c>
      <c r="J203" s="6" t="n">
        <f aca="false">IF(F203=0,0,I203/F203)</f>
        <v>0.428571428571429</v>
      </c>
    </row>
    <row r="204" customFormat="false" ht="15" hidden="false" customHeight="false" outlineLevel="0" collapsed="false">
      <c r="A204" s="4" t="s">
        <v>77</v>
      </c>
      <c r="B204" s="4" t="s">
        <v>465</v>
      </c>
      <c r="C204" s="4" t="s">
        <v>550</v>
      </c>
      <c r="D204" s="4" t="s">
        <v>550</v>
      </c>
      <c r="E204" s="4" t="s">
        <v>591</v>
      </c>
      <c r="F204" s="4" t="n">
        <f aca="false">COUNTIFS(Positions!$B$2:$B$6912,A204,Positions!$F$2:$F$6912,B204)</f>
        <v>5</v>
      </c>
      <c r="G204" s="4" t="n">
        <f aca="false">COUNTIFS(Positions!$B$2:$B$6912,A204,Positions!$F$2:$F$6912,B204,Positions!$E$2:$E$6912,"G")</f>
        <v>2</v>
      </c>
      <c r="H204" s="4" t="n">
        <f aca="false">COUNTIFS(Positions!$B$2:$B$6912,A204,Positions!$F$2:$F$6912,B204,Positions!$E$2:$E$6912,"C")</f>
        <v>1</v>
      </c>
      <c r="I204" s="3" t="n">
        <f aca="false">G204+H204</f>
        <v>3</v>
      </c>
      <c r="J204" s="6" t="n">
        <f aca="false">IF(F204=0,0,I204/F204)</f>
        <v>0.6</v>
      </c>
    </row>
    <row r="205" customFormat="false" ht="15" hidden="false" customHeight="false" outlineLevel="0" collapsed="false">
      <c r="A205" s="4" t="s">
        <v>77</v>
      </c>
      <c r="B205" s="4" t="s">
        <v>477</v>
      </c>
      <c r="C205" s="4" t="s">
        <v>553</v>
      </c>
      <c r="D205" s="4" t="s">
        <v>553</v>
      </c>
      <c r="E205" s="4" t="s">
        <v>622</v>
      </c>
      <c r="F205" s="4" t="n">
        <f aca="false">COUNTIFS(Positions!$B$2:$B$6912,A205,Positions!$F$2:$F$6912,B205)</f>
        <v>7</v>
      </c>
      <c r="G205" s="4" t="n">
        <f aca="false">COUNTIFS(Positions!$B$2:$B$6912,A205,Positions!$F$2:$F$6912,B205,Positions!$E$2:$E$6912,"G")</f>
        <v>1</v>
      </c>
      <c r="H205" s="4" t="n">
        <f aca="false">COUNTIFS(Positions!$B$2:$B$6912,A205,Positions!$F$2:$F$6912,B205,Positions!$E$2:$E$6912,"C")</f>
        <v>2</v>
      </c>
      <c r="I205" s="3" t="n">
        <f aca="false">G205+H205</f>
        <v>3</v>
      </c>
      <c r="J205" s="6" t="n">
        <f aca="false">IF(F205=0,0,I205/F205)</f>
        <v>0.428571428571429</v>
      </c>
    </row>
    <row r="206" customFormat="false" ht="15" hidden="false" customHeight="false" outlineLevel="0" collapsed="false">
      <c r="A206" s="7" t="s">
        <v>77</v>
      </c>
      <c r="B206" s="7" t="s">
        <v>556</v>
      </c>
      <c r="C206" s="7" t="s">
        <v>557</v>
      </c>
      <c r="D206" s="7" t="s">
        <v>557</v>
      </c>
      <c r="E206" s="7" t="s">
        <v>580</v>
      </c>
      <c r="F206" s="7" t="n">
        <f aca="false">COUNTIFS(Positions!$B$2:$B$6912,A206,Positions!$F$2:$F$6912,"Position 8")+COUNTIFS(Positions!$B$2:$B$6912,A206,Positions!$F$2:$F$6912,"Position 9")+COUNTIFS(Positions!$B$2:$B$6912,A206,Positions!$F$2:$F$6912,"Position 26")</f>
        <v>3</v>
      </c>
      <c r="G206" s="7" t="n">
        <f aca="false">COUNTIFS(Positions!$B$2:$B$6912,A206,Positions!$F$2:$F$6912,"Position 8",Positions!$E$2:$E$6912,"G")+COUNTIFS(Positions!$B$2:$B$6912,A206,Positions!$F$2:$F$6912,"Position 9",Positions!$E$2:$E$6912,"G")+COUNTIFS(Positions!$B$2:$B$6912,A206,Positions!$F$2:$F$6912,"Position 26",Positions!$E$2:$E$6912,"G")</f>
        <v>1</v>
      </c>
      <c r="H206" s="7" t="n">
        <f aca="false">COUNTIFS(Positions!$B$2:$B$6912,A206,Positions!$F$2:$F$6912,"Position 8",Positions!$E$2:$E$6912,"C")+COUNTIFS(Positions!$B$2:$B$6912,A206,Positions!$F$2:$F$6912,"Position 9",Positions!$E$2:$E$6912,"C")+COUNTIFS(Positions!$B$2:$B$6912,A206,Positions!$F$2:$F$6912,"Position 26",Positions!$E$2:$E$6912,"C")</f>
        <v>0</v>
      </c>
      <c r="I206" s="8" t="n">
        <f aca="false">G206+H206</f>
        <v>1</v>
      </c>
      <c r="J206" s="26" t="n">
        <f aca="false">IF(F206=0,0,I206/F206)</f>
        <v>0.333333333333333</v>
      </c>
    </row>
    <row r="207" customFormat="false" ht="15" hidden="false" customHeight="false" outlineLevel="0" collapsed="false">
      <c r="A207" s="4" t="s">
        <v>78</v>
      </c>
      <c r="B207" s="4" t="s">
        <v>430</v>
      </c>
      <c r="C207" s="4" t="s">
        <v>544</v>
      </c>
      <c r="D207" s="4" t="s">
        <v>544</v>
      </c>
      <c r="E207" s="4" t="s">
        <v>649</v>
      </c>
      <c r="F207" s="4" t="n">
        <f aca="false">COUNTIFS(Positions!$B$2:$B$6912,A207,Positions!$F$2:$F$6912,B207)</f>
        <v>8</v>
      </c>
      <c r="G207" s="4" t="n">
        <f aca="false">COUNTIFS(Positions!$B$2:$B$6912,A207,Positions!$F$2:$F$6912,B207,Positions!$E$2:$E$6912,"G")</f>
        <v>2</v>
      </c>
      <c r="H207" s="4" t="n">
        <f aca="false">COUNTIFS(Positions!$B$2:$B$6912,A207,Positions!$F$2:$F$6912,B207,Positions!$E$2:$E$6912,"C")</f>
        <v>0</v>
      </c>
      <c r="I207" s="3" t="n">
        <f aca="false">G207+H207</f>
        <v>2</v>
      </c>
      <c r="J207" s="6" t="n">
        <f aca="false">IF(F207=0,0,I207/F207)</f>
        <v>0.25</v>
      </c>
    </row>
    <row r="208" customFormat="false" ht="15" hidden="false" customHeight="false" outlineLevel="0" collapsed="false">
      <c r="A208" s="4" t="s">
        <v>78</v>
      </c>
      <c r="B208" s="4" t="s">
        <v>452</v>
      </c>
      <c r="C208" s="4" t="s">
        <v>547</v>
      </c>
      <c r="D208" s="4" t="s">
        <v>547</v>
      </c>
      <c r="E208" s="4" t="s">
        <v>650</v>
      </c>
      <c r="F208" s="4" t="n">
        <f aca="false">COUNTIFS(Positions!$B$2:$B$6912,A208,Positions!$F$2:$F$6912,B208)</f>
        <v>7</v>
      </c>
      <c r="G208" s="4" t="n">
        <f aca="false">COUNTIFS(Positions!$B$2:$B$6912,A208,Positions!$F$2:$F$6912,B208,Positions!$E$2:$E$6912,"G")</f>
        <v>2</v>
      </c>
      <c r="H208" s="4" t="n">
        <f aca="false">COUNTIFS(Positions!$B$2:$B$6912,A208,Positions!$F$2:$F$6912,B208,Positions!$E$2:$E$6912,"C")</f>
        <v>2</v>
      </c>
      <c r="I208" s="3" t="n">
        <f aca="false">G208+H208</f>
        <v>4</v>
      </c>
      <c r="J208" s="6" t="n">
        <f aca="false">IF(F208=0,0,I208/F208)</f>
        <v>0.571428571428571</v>
      </c>
    </row>
    <row r="209" customFormat="false" ht="15" hidden="false" customHeight="false" outlineLevel="0" collapsed="false">
      <c r="A209" s="4" t="s">
        <v>78</v>
      </c>
      <c r="B209" s="4" t="s">
        <v>465</v>
      </c>
      <c r="C209" s="4" t="s">
        <v>550</v>
      </c>
      <c r="D209" s="4" t="s">
        <v>550</v>
      </c>
      <c r="E209" s="4" t="s">
        <v>651</v>
      </c>
      <c r="F209" s="4" t="n">
        <f aca="false">COUNTIFS(Positions!$B$2:$B$6912,A209,Positions!$F$2:$F$6912,B209)</f>
        <v>5</v>
      </c>
      <c r="G209" s="4" t="n">
        <f aca="false">COUNTIFS(Positions!$B$2:$B$6912,A209,Positions!$F$2:$F$6912,B209,Positions!$E$2:$E$6912,"G")</f>
        <v>1</v>
      </c>
      <c r="H209" s="4" t="n">
        <f aca="false">COUNTIFS(Positions!$B$2:$B$6912,A209,Positions!$F$2:$F$6912,B209,Positions!$E$2:$E$6912,"C")</f>
        <v>0</v>
      </c>
      <c r="I209" s="3" t="n">
        <f aca="false">G209+H209</f>
        <v>1</v>
      </c>
      <c r="J209" s="6" t="n">
        <f aca="false">IF(F209=0,0,I209/F209)</f>
        <v>0.2</v>
      </c>
    </row>
    <row r="210" customFormat="false" ht="15" hidden="false" customHeight="false" outlineLevel="0" collapsed="false">
      <c r="A210" s="4" t="s">
        <v>78</v>
      </c>
      <c r="B210" s="4" t="s">
        <v>477</v>
      </c>
      <c r="C210" s="4" t="s">
        <v>553</v>
      </c>
      <c r="D210" s="4" t="s">
        <v>553</v>
      </c>
      <c r="E210" s="4" t="s">
        <v>652</v>
      </c>
      <c r="F210" s="4" t="n">
        <f aca="false">COUNTIFS(Positions!$B$2:$B$6912,A210,Positions!$F$2:$F$6912,B210)</f>
        <v>7</v>
      </c>
      <c r="G210" s="4" t="n">
        <f aca="false">COUNTIFS(Positions!$B$2:$B$6912,A210,Positions!$F$2:$F$6912,B210,Positions!$E$2:$E$6912,"G")</f>
        <v>1</v>
      </c>
      <c r="H210" s="4" t="n">
        <f aca="false">COUNTIFS(Positions!$B$2:$B$6912,A210,Positions!$F$2:$F$6912,B210,Positions!$E$2:$E$6912,"C")</f>
        <v>2</v>
      </c>
      <c r="I210" s="3" t="n">
        <f aca="false">G210+H210</f>
        <v>3</v>
      </c>
      <c r="J210" s="6" t="n">
        <f aca="false">IF(F210=0,0,I210/F210)</f>
        <v>0.428571428571429</v>
      </c>
    </row>
    <row r="211" customFormat="false" ht="15" hidden="false" customHeight="false" outlineLevel="0" collapsed="false">
      <c r="A211" s="7" t="s">
        <v>78</v>
      </c>
      <c r="B211" s="7" t="s">
        <v>556</v>
      </c>
      <c r="C211" s="7" t="s">
        <v>557</v>
      </c>
      <c r="D211" s="7" t="s">
        <v>557</v>
      </c>
      <c r="E211" s="7" t="s">
        <v>346</v>
      </c>
      <c r="F211" s="7" t="n">
        <f aca="false">COUNTIFS(Positions!$B$2:$B$6912,A211,Positions!$F$2:$F$6912,"Position 8")+COUNTIFS(Positions!$B$2:$B$6912,A211,Positions!$F$2:$F$6912,"Position 9")+COUNTIFS(Positions!$B$2:$B$6912,A211,Positions!$F$2:$F$6912,"Position 26")</f>
        <v>3</v>
      </c>
      <c r="G211" s="7" t="n">
        <f aca="false">COUNTIFS(Positions!$B$2:$B$6912,A211,Positions!$F$2:$F$6912,"Position 8",Positions!$E$2:$E$6912,"G")+COUNTIFS(Positions!$B$2:$B$6912,A211,Positions!$F$2:$F$6912,"Position 9",Positions!$E$2:$E$6912,"G")+COUNTIFS(Positions!$B$2:$B$6912,A211,Positions!$F$2:$F$6912,"Position 26",Positions!$E$2:$E$6912,"G")</f>
        <v>2</v>
      </c>
      <c r="H211" s="7" t="n">
        <f aca="false">COUNTIFS(Positions!$B$2:$B$6912,A211,Positions!$F$2:$F$6912,"Position 8",Positions!$E$2:$E$6912,"C")+COUNTIFS(Positions!$B$2:$B$6912,A211,Positions!$F$2:$F$6912,"Position 9",Positions!$E$2:$E$6912,"C")+COUNTIFS(Positions!$B$2:$B$6912,A211,Positions!$F$2:$F$6912,"Position 26",Positions!$E$2:$E$6912,"C")</f>
        <v>0</v>
      </c>
      <c r="I211" s="8" t="n">
        <f aca="false">G211+H211</f>
        <v>2</v>
      </c>
      <c r="J211" s="26" t="n">
        <f aca="false">IF(F211=0,0,I211/F211)</f>
        <v>0.666666666666667</v>
      </c>
    </row>
    <row r="212" customFormat="false" ht="15" hidden="false" customHeight="false" outlineLevel="0" collapsed="false">
      <c r="A212" s="4" t="s">
        <v>79</v>
      </c>
      <c r="B212" s="4" t="s">
        <v>430</v>
      </c>
      <c r="C212" s="4" t="s">
        <v>544</v>
      </c>
      <c r="D212" s="4" t="s">
        <v>544</v>
      </c>
      <c r="E212" s="4" t="s">
        <v>649</v>
      </c>
      <c r="F212" s="4" t="n">
        <f aca="false">COUNTIFS(Positions!$B$2:$B$6912,A212,Positions!$F$2:$F$6912,B212)</f>
        <v>8</v>
      </c>
      <c r="G212" s="4" t="n">
        <f aca="false">COUNTIFS(Positions!$B$2:$B$6912,A212,Positions!$F$2:$F$6912,B212,Positions!$E$2:$E$6912,"G")</f>
        <v>2</v>
      </c>
      <c r="H212" s="4" t="n">
        <f aca="false">COUNTIFS(Positions!$B$2:$B$6912,A212,Positions!$F$2:$F$6912,B212,Positions!$E$2:$E$6912,"C")</f>
        <v>0</v>
      </c>
      <c r="I212" s="3" t="n">
        <f aca="false">G212+H212</f>
        <v>2</v>
      </c>
      <c r="J212" s="6" t="n">
        <f aca="false">IF(F212=0,0,I212/F212)</f>
        <v>0.25</v>
      </c>
    </row>
    <row r="213" customFormat="false" ht="15" hidden="false" customHeight="false" outlineLevel="0" collapsed="false">
      <c r="A213" s="4" t="s">
        <v>79</v>
      </c>
      <c r="B213" s="4" t="s">
        <v>452</v>
      </c>
      <c r="C213" s="4" t="s">
        <v>547</v>
      </c>
      <c r="D213" s="4" t="s">
        <v>547</v>
      </c>
      <c r="E213" s="4" t="s">
        <v>650</v>
      </c>
      <c r="F213" s="4" t="n">
        <f aca="false">COUNTIFS(Positions!$B$2:$B$6912,A213,Positions!$F$2:$F$6912,B213)</f>
        <v>7</v>
      </c>
      <c r="G213" s="4" t="n">
        <f aca="false">COUNTIFS(Positions!$B$2:$B$6912,A213,Positions!$F$2:$F$6912,B213,Positions!$E$2:$E$6912,"G")</f>
        <v>2</v>
      </c>
      <c r="H213" s="4" t="n">
        <f aca="false">COUNTIFS(Positions!$B$2:$B$6912,A213,Positions!$F$2:$F$6912,B213,Positions!$E$2:$E$6912,"C")</f>
        <v>2</v>
      </c>
      <c r="I213" s="3" t="n">
        <f aca="false">G213+H213</f>
        <v>4</v>
      </c>
      <c r="J213" s="6" t="n">
        <f aca="false">IF(F213=0,0,I213/F213)</f>
        <v>0.571428571428571</v>
      </c>
    </row>
    <row r="214" customFormat="false" ht="15" hidden="false" customHeight="false" outlineLevel="0" collapsed="false">
      <c r="A214" s="4" t="s">
        <v>79</v>
      </c>
      <c r="B214" s="4" t="s">
        <v>465</v>
      </c>
      <c r="C214" s="4" t="s">
        <v>550</v>
      </c>
      <c r="D214" s="4" t="s">
        <v>550</v>
      </c>
      <c r="E214" s="4" t="s">
        <v>651</v>
      </c>
      <c r="F214" s="4" t="n">
        <f aca="false">COUNTIFS(Positions!$B$2:$B$6912,A214,Positions!$F$2:$F$6912,B214)</f>
        <v>5</v>
      </c>
      <c r="G214" s="4" t="n">
        <f aca="false">COUNTIFS(Positions!$B$2:$B$6912,A214,Positions!$F$2:$F$6912,B214,Positions!$E$2:$E$6912,"G")</f>
        <v>1</v>
      </c>
      <c r="H214" s="4" t="n">
        <f aca="false">COUNTIFS(Positions!$B$2:$B$6912,A214,Positions!$F$2:$F$6912,B214,Positions!$E$2:$E$6912,"C")</f>
        <v>0</v>
      </c>
      <c r="I214" s="3" t="n">
        <f aca="false">G214+H214</f>
        <v>1</v>
      </c>
      <c r="J214" s="6" t="n">
        <f aca="false">IF(F214=0,0,I214/F214)</f>
        <v>0.2</v>
      </c>
    </row>
    <row r="215" customFormat="false" ht="15" hidden="false" customHeight="false" outlineLevel="0" collapsed="false">
      <c r="A215" s="4" t="s">
        <v>79</v>
      </c>
      <c r="B215" s="4" t="s">
        <v>477</v>
      </c>
      <c r="C215" s="4" t="s">
        <v>553</v>
      </c>
      <c r="D215" s="4" t="s">
        <v>553</v>
      </c>
      <c r="E215" s="4" t="s">
        <v>652</v>
      </c>
      <c r="F215" s="4" t="n">
        <f aca="false">COUNTIFS(Positions!$B$2:$B$6912,A215,Positions!$F$2:$F$6912,B215)</f>
        <v>7</v>
      </c>
      <c r="G215" s="4" t="n">
        <f aca="false">COUNTIFS(Positions!$B$2:$B$6912,A215,Positions!$F$2:$F$6912,B215,Positions!$E$2:$E$6912,"G")</f>
        <v>1</v>
      </c>
      <c r="H215" s="4" t="n">
        <f aca="false">COUNTIFS(Positions!$B$2:$B$6912,A215,Positions!$F$2:$F$6912,B215,Positions!$E$2:$E$6912,"C")</f>
        <v>2</v>
      </c>
      <c r="I215" s="3" t="n">
        <f aca="false">G215+H215</f>
        <v>3</v>
      </c>
      <c r="J215" s="6" t="n">
        <f aca="false">IF(F215=0,0,I215/F215)</f>
        <v>0.428571428571429</v>
      </c>
    </row>
    <row r="216" customFormat="false" ht="15" hidden="false" customHeight="false" outlineLevel="0" collapsed="false">
      <c r="A216" s="7" t="s">
        <v>79</v>
      </c>
      <c r="B216" s="7" t="s">
        <v>556</v>
      </c>
      <c r="C216" s="7" t="s">
        <v>557</v>
      </c>
      <c r="D216" s="7" t="s">
        <v>557</v>
      </c>
      <c r="E216" s="7" t="s">
        <v>346</v>
      </c>
      <c r="F216" s="7" t="n">
        <f aca="false">COUNTIFS(Positions!$B$2:$B$6912,A216,Positions!$F$2:$F$6912,"Position 8")+COUNTIFS(Positions!$B$2:$B$6912,A216,Positions!$F$2:$F$6912,"Position 9")+COUNTIFS(Positions!$B$2:$B$6912,A216,Positions!$F$2:$F$6912,"Position 26")</f>
        <v>3</v>
      </c>
      <c r="G216" s="7" t="n">
        <f aca="false">COUNTIFS(Positions!$B$2:$B$6912,A216,Positions!$F$2:$F$6912,"Position 8",Positions!$E$2:$E$6912,"G")+COUNTIFS(Positions!$B$2:$B$6912,A216,Positions!$F$2:$F$6912,"Position 9",Positions!$E$2:$E$6912,"G")+COUNTIFS(Positions!$B$2:$B$6912,A216,Positions!$F$2:$F$6912,"Position 26",Positions!$E$2:$E$6912,"G")</f>
        <v>2</v>
      </c>
      <c r="H216" s="7" t="n">
        <f aca="false">COUNTIFS(Positions!$B$2:$B$6912,A216,Positions!$F$2:$F$6912,"Position 8",Positions!$E$2:$E$6912,"C")+COUNTIFS(Positions!$B$2:$B$6912,A216,Positions!$F$2:$F$6912,"Position 9",Positions!$E$2:$E$6912,"C")+COUNTIFS(Positions!$B$2:$B$6912,A216,Positions!$F$2:$F$6912,"Position 26",Positions!$E$2:$E$6912,"C")</f>
        <v>0</v>
      </c>
      <c r="I216" s="8" t="n">
        <f aca="false">G216+H216</f>
        <v>2</v>
      </c>
      <c r="J216" s="26" t="n">
        <f aca="false">IF(F216=0,0,I216/F216)</f>
        <v>0.666666666666667</v>
      </c>
    </row>
    <row r="217" customFormat="false" ht="15" hidden="false" customHeight="false" outlineLevel="0" collapsed="false">
      <c r="A217" s="4" t="s">
        <v>80</v>
      </c>
      <c r="B217" s="4" t="s">
        <v>430</v>
      </c>
      <c r="C217" s="4" t="s">
        <v>544</v>
      </c>
      <c r="D217" s="4" t="s">
        <v>544</v>
      </c>
      <c r="E217" s="4" t="s">
        <v>653</v>
      </c>
      <c r="F217" s="4" t="n">
        <f aca="false">COUNTIFS(Positions!$B$2:$B$6912,A217,Positions!$F$2:$F$6912,B217)</f>
        <v>8</v>
      </c>
      <c r="G217" s="4" t="n">
        <f aca="false">COUNTIFS(Positions!$B$2:$B$6912,A217,Positions!$F$2:$F$6912,B217,Positions!$E$2:$E$6912,"G")</f>
        <v>2</v>
      </c>
      <c r="H217" s="4" t="n">
        <f aca="false">COUNTIFS(Positions!$B$2:$B$6912,A217,Positions!$F$2:$F$6912,B217,Positions!$E$2:$E$6912,"C")</f>
        <v>0</v>
      </c>
      <c r="I217" s="3" t="n">
        <f aca="false">G217+H217</f>
        <v>2</v>
      </c>
      <c r="J217" s="6" t="n">
        <f aca="false">IF(F217=0,0,I217/F217)</f>
        <v>0.25</v>
      </c>
    </row>
    <row r="218" customFormat="false" ht="15" hidden="false" customHeight="false" outlineLevel="0" collapsed="false">
      <c r="A218" s="4" t="s">
        <v>80</v>
      </c>
      <c r="B218" s="4" t="s">
        <v>452</v>
      </c>
      <c r="C218" s="4" t="s">
        <v>547</v>
      </c>
      <c r="D218" s="4" t="s">
        <v>547</v>
      </c>
      <c r="E218" s="4" t="s">
        <v>654</v>
      </c>
      <c r="F218" s="4" t="n">
        <f aca="false">COUNTIFS(Positions!$B$2:$B$6912,A218,Positions!$F$2:$F$6912,B218)</f>
        <v>7</v>
      </c>
      <c r="G218" s="4" t="n">
        <f aca="false">COUNTIFS(Positions!$B$2:$B$6912,A218,Positions!$F$2:$F$6912,B218,Positions!$E$2:$E$6912,"G")</f>
        <v>1</v>
      </c>
      <c r="H218" s="4" t="n">
        <f aca="false">COUNTIFS(Positions!$B$2:$B$6912,A218,Positions!$F$2:$F$6912,B218,Positions!$E$2:$E$6912,"C")</f>
        <v>2</v>
      </c>
      <c r="I218" s="3" t="n">
        <f aca="false">G218+H218</f>
        <v>3</v>
      </c>
      <c r="J218" s="6" t="n">
        <f aca="false">IF(F218=0,0,I218/F218)</f>
        <v>0.428571428571429</v>
      </c>
    </row>
    <row r="219" customFormat="false" ht="15" hidden="false" customHeight="false" outlineLevel="0" collapsed="false">
      <c r="A219" s="4" t="s">
        <v>80</v>
      </c>
      <c r="B219" s="4" t="s">
        <v>465</v>
      </c>
      <c r="C219" s="4" t="s">
        <v>550</v>
      </c>
      <c r="D219" s="4" t="s">
        <v>599</v>
      </c>
      <c r="E219" s="4" t="s">
        <v>655</v>
      </c>
      <c r="F219" s="4" t="n">
        <f aca="false">COUNTIFS(Positions!$B$2:$B$6912,A219,Positions!$F$2:$F$6912,B219)</f>
        <v>4</v>
      </c>
      <c r="G219" s="4" t="n">
        <f aca="false">COUNTIFS(Positions!$B$2:$B$6912,A219,Positions!$F$2:$F$6912,B219,Positions!$E$2:$E$6912,"G")</f>
        <v>1</v>
      </c>
      <c r="H219" s="4" t="n">
        <f aca="false">COUNTIFS(Positions!$B$2:$B$6912,A219,Positions!$F$2:$F$6912,B219,Positions!$E$2:$E$6912,"C")</f>
        <v>1</v>
      </c>
      <c r="I219" s="3" t="n">
        <f aca="false">G219+H219</f>
        <v>2</v>
      </c>
      <c r="J219" s="6" t="n">
        <f aca="false">IF(F219=0,0,I219/F219)</f>
        <v>0.5</v>
      </c>
    </row>
    <row r="220" customFormat="false" ht="15" hidden="false" customHeight="false" outlineLevel="0" collapsed="false">
      <c r="A220" s="4" t="s">
        <v>80</v>
      </c>
      <c r="B220" s="4" t="s">
        <v>477</v>
      </c>
      <c r="C220" s="4" t="s">
        <v>553</v>
      </c>
      <c r="D220" s="4" t="s">
        <v>578</v>
      </c>
      <c r="E220" s="4" t="s">
        <v>570</v>
      </c>
      <c r="F220" s="4" t="n">
        <f aca="false">COUNTIFS(Positions!$B$2:$B$6912,A220,Positions!$F$2:$F$6912,B220)</f>
        <v>7</v>
      </c>
      <c r="G220" s="4" t="n">
        <f aca="false">COUNTIFS(Positions!$B$2:$B$6912,A220,Positions!$F$2:$F$6912,B220,Positions!$E$2:$E$6912,"G")</f>
        <v>0</v>
      </c>
      <c r="H220" s="4" t="n">
        <f aca="false">COUNTIFS(Positions!$B$2:$B$6912,A220,Positions!$F$2:$F$6912,B220,Positions!$E$2:$E$6912,"C")</f>
        <v>1</v>
      </c>
      <c r="I220" s="3" t="n">
        <f aca="false">G220+H220</f>
        <v>1</v>
      </c>
      <c r="J220" s="6" t="n">
        <f aca="false">IF(F220=0,0,I220/F220)</f>
        <v>0.142857142857143</v>
      </c>
    </row>
    <row r="221" customFormat="false" ht="15" hidden="false" customHeight="false" outlineLevel="0" collapsed="false">
      <c r="A221" s="7" t="s">
        <v>80</v>
      </c>
      <c r="B221" s="7" t="s">
        <v>556</v>
      </c>
      <c r="C221" s="7" t="s">
        <v>557</v>
      </c>
      <c r="D221" s="7" t="s">
        <v>557</v>
      </c>
      <c r="E221" s="7" t="s">
        <v>564</v>
      </c>
      <c r="F221" s="7" t="n">
        <f aca="false">COUNTIFS(Positions!$B$2:$B$6912,A221,Positions!$F$2:$F$6912,"Position 8")+COUNTIFS(Positions!$B$2:$B$6912,A221,Positions!$F$2:$F$6912,"Position 9")+COUNTIFS(Positions!$B$2:$B$6912,A221,Positions!$F$2:$F$6912,"Position 26")</f>
        <v>3</v>
      </c>
      <c r="G221" s="7" t="n">
        <f aca="false">COUNTIFS(Positions!$B$2:$B$6912,A221,Positions!$F$2:$F$6912,"Position 8",Positions!$E$2:$E$6912,"G")+COUNTIFS(Positions!$B$2:$B$6912,A221,Positions!$F$2:$F$6912,"Position 9",Positions!$E$2:$E$6912,"G")+COUNTIFS(Positions!$B$2:$B$6912,A221,Positions!$F$2:$F$6912,"Position 26",Positions!$E$2:$E$6912,"G")</f>
        <v>1</v>
      </c>
      <c r="H221" s="7" t="n">
        <f aca="false">COUNTIFS(Positions!$B$2:$B$6912,A221,Positions!$F$2:$F$6912,"Position 8",Positions!$E$2:$E$6912,"C")+COUNTIFS(Positions!$B$2:$B$6912,A221,Positions!$F$2:$F$6912,"Position 9",Positions!$E$2:$E$6912,"C")+COUNTIFS(Positions!$B$2:$B$6912,A221,Positions!$F$2:$F$6912,"Position 26",Positions!$E$2:$E$6912,"C")</f>
        <v>0</v>
      </c>
      <c r="I221" s="8" t="n">
        <f aca="false">G221+H221</f>
        <v>1</v>
      </c>
      <c r="J221" s="26" t="n">
        <f aca="false">IF(F221=0,0,I221/F221)</f>
        <v>0.333333333333333</v>
      </c>
    </row>
    <row r="222" customFormat="false" ht="15" hidden="false" customHeight="false" outlineLevel="0" collapsed="false">
      <c r="A222" s="4" t="s">
        <v>81</v>
      </c>
      <c r="B222" s="4" t="s">
        <v>430</v>
      </c>
      <c r="C222" s="4" t="s">
        <v>544</v>
      </c>
      <c r="D222" s="4" t="s">
        <v>544</v>
      </c>
      <c r="E222" s="4" t="s">
        <v>653</v>
      </c>
      <c r="F222" s="4" t="n">
        <f aca="false">COUNTIFS(Positions!$B$2:$B$6912,A222,Positions!$F$2:$F$6912,B222)</f>
        <v>8</v>
      </c>
      <c r="G222" s="4" t="n">
        <f aca="false">COUNTIFS(Positions!$B$2:$B$6912,A222,Positions!$F$2:$F$6912,B222,Positions!$E$2:$E$6912,"G")</f>
        <v>2</v>
      </c>
      <c r="H222" s="4" t="n">
        <f aca="false">COUNTIFS(Positions!$B$2:$B$6912,A222,Positions!$F$2:$F$6912,B222,Positions!$E$2:$E$6912,"C")</f>
        <v>0</v>
      </c>
      <c r="I222" s="3" t="n">
        <f aca="false">G222+H222</f>
        <v>2</v>
      </c>
      <c r="J222" s="6" t="n">
        <f aca="false">IF(F222=0,0,I222/F222)</f>
        <v>0.25</v>
      </c>
    </row>
    <row r="223" customFormat="false" ht="15" hidden="false" customHeight="false" outlineLevel="0" collapsed="false">
      <c r="A223" s="4" t="s">
        <v>81</v>
      </c>
      <c r="B223" s="4" t="s">
        <v>452</v>
      </c>
      <c r="C223" s="4" t="s">
        <v>547</v>
      </c>
      <c r="D223" s="4" t="s">
        <v>547</v>
      </c>
      <c r="E223" s="4" t="s">
        <v>633</v>
      </c>
      <c r="F223" s="4" t="n">
        <f aca="false">COUNTIFS(Positions!$B$2:$B$6912,A223,Positions!$F$2:$F$6912,B223)</f>
        <v>7</v>
      </c>
      <c r="G223" s="4" t="n">
        <f aca="false">COUNTIFS(Positions!$B$2:$B$6912,A223,Positions!$F$2:$F$6912,B223,Positions!$E$2:$E$6912,"G")</f>
        <v>1</v>
      </c>
      <c r="H223" s="4" t="n">
        <f aca="false">COUNTIFS(Positions!$B$2:$B$6912,A223,Positions!$F$2:$F$6912,B223,Positions!$E$2:$E$6912,"C")</f>
        <v>1</v>
      </c>
      <c r="I223" s="3" t="n">
        <f aca="false">G223+H223</f>
        <v>2</v>
      </c>
      <c r="J223" s="6" t="n">
        <f aca="false">IF(F223=0,0,I223/F223)</f>
        <v>0.285714285714286</v>
      </c>
    </row>
    <row r="224" customFormat="false" ht="15" hidden="false" customHeight="false" outlineLevel="0" collapsed="false">
      <c r="A224" s="4" t="s">
        <v>81</v>
      </c>
      <c r="B224" s="4" t="s">
        <v>465</v>
      </c>
      <c r="C224" s="4" t="s">
        <v>550</v>
      </c>
      <c r="D224" s="4" t="s">
        <v>599</v>
      </c>
      <c r="E224" s="4" t="s">
        <v>655</v>
      </c>
      <c r="F224" s="4" t="n">
        <f aca="false">COUNTIFS(Positions!$B$2:$B$6912,A224,Positions!$F$2:$F$6912,B224)</f>
        <v>4</v>
      </c>
      <c r="G224" s="4" t="n">
        <f aca="false">COUNTIFS(Positions!$B$2:$B$6912,A224,Positions!$F$2:$F$6912,B224,Positions!$E$2:$E$6912,"G")</f>
        <v>1</v>
      </c>
      <c r="H224" s="4" t="n">
        <f aca="false">COUNTIFS(Positions!$B$2:$B$6912,A224,Positions!$F$2:$F$6912,B224,Positions!$E$2:$E$6912,"C")</f>
        <v>1</v>
      </c>
      <c r="I224" s="3" t="n">
        <f aca="false">G224+H224</f>
        <v>2</v>
      </c>
      <c r="J224" s="6" t="n">
        <f aca="false">IF(F224=0,0,I224/F224)</f>
        <v>0.5</v>
      </c>
    </row>
    <row r="225" customFormat="false" ht="15" hidden="false" customHeight="false" outlineLevel="0" collapsed="false">
      <c r="A225" s="4" t="s">
        <v>81</v>
      </c>
      <c r="B225" s="4" t="s">
        <v>477</v>
      </c>
      <c r="C225" s="4" t="s">
        <v>553</v>
      </c>
      <c r="D225" s="4" t="s">
        <v>578</v>
      </c>
      <c r="E225" s="4" t="s">
        <v>570</v>
      </c>
      <c r="F225" s="4" t="n">
        <f aca="false">COUNTIFS(Positions!$B$2:$B$6912,A225,Positions!$F$2:$F$6912,B225)</f>
        <v>7</v>
      </c>
      <c r="G225" s="4" t="n">
        <f aca="false">COUNTIFS(Positions!$B$2:$B$6912,A225,Positions!$F$2:$F$6912,B225,Positions!$E$2:$E$6912,"G")</f>
        <v>0</v>
      </c>
      <c r="H225" s="4" t="n">
        <f aca="false">COUNTIFS(Positions!$B$2:$B$6912,A225,Positions!$F$2:$F$6912,B225,Positions!$E$2:$E$6912,"C")</f>
        <v>1</v>
      </c>
      <c r="I225" s="3" t="n">
        <f aca="false">G225+H225</f>
        <v>1</v>
      </c>
      <c r="J225" s="6" t="n">
        <f aca="false">IF(F225=0,0,I225/F225)</f>
        <v>0.142857142857143</v>
      </c>
    </row>
    <row r="226" customFormat="false" ht="15" hidden="false" customHeight="false" outlineLevel="0" collapsed="false">
      <c r="A226" s="7" t="s">
        <v>81</v>
      </c>
      <c r="B226" s="7" t="s">
        <v>556</v>
      </c>
      <c r="C226" s="7" t="s">
        <v>557</v>
      </c>
      <c r="D226" s="7" t="s">
        <v>557</v>
      </c>
      <c r="E226" s="7" t="s">
        <v>564</v>
      </c>
      <c r="F226" s="7" t="n">
        <f aca="false">COUNTIFS(Positions!$B$2:$B$6912,A226,Positions!$F$2:$F$6912,"Position 8")+COUNTIFS(Positions!$B$2:$B$6912,A226,Positions!$F$2:$F$6912,"Position 9")+COUNTIFS(Positions!$B$2:$B$6912,A226,Positions!$F$2:$F$6912,"Position 26")</f>
        <v>3</v>
      </c>
      <c r="G226" s="7" t="n">
        <f aca="false">COUNTIFS(Positions!$B$2:$B$6912,A226,Positions!$F$2:$F$6912,"Position 8",Positions!$E$2:$E$6912,"G")+COUNTIFS(Positions!$B$2:$B$6912,A226,Positions!$F$2:$F$6912,"Position 9",Positions!$E$2:$E$6912,"G")+COUNTIFS(Positions!$B$2:$B$6912,A226,Positions!$F$2:$F$6912,"Position 26",Positions!$E$2:$E$6912,"G")</f>
        <v>1</v>
      </c>
      <c r="H226" s="7" t="n">
        <f aca="false">COUNTIFS(Positions!$B$2:$B$6912,A226,Positions!$F$2:$F$6912,"Position 8",Positions!$E$2:$E$6912,"C")+COUNTIFS(Positions!$B$2:$B$6912,A226,Positions!$F$2:$F$6912,"Position 9",Positions!$E$2:$E$6912,"C")+COUNTIFS(Positions!$B$2:$B$6912,A226,Positions!$F$2:$F$6912,"Position 26",Positions!$E$2:$E$6912,"C")</f>
        <v>0</v>
      </c>
      <c r="I226" s="8" t="n">
        <f aca="false">G226+H226</f>
        <v>1</v>
      </c>
      <c r="J226" s="26" t="n">
        <f aca="false">IF(F226=0,0,I226/F226)</f>
        <v>0.333333333333333</v>
      </c>
    </row>
    <row r="227" customFormat="false" ht="15" hidden="false" customHeight="false" outlineLevel="0" collapsed="false">
      <c r="A227" s="4" t="s">
        <v>82</v>
      </c>
      <c r="B227" s="4" t="s">
        <v>430</v>
      </c>
      <c r="C227" s="4" t="s">
        <v>544</v>
      </c>
      <c r="D227" s="4" t="s">
        <v>544</v>
      </c>
      <c r="E227" s="4" t="s">
        <v>614</v>
      </c>
      <c r="F227" s="4" t="n">
        <f aca="false">COUNTIFS(Positions!$B$2:$B$6912,A227,Positions!$F$2:$F$6912,B227)</f>
        <v>8</v>
      </c>
      <c r="G227" s="4" t="n">
        <f aca="false">COUNTIFS(Positions!$B$2:$B$6912,A227,Positions!$F$2:$F$6912,B227,Positions!$E$2:$E$6912,"G")</f>
        <v>4</v>
      </c>
      <c r="H227" s="4" t="n">
        <f aca="false">COUNTIFS(Positions!$B$2:$B$6912,A227,Positions!$F$2:$F$6912,B227,Positions!$E$2:$E$6912,"C")</f>
        <v>0</v>
      </c>
      <c r="I227" s="3" t="n">
        <f aca="false">G227+H227</f>
        <v>4</v>
      </c>
      <c r="J227" s="6" t="n">
        <f aca="false">IF(F227=0,0,I227/F227)</f>
        <v>0.5</v>
      </c>
    </row>
    <row r="228" customFormat="false" ht="15" hidden="false" customHeight="false" outlineLevel="0" collapsed="false">
      <c r="A228" s="4" t="s">
        <v>82</v>
      </c>
      <c r="B228" s="4" t="s">
        <v>452</v>
      </c>
      <c r="C228" s="4" t="s">
        <v>547</v>
      </c>
      <c r="D228" s="4" t="s">
        <v>547</v>
      </c>
      <c r="E228" s="4" t="s">
        <v>615</v>
      </c>
      <c r="F228" s="4" t="n">
        <f aca="false">COUNTIFS(Positions!$B$2:$B$6912,A228,Positions!$F$2:$F$6912,B228)</f>
        <v>7</v>
      </c>
      <c r="G228" s="4" t="n">
        <f aca="false">COUNTIFS(Positions!$B$2:$B$6912,A228,Positions!$F$2:$F$6912,B228,Positions!$E$2:$E$6912,"G")</f>
        <v>2</v>
      </c>
      <c r="H228" s="4" t="n">
        <f aca="false">COUNTIFS(Positions!$B$2:$B$6912,A228,Positions!$F$2:$F$6912,B228,Positions!$E$2:$E$6912,"C")</f>
        <v>1</v>
      </c>
      <c r="I228" s="3" t="n">
        <f aca="false">G228+H228</f>
        <v>3</v>
      </c>
      <c r="J228" s="6" t="n">
        <f aca="false">IF(F228=0,0,I228/F228)</f>
        <v>0.428571428571429</v>
      </c>
    </row>
    <row r="229" customFormat="false" ht="15" hidden="false" customHeight="false" outlineLevel="0" collapsed="false">
      <c r="A229" s="4" t="s">
        <v>82</v>
      </c>
      <c r="B229" s="4" t="s">
        <v>465</v>
      </c>
      <c r="C229" s="4" t="s">
        <v>550</v>
      </c>
      <c r="D229" s="4" t="s">
        <v>550</v>
      </c>
      <c r="E229" s="4" t="s">
        <v>591</v>
      </c>
      <c r="F229" s="4" t="n">
        <f aca="false">COUNTIFS(Positions!$B$2:$B$6912,A229,Positions!$F$2:$F$6912,B229)</f>
        <v>5</v>
      </c>
      <c r="G229" s="4" t="n">
        <f aca="false">COUNTIFS(Positions!$B$2:$B$6912,A229,Positions!$F$2:$F$6912,B229,Positions!$E$2:$E$6912,"G")</f>
        <v>2</v>
      </c>
      <c r="H229" s="4" t="n">
        <f aca="false">COUNTIFS(Positions!$B$2:$B$6912,A229,Positions!$F$2:$F$6912,B229,Positions!$E$2:$E$6912,"C")</f>
        <v>1</v>
      </c>
      <c r="I229" s="3" t="n">
        <f aca="false">G229+H229</f>
        <v>3</v>
      </c>
      <c r="J229" s="6" t="n">
        <f aca="false">IF(F229=0,0,I229/F229)</f>
        <v>0.6</v>
      </c>
    </row>
    <row r="230" customFormat="false" ht="15" hidden="false" customHeight="false" outlineLevel="0" collapsed="false">
      <c r="A230" s="4" t="s">
        <v>82</v>
      </c>
      <c r="B230" s="4" t="s">
        <v>477</v>
      </c>
      <c r="C230" s="4" t="s">
        <v>553</v>
      </c>
      <c r="D230" s="4" t="s">
        <v>553</v>
      </c>
      <c r="E230" s="4" t="s">
        <v>622</v>
      </c>
      <c r="F230" s="4" t="n">
        <f aca="false">COUNTIFS(Positions!$B$2:$B$6912,A230,Positions!$F$2:$F$6912,B230)</f>
        <v>7</v>
      </c>
      <c r="G230" s="4" t="n">
        <f aca="false">COUNTIFS(Positions!$B$2:$B$6912,A230,Positions!$F$2:$F$6912,B230,Positions!$E$2:$E$6912,"G")</f>
        <v>1</v>
      </c>
      <c r="H230" s="4" t="n">
        <f aca="false">COUNTIFS(Positions!$B$2:$B$6912,A230,Positions!$F$2:$F$6912,B230,Positions!$E$2:$E$6912,"C")</f>
        <v>2</v>
      </c>
      <c r="I230" s="3" t="n">
        <f aca="false">G230+H230</f>
        <v>3</v>
      </c>
      <c r="J230" s="6" t="n">
        <f aca="false">IF(F230=0,0,I230/F230)</f>
        <v>0.428571428571429</v>
      </c>
    </row>
    <row r="231" customFormat="false" ht="15" hidden="false" customHeight="false" outlineLevel="0" collapsed="false">
      <c r="A231" s="7" t="s">
        <v>82</v>
      </c>
      <c r="B231" s="7" t="s">
        <v>556</v>
      </c>
      <c r="C231" s="7" t="s">
        <v>557</v>
      </c>
      <c r="D231" s="7" t="s">
        <v>557</v>
      </c>
      <c r="E231" s="7" t="s">
        <v>580</v>
      </c>
      <c r="F231" s="7" t="n">
        <f aca="false">COUNTIFS(Positions!$B$2:$B$6912,A231,Positions!$F$2:$F$6912,"Position 8")+COUNTIFS(Positions!$B$2:$B$6912,A231,Positions!$F$2:$F$6912,"Position 9")+COUNTIFS(Positions!$B$2:$B$6912,A231,Positions!$F$2:$F$6912,"Position 26")</f>
        <v>3</v>
      </c>
      <c r="G231" s="7" t="n">
        <f aca="false">COUNTIFS(Positions!$B$2:$B$6912,A231,Positions!$F$2:$F$6912,"Position 8",Positions!$E$2:$E$6912,"G")+COUNTIFS(Positions!$B$2:$B$6912,A231,Positions!$F$2:$F$6912,"Position 9",Positions!$E$2:$E$6912,"G")+COUNTIFS(Positions!$B$2:$B$6912,A231,Positions!$F$2:$F$6912,"Position 26",Positions!$E$2:$E$6912,"G")</f>
        <v>1</v>
      </c>
      <c r="H231" s="7" t="n">
        <f aca="false">COUNTIFS(Positions!$B$2:$B$6912,A231,Positions!$F$2:$F$6912,"Position 8",Positions!$E$2:$E$6912,"C")+COUNTIFS(Positions!$B$2:$B$6912,A231,Positions!$F$2:$F$6912,"Position 9",Positions!$E$2:$E$6912,"C")+COUNTIFS(Positions!$B$2:$B$6912,A231,Positions!$F$2:$F$6912,"Position 26",Positions!$E$2:$E$6912,"C")</f>
        <v>0</v>
      </c>
      <c r="I231" s="8" t="n">
        <f aca="false">G231+H231</f>
        <v>1</v>
      </c>
      <c r="J231" s="26" t="n">
        <f aca="false">IF(F231=0,0,I231/F231)</f>
        <v>0.333333333333333</v>
      </c>
    </row>
    <row r="232" customFormat="false" ht="15" hidden="false" customHeight="false" outlineLevel="0" collapsed="false">
      <c r="A232" s="4" t="s">
        <v>83</v>
      </c>
      <c r="B232" s="4" t="s">
        <v>430</v>
      </c>
      <c r="C232" s="4" t="s">
        <v>544</v>
      </c>
      <c r="D232" s="4" t="s">
        <v>572</v>
      </c>
      <c r="E232" s="4" t="s">
        <v>656</v>
      </c>
      <c r="F232" s="4" t="n">
        <f aca="false">COUNTIFS(Positions!$B$2:$B$6912,A232,Positions!$F$2:$F$6912,B232)</f>
        <v>7</v>
      </c>
      <c r="G232" s="4" t="n">
        <f aca="false">COUNTIFS(Positions!$B$2:$B$6912,A232,Positions!$F$2:$F$6912,B232,Positions!$E$2:$E$6912,"G")</f>
        <v>3</v>
      </c>
      <c r="H232" s="4" t="n">
        <f aca="false">COUNTIFS(Positions!$B$2:$B$6912,A232,Positions!$F$2:$F$6912,B232,Positions!$E$2:$E$6912,"C")</f>
        <v>1</v>
      </c>
      <c r="I232" s="3" t="n">
        <f aca="false">G232+H232</f>
        <v>4</v>
      </c>
      <c r="J232" s="6" t="n">
        <f aca="false">IF(F232=0,0,I232/F232)</f>
        <v>0.571428571428571</v>
      </c>
    </row>
    <row r="233" customFormat="false" ht="15" hidden="false" customHeight="false" outlineLevel="0" collapsed="false">
      <c r="A233" s="4" t="s">
        <v>83</v>
      </c>
      <c r="B233" s="4" t="s">
        <v>452</v>
      </c>
      <c r="C233" s="4" t="s">
        <v>547</v>
      </c>
      <c r="D233" s="4" t="s">
        <v>574</v>
      </c>
      <c r="E233" s="4" t="s">
        <v>605</v>
      </c>
      <c r="F233" s="4" t="n">
        <f aca="false">COUNTIFS(Positions!$B$2:$B$6912,A233,Positions!$F$2:$F$6912,B233)</f>
        <v>7</v>
      </c>
      <c r="G233" s="4" t="n">
        <f aca="false">COUNTIFS(Positions!$B$2:$B$6912,A233,Positions!$F$2:$F$6912,B233,Positions!$E$2:$E$6912,"G")</f>
        <v>0</v>
      </c>
      <c r="H233" s="4" t="n">
        <f aca="false">COUNTIFS(Positions!$B$2:$B$6912,A233,Positions!$F$2:$F$6912,B233,Positions!$E$2:$E$6912,"C")</f>
        <v>3</v>
      </c>
      <c r="I233" s="3" t="n">
        <f aca="false">G233+H233</f>
        <v>3</v>
      </c>
      <c r="J233" s="6" t="n">
        <f aca="false">IF(F233=0,0,I233/F233)</f>
        <v>0.428571428571429</v>
      </c>
    </row>
    <row r="234" customFormat="false" ht="15" hidden="false" customHeight="false" outlineLevel="0" collapsed="false">
      <c r="A234" s="4" t="s">
        <v>83</v>
      </c>
      <c r="B234" s="4" t="s">
        <v>465</v>
      </c>
      <c r="C234" s="4" t="s">
        <v>550</v>
      </c>
      <c r="D234" s="4" t="s">
        <v>576</v>
      </c>
      <c r="E234" s="4" t="s">
        <v>591</v>
      </c>
      <c r="F234" s="4" t="n">
        <f aca="false">COUNTIFS(Positions!$B$2:$B$6912,A234,Positions!$F$2:$F$6912,B234)</f>
        <v>5</v>
      </c>
      <c r="G234" s="4" t="n">
        <f aca="false">COUNTIFS(Positions!$B$2:$B$6912,A234,Positions!$F$2:$F$6912,B234,Positions!$E$2:$E$6912,"G")</f>
        <v>2</v>
      </c>
      <c r="H234" s="4" t="n">
        <f aca="false">COUNTIFS(Positions!$B$2:$B$6912,A234,Positions!$F$2:$F$6912,B234,Positions!$E$2:$E$6912,"C")</f>
        <v>1</v>
      </c>
      <c r="I234" s="3" t="n">
        <f aca="false">G234+H234</f>
        <v>3</v>
      </c>
      <c r="J234" s="6" t="n">
        <f aca="false">IF(F234=0,0,I234/F234)</f>
        <v>0.6</v>
      </c>
    </row>
    <row r="235" customFormat="false" ht="15" hidden="false" customHeight="false" outlineLevel="0" collapsed="false">
      <c r="A235" s="4" t="s">
        <v>83</v>
      </c>
      <c r="B235" s="4" t="s">
        <v>477</v>
      </c>
      <c r="C235" s="4" t="s">
        <v>553</v>
      </c>
      <c r="D235" s="4" t="s">
        <v>578</v>
      </c>
      <c r="E235" s="4" t="s">
        <v>606</v>
      </c>
      <c r="F235" s="4" t="n">
        <f aca="false">COUNTIFS(Positions!$B$2:$B$6912,A235,Positions!$F$2:$F$6912,B235)</f>
        <v>7</v>
      </c>
      <c r="G235" s="4" t="n">
        <f aca="false">COUNTIFS(Positions!$B$2:$B$6912,A235,Positions!$F$2:$F$6912,B235,Positions!$E$2:$E$6912,"G")</f>
        <v>1</v>
      </c>
      <c r="H235" s="4" t="n">
        <f aca="false">COUNTIFS(Positions!$B$2:$B$6912,A235,Positions!$F$2:$F$6912,B235,Positions!$E$2:$E$6912,"C")</f>
        <v>1</v>
      </c>
      <c r="I235" s="3" t="n">
        <f aca="false">G235+H235</f>
        <v>2</v>
      </c>
      <c r="J235" s="6" t="n">
        <f aca="false">IF(F235=0,0,I235/F235)</f>
        <v>0.285714285714286</v>
      </c>
    </row>
    <row r="236" customFormat="false" ht="15" hidden="false" customHeight="false" outlineLevel="0" collapsed="false">
      <c r="A236" s="7" t="s">
        <v>83</v>
      </c>
      <c r="B236" s="7" t="s">
        <v>556</v>
      </c>
      <c r="C236" s="7" t="s">
        <v>557</v>
      </c>
      <c r="D236" s="7" t="s">
        <v>579</v>
      </c>
      <c r="E236" s="7" t="s">
        <v>346</v>
      </c>
      <c r="F236" s="7" t="n">
        <f aca="false">COUNTIFS(Positions!$B$2:$B$6912,A236,Positions!$F$2:$F$6912,"Position 8")+COUNTIFS(Positions!$B$2:$B$6912,A236,Positions!$F$2:$F$6912,"Position 9")+COUNTIFS(Positions!$B$2:$B$6912,A236,Positions!$F$2:$F$6912,"Position 26")</f>
        <v>3</v>
      </c>
      <c r="G236" s="7" t="n">
        <f aca="false">COUNTIFS(Positions!$B$2:$B$6912,A236,Positions!$F$2:$F$6912,"Position 8",Positions!$E$2:$E$6912,"G")+COUNTIFS(Positions!$B$2:$B$6912,A236,Positions!$F$2:$F$6912,"Position 9",Positions!$E$2:$E$6912,"G")+COUNTIFS(Positions!$B$2:$B$6912,A236,Positions!$F$2:$F$6912,"Position 26",Positions!$E$2:$E$6912,"G")</f>
        <v>2</v>
      </c>
      <c r="H236" s="7" t="n">
        <f aca="false">COUNTIFS(Positions!$B$2:$B$6912,A236,Positions!$F$2:$F$6912,"Position 8",Positions!$E$2:$E$6912,"C")+COUNTIFS(Positions!$B$2:$B$6912,A236,Positions!$F$2:$F$6912,"Position 9",Positions!$E$2:$E$6912,"C")+COUNTIFS(Positions!$B$2:$B$6912,A236,Positions!$F$2:$F$6912,"Position 26",Positions!$E$2:$E$6912,"C")</f>
        <v>0</v>
      </c>
      <c r="I236" s="8" t="n">
        <f aca="false">G236+H236</f>
        <v>2</v>
      </c>
      <c r="J236" s="26" t="n">
        <f aca="false">IF(F236=0,0,I236/F236)</f>
        <v>0.666666666666667</v>
      </c>
    </row>
    <row r="237" customFormat="false" ht="15" hidden="false" customHeight="false" outlineLevel="0" collapsed="false">
      <c r="A237" s="4" t="s">
        <v>84</v>
      </c>
      <c r="B237" s="4" t="s">
        <v>430</v>
      </c>
      <c r="C237" s="4" t="s">
        <v>544</v>
      </c>
      <c r="D237" s="4" t="s">
        <v>544</v>
      </c>
      <c r="E237" s="4" t="s">
        <v>657</v>
      </c>
      <c r="F237" s="4" t="n">
        <f aca="false">COUNTIFS(Positions!$B$2:$B$6912,A237,Positions!$F$2:$F$6912,B237)</f>
        <v>8</v>
      </c>
      <c r="G237" s="4" t="n">
        <f aca="false">COUNTIFS(Positions!$B$2:$B$6912,A237,Positions!$F$2:$F$6912,B237,Positions!$E$2:$E$6912,"G")</f>
        <v>4</v>
      </c>
      <c r="H237" s="4" t="n">
        <f aca="false">COUNTIFS(Positions!$B$2:$B$6912,A237,Positions!$F$2:$F$6912,B237,Positions!$E$2:$E$6912,"C")</f>
        <v>0</v>
      </c>
      <c r="I237" s="3" t="n">
        <f aca="false">G237+H237</f>
        <v>4</v>
      </c>
      <c r="J237" s="6" t="n">
        <f aca="false">IF(F237=0,0,I237/F237)</f>
        <v>0.5</v>
      </c>
    </row>
    <row r="238" customFormat="false" ht="15" hidden="false" customHeight="false" outlineLevel="0" collapsed="false">
      <c r="A238" s="4" t="s">
        <v>84</v>
      </c>
      <c r="B238" s="4" t="s">
        <v>452</v>
      </c>
      <c r="C238" s="4" t="s">
        <v>547</v>
      </c>
      <c r="D238" s="4" t="s">
        <v>547</v>
      </c>
      <c r="E238" s="4" t="s">
        <v>630</v>
      </c>
      <c r="F238" s="4" t="n">
        <f aca="false">COUNTIFS(Positions!$B$2:$B$6912,A238,Positions!$F$2:$F$6912,B238)</f>
        <v>7</v>
      </c>
      <c r="G238" s="4" t="n">
        <f aca="false">COUNTIFS(Positions!$B$2:$B$6912,A238,Positions!$F$2:$F$6912,B238,Positions!$E$2:$E$6912,"G")</f>
        <v>1</v>
      </c>
      <c r="H238" s="4" t="n">
        <f aca="false">COUNTIFS(Positions!$B$2:$B$6912,A238,Positions!$F$2:$F$6912,B238,Positions!$E$2:$E$6912,"C")</f>
        <v>3</v>
      </c>
      <c r="I238" s="3" t="n">
        <f aca="false">G238+H238</f>
        <v>4</v>
      </c>
      <c r="J238" s="6" t="n">
        <f aca="false">IF(F238=0,0,I238/F238)</f>
        <v>0.571428571428571</v>
      </c>
    </row>
    <row r="239" customFormat="false" ht="15" hidden="false" customHeight="false" outlineLevel="0" collapsed="false">
      <c r="A239" s="4" t="s">
        <v>84</v>
      </c>
      <c r="B239" s="4" t="s">
        <v>465</v>
      </c>
      <c r="C239" s="4" t="s">
        <v>550</v>
      </c>
      <c r="D239" s="4" t="s">
        <v>550</v>
      </c>
      <c r="E239" s="4" t="s">
        <v>658</v>
      </c>
      <c r="F239" s="4" t="n">
        <f aca="false">COUNTIFS(Positions!$B$2:$B$6912,A239,Positions!$F$2:$F$6912,B239)</f>
        <v>5</v>
      </c>
      <c r="G239" s="4" t="n">
        <f aca="false">COUNTIFS(Positions!$B$2:$B$6912,A239,Positions!$F$2:$F$6912,B239,Positions!$E$2:$E$6912,"G")</f>
        <v>2</v>
      </c>
      <c r="H239" s="4" t="n">
        <f aca="false">COUNTIFS(Positions!$B$2:$B$6912,A239,Positions!$F$2:$F$6912,B239,Positions!$E$2:$E$6912,"C")</f>
        <v>1</v>
      </c>
      <c r="I239" s="3" t="n">
        <f aca="false">G239+H239</f>
        <v>3</v>
      </c>
      <c r="J239" s="6" t="n">
        <f aca="false">IF(F239=0,0,I239/F239)</f>
        <v>0.6</v>
      </c>
    </row>
    <row r="240" customFormat="false" ht="15" hidden="false" customHeight="false" outlineLevel="0" collapsed="false">
      <c r="A240" s="4" t="s">
        <v>84</v>
      </c>
      <c r="B240" s="4" t="s">
        <v>477</v>
      </c>
      <c r="C240" s="4" t="s">
        <v>553</v>
      </c>
      <c r="D240" s="4" t="s">
        <v>553</v>
      </c>
      <c r="E240" s="4" t="s">
        <v>563</v>
      </c>
      <c r="F240" s="4" t="n">
        <f aca="false">COUNTIFS(Positions!$B$2:$B$6912,A240,Positions!$F$2:$F$6912,B240)</f>
        <v>7</v>
      </c>
      <c r="G240" s="4" t="n">
        <f aca="false">COUNTIFS(Positions!$B$2:$B$6912,A240,Positions!$F$2:$F$6912,B240,Positions!$E$2:$E$6912,"G")</f>
        <v>1</v>
      </c>
      <c r="H240" s="4" t="n">
        <f aca="false">COUNTIFS(Positions!$B$2:$B$6912,A240,Positions!$F$2:$F$6912,B240,Positions!$E$2:$E$6912,"C")</f>
        <v>1</v>
      </c>
      <c r="I240" s="3" t="n">
        <f aca="false">G240+H240</f>
        <v>2</v>
      </c>
      <c r="J240" s="6" t="n">
        <f aca="false">IF(F240=0,0,I240/F240)</f>
        <v>0.285714285714286</v>
      </c>
    </row>
    <row r="241" customFormat="false" ht="15" hidden="false" customHeight="false" outlineLevel="0" collapsed="false">
      <c r="A241" s="7" t="s">
        <v>84</v>
      </c>
      <c r="B241" s="7" t="s">
        <v>556</v>
      </c>
      <c r="C241" s="7" t="s">
        <v>557</v>
      </c>
      <c r="D241" s="7" t="s">
        <v>557</v>
      </c>
      <c r="E241" s="7" t="s">
        <v>611</v>
      </c>
      <c r="F241" s="7" t="n">
        <f aca="false">COUNTIFS(Positions!$B$2:$B$6912,A241,Positions!$F$2:$F$6912,"Position 8")+COUNTIFS(Positions!$B$2:$B$6912,A241,Positions!$F$2:$F$6912,"Position 9")+COUNTIFS(Positions!$B$2:$B$6912,A241,Positions!$F$2:$F$6912,"Position 26")</f>
        <v>3</v>
      </c>
      <c r="G241" s="7" t="n">
        <f aca="false">COUNTIFS(Positions!$B$2:$B$6912,A241,Positions!$F$2:$F$6912,"Position 8",Positions!$E$2:$E$6912,"G")+COUNTIFS(Positions!$B$2:$B$6912,A241,Positions!$F$2:$F$6912,"Position 9",Positions!$E$2:$E$6912,"G")+COUNTIFS(Positions!$B$2:$B$6912,A241,Positions!$F$2:$F$6912,"Position 26",Positions!$E$2:$E$6912,"G")</f>
        <v>0</v>
      </c>
      <c r="H241" s="7" t="n">
        <f aca="false">COUNTIFS(Positions!$B$2:$B$6912,A241,Positions!$F$2:$F$6912,"Position 8",Positions!$E$2:$E$6912,"C")+COUNTIFS(Positions!$B$2:$B$6912,A241,Positions!$F$2:$F$6912,"Position 9",Positions!$E$2:$E$6912,"C")+COUNTIFS(Positions!$B$2:$B$6912,A241,Positions!$F$2:$F$6912,"Position 26",Positions!$E$2:$E$6912,"C")</f>
        <v>0</v>
      </c>
      <c r="I241" s="8" t="n">
        <f aca="false">G241+H241</f>
        <v>0</v>
      </c>
      <c r="J241" s="26" t="n">
        <f aca="false">IF(F241=0,0,I241/F241)</f>
        <v>0</v>
      </c>
    </row>
    <row r="242" customFormat="false" ht="15" hidden="false" customHeight="false" outlineLevel="0" collapsed="false">
      <c r="A242" s="4" t="s">
        <v>85</v>
      </c>
      <c r="B242" s="4" t="s">
        <v>430</v>
      </c>
      <c r="C242" s="4" t="s">
        <v>544</v>
      </c>
      <c r="D242" s="4" t="s">
        <v>572</v>
      </c>
      <c r="E242" s="4" t="s">
        <v>656</v>
      </c>
      <c r="F242" s="4" t="n">
        <f aca="false">COUNTIFS(Positions!$B$2:$B$6912,A242,Positions!$F$2:$F$6912,B242)</f>
        <v>7</v>
      </c>
      <c r="G242" s="4" t="n">
        <f aca="false">COUNTIFS(Positions!$B$2:$B$6912,A242,Positions!$F$2:$F$6912,B242,Positions!$E$2:$E$6912,"G")</f>
        <v>3</v>
      </c>
      <c r="H242" s="4" t="n">
        <f aca="false">COUNTIFS(Positions!$B$2:$B$6912,A242,Positions!$F$2:$F$6912,B242,Positions!$E$2:$E$6912,"C")</f>
        <v>1</v>
      </c>
      <c r="I242" s="3" t="n">
        <f aca="false">G242+H242</f>
        <v>4</v>
      </c>
      <c r="J242" s="6" t="n">
        <f aca="false">IF(F242=0,0,I242/F242)</f>
        <v>0.571428571428571</v>
      </c>
    </row>
    <row r="243" customFormat="false" ht="15" hidden="false" customHeight="false" outlineLevel="0" collapsed="false">
      <c r="A243" s="4" t="s">
        <v>85</v>
      </c>
      <c r="B243" s="4" t="s">
        <v>452</v>
      </c>
      <c r="C243" s="4" t="s">
        <v>547</v>
      </c>
      <c r="D243" s="4" t="s">
        <v>574</v>
      </c>
      <c r="E243" s="4" t="s">
        <v>605</v>
      </c>
      <c r="F243" s="4" t="n">
        <f aca="false">COUNTIFS(Positions!$B$2:$B$6912,A243,Positions!$F$2:$F$6912,B243)</f>
        <v>7</v>
      </c>
      <c r="G243" s="4" t="n">
        <f aca="false">COUNTIFS(Positions!$B$2:$B$6912,A243,Positions!$F$2:$F$6912,B243,Positions!$E$2:$E$6912,"G")</f>
        <v>0</v>
      </c>
      <c r="H243" s="4" t="n">
        <f aca="false">COUNTIFS(Positions!$B$2:$B$6912,A243,Positions!$F$2:$F$6912,B243,Positions!$E$2:$E$6912,"C")</f>
        <v>3</v>
      </c>
      <c r="I243" s="3" t="n">
        <f aca="false">G243+H243</f>
        <v>3</v>
      </c>
      <c r="J243" s="6" t="n">
        <f aca="false">IF(F243=0,0,I243/F243)</f>
        <v>0.428571428571429</v>
      </c>
    </row>
    <row r="244" customFormat="false" ht="15" hidden="false" customHeight="false" outlineLevel="0" collapsed="false">
      <c r="A244" s="4" t="s">
        <v>85</v>
      </c>
      <c r="B244" s="4" t="s">
        <v>465</v>
      </c>
      <c r="C244" s="4" t="s">
        <v>550</v>
      </c>
      <c r="D244" s="4" t="s">
        <v>576</v>
      </c>
      <c r="E244" s="4" t="s">
        <v>591</v>
      </c>
      <c r="F244" s="4" t="n">
        <f aca="false">COUNTIFS(Positions!$B$2:$B$6912,A244,Positions!$F$2:$F$6912,B244)</f>
        <v>5</v>
      </c>
      <c r="G244" s="4" t="n">
        <f aca="false">COUNTIFS(Positions!$B$2:$B$6912,A244,Positions!$F$2:$F$6912,B244,Positions!$E$2:$E$6912,"G")</f>
        <v>2</v>
      </c>
      <c r="H244" s="4" t="n">
        <f aca="false">COUNTIFS(Positions!$B$2:$B$6912,A244,Positions!$F$2:$F$6912,B244,Positions!$E$2:$E$6912,"C")</f>
        <v>1</v>
      </c>
      <c r="I244" s="3" t="n">
        <f aca="false">G244+H244</f>
        <v>3</v>
      </c>
      <c r="J244" s="6" t="n">
        <f aca="false">IF(F244=0,0,I244/F244)</f>
        <v>0.6</v>
      </c>
    </row>
    <row r="245" customFormat="false" ht="15" hidden="false" customHeight="false" outlineLevel="0" collapsed="false">
      <c r="A245" s="4" t="s">
        <v>85</v>
      </c>
      <c r="B245" s="4" t="s">
        <v>477</v>
      </c>
      <c r="C245" s="4" t="s">
        <v>553</v>
      </c>
      <c r="D245" s="4" t="s">
        <v>578</v>
      </c>
      <c r="E245" s="4" t="s">
        <v>606</v>
      </c>
      <c r="F245" s="4" t="n">
        <f aca="false">COUNTIFS(Positions!$B$2:$B$6912,A245,Positions!$F$2:$F$6912,B245)</f>
        <v>7</v>
      </c>
      <c r="G245" s="4" t="n">
        <f aca="false">COUNTIFS(Positions!$B$2:$B$6912,A245,Positions!$F$2:$F$6912,B245,Positions!$E$2:$E$6912,"G")</f>
        <v>1</v>
      </c>
      <c r="H245" s="4" t="n">
        <f aca="false">COUNTIFS(Positions!$B$2:$B$6912,A245,Positions!$F$2:$F$6912,B245,Positions!$E$2:$E$6912,"C")</f>
        <v>1</v>
      </c>
      <c r="I245" s="3" t="n">
        <f aca="false">G245+H245</f>
        <v>2</v>
      </c>
      <c r="J245" s="6" t="n">
        <f aca="false">IF(F245=0,0,I245/F245)</f>
        <v>0.285714285714286</v>
      </c>
    </row>
    <row r="246" customFormat="false" ht="15" hidden="false" customHeight="false" outlineLevel="0" collapsed="false">
      <c r="A246" s="7" t="s">
        <v>85</v>
      </c>
      <c r="B246" s="7" t="s">
        <v>556</v>
      </c>
      <c r="C246" s="7" t="s">
        <v>557</v>
      </c>
      <c r="D246" s="7" t="s">
        <v>579</v>
      </c>
      <c r="E246" s="7" t="s">
        <v>346</v>
      </c>
      <c r="F246" s="7" t="n">
        <f aca="false">COUNTIFS(Positions!$B$2:$B$6912,A246,Positions!$F$2:$F$6912,"Position 8")+COUNTIFS(Positions!$B$2:$B$6912,A246,Positions!$F$2:$F$6912,"Position 9")+COUNTIFS(Positions!$B$2:$B$6912,A246,Positions!$F$2:$F$6912,"Position 26")</f>
        <v>3</v>
      </c>
      <c r="G246" s="7" t="n">
        <f aca="false">COUNTIFS(Positions!$B$2:$B$6912,A246,Positions!$F$2:$F$6912,"Position 8",Positions!$E$2:$E$6912,"G")+COUNTIFS(Positions!$B$2:$B$6912,A246,Positions!$F$2:$F$6912,"Position 9",Positions!$E$2:$E$6912,"G")+COUNTIFS(Positions!$B$2:$B$6912,A246,Positions!$F$2:$F$6912,"Position 26",Positions!$E$2:$E$6912,"G")</f>
        <v>2</v>
      </c>
      <c r="H246" s="7" t="n">
        <f aca="false">COUNTIFS(Positions!$B$2:$B$6912,A246,Positions!$F$2:$F$6912,"Position 8",Positions!$E$2:$E$6912,"C")+COUNTIFS(Positions!$B$2:$B$6912,A246,Positions!$F$2:$F$6912,"Position 9",Positions!$E$2:$E$6912,"C")+COUNTIFS(Positions!$B$2:$B$6912,A246,Positions!$F$2:$F$6912,"Position 26",Positions!$E$2:$E$6912,"C")</f>
        <v>0</v>
      </c>
      <c r="I246" s="8" t="n">
        <f aca="false">G246+H246</f>
        <v>2</v>
      </c>
      <c r="J246" s="26" t="n">
        <f aca="false">IF(F246=0,0,I246/F246)</f>
        <v>0.666666666666667</v>
      </c>
    </row>
    <row r="247" customFormat="false" ht="15" hidden="false" customHeight="false" outlineLevel="0" collapsed="false">
      <c r="A247" s="4" t="s">
        <v>86</v>
      </c>
      <c r="B247" s="4" t="s">
        <v>430</v>
      </c>
      <c r="C247" s="4" t="s">
        <v>544</v>
      </c>
      <c r="D247" s="4" t="s">
        <v>544</v>
      </c>
      <c r="E247" s="4" t="s">
        <v>607</v>
      </c>
      <c r="F247" s="4" t="n">
        <f aca="false">COUNTIFS(Positions!$B$2:$B$6912,A247,Positions!$F$2:$F$6912,B247)</f>
        <v>8</v>
      </c>
      <c r="G247" s="4" t="n">
        <f aca="false">COUNTIFS(Positions!$B$2:$B$6912,A247,Positions!$F$2:$F$6912,B247,Positions!$E$2:$E$6912,"G")</f>
        <v>3</v>
      </c>
      <c r="H247" s="4" t="n">
        <f aca="false">COUNTIFS(Positions!$B$2:$B$6912,A247,Positions!$F$2:$F$6912,B247,Positions!$E$2:$E$6912,"C")</f>
        <v>1</v>
      </c>
      <c r="I247" s="3" t="n">
        <f aca="false">G247+H247</f>
        <v>4</v>
      </c>
      <c r="J247" s="6" t="n">
        <f aca="false">IF(F247=0,0,I247/F247)</f>
        <v>0.5</v>
      </c>
    </row>
    <row r="248" customFormat="false" ht="15" hidden="false" customHeight="false" outlineLevel="0" collapsed="false">
      <c r="A248" s="4" t="s">
        <v>86</v>
      </c>
      <c r="B248" s="4" t="s">
        <v>452</v>
      </c>
      <c r="C248" s="4" t="s">
        <v>547</v>
      </c>
      <c r="D248" s="4" t="s">
        <v>547</v>
      </c>
      <c r="E248" s="4" t="s">
        <v>608</v>
      </c>
      <c r="F248" s="4" t="n">
        <f aca="false">COUNTIFS(Positions!$B$2:$B$6912,A248,Positions!$F$2:$F$6912,B248)</f>
        <v>7</v>
      </c>
      <c r="G248" s="4" t="n">
        <f aca="false">COUNTIFS(Positions!$B$2:$B$6912,A248,Positions!$F$2:$F$6912,B248,Positions!$E$2:$E$6912,"G")</f>
        <v>0</v>
      </c>
      <c r="H248" s="4" t="n">
        <f aca="false">COUNTIFS(Positions!$B$2:$B$6912,A248,Positions!$F$2:$F$6912,B248,Positions!$E$2:$E$6912,"C")</f>
        <v>1</v>
      </c>
      <c r="I248" s="3" t="n">
        <f aca="false">G248+H248</f>
        <v>1</v>
      </c>
      <c r="J248" s="6" t="n">
        <f aca="false">IF(F248=0,0,I248/F248)</f>
        <v>0.142857142857143</v>
      </c>
    </row>
    <row r="249" customFormat="false" ht="15" hidden="false" customHeight="false" outlineLevel="0" collapsed="false">
      <c r="A249" s="4" t="s">
        <v>86</v>
      </c>
      <c r="B249" s="4" t="s">
        <v>465</v>
      </c>
      <c r="C249" s="4" t="s">
        <v>550</v>
      </c>
      <c r="D249" s="4" t="s">
        <v>550</v>
      </c>
      <c r="E249" s="4" t="s">
        <v>609</v>
      </c>
      <c r="F249" s="4" t="n">
        <f aca="false">COUNTIFS(Positions!$B$2:$B$6912,A249,Positions!$F$2:$F$6912,B249)</f>
        <v>5</v>
      </c>
      <c r="G249" s="4" t="n">
        <f aca="false">COUNTIFS(Positions!$B$2:$B$6912,A249,Positions!$F$2:$F$6912,B249,Positions!$E$2:$E$6912,"G")</f>
        <v>3</v>
      </c>
      <c r="H249" s="4" t="n">
        <f aca="false">COUNTIFS(Positions!$B$2:$B$6912,A249,Positions!$F$2:$F$6912,B249,Positions!$E$2:$E$6912,"C")</f>
        <v>1</v>
      </c>
      <c r="I249" s="3" t="n">
        <f aca="false">G249+H249</f>
        <v>4</v>
      </c>
      <c r="J249" s="6" t="n">
        <f aca="false">IF(F249=0,0,I249/F249)</f>
        <v>0.8</v>
      </c>
    </row>
    <row r="250" customFormat="false" ht="15" hidden="false" customHeight="false" outlineLevel="0" collapsed="false">
      <c r="A250" s="4" t="s">
        <v>86</v>
      </c>
      <c r="B250" s="4" t="s">
        <v>477</v>
      </c>
      <c r="C250" s="4" t="s">
        <v>553</v>
      </c>
      <c r="D250" s="4" t="s">
        <v>553</v>
      </c>
      <c r="E250" s="4" t="s">
        <v>610</v>
      </c>
      <c r="F250" s="4" t="n">
        <f aca="false">COUNTIFS(Positions!$B$2:$B$6912,A250,Positions!$F$2:$F$6912,B250)</f>
        <v>7</v>
      </c>
      <c r="G250" s="4" t="n">
        <f aca="false">COUNTIFS(Positions!$B$2:$B$6912,A250,Positions!$F$2:$F$6912,B250,Positions!$E$2:$E$6912,"G")</f>
        <v>1</v>
      </c>
      <c r="H250" s="4" t="n">
        <f aca="false">COUNTIFS(Positions!$B$2:$B$6912,A250,Positions!$F$2:$F$6912,B250,Positions!$E$2:$E$6912,"C")</f>
        <v>1</v>
      </c>
      <c r="I250" s="3" t="n">
        <f aca="false">G250+H250</f>
        <v>2</v>
      </c>
      <c r="J250" s="6" t="n">
        <f aca="false">IF(F250=0,0,I250/F250)</f>
        <v>0.285714285714286</v>
      </c>
    </row>
    <row r="251" customFormat="false" ht="15" hidden="false" customHeight="false" outlineLevel="0" collapsed="false">
      <c r="A251" s="7" t="s">
        <v>86</v>
      </c>
      <c r="B251" s="7" t="s">
        <v>556</v>
      </c>
      <c r="C251" s="7" t="s">
        <v>557</v>
      </c>
      <c r="D251" s="7" t="s">
        <v>557</v>
      </c>
      <c r="E251" s="7" t="s">
        <v>611</v>
      </c>
      <c r="F251" s="7" t="n">
        <f aca="false">COUNTIFS(Positions!$B$2:$B$6912,A251,Positions!$F$2:$F$6912,"Position 8")+COUNTIFS(Positions!$B$2:$B$6912,A251,Positions!$F$2:$F$6912,"Position 9")+COUNTIFS(Positions!$B$2:$B$6912,A251,Positions!$F$2:$F$6912,"Position 26")</f>
        <v>3</v>
      </c>
      <c r="G251" s="7" t="n">
        <f aca="false">COUNTIFS(Positions!$B$2:$B$6912,A251,Positions!$F$2:$F$6912,"Position 8",Positions!$E$2:$E$6912,"G")+COUNTIFS(Positions!$B$2:$B$6912,A251,Positions!$F$2:$F$6912,"Position 9",Positions!$E$2:$E$6912,"G")+COUNTIFS(Positions!$B$2:$B$6912,A251,Positions!$F$2:$F$6912,"Position 26",Positions!$E$2:$E$6912,"G")</f>
        <v>0</v>
      </c>
      <c r="H251" s="7" t="n">
        <f aca="false">COUNTIFS(Positions!$B$2:$B$6912,A251,Positions!$F$2:$F$6912,"Position 8",Positions!$E$2:$E$6912,"C")+COUNTIFS(Positions!$B$2:$B$6912,A251,Positions!$F$2:$F$6912,"Position 9",Positions!$E$2:$E$6912,"C")+COUNTIFS(Positions!$B$2:$B$6912,A251,Positions!$F$2:$F$6912,"Position 26",Positions!$E$2:$E$6912,"C")</f>
        <v>0</v>
      </c>
      <c r="I251" s="8" t="n">
        <f aca="false">G251+H251</f>
        <v>0</v>
      </c>
      <c r="J251" s="26" t="n">
        <f aca="false">IF(F251=0,0,I251/F251)</f>
        <v>0</v>
      </c>
    </row>
    <row r="252" customFormat="false" ht="15" hidden="false" customHeight="false" outlineLevel="0" collapsed="false">
      <c r="A252" s="4" t="s">
        <v>87</v>
      </c>
      <c r="B252" s="4" t="s">
        <v>430</v>
      </c>
      <c r="C252" s="4" t="s">
        <v>544</v>
      </c>
      <c r="D252" s="4" t="s">
        <v>544</v>
      </c>
      <c r="E252" s="4" t="s">
        <v>607</v>
      </c>
      <c r="F252" s="4" t="n">
        <f aca="false">COUNTIFS(Positions!$B$2:$B$6912,A252,Positions!$F$2:$F$6912,B252)</f>
        <v>8</v>
      </c>
      <c r="G252" s="4" t="n">
        <f aca="false">COUNTIFS(Positions!$B$2:$B$6912,A252,Positions!$F$2:$F$6912,B252,Positions!$E$2:$E$6912,"G")</f>
        <v>3</v>
      </c>
      <c r="H252" s="4" t="n">
        <f aca="false">COUNTIFS(Positions!$B$2:$B$6912,A252,Positions!$F$2:$F$6912,B252,Positions!$E$2:$E$6912,"C")</f>
        <v>1</v>
      </c>
      <c r="I252" s="3" t="n">
        <f aca="false">G252+H252</f>
        <v>4</v>
      </c>
      <c r="J252" s="6" t="n">
        <f aca="false">IF(F252=0,0,I252/F252)</f>
        <v>0.5</v>
      </c>
    </row>
    <row r="253" customFormat="false" ht="15" hidden="false" customHeight="false" outlineLevel="0" collapsed="false">
      <c r="A253" s="4" t="s">
        <v>87</v>
      </c>
      <c r="B253" s="4" t="s">
        <v>452</v>
      </c>
      <c r="C253" s="4" t="s">
        <v>547</v>
      </c>
      <c r="D253" s="4" t="s">
        <v>547</v>
      </c>
      <c r="E253" s="4" t="s">
        <v>612</v>
      </c>
      <c r="F253" s="4" t="n">
        <f aca="false">COUNTIFS(Positions!$B$2:$B$6912,A253,Positions!$F$2:$F$6912,B253)</f>
        <v>7</v>
      </c>
      <c r="G253" s="4" t="n">
        <f aca="false">COUNTIFS(Positions!$B$2:$B$6912,A253,Positions!$F$2:$F$6912,B253,Positions!$E$2:$E$6912,"G")</f>
        <v>0</v>
      </c>
      <c r="H253" s="4" t="n">
        <f aca="false">COUNTIFS(Positions!$B$2:$B$6912,A253,Positions!$F$2:$F$6912,B253,Positions!$E$2:$E$6912,"C")</f>
        <v>2</v>
      </c>
      <c r="I253" s="3" t="n">
        <f aca="false">G253+H253</f>
        <v>2</v>
      </c>
      <c r="J253" s="6" t="n">
        <f aca="false">IF(F253=0,0,I253/F253)</f>
        <v>0.285714285714286</v>
      </c>
    </row>
    <row r="254" customFormat="false" ht="15" hidden="false" customHeight="false" outlineLevel="0" collapsed="false">
      <c r="A254" s="4" t="s">
        <v>87</v>
      </c>
      <c r="B254" s="4" t="s">
        <v>465</v>
      </c>
      <c r="C254" s="4" t="s">
        <v>550</v>
      </c>
      <c r="D254" s="4" t="s">
        <v>550</v>
      </c>
      <c r="E254" s="4" t="s">
        <v>609</v>
      </c>
      <c r="F254" s="4" t="n">
        <f aca="false">COUNTIFS(Positions!$B$2:$B$6912,A254,Positions!$F$2:$F$6912,B254)</f>
        <v>5</v>
      </c>
      <c r="G254" s="4" t="n">
        <f aca="false">COUNTIFS(Positions!$B$2:$B$6912,A254,Positions!$F$2:$F$6912,B254,Positions!$E$2:$E$6912,"G")</f>
        <v>3</v>
      </c>
      <c r="H254" s="4" t="n">
        <f aca="false">COUNTIFS(Positions!$B$2:$B$6912,A254,Positions!$F$2:$F$6912,B254,Positions!$E$2:$E$6912,"C")</f>
        <v>1</v>
      </c>
      <c r="I254" s="3" t="n">
        <f aca="false">G254+H254</f>
        <v>4</v>
      </c>
      <c r="J254" s="6" t="n">
        <f aca="false">IF(F254=0,0,I254/F254)</f>
        <v>0.8</v>
      </c>
    </row>
    <row r="255" customFormat="false" ht="15" hidden="false" customHeight="false" outlineLevel="0" collapsed="false">
      <c r="A255" s="4" t="s">
        <v>87</v>
      </c>
      <c r="B255" s="4" t="s">
        <v>477</v>
      </c>
      <c r="C255" s="4" t="s">
        <v>553</v>
      </c>
      <c r="D255" s="4" t="s">
        <v>553</v>
      </c>
      <c r="E255" s="4" t="s">
        <v>613</v>
      </c>
      <c r="F255" s="4" t="n">
        <f aca="false">COUNTIFS(Positions!$B$2:$B$6912,A255,Positions!$F$2:$F$6912,B255)</f>
        <v>7</v>
      </c>
      <c r="G255" s="4" t="n">
        <f aca="false">COUNTIFS(Positions!$B$2:$B$6912,A255,Positions!$F$2:$F$6912,B255,Positions!$E$2:$E$6912,"G")</f>
        <v>2</v>
      </c>
      <c r="H255" s="4" t="n">
        <f aca="false">COUNTIFS(Positions!$B$2:$B$6912,A255,Positions!$F$2:$F$6912,B255,Positions!$E$2:$E$6912,"C")</f>
        <v>2</v>
      </c>
      <c r="I255" s="3" t="n">
        <f aca="false">G255+H255</f>
        <v>4</v>
      </c>
      <c r="J255" s="6" t="n">
        <f aca="false">IF(F255=0,0,I255/F255)</f>
        <v>0.571428571428571</v>
      </c>
    </row>
    <row r="256" customFormat="false" ht="15" hidden="false" customHeight="false" outlineLevel="0" collapsed="false">
      <c r="A256" s="7" t="s">
        <v>87</v>
      </c>
      <c r="B256" s="7" t="s">
        <v>556</v>
      </c>
      <c r="C256" s="7" t="s">
        <v>557</v>
      </c>
      <c r="D256" s="7" t="s">
        <v>557</v>
      </c>
      <c r="E256" s="7" t="s">
        <v>611</v>
      </c>
      <c r="F256" s="7" t="n">
        <f aca="false">COUNTIFS(Positions!$B$2:$B$6912,A256,Positions!$F$2:$F$6912,"Position 8")+COUNTIFS(Positions!$B$2:$B$6912,A256,Positions!$F$2:$F$6912,"Position 9")+COUNTIFS(Positions!$B$2:$B$6912,A256,Positions!$F$2:$F$6912,"Position 26")</f>
        <v>3</v>
      </c>
      <c r="G256" s="7" t="n">
        <f aca="false">COUNTIFS(Positions!$B$2:$B$6912,A256,Positions!$F$2:$F$6912,"Position 8",Positions!$E$2:$E$6912,"G")+COUNTIFS(Positions!$B$2:$B$6912,A256,Positions!$F$2:$F$6912,"Position 9",Positions!$E$2:$E$6912,"G")+COUNTIFS(Positions!$B$2:$B$6912,A256,Positions!$F$2:$F$6912,"Position 26",Positions!$E$2:$E$6912,"G")</f>
        <v>0</v>
      </c>
      <c r="H256" s="7" t="n">
        <f aca="false">COUNTIFS(Positions!$B$2:$B$6912,A256,Positions!$F$2:$F$6912,"Position 8",Positions!$E$2:$E$6912,"C")+COUNTIFS(Positions!$B$2:$B$6912,A256,Positions!$F$2:$F$6912,"Position 9",Positions!$E$2:$E$6912,"C")+COUNTIFS(Positions!$B$2:$B$6912,A256,Positions!$F$2:$F$6912,"Position 26",Positions!$E$2:$E$6912,"C")</f>
        <v>0</v>
      </c>
      <c r="I256" s="8" t="n">
        <f aca="false">G256+H256</f>
        <v>0</v>
      </c>
      <c r="J256" s="26" t="n">
        <f aca="false">IF(F256=0,0,I256/F256)</f>
        <v>0</v>
      </c>
    </row>
    <row r="257" customFormat="false" ht="15" hidden="false" customHeight="false" outlineLevel="0" collapsed="false">
      <c r="A257" s="4" t="s">
        <v>88</v>
      </c>
      <c r="B257" s="4" t="s">
        <v>430</v>
      </c>
      <c r="C257" s="4" t="s">
        <v>544</v>
      </c>
      <c r="D257" s="4" t="s">
        <v>544</v>
      </c>
      <c r="E257" s="4" t="s">
        <v>607</v>
      </c>
      <c r="F257" s="4" t="n">
        <f aca="false">COUNTIFS(Positions!$B$2:$B$6912,A257,Positions!$F$2:$F$6912,B257)</f>
        <v>8</v>
      </c>
      <c r="G257" s="4" t="n">
        <f aca="false">COUNTIFS(Positions!$B$2:$B$6912,A257,Positions!$F$2:$F$6912,B257,Positions!$E$2:$E$6912,"G")</f>
        <v>3</v>
      </c>
      <c r="H257" s="4" t="n">
        <f aca="false">COUNTIFS(Positions!$B$2:$B$6912,A257,Positions!$F$2:$F$6912,B257,Positions!$E$2:$E$6912,"C")</f>
        <v>1</v>
      </c>
      <c r="I257" s="3" t="n">
        <f aca="false">G257+H257</f>
        <v>4</v>
      </c>
      <c r="J257" s="6" t="n">
        <f aca="false">IF(F257=0,0,I257/F257)</f>
        <v>0.5</v>
      </c>
    </row>
    <row r="258" customFormat="false" ht="15" hidden="false" customHeight="false" outlineLevel="0" collapsed="false">
      <c r="A258" s="4" t="s">
        <v>88</v>
      </c>
      <c r="B258" s="4" t="s">
        <v>452</v>
      </c>
      <c r="C258" s="4" t="s">
        <v>547</v>
      </c>
      <c r="D258" s="4" t="s">
        <v>547</v>
      </c>
      <c r="E258" s="4" t="s">
        <v>612</v>
      </c>
      <c r="F258" s="4" t="n">
        <f aca="false">COUNTIFS(Positions!$B$2:$B$6912,A258,Positions!$F$2:$F$6912,B258)</f>
        <v>7</v>
      </c>
      <c r="G258" s="4" t="n">
        <f aca="false">COUNTIFS(Positions!$B$2:$B$6912,A258,Positions!$F$2:$F$6912,B258,Positions!$E$2:$E$6912,"G")</f>
        <v>0</v>
      </c>
      <c r="H258" s="4" t="n">
        <f aca="false">COUNTIFS(Positions!$B$2:$B$6912,A258,Positions!$F$2:$F$6912,B258,Positions!$E$2:$E$6912,"C")</f>
        <v>2</v>
      </c>
      <c r="I258" s="3" t="n">
        <f aca="false">G258+H258</f>
        <v>2</v>
      </c>
      <c r="J258" s="6" t="n">
        <f aca="false">IF(F258=0,0,I258/F258)</f>
        <v>0.285714285714286</v>
      </c>
    </row>
    <row r="259" customFormat="false" ht="15" hidden="false" customHeight="false" outlineLevel="0" collapsed="false">
      <c r="A259" s="4" t="s">
        <v>88</v>
      </c>
      <c r="B259" s="4" t="s">
        <v>465</v>
      </c>
      <c r="C259" s="4" t="s">
        <v>550</v>
      </c>
      <c r="D259" s="4" t="s">
        <v>550</v>
      </c>
      <c r="E259" s="4" t="s">
        <v>609</v>
      </c>
      <c r="F259" s="4" t="n">
        <f aca="false">COUNTIFS(Positions!$B$2:$B$6912,A259,Positions!$F$2:$F$6912,B259)</f>
        <v>5</v>
      </c>
      <c r="G259" s="4" t="n">
        <f aca="false">COUNTIFS(Positions!$B$2:$B$6912,A259,Positions!$F$2:$F$6912,B259,Positions!$E$2:$E$6912,"G")</f>
        <v>3</v>
      </c>
      <c r="H259" s="4" t="n">
        <f aca="false">COUNTIFS(Positions!$B$2:$B$6912,A259,Positions!$F$2:$F$6912,B259,Positions!$E$2:$E$6912,"C")</f>
        <v>1</v>
      </c>
      <c r="I259" s="3" t="n">
        <f aca="false">G259+H259</f>
        <v>4</v>
      </c>
      <c r="J259" s="6" t="n">
        <f aca="false">IF(F259=0,0,I259/F259)</f>
        <v>0.8</v>
      </c>
    </row>
    <row r="260" customFormat="false" ht="15" hidden="false" customHeight="false" outlineLevel="0" collapsed="false">
      <c r="A260" s="4" t="s">
        <v>88</v>
      </c>
      <c r="B260" s="4" t="s">
        <v>477</v>
      </c>
      <c r="C260" s="4" t="s">
        <v>553</v>
      </c>
      <c r="D260" s="4" t="s">
        <v>553</v>
      </c>
      <c r="E260" s="4" t="s">
        <v>613</v>
      </c>
      <c r="F260" s="4" t="n">
        <f aca="false">COUNTIFS(Positions!$B$2:$B$6912,A260,Positions!$F$2:$F$6912,B260)</f>
        <v>7</v>
      </c>
      <c r="G260" s="4" t="n">
        <f aca="false">COUNTIFS(Positions!$B$2:$B$6912,A260,Positions!$F$2:$F$6912,B260,Positions!$E$2:$E$6912,"G")</f>
        <v>2</v>
      </c>
      <c r="H260" s="4" t="n">
        <f aca="false">COUNTIFS(Positions!$B$2:$B$6912,A260,Positions!$F$2:$F$6912,B260,Positions!$E$2:$E$6912,"C")</f>
        <v>2</v>
      </c>
      <c r="I260" s="3" t="n">
        <f aca="false">G260+H260</f>
        <v>4</v>
      </c>
      <c r="J260" s="6" t="n">
        <f aca="false">IF(F260=0,0,I260/F260)</f>
        <v>0.571428571428571</v>
      </c>
    </row>
    <row r="261" customFormat="false" ht="15" hidden="false" customHeight="false" outlineLevel="0" collapsed="false">
      <c r="A261" s="7" t="s">
        <v>88</v>
      </c>
      <c r="B261" s="7" t="s">
        <v>556</v>
      </c>
      <c r="C261" s="7" t="s">
        <v>557</v>
      </c>
      <c r="D261" s="7" t="s">
        <v>557</v>
      </c>
      <c r="E261" s="7" t="s">
        <v>611</v>
      </c>
      <c r="F261" s="7" t="n">
        <f aca="false">COUNTIFS(Positions!$B$2:$B$6912,A261,Positions!$F$2:$F$6912,"Position 8")+COUNTIFS(Positions!$B$2:$B$6912,A261,Positions!$F$2:$F$6912,"Position 9")+COUNTIFS(Positions!$B$2:$B$6912,A261,Positions!$F$2:$F$6912,"Position 26")</f>
        <v>3</v>
      </c>
      <c r="G261" s="7" t="n">
        <f aca="false">COUNTIFS(Positions!$B$2:$B$6912,A261,Positions!$F$2:$F$6912,"Position 8",Positions!$E$2:$E$6912,"G")+COUNTIFS(Positions!$B$2:$B$6912,A261,Positions!$F$2:$F$6912,"Position 9",Positions!$E$2:$E$6912,"G")+COUNTIFS(Positions!$B$2:$B$6912,A261,Positions!$F$2:$F$6912,"Position 26",Positions!$E$2:$E$6912,"G")</f>
        <v>0</v>
      </c>
      <c r="H261" s="7" t="n">
        <f aca="false">COUNTIFS(Positions!$B$2:$B$6912,A261,Positions!$F$2:$F$6912,"Position 8",Positions!$E$2:$E$6912,"C")+COUNTIFS(Positions!$B$2:$B$6912,A261,Positions!$F$2:$F$6912,"Position 9",Positions!$E$2:$E$6912,"C")+COUNTIFS(Positions!$B$2:$B$6912,A261,Positions!$F$2:$F$6912,"Position 26",Positions!$E$2:$E$6912,"C")</f>
        <v>0</v>
      </c>
      <c r="I261" s="8" t="n">
        <f aca="false">G261+H261</f>
        <v>0</v>
      </c>
      <c r="J261" s="26" t="n">
        <f aca="false">IF(F261=0,0,I261/F261)</f>
        <v>0</v>
      </c>
    </row>
    <row r="262" customFormat="false" ht="15" hidden="false" customHeight="false" outlineLevel="0" collapsed="false">
      <c r="A262" s="4" t="s">
        <v>89</v>
      </c>
      <c r="B262" s="4" t="s">
        <v>430</v>
      </c>
      <c r="C262" s="4" t="s">
        <v>544</v>
      </c>
      <c r="D262" s="4" t="s">
        <v>544</v>
      </c>
      <c r="E262" s="4" t="s">
        <v>659</v>
      </c>
      <c r="F262" s="4" t="n">
        <f aca="false">COUNTIFS(Positions!$B$2:$B$6912,A262,Positions!$F$2:$F$6912,B262)</f>
        <v>8</v>
      </c>
      <c r="G262" s="4" t="n">
        <f aca="false">COUNTIFS(Positions!$B$2:$B$6912,A262,Positions!$F$2:$F$6912,B262,Positions!$E$2:$E$6912,"G")</f>
        <v>3</v>
      </c>
      <c r="H262" s="4" t="n">
        <f aca="false">COUNTIFS(Positions!$B$2:$B$6912,A262,Positions!$F$2:$F$6912,B262,Positions!$E$2:$E$6912,"C")</f>
        <v>0</v>
      </c>
      <c r="I262" s="3" t="n">
        <f aca="false">G262+H262</f>
        <v>3</v>
      </c>
      <c r="J262" s="6" t="n">
        <f aca="false">IF(F262=0,0,I262/F262)</f>
        <v>0.375</v>
      </c>
    </row>
    <row r="263" customFormat="false" ht="15" hidden="false" customHeight="false" outlineLevel="0" collapsed="false">
      <c r="A263" s="4" t="s">
        <v>89</v>
      </c>
      <c r="B263" s="4" t="s">
        <v>452</v>
      </c>
      <c r="C263" s="4" t="s">
        <v>547</v>
      </c>
      <c r="D263" s="4" t="s">
        <v>547</v>
      </c>
      <c r="E263" s="4" t="s">
        <v>549</v>
      </c>
      <c r="F263" s="4" t="n">
        <f aca="false">COUNTIFS(Positions!$B$2:$B$6912,A263,Positions!$F$2:$F$6912,B263)</f>
        <v>7</v>
      </c>
      <c r="G263" s="4" t="n">
        <f aca="false">COUNTIFS(Positions!$B$2:$B$6912,A263,Positions!$F$2:$F$6912,B263,Positions!$E$2:$E$6912,"G")</f>
        <v>0</v>
      </c>
      <c r="H263" s="4" t="n">
        <f aca="false">COUNTIFS(Positions!$B$2:$B$6912,A263,Positions!$F$2:$F$6912,B263,Positions!$E$2:$E$6912,"C")</f>
        <v>2</v>
      </c>
      <c r="I263" s="3" t="n">
        <f aca="false">G263+H263</f>
        <v>2</v>
      </c>
      <c r="J263" s="6" t="n">
        <f aca="false">IF(F263=0,0,I263/F263)</f>
        <v>0.285714285714286</v>
      </c>
    </row>
    <row r="264" customFormat="false" ht="15" hidden="false" customHeight="false" outlineLevel="0" collapsed="false">
      <c r="A264" s="4" t="s">
        <v>89</v>
      </c>
      <c r="B264" s="4" t="s">
        <v>465</v>
      </c>
      <c r="C264" s="4" t="s">
        <v>550</v>
      </c>
      <c r="D264" s="4" t="s">
        <v>550</v>
      </c>
      <c r="E264" s="4" t="s">
        <v>591</v>
      </c>
      <c r="F264" s="4" t="n">
        <f aca="false">COUNTIFS(Positions!$B$2:$B$6912,A264,Positions!$F$2:$F$6912,B264)</f>
        <v>5</v>
      </c>
      <c r="G264" s="4" t="n">
        <f aca="false">COUNTIFS(Positions!$B$2:$B$6912,A264,Positions!$F$2:$F$6912,B264,Positions!$E$2:$E$6912,"G")</f>
        <v>2</v>
      </c>
      <c r="H264" s="4" t="n">
        <f aca="false">COUNTIFS(Positions!$B$2:$B$6912,A264,Positions!$F$2:$F$6912,B264,Positions!$E$2:$E$6912,"C")</f>
        <v>1</v>
      </c>
      <c r="I264" s="3" t="n">
        <f aca="false">G264+H264</f>
        <v>3</v>
      </c>
      <c r="J264" s="6" t="n">
        <f aca="false">IF(F264=0,0,I264/F264)</f>
        <v>0.6</v>
      </c>
    </row>
    <row r="265" customFormat="false" ht="15" hidden="false" customHeight="false" outlineLevel="0" collapsed="false">
      <c r="A265" s="4" t="s">
        <v>89</v>
      </c>
      <c r="B265" s="4" t="s">
        <v>477</v>
      </c>
      <c r="C265" s="4" t="s">
        <v>553</v>
      </c>
      <c r="D265" s="4" t="s">
        <v>553</v>
      </c>
      <c r="E265" s="4" t="s">
        <v>622</v>
      </c>
      <c r="F265" s="4" t="n">
        <f aca="false">COUNTIFS(Positions!$B$2:$B$6912,A265,Positions!$F$2:$F$6912,B265)</f>
        <v>7</v>
      </c>
      <c r="G265" s="4" t="n">
        <f aca="false">COUNTIFS(Positions!$B$2:$B$6912,A265,Positions!$F$2:$F$6912,B265,Positions!$E$2:$E$6912,"G")</f>
        <v>1</v>
      </c>
      <c r="H265" s="4" t="n">
        <f aca="false">COUNTIFS(Positions!$B$2:$B$6912,A265,Positions!$F$2:$F$6912,B265,Positions!$E$2:$E$6912,"C")</f>
        <v>2</v>
      </c>
      <c r="I265" s="3" t="n">
        <f aca="false">G265+H265</f>
        <v>3</v>
      </c>
      <c r="J265" s="6" t="n">
        <f aca="false">IF(F265=0,0,I265/F265)</f>
        <v>0.428571428571429</v>
      </c>
    </row>
    <row r="266" customFormat="false" ht="15" hidden="false" customHeight="false" outlineLevel="0" collapsed="false">
      <c r="A266" s="7" t="s">
        <v>89</v>
      </c>
      <c r="B266" s="7" t="s">
        <v>556</v>
      </c>
      <c r="C266" s="7" t="s">
        <v>557</v>
      </c>
      <c r="D266" s="7" t="s">
        <v>557</v>
      </c>
      <c r="E266" s="7" t="s">
        <v>580</v>
      </c>
      <c r="F266" s="7" t="n">
        <f aca="false">COUNTIFS(Positions!$B$2:$B$6912,A266,Positions!$F$2:$F$6912,"Position 8")+COUNTIFS(Positions!$B$2:$B$6912,A266,Positions!$F$2:$F$6912,"Position 9")+COUNTIFS(Positions!$B$2:$B$6912,A266,Positions!$F$2:$F$6912,"Position 26")</f>
        <v>3</v>
      </c>
      <c r="G266" s="7" t="n">
        <f aca="false">COUNTIFS(Positions!$B$2:$B$6912,A266,Positions!$F$2:$F$6912,"Position 8",Positions!$E$2:$E$6912,"G")+COUNTIFS(Positions!$B$2:$B$6912,A266,Positions!$F$2:$F$6912,"Position 9",Positions!$E$2:$E$6912,"G")+COUNTIFS(Positions!$B$2:$B$6912,A266,Positions!$F$2:$F$6912,"Position 26",Positions!$E$2:$E$6912,"G")</f>
        <v>1</v>
      </c>
      <c r="H266" s="7" t="n">
        <f aca="false">COUNTIFS(Positions!$B$2:$B$6912,A266,Positions!$F$2:$F$6912,"Position 8",Positions!$E$2:$E$6912,"C")+COUNTIFS(Positions!$B$2:$B$6912,A266,Positions!$F$2:$F$6912,"Position 9",Positions!$E$2:$E$6912,"C")+COUNTIFS(Positions!$B$2:$B$6912,A266,Positions!$F$2:$F$6912,"Position 26",Positions!$E$2:$E$6912,"C")</f>
        <v>0</v>
      </c>
      <c r="I266" s="8" t="n">
        <f aca="false">G266+H266</f>
        <v>1</v>
      </c>
      <c r="J266" s="26" t="n">
        <f aca="false">IF(F266=0,0,I266/F266)</f>
        <v>0.333333333333333</v>
      </c>
    </row>
    <row r="267" customFormat="false" ht="15" hidden="false" customHeight="false" outlineLevel="0" collapsed="false">
      <c r="A267" s="4" t="s">
        <v>90</v>
      </c>
      <c r="B267" s="4" t="s">
        <v>430</v>
      </c>
      <c r="C267" s="4" t="s">
        <v>544</v>
      </c>
      <c r="D267" s="4" t="s">
        <v>544</v>
      </c>
      <c r="E267" s="4" t="s">
        <v>614</v>
      </c>
      <c r="F267" s="4" t="n">
        <f aca="false">COUNTIFS(Positions!$B$2:$B$6912,A267,Positions!$F$2:$F$6912,B267)</f>
        <v>8</v>
      </c>
      <c r="G267" s="4" t="n">
        <f aca="false">COUNTIFS(Positions!$B$2:$B$6912,A267,Positions!$F$2:$F$6912,B267,Positions!$E$2:$E$6912,"G")</f>
        <v>4</v>
      </c>
      <c r="H267" s="4" t="n">
        <f aca="false">COUNTIFS(Positions!$B$2:$B$6912,A267,Positions!$F$2:$F$6912,B267,Positions!$E$2:$E$6912,"C")</f>
        <v>0</v>
      </c>
      <c r="I267" s="3" t="n">
        <f aca="false">G267+H267</f>
        <v>4</v>
      </c>
      <c r="J267" s="6" t="n">
        <f aca="false">IF(F267=0,0,I267/F267)</f>
        <v>0.5</v>
      </c>
    </row>
    <row r="268" customFormat="false" ht="15" hidden="false" customHeight="false" outlineLevel="0" collapsed="false">
      <c r="A268" s="4" t="s">
        <v>90</v>
      </c>
      <c r="B268" s="4" t="s">
        <v>452</v>
      </c>
      <c r="C268" s="4" t="s">
        <v>547</v>
      </c>
      <c r="D268" s="4" t="s">
        <v>547</v>
      </c>
      <c r="E268" s="4" t="s">
        <v>615</v>
      </c>
      <c r="F268" s="4" t="n">
        <f aca="false">COUNTIFS(Positions!$B$2:$B$6912,A268,Positions!$F$2:$F$6912,B268)</f>
        <v>7</v>
      </c>
      <c r="G268" s="4" t="n">
        <f aca="false">COUNTIFS(Positions!$B$2:$B$6912,A268,Positions!$F$2:$F$6912,B268,Positions!$E$2:$E$6912,"G")</f>
        <v>2</v>
      </c>
      <c r="H268" s="4" t="n">
        <f aca="false">COUNTIFS(Positions!$B$2:$B$6912,A268,Positions!$F$2:$F$6912,B268,Positions!$E$2:$E$6912,"C")</f>
        <v>1</v>
      </c>
      <c r="I268" s="3" t="n">
        <f aca="false">G268+H268</f>
        <v>3</v>
      </c>
      <c r="J268" s="6" t="n">
        <f aca="false">IF(F268=0,0,I268/F268)</f>
        <v>0.428571428571429</v>
      </c>
    </row>
    <row r="269" customFormat="false" ht="15" hidden="false" customHeight="false" outlineLevel="0" collapsed="false">
      <c r="A269" s="4" t="s">
        <v>90</v>
      </c>
      <c r="B269" s="4" t="s">
        <v>465</v>
      </c>
      <c r="C269" s="4" t="s">
        <v>550</v>
      </c>
      <c r="D269" s="4" t="s">
        <v>550</v>
      </c>
      <c r="E269" s="4" t="s">
        <v>591</v>
      </c>
      <c r="F269" s="4" t="n">
        <f aca="false">COUNTIFS(Positions!$B$2:$B$6912,A269,Positions!$F$2:$F$6912,B269)</f>
        <v>5</v>
      </c>
      <c r="G269" s="4" t="n">
        <f aca="false">COUNTIFS(Positions!$B$2:$B$6912,A269,Positions!$F$2:$F$6912,B269,Positions!$E$2:$E$6912,"G")</f>
        <v>2</v>
      </c>
      <c r="H269" s="4" t="n">
        <f aca="false">COUNTIFS(Positions!$B$2:$B$6912,A269,Positions!$F$2:$F$6912,B269,Positions!$E$2:$E$6912,"C")</f>
        <v>1</v>
      </c>
      <c r="I269" s="3" t="n">
        <f aca="false">G269+H269</f>
        <v>3</v>
      </c>
      <c r="J269" s="6" t="n">
        <f aca="false">IF(F269=0,0,I269/F269)</f>
        <v>0.6</v>
      </c>
    </row>
    <row r="270" customFormat="false" ht="15" hidden="false" customHeight="false" outlineLevel="0" collapsed="false">
      <c r="A270" s="4" t="s">
        <v>90</v>
      </c>
      <c r="B270" s="4" t="s">
        <v>477</v>
      </c>
      <c r="C270" s="4" t="s">
        <v>553</v>
      </c>
      <c r="D270" s="4" t="s">
        <v>553</v>
      </c>
      <c r="E270" s="4" t="s">
        <v>622</v>
      </c>
      <c r="F270" s="4" t="n">
        <f aca="false">COUNTIFS(Positions!$B$2:$B$6912,A270,Positions!$F$2:$F$6912,B270)</f>
        <v>7</v>
      </c>
      <c r="G270" s="4" t="n">
        <f aca="false">COUNTIFS(Positions!$B$2:$B$6912,A270,Positions!$F$2:$F$6912,B270,Positions!$E$2:$E$6912,"G")</f>
        <v>1</v>
      </c>
      <c r="H270" s="4" t="n">
        <f aca="false">COUNTIFS(Positions!$B$2:$B$6912,A270,Positions!$F$2:$F$6912,B270,Positions!$E$2:$E$6912,"C")</f>
        <v>2</v>
      </c>
      <c r="I270" s="3" t="n">
        <f aca="false">G270+H270</f>
        <v>3</v>
      </c>
      <c r="J270" s="6" t="n">
        <f aca="false">IF(F270=0,0,I270/F270)</f>
        <v>0.428571428571429</v>
      </c>
    </row>
    <row r="271" customFormat="false" ht="15" hidden="false" customHeight="false" outlineLevel="0" collapsed="false">
      <c r="A271" s="7" t="s">
        <v>90</v>
      </c>
      <c r="B271" s="7" t="s">
        <v>556</v>
      </c>
      <c r="C271" s="7" t="s">
        <v>557</v>
      </c>
      <c r="D271" s="7" t="s">
        <v>557</v>
      </c>
      <c r="E271" s="7" t="s">
        <v>580</v>
      </c>
      <c r="F271" s="7" t="n">
        <f aca="false">COUNTIFS(Positions!$B$2:$B$6912,A271,Positions!$F$2:$F$6912,"Position 8")+COUNTIFS(Positions!$B$2:$B$6912,A271,Positions!$F$2:$F$6912,"Position 9")+COUNTIFS(Positions!$B$2:$B$6912,A271,Positions!$F$2:$F$6912,"Position 26")</f>
        <v>3</v>
      </c>
      <c r="G271" s="7" t="n">
        <f aca="false">COUNTIFS(Positions!$B$2:$B$6912,A271,Positions!$F$2:$F$6912,"Position 8",Positions!$E$2:$E$6912,"G")+COUNTIFS(Positions!$B$2:$B$6912,A271,Positions!$F$2:$F$6912,"Position 9",Positions!$E$2:$E$6912,"G")+COUNTIFS(Positions!$B$2:$B$6912,A271,Positions!$F$2:$F$6912,"Position 26",Positions!$E$2:$E$6912,"G")</f>
        <v>1</v>
      </c>
      <c r="H271" s="7" t="n">
        <f aca="false">COUNTIFS(Positions!$B$2:$B$6912,A271,Positions!$F$2:$F$6912,"Position 8",Positions!$E$2:$E$6912,"C")+COUNTIFS(Positions!$B$2:$B$6912,A271,Positions!$F$2:$F$6912,"Position 9",Positions!$E$2:$E$6912,"C")+COUNTIFS(Positions!$B$2:$B$6912,A271,Positions!$F$2:$F$6912,"Position 26",Positions!$E$2:$E$6912,"C")</f>
        <v>0</v>
      </c>
      <c r="I271" s="8" t="n">
        <f aca="false">G271+H271</f>
        <v>1</v>
      </c>
      <c r="J271" s="26" t="n">
        <f aca="false">IF(F271=0,0,I271/F271)</f>
        <v>0.333333333333333</v>
      </c>
    </row>
    <row r="272" customFormat="false" ht="15" hidden="false" customHeight="false" outlineLevel="0" collapsed="false">
      <c r="A272" s="4" t="s">
        <v>91</v>
      </c>
      <c r="B272" s="4" t="s">
        <v>430</v>
      </c>
      <c r="C272" s="4" t="s">
        <v>544</v>
      </c>
      <c r="D272" s="4" t="s">
        <v>544</v>
      </c>
      <c r="E272" s="4" t="s">
        <v>602</v>
      </c>
      <c r="F272" s="4" t="n">
        <f aca="false">COUNTIFS(Positions!$B$2:$B$6912,A272,Positions!$F$2:$F$6912,B272)</f>
        <v>8</v>
      </c>
      <c r="G272" s="4" t="n">
        <f aca="false">COUNTIFS(Positions!$B$2:$B$6912,A272,Positions!$F$2:$F$6912,B272,Positions!$E$2:$E$6912,"G")</f>
        <v>3</v>
      </c>
      <c r="H272" s="4" t="n">
        <f aca="false">COUNTIFS(Positions!$B$2:$B$6912,A272,Positions!$F$2:$F$6912,B272,Positions!$E$2:$E$6912,"C")</f>
        <v>0</v>
      </c>
      <c r="I272" s="3" t="n">
        <f aca="false">G272+H272</f>
        <v>3</v>
      </c>
      <c r="J272" s="6" t="n">
        <f aca="false">IF(F272=0,0,I272/F272)</f>
        <v>0.375</v>
      </c>
    </row>
    <row r="273" customFormat="false" ht="15" hidden="false" customHeight="false" outlineLevel="0" collapsed="false">
      <c r="A273" s="4" t="s">
        <v>91</v>
      </c>
      <c r="B273" s="4" t="s">
        <v>452</v>
      </c>
      <c r="C273" s="4" t="s">
        <v>547</v>
      </c>
      <c r="D273" s="4" t="s">
        <v>547</v>
      </c>
      <c r="E273" s="4" t="s">
        <v>621</v>
      </c>
      <c r="F273" s="4" t="n">
        <f aca="false">COUNTIFS(Positions!$B$2:$B$6912,A273,Positions!$F$2:$F$6912,B273)</f>
        <v>7</v>
      </c>
      <c r="G273" s="4" t="n">
        <f aca="false">COUNTIFS(Positions!$B$2:$B$6912,A273,Positions!$F$2:$F$6912,B273,Positions!$E$2:$E$6912,"G")</f>
        <v>0</v>
      </c>
      <c r="H273" s="4" t="n">
        <f aca="false">COUNTIFS(Positions!$B$2:$B$6912,A273,Positions!$F$2:$F$6912,B273,Positions!$E$2:$E$6912,"C")</f>
        <v>3</v>
      </c>
      <c r="I273" s="3" t="n">
        <f aca="false">G273+H273</f>
        <v>3</v>
      </c>
      <c r="J273" s="6" t="n">
        <f aca="false">IF(F273=0,0,I273/F273)</f>
        <v>0.428571428571429</v>
      </c>
    </row>
    <row r="274" customFormat="false" ht="15" hidden="false" customHeight="false" outlineLevel="0" collapsed="false">
      <c r="A274" s="4" t="s">
        <v>91</v>
      </c>
      <c r="B274" s="4" t="s">
        <v>465</v>
      </c>
      <c r="C274" s="4" t="s">
        <v>550</v>
      </c>
      <c r="D274" s="4" t="s">
        <v>550</v>
      </c>
      <c r="E274" s="4" t="s">
        <v>591</v>
      </c>
      <c r="F274" s="4" t="n">
        <f aca="false">COUNTIFS(Positions!$B$2:$B$6912,A274,Positions!$F$2:$F$6912,B274)</f>
        <v>5</v>
      </c>
      <c r="G274" s="4" t="n">
        <f aca="false">COUNTIFS(Positions!$B$2:$B$6912,A274,Positions!$F$2:$F$6912,B274,Positions!$E$2:$E$6912,"G")</f>
        <v>2</v>
      </c>
      <c r="H274" s="4" t="n">
        <f aca="false">COUNTIFS(Positions!$B$2:$B$6912,A274,Positions!$F$2:$F$6912,B274,Positions!$E$2:$E$6912,"C")</f>
        <v>1</v>
      </c>
      <c r="I274" s="3" t="n">
        <f aca="false">G274+H274</f>
        <v>3</v>
      </c>
      <c r="J274" s="6" t="n">
        <f aca="false">IF(F274=0,0,I274/F274)</f>
        <v>0.6</v>
      </c>
    </row>
    <row r="275" customFormat="false" ht="15" hidden="false" customHeight="false" outlineLevel="0" collapsed="false">
      <c r="A275" s="4" t="s">
        <v>91</v>
      </c>
      <c r="B275" s="4" t="s">
        <v>477</v>
      </c>
      <c r="C275" s="4" t="s">
        <v>553</v>
      </c>
      <c r="D275" s="4" t="s">
        <v>553</v>
      </c>
      <c r="E275" s="4" t="s">
        <v>660</v>
      </c>
      <c r="F275" s="4" t="n">
        <f aca="false">COUNTIFS(Positions!$B$2:$B$6912,A275,Positions!$F$2:$F$6912,B275)</f>
        <v>7</v>
      </c>
      <c r="G275" s="4" t="n">
        <f aca="false">COUNTIFS(Positions!$B$2:$B$6912,A275,Positions!$F$2:$F$6912,B275,Positions!$E$2:$E$6912,"G")</f>
        <v>1</v>
      </c>
      <c r="H275" s="4" t="n">
        <f aca="false">COUNTIFS(Positions!$B$2:$B$6912,A275,Positions!$F$2:$F$6912,B275,Positions!$E$2:$E$6912,"C")</f>
        <v>1</v>
      </c>
      <c r="I275" s="3" t="n">
        <f aca="false">G275+H275</f>
        <v>2</v>
      </c>
      <c r="J275" s="6" t="n">
        <f aca="false">IF(F275=0,0,I275/F275)</f>
        <v>0.285714285714286</v>
      </c>
    </row>
    <row r="276" customFormat="false" ht="15" hidden="false" customHeight="false" outlineLevel="0" collapsed="false">
      <c r="A276" s="7" t="s">
        <v>91</v>
      </c>
      <c r="B276" s="7" t="s">
        <v>556</v>
      </c>
      <c r="C276" s="7" t="s">
        <v>557</v>
      </c>
      <c r="D276" s="7" t="s">
        <v>557</v>
      </c>
      <c r="E276" s="7" t="s">
        <v>580</v>
      </c>
      <c r="F276" s="7" t="n">
        <f aca="false">COUNTIFS(Positions!$B$2:$B$6912,A276,Positions!$F$2:$F$6912,"Position 8")+COUNTIFS(Positions!$B$2:$B$6912,A276,Positions!$F$2:$F$6912,"Position 9")+COUNTIFS(Positions!$B$2:$B$6912,A276,Positions!$F$2:$F$6912,"Position 26")</f>
        <v>3</v>
      </c>
      <c r="G276" s="7" t="n">
        <f aca="false">COUNTIFS(Positions!$B$2:$B$6912,A276,Positions!$F$2:$F$6912,"Position 8",Positions!$E$2:$E$6912,"G")+COUNTIFS(Positions!$B$2:$B$6912,A276,Positions!$F$2:$F$6912,"Position 9",Positions!$E$2:$E$6912,"G")+COUNTIFS(Positions!$B$2:$B$6912,A276,Positions!$F$2:$F$6912,"Position 26",Positions!$E$2:$E$6912,"G")</f>
        <v>1</v>
      </c>
      <c r="H276" s="7" t="n">
        <f aca="false">COUNTIFS(Positions!$B$2:$B$6912,A276,Positions!$F$2:$F$6912,"Position 8",Positions!$E$2:$E$6912,"C")+COUNTIFS(Positions!$B$2:$B$6912,A276,Positions!$F$2:$F$6912,"Position 9",Positions!$E$2:$E$6912,"C")+COUNTIFS(Positions!$B$2:$B$6912,A276,Positions!$F$2:$F$6912,"Position 26",Positions!$E$2:$E$6912,"C")</f>
        <v>0</v>
      </c>
      <c r="I276" s="8" t="n">
        <f aca="false">G276+H276</f>
        <v>1</v>
      </c>
      <c r="J276" s="26" t="n">
        <f aca="false">IF(F276=0,0,I276/F276)</f>
        <v>0.333333333333333</v>
      </c>
    </row>
    <row r="277" customFormat="false" ht="15" hidden="false" customHeight="false" outlineLevel="0" collapsed="false">
      <c r="A277" s="4" t="s">
        <v>92</v>
      </c>
      <c r="B277" s="4" t="s">
        <v>430</v>
      </c>
      <c r="C277" s="4" t="s">
        <v>544</v>
      </c>
      <c r="D277" s="4" t="s">
        <v>544</v>
      </c>
      <c r="E277" s="4" t="s">
        <v>657</v>
      </c>
      <c r="F277" s="4" t="n">
        <f aca="false">COUNTIFS(Positions!$B$2:$B$6912,A277,Positions!$F$2:$F$6912,B277)</f>
        <v>8</v>
      </c>
      <c r="G277" s="4" t="n">
        <f aca="false">COUNTIFS(Positions!$B$2:$B$6912,A277,Positions!$F$2:$F$6912,B277,Positions!$E$2:$E$6912,"G")</f>
        <v>4</v>
      </c>
      <c r="H277" s="4" t="n">
        <f aca="false">COUNTIFS(Positions!$B$2:$B$6912,A277,Positions!$F$2:$F$6912,B277,Positions!$E$2:$E$6912,"C")</f>
        <v>0</v>
      </c>
      <c r="I277" s="3" t="n">
        <f aca="false">G277+H277</f>
        <v>4</v>
      </c>
      <c r="J277" s="6" t="n">
        <f aca="false">IF(F277=0,0,I277/F277)</f>
        <v>0.5</v>
      </c>
    </row>
    <row r="278" customFormat="false" ht="15" hidden="false" customHeight="false" outlineLevel="0" collapsed="false">
      <c r="A278" s="4" t="s">
        <v>92</v>
      </c>
      <c r="B278" s="4" t="s">
        <v>452</v>
      </c>
      <c r="C278" s="4" t="s">
        <v>547</v>
      </c>
      <c r="D278" s="4" t="s">
        <v>547</v>
      </c>
      <c r="E278" s="4" t="s">
        <v>661</v>
      </c>
      <c r="F278" s="4" t="n">
        <f aca="false">COUNTIFS(Positions!$B$2:$B$6912,A278,Positions!$F$2:$F$6912,B278)</f>
        <v>7</v>
      </c>
      <c r="G278" s="4" t="n">
        <f aca="false">COUNTIFS(Positions!$B$2:$B$6912,A278,Positions!$F$2:$F$6912,B278,Positions!$E$2:$E$6912,"G")</f>
        <v>1</v>
      </c>
      <c r="H278" s="4" t="n">
        <f aca="false">COUNTIFS(Positions!$B$2:$B$6912,A278,Positions!$F$2:$F$6912,B278,Positions!$E$2:$E$6912,"C")</f>
        <v>3</v>
      </c>
      <c r="I278" s="3" t="n">
        <f aca="false">G278+H278</f>
        <v>4</v>
      </c>
      <c r="J278" s="6" t="n">
        <f aca="false">IF(F278=0,0,I278/F278)</f>
        <v>0.571428571428571</v>
      </c>
    </row>
    <row r="279" customFormat="false" ht="15" hidden="false" customHeight="false" outlineLevel="0" collapsed="false">
      <c r="A279" s="4" t="s">
        <v>92</v>
      </c>
      <c r="B279" s="4" t="s">
        <v>465</v>
      </c>
      <c r="C279" s="4" t="s">
        <v>550</v>
      </c>
      <c r="D279" s="4" t="s">
        <v>599</v>
      </c>
      <c r="E279" s="4" t="s">
        <v>640</v>
      </c>
      <c r="F279" s="4" t="n">
        <f aca="false">COUNTIFS(Positions!$B$2:$B$6912,A279,Positions!$F$2:$F$6912,B279)</f>
        <v>4</v>
      </c>
      <c r="G279" s="4" t="n">
        <f aca="false">COUNTIFS(Positions!$B$2:$B$6912,A279,Positions!$F$2:$F$6912,B279,Positions!$E$2:$E$6912,"G")</f>
        <v>1</v>
      </c>
      <c r="H279" s="4" t="n">
        <f aca="false">COUNTIFS(Positions!$B$2:$B$6912,A279,Positions!$F$2:$F$6912,B279,Positions!$E$2:$E$6912,"C")</f>
        <v>1</v>
      </c>
      <c r="I279" s="3" t="n">
        <f aca="false">G279+H279</f>
        <v>2</v>
      </c>
      <c r="J279" s="6" t="n">
        <f aca="false">IF(F279=0,0,I279/F279)</f>
        <v>0.5</v>
      </c>
    </row>
    <row r="280" customFormat="false" ht="15" hidden="false" customHeight="false" outlineLevel="0" collapsed="false">
      <c r="A280" s="4" t="s">
        <v>92</v>
      </c>
      <c r="B280" s="4" t="s">
        <v>477</v>
      </c>
      <c r="C280" s="4" t="s">
        <v>553</v>
      </c>
      <c r="D280" s="4" t="s">
        <v>578</v>
      </c>
      <c r="E280" s="4" t="s">
        <v>601</v>
      </c>
      <c r="F280" s="4" t="n">
        <f aca="false">COUNTIFS(Positions!$B$2:$B$6912,A280,Positions!$F$2:$F$6912,B280)</f>
        <v>7</v>
      </c>
      <c r="G280" s="4" t="n">
        <f aca="false">COUNTIFS(Positions!$B$2:$B$6912,A280,Positions!$F$2:$F$6912,B280,Positions!$E$2:$E$6912,"G")</f>
        <v>1</v>
      </c>
      <c r="H280" s="4" t="n">
        <f aca="false">COUNTIFS(Positions!$B$2:$B$6912,A280,Positions!$F$2:$F$6912,B280,Positions!$E$2:$E$6912,"C")</f>
        <v>1</v>
      </c>
      <c r="I280" s="3" t="n">
        <f aca="false">G280+H280</f>
        <v>2</v>
      </c>
      <c r="J280" s="6" t="n">
        <f aca="false">IF(F280=0,0,I280/F280)</f>
        <v>0.285714285714286</v>
      </c>
    </row>
    <row r="281" customFormat="false" ht="15" hidden="false" customHeight="false" outlineLevel="0" collapsed="false">
      <c r="A281" s="7" t="s">
        <v>92</v>
      </c>
      <c r="B281" s="7" t="s">
        <v>556</v>
      </c>
      <c r="C281" s="7" t="s">
        <v>557</v>
      </c>
      <c r="D281" s="7" t="s">
        <v>557</v>
      </c>
      <c r="E281" s="7" t="s">
        <v>222</v>
      </c>
      <c r="F281" s="7" t="n">
        <f aca="false">COUNTIFS(Positions!$B$2:$B$6912,A281,Positions!$F$2:$F$6912,"Position 8")+COUNTIFS(Positions!$B$2:$B$6912,A281,Positions!$F$2:$F$6912,"Position 9")+COUNTIFS(Positions!$B$2:$B$6912,A281,Positions!$F$2:$F$6912,"Position 26")</f>
        <v>3</v>
      </c>
      <c r="G281" s="7" t="n">
        <f aca="false">COUNTIFS(Positions!$B$2:$B$6912,A281,Positions!$F$2:$F$6912,"Position 8",Positions!$E$2:$E$6912,"G")+COUNTIFS(Positions!$B$2:$B$6912,A281,Positions!$F$2:$F$6912,"Position 9",Positions!$E$2:$E$6912,"G")+COUNTIFS(Positions!$B$2:$B$6912,A281,Positions!$F$2:$F$6912,"Position 26",Positions!$E$2:$E$6912,"G")</f>
        <v>0</v>
      </c>
      <c r="H281" s="7" t="n">
        <f aca="false">COUNTIFS(Positions!$B$2:$B$6912,A281,Positions!$F$2:$F$6912,"Position 8",Positions!$E$2:$E$6912,"C")+COUNTIFS(Positions!$B$2:$B$6912,A281,Positions!$F$2:$F$6912,"Position 9",Positions!$E$2:$E$6912,"C")+COUNTIFS(Positions!$B$2:$B$6912,A281,Positions!$F$2:$F$6912,"Position 26",Positions!$E$2:$E$6912,"C")</f>
        <v>1</v>
      </c>
      <c r="I281" s="8" t="n">
        <f aca="false">G281+H281</f>
        <v>1</v>
      </c>
      <c r="J281" s="26" t="n">
        <f aca="false">IF(F281=0,0,I281/F281)</f>
        <v>0.333333333333333</v>
      </c>
    </row>
    <row r="282" customFormat="false" ht="15" hidden="false" customHeight="false" outlineLevel="0" collapsed="false">
      <c r="A282" s="4" t="s">
        <v>93</v>
      </c>
      <c r="B282" s="4" t="s">
        <v>430</v>
      </c>
      <c r="C282" s="4" t="s">
        <v>544</v>
      </c>
      <c r="D282" s="4" t="s">
        <v>544</v>
      </c>
      <c r="E282" s="4" t="s">
        <v>602</v>
      </c>
      <c r="F282" s="4" t="n">
        <f aca="false">COUNTIFS(Positions!$B$2:$B$6912,A282,Positions!$F$2:$F$6912,B282)</f>
        <v>8</v>
      </c>
      <c r="G282" s="4" t="n">
        <f aca="false">COUNTIFS(Positions!$B$2:$B$6912,A282,Positions!$F$2:$F$6912,B282,Positions!$E$2:$E$6912,"G")</f>
        <v>3</v>
      </c>
      <c r="H282" s="4" t="n">
        <f aca="false">COUNTIFS(Positions!$B$2:$B$6912,A282,Positions!$F$2:$F$6912,B282,Positions!$E$2:$E$6912,"C")</f>
        <v>0</v>
      </c>
      <c r="I282" s="3" t="n">
        <f aca="false">G282+H282</f>
        <v>3</v>
      </c>
      <c r="J282" s="6" t="n">
        <f aca="false">IF(F282=0,0,I282/F282)</f>
        <v>0.375</v>
      </c>
    </row>
    <row r="283" customFormat="false" ht="15" hidden="false" customHeight="false" outlineLevel="0" collapsed="false">
      <c r="A283" s="4" t="s">
        <v>93</v>
      </c>
      <c r="B283" s="4" t="s">
        <v>452</v>
      </c>
      <c r="C283" s="4" t="s">
        <v>547</v>
      </c>
      <c r="D283" s="4" t="s">
        <v>547</v>
      </c>
      <c r="E283" s="4" t="s">
        <v>621</v>
      </c>
      <c r="F283" s="4" t="n">
        <f aca="false">COUNTIFS(Positions!$B$2:$B$6912,A283,Positions!$F$2:$F$6912,B283)</f>
        <v>7</v>
      </c>
      <c r="G283" s="4" t="n">
        <f aca="false">COUNTIFS(Positions!$B$2:$B$6912,A283,Positions!$F$2:$F$6912,B283,Positions!$E$2:$E$6912,"G")</f>
        <v>0</v>
      </c>
      <c r="H283" s="4" t="n">
        <f aca="false">COUNTIFS(Positions!$B$2:$B$6912,A283,Positions!$F$2:$F$6912,B283,Positions!$E$2:$E$6912,"C")</f>
        <v>3</v>
      </c>
      <c r="I283" s="3" t="n">
        <f aca="false">G283+H283</f>
        <v>3</v>
      </c>
      <c r="J283" s="6" t="n">
        <f aca="false">IF(F283=0,0,I283/F283)</f>
        <v>0.428571428571429</v>
      </c>
    </row>
    <row r="284" customFormat="false" ht="15" hidden="false" customHeight="false" outlineLevel="0" collapsed="false">
      <c r="A284" s="4" t="s">
        <v>93</v>
      </c>
      <c r="B284" s="4" t="s">
        <v>465</v>
      </c>
      <c r="C284" s="4" t="s">
        <v>550</v>
      </c>
      <c r="D284" s="4" t="s">
        <v>550</v>
      </c>
      <c r="E284" s="4" t="s">
        <v>591</v>
      </c>
      <c r="F284" s="4" t="n">
        <f aca="false">COUNTIFS(Positions!$B$2:$B$6912,A284,Positions!$F$2:$F$6912,B284)</f>
        <v>5</v>
      </c>
      <c r="G284" s="4" t="n">
        <f aca="false">COUNTIFS(Positions!$B$2:$B$6912,A284,Positions!$F$2:$F$6912,B284,Positions!$E$2:$E$6912,"G")</f>
        <v>2</v>
      </c>
      <c r="H284" s="4" t="n">
        <f aca="false">COUNTIFS(Positions!$B$2:$B$6912,A284,Positions!$F$2:$F$6912,B284,Positions!$E$2:$E$6912,"C")</f>
        <v>1</v>
      </c>
      <c r="I284" s="3" t="n">
        <f aca="false">G284+H284</f>
        <v>3</v>
      </c>
      <c r="J284" s="6" t="n">
        <f aca="false">IF(F284=0,0,I284/F284)</f>
        <v>0.6</v>
      </c>
    </row>
    <row r="285" customFormat="false" ht="15" hidden="false" customHeight="false" outlineLevel="0" collapsed="false">
      <c r="A285" s="4" t="s">
        <v>93</v>
      </c>
      <c r="B285" s="4" t="s">
        <v>477</v>
      </c>
      <c r="C285" s="4" t="s">
        <v>553</v>
      </c>
      <c r="D285" s="4" t="s">
        <v>553</v>
      </c>
      <c r="E285" s="4" t="s">
        <v>660</v>
      </c>
      <c r="F285" s="4" t="n">
        <f aca="false">COUNTIFS(Positions!$B$2:$B$6912,A285,Positions!$F$2:$F$6912,B285)</f>
        <v>7</v>
      </c>
      <c r="G285" s="4" t="n">
        <f aca="false">COUNTIFS(Positions!$B$2:$B$6912,A285,Positions!$F$2:$F$6912,B285,Positions!$E$2:$E$6912,"G")</f>
        <v>1</v>
      </c>
      <c r="H285" s="4" t="n">
        <f aca="false">COUNTIFS(Positions!$B$2:$B$6912,A285,Positions!$F$2:$F$6912,B285,Positions!$E$2:$E$6912,"C")</f>
        <v>1</v>
      </c>
      <c r="I285" s="3" t="n">
        <f aca="false">G285+H285</f>
        <v>2</v>
      </c>
      <c r="J285" s="6" t="n">
        <f aca="false">IF(F285=0,0,I285/F285)</f>
        <v>0.285714285714286</v>
      </c>
    </row>
    <row r="286" customFormat="false" ht="15" hidden="false" customHeight="false" outlineLevel="0" collapsed="false">
      <c r="A286" s="7" t="s">
        <v>93</v>
      </c>
      <c r="B286" s="7" t="s">
        <v>556</v>
      </c>
      <c r="C286" s="7" t="s">
        <v>557</v>
      </c>
      <c r="D286" s="7" t="s">
        <v>557</v>
      </c>
      <c r="E286" s="7" t="s">
        <v>580</v>
      </c>
      <c r="F286" s="7" t="n">
        <f aca="false">COUNTIFS(Positions!$B$2:$B$6912,A286,Positions!$F$2:$F$6912,"Position 8")+COUNTIFS(Positions!$B$2:$B$6912,A286,Positions!$F$2:$F$6912,"Position 9")+COUNTIFS(Positions!$B$2:$B$6912,A286,Positions!$F$2:$F$6912,"Position 26")</f>
        <v>3</v>
      </c>
      <c r="G286" s="7" t="n">
        <f aca="false">COUNTIFS(Positions!$B$2:$B$6912,A286,Positions!$F$2:$F$6912,"Position 8",Positions!$E$2:$E$6912,"G")+COUNTIFS(Positions!$B$2:$B$6912,A286,Positions!$F$2:$F$6912,"Position 9",Positions!$E$2:$E$6912,"G")+COUNTIFS(Positions!$B$2:$B$6912,A286,Positions!$F$2:$F$6912,"Position 26",Positions!$E$2:$E$6912,"G")</f>
        <v>1</v>
      </c>
      <c r="H286" s="7" t="n">
        <f aca="false">COUNTIFS(Positions!$B$2:$B$6912,A286,Positions!$F$2:$F$6912,"Position 8",Positions!$E$2:$E$6912,"C")+COUNTIFS(Positions!$B$2:$B$6912,A286,Positions!$F$2:$F$6912,"Position 9",Positions!$E$2:$E$6912,"C")+COUNTIFS(Positions!$B$2:$B$6912,A286,Positions!$F$2:$F$6912,"Position 26",Positions!$E$2:$E$6912,"C")</f>
        <v>0</v>
      </c>
      <c r="I286" s="8" t="n">
        <f aca="false">G286+H286</f>
        <v>1</v>
      </c>
      <c r="J286" s="26" t="n">
        <f aca="false">IF(F286=0,0,I286/F286)</f>
        <v>0.333333333333333</v>
      </c>
    </row>
    <row r="287" customFormat="false" ht="15" hidden="false" customHeight="false" outlineLevel="0" collapsed="false">
      <c r="A287" s="4" t="s">
        <v>94</v>
      </c>
      <c r="B287" s="4" t="s">
        <v>430</v>
      </c>
      <c r="C287" s="4" t="s">
        <v>544</v>
      </c>
      <c r="D287" s="4" t="s">
        <v>544</v>
      </c>
      <c r="E287" s="4" t="s">
        <v>657</v>
      </c>
      <c r="F287" s="4" t="n">
        <f aca="false">COUNTIFS(Positions!$B$2:$B$6912,A287,Positions!$F$2:$F$6912,B287)</f>
        <v>8</v>
      </c>
      <c r="G287" s="4" t="n">
        <f aca="false">COUNTIFS(Positions!$B$2:$B$6912,A287,Positions!$F$2:$F$6912,B287,Positions!$E$2:$E$6912,"G")</f>
        <v>4</v>
      </c>
      <c r="H287" s="4" t="n">
        <f aca="false">COUNTIFS(Positions!$B$2:$B$6912,A287,Positions!$F$2:$F$6912,B287,Positions!$E$2:$E$6912,"C")</f>
        <v>0</v>
      </c>
      <c r="I287" s="3" t="n">
        <f aca="false">G287+H287</f>
        <v>4</v>
      </c>
      <c r="J287" s="6" t="n">
        <f aca="false">IF(F287=0,0,I287/F287)</f>
        <v>0.5</v>
      </c>
    </row>
    <row r="288" customFormat="false" ht="15" hidden="false" customHeight="false" outlineLevel="0" collapsed="false">
      <c r="A288" s="4" t="s">
        <v>94</v>
      </c>
      <c r="B288" s="4" t="s">
        <v>452</v>
      </c>
      <c r="C288" s="4" t="s">
        <v>547</v>
      </c>
      <c r="D288" s="4" t="s">
        <v>547</v>
      </c>
      <c r="E288" s="4" t="s">
        <v>661</v>
      </c>
      <c r="F288" s="4" t="n">
        <f aca="false">COUNTIFS(Positions!$B$2:$B$6912,A288,Positions!$F$2:$F$6912,B288)</f>
        <v>7</v>
      </c>
      <c r="G288" s="4" t="n">
        <f aca="false">COUNTIFS(Positions!$B$2:$B$6912,A288,Positions!$F$2:$F$6912,B288,Positions!$E$2:$E$6912,"G")</f>
        <v>1</v>
      </c>
      <c r="H288" s="4" t="n">
        <f aca="false">COUNTIFS(Positions!$B$2:$B$6912,A288,Positions!$F$2:$F$6912,B288,Positions!$E$2:$E$6912,"C")</f>
        <v>3</v>
      </c>
      <c r="I288" s="3" t="n">
        <f aca="false">G288+H288</f>
        <v>4</v>
      </c>
      <c r="J288" s="6" t="n">
        <f aca="false">IF(F288=0,0,I288/F288)</f>
        <v>0.571428571428571</v>
      </c>
    </row>
    <row r="289" customFormat="false" ht="15" hidden="false" customHeight="false" outlineLevel="0" collapsed="false">
      <c r="A289" s="4" t="s">
        <v>94</v>
      </c>
      <c r="B289" s="4" t="s">
        <v>465</v>
      </c>
      <c r="C289" s="4" t="s">
        <v>550</v>
      </c>
      <c r="D289" s="4" t="s">
        <v>599</v>
      </c>
      <c r="E289" s="4" t="s">
        <v>640</v>
      </c>
      <c r="F289" s="4" t="n">
        <f aca="false">COUNTIFS(Positions!$B$2:$B$6912,A289,Positions!$F$2:$F$6912,B289)</f>
        <v>4</v>
      </c>
      <c r="G289" s="4" t="n">
        <f aca="false">COUNTIFS(Positions!$B$2:$B$6912,A289,Positions!$F$2:$F$6912,B289,Positions!$E$2:$E$6912,"G")</f>
        <v>1</v>
      </c>
      <c r="H289" s="4" t="n">
        <f aca="false">COUNTIFS(Positions!$B$2:$B$6912,A289,Positions!$F$2:$F$6912,B289,Positions!$E$2:$E$6912,"C")</f>
        <v>1</v>
      </c>
      <c r="I289" s="3" t="n">
        <f aca="false">G289+H289</f>
        <v>2</v>
      </c>
      <c r="J289" s="6" t="n">
        <f aca="false">IF(F289=0,0,I289/F289)</f>
        <v>0.5</v>
      </c>
    </row>
    <row r="290" customFormat="false" ht="15" hidden="false" customHeight="false" outlineLevel="0" collapsed="false">
      <c r="A290" s="4" t="s">
        <v>94</v>
      </c>
      <c r="B290" s="4" t="s">
        <v>477</v>
      </c>
      <c r="C290" s="4" t="s">
        <v>553</v>
      </c>
      <c r="D290" s="4" t="s">
        <v>578</v>
      </c>
      <c r="E290" s="4" t="s">
        <v>601</v>
      </c>
      <c r="F290" s="4" t="n">
        <f aca="false">COUNTIFS(Positions!$B$2:$B$6912,A290,Positions!$F$2:$F$6912,B290)</f>
        <v>7</v>
      </c>
      <c r="G290" s="4" t="n">
        <f aca="false">COUNTIFS(Positions!$B$2:$B$6912,A290,Positions!$F$2:$F$6912,B290,Positions!$E$2:$E$6912,"G")</f>
        <v>1</v>
      </c>
      <c r="H290" s="4" t="n">
        <f aca="false">COUNTIFS(Positions!$B$2:$B$6912,A290,Positions!$F$2:$F$6912,B290,Positions!$E$2:$E$6912,"C")</f>
        <v>1</v>
      </c>
      <c r="I290" s="3" t="n">
        <f aca="false">G290+H290</f>
        <v>2</v>
      </c>
      <c r="J290" s="6" t="n">
        <f aca="false">IF(F290=0,0,I290/F290)</f>
        <v>0.285714285714286</v>
      </c>
    </row>
    <row r="291" customFormat="false" ht="15" hidden="false" customHeight="false" outlineLevel="0" collapsed="false">
      <c r="A291" s="7" t="s">
        <v>94</v>
      </c>
      <c r="B291" s="7" t="s">
        <v>556</v>
      </c>
      <c r="C291" s="7" t="s">
        <v>557</v>
      </c>
      <c r="D291" s="7" t="s">
        <v>557</v>
      </c>
      <c r="E291" s="7" t="s">
        <v>222</v>
      </c>
      <c r="F291" s="7" t="n">
        <f aca="false">COUNTIFS(Positions!$B$2:$B$6912,A291,Positions!$F$2:$F$6912,"Position 8")+COUNTIFS(Positions!$B$2:$B$6912,A291,Positions!$F$2:$F$6912,"Position 9")+COUNTIFS(Positions!$B$2:$B$6912,A291,Positions!$F$2:$F$6912,"Position 26")</f>
        <v>3</v>
      </c>
      <c r="G291" s="7" t="n">
        <f aca="false">COUNTIFS(Positions!$B$2:$B$6912,A291,Positions!$F$2:$F$6912,"Position 8",Positions!$E$2:$E$6912,"G")+COUNTIFS(Positions!$B$2:$B$6912,A291,Positions!$F$2:$F$6912,"Position 9",Positions!$E$2:$E$6912,"G")+COUNTIFS(Positions!$B$2:$B$6912,A291,Positions!$F$2:$F$6912,"Position 26",Positions!$E$2:$E$6912,"G")</f>
        <v>0</v>
      </c>
      <c r="H291" s="7" t="n">
        <f aca="false">COUNTIFS(Positions!$B$2:$B$6912,A291,Positions!$F$2:$F$6912,"Position 8",Positions!$E$2:$E$6912,"C")+COUNTIFS(Positions!$B$2:$B$6912,A291,Positions!$F$2:$F$6912,"Position 9",Positions!$E$2:$E$6912,"C")+COUNTIFS(Positions!$B$2:$B$6912,A291,Positions!$F$2:$F$6912,"Position 26",Positions!$E$2:$E$6912,"C")</f>
        <v>1</v>
      </c>
      <c r="I291" s="8" t="n">
        <f aca="false">G291+H291</f>
        <v>1</v>
      </c>
      <c r="J291" s="26" t="n">
        <f aca="false">IF(F291=0,0,I291/F291)</f>
        <v>0.333333333333333</v>
      </c>
    </row>
    <row r="292" customFormat="false" ht="15" hidden="false" customHeight="false" outlineLevel="0" collapsed="false">
      <c r="A292" s="4" t="s">
        <v>95</v>
      </c>
      <c r="B292" s="4" t="s">
        <v>430</v>
      </c>
      <c r="C292" s="4" t="s">
        <v>544</v>
      </c>
      <c r="D292" s="4" t="s">
        <v>544</v>
      </c>
      <c r="E292" s="4" t="s">
        <v>653</v>
      </c>
      <c r="F292" s="4" t="n">
        <f aca="false">COUNTIFS(Positions!$B$2:$B$6912,A292,Positions!$F$2:$F$6912,B292)</f>
        <v>8</v>
      </c>
      <c r="G292" s="4" t="n">
        <f aca="false">COUNTIFS(Positions!$B$2:$B$6912,A292,Positions!$F$2:$F$6912,B292,Positions!$E$2:$E$6912,"G")</f>
        <v>2</v>
      </c>
      <c r="H292" s="4" t="n">
        <f aca="false">COUNTIFS(Positions!$B$2:$B$6912,A292,Positions!$F$2:$F$6912,B292,Positions!$E$2:$E$6912,"C")</f>
        <v>0</v>
      </c>
      <c r="I292" s="3" t="n">
        <f aca="false">G292+H292</f>
        <v>2</v>
      </c>
      <c r="J292" s="6" t="n">
        <f aca="false">IF(F292=0,0,I292/F292)</f>
        <v>0.25</v>
      </c>
    </row>
    <row r="293" customFormat="false" ht="15" hidden="false" customHeight="false" outlineLevel="0" collapsed="false">
      <c r="A293" s="4" t="s">
        <v>95</v>
      </c>
      <c r="B293" s="4" t="s">
        <v>452</v>
      </c>
      <c r="C293" s="4" t="s">
        <v>547</v>
      </c>
      <c r="D293" s="4" t="s">
        <v>547</v>
      </c>
      <c r="E293" s="4" t="s">
        <v>654</v>
      </c>
      <c r="F293" s="4" t="n">
        <f aca="false">COUNTIFS(Positions!$B$2:$B$6912,A293,Positions!$F$2:$F$6912,B293)</f>
        <v>7</v>
      </c>
      <c r="G293" s="4" t="n">
        <f aca="false">COUNTIFS(Positions!$B$2:$B$6912,A293,Positions!$F$2:$F$6912,B293,Positions!$E$2:$E$6912,"G")</f>
        <v>1</v>
      </c>
      <c r="H293" s="4" t="n">
        <f aca="false">COUNTIFS(Positions!$B$2:$B$6912,A293,Positions!$F$2:$F$6912,B293,Positions!$E$2:$E$6912,"C")</f>
        <v>2</v>
      </c>
      <c r="I293" s="3" t="n">
        <f aca="false">G293+H293</f>
        <v>3</v>
      </c>
      <c r="J293" s="6" t="n">
        <f aca="false">IF(F293=0,0,I293/F293)</f>
        <v>0.428571428571429</v>
      </c>
    </row>
    <row r="294" customFormat="false" ht="15" hidden="false" customHeight="false" outlineLevel="0" collapsed="false">
      <c r="A294" s="4" t="s">
        <v>95</v>
      </c>
      <c r="B294" s="4" t="s">
        <v>465</v>
      </c>
      <c r="C294" s="4" t="s">
        <v>550</v>
      </c>
      <c r="D294" s="4" t="s">
        <v>599</v>
      </c>
      <c r="E294" s="4" t="s">
        <v>655</v>
      </c>
      <c r="F294" s="4" t="n">
        <f aca="false">COUNTIFS(Positions!$B$2:$B$6912,A294,Positions!$F$2:$F$6912,B294)</f>
        <v>4</v>
      </c>
      <c r="G294" s="4" t="n">
        <f aca="false">COUNTIFS(Positions!$B$2:$B$6912,A294,Positions!$F$2:$F$6912,B294,Positions!$E$2:$E$6912,"G")</f>
        <v>1</v>
      </c>
      <c r="H294" s="4" t="n">
        <f aca="false">COUNTIFS(Positions!$B$2:$B$6912,A294,Positions!$F$2:$F$6912,B294,Positions!$E$2:$E$6912,"C")</f>
        <v>1</v>
      </c>
      <c r="I294" s="3" t="n">
        <f aca="false">G294+H294</f>
        <v>2</v>
      </c>
      <c r="J294" s="6" t="n">
        <f aca="false">IF(F294=0,0,I294/F294)</f>
        <v>0.5</v>
      </c>
    </row>
    <row r="295" customFormat="false" ht="15" hidden="false" customHeight="false" outlineLevel="0" collapsed="false">
      <c r="A295" s="4" t="s">
        <v>95</v>
      </c>
      <c r="B295" s="4" t="s">
        <v>477</v>
      </c>
      <c r="C295" s="4" t="s">
        <v>553</v>
      </c>
      <c r="D295" s="4" t="s">
        <v>578</v>
      </c>
      <c r="E295" s="4" t="s">
        <v>570</v>
      </c>
      <c r="F295" s="4" t="n">
        <f aca="false">COUNTIFS(Positions!$B$2:$B$6912,A295,Positions!$F$2:$F$6912,B295)</f>
        <v>7</v>
      </c>
      <c r="G295" s="4" t="n">
        <f aca="false">COUNTIFS(Positions!$B$2:$B$6912,A295,Positions!$F$2:$F$6912,B295,Positions!$E$2:$E$6912,"G")</f>
        <v>0</v>
      </c>
      <c r="H295" s="4" t="n">
        <f aca="false">COUNTIFS(Positions!$B$2:$B$6912,A295,Positions!$F$2:$F$6912,B295,Positions!$E$2:$E$6912,"C")</f>
        <v>1</v>
      </c>
      <c r="I295" s="3" t="n">
        <f aca="false">G295+H295</f>
        <v>1</v>
      </c>
      <c r="J295" s="6" t="n">
        <f aca="false">IF(F295=0,0,I295/F295)</f>
        <v>0.142857142857143</v>
      </c>
    </row>
    <row r="296" customFormat="false" ht="15" hidden="false" customHeight="false" outlineLevel="0" collapsed="false">
      <c r="A296" s="7" t="s">
        <v>95</v>
      </c>
      <c r="B296" s="7" t="s">
        <v>556</v>
      </c>
      <c r="C296" s="7" t="s">
        <v>557</v>
      </c>
      <c r="D296" s="7" t="s">
        <v>557</v>
      </c>
      <c r="E296" s="7" t="s">
        <v>564</v>
      </c>
      <c r="F296" s="7" t="n">
        <f aca="false">COUNTIFS(Positions!$B$2:$B$6912,A296,Positions!$F$2:$F$6912,"Position 8")+COUNTIFS(Positions!$B$2:$B$6912,A296,Positions!$F$2:$F$6912,"Position 9")+COUNTIFS(Positions!$B$2:$B$6912,A296,Positions!$F$2:$F$6912,"Position 26")</f>
        <v>3</v>
      </c>
      <c r="G296" s="7" t="n">
        <f aca="false">COUNTIFS(Positions!$B$2:$B$6912,A296,Positions!$F$2:$F$6912,"Position 8",Positions!$E$2:$E$6912,"G")+COUNTIFS(Positions!$B$2:$B$6912,A296,Positions!$F$2:$F$6912,"Position 9",Positions!$E$2:$E$6912,"G")+COUNTIFS(Positions!$B$2:$B$6912,A296,Positions!$F$2:$F$6912,"Position 26",Positions!$E$2:$E$6912,"G")</f>
        <v>1</v>
      </c>
      <c r="H296" s="7" t="n">
        <f aca="false">COUNTIFS(Positions!$B$2:$B$6912,A296,Positions!$F$2:$F$6912,"Position 8",Positions!$E$2:$E$6912,"C")+COUNTIFS(Positions!$B$2:$B$6912,A296,Positions!$F$2:$F$6912,"Position 9",Positions!$E$2:$E$6912,"C")+COUNTIFS(Positions!$B$2:$B$6912,A296,Positions!$F$2:$F$6912,"Position 26",Positions!$E$2:$E$6912,"C")</f>
        <v>0</v>
      </c>
      <c r="I296" s="8" t="n">
        <f aca="false">G296+H296</f>
        <v>1</v>
      </c>
      <c r="J296" s="26" t="n">
        <f aca="false">IF(F296=0,0,I296/F296)</f>
        <v>0.333333333333333</v>
      </c>
    </row>
    <row r="297" customFormat="false" ht="15" hidden="false" customHeight="false" outlineLevel="0" collapsed="false">
      <c r="A297" s="4" t="s">
        <v>96</v>
      </c>
      <c r="B297" s="4" t="s">
        <v>430</v>
      </c>
      <c r="C297" s="4" t="s">
        <v>544</v>
      </c>
      <c r="D297" s="4" t="s">
        <v>544</v>
      </c>
      <c r="E297" s="4" t="s">
        <v>619</v>
      </c>
      <c r="F297" s="4" t="n">
        <f aca="false">COUNTIFS(Positions!$B$2:$B$6912,A297,Positions!$F$2:$F$6912,B297)</f>
        <v>8</v>
      </c>
      <c r="G297" s="4" t="n">
        <f aca="false">COUNTIFS(Positions!$B$2:$B$6912,A297,Positions!$F$2:$F$6912,B297,Positions!$E$2:$E$6912,"G")</f>
        <v>3</v>
      </c>
      <c r="H297" s="4" t="n">
        <f aca="false">COUNTIFS(Positions!$B$2:$B$6912,A297,Positions!$F$2:$F$6912,B297,Positions!$E$2:$E$6912,"C")</f>
        <v>1</v>
      </c>
      <c r="I297" s="3" t="n">
        <f aca="false">G297+H297</f>
        <v>4</v>
      </c>
      <c r="J297" s="6" t="n">
        <f aca="false">IF(F297=0,0,I297/F297)</f>
        <v>0.5</v>
      </c>
    </row>
    <row r="298" customFormat="false" ht="15" hidden="false" customHeight="false" outlineLevel="0" collapsed="false">
      <c r="A298" s="4" t="s">
        <v>96</v>
      </c>
      <c r="B298" s="4" t="s">
        <v>452</v>
      </c>
      <c r="C298" s="4" t="s">
        <v>547</v>
      </c>
      <c r="D298" s="4" t="s">
        <v>547</v>
      </c>
      <c r="E298" s="4" t="s">
        <v>662</v>
      </c>
      <c r="F298" s="4" t="n">
        <f aca="false">COUNTIFS(Positions!$B$2:$B$6912,A298,Positions!$F$2:$F$6912,B298)</f>
        <v>7</v>
      </c>
      <c r="G298" s="4" t="n">
        <f aca="false">COUNTIFS(Positions!$B$2:$B$6912,A298,Positions!$F$2:$F$6912,B298,Positions!$E$2:$E$6912,"G")</f>
        <v>0</v>
      </c>
      <c r="H298" s="4" t="n">
        <f aca="false">COUNTIFS(Positions!$B$2:$B$6912,A298,Positions!$F$2:$F$6912,B298,Positions!$E$2:$E$6912,"C")</f>
        <v>2</v>
      </c>
      <c r="I298" s="3" t="n">
        <f aca="false">G298+H298</f>
        <v>2</v>
      </c>
      <c r="J298" s="6" t="n">
        <f aca="false">IF(F298=0,0,I298/F298)</f>
        <v>0.285714285714286</v>
      </c>
    </row>
    <row r="299" customFormat="false" ht="15" hidden="false" customHeight="false" outlineLevel="0" collapsed="false">
      <c r="A299" s="4" t="s">
        <v>96</v>
      </c>
      <c r="B299" s="4" t="s">
        <v>465</v>
      </c>
      <c r="C299" s="4" t="s">
        <v>550</v>
      </c>
      <c r="D299" s="4" t="s">
        <v>599</v>
      </c>
      <c r="E299" s="4" t="s">
        <v>648</v>
      </c>
      <c r="F299" s="4" t="n">
        <f aca="false">COUNTIFS(Positions!$B$2:$B$6912,A299,Positions!$F$2:$F$6912,B299)</f>
        <v>4</v>
      </c>
      <c r="G299" s="4" t="n">
        <f aca="false">COUNTIFS(Positions!$B$2:$B$6912,A299,Positions!$F$2:$F$6912,B299,Positions!$E$2:$E$6912,"G")</f>
        <v>2</v>
      </c>
      <c r="H299" s="4" t="n">
        <f aca="false">COUNTIFS(Positions!$B$2:$B$6912,A299,Positions!$F$2:$F$6912,B299,Positions!$E$2:$E$6912,"C")</f>
        <v>2</v>
      </c>
      <c r="I299" s="3" t="n">
        <f aca="false">G299+H299</f>
        <v>4</v>
      </c>
      <c r="J299" s="6" t="n">
        <f aca="false">IF(F299=0,0,I299/F299)</f>
        <v>1</v>
      </c>
    </row>
    <row r="300" customFormat="false" ht="15" hidden="false" customHeight="false" outlineLevel="0" collapsed="false">
      <c r="A300" s="4" t="s">
        <v>96</v>
      </c>
      <c r="B300" s="4" t="s">
        <v>477</v>
      </c>
      <c r="C300" s="4" t="s">
        <v>553</v>
      </c>
      <c r="D300" s="4" t="s">
        <v>578</v>
      </c>
      <c r="E300" s="4" t="s">
        <v>652</v>
      </c>
      <c r="F300" s="4" t="n">
        <f aca="false">COUNTIFS(Positions!$B$2:$B$6912,A300,Positions!$F$2:$F$6912,B300)</f>
        <v>7</v>
      </c>
      <c r="G300" s="4" t="n">
        <f aca="false">COUNTIFS(Positions!$B$2:$B$6912,A300,Positions!$F$2:$F$6912,B300,Positions!$E$2:$E$6912,"G")</f>
        <v>1</v>
      </c>
      <c r="H300" s="4" t="n">
        <f aca="false">COUNTIFS(Positions!$B$2:$B$6912,A300,Positions!$F$2:$F$6912,B300,Positions!$E$2:$E$6912,"C")</f>
        <v>2</v>
      </c>
      <c r="I300" s="3" t="n">
        <f aca="false">G300+H300</f>
        <v>3</v>
      </c>
      <c r="J300" s="6" t="n">
        <f aca="false">IF(F300=0,0,I300/F300)</f>
        <v>0.428571428571429</v>
      </c>
    </row>
    <row r="301" customFormat="false" ht="15" hidden="false" customHeight="false" outlineLevel="0" collapsed="false">
      <c r="A301" s="7" t="s">
        <v>96</v>
      </c>
      <c r="B301" s="7" t="s">
        <v>556</v>
      </c>
      <c r="C301" s="7" t="s">
        <v>557</v>
      </c>
      <c r="D301" s="7" t="s">
        <v>557</v>
      </c>
      <c r="E301" s="7" t="s">
        <v>564</v>
      </c>
      <c r="F301" s="7" t="n">
        <f aca="false">COUNTIFS(Positions!$B$2:$B$6912,A301,Positions!$F$2:$F$6912,"Position 8")+COUNTIFS(Positions!$B$2:$B$6912,A301,Positions!$F$2:$F$6912,"Position 9")+COUNTIFS(Positions!$B$2:$B$6912,A301,Positions!$F$2:$F$6912,"Position 26")</f>
        <v>3</v>
      </c>
      <c r="G301" s="7" t="n">
        <f aca="false">COUNTIFS(Positions!$B$2:$B$6912,A301,Positions!$F$2:$F$6912,"Position 8",Positions!$E$2:$E$6912,"G")+COUNTIFS(Positions!$B$2:$B$6912,A301,Positions!$F$2:$F$6912,"Position 9",Positions!$E$2:$E$6912,"G")+COUNTIFS(Positions!$B$2:$B$6912,A301,Positions!$F$2:$F$6912,"Position 26",Positions!$E$2:$E$6912,"G")</f>
        <v>1</v>
      </c>
      <c r="H301" s="7" t="n">
        <f aca="false">COUNTIFS(Positions!$B$2:$B$6912,A301,Positions!$F$2:$F$6912,"Position 8",Positions!$E$2:$E$6912,"C")+COUNTIFS(Positions!$B$2:$B$6912,A301,Positions!$F$2:$F$6912,"Position 9",Positions!$E$2:$E$6912,"C")+COUNTIFS(Positions!$B$2:$B$6912,A301,Positions!$F$2:$F$6912,"Position 26",Positions!$E$2:$E$6912,"C")</f>
        <v>0</v>
      </c>
      <c r="I301" s="8" t="n">
        <f aca="false">G301+H301</f>
        <v>1</v>
      </c>
      <c r="J301" s="26" t="n">
        <f aca="false">IF(F301=0,0,I301/F301)</f>
        <v>0.333333333333333</v>
      </c>
    </row>
    <row r="302" customFormat="false" ht="15" hidden="false" customHeight="false" outlineLevel="0" collapsed="false">
      <c r="A302" s="4" t="s">
        <v>97</v>
      </c>
      <c r="B302" s="4" t="s">
        <v>430</v>
      </c>
      <c r="C302" s="4" t="s">
        <v>544</v>
      </c>
      <c r="D302" s="4" t="s">
        <v>544</v>
      </c>
      <c r="E302" s="4" t="s">
        <v>607</v>
      </c>
      <c r="F302" s="4" t="n">
        <f aca="false">COUNTIFS(Positions!$B$2:$B$6912,A302,Positions!$F$2:$F$6912,B302)</f>
        <v>8</v>
      </c>
      <c r="G302" s="4" t="n">
        <f aca="false">COUNTIFS(Positions!$B$2:$B$6912,A302,Positions!$F$2:$F$6912,B302,Positions!$E$2:$E$6912,"G")</f>
        <v>3</v>
      </c>
      <c r="H302" s="4" t="n">
        <f aca="false">COUNTIFS(Positions!$B$2:$B$6912,A302,Positions!$F$2:$F$6912,B302,Positions!$E$2:$E$6912,"C")</f>
        <v>1</v>
      </c>
      <c r="I302" s="3" t="n">
        <f aca="false">G302+H302</f>
        <v>4</v>
      </c>
      <c r="J302" s="6" t="n">
        <f aca="false">IF(F302=0,0,I302/F302)</f>
        <v>0.5</v>
      </c>
    </row>
    <row r="303" customFormat="false" ht="15" hidden="false" customHeight="false" outlineLevel="0" collapsed="false">
      <c r="A303" s="4" t="s">
        <v>97</v>
      </c>
      <c r="B303" s="4" t="s">
        <v>452</v>
      </c>
      <c r="C303" s="4" t="s">
        <v>547</v>
      </c>
      <c r="D303" s="4" t="s">
        <v>547</v>
      </c>
      <c r="E303" s="4" t="s">
        <v>608</v>
      </c>
      <c r="F303" s="4" t="n">
        <f aca="false">COUNTIFS(Positions!$B$2:$B$6912,A303,Positions!$F$2:$F$6912,B303)</f>
        <v>7</v>
      </c>
      <c r="G303" s="4" t="n">
        <f aca="false">COUNTIFS(Positions!$B$2:$B$6912,A303,Positions!$F$2:$F$6912,B303,Positions!$E$2:$E$6912,"G")</f>
        <v>0</v>
      </c>
      <c r="H303" s="4" t="n">
        <f aca="false">COUNTIFS(Positions!$B$2:$B$6912,A303,Positions!$F$2:$F$6912,B303,Positions!$E$2:$E$6912,"C")</f>
        <v>1</v>
      </c>
      <c r="I303" s="3" t="n">
        <f aca="false">G303+H303</f>
        <v>1</v>
      </c>
      <c r="J303" s="6" t="n">
        <f aca="false">IF(F303=0,0,I303/F303)</f>
        <v>0.142857142857143</v>
      </c>
    </row>
    <row r="304" customFormat="false" ht="15" hidden="false" customHeight="false" outlineLevel="0" collapsed="false">
      <c r="A304" s="4" t="s">
        <v>97</v>
      </c>
      <c r="B304" s="4" t="s">
        <v>465</v>
      </c>
      <c r="C304" s="4" t="s">
        <v>550</v>
      </c>
      <c r="D304" s="4" t="s">
        <v>550</v>
      </c>
      <c r="E304" s="4" t="s">
        <v>609</v>
      </c>
      <c r="F304" s="4" t="n">
        <f aca="false">COUNTIFS(Positions!$B$2:$B$6912,A304,Positions!$F$2:$F$6912,B304)</f>
        <v>5</v>
      </c>
      <c r="G304" s="4" t="n">
        <f aca="false">COUNTIFS(Positions!$B$2:$B$6912,A304,Positions!$F$2:$F$6912,B304,Positions!$E$2:$E$6912,"G")</f>
        <v>3</v>
      </c>
      <c r="H304" s="4" t="n">
        <f aca="false">COUNTIFS(Positions!$B$2:$B$6912,A304,Positions!$F$2:$F$6912,B304,Positions!$E$2:$E$6912,"C")</f>
        <v>1</v>
      </c>
      <c r="I304" s="3" t="n">
        <f aca="false">G304+H304</f>
        <v>4</v>
      </c>
      <c r="J304" s="6" t="n">
        <f aca="false">IF(F304=0,0,I304/F304)</f>
        <v>0.8</v>
      </c>
    </row>
    <row r="305" customFormat="false" ht="15" hidden="false" customHeight="false" outlineLevel="0" collapsed="false">
      <c r="A305" s="4" t="s">
        <v>97</v>
      </c>
      <c r="B305" s="4" t="s">
        <v>477</v>
      </c>
      <c r="C305" s="4" t="s">
        <v>553</v>
      </c>
      <c r="D305" s="4" t="s">
        <v>553</v>
      </c>
      <c r="E305" s="4" t="s">
        <v>610</v>
      </c>
      <c r="F305" s="4" t="n">
        <f aca="false">COUNTIFS(Positions!$B$2:$B$6912,A305,Positions!$F$2:$F$6912,B305)</f>
        <v>7</v>
      </c>
      <c r="G305" s="4" t="n">
        <f aca="false">COUNTIFS(Positions!$B$2:$B$6912,A305,Positions!$F$2:$F$6912,B305,Positions!$E$2:$E$6912,"G")</f>
        <v>1</v>
      </c>
      <c r="H305" s="4" t="n">
        <f aca="false">COUNTIFS(Positions!$B$2:$B$6912,A305,Positions!$F$2:$F$6912,B305,Positions!$E$2:$E$6912,"C")</f>
        <v>1</v>
      </c>
      <c r="I305" s="3" t="n">
        <f aca="false">G305+H305</f>
        <v>2</v>
      </c>
      <c r="J305" s="6" t="n">
        <f aca="false">IF(F305=0,0,I305/F305)</f>
        <v>0.285714285714286</v>
      </c>
    </row>
    <row r="306" customFormat="false" ht="15" hidden="false" customHeight="false" outlineLevel="0" collapsed="false">
      <c r="A306" s="7" t="s">
        <v>97</v>
      </c>
      <c r="B306" s="7" t="s">
        <v>556</v>
      </c>
      <c r="C306" s="7" t="s">
        <v>557</v>
      </c>
      <c r="D306" s="7" t="s">
        <v>557</v>
      </c>
      <c r="E306" s="7" t="s">
        <v>611</v>
      </c>
      <c r="F306" s="7" t="n">
        <f aca="false">COUNTIFS(Positions!$B$2:$B$6912,A306,Positions!$F$2:$F$6912,"Position 8")+COUNTIFS(Positions!$B$2:$B$6912,A306,Positions!$F$2:$F$6912,"Position 9")+COUNTIFS(Positions!$B$2:$B$6912,A306,Positions!$F$2:$F$6912,"Position 26")</f>
        <v>3</v>
      </c>
      <c r="G306" s="7" t="n">
        <f aca="false">COUNTIFS(Positions!$B$2:$B$6912,A306,Positions!$F$2:$F$6912,"Position 8",Positions!$E$2:$E$6912,"G")+COUNTIFS(Positions!$B$2:$B$6912,A306,Positions!$F$2:$F$6912,"Position 9",Positions!$E$2:$E$6912,"G")+COUNTIFS(Positions!$B$2:$B$6912,A306,Positions!$F$2:$F$6912,"Position 26",Positions!$E$2:$E$6912,"G")</f>
        <v>0</v>
      </c>
      <c r="H306" s="7" t="n">
        <f aca="false">COUNTIFS(Positions!$B$2:$B$6912,A306,Positions!$F$2:$F$6912,"Position 8",Positions!$E$2:$E$6912,"C")+COUNTIFS(Positions!$B$2:$B$6912,A306,Positions!$F$2:$F$6912,"Position 9",Positions!$E$2:$E$6912,"C")+COUNTIFS(Positions!$B$2:$B$6912,A306,Positions!$F$2:$F$6912,"Position 26",Positions!$E$2:$E$6912,"C")</f>
        <v>0</v>
      </c>
      <c r="I306" s="8" t="n">
        <f aca="false">G306+H306</f>
        <v>0</v>
      </c>
      <c r="J306" s="26" t="n">
        <f aca="false">IF(F306=0,0,I306/F306)</f>
        <v>0</v>
      </c>
    </row>
    <row r="307" customFormat="false" ht="15" hidden="false" customHeight="false" outlineLevel="0" collapsed="false">
      <c r="A307" s="4" t="s">
        <v>98</v>
      </c>
      <c r="B307" s="4" t="s">
        <v>430</v>
      </c>
      <c r="C307" s="4" t="s">
        <v>544</v>
      </c>
      <c r="D307" s="4" t="s">
        <v>544</v>
      </c>
      <c r="E307" s="4" t="s">
        <v>607</v>
      </c>
      <c r="F307" s="4" t="n">
        <f aca="false">COUNTIFS(Positions!$B$2:$B$6912,A307,Positions!$F$2:$F$6912,B307)</f>
        <v>8</v>
      </c>
      <c r="G307" s="4" t="n">
        <f aca="false">COUNTIFS(Positions!$B$2:$B$6912,A307,Positions!$F$2:$F$6912,B307,Positions!$E$2:$E$6912,"G")</f>
        <v>3</v>
      </c>
      <c r="H307" s="4" t="n">
        <f aca="false">COUNTIFS(Positions!$B$2:$B$6912,A307,Positions!$F$2:$F$6912,B307,Positions!$E$2:$E$6912,"C")</f>
        <v>1</v>
      </c>
      <c r="I307" s="3" t="n">
        <f aca="false">G307+H307</f>
        <v>4</v>
      </c>
      <c r="J307" s="6" t="n">
        <f aca="false">IF(F307=0,0,I307/F307)</f>
        <v>0.5</v>
      </c>
    </row>
    <row r="308" customFormat="false" ht="15" hidden="false" customHeight="false" outlineLevel="0" collapsed="false">
      <c r="A308" s="4" t="s">
        <v>98</v>
      </c>
      <c r="B308" s="4" t="s">
        <v>452</v>
      </c>
      <c r="C308" s="4" t="s">
        <v>547</v>
      </c>
      <c r="D308" s="4" t="s">
        <v>547</v>
      </c>
      <c r="E308" s="4" t="s">
        <v>612</v>
      </c>
      <c r="F308" s="4" t="n">
        <f aca="false">COUNTIFS(Positions!$B$2:$B$6912,A308,Positions!$F$2:$F$6912,B308)</f>
        <v>7</v>
      </c>
      <c r="G308" s="4" t="n">
        <f aca="false">COUNTIFS(Positions!$B$2:$B$6912,A308,Positions!$F$2:$F$6912,B308,Positions!$E$2:$E$6912,"G")</f>
        <v>0</v>
      </c>
      <c r="H308" s="4" t="n">
        <f aca="false">COUNTIFS(Positions!$B$2:$B$6912,A308,Positions!$F$2:$F$6912,B308,Positions!$E$2:$E$6912,"C")</f>
        <v>2</v>
      </c>
      <c r="I308" s="3" t="n">
        <f aca="false">G308+H308</f>
        <v>2</v>
      </c>
      <c r="J308" s="6" t="n">
        <f aca="false">IF(F308=0,0,I308/F308)</f>
        <v>0.285714285714286</v>
      </c>
    </row>
    <row r="309" customFormat="false" ht="15" hidden="false" customHeight="false" outlineLevel="0" collapsed="false">
      <c r="A309" s="4" t="s">
        <v>98</v>
      </c>
      <c r="B309" s="4" t="s">
        <v>465</v>
      </c>
      <c r="C309" s="4" t="s">
        <v>550</v>
      </c>
      <c r="D309" s="4" t="s">
        <v>550</v>
      </c>
      <c r="E309" s="4" t="s">
        <v>609</v>
      </c>
      <c r="F309" s="4" t="n">
        <f aca="false">COUNTIFS(Positions!$B$2:$B$6912,A309,Positions!$F$2:$F$6912,B309)</f>
        <v>5</v>
      </c>
      <c r="G309" s="4" t="n">
        <f aca="false">COUNTIFS(Positions!$B$2:$B$6912,A309,Positions!$F$2:$F$6912,B309,Positions!$E$2:$E$6912,"G")</f>
        <v>3</v>
      </c>
      <c r="H309" s="4" t="n">
        <f aca="false">COUNTIFS(Positions!$B$2:$B$6912,A309,Positions!$F$2:$F$6912,B309,Positions!$E$2:$E$6912,"C")</f>
        <v>1</v>
      </c>
      <c r="I309" s="3" t="n">
        <f aca="false">G309+H309</f>
        <v>4</v>
      </c>
      <c r="J309" s="6" t="n">
        <f aca="false">IF(F309=0,0,I309/F309)</f>
        <v>0.8</v>
      </c>
    </row>
    <row r="310" customFormat="false" ht="15" hidden="false" customHeight="false" outlineLevel="0" collapsed="false">
      <c r="A310" s="4" t="s">
        <v>98</v>
      </c>
      <c r="B310" s="4" t="s">
        <v>477</v>
      </c>
      <c r="C310" s="4" t="s">
        <v>553</v>
      </c>
      <c r="D310" s="4" t="s">
        <v>553</v>
      </c>
      <c r="E310" s="4" t="s">
        <v>613</v>
      </c>
      <c r="F310" s="4" t="n">
        <f aca="false">COUNTIFS(Positions!$B$2:$B$6912,A310,Positions!$F$2:$F$6912,B310)</f>
        <v>7</v>
      </c>
      <c r="G310" s="4" t="n">
        <f aca="false">COUNTIFS(Positions!$B$2:$B$6912,A310,Positions!$F$2:$F$6912,B310,Positions!$E$2:$E$6912,"G")</f>
        <v>2</v>
      </c>
      <c r="H310" s="4" t="n">
        <f aca="false">COUNTIFS(Positions!$B$2:$B$6912,A310,Positions!$F$2:$F$6912,B310,Positions!$E$2:$E$6912,"C")</f>
        <v>2</v>
      </c>
      <c r="I310" s="3" t="n">
        <f aca="false">G310+H310</f>
        <v>4</v>
      </c>
      <c r="J310" s="6" t="n">
        <f aca="false">IF(F310=0,0,I310/F310)</f>
        <v>0.571428571428571</v>
      </c>
    </row>
    <row r="311" customFormat="false" ht="15" hidden="false" customHeight="false" outlineLevel="0" collapsed="false">
      <c r="A311" s="7" t="s">
        <v>98</v>
      </c>
      <c r="B311" s="7" t="s">
        <v>556</v>
      </c>
      <c r="C311" s="7" t="s">
        <v>557</v>
      </c>
      <c r="D311" s="7" t="s">
        <v>557</v>
      </c>
      <c r="E311" s="7" t="s">
        <v>611</v>
      </c>
      <c r="F311" s="7" t="n">
        <f aca="false">COUNTIFS(Positions!$B$2:$B$6912,A311,Positions!$F$2:$F$6912,"Position 8")+COUNTIFS(Positions!$B$2:$B$6912,A311,Positions!$F$2:$F$6912,"Position 9")+COUNTIFS(Positions!$B$2:$B$6912,A311,Positions!$F$2:$F$6912,"Position 26")</f>
        <v>3</v>
      </c>
      <c r="G311" s="7" t="n">
        <f aca="false">COUNTIFS(Positions!$B$2:$B$6912,A311,Positions!$F$2:$F$6912,"Position 8",Positions!$E$2:$E$6912,"G")+COUNTIFS(Positions!$B$2:$B$6912,A311,Positions!$F$2:$F$6912,"Position 9",Positions!$E$2:$E$6912,"G")+COUNTIFS(Positions!$B$2:$B$6912,A311,Positions!$F$2:$F$6912,"Position 26",Positions!$E$2:$E$6912,"G")</f>
        <v>0</v>
      </c>
      <c r="H311" s="7" t="n">
        <f aca="false">COUNTIFS(Positions!$B$2:$B$6912,A311,Positions!$F$2:$F$6912,"Position 8",Positions!$E$2:$E$6912,"C")+COUNTIFS(Positions!$B$2:$B$6912,A311,Positions!$F$2:$F$6912,"Position 9",Positions!$E$2:$E$6912,"C")+COUNTIFS(Positions!$B$2:$B$6912,A311,Positions!$F$2:$F$6912,"Position 26",Positions!$E$2:$E$6912,"C")</f>
        <v>0</v>
      </c>
      <c r="I311" s="8" t="n">
        <f aca="false">G311+H311</f>
        <v>0</v>
      </c>
      <c r="J311" s="26" t="n">
        <f aca="false">IF(F311=0,0,I311/F311)</f>
        <v>0</v>
      </c>
    </row>
    <row r="312" customFormat="false" ht="15" hidden="false" customHeight="false" outlineLevel="0" collapsed="false">
      <c r="A312" s="4" t="s">
        <v>99</v>
      </c>
      <c r="B312" s="4" t="s">
        <v>430</v>
      </c>
      <c r="C312" s="4" t="s">
        <v>544</v>
      </c>
      <c r="D312" s="4" t="s">
        <v>544</v>
      </c>
      <c r="E312" s="4" t="s">
        <v>607</v>
      </c>
      <c r="F312" s="4" t="n">
        <f aca="false">COUNTIFS(Positions!$B$2:$B$6912,A312,Positions!$F$2:$F$6912,B312)</f>
        <v>8</v>
      </c>
      <c r="G312" s="4" t="n">
        <f aca="false">COUNTIFS(Positions!$B$2:$B$6912,A312,Positions!$F$2:$F$6912,B312,Positions!$E$2:$E$6912,"G")</f>
        <v>3</v>
      </c>
      <c r="H312" s="4" t="n">
        <f aca="false">COUNTIFS(Positions!$B$2:$B$6912,A312,Positions!$F$2:$F$6912,B312,Positions!$E$2:$E$6912,"C")</f>
        <v>1</v>
      </c>
      <c r="I312" s="3" t="n">
        <f aca="false">G312+H312</f>
        <v>4</v>
      </c>
      <c r="J312" s="6" t="n">
        <f aca="false">IF(F312=0,0,I312/F312)</f>
        <v>0.5</v>
      </c>
    </row>
    <row r="313" customFormat="false" ht="15" hidden="false" customHeight="false" outlineLevel="0" collapsed="false">
      <c r="A313" s="4" t="s">
        <v>99</v>
      </c>
      <c r="B313" s="4" t="s">
        <v>452</v>
      </c>
      <c r="C313" s="4" t="s">
        <v>547</v>
      </c>
      <c r="D313" s="4" t="s">
        <v>547</v>
      </c>
      <c r="E313" s="4" t="s">
        <v>612</v>
      </c>
      <c r="F313" s="4" t="n">
        <f aca="false">COUNTIFS(Positions!$B$2:$B$6912,A313,Positions!$F$2:$F$6912,B313)</f>
        <v>7</v>
      </c>
      <c r="G313" s="4" t="n">
        <f aca="false">COUNTIFS(Positions!$B$2:$B$6912,A313,Positions!$F$2:$F$6912,B313,Positions!$E$2:$E$6912,"G")</f>
        <v>0</v>
      </c>
      <c r="H313" s="4" t="n">
        <f aca="false">COUNTIFS(Positions!$B$2:$B$6912,A313,Positions!$F$2:$F$6912,B313,Positions!$E$2:$E$6912,"C")</f>
        <v>2</v>
      </c>
      <c r="I313" s="3" t="n">
        <f aca="false">G313+H313</f>
        <v>2</v>
      </c>
      <c r="J313" s="6" t="n">
        <f aca="false">IF(F313=0,0,I313/F313)</f>
        <v>0.285714285714286</v>
      </c>
    </row>
    <row r="314" customFormat="false" ht="15" hidden="false" customHeight="false" outlineLevel="0" collapsed="false">
      <c r="A314" s="4" t="s">
        <v>99</v>
      </c>
      <c r="B314" s="4" t="s">
        <v>465</v>
      </c>
      <c r="C314" s="4" t="s">
        <v>550</v>
      </c>
      <c r="D314" s="4" t="s">
        <v>550</v>
      </c>
      <c r="E314" s="4" t="s">
        <v>609</v>
      </c>
      <c r="F314" s="4" t="n">
        <f aca="false">COUNTIFS(Positions!$B$2:$B$6912,A314,Positions!$F$2:$F$6912,B314)</f>
        <v>5</v>
      </c>
      <c r="G314" s="4" t="n">
        <f aca="false">COUNTIFS(Positions!$B$2:$B$6912,A314,Positions!$F$2:$F$6912,B314,Positions!$E$2:$E$6912,"G")</f>
        <v>3</v>
      </c>
      <c r="H314" s="4" t="n">
        <f aca="false">COUNTIFS(Positions!$B$2:$B$6912,A314,Positions!$F$2:$F$6912,B314,Positions!$E$2:$E$6912,"C")</f>
        <v>1</v>
      </c>
      <c r="I314" s="3" t="n">
        <f aca="false">G314+H314</f>
        <v>4</v>
      </c>
      <c r="J314" s="6" t="n">
        <f aca="false">IF(F314=0,0,I314/F314)</f>
        <v>0.8</v>
      </c>
    </row>
    <row r="315" customFormat="false" ht="15" hidden="false" customHeight="false" outlineLevel="0" collapsed="false">
      <c r="A315" s="4" t="s">
        <v>99</v>
      </c>
      <c r="B315" s="4" t="s">
        <v>477</v>
      </c>
      <c r="C315" s="4" t="s">
        <v>553</v>
      </c>
      <c r="D315" s="4" t="s">
        <v>553</v>
      </c>
      <c r="E315" s="4" t="s">
        <v>613</v>
      </c>
      <c r="F315" s="4" t="n">
        <f aca="false">COUNTIFS(Positions!$B$2:$B$6912,A315,Positions!$F$2:$F$6912,B315)</f>
        <v>7</v>
      </c>
      <c r="G315" s="4" t="n">
        <f aca="false">COUNTIFS(Positions!$B$2:$B$6912,A315,Positions!$F$2:$F$6912,B315,Positions!$E$2:$E$6912,"G")</f>
        <v>2</v>
      </c>
      <c r="H315" s="4" t="n">
        <f aca="false">COUNTIFS(Positions!$B$2:$B$6912,A315,Positions!$F$2:$F$6912,B315,Positions!$E$2:$E$6912,"C")</f>
        <v>2</v>
      </c>
      <c r="I315" s="3" t="n">
        <f aca="false">G315+H315</f>
        <v>4</v>
      </c>
      <c r="J315" s="6" t="n">
        <f aca="false">IF(F315=0,0,I315/F315)</f>
        <v>0.571428571428571</v>
      </c>
    </row>
    <row r="316" customFormat="false" ht="15" hidden="false" customHeight="false" outlineLevel="0" collapsed="false">
      <c r="A316" s="7" t="s">
        <v>99</v>
      </c>
      <c r="B316" s="7" t="s">
        <v>556</v>
      </c>
      <c r="C316" s="7" t="s">
        <v>557</v>
      </c>
      <c r="D316" s="7" t="s">
        <v>557</v>
      </c>
      <c r="E316" s="7" t="s">
        <v>611</v>
      </c>
      <c r="F316" s="7" t="n">
        <f aca="false">COUNTIFS(Positions!$B$2:$B$6912,A316,Positions!$F$2:$F$6912,"Position 8")+COUNTIFS(Positions!$B$2:$B$6912,A316,Positions!$F$2:$F$6912,"Position 9")+COUNTIFS(Positions!$B$2:$B$6912,A316,Positions!$F$2:$F$6912,"Position 26")</f>
        <v>3</v>
      </c>
      <c r="G316" s="7" t="n">
        <f aca="false">COUNTIFS(Positions!$B$2:$B$6912,A316,Positions!$F$2:$F$6912,"Position 8",Positions!$E$2:$E$6912,"G")+COUNTIFS(Positions!$B$2:$B$6912,A316,Positions!$F$2:$F$6912,"Position 9",Positions!$E$2:$E$6912,"G")+COUNTIFS(Positions!$B$2:$B$6912,A316,Positions!$F$2:$F$6912,"Position 26",Positions!$E$2:$E$6912,"G")</f>
        <v>0</v>
      </c>
      <c r="H316" s="7" t="n">
        <f aca="false">COUNTIFS(Positions!$B$2:$B$6912,A316,Positions!$F$2:$F$6912,"Position 8",Positions!$E$2:$E$6912,"C")+COUNTIFS(Positions!$B$2:$B$6912,A316,Positions!$F$2:$F$6912,"Position 9",Positions!$E$2:$E$6912,"C")+COUNTIFS(Positions!$B$2:$B$6912,A316,Positions!$F$2:$F$6912,"Position 26",Positions!$E$2:$E$6912,"C")</f>
        <v>0</v>
      </c>
      <c r="I316" s="8" t="n">
        <f aca="false">G316+H316</f>
        <v>0</v>
      </c>
      <c r="J316" s="26" t="n">
        <f aca="false">IF(F316=0,0,I316/F316)</f>
        <v>0</v>
      </c>
    </row>
    <row r="317" customFormat="false" ht="15" hidden="false" customHeight="false" outlineLevel="0" collapsed="false">
      <c r="A317" s="4" t="s">
        <v>100</v>
      </c>
      <c r="B317" s="4" t="s">
        <v>430</v>
      </c>
      <c r="C317" s="4" t="s">
        <v>544</v>
      </c>
      <c r="D317" s="4" t="s">
        <v>572</v>
      </c>
      <c r="E317" s="4" t="s">
        <v>663</v>
      </c>
      <c r="F317" s="4" t="n">
        <f aca="false">COUNTIFS(Positions!$B$2:$B$6912,A317,Positions!$F$2:$F$6912,B317)</f>
        <v>7</v>
      </c>
      <c r="G317" s="4" t="n">
        <f aca="false">COUNTIFS(Positions!$B$2:$B$6912,A317,Positions!$F$2:$F$6912,B317,Positions!$E$2:$E$6912,"G")</f>
        <v>0</v>
      </c>
      <c r="H317" s="4" t="n">
        <f aca="false">COUNTIFS(Positions!$B$2:$B$6912,A317,Positions!$F$2:$F$6912,B317,Positions!$E$2:$E$6912,"C")</f>
        <v>2</v>
      </c>
      <c r="I317" s="3" t="n">
        <f aca="false">G317+H317</f>
        <v>2</v>
      </c>
      <c r="J317" s="6" t="n">
        <f aca="false">IF(F317=0,0,I317/F317)</f>
        <v>0.285714285714286</v>
      </c>
    </row>
    <row r="318" customFormat="false" ht="15" hidden="false" customHeight="false" outlineLevel="0" collapsed="false">
      <c r="A318" s="4" t="s">
        <v>100</v>
      </c>
      <c r="B318" s="4" t="s">
        <v>452</v>
      </c>
      <c r="C318" s="4" t="s">
        <v>547</v>
      </c>
      <c r="D318" s="4" t="s">
        <v>574</v>
      </c>
      <c r="E318" s="4" t="s">
        <v>664</v>
      </c>
      <c r="F318" s="4" t="n">
        <f aca="false">COUNTIFS(Positions!$B$2:$B$6912,A318,Positions!$F$2:$F$6912,B318)</f>
        <v>7</v>
      </c>
      <c r="G318" s="4" t="n">
        <f aca="false">COUNTIFS(Positions!$B$2:$B$6912,A318,Positions!$F$2:$F$6912,B318,Positions!$E$2:$E$6912,"G")</f>
        <v>0</v>
      </c>
      <c r="H318" s="4" t="n">
        <f aca="false">COUNTIFS(Positions!$B$2:$B$6912,A318,Positions!$F$2:$F$6912,B318,Positions!$E$2:$E$6912,"C")</f>
        <v>4</v>
      </c>
      <c r="I318" s="3" t="n">
        <f aca="false">G318+H318</f>
        <v>4</v>
      </c>
      <c r="J318" s="6" t="n">
        <f aca="false">IF(F318=0,0,I318/F318)</f>
        <v>0.571428571428571</v>
      </c>
    </row>
    <row r="319" customFormat="false" ht="15" hidden="false" customHeight="false" outlineLevel="0" collapsed="false">
      <c r="A319" s="4" t="s">
        <v>100</v>
      </c>
      <c r="B319" s="4" t="s">
        <v>465</v>
      </c>
      <c r="C319" s="4" t="s">
        <v>665</v>
      </c>
      <c r="D319" s="4" t="s">
        <v>666</v>
      </c>
      <c r="E319" s="4" t="s">
        <v>246</v>
      </c>
      <c r="F319" s="4" t="n">
        <f aca="false">COUNTIFS(Positions!$B$2:$B$6912,A319,Positions!$F$2:$F$6912,B319)</f>
        <v>1</v>
      </c>
      <c r="G319" s="4" t="n">
        <f aca="false">COUNTIFS(Positions!$B$2:$B$6912,A319,Positions!$F$2:$F$6912,B319,Positions!$E$2:$E$6912,"G")</f>
        <v>0</v>
      </c>
      <c r="H319" s="4" t="n">
        <f aca="false">COUNTIFS(Positions!$B$2:$B$6912,A319,Positions!$F$2:$F$6912,B319,Positions!$E$2:$E$6912,"C")</f>
        <v>0</v>
      </c>
      <c r="I319" s="3" t="n">
        <f aca="false">G319+H319</f>
        <v>0</v>
      </c>
      <c r="J319" s="6" t="n">
        <f aca="false">IF(F319=0,0,I319/F319)</f>
        <v>0</v>
      </c>
    </row>
    <row r="320" customFormat="false" ht="15" hidden="false" customHeight="false" outlineLevel="0" collapsed="false">
      <c r="A320" s="4" t="s">
        <v>100</v>
      </c>
      <c r="B320" s="4" t="s">
        <v>477</v>
      </c>
      <c r="C320" s="4" t="s">
        <v>553</v>
      </c>
      <c r="D320" s="4" t="s">
        <v>667</v>
      </c>
      <c r="E320" s="4" t="s">
        <v>668</v>
      </c>
      <c r="F320" s="4" t="n">
        <f aca="false">COUNTIFS(Positions!$B$2:$B$6912,A320,Positions!$F$2:$F$6912,B320)</f>
        <v>7</v>
      </c>
      <c r="G320" s="4" t="n">
        <f aca="false">COUNTIFS(Positions!$B$2:$B$6912,A320,Positions!$F$2:$F$6912,B320,Positions!$E$2:$E$6912,"G")</f>
        <v>0</v>
      </c>
      <c r="H320" s="4" t="n">
        <f aca="false">COUNTIFS(Positions!$B$2:$B$6912,A320,Positions!$F$2:$F$6912,B320,Positions!$E$2:$E$6912,"C")</f>
        <v>1</v>
      </c>
      <c r="I320" s="3" t="n">
        <f aca="false">G320+H320</f>
        <v>1</v>
      </c>
      <c r="J320" s="6" t="n">
        <f aca="false">IF(F320=0,0,I320/F320)</f>
        <v>0.142857142857143</v>
      </c>
    </row>
    <row r="321" customFormat="false" ht="15" hidden="false" customHeight="false" outlineLevel="0" collapsed="false">
      <c r="A321" s="7" t="s">
        <v>100</v>
      </c>
      <c r="B321" s="7" t="s">
        <v>556</v>
      </c>
      <c r="C321" s="7" t="s">
        <v>557</v>
      </c>
      <c r="D321" s="7" t="s">
        <v>579</v>
      </c>
      <c r="E321" s="7" t="s">
        <v>611</v>
      </c>
      <c r="F321" s="7" t="n">
        <f aca="false">COUNTIFS(Positions!$B$2:$B$6912,A321,Positions!$F$2:$F$6912,"Position 8")+COUNTIFS(Positions!$B$2:$B$6912,A321,Positions!$F$2:$F$6912,"Position 9")+COUNTIFS(Positions!$B$2:$B$6912,A321,Positions!$F$2:$F$6912,"Position 26")</f>
        <v>3</v>
      </c>
      <c r="G321" s="7" t="n">
        <f aca="false">COUNTIFS(Positions!$B$2:$B$6912,A321,Positions!$F$2:$F$6912,"Position 8",Positions!$E$2:$E$6912,"G")+COUNTIFS(Positions!$B$2:$B$6912,A321,Positions!$F$2:$F$6912,"Position 9",Positions!$E$2:$E$6912,"G")+COUNTIFS(Positions!$B$2:$B$6912,A321,Positions!$F$2:$F$6912,"Position 26",Positions!$E$2:$E$6912,"G")</f>
        <v>0</v>
      </c>
      <c r="H321" s="7" t="n">
        <f aca="false">COUNTIFS(Positions!$B$2:$B$6912,A321,Positions!$F$2:$F$6912,"Position 8",Positions!$E$2:$E$6912,"C")+COUNTIFS(Positions!$B$2:$B$6912,A321,Positions!$F$2:$F$6912,"Position 9",Positions!$E$2:$E$6912,"C")+COUNTIFS(Positions!$B$2:$B$6912,A321,Positions!$F$2:$F$6912,"Position 26",Positions!$E$2:$E$6912,"C")</f>
        <v>0</v>
      </c>
      <c r="I321" s="8" t="n">
        <f aca="false">G321+H321</f>
        <v>0</v>
      </c>
      <c r="J321" s="26" t="n">
        <f aca="false">IF(F321=0,0,I321/F321)</f>
        <v>0</v>
      </c>
    </row>
    <row r="322" customFormat="false" ht="15" hidden="false" customHeight="false" outlineLevel="0" collapsed="false">
      <c r="A322" s="4" t="s">
        <v>101</v>
      </c>
      <c r="B322" s="4" t="s">
        <v>430</v>
      </c>
      <c r="C322" s="4" t="s">
        <v>544</v>
      </c>
      <c r="D322" s="4" t="s">
        <v>572</v>
      </c>
      <c r="E322" s="4" t="s">
        <v>669</v>
      </c>
      <c r="F322" s="4" t="n">
        <f aca="false">COUNTIFS(Positions!$B$2:$B$6912,A322,Positions!$F$2:$F$6912,B322)</f>
        <v>7</v>
      </c>
      <c r="G322" s="4" t="n">
        <f aca="false">COUNTIFS(Positions!$B$2:$B$6912,A322,Positions!$F$2:$F$6912,B322,Positions!$E$2:$E$6912,"G")</f>
        <v>2</v>
      </c>
      <c r="H322" s="4" t="n">
        <f aca="false">COUNTIFS(Positions!$B$2:$B$6912,A322,Positions!$F$2:$F$6912,B322,Positions!$E$2:$E$6912,"C")</f>
        <v>0</v>
      </c>
      <c r="I322" s="3" t="n">
        <f aca="false">G322+H322</f>
        <v>2</v>
      </c>
      <c r="J322" s="6" t="n">
        <f aca="false">IF(F322=0,0,I322/F322)</f>
        <v>0.285714285714286</v>
      </c>
    </row>
    <row r="323" customFormat="false" ht="15" hidden="false" customHeight="false" outlineLevel="0" collapsed="false">
      <c r="A323" s="4" t="s">
        <v>101</v>
      </c>
      <c r="B323" s="4" t="s">
        <v>452</v>
      </c>
      <c r="C323" s="4" t="s">
        <v>547</v>
      </c>
      <c r="D323" s="4" t="s">
        <v>574</v>
      </c>
      <c r="E323" s="4" t="s">
        <v>670</v>
      </c>
      <c r="F323" s="4" t="n">
        <f aca="false">COUNTIFS(Positions!$B$2:$B$6912,A323,Positions!$F$2:$F$6912,B323)</f>
        <v>7</v>
      </c>
      <c r="G323" s="4" t="n">
        <f aca="false">COUNTIFS(Positions!$B$2:$B$6912,A323,Positions!$F$2:$F$6912,B323,Positions!$E$2:$E$6912,"G")</f>
        <v>0</v>
      </c>
      <c r="H323" s="4" t="n">
        <f aca="false">COUNTIFS(Positions!$B$2:$B$6912,A323,Positions!$F$2:$F$6912,B323,Positions!$E$2:$E$6912,"C")</f>
        <v>3</v>
      </c>
      <c r="I323" s="3" t="n">
        <f aca="false">G323+H323</f>
        <v>3</v>
      </c>
      <c r="J323" s="6" t="n">
        <f aca="false">IF(F323=0,0,I323/F323)</f>
        <v>0.428571428571429</v>
      </c>
    </row>
    <row r="324" customFormat="false" ht="15" hidden="false" customHeight="false" outlineLevel="0" collapsed="false">
      <c r="A324" s="4" t="s">
        <v>101</v>
      </c>
      <c r="B324" s="4" t="s">
        <v>465</v>
      </c>
      <c r="C324" s="4" t="s">
        <v>550</v>
      </c>
      <c r="D324" s="4" t="s">
        <v>671</v>
      </c>
      <c r="E324" s="4" t="s">
        <v>672</v>
      </c>
      <c r="F324" s="4" t="n">
        <f aca="false">COUNTIFS(Positions!$B$2:$B$6912,A324,Positions!$F$2:$F$6912,B324)</f>
        <v>4</v>
      </c>
      <c r="G324" s="4" t="n">
        <f aca="false">COUNTIFS(Positions!$B$2:$B$6912,A324,Positions!$F$2:$F$6912,B324,Positions!$E$2:$E$6912,"G")</f>
        <v>0</v>
      </c>
      <c r="H324" s="4" t="n">
        <f aca="false">COUNTIFS(Positions!$B$2:$B$6912,A324,Positions!$F$2:$F$6912,B324,Positions!$E$2:$E$6912,"C")</f>
        <v>1</v>
      </c>
      <c r="I324" s="3" t="n">
        <f aca="false">G324+H324</f>
        <v>1</v>
      </c>
      <c r="J324" s="6" t="n">
        <f aca="false">IF(F324=0,0,I324/F324)</f>
        <v>0.25</v>
      </c>
    </row>
    <row r="325" customFormat="false" ht="15" hidden="false" customHeight="false" outlineLevel="0" collapsed="false">
      <c r="A325" s="4" t="s">
        <v>101</v>
      </c>
      <c r="B325" s="4" t="s">
        <v>477</v>
      </c>
      <c r="C325" s="4" t="s">
        <v>553</v>
      </c>
      <c r="D325" s="4" t="s">
        <v>673</v>
      </c>
      <c r="E325" s="4" t="s">
        <v>601</v>
      </c>
      <c r="F325" s="4" t="n">
        <f aca="false">COUNTIFS(Positions!$B$2:$B$6912,A325,Positions!$F$2:$F$6912,B325)</f>
        <v>7</v>
      </c>
      <c r="G325" s="4" t="n">
        <f aca="false">COUNTIFS(Positions!$B$2:$B$6912,A325,Positions!$F$2:$F$6912,B325,Positions!$E$2:$E$6912,"G")</f>
        <v>1</v>
      </c>
      <c r="H325" s="4" t="n">
        <f aca="false">COUNTIFS(Positions!$B$2:$B$6912,A325,Positions!$F$2:$F$6912,B325,Positions!$E$2:$E$6912,"C")</f>
        <v>1</v>
      </c>
      <c r="I325" s="3" t="n">
        <f aca="false">G325+H325</f>
        <v>2</v>
      </c>
      <c r="J325" s="6" t="n">
        <f aca="false">IF(F325=0,0,I325/F325)</f>
        <v>0.285714285714286</v>
      </c>
    </row>
    <row r="326" customFormat="false" ht="15" hidden="false" customHeight="false" outlineLevel="0" collapsed="false">
      <c r="A326" s="7" t="s">
        <v>101</v>
      </c>
      <c r="B326" s="7" t="s">
        <v>556</v>
      </c>
      <c r="C326" s="7" t="s">
        <v>557</v>
      </c>
      <c r="D326" s="7" t="s">
        <v>579</v>
      </c>
      <c r="E326" s="7" t="s">
        <v>580</v>
      </c>
      <c r="F326" s="7" t="n">
        <f aca="false">COUNTIFS(Positions!$B$2:$B$6912,A326,Positions!$F$2:$F$6912,"Position 8")+COUNTIFS(Positions!$B$2:$B$6912,A326,Positions!$F$2:$F$6912,"Position 9")+COUNTIFS(Positions!$B$2:$B$6912,A326,Positions!$F$2:$F$6912,"Position 26")</f>
        <v>3</v>
      </c>
      <c r="G326" s="7" t="n">
        <f aca="false">COUNTIFS(Positions!$B$2:$B$6912,A326,Positions!$F$2:$F$6912,"Position 8",Positions!$E$2:$E$6912,"G")+COUNTIFS(Positions!$B$2:$B$6912,A326,Positions!$F$2:$F$6912,"Position 9",Positions!$E$2:$E$6912,"G")+COUNTIFS(Positions!$B$2:$B$6912,A326,Positions!$F$2:$F$6912,"Position 26",Positions!$E$2:$E$6912,"G")</f>
        <v>1</v>
      </c>
      <c r="H326" s="7" t="n">
        <f aca="false">COUNTIFS(Positions!$B$2:$B$6912,A326,Positions!$F$2:$F$6912,"Position 8",Positions!$E$2:$E$6912,"C")+COUNTIFS(Positions!$B$2:$B$6912,A326,Positions!$F$2:$F$6912,"Position 9",Positions!$E$2:$E$6912,"C")+COUNTIFS(Positions!$B$2:$B$6912,A326,Positions!$F$2:$F$6912,"Position 26",Positions!$E$2:$E$6912,"C")</f>
        <v>0</v>
      </c>
      <c r="I326" s="8" t="n">
        <f aca="false">G326+H326</f>
        <v>1</v>
      </c>
      <c r="J326" s="26" t="n">
        <f aca="false">IF(F326=0,0,I326/F326)</f>
        <v>0.333333333333333</v>
      </c>
    </row>
    <row r="327" customFormat="false" ht="15" hidden="false" customHeight="false" outlineLevel="0" collapsed="false">
      <c r="A327" s="4" t="s">
        <v>102</v>
      </c>
      <c r="B327" s="4" t="s">
        <v>430</v>
      </c>
      <c r="C327" s="4" t="s">
        <v>544</v>
      </c>
      <c r="D327" s="4" t="s">
        <v>544</v>
      </c>
      <c r="E327" s="4" t="s">
        <v>674</v>
      </c>
      <c r="F327" s="4" t="n">
        <f aca="false">COUNTIFS(Positions!$B$2:$B$6912,A327,Positions!$F$2:$F$6912,B327)</f>
        <v>8</v>
      </c>
      <c r="G327" s="4" t="n">
        <f aca="false">COUNTIFS(Positions!$B$2:$B$6912,A327,Positions!$F$2:$F$6912,B327,Positions!$E$2:$E$6912,"G")</f>
        <v>2</v>
      </c>
      <c r="H327" s="4" t="n">
        <f aca="false">COUNTIFS(Positions!$B$2:$B$6912,A327,Positions!$F$2:$F$6912,B327,Positions!$E$2:$E$6912,"C")</f>
        <v>1</v>
      </c>
      <c r="I327" s="3" t="n">
        <f aca="false">G327+H327</f>
        <v>3</v>
      </c>
      <c r="J327" s="6" t="n">
        <f aca="false">IF(F327=0,0,I327/F327)</f>
        <v>0.375</v>
      </c>
    </row>
    <row r="328" customFormat="false" ht="15" hidden="false" customHeight="false" outlineLevel="0" collapsed="false">
      <c r="A328" s="4" t="s">
        <v>102</v>
      </c>
      <c r="B328" s="4" t="s">
        <v>452</v>
      </c>
      <c r="C328" s="4" t="s">
        <v>547</v>
      </c>
      <c r="D328" s="4" t="s">
        <v>547</v>
      </c>
      <c r="E328" s="4" t="s">
        <v>675</v>
      </c>
      <c r="F328" s="4" t="n">
        <f aca="false">COUNTIFS(Positions!$B$2:$B$6912,A328,Positions!$F$2:$F$6912,B328)</f>
        <v>7</v>
      </c>
      <c r="G328" s="4" t="n">
        <f aca="false">COUNTIFS(Positions!$B$2:$B$6912,A328,Positions!$F$2:$F$6912,B328,Positions!$E$2:$E$6912,"G")</f>
        <v>0</v>
      </c>
      <c r="H328" s="4" t="n">
        <f aca="false">COUNTIFS(Positions!$B$2:$B$6912,A328,Positions!$F$2:$F$6912,B328,Positions!$E$2:$E$6912,"C")</f>
        <v>3</v>
      </c>
      <c r="I328" s="3" t="n">
        <f aca="false">G328+H328</f>
        <v>3</v>
      </c>
      <c r="J328" s="6" t="n">
        <f aca="false">IF(F328=0,0,I328/F328)</f>
        <v>0.428571428571429</v>
      </c>
    </row>
    <row r="329" customFormat="false" ht="15" hidden="false" customHeight="false" outlineLevel="0" collapsed="false">
      <c r="A329" s="4" t="s">
        <v>102</v>
      </c>
      <c r="B329" s="4" t="s">
        <v>465</v>
      </c>
      <c r="C329" s="4" t="s">
        <v>550</v>
      </c>
      <c r="D329" s="4" t="s">
        <v>599</v>
      </c>
      <c r="E329" s="4" t="s">
        <v>676</v>
      </c>
      <c r="F329" s="4" t="n">
        <f aca="false">COUNTIFS(Positions!$B$2:$B$6912,A329,Positions!$F$2:$F$6912,B329)</f>
        <v>4</v>
      </c>
      <c r="G329" s="4" t="n">
        <f aca="false">COUNTIFS(Positions!$B$2:$B$6912,A329,Positions!$F$2:$F$6912,B329,Positions!$E$2:$E$6912,"G")</f>
        <v>1</v>
      </c>
      <c r="H329" s="4" t="n">
        <f aca="false">COUNTIFS(Positions!$B$2:$B$6912,A329,Positions!$F$2:$F$6912,B329,Positions!$E$2:$E$6912,"C")</f>
        <v>0</v>
      </c>
      <c r="I329" s="3" t="n">
        <f aca="false">G329+H329</f>
        <v>1</v>
      </c>
      <c r="J329" s="6" t="n">
        <f aca="false">IF(F329=0,0,I329/F329)</f>
        <v>0.25</v>
      </c>
    </row>
    <row r="330" customFormat="false" ht="15" hidden="false" customHeight="false" outlineLevel="0" collapsed="false">
      <c r="A330" s="4" t="s">
        <v>102</v>
      </c>
      <c r="B330" s="4" t="s">
        <v>477</v>
      </c>
      <c r="C330" s="4" t="s">
        <v>553</v>
      </c>
      <c r="D330" s="4" t="s">
        <v>578</v>
      </c>
      <c r="E330" s="4" t="s">
        <v>601</v>
      </c>
      <c r="F330" s="4" t="n">
        <f aca="false">COUNTIFS(Positions!$B$2:$B$6912,A330,Positions!$F$2:$F$6912,B330)</f>
        <v>7</v>
      </c>
      <c r="G330" s="4" t="n">
        <f aca="false">COUNTIFS(Positions!$B$2:$B$6912,A330,Positions!$F$2:$F$6912,B330,Positions!$E$2:$E$6912,"G")</f>
        <v>1</v>
      </c>
      <c r="H330" s="4" t="n">
        <f aca="false">COUNTIFS(Positions!$B$2:$B$6912,A330,Positions!$F$2:$F$6912,B330,Positions!$E$2:$E$6912,"C")</f>
        <v>1</v>
      </c>
      <c r="I330" s="3" t="n">
        <f aca="false">G330+H330</f>
        <v>2</v>
      </c>
      <c r="J330" s="6" t="n">
        <f aca="false">IF(F330=0,0,I330/F330)</f>
        <v>0.285714285714286</v>
      </c>
    </row>
    <row r="331" customFormat="false" ht="15" hidden="false" customHeight="false" outlineLevel="0" collapsed="false">
      <c r="A331" s="7" t="s">
        <v>102</v>
      </c>
      <c r="B331" s="7" t="s">
        <v>556</v>
      </c>
      <c r="C331" s="7" t="s">
        <v>557</v>
      </c>
      <c r="D331" s="7" t="s">
        <v>557</v>
      </c>
      <c r="E331" s="7" t="s">
        <v>335</v>
      </c>
      <c r="F331" s="7" t="n">
        <f aca="false">COUNTIFS(Positions!$B$2:$B$6912,A331,Positions!$F$2:$F$6912,"Position 8")+COUNTIFS(Positions!$B$2:$B$6912,A331,Positions!$F$2:$F$6912,"Position 9")+COUNTIFS(Positions!$B$2:$B$6912,A331,Positions!$F$2:$F$6912,"Position 26")</f>
        <v>3</v>
      </c>
      <c r="G331" s="7" t="n">
        <f aca="false">COUNTIFS(Positions!$B$2:$B$6912,A331,Positions!$F$2:$F$6912,"Position 8",Positions!$E$2:$E$6912,"G")+COUNTIFS(Positions!$B$2:$B$6912,A331,Positions!$F$2:$F$6912,"Position 9",Positions!$E$2:$E$6912,"G")+COUNTIFS(Positions!$B$2:$B$6912,A331,Positions!$F$2:$F$6912,"Position 26",Positions!$E$2:$E$6912,"G")</f>
        <v>0</v>
      </c>
      <c r="H331" s="7" t="n">
        <f aca="false">COUNTIFS(Positions!$B$2:$B$6912,A331,Positions!$F$2:$F$6912,"Position 8",Positions!$E$2:$E$6912,"C")+COUNTIFS(Positions!$B$2:$B$6912,A331,Positions!$F$2:$F$6912,"Position 9",Positions!$E$2:$E$6912,"C")+COUNTIFS(Positions!$B$2:$B$6912,A331,Positions!$F$2:$F$6912,"Position 26",Positions!$E$2:$E$6912,"C")</f>
        <v>2</v>
      </c>
      <c r="I331" s="8" t="n">
        <f aca="false">G331+H331</f>
        <v>2</v>
      </c>
      <c r="J331" s="26" t="n">
        <f aca="false">IF(F331=0,0,I331/F331)</f>
        <v>0.666666666666667</v>
      </c>
    </row>
    <row r="332" customFormat="false" ht="15" hidden="false" customHeight="false" outlineLevel="0" collapsed="false">
      <c r="A332" s="4" t="s">
        <v>103</v>
      </c>
      <c r="B332" s="4" t="s">
        <v>430</v>
      </c>
      <c r="C332" s="4" t="s">
        <v>544</v>
      </c>
      <c r="D332" s="4" t="s">
        <v>544</v>
      </c>
      <c r="E332" s="4" t="s">
        <v>617</v>
      </c>
      <c r="F332" s="4" t="n">
        <f aca="false">COUNTIFS(Positions!$B$2:$B$6912,A332,Positions!$F$2:$F$6912,B332)</f>
        <v>8</v>
      </c>
      <c r="G332" s="4" t="n">
        <f aca="false">COUNTIFS(Positions!$B$2:$B$6912,A332,Positions!$F$2:$F$6912,B332,Positions!$E$2:$E$6912,"G")</f>
        <v>3</v>
      </c>
      <c r="H332" s="4" t="n">
        <f aca="false">COUNTIFS(Positions!$B$2:$B$6912,A332,Positions!$F$2:$F$6912,B332,Positions!$E$2:$E$6912,"C")</f>
        <v>0</v>
      </c>
      <c r="I332" s="3" t="n">
        <f aca="false">G332+H332</f>
        <v>3</v>
      </c>
      <c r="J332" s="6" t="n">
        <f aca="false">IF(F332=0,0,I332/F332)</f>
        <v>0.375</v>
      </c>
    </row>
    <row r="333" customFormat="false" ht="15" hidden="false" customHeight="false" outlineLevel="0" collapsed="false">
      <c r="A333" s="4" t="s">
        <v>103</v>
      </c>
      <c r="B333" s="4" t="s">
        <v>452</v>
      </c>
      <c r="C333" s="4" t="s">
        <v>547</v>
      </c>
      <c r="D333" s="4" t="s">
        <v>547</v>
      </c>
      <c r="E333" s="4" t="s">
        <v>677</v>
      </c>
      <c r="F333" s="4" t="n">
        <f aca="false">COUNTIFS(Positions!$B$2:$B$6912,A333,Positions!$F$2:$F$6912,B333)</f>
        <v>7</v>
      </c>
      <c r="G333" s="4" t="n">
        <f aca="false">COUNTIFS(Positions!$B$2:$B$6912,A333,Positions!$F$2:$F$6912,B333,Positions!$E$2:$E$6912,"G")</f>
        <v>2</v>
      </c>
      <c r="H333" s="4" t="n">
        <f aca="false">COUNTIFS(Positions!$B$2:$B$6912,A333,Positions!$F$2:$F$6912,B333,Positions!$E$2:$E$6912,"C")</f>
        <v>0</v>
      </c>
      <c r="I333" s="3" t="n">
        <f aca="false">G333+H333</f>
        <v>2</v>
      </c>
      <c r="J333" s="6" t="n">
        <f aca="false">IF(F333=0,0,I333/F333)</f>
        <v>0.285714285714286</v>
      </c>
    </row>
    <row r="334" customFormat="false" ht="15" hidden="false" customHeight="false" outlineLevel="0" collapsed="false">
      <c r="A334" s="4" t="s">
        <v>103</v>
      </c>
      <c r="B334" s="4" t="s">
        <v>465</v>
      </c>
      <c r="C334" s="4" t="s">
        <v>550</v>
      </c>
      <c r="D334" s="4" t="s">
        <v>550</v>
      </c>
      <c r="E334" s="4" t="s">
        <v>678</v>
      </c>
      <c r="F334" s="4" t="n">
        <f aca="false">COUNTIFS(Positions!$B$2:$B$6912,A334,Positions!$F$2:$F$6912,B334)</f>
        <v>5</v>
      </c>
      <c r="G334" s="4" t="n">
        <f aca="false">COUNTIFS(Positions!$B$2:$B$6912,A334,Positions!$F$2:$F$6912,B334,Positions!$E$2:$E$6912,"G")</f>
        <v>1</v>
      </c>
      <c r="H334" s="4" t="n">
        <f aca="false">COUNTIFS(Positions!$B$2:$B$6912,A334,Positions!$F$2:$F$6912,B334,Positions!$E$2:$E$6912,"C")</f>
        <v>1</v>
      </c>
      <c r="I334" s="3" t="n">
        <f aca="false">G334+H334</f>
        <v>2</v>
      </c>
      <c r="J334" s="6" t="n">
        <f aca="false">IF(F334=0,0,I334/F334)</f>
        <v>0.4</v>
      </c>
    </row>
    <row r="335" customFormat="false" ht="15" hidden="false" customHeight="false" outlineLevel="0" collapsed="false">
      <c r="A335" s="4" t="s">
        <v>103</v>
      </c>
      <c r="B335" s="4" t="s">
        <v>477</v>
      </c>
      <c r="C335" s="4" t="s">
        <v>553</v>
      </c>
      <c r="D335" s="4" t="s">
        <v>553</v>
      </c>
      <c r="E335" s="4" t="s">
        <v>563</v>
      </c>
      <c r="F335" s="4" t="n">
        <f aca="false">COUNTIFS(Positions!$B$2:$B$6912,A335,Positions!$F$2:$F$6912,B335)</f>
        <v>7</v>
      </c>
      <c r="G335" s="4" t="n">
        <f aca="false">COUNTIFS(Positions!$B$2:$B$6912,A335,Positions!$F$2:$F$6912,B335,Positions!$E$2:$E$6912,"G")</f>
        <v>1</v>
      </c>
      <c r="H335" s="4" t="n">
        <f aca="false">COUNTIFS(Positions!$B$2:$B$6912,A335,Positions!$F$2:$F$6912,B335,Positions!$E$2:$E$6912,"C")</f>
        <v>1</v>
      </c>
      <c r="I335" s="3" t="n">
        <f aca="false">G335+H335</f>
        <v>2</v>
      </c>
      <c r="J335" s="6" t="n">
        <f aca="false">IF(F335=0,0,I335/F335)</f>
        <v>0.285714285714286</v>
      </c>
    </row>
    <row r="336" customFormat="false" ht="15" hidden="false" customHeight="false" outlineLevel="0" collapsed="false">
      <c r="A336" s="7" t="s">
        <v>103</v>
      </c>
      <c r="B336" s="7" t="s">
        <v>556</v>
      </c>
      <c r="C336" s="7" t="s">
        <v>557</v>
      </c>
      <c r="D336" s="7" t="s">
        <v>557</v>
      </c>
      <c r="E336" s="7" t="s">
        <v>222</v>
      </c>
      <c r="F336" s="7" t="n">
        <f aca="false">COUNTIFS(Positions!$B$2:$B$6912,A336,Positions!$F$2:$F$6912,"Position 8")+COUNTIFS(Positions!$B$2:$B$6912,A336,Positions!$F$2:$F$6912,"Position 9")+COUNTIFS(Positions!$B$2:$B$6912,A336,Positions!$F$2:$F$6912,"Position 26")</f>
        <v>3</v>
      </c>
      <c r="G336" s="7" t="n">
        <f aca="false">COUNTIFS(Positions!$B$2:$B$6912,A336,Positions!$F$2:$F$6912,"Position 8",Positions!$E$2:$E$6912,"G")+COUNTIFS(Positions!$B$2:$B$6912,A336,Positions!$F$2:$F$6912,"Position 9",Positions!$E$2:$E$6912,"G")+COUNTIFS(Positions!$B$2:$B$6912,A336,Positions!$F$2:$F$6912,"Position 26",Positions!$E$2:$E$6912,"G")</f>
        <v>0</v>
      </c>
      <c r="H336" s="7" t="n">
        <f aca="false">COUNTIFS(Positions!$B$2:$B$6912,A336,Positions!$F$2:$F$6912,"Position 8",Positions!$E$2:$E$6912,"C")+COUNTIFS(Positions!$B$2:$B$6912,A336,Positions!$F$2:$F$6912,"Position 9",Positions!$E$2:$E$6912,"C")+COUNTIFS(Positions!$B$2:$B$6912,A336,Positions!$F$2:$F$6912,"Position 26",Positions!$E$2:$E$6912,"C")</f>
        <v>1</v>
      </c>
      <c r="I336" s="8" t="n">
        <f aca="false">G336+H336</f>
        <v>1</v>
      </c>
      <c r="J336" s="26" t="n">
        <f aca="false">IF(F336=0,0,I336/F336)</f>
        <v>0.333333333333333</v>
      </c>
    </row>
    <row r="337" customFormat="false" ht="15" hidden="false" customHeight="false" outlineLevel="0" collapsed="false">
      <c r="A337" s="4" t="s">
        <v>104</v>
      </c>
      <c r="B337" s="4" t="s">
        <v>430</v>
      </c>
      <c r="C337" s="4" t="s">
        <v>544</v>
      </c>
      <c r="D337" s="4" t="s">
        <v>545</v>
      </c>
      <c r="E337" s="4" t="s">
        <v>679</v>
      </c>
      <c r="F337" s="4" t="n">
        <f aca="false">COUNTIFS(Positions!$B$2:$B$6912,A337,Positions!$F$2:$F$6912,B337)</f>
        <v>9</v>
      </c>
      <c r="G337" s="4" t="n">
        <f aca="false">COUNTIFS(Positions!$B$2:$B$6912,A337,Positions!$F$2:$F$6912,B337,Positions!$E$2:$E$6912,"G")</f>
        <v>3</v>
      </c>
      <c r="H337" s="4" t="n">
        <f aca="false">COUNTIFS(Positions!$B$2:$B$6912,A337,Positions!$F$2:$F$6912,B337,Positions!$E$2:$E$6912,"C")</f>
        <v>2</v>
      </c>
      <c r="I337" s="3" t="n">
        <f aca="false">G337+H337</f>
        <v>5</v>
      </c>
      <c r="J337" s="6" t="n">
        <f aca="false">IF(F337=0,0,I337/F337)</f>
        <v>0.555555555555556</v>
      </c>
    </row>
    <row r="338" customFormat="false" ht="15" hidden="false" customHeight="false" outlineLevel="0" collapsed="false">
      <c r="A338" s="4" t="s">
        <v>104</v>
      </c>
      <c r="B338" s="4" t="s">
        <v>452</v>
      </c>
      <c r="C338" s="4" t="s">
        <v>547</v>
      </c>
      <c r="D338" s="4" t="s">
        <v>548</v>
      </c>
      <c r="E338" s="4" t="s">
        <v>680</v>
      </c>
      <c r="F338" s="4" t="n">
        <f aca="false">COUNTIFS(Positions!$B$2:$B$6912,A338,Positions!$F$2:$F$6912,B338)</f>
        <v>7</v>
      </c>
      <c r="G338" s="4" t="n">
        <f aca="false">COUNTIFS(Positions!$B$2:$B$6912,A338,Positions!$F$2:$F$6912,B338,Positions!$E$2:$E$6912,"G")</f>
        <v>3</v>
      </c>
      <c r="H338" s="4" t="n">
        <f aca="false">COUNTIFS(Positions!$B$2:$B$6912,A338,Positions!$F$2:$F$6912,B338,Positions!$E$2:$E$6912,"C")</f>
        <v>1</v>
      </c>
      <c r="I338" s="3" t="n">
        <f aca="false">G338+H338</f>
        <v>4</v>
      </c>
      <c r="J338" s="6" t="n">
        <f aca="false">IF(F338=0,0,I338/F338)</f>
        <v>0.571428571428571</v>
      </c>
    </row>
    <row r="339" customFormat="false" ht="15" hidden="false" customHeight="false" outlineLevel="0" collapsed="false">
      <c r="A339" s="4" t="s">
        <v>104</v>
      </c>
      <c r="B339" s="4" t="s">
        <v>465</v>
      </c>
      <c r="C339" s="4" t="s">
        <v>550</v>
      </c>
      <c r="D339" s="4" t="s">
        <v>551</v>
      </c>
      <c r="E339" s="4" t="s">
        <v>609</v>
      </c>
      <c r="F339" s="4" t="n">
        <f aca="false">COUNTIFS(Positions!$B$2:$B$6912,A339,Positions!$F$2:$F$6912,B339)</f>
        <v>5</v>
      </c>
      <c r="G339" s="4" t="n">
        <f aca="false">COUNTIFS(Positions!$B$2:$B$6912,A339,Positions!$F$2:$F$6912,B339,Positions!$E$2:$E$6912,"G")</f>
        <v>3</v>
      </c>
      <c r="H339" s="4" t="n">
        <f aca="false">COUNTIFS(Positions!$B$2:$B$6912,A339,Positions!$F$2:$F$6912,B339,Positions!$E$2:$E$6912,"C")</f>
        <v>1</v>
      </c>
      <c r="I339" s="3" t="n">
        <f aca="false">G339+H339</f>
        <v>4</v>
      </c>
      <c r="J339" s="6" t="n">
        <f aca="false">IF(F339=0,0,I339/F339)</f>
        <v>0.8</v>
      </c>
    </row>
    <row r="340" customFormat="false" ht="15" hidden="false" customHeight="false" outlineLevel="0" collapsed="false">
      <c r="A340" s="4" t="s">
        <v>104</v>
      </c>
      <c r="B340" s="4" t="s">
        <v>477</v>
      </c>
      <c r="C340" s="4" t="s">
        <v>553</v>
      </c>
      <c r="D340" s="4" t="s">
        <v>554</v>
      </c>
      <c r="E340" s="4" t="s">
        <v>563</v>
      </c>
      <c r="F340" s="4" t="n">
        <f aca="false">COUNTIFS(Positions!$B$2:$B$6912,A340,Positions!$F$2:$F$6912,B340)</f>
        <v>7</v>
      </c>
      <c r="G340" s="4" t="n">
        <f aca="false">COUNTIFS(Positions!$B$2:$B$6912,A340,Positions!$F$2:$F$6912,B340,Positions!$E$2:$E$6912,"G")</f>
        <v>1</v>
      </c>
      <c r="H340" s="4" t="n">
        <f aca="false">COUNTIFS(Positions!$B$2:$B$6912,A340,Positions!$F$2:$F$6912,B340,Positions!$E$2:$E$6912,"C")</f>
        <v>1</v>
      </c>
      <c r="I340" s="3" t="n">
        <f aca="false">G340+H340</f>
        <v>2</v>
      </c>
      <c r="J340" s="6" t="n">
        <f aca="false">IF(F340=0,0,I340/F340)</f>
        <v>0.285714285714286</v>
      </c>
    </row>
    <row r="341" customFormat="false" ht="15" hidden="false" customHeight="false" outlineLevel="0" collapsed="false">
      <c r="A341" s="7" t="s">
        <v>104</v>
      </c>
      <c r="B341" s="7" t="s">
        <v>556</v>
      </c>
      <c r="C341" s="7" t="s">
        <v>557</v>
      </c>
      <c r="D341" s="7" t="s">
        <v>558</v>
      </c>
      <c r="E341" s="7" t="s">
        <v>595</v>
      </c>
      <c r="F341" s="7" t="n">
        <f aca="false">COUNTIFS(Positions!$B$2:$B$6912,A341,Positions!$F$2:$F$6912,"Position 8")+COUNTIFS(Positions!$B$2:$B$6912,A341,Positions!$F$2:$F$6912,"Position 9")+COUNTIFS(Positions!$B$2:$B$6912,A341,Positions!$F$2:$F$6912,"Position 26")</f>
        <v>3</v>
      </c>
      <c r="G341" s="7" t="n">
        <f aca="false">COUNTIFS(Positions!$B$2:$B$6912,A341,Positions!$F$2:$F$6912,"Position 8",Positions!$E$2:$E$6912,"G")+COUNTIFS(Positions!$B$2:$B$6912,A341,Positions!$F$2:$F$6912,"Position 9",Positions!$E$2:$E$6912,"G")+COUNTIFS(Positions!$B$2:$B$6912,A341,Positions!$F$2:$F$6912,"Position 26",Positions!$E$2:$E$6912,"G")</f>
        <v>1</v>
      </c>
      <c r="H341" s="7" t="n">
        <f aca="false">COUNTIFS(Positions!$B$2:$B$6912,A341,Positions!$F$2:$F$6912,"Position 8",Positions!$E$2:$E$6912,"C")+COUNTIFS(Positions!$B$2:$B$6912,A341,Positions!$F$2:$F$6912,"Position 9",Positions!$E$2:$E$6912,"C")+COUNTIFS(Positions!$B$2:$B$6912,A341,Positions!$F$2:$F$6912,"Position 26",Positions!$E$2:$E$6912,"C")</f>
        <v>0</v>
      </c>
      <c r="I341" s="8" t="n">
        <f aca="false">G341+H341</f>
        <v>1</v>
      </c>
      <c r="J341" s="26" t="n">
        <f aca="false">IF(F341=0,0,I341/F341)</f>
        <v>0.333333333333333</v>
      </c>
    </row>
    <row r="342" customFormat="false" ht="15" hidden="false" customHeight="false" outlineLevel="0" collapsed="false">
      <c r="A342" s="4" t="s">
        <v>105</v>
      </c>
      <c r="B342" s="4" t="s">
        <v>430</v>
      </c>
      <c r="C342" s="4" t="s">
        <v>544</v>
      </c>
      <c r="D342" s="4" t="s">
        <v>545</v>
      </c>
      <c r="E342" s="4" t="s">
        <v>679</v>
      </c>
      <c r="F342" s="4" t="n">
        <f aca="false">COUNTIFS(Positions!$B$2:$B$6912,A342,Positions!$F$2:$F$6912,B342)</f>
        <v>9</v>
      </c>
      <c r="G342" s="4" t="n">
        <f aca="false">COUNTIFS(Positions!$B$2:$B$6912,A342,Positions!$F$2:$F$6912,B342,Positions!$E$2:$E$6912,"G")</f>
        <v>3</v>
      </c>
      <c r="H342" s="4" t="n">
        <f aca="false">COUNTIFS(Positions!$B$2:$B$6912,A342,Positions!$F$2:$F$6912,B342,Positions!$E$2:$E$6912,"C")</f>
        <v>2</v>
      </c>
      <c r="I342" s="3" t="n">
        <f aca="false">G342+H342</f>
        <v>5</v>
      </c>
      <c r="J342" s="6" t="n">
        <f aca="false">IF(F342=0,0,I342/F342)</f>
        <v>0.555555555555556</v>
      </c>
    </row>
    <row r="343" customFormat="false" ht="15" hidden="false" customHeight="false" outlineLevel="0" collapsed="false">
      <c r="A343" s="4" t="s">
        <v>105</v>
      </c>
      <c r="B343" s="4" t="s">
        <v>452</v>
      </c>
      <c r="C343" s="4" t="s">
        <v>547</v>
      </c>
      <c r="D343" s="4" t="s">
        <v>548</v>
      </c>
      <c r="E343" s="4" t="s">
        <v>681</v>
      </c>
      <c r="F343" s="4" t="n">
        <f aca="false">COUNTIFS(Positions!$B$2:$B$6912,A343,Positions!$F$2:$F$6912,B343)</f>
        <v>7</v>
      </c>
      <c r="G343" s="4" t="n">
        <f aca="false">COUNTIFS(Positions!$B$2:$B$6912,A343,Positions!$F$2:$F$6912,B343,Positions!$E$2:$E$6912,"G")</f>
        <v>4</v>
      </c>
      <c r="H343" s="4" t="n">
        <f aca="false">COUNTIFS(Positions!$B$2:$B$6912,A343,Positions!$F$2:$F$6912,B343,Positions!$E$2:$E$6912,"C")</f>
        <v>1</v>
      </c>
      <c r="I343" s="3" t="n">
        <f aca="false">G343+H343</f>
        <v>5</v>
      </c>
      <c r="J343" s="6" t="n">
        <f aca="false">IF(F343=0,0,I343/F343)</f>
        <v>0.714285714285714</v>
      </c>
    </row>
    <row r="344" customFormat="false" ht="15" hidden="false" customHeight="false" outlineLevel="0" collapsed="false">
      <c r="A344" s="4" t="s">
        <v>105</v>
      </c>
      <c r="B344" s="4" t="s">
        <v>465</v>
      </c>
      <c r="C344" s="4" t="s">
        <v>550</v>
      </c>
      <c r="D344" s="4" t="s">
        <v>551</v>
      </c>
      <c r="E344" s="4" t="s">
        <v>609</v>
      </c>
      <c r="F344" s="4" t="n">
        <f aca="false">COUNTIFS(Positions!$B$2:$B$6912,A344,Positions!$F$2:$F$6912,B344)</f>
        <v>5</v>
      </c>
      <c r="G344" s="4" t="n">
        <f aca="false">COUNTIFS(Positions!$B$2:$B$6912,A344,Positions!$F$2:$F$6912,B344,Positions!$E$2:$E$6912,"G")</f>
        <v>3</v>
      </c>
      <c r="H344" s="4" t="n">
        <f aca="false">COUNTIFS(Positions!$B$2:$B$6912,A344,Positions!$F$2:$F$6912,B344,Positions!$E$2:$E$6912,"C")</f>
        <v>1</v>
      </c>
      <c r="I344" s="3" t="n">
        <f aca="false">G344+H344</f>
        <v>4</v>
      </c>
      <c r="J344" s="6" t="n">
        <f aca="false">IF(F344=0,0,I344/F344)</f>
        <v>0.8</v>
      </c>
    </row>
    <row r="345" customFormat="false" ht="15" hidden="false" customHeight="false" outlineLevel="0" collapsed="false">
      <c r="A345" s="4" t="s">
        <v>105</v>
      </c>
      <c r="B345" s="4" t="s">
        <v>477</v>
      </c>
      <c r="C345" s="4" t="s">
        <v>553</v>
      </c>
      <c r="D345" s="4" t="s">
        <v>554</v>
      </c>
      <c r="E345" s="4" t="s">
        <v>570</v>
      </c>
      <c r="F345" s="4" t="n">
        <f aca="false">COUNTIFS(Positions!$B$2:$B$6912,A345,Positions!$F$2:$F$6912,B345)</f>
        <v>7</v>
      </c>
      <c r="G345" s="4" t="n">
        <f aca="false">COUNTIFS(Positions!$B$2:$B$6912,A345,Positions!$F$2:$F$6912,B345,Positions!$E$2:$E$6912,"G")</f>
        <v>0</v>
      </c>
      <c r="H345" s="4" t="n">
        <f aca="false">COUNTIFS(Positions!$B$2:$B$6912,A345,Positions!$F$2:$F$6912,B345,Positions!$E$2:$E$6912,"C")</f>
        <v>1</v>
      </c>
      <c r="I345" s="3" t="n">
        <f aca="false">G345+H345</f>
        <v>1</v>
      </c>
      <c r="J345" s="6" t="n">
        <f aca="false">IF(F345=0,0,I345/F345)</f>
        <v>0.142857142857143</v>
      </c>
    </row>
    <row r="346" customFormat="false" ht="15" hidden="false" customHeight="false" outlineLevel="0" collapsed="false">
      <c r="A346" s="7" t="s">
        <v>105</v>
      </c>
      <c r="B346" s="7" t="s">
        <v>556</v>
      </c>
      <c r="C346" s="7" t="s">
        <v>557</v>
      </c>
      <c r="D346" s="7" t="s">
        <v>558</v>
      </c>
      <c r="E346" s="7" t="s">
        <v>611</v>
      </c>
      <c r="F346" s="7" t="n">
        <f aca="false">COUNTIFS(Positions!$B$2:$B$6912,A346,Positions!$F$2:$F$6912,"Position 8")+COUNTIFS(Positions!$B$2:$B$6912,A346,Positions!$F$2:$F$6912,"Position 9")+COUNTIFS(Positions!$B$2:$B$6912,A346,Positions!$F$2:$F$6912,"Position 26")</f>
        <v>3</v>
      </c>
      <c r="G346" s="7" t="n">
        <f aca="false">COUNTIFS(Positions!$B$2:$B$6912,A346,Positions!$F$2:$F$6912,"Position 8",Positions!$E$2:$E$6912,"G")+COUNTIFS(Positions!$B$2:$B$6912,A346,Positions!$F$2:$F$6912,"Position 9",Positions!$E$2:$E$6912,"G")+COUNTIFS(Positions!$B$2:$B$6912,A346,Positions!$F$2:$F$6912,"Position 26",Positions!$E$2:$E$6912,"G")</f>
        <v>0</v>
      </c>
      <c r="H346" s="7" t="n">
        <f aca="false">COUNTIFS(Positions!$B$2:$B$6912,A346,Positions!$F$2:$F$6912,"Position 8",Positions!$E$2:$E$6912,"C")+COUNTIFS(Positions!$B$2:$B$6912,A346,Positions!$F$2:$F$6912,"Position 9",Positions!$E$2:$E$6912,"C")+COUNTIFS(Positions!$B$2:$B$6912,A346,Positions!$F$2:$F$6912,"Position 26",Positions!$E$2:$E$6912,"C")</f>
        <v>0</v>
      </c>
      <c r="I346" s="8" t="n">
        <f aca="false">G346+H346</f>
        <v>0</v>
      </c>
      <c r="J346" s="26" t="n">
        <f aca="false">IF(F346=0,0,I346/F346)</f>
        <v>0</v>
      </c>
    </row>
    <row r="347" customFormat="false" ht="15" hidden="false" customHeight="false" outlineLevel="0" collapsed="false">
      <c r="A347" s="4" t="s">
        <v>106</v>
      </c>
      <c r="B347" s="4" t="s">
        <v>430</v>
      </c>
      <c r="C347" s="4" t="s">
        <v>544</v>
      </c>
      <c r="D347" s="4" t="s">
        <v>545</v>
      </c>
      <c r="E347" s="4" t="s">
        <v>559</v>
      </c>
      <c r="F347" s="4" t="n">
        <f aca="false">COUNTIFS(Positions!$B$2:$B$6912,A347,Positions!$F$2:$F$6912,B347)</f>
        <v>9</v>
      </c>
      <c r="G347" s="4" t="n">
        <f aca="false">COUNTIFS(Positions!$B$2:$B$6912,A347,Positions!$F$2:$F$6912,B347,Positions!$E$2:$E$6912,"G")</f>
        <v>3</v>
      </c>
      <c r="H347" s="4" t="n">
        <f aca="false">COUNTIFS(Positions!$B$2:$B$6912,A347,Positions!$F$2:$F$6912,B347,Positions!$E$2:$E$6912,"C")</f>
        <v>1</v>
      </c>
      <c r="I347" s="3" t="n">
        <f aca="false">G347+H347</f>
        <v>4</v>
      </c>
      <c r="J347" s="6" t="n">
        <f aca="false">IF(F347=0,0,I347/F347)</f>
        <v>0.444444444444444</v>
      </c>
    </row>
    <row r="348" customFormat="false" ht="15" hidden="false" customHeight="false" outlineLevel="0" collapsed="false">
      <c r="A348" s="4" t="s">
        <v>106</v>
      </c>
      <c r="B348" s="4" t="s">
        <v>452</v>
      </c>
      <c r="C348" s="4" t="s">
        <v>547</v>
      </c>
      <c r="D348" s="4" t="s">
        <v>548</v>
      </c>
      <c r="E348" s="4" t="s">
        <v>682</v>
      </c>
      <c r="F348" s="4" t="n">
        <f aca="false">COUNTIFS(Positions!$B$2:$B$6912,A348,Positions!$F$2:$F$6912,B348)</f>
        <v>7</v>
      </c>
      <c r="G348" s="4" t="n">
        <f aca="false">COUNTIFS(Positions!$B$2:$B$6912,A348,Positions!$F$2:$F$6912,B348,Positions!$E$2:$E$6912,"G")</f>
        <v>3</v>
      </c>
      <c r="H348" s="4" t="n">
        <f aca="false">COUNTIFS(Positions!$B$2:$B$6912,A348,Positions!$F$2:$F$6912,B348,Positions!$E$2:$E$6912,"C")</f>
        <v>0</v>
      </c>
      <c r="I348" s="3" t="n">
        <f aca="false">G348+H348</f>
        <v>3</v>
      </c>
      <c r="J348" s="6" t="n">
        <f aca="false">IF(F348=0,0,I348/F348)</f>
        <v>0.428571428571429</v>
      </c>
    </row>
    <row r="349" customFormat="false" ht="15" hidden="false" customHeight="false" outlineLevel="0" collapsed="false">
      <c r="A349" s="4" t="s">
        <v>106</v>
      </c>
      <c r="B349" s="4" t="s">
        <v>465</v>
      </c>
      <c r="C349" s="4" t="s">
        <v>550</v>
      </c>
      <c r="D349" s="4" t="s">
        <v>551</v>
      </c>
      <c r="E349" s="4" t="s">
        <v>609</v>
      </c>
      <c r="F349" s="4" t="n">
        <f aca="false">COUNTIFS(Positions!$B$2:$B$6912,A349,Positions!$F$2:$F$6912,B349)</f>
        <v>5</v>
      </c>
      <c r="G349" s="4" t="n">
        <f aca="false">COUNTIFS(Positions!$B$2:$B$6912,A349,Positions!$F$2:$F$6912,B349,Positions!$E$2:$E$6912,"G")</f>
        <v>3</v>
      </c>
      <c r="H349" s="4" t="n">
        <f aca="false">COUNTIFS(Positions!$B$2:$B$6912,A349,Positions!$F$2:$F$6912,B349,Positions!$E$2:$E$6912,"C")</f>
        <v>1</v>
      </c>
      <c r="I349" s="3" t="n">
        <f aca="false">G349+H349</f>
        <v>4</v>
      </c>
      <c r="J349" s="6" t="n">
        <f aca="false">IF(F349=0,0,I349/F349)</f>
        <v>0.8</v>
      </c>
    </row>
    <row r="350" customFormat="false" ht="15" hidden="false" customHeight="false" outlineLevel="0" collapsed="false">
      <c r="A350" s="4" t="s">
        <v>106</v>
      </c>
      <c r="B350" s="4" t="s">
        <v>477</v>
      </c>
      <c r="C350" s="4" t="s">
        <v>553</v>
      </c>
      <c r="D350" s="4" t="s">
        <v>554</v>
      </c>
      <c r="E350" s="4" t="s">
        <v>563</v>
      </c>
      <c r="F350" s="4" t="n">
        <f aca="false">COUNTIFS(Positions!$B$2:$B$6912,A350,Positions!$F$2:$F$6912,B350)</f>
        <v>7</v>
      </c>
      <c r="G350" s="4" t="n">
        <f aca="false">COUNTIFS(Positions!$B$2:$B$6912,A350,Positions!$F$2:$F$6912,B350,Positions!$E$2:$E$6912,"G")</f>
        <v>1</v>
      </c>
      <c r="H350" s="4" t="n">
        <f aca="false">COUNTIFS(Positions!$B$2:$B$6912,A350,Positions!$F$2:$F$6912,B350,Positions!$E$2:$E$6912,"C")</f>
        <v>1</v>
      </c>
      <c r="I350" s="3" t="n">
        <f aca="false">G350+H350</f>
        <v>2</v>
      </c>
      <c r="J350" s="6" t="n">
        <f aca="false">IF(F350=0,0,I350/F350)</f>
        <v>0.285714285714286</v>
      </c>
    </row>
    <row r="351" customFormat="false" ht="15" hidden="false" customHeight="false" outlineLevel="0" collapsed="false">
      <c r="A351" s="7" t="s">
        <v>106</v>
      </c>
      <c r="B351" s="7" t="s">
        <v>556</v>
      </c>
      <c r="C351" s="7" t="s">
        <v>557</v>
      </c>
      <c r="D351" s="7" t="s">
        <v>558</v>
      </c>
      <c r="E351" s="7" t="s">
        <v>611</v>
      </c>
      <c r="F351" s="7" t="n">
        <f aca="false">COUNTIFS(Positions!$B$2:$B$6912,A351,Positions!$F$2:$F$6912,"Position 8")+COUNTIFS(Positions!$B$2:$B$6912,A351,Positions!$F$2:$F$6912,"Position 9")+COUNTIFS(Positions!$B$2:$B$6912,A351,Positions!$F$2:$F$6912,"Position 26")</f>
        <v>3</v>
      </c>
      <c r="G351" s="7" t="n">
        <f aca="false">COUNTIFS(Positions!$B$2:$B$6912,A351,Positions!$F$2:$F$6912,"Position 8",Positions!$E$2:$E$6912,"G")+COUNTIFS(Positions!$B$2:$B$6912,A351,Positions!$F$2:$F$6912,"Position 9",Positions!$E$2:$E$6912,"G")+COUNTIFS(Positions!$B$2:$B$6912,A351,Positions!$F$2:$F$6912,"Position 26",Positions!$E$2:$E$6912,"G")</f>
        <v>0</v>
      </c>
      <c r="H351" s="7" t="n">
        <f aca="false">COUNTIFS(Positions!$B$2:$B$6912,A351,Positions!$F$2:$F$6912,"Position 8",Positions!$E$2:$E$6912,"C")+COUNTIFS(Positions!$B$2:$B$6912,A351,Positions!$F$2:$F$6912,"Position 9",Positions!$E$2:$E$6912,"C")+COUNTIFS(Positions!$B$2:$B$6912,A351,Positions!$F$2:$F$6912,"Position 26",Positions!$E$2:$E$6912,"C")</f>
        <v>0</v>
      </c>
      <c r="I351" s="8" t="n">
        <f aca="false">G351+H351</f>
        <v>0</v>
      </c>
      <c r="J351" s="26" t="n">
        <f aca="false">IF(F351=0,0,I351/F351)</f>
        <v>0</v>
      </c>
    </row>
    <row r="352" customFormat="false" ht="15" hidden="false" customHeight="false" outlineLevel="0" collapsed="false">
      <c r="A352" s="4" t="s">
        <v>107</v>
      </c>
      <c r="B352" s="4" t="s">
        <v>430</v>
      </c>
      <c r="C352" s="4" t="s">
        <v>544</v>
      </c>
      <c r="D352" s="4" t="s">
        <v>544</v>
      </c>
      <c r="E352" s="4" t="s">
        <v>683</v>
      </c>
      <c r="F352" s="4" t="n">
        <f aca="false">COUNTIFS(Positions!$B$2:$B$6912,A352,Positions!$F$2:$F$6912,B352)</f>
        <v>8</v>
      </c>
      <c r="G352" s="4" t="n">
        <f aca="false">COUNTIFS(Positions!$B$2:$B$6912,A352,Positions!$F$2:$F$6912,B352,Positions!$E$2:$E$6912,"G")</f>
        <v>2</v>
      </c>
      <c r="H352" s="4" t="n">
        <f aca="false">COUNTIFS(Positions!$B$2:$B$6912,A352,Positions!$F$2:$F$6912,B352,Positions!$E$2:$E$6912,"C")</f>
        <v>2</v>
      </c>
      <c r="I352" s="3" t="n">
        <f aca="false">G352+H352</f>
        <v>4</v>
      </c>
      <c r="J352" s="6" t="n">
        <f aca="false">IF(F352=0,0,I352/F352)</f>
        <v>0.5</v>
      </c>
    </row>
    <row r="353" customFormat="false" ht="15" hidden="false" customHeight="false" outlineLevel="0" collapsed="false">
      <c r="A353" s="4" t="s">
        <v>107</v>
      </c>
      <c r="B353" s="4" t="s">
        <v>452</v>
      </c>
      <c r="C353" s="4" t="s">
        <v>547</v>
      </c>
      <c r="D353" s="4" t="s">
        <v>547</v>
      </c>
      <c r="E353" s="4" t="s">
        <v>684</v>
      </c>
      <c r="F353" s="4" t="n">
        <f aca="false">COUNTIFS(Positions!$B$2:$B$6912,A353,Positions!$F$2:$F$6912,B353)</f>
        <v>7</v>
      </c>
      <c r="G353" s="4" t="n">
        <f aca="false">COUNTIFS(Positions!$B$2:$B$6912,A353,Positions!$F$2:$F$6912,B353,Positions!$E$2:$E$6912,"G")</f>
        <v>0</v>
      </c>
      <c r="H353" s="4" t="n">
        <f aca="false">COUNTIFS(Positions!$B$2:$B$6912,A353,Positions!$F$2:$F$6912,B353,Positions!$E$2:$E$6912,"C")</f>
        <v>2</v>
      </c>
      <c r="I353" s="3" t="n">
        <f aca="false">G353+H353</f>
        <v>2</v>
      </c>
      <c r="J353" s="6" t="n">
        <f aca="false">IF(F353=0,0,I353/F353)</f>
        <v>0.285714285714286</v>
      </c>
    </row>
    <row r="354" customFormat="false" ht="15" hidden="false" customHeight="false" outlineLevel="0" collapsed="false">
      <c r="A354" s="4" t="s">
        <v>107</v>
      </c>
      <c r="B354" s="4" t="s">
        <v>465</v>
      </c>
      <c r="C354" s="4" t="s">
        <v>550</v>
      </c>
      <c r="D354" s="4" t="s">
        <v>599</v>
      </c>
      <c r="E354" s="4" t="s">
        <v>631</v>
      </c>
      <c r="F354" s="4" t="n">
        <f aca="false">COUNTIFS(Positions!$B$2:$B$6912,A354,Positions!$F$2:$F$6912,B354)</f>
        <v>4</v>
      </c>
      <c r="G354" s="4" t="n">
        <f aca="false">COUNTIFS(Positions!$B$2:$B$6912,A354,Positions!$F$2:$F$6912,B354,Positions!$E$2:$E$6912,"G")</f>
        <v>1</v>
      </c>
      <c r="H354" s="4" t="n">
        <f aca="false">COUNTIFS(Positions!$B$2:$B$6912,A354,Positions!$F$2:$F$6912,B354,Positions!$E$2:$E$6912,"C")</f>
        <v>1</v>
      </c>
      <c r="I354" s="3" t="n">
        <f aca="false">G354+H354</f>
        <v>2</v>
      </c>
      <c r="J354" s="6" t="n">
        <f aca="false">IF(F354=0,0,I354/F354)</f>
        <v>0.5</v>
      </c>
    </row>
    <row r="355" customFormat="false" ht="15" hidden="false" customHeight="false" outlineLevel="0" collapsed="false">
      <c r="A355" s="4" t="s">
        <v>107</v>
      </c>
      <c r="B355" s="4" t="s">
        <v>477</v>
      </c>
      <c r="C355" s="4" t="s">
        <v>553</v>
      </c>
      <c r="D355" s="4" t="s">
        <v>578</v>
      </c>
      <c r="E355" s="4" t="s">
        <v>563</v>
      </c>
      <c r="F355" s="4" t="n">
        <f aca="false">COUNTIFS(Positions!$B$2:$B$6912,A355,Positions!$F$2:$F$6912,B355)</f>
        <v>7</v>
      </c>
      <c r="G355" s="4" t="n">
        <f aca="false">COUNTIFS(Positions!$B$2:$B$6912,A355,Positions!$F$2:$F$6912,B355,Positions!$E$2:$E$6912,"G")</f>
        <v>1</v>
      </c>
      <c r="H355" s="4" t="n">
        <f aca="false">COUNTIFS(Positions!$B$2:$B$6912,A355,Positions!$F$2:$F$6912,B355,Positions!$E$2:$E$6912,"C")</f>
        <v>1</v>
      </c>
      <c r="I355" s="3" t="n">
        <f aca="false">G355+H355</f>
        <v>2</v>
      </c>
      <c r="J355" s="6" t="n">
        <f aca="false">IF(F355=0,0,I355/F355)</f>
        <v>0.285714285714286</v>
      </c>
    </row>
    <row r="356" customFormat="false" ht="15" hidden="false" customHeight="false" outlineLevel="0" collapsed="false">
      <c r="A356" s="7" t="s">
        <v>107</v>
      </c>
      <c r="B356" s="7" t="s">
        <v>556</v>
      </c>
      <c r="C356" s="7" t="s">
        <v>557</v>
      </c>
      <c r="D356" s="7" t="s">
        <v>557</v>
      </c>
      <c r="E356" s="7" t="s">
        <v>635</v>
      </c>
      <c r="F356" s="7" t="n">
        <f aca="false">COUNTIFS(Positions!$B$2:$B$6912,A356,Positions!$F$2:$F$6912,"Position 8")+COUNTIFS(Positions!$B$2:$B$6912,A356,Positions!$F$2:$F$6912,"Position 9")+COUNTIFS(Positions!$B$2:$B$6912,A356,Positions!$F$2:$F$6912,"Position 26")</f>
        <v>3</v>
      </c>
      <c r="G356" s="7" t="n">
        <f aca="false">COUNTIFS(Positions!$B$2:$B$6912,A356,Positions!$F$2:$F$6912,"Position 8",Positions!$E$2:$E$6912,"G")+COUNTIFS(Positions!$B$2:$B$6912,A356,Positions!$F$2:$F$6912,"Position 9",Positions!$E$2:$E$6912,"G")+COUNTIFS(Positions!$B$2:$B$6912,A356,Positions!$F$2:$F$6912,"Position 26",Positions!$E$2:$E$6912,"G")</f>
        <v>0</v>
      </c>
      <c r="H356" s="7" t="n">
        <f aca="false">COUNTIFS(Positions!$B$2:$B$6912,A356,Positions!$F$2:$F$6912,"Position 8",Positions!$E$2:$E$6912,"C")+COUNTIFS(Positions!$B$2:$B$6912,A356,Positions!$F$2:$F$6912,"Position 9",Positions!$E$2:$E$6912,"C")+COUNTIFS(Positions!$B$2:$B$6912,A356,Positions!$F$2:$F$6912,"Position 26",Positions!$E$2:$E$6912,"C")</f>
        <v>0</v>
      </c>
      <c r="I356" s="8" t="n">
        <f aca="false">G356+H356</f>
        <v>0</v>
      </c>
      <c r="J356" s="26" t="n">
        <f aca="false">IF(F356=0,0,I356/F356)</f>
        <v>0</v>
      </c>
    </row>
    <row r="357" customFormat="false" ht="15" hidden="false" customHeight="false" outlineLevel="0" collapsed="false">
      <c r="A357" s="4" t="s">
        <v>108</v>
      </c>
      <c r="B357" s="4" t="s">
        <v>430</v>
      </c>
      <c r="C357" s="4" t="s">
        <v>544</v>
      </c>
      <c r="D357" s="4" t="s">
        <v>544</v>
      </c>
      <c r="E357" s="4" t="s">
        <v>602</v>
      </c>
      <c r="F357" s="4" t="n">
        <f aca="false">COUNTIFS(Positions!$B$2:$B$6912,A357,Positions!$F$2:$F$6912,B357)</f>
        <v>8</v>
      </c>
      <c r="G357" s="4" t="n">
        <f aca="false">COUNTIFS(Positions!$B$2:$B$6912,A357,Positions!$F$2:$F$6912,B357,Positions!$E$2:$E$6912,"G")</f>
        <v>3</v>
      </c>
      <c r="H357" s="4" t="n">
        <f aca="false">COUNTIFS(Positions!$B$2:$B$6912,A357,Positions!$F$2:$F$6912,B357,Positions!$E$2:$E$6912,"C")</f>
        <v>0</v>
      </c>
      <c r="I357" s="3" t="n">
        <f aca="false">G357+H357</f>
        <v>3</v>
      </c>
      <c r="J357" s="6" t="n">
        <f aca="false">IF(F357=0,0,I357/F357)</f>
        <v>0.375</v>
      </c>
    </row>
    <row r="358" customFormat="false" ht="15" hidden="false" customHeight="false" outlineLevel="0" collapsed="false">
      <c r="A358" s="4" t="s">
        <v>108</v>
      </c>
      <c r="B358" s="4" t="s">
        <v>452</v>
      </c>
      <c r="C358" s="4" t="s">
        <v>547</v>
      </c>
      <c r="D358" s="4" t="s">
        <v>547</v>
      </c>
      <c r="E358" s="4" t="s">
        <v>685</v>
      </c>
      <c r="F358" s="4" t="n">
        <f aca="false">COUNTIFS(Positions!$B$2:$B$6912,A358,Positions!$F$2:$F$6912,B358)</f>
        <v>7</v>
      </c>
      <c r="G358" s="4" t="n">
        <f aca="false">COUNTIFS(Positions!$B$2:$B$6912,A358,Positions!$F$2:$F$6912,B358,Positions!$E$2:$E$6912,"G")</f>
        <v>0</v>
      </c>
      <c r="H358" s="4" t="n">
        <f aca="false">COUNTIFS(Positions!$B$2:$B$6912,A358,Positions!$F$2:$F$6912,B358,Positions!$E$2:$E$6912,"C")</f>
        <v>1</v>
      </c>
      <c r="I358" s="3" t="n">
        <f aca="false">G358+H358</f>
        <v>1</v>
      </c>
      <c r="J358" s="6" t="n">
        <f aca="false">IF(F358=0,0,I358/F358)</f>
        <v>0.142857142857143</v>
      </c>
    </row>
    <row r="359" customFormat="false" ht="15" hidden="false" customHeight="false" outlineLevel="0" collapsed="false">
      <c r="A359" s="4" t="s">
        <v>108</v>
      </c>
      <c r="B359" s="4" t="s">
        <v>465</v>
      </c>
      <c r="C359" s="4" t="s">
        <v>550</v>
      </c>
      <c r="D359" s="4" t="s">
        <v>599</v>
      </c>
      <c r="E359" s="4" t="s">
        <v>631</v>
      </c>
      <c r="F359" s="4" t="n">
        <f aca="false">COUNTIFS(Positions!$B$2:$B$6912,A359,Positions!$F$2:$F$6912,B359)</f>
        <v>4</v>
      </c>
      <c r="G359" s="4" t="n">
        <f aca="false">COUNTIFS(Positions!$B$2:$B$6912,A359,Positions!$F$2:$F$6912,B359,Positions!$E$2:$E$6912,"G")</f>
        <v>1</v>
      </c>
      <c r="H359" s="4" t="n">
        <f aca="false">COUNTIFS(Positions!$B$2:$B$6912,A359,Positions!$F$2:$F$6912,B359,Positions!$E$2:$E$6912,"C")</f>
        <v>1</v>
      </c>
      <c r="I359" s="3" t="n">
        <f aca="false">G359+H359</f>
        <v>2</v>
      </c>
      <c r="J359" s="6" t="n">
        <f aca="false">IF(F359=0,0,I359/F359)</f>
        <v>0.5</v>
      </c>
    </row>
    <row r="360" customFormat="false" ht="15" hidden="false" customHeight="false" outlineLevel="0" collapsed="false">
      <c r="A360" s="4" t="s">
        <v>108</v>
      </c>
      <c r="B360" s="4" t="s">
        <v>477</v>
      </c>
      <c r="C360" s="4" t="s">
        <v>553</v>
      </c>
      <c r="D360" s="4" t="s">
        <v>578</v>
      </c>
      <c r="E360" s="4" t="s">
        <v>563</v>
      </c>
      <c r="F360" s="4" t="n">
        <f aca="false">COUNTIFS(Positions!$B$2:$B$6912,A360,Positions!$F$2:$F$6912,B360)</f>
        <v>7</v>
      </c>
      <c r="G360" s="4" t="n">
        <f aca="false">COUNTIFS(Positions!$B$2:$B$6912,A360,Positions!$F$2:$F$6912,B360,Positions!$E$2:$E$6912,"G")</f>
        <v>1</v>
      </c>
      <c r="H360" s="4" t="n">
        <f aca="false">COUNTIFS(Positions!$B$2:$B$6912,A360,Positions!$F$2:$F$6912,B360,Positions!$E$2:$E$6912,"C")</f>
        <v>1</v>
      </c>
      <c r="I360" s="3" t="n">
        <f aca="false">G360+H360</f>
        <v>2</v>
      </c>
      <c r="J360" s="6" t="n">
        <f aca="false">IF(F360=0,0,I360/F360)</f>
        <v>0.285714285714286</v>
      </c>
    </row>
    <row r="361" customFormat="false" ht="15" hidden="false" customHeight="false" outlineLevel="0" collapsed="false">
      <c r="A361" s="7" t="s">
        <v>108</v>
      </c>
      <c r="B361" s="7" t="s">
        <v>556</v>
      </c>
      <c r="C361" s="7" t="s">
        <v>557</v>
      </c>
      <c r="D361" s="7" t="s">
        <v>557</v>
      </c>
      <c r="E361" s="7" t="s">
        <v>635</v>
      </c>
      <c r="F361" s="7" t="n">
        <f aca="false">COUNTIFS(Positions!$B$2:$B$6912,A361,Positions!$F$2:$F$6912,"Position 8")+COUNTIFS(Positions!$B$2:$B$6912,A361,Positions!$F$2:$F$6912,"Position 9")+COUNTIFS(Positions!$B$2:$B$6912,A361,Positions!$F$2:$F$6912,"Position 26")</f>
        <v>3</v>
      </c>
      <c r="G361" s="7" t="n">
        <f aca="false">COUNTIFS(Positions!$B$2:$B$6912,A361,Positions!$F$2:$F$6912,"Position 8",Positions!$E$2:$E$6912,"G")+COUNTIFS(Positions!$B$2:$B$6912,A361,Positions!$F$2:$F$6912,"Position 9",Positions!$E$2:$E$6912,"G")+COUNTIFS(Positions!$B$2:$B$6912,A361,Positions!$F$2:$F$6912,"Position 26",Positions!$E$2:$E$6912,"G")</f>
        <v>0</v>
      </c>
      <c r="H361" s="7" t="n">
        <f aca="false">COUNTIFS(Positions!$B$2:$B$6912,A361,Positions!$F$2:$F$6912,"Position 8",Positions!$E$2:$E$6912,"C")+COUNTIFS(Positions!$B$2:$B$6912,A361,Positions!$F$2:$F$6912,"Position 9",Positions!$E$2:$E$6912,"C")+COUNTIFS(Positions!$B$2:$B$6912,A361,Positions!$F$2:$F$6912,"Position 26",Positions!$E$2:$E$6912,"C")</f>
        <v>0</v>
      </c>
      <c r="I361" s="8" t="n">
        <f aca="false">G361+H361</f>
        <v>0</v>
      </c>
      <c r="J361" s="26" t="n">
        <f aca="false">IF(F361=0,0,I361/F361)</f>
        <v>0</v>
      </c>
    </row>
    <row r="362" customFormat="false" ht="15" hidden="false" customHeight="false" outlineLevel="0" collapsed="false">
      <c r="A362" s="4" t="s">
        <v>109</v>
      </c>
      <c r="B362" s="4" t="s">
        <v>430</v>
      </c>
      <c r="C362" s="4" t="s">
        <v>544</v>
      </c>
      <c r="D362" s="4" t="s">
        <v>544</v>
      </c>
      <c r="E362" s="4" t="s">
        <v>619</v>
      </c>
      <c r="F362" s="4" t="n">
        <f aca="false">COUNTIFS(Positions!$B$2:$B$6912,A362,Positions!$F$2:$F$6912,B362)</f>
        <v>8</v>
      </c>
      <c r="G362" s="4" t="n">
        <f aca="false">COUNTIFS(Positions!$B$2:$B$6912,A362,Positions!$F$2:$F$6912,B362,Positions!$E$2:$E$6912,"G")</f>
        <v>3</v>
      </c>
      <c r="H362" s="4" t="n">
        <f aca="false">COUNTIFS(Positions!$B$2:$B$6912,A362,Positions!$F$2:$F$6912,B362,Positions!$E$2:$E$6912,"C")</f>
        <v>1</v>
      </c>
      <c r="I362" s="3" t="n">
        <f aca="false">G362+H362</f>
        <v>4</v>
      </c>
      <c r="J362" s="6" t="n">
        <f aca="false">IF(F362=0,0,I362/F362)</f>
        <v>0.5</v>
      </c>
    </row>
    <row r="363" customFormat="false" ht="15" hidden="false" customHeight="false" outlineLevel="0" collapsed="false">
      <c r="A363" s="4" t="s">
        <v>109</v>
      </c>
      <c r="B363" s="4" t="s">
        <v>452</v>
      </c>
      <c r="C363" s="4" t="s">
        <v>547</v>
      </c>
      <c r="D363" s="4" t="s">
        <v>547</v>
      </c>
      <c r="E363" s="4" t="s">
        <v>633</v>
      </c>
      <c r="F363" s="4" t="n">
        <f aca="false">COUNTIFS(Positions!$B$2:$B$6912,A363,Positions!$F$2:$F$6912,B363)</f>
        <v>7</v>
      </c>
      <c r="G363" s="4" t="n">
        <f aca="false">COUNTIFS(Positions!$B$2:$B$6912,A363,Positions!$F$2:$F$6912,B363,Positions!$E$2:$E$6912,"G")</f>
        <v>1</v>
      </c>
      <c r="H363" s="4" t="n">
        <f aca="false">COUNTIFS(Positions!$B$2:$B$6912,A363,Positions!$F$2:$F$6912,B363,Positions!$E$2:$E$6912,"C")</f>
        <v>1</v>
      </c>
      <c r="I363" s="3" t="n">
        <f aca="false">G363+H363</f>
        <v>2</v>
      </c>
      <c r="J363" s="6" t="n">
        <f aca="false">IF(F363=0,0,I363/F363)</f>
        <v>0.285714285714286</v>
      </c>
    </row>
    <row r="364" customFormat="false" ht="15" hidden="false" customHeight="false" outlineLevel="0" collapsed="false">
      <c r="A364" s="4" t="s">
        <v>109</v>
      </c>
      <c r="B364" s="4" t="s">
        <v>465</v>
      </c>
      <c r="C364" s="4" t="s">
        <v>550</v>
      </c>
      <c r="D364" s="4" t="s">
        <v>599</v>
      </c>
      <c r="E364" s="4" t="s">
        <v>631</v>
      </c>
      <c r="F364" s="4" t="n">
        <f aca="false">COUNTIFS(Positions!$B$2:$B$6912,A364,Positions!$F$2:$F$6912,B364)</f>
        <v>4</v>
      </c>
      <c r="G364" s="4" t="n">
        <f aca="false">COUNTIFS(Positions!$B$2:$B$6912,A364,Positions!$F$2:$F$6912,B364,Positions!$E$2:$E$6912,"G")</f>
        <v>1</v>
      </c>
      <c r="H364" s="4" t="n">
        <f aca="false">COUNTIFS(Positions!$B$2:$B$6912,A364,Positions!$F$2:$F$6912,B364,Positions!$E$2:$E$6912,"C")</f>
        <v>1</v>
      </c>
      <c r="I364" s="3" t="n">
        <f aca="false">G364+H364</f>
        <v>2</v>
      </c>
      <c r="J364" s="6" t="n">
        <f aca="false">IF(F364=0,0,I364/F364)</f>
        <v>0.5</v>
      </c>
    </row>
    <row r="365" customFormat="false" ht="15" hidden="false" customHeight="false" outlineLevel="0" collapsed="false">
      <c r="A365" s="4" t="s">
        <v>109</v>
      </c>
      <c r="B365" s="4" t="s">
        <v>477</v>
      </c>
      <c r="C365" s="4" t="s">
        <v>553</v>
      </c>
      <c r="D365" s="4" t="s">
        <v>578</v>
      </c>
      <c r="E365" s="4" t="s">
        <v>563</v>
      </c>
      <c r="F365" s="4" t="n">
        <f aca="false">COUNTIFS(Positions!$B$2:$B$6912,A365,Positions!$F$2:$F$6912,B365)</f>
        <v>7</v>
      </c>
      <c r="G365" s="4" t="n">
        <f aca="false">COUNTIFS(Positions!$B$2:$B$6912,A365,Positions!$F$2:$F$6912,B365,Positions!$E$2:$E$6912,"G")</f>
        <v>1</v>
      </c>
      <c r="H365" s="4" t="n">
        <f aca="false">COUNTIFS(Positions!$B$2:$B$6912,A365,Positions!$F$2:$F$6912,B365,Positions!$E$2:$E$6912,"C")</f>
        <v>1</v>
      </c>
      <c r="I365" s="3" t="n">
        <f aca="false">G365+H365</f>
        <v>2</v>
      </c>
      <c r="J365" s="6" t="n">
        <f aca="false">IF(F365=0,0,I365/F365)</f>
        <v>0.285714285714286</v>
      </c>
    </row>
    <row r="366" customFormat="false" ht="15" hidden="false" customHeight="false" outlineLevel="0" collapsed="false">
      <c r="A366" s="7" t="s">
        <v>109</v>
      </c>
      <c r="B366" s="7" t="s">
        <v>556</v>
      </c>
      <c r="C366" s="7" t="s">
        <v>557</v>
      </c>
      <c r="D366" s="7" t="s">
        <v>557</v>
      </c>
      <c r="E366" s="7" t="s">
        <v>399</v>
      </c>
      <c r="F366" s="7" t="n">
        <f aca="false">COUNTIFS(Positions!$B$2:$B$6912,A366,Positions!$F$2:$F$6912,"Position 8")+COUNTIFS(Positions!$B$2:$B$6912,A366,Positions!$F$2:$F$6912,"Position 9")+COUNTIFS(Positions!$B$2:$B$6912,A366,Positions!$F$2:$F$6912,"Position 26")</f>
        <v>3</v>
      </c>
      <c r="G366" s="7" t="n">
        <f aca="false">COUNTIFS(Positions!$B$2:$B$6912,A366,Positions!$F$2:$F$6912,"Position 8",Positions!$E$2:$E$6912,"G")+COUNTIFS(Positions!$B$2:$B$6912,A366,Positions!$F$2:$F$6912,"Position 9",Positions!$E$2:$E$6912,"G")+COUNTIFS(Positions!$B$2:$B$6912,A366,Positions!$F$2:$F$6912,"Position 26",Positions!$E$2:$E$6912,"G")</f>
        <v>1</v>
      </c>
      <c r="H366" s="7" t="n">
        <f aca="false">COUNTIFS(Positions!$B$2:$B$6912,A366,Positions!$F$2:$F$6912,"Position 8",Positions!$E$2:$E$6912,"C")+COUNTIFS(Positions!$B$2:$B$6912,A366,Positions!$F$2:$F$6912,"Position 9",Positions!$E$2:$E$6912,"C")+COUNTIFS(Positions!$B$2:$B$6912,A366,Positions!$F$2:$F$6912,"Position 26",Positions!$E$2:$E$6912,"C")</f>
        <v>1</v>
      </c>
      <c r="I366" s="8" t="n">
        <f aca="false">G366+H366</f>
        <v>2</v>
      </c>
      <c r="J366" s="26" t="n">
        <f aca="false">IF(F366=0,0,I366/F366)</f>
        <v>0.666666666666667</v>
      </c>
    </row>
    <row r="367" customFormat="false" ht="15" hidden="false" customHeight="false" outlineLevel="0" collapsed="false">
      <c r="A367" s="4" t="s">
        <v>110</v>
      </c>
      <c r="B367" s="4" t="s">
        <v>430</v>
      </c>
      <c r="C367" s="4" t="s">
        <v>544</v>
      </c>
      <c r="D367" s="4" t="s">
        <v>572</v>
      </c>
      <c r="E367" s="4" t="s">
        <v>686</v>
      </c>
      <c r="F367" s="4" t="n">
        <f aca="false">COUNTIFS(Positions!$B$2:$B$6912,A367,Positions!$F$2:$F$6912,B367)</f>
        <v>7</v>
      </c>
      <c r="G367" s="4" t="n">
        <f aca="false">COUNTIFS(Positions!$B$2:$B$6912,A367,Positions!$F$2:$F$6912,B367,Positions!$E$2:$E$6912,"G")</f>
        <v>2</v>
      </c>
      <c r="H367" s="4" t="n">
        <f aca="false">COUNTIFS(Positions!$B$2:$B$6912,A367,Positions!$F$2:$F$6912,B367,Positions!$E$2:$E$6912,"C")</f>
        <v>0</v>
      </c>
      <c r="I367" s="3" t="n">
        <f aca="false">G367+H367</f>
        <v>2</v>
      </c>
      <c r="J367" s="6" t="n">
        <f aca="false">IF(F367=0,0,I367/F367)</f>
        <v>0.285714285714286</v>
      </c>
    </row>
    <row r="368" customFormat="false" ht="15" hidden="false" customHeight="false" outlineLevel="0" collapsed="false">
      <c r="A368" s="4" t="s">
        <v>110</v>
      </c>
      <c r="B368" s="4" t="s">
        <v>452</v>
      </c>
      <c r="C368" s="4" t="s">
        <v>547</v>
      </c>
      <c r="D368" s="4" t="s">
        <v>574</v>
      </c>
      <c r="E368" s="4" t="s">
        <v>549</v>
      </c>
      <c r="F368" s="4" t="n">
        <f aca="false">COUNTIFS(Positions!$B$2:$B$6912,A368,Positions!$F$2:$F$6912,B368)</f>
        <v>7</v>
      </c>
      <c r="G368" s="4" t="n">
        <f aca="false">COUNTIFS(Positions!$B$2:$B$6912,A368,Positions!$F$2:$F$6912,B368,Positions!$E$2:$E$6912,"G")</f>
        <v>0</v>
      </c>
      <c r="H368" s="4" t="n">
        <f aca="false">COUNTIFS(Positions!$B$2:$B$6912,A368,Positions!$F$2:$F$6912,B368,Positions!$E$2:$E$6912,"C")</f>
        <v>2</v>
      </c>
      <c r="I368" s="3" t="n">
        <f aca="false">G368+H368</f>
        <v>2</v>
      </c>
      <c r="J368" s="6" t="n">
        <f aca="false">IF(F368=0,0,I368/F368)</f>
        <v>0.285714285714286</v>
      </c>
    </row>
    <row r="369" customFormat="false" ht="15" hidden="false" customHeight="false" outlineLevel="0" collapsed="false">
      <c r="A369" s="4" t="s">
        <v>110</v>
      </c>
      <c r="B369" s="4" t="s">
        <v>465</v>
      </c>
      <c r="C369" s="4" t="s">
        <v>550</v>
      </c>
      <c r="D369" s="4" t="s">
        <v>576</v>
      </c>
      <c r="E369" s="4" t="s">
        <v>687</v>
      </c>
      <c r="F369" s="4" t="n">
        <f aca="false">COUNTIFS(Positions!$B$2:$B$6912,A369,Positions!$F$2:$F$6912,B369)</f>
        <v>5</v>
      </c>
      <c r="G369" s="4" t="n">
        <f aca="false">COUNTIFS(Positions!$B$2:$B$6912,A369,Positions!$F$2:$F$6912,B369,Positions!$E$2:$E$6912,"G")</f>
        <v>1</v>
      </c>
      <c r="H369" s="4" t="n">
        <f aca="false">COUNTIFS(Positions!$B$2:$B$6912,A369,Positions!$F$2:$F$6912,B369,Positions!$E$2:$E$6912,"C")</f>
        <v>1</v>
      </c>
      <c r="I369" s="3" t="n">
        <f aca="false">G369+H369</f>
        <v>2</v>
      </c>
      <c r="J369" s="6" t="n">
        <f aca="false">IF(F369=0,0,I369/F369)</f>
        <v>0.4</v>
      </c>
    </row>
    <row r="370" customFormat="false" ht="15" hidden="false" customHeight="false" outlineLevel="0" collapsed="false">
      <c r="A370" s="4" t="s">
        <v>110</v>
      </c>
      <c r="B370" s="4" t="s">
        <v>477</v>
      </c>
      <c r="C370" s="4" t="s">
        <v>553</v>
      </c>
      <c r="D370" s="4" t="s">
        <v>578</v>
      </c>
      <c r="E370" s="4" t="s">
        <v>606</v>
      </c>
      <c r="F370" s="4" t="n">
        <f aca="false">COUNTIFS(Positions!$B$2:$B$6912,A370,Positions!$F$2:$F$6912,B370)</f>
        <v>7</v>
      </c>
      <c r="G370" s="4" t="n">
        <f aca="false">COUNTIFS(Positions!$B$2:$B$6912,A370,Positions!$F$2:$F$6912,B370,Positions!$E$2:$E$6912,"G")</f>
        <v>1</v>
      </c>
      <c r="H370" s="4" t="n">
        <f aca="false">COUNTIFS(Positions!$B$2:$B$6912,A370,Positions!$F$2:$F$6912,B370,Positions!$E$2:$E$6912,"C")</f>
        <v>1</v>
      </c>
      <c r="I370" s="3" t="n">
        <f aca="false">G370+H370</f>
        <v>2</v>
      </c>
      <c r="J370" s="6" t="n">
        <f aca="false">IF(F370=0,0,I370/F370)</f>
        <v>0.285714285714286</v>
      </c>
    </row>
    <row r="371" customFormat="false" ht="15" hidden="false" customHeight="false" outlineLevel="0" collapsed="false">
      <c r="A371" s="7" t="s">
        <v>110</v>
      </c>
      <c r="B371" s="7" t="s">
        <v>556</v>
      </c>
      <c r="C371" s="7" t="s">
        <v>557</v>
      </c>
      <c r="D371" s="7" t="s">
        <v>579</v>
      </c>
      <c r="E371" s="7" t="s">
        <v>346</v>
      </c>
      <c r="F371" s="7" t="n">
        <f aca="false">COUNTIFS(Positions!$B$2:$B$6912,A371,Positions!$F$2:$F$6912,"Position 8")+COUNTIFS(Positions!$B$2:$B$6912,A371,Positions!$F$2:$F$6912,"Position 9")+COUNTIFS(Positions!$B$2:$B$6912,A371,Positions!$F$2:$F$6912,"Position 26")</f>
        <v>3</v>
      </c>
      <c r="G371" s="7" t="n">
        <f aca="false">COUNTIFS(Positions!$B$2:$B$6912,A371,Positions!$F$2:$F$6912,"Position 8",Positions!$E$2:$E$6912,"G")+COUNTIFS(Positions!$B$2:$B$6912,A371,Positions!$F$2:$F$6912,"Position 9",Positions!$E$2:$E$6912,"G")+COUNTIFS(Positions!$B$2:$B$6912,A371,Positions!$F$2:$F$6912,"Position 26",Positions!$E$2:$E$6912,"G")</f>
        <v>2</v>
      </c>
      <c r="H371" s="7" t="n">
        <f aca="false">COUNTIFS(Positions!$B$2:$B$6912,A371,Positions!$F$2:$F$6912,"Position 8",Positions!$E$2:$E$6912,"C")+COUNTIFS(Positions!$B$2:$B$6912,A371,Positions!$F$2:$F$6912,"Position 9",Positions!$E$2:$E$6912,"C")+COUNTIFS(Positions!$B$2:$B$6912,A371,Positions!$F$2:$F$6912,"Position 26",Positions!$E$2:$E$6912,"C")</f>
        <v>0</v>
      </c>
      <c r="I371" s="8" t="n">
        <f aca="false">G371+H371</f>
        <v>2</v>
      </c>
      <c r="J371" s="26" t="n">
        <f aca="false">IF(F371=0,0,I371/F371)</f>
        <v>0.666666666666667</v>
      </c>
    </row>
    <row r="372" customFormat="false" ht="15" hidden="false" customHeight="false" outlineLevel="0" collapsed="false">
      <c r="A372" s="4" t="s">
        <v>111</v>
      </c>
      <c r="B372" s="4" t="s">
        <v>430</v>
      </c>
      <c r="C372" s="4" t="s">
        <v>544</v>
      </c>
      <c r="D372" s="4" t="s">
        <v>545</v>
      </c>
      <c r="E372" s="4" t="s">
        <v>688</v>
      </c>
      <c r="F372" s="4" t="n">
        <f aca="false">COUNTIFS(Positions!$B$2:$B$6912,A372,Positions!$F$2:$F$6912,B372)</f>
        <v>9</v>
      </c>
      <c r="G372" s="4" t="n">
        <f aca="false">COUNTIFS(Positions!$B$2:$B$6912,A372,Positions!$F$2:$F$6912,B372,Positions!$E$2:$E$6912,"G")</f>
        <v>3</v>
      </c>
      <c r="H372" s="4" t="n">
        <f aca="false">COUNTIFS(Positions!$B$2:$B$6912,A372,Positions!$F$2:$F$6912,B372,Positions!$E$2:$E$6912,"C")</f>
        <v>1</v>
      </c>
      <c r="I372" s="3" t="n">
        <f aca="false">G372+H372</f>
        <v>4</v>
      </c>
      <c r="J372" s="6" t="n">
        <f aca="false">IF(F372=0,0,I372/F372)</f>
        <v>0.444444444444444</v>
      </c>
    </row>
    <row r="373" customFormat="false" ht="15" hidden="false" customHeight="false" outlineLevel="0" collapsed="false">
      <c r="A373" s="4" t="s">
        <v>111</v>
      </c>
      <c r="B373" s="4" t="s">
        <v>452</v>
      </c>
      <c r="C373" s="4" t="s">
        <v>547</v>
      </c>
      <c r="D373" s="4" t="s">
        <v>548</v>
      </c>
      <c r="E373" s="4" t="s">
        <v>549</v>
      </c>
      <c r="F373" s="4" t="n">
        <f aca="false">COUNTIFS(Positions!$B$2:$B$6912,A373,Positions!$F$2:$F$6912,B373)</f>
        <v>7</v>
      </c>
      <c r="G373" s="4" t="n">
        <f aca="false">COUNTIFS(Positions!$B$2:$B$6912,A373,Positions!$F$2:$F$6912,B373,Positions!$E$2:$E$6912,"G")</f>
        <v>0</v>
      </c>
      <c r="H373" s="4" t="n">
        <f aca="false">COUNTIFS(Positions!$B$2:$B$6912,A373,Positions!$F$2:$F$6912,B373,Positions!$E$2:$E$6912,"C")</f>
        <v>2</v>
      </c>
      <c r="I373" s="3" t="n">
        <f aca="false">G373+H373</f>
        <v>2</v>
      </c>
      <c r="J373" s="6" t="n">
        <f aca="false">IF(F373=0,0,I373/F373)</f>
        <v>0.285714285714286</v>
      </c>
    </row>
    <row r="374" customFormat="false" ht="15" hidden="false" customHeight="false" outlineLevel="0" collapsed="false">
      <c r="A374" s="4" t="s">
        <v>111</v>
      </c>
      <c r="B374" s="4" t="s">
        <v>465</v>
      </c>
      <c r="C374" s="4" t="s">
        <v>550</v>
      </c>
      <c r="D374" s="4" t="s">
        <v>551</v>
      </c>
      <c r="E374" s="4" t="s">
        <v>552</v>
      </c>
      <c r="F374" s="4" t="n">
        <f aca="false">COUNTIFS(Positions!$B$2:$B$6912,A374,Positions!$F$2:$F$6912,B374)</f>
        <v>5</v>
      </c>
      <c r="G374" s="4" t="n">
        <f aca="false">COUNTIFS(Positions!$B$2:$B$6912,A374,Positions!$F$2:$F$6912,B374,Positions!$E$2:$E$6912,"G")</f>
        <v>1</v>
      </c>
      <c r="H374" s="4" t="n">
        <f aca="false">COUNTIFS(Positions!$B$2:$B$6912,A374,Positions!$F$2:$F$6912,B374,Positions!$E$2:$E$6912,"C")</f>
        <v>1</v>
      </c>
      <c r="I374" s="3" t="n">
        <f aca="false">G374+H374</f>
        <v>2</v>
      </c>
      <c r="J374" s="6" t="n">
        <f aca="false">IF(F374=0,0,I374/F374)</f>
        <v>0.4</v>
      </c>
    </row>
    <row r="375" customFormat="false" ht="15" hidden="false" customHeight="false" outlineLevel="0" collapsed="false">
      <c r="A375" s="4" t="s">
        <v>111</v>
      </c>
      <c r="B375" s="4" t="s">
        <v>477</v>
      </c>
      <c r="C375" s="4" t="s">
        <v>553</v>
      </c>
      <c r="D375" s="4" t="s">
        <v>554</v>
      </c>
      <c r="E375" s="4" t="s">
        <v>570</v>
      </c>
      <c r="F375" s="4" t="n">
        <f aca="false">COUNTIFS(Positions!$B$2:$B$6912,A375,Positions!$F$2:$F$6912,B375)</f>
        <v>7</v>
      </c>
      <c r="G375" s="4" t="n">
        <f aca="false">COUNTIFS(Positions!$B$2:$B$6912,A375,Positions!$F$2:$F$6912,B375,Positions!$E$2:$E$6912,"G")</f>
        <v>0</v>
      </c>
      <c r="H375" s="4" t="n">
        <f aca="false">COUNTIFS(Positions!$B$2:$B$6912,A375,Positions!$F$2:$F$6912,B375,Positions!$E$2:$E$6912,"C")</f>
        <v>1</v>
      </c>
      <c r="I375" s="3" t="n">
        <f aca="false">G375+H375</f>
        <v>1</v>
      </c>
      <c r="J375" s="6" t="n">
        <f aca="false">IF(F375=0,0,I375/F375)</f>
        <v>0.142857142857143</v>
      </c>
    </row>
    <row r="376" customFormat="false" ht="15" hidden="false" customHeight="false" outlineLevel="0" collapsed="false">
      <c r="A376" s="7" t="s">
        <v>111</v>
      </c>
      <c r="B376" s="7" t="s">
        <v>556</v>
      </c>
      <c r="C376" s="7" t="s">
        <v>557</v>
      </c>
      <c r="D376" s="7" t="s">
        <v>558</v>
      </c>
      <c r="E376" s="7" t="s">
        <v>346</v>
      </c>
      <c r="F376" s="7" t="n">
        <f aca="false">COUNTIFS(Positions!$B$2:$B$6912,A376,Positions!$F$2:$F$6912,"Position 8")+COUNTIFS(Positions!$B$2:$B$6912,A376,Positions!$F$2:$F$6912,"Position 9")+COUNTIFS(Positions!$B$2:$B$6912,A376,Positions!$F$2:$F$6912,"Position 26")</f>
        <v>3</v>
      </c>
      <c r="G376" s="7" t="n">
        <f aca="false">COUNTIFS(Positions!$B$2:$B$6912,A376,Positions!$F$2:$F$6912,"Position 8",Positions!$E$2:$E$6912,"G")+COUNTIFS(Positions!$B$2:$B$6912,A376,Positions!$F$2:$F$6912,"Position 9",Positions!$E$2:$E$6912,"G")+COUNTIFS(Positions!$B$2:$B$6912,A376,Positions!$F$2:$F$6912,"Position 26",Positions!$E$2:$E$6912,"G")</f>
        <v>2</v>
      </c>
      <c r="H376" s="7" t="n">
        <f aca="false">COUNTIFS(Positions!$B$2:$B$6912,A376,Positions!$F$2:$F$6912,"Position 8",Positions!$E$2:$E$6912,"C")+COUNTIFS(Positions!$B$2:$B$6912,A376,Positions!$F$2:$F$6912,"Position 9",Positions!$E$2:$E$6912,"C")+COUNTIFS(Positions!$B$2:$B$6912,A376,Positions!$F$2:$F$6912,"Position 26",Positions!$E$2:$E$6912,"C")</f>
        <v>0</v>
      </c>
      <c r="I376" s="8" t="n">
        <f aca="false">G376+H376</f>
        <v>2</v>
      </c>
      <c r="J376" s="26" t="n">
        <f aca="false">IF(F376=0,0,I376/F376)</f>
        <v>0.666666666666667</v>
      </c>
    </row>
    <row r="377" customFormat="false" ht="15" hidden="false" customHeight="false" outlineLevel="0" collapsed="false">
      <c r="A377" s="4" t="s">
        <v>112</v>
      </c>
      <c r="B377" s="4" t="s">
        <v>430</v>
      </c>
      <c r="C377" s="4" t="s">
        <v>544</v>
      </c>
      <c r="D377" s="4" t="s">
        <v>544</v>
      </c>
      <c r="E377" s="4" t="s">
        <v>689</v>
      </c>
      <c r="F377" s="4" t="n">
        <f aca="false">COUNTIFS(Positions!$B$2:$B$6912,A377,Positions!$F$2:$F$6912,B377)</f>
        <v>8</v>
      </c>
      <c r="G377" s="4" t="n">
        <f aca="false">COUNTIFS(Positions!$B$2:$B$6912,A377,Positions!$F$2:$F$6912,B377,Positions!$E$2:$E$6912,"G")</f>
        <v>4</v>
      </c>
      <c r="H377" s="4" t="n">
        <f aca="false">COUNTIFS(Positions!$B$2:$B$6912,A377,Positions!$F$2:$F$6912,B377,Positions!$E$2:$E$6912,"C")</f>
        <v>1</v>
      </c>
      <c r="I377" s="3" t="n">
        <f aca="false">G377+H377</f>
        <v>5</v>
      </c>
      <c r="J377" s="6" t="n">
        <f aca="false">IF(F377=0,0,I377/F377)</f>
        <v>0.625</v>
      </c>
    </row>
    <row r="378" customFormat="false" ht="15" hidden="false" customHeight="false" outlineLevel="0" collapsed="false">
      <c r="A378" s="4" t="s">
        <v>112</v>
      </c>
      <c r="B378" s="4" t="s">
        <v>452</v>
      </c>
      <c r="C378" s="4" t="s">
        <v>547</v>
      </c>
      <c r="D378" s="4" t="s">
        <v>547</v>
      </c>
      <c r="E378" s="4" t="s">
        <v>549</v>
      </c>
      <c r="F378" s="4" t="n">
        <f aca="false">COUNTIFS(Positions!$B$2:$B$6912,A378,Positions!$F$2:$F$6912,B378)</f>
        <v>7</v>
      </c>
      <c r="G378" s="4" t="n">
        <f aca="false">COUNTIFS(Positions!$B$2:$B$6912,A378,Positions!$F$2:$F$6912,B378,Positions!$E$2:$E$6912,"G")</f>
        <v>0</v>
      </c>
      <c r="H378" s="4" t="n">
        <f aca="false">COUNTIFS(Positions!$B$2:$B$6912,A378,Positions!$F$2:$F$6912,B378,Positions!$E$2:$E$6912,"C")</f>
        <v>2</v>
      </c>
      <c r="I378" s="3" t="n">
        <f aca="false">G378+H378</f>
        <v>2</v>
      </c>
      <c r="J378" s="6" t="n">
        <f aca="false">IF(F378=0,0,I378/F378)</f>
        <v>0.285714285714286</v>
      </c>
    </row>
    <row r="379" customFormat="false" ht="15" hidden="false" customHeight="false" outlineLevel="0" collapsed="false">
      <c r="A379" s="4" t="s">
        <v>112</v>
      </c>
      <c r="B379" s="4" t="s">
        <v>465</v>
      </c>
      <c r="C379" s="4" t="s">
        <v>550</v>
      </c>
      <c r="D379" s="4" t="s">
        <v>550</v>
      </c>
      <c r="E379" s="4" t="s">
        <v>591</v>
      </c>
      <c r="F379" s="4" t="n">
        <f aca="false">COUNTIFS(Positions!$B$2:$B$6912,A379,Positions!$F$2:$F$6912,B379)</f>
        <v>5</v>
      </c>
      <c r="G379" s="4" t="n">
        <f aca="false">COUNTIFS(Positions!$B$2:$B$6912,A379,Positions!$F$2:$F$6912,B379,Positions!$E$2:$E$6912,"G")</f>
        <v>2</v>
      </c>
      <c r="H379" s="4" t="n">
        <f aca="false">COUNTIFS(Positions!$B$2:$B$6912,A379,Positions!$F$2:$F$6912,B379,Positions!$E$2:$E$6912,"C")</f>
        <v>1</v>
      </c>
      <c r="I379" s="3" t="n">
        <f aca="false">G379+H379</f>
        <v>3</v>
      </c>
      <c r="J379" s="6" t="n">
        <f aca="false">IF(F379=0,0,I379/F379)</f>
        <v>0.6</v>
      </c>
    </row>
    <row r="380" customFormat="false" ht="15" hidden="false" customHeight="false" outlineLevel="0" collapsed="false">
      <c r="A380" s="4" t="s">
        <v>112</v>
      </c>
      <c r="B380" s="4" t="s">
        <v>477</v>
      </c>
      <c r="C380" s="4" t="s">
        <v>553</v>
      </c>
      <c r="D380" s="4" t="s">
        <v>553</v>
      </c>
      <c r="E380" s="4" t="s">
        <v>622</v>
      </c>
      <c r="F380" s="4" t="n">
        <f aca="false">COUNTIFS(Positions!$B$2:$B$6912,A380,Positions!$F$2:$F$6912,B380)</f>
        <v>7</v>
      </c>
      <c r="G380" s="4" t="n">
        <f aca="false">COUNTIFS(Positions!$B$2:$B$6912,A380,Positions!$F$2:$F$6912,B380,Positions!$E$2:$E$6912,"G")</f>
        <v>1</v>
      </c>
      <c r="H380" s="4" t="n">
        <f aca="false">COUNTIFS(Positions!$B$2:$B$6912,A380,Positions!$F$2:$F$6912,B380,Positions!$E$2:$E$6912,"C")</f>
        <v>2</v>
      </c>
      <c r="I380" s="3" t="n">
        <f aca="false">G380+H380</f>
        <v>3</v>
      </c>
      <c r="J380" s="6" t="n">
        <f aca="false">IF(F380=0,0,I380/F380)</f>
        <v>0.428571428571429</v>
      </c>
    </row>
    <row r="381" customFormat="false" ht="15" hidden="false" customHeight="false" outlineLevel="0" collapsed="false">
      <c r="A381" s="7" t="s">
        <v>112</v>
      </c>
      <c r="B381" s="7" t="s">
        <v>556</v>
      </c>
      <c r="C381" s="7" t="s">
        <v>557</v>
      </c>
      <c r="D381" s="7" t="s">
        <v>557</v>
      </c>
      <c r="E381" s="7" t="s">
        <v>346</v>
      </c>
      <c r="F381" s="7" t="n">
        <f aca="false">COUNTIFS(Positions!$B$2:$B$6912,A381,Positions!$F$2:$F$6912,"Position 8")+COUNTIFS(Positions!$B$2:$B$6912,A381,Positions!$F$2:$F$6912,"Position 9")+COUNTIFS(Positions!$B$2:$B$6912,A381,Positions!$F$2:$F$6912,"Position 26")</f>
        <v>3</v>
      </c>
      <c r="G381" s="7" t="n">
        <f aca="false">COUNTIFS(Positions!$B$2:$B$6912,A381,Positions!$F$2:$F$6912,"Position 8",Positions!$E$2:$E$6912,"G")+COUNTIFS(Positions!$B$2:$B$6912,A381,Positions!$F$2:$F$6912,"Position 9",Positions!$E$2:$E$6912,"G")+COUNTIFS(Positions!$B$2:$B$6912,A381,Positions!$F$2:$F$6912,"Position 26",Positions!$E$2:$E$6912,"G")</f>
        <v>2</v>
      </c>
      <c r="H381" s="7" t="n">
        <f aca="false">COUNTIFS(Positions!$B$2:$B$6912,A381,Positions!$F$2:$F$6912,"Position 8",Positions!$E$2:$E$6912,"C")+COUNTIFS(Positions!$B$2:$B$6912,A381,Positions!$F$2:$F$6912,"Position 9",Positions!$E$2:$E$6912,"C")+COUNTIFS(Positions!$B$2:$B$6912,A381,Positions!$F$2:$F$6912,"Position 26",Positions!$E$2:$E$6912,"C")</f>
        <v>0</v>
      </c>
      <c r="I381" s="8" t="n">
        <f aca="false">G381+H381</f>
        <v>2</v>
      </c>
      <c r="J381" s="26" t="n">
        <f aca="false">IF(F381=0,0,I381/F381)</f>
        <v>0.666666666666667</v>
      </c>
    </row>
    <row r="382" customFormat="false" ht="15" hidden="false" customHeight="false" outlineLevel="0" collapsed="false">
      <c r="A382" s="4" t="s">
        <v>113</v>
      </c>
      <c r="B382" s="4" t="s">
        <v>430</v>
      </c>
      <c r="C382" s="4" t="s">
        <v>544</v>
      </c>
      <c r="D382" s="4" t="s">
        <v>545</v>
      </c>
      <c r="E382" s="4" t="s">
        <v>628</v>
      </c>
      <c r="F382" s="4" t="n">
        <f aca="false">COUNTIFS(Positions!$B$2:$B$6912,A382,Positions!$F$2:$F$6912,B382)</f>
        <v>9</v>
      </c>
      <c r="G382" s="4" t="n">
        <f aca="false">COUNTIFS(Positions!$B$2:$B$6912,A382,Positions!$F$2:$F$6912,B382,Positions!$E$2:$E$6912,"G")</f>
        <v>3</v>
      </c>
      <c r="H382" s="4" t="n">
        <f aca="false">COUNTIFS(Positions!$B$2:$B$6912,A382,Positions!$F$2:$F$6912,B382,Positions!$E$2:$E$6912,"C")</f>
        <v>0</v>
      </c>
      <c r="I382" s="3" t="n">
        <f aca="false">G382+H382</f>
        <v>3</v>
      </c>
      <c r="J382" s="6" t="n">
        <f aca="false">IF(F382=0,0,I382/F382)</f>
        <v>0.333333333333333</v>
      </c>
    </row>
    <row r="383" customFormat="false" ht="15" hidden="false" customHeight="false" outlineLevel="0" collapsed="false">
      <c r="A383" s="4" t="s">
        <v>113</v>
      </c>
      <c r="B383" s="4" t="s">
        <v>452</v>
      </c>
      <c r="C383" s="4" t="s">
        <v>547</v>
      </c>
      <c r="D383" s="4" t="s">
        <v>548</v>
      </c>
      <c r="E383" s="4" t="s">
        <v>630</v>
      </c>
      <c r="F383" s="4" t="n">
        <f aca="false">COUNTIFS(Positions!$B$2:$B$6912,A383,Positions!$F$2:$F$6912,B383)</f>
        <v>7</v>
      </c>
      <c r="G383" s="4" t="n">
        <f aca="false">COUNTIFS(Positions!$B$2:$B$6912,A383,Positions!$F$2:$F$6912,B383,Positions!$E$2:$E$6912,"G")</f>
        <v>1</v>
      </c>
      <c r="H383" s="4" t="n">
        <f aca="false">COUNTIFS(Positions!$B$2:$B$6912,A383,Positions!$F$2:$F$6912,B383,Positions!$E$2:$E$6912,"C")</f>
        <v>3</v>
      </c>
      <c r="I383" s="3" t="n">
        <f aca="false">G383+H383</f>
        <v>4</v>
      </c>
      <c r="J383" s="6" t="n">
        <f aca="false">IF(F383=0,0,I383/F383)</f>
        <v>0.571428571428571</v>
      </c>
    </row>
    <row r="384" customFormat="false" ht="15" hidden="false" customHeight="false" outlineLevel="0" collapsed="false">
      <c r="A384" s="4" t="s">
        <v>113</v>
      </c>
      <c r="B384" s="4" t="s">
        <v>465</v>
      </c>
      <c r="C384" s="4" t="s">
        <v>550</v>
      </c>
      <c r="D384" s="4" t="s">
        <v>551</v>
      </c>
      <c r="E384" s="4" t="s">
        <v>552</v>
      </c>
      <c r="F384" s="4" t="n">
        <f aca="false">COUNTIFS(Positions!$B$2:$B$6912,A384,Positions!$F$2:$F$6912,B384)</f>
        <v>5</v>
      </c>
      <c r="G384" s="4" t="n">
        <f aca="false">COUNTIFS(Positions!$B$2:$B$6912,A384,Positions!$F$2:$F$6912,B384,Positions!$E$2:$E$6912,"G")</f>
        <v>1</v>
      </c>
      <c r="H384" s="4" t="n">
        <f aca="false">COUNTIFS(Positions!$B$2:$B$6912,A384,Positions!$F$2:$F$6912,B384,Positions!$E$2:$E$6912,"C")</f>
        <v>1</v>
      </c>
      <c r="I384" s="3" t="n">
        <f aca="false">G384+H384</f>
        <v>2</v>
      </c>
      <c r="J384" s="6" t="n">
        <f aca="false">IF(F384=0,0,I384/F384)</f>
        <v>0.4</v>
      </c>
    </row>
    <row r="385" customFormat="false" ht="15" hidden="false" customHeight="false" outlineLevel="0" collapsed="false">
      <c r="A385" s="4" t="s">
        <v>113</v>
      </c>
      <c r="B385" s="4" t="s">
        <v>477</v>
      </c>
      <c r="C385" s="4" t="s">
        <v>553</v>
      </c>
      <c r="D385" s="4" t="s">
        <v>554</v>
      </c>
      <c r="E385" s="4" t="s">
        <v>647</v>
      </c>
      <c r="F385" s="4" t="n">
        <f aca="false">COUNTIFS(Positions!$B$2:$B$6912,A385,Positions!$F$2:$F$6912,B385)</f>
        <v>7</v>
      </c>
      <c r="G385" s="4" t="n">
        <f aca="false">COUNTIFS(Positions!$B$2:$B$6912,A385,Positions!$F$2:$F$6912,B385,Positions!$E$2:$E$6912,"G")</f>
        <v>2</v>
      </c>
      <c r="H385" s="4" t="n">
        <f aca="false">COUNTIFS(Positions!$B$2:$B$6912,A385,Positions!$F$2:$F$6912,B385,Positions!$E$2:$E$6912,"C")</f>
        <v>1</v>
      </c>
      <c r="I385" s="3" t="n">
        <f aca="false">G385+H385</f>
        <v>3</v>
      </c>
      <c r="J385" s="6" t="n">
        <f aca="false">IF(F385=0,0,I385/F385)</f>
        <v>0.428571428571429</v>
      </c>
    </row>
    <row r="386" customFormat="false" ht="15" hidden="false" customHeight="false" outlineLevel="0" collapsed="false">
      <c r="A386" s="7" t="s">
        <v>113</v>
      </c>
      <c r="B386" s="7" t="s">
        <v>556</v>
      </c>
      <c r="C386" s="7" t="s">
        <v>557</v>
      </c>
      <c r="D386" s="7" t="s">
        <v>558</v>
      </c>
      <c r="E386" s="7" t="s">
        <v>595</v>
      </c>
      <c r="F386" s="7" t="n">
        <f aca="false">COUNTIFS(Positions!$B$2:$B$6912,A386,Positions!$F$2:$F$6912,"Position 8")+COUNTIFS(Positions!$B$2:$B$6912,A386,Positions!$F$2:$F$6912,"Position 9")+COUNTIFS(Positions!$B$2:$B$6912,A386,Positions!$F$2:$F$6912,"Position 26")</f>
        <v>3</v>
      </c>
      <c r="G386" s="7" t="n">
        <f aca="false">COUNTIFS(Positions!$B$2:$B$6912,A386,Positions!$F$2:$F$6912,"Position 8",Positions!$E$2:$E$6912,"G")+COUNTIFS(Positions!$B$2:$B$6912,A386,Positions!$F$2:$F$6912,"Position 9",Positions!$E$2:$E$6912,"G")+COUNTIFS(Positions!$B$2:$B$6912,A386,Positions!$F$2:$F$6912,"Position 26",Positions!$E$2:$E$6912,"G")</f>
        <v>1</v>
      </c>
      <c r="H386" s="7" t="n">
        <f aca="false">COUNTIFS(Positions!$B$2:$B$6912,A386,Positions!$F$2:$F$6912,"Position 8",Positions!$E$2:$E$6912,"C")+COUNTIFS(Positions!$B$2:$B$6912,A386,Positions!$F$2:$F$6912,"Position 9",Positions!$E$2:$E$6912,"C")+COUNTIFS(Positions!$B$2:$B$6912,A386,Positions!$F$2:$F$6912,"Position 26",Positions!$E$2:$E$6912,"C")</f>
        <v>0</v>
      </c>
      <c r="I386" s="8" t="n">
        <f aca="false">G386+H386</f>
        <v>1</v>
      </c>
      <c r="J386" s="26" t="n">
        <f aca="false">IF(F386=0,0,I386/F386)</f>
        <v>0.333333333333333</v>
      </c>
    </row>
    <row r="387" customFormat="false" ht="15" hidden="false" customHeight="false" outlineLevel="0" collapsed="false">
      <c r="A387" s="4" t="s">
        <v>114</v>
      </c>
      <c r="B387" s="4" t="s">
        <v>430</v>
      </c>
      <c r="C387" s="4" t="s">
        <v>544</v>
      </c>
      <c r="D387" s="4" t="s">
        <v>545</v>
      </c>
      <c r="E387" s="4" t="s">
        <v>690</v>
      </c>
      <c r="F387" s="4" t="n">
        <f aca="false">COUNTIFS(Positions!$B$2:$B$6912,A387,Positions!$F$2:$F$6912,B387)</f>
        <v>9</v>
      </c>
      <c r="G387" s="4" t="n">
        <f aca="false">COUNTIFS(Positions!$B$2:$B$6912,A387,Positions!$F$2:$F$6912,B387,Positions!$E$2:$E$6912,"G")</f>
        <v>3</v>
      </c>
      <c r="H387" s="4" t="n">
        <f aca="false">COUNTIFS(Positions!$B$2:$B$6912,A387,Positions!$F$2:$F$6912,B387,Positions!$E$2:$E$6912,"C")</f>
        <v>1</v>
      </c>
      <c r="I387" s="3" t="n">
        <f aca="false">G387+H387</f>
        <v>4</v>
      </c>
      <c r="J387" s="6" t="n">
        <f aca="false">IF(F387=0,0,I387/F387)</f>
        <v>0.444444444444444</v>
      </c>
    </row>
    <row r="388" customFormat="false" ht="15" hidden="false" customHeight="false" outlineLevel="0" collapsed="false">
      <c r="A388" s="4" t="s">
        <v>114</v>
      </c>
      <c r="B388" s="4" t="s">
        <v>452</v>
      </c>
      <c r="C388" s="4" t="s">
        <v>547</v>
      </c>
      <c r="D388" s="4" t="s">
        <v>548</v>
      </c>
      <c r="E388" s="4" t="s">
        <v>691</v>
      </c>
      <c r="F388" s="4" t="n">
        <f aca="false">COUNTIFS(Positions!$B$2:$B$6912,A388,Positions!$F$2:$F$6912,B388)</f>
        <v>7</v>
      </c>
      <c r="G388" s="4" t="n">
        <f aca="false">COUNTIFS(Positions!$B$2:$B$6912,A388,Positions!$F$2:$F$6912,B388,Positions!$E$2:$E$6912,"G")</f>
        <v>1</v>
      </c>
      <c r="H388" s="4" t="n">
        <f aca="false">COUNTIFS(Positions!$B$2:$B$6912,A388,Positions!$F$2:$F$6912,B388,Positions!$E$2:$E$6912,"C")</f>
        <v>1</v>
      </c>
      <c r="I388" s="3" t="n">
        <f aca="false">G388+H388</f>
        <v>2</v>
      </c>
      <c r="J388" s="6" t="n">
        <f aca="false">IF(F388=0,0,I388/F388)</f>
        <v>0.285714285714286</v>
      </c>
    </row>
    <row r="389" customFormat="false" ht="15" hidden="false" customHeight="false" outlineLevel="0" collapsed="false">
      <c r="A389" s="4" t="s">
        <v>114</v>
      </c>
      <c r="B389" s="4" t="s">
        <v>465</v>
      </c>
      <c r="C389" s="4" t="s">
        <v>550</v>
      </c>
      <c r="D389" s="4" t="s">
        <v>551</v>
      </c>
      <c r="E389" s="4" t="s">
        <v>591</v>
      </c>
      <c r="F389" s="4" t="n">
        <f aca="false">COUNTIFS(Positions!$B$2:$B$6912,A389,Positions!$F$2:$F$6912,B389)</f>
        <v>5</v>
      </c>
      <c r="G389" s="4" t="n">
        <f aca="false">COUNTIFS(Positions!$B$2:$B$6912,A389,Positions!$F$2:$F$6912,B389,Positions!$E$2:$E$6912,"G")</f>
        <v>2</v>
      </c>
      <c r="H389" s="4" t="n">
        <f aca="false">COUNTIFS(Positions!$B$2:$B$6912,A389,Positions!$F$2:$F$6912,B389,Positions!$E$2:$E$6912,"C")</f>
        <v>1</v>
      </c>
      <c r="I389" s="3" t="n">
        <f aca="false">G389+H389</f>
        <v>3</v>
      </c>
      <c r="J389" s="6" t="n">
        <f aca="false">IF(F389=0,0,I389/F389)</f>
        <v>0.6</v>
      </c>
    </row>
    <row r="390" customFormat="false" ht="15" hidden="false" customHeight="false" outlineLevel="0" collapsed="false">
      <c r="A390" s="4" t="s">
        <v>114</v>
      </c>
      <c r="B390" s="4" t="s">
        <v>477</v>
      </c>
      <c r="C390" s="4" t="s">
        <v>553</v>
      </c>
      <c r="D390" s="4" t="s">
        <v>554</v>
      </c>
      <c r="E390" s="4" t="s">
        <v>610</v>
      </c>
      <c r="F390" s="4" t="n">
        <f aca="false">COUNTIFS(Positions!$B$2:$B$6912,A390,Positions!$F$2:$F$6912,B390)</f>
        <v>7</v>
      </c>
      <c r="G390" s="4" t="n">
        <f aca="false">COUNTIFS(Positions!$B$2:$B$6912,A390,Positions!$F$2:$F$6912,B390,Positions!$E$2:$E$6912,"G")</f>
        <v>1</v>
      </c>
      <c r="H390" s="4" t="n">
        <f aca="false">COUNTIFS(Positions!$B$2:$B$6912,A390,Positions!$F$2:$F$6912,B390,Positions!$E$2:$E$6912,"C")</f>
        <v>1</v>
      </c>
      <c r="I390" s="3" t="n">
        <f aca="false">G390+H390</f>
        <v>2</v>
      </c>
      <c r="J390" s="6" t="n">
        <f aca="false">IF(F390=0,0,I390/F390)</f>
        <v>0.285714285714286</v>
      </c>
    </row>
    <row r="391" customFormat="false" ht="15" hidden="false" customHeight="false" outlineLevel="0" collapsed="false">
      <c r="A391" s="7" t="s">
        <v>114</v>
      </c>
      <c r="B391" s="7" t="s">
        <v>556</v>
      </c>
      <c r="C391" s="7" t="s">
        <v>557</v>
      </c>
      <c r="D391" s="7" t="s">
        <v>558</v>
      </c>
      <c r="E391" s="7" t="s">
        <v>580</v>
      </c>
      <c r="F391" s="7" t="n">
        <f aca="false">COUNTIFS(Positions!$B$2:$B$6912,A391,Positions!$F$2:$F$6912,"Position 8")+COUNTIFS(Positions!$B$2:$B$6912,A391,Positions!$F$2:$F$6912,"Position 9")+COUNTIFS(Positions!$B$2:$B$6912,A391,Positions!$F$2:$F$6912,"Position 26")</f>
        <v>3</v>
      </c>
      <c r="G391" s="7" t="n">
        <f aca="false">COUNTIFS(Positions!$B$2:$B$6912,A391,Positions!$F$2:$F$6912,"Position 8",Positions!$E$2:$E$6912,"G")+COUNTIFS(Positions!$B$2:$B$6912,A391,Positions!$F$2:$F$6912,"Position 9",Positions!$E$2:$E$6912,"G")+COUNTIFS(Positions!$B$2:$B$6912,A391,Positions!$F$2:$F$6912,"Position 26",Positions!$E$2:$E$6912,"G")</f>
        <v>1</v>
      </c>
      <c r="H391" s="7" t="n">
        <f aca="false">COUNTIFS(Positions!$B$2:$B$6912,A391,Positions!$F$2:$F$6912,"Position 8",Positions!$E$2:$E$6912,"C")+COUNTIFS(Positions!$B$2:$B$6912,A391,Positions!$F$2:$F$6912,"Position 9",Positions!$E$2:$E$6912,"C")+COUNTIFS(Positions!$B$2:$B$6912,A391,Positions!$F$2:$F$6912,"Position 26",Positions!$E$2:$E$6912,"C")</f>
        <v>0</v>
      </c>
      <c r="I391" s="8" t="n">
        <f aca="false">G391+H391</f>
        <v>1</v>
      </c>
      <c r="J391" s="26" t="n">
        <f aca="false">IF(F391=0,0,I391/F391)</f>
        <v>0.333333333333333</v>
      </c>
    </row>
    <row r="392" customFormat="false" ht="15" hidden="false" customHeight="false" outlineLevel="0" collapsed="false">
      <c r="A392" s="4" t="s">
        <v>115</v>
      </c>
      <c r="B392" s="4" t="s">
        <v>430</v>
      </c>
      <c r="C392" s="4" t="s">
        <v>544</v>
      </c>
      <c r="D392" s="4" t="s">
        <v>545</v>
      </c>
      <c r="E392" s="4" t="s">
        <v>679</v>
      </c>
      <c r="F392" s="4" t="n">
        <f aca="false">COUNTIFS(Positions!$B$2:$B$6912,A392,Positions!$F$2:$F$6912,B392)</f>
        <v>9</v>
      </c>
      <c r="G392" s="4" t="n">
        <f aca="false">COUNTIFS(Positions!$B$2:$B$6912,A392,Positions!$F$2:$F$6912,B392,Positions!$E$2:$E$6912,"G")</f>
        <v>3</v>
      </c>
      <c r="H392" s="4" t="n">
        <f aca="false">COUNTIFS(Positions!$B$2:$B$6912,A392,Positions!$F$2:$F$6912,B392,Positions!$E$2:$E$6912,"C")</f>
        <v>2</v>
      </c>
      <c r="I392" s="3" t="n">
        <f aca="false">G392+H392</f>
        <v>5</v>
      </c>
      <c r="J392" s="6" t="n">
        <f aca="false">IF(F392=0,0,I392/F392)</f>
        <v>0.555555555555556</v>
      </c>
    </row>
    <row r="393" customFormat="false" ht="15" hidden="false" customHeight="false" outlineLevel="0" collapsed="false">
      <c r="A393" s="4" t="s">
        <v>115</v>
      </c>
      <c r="B393" s="4" t="s">
        <v>452</v>
      </c>
      <c r="C393" s="4" t="s">
        <v>547</v>
      </c>
      <c r="D393" s="4" t="s">
        <v>548</v>
      </c>
      <c r="E393" s="4" t="s">
        <v>549</v>
      </c>
      <c r="F393" s="4" t="n">
        <f aca="false">COUNTIFS(Positions!$B$2:$B$6912,A393,Positions!$F$2:$F$6912,B393)</f>
        <v>7</v>
      </c>
      <c r="G393" s="4" t="n">
        <f aca="false">COUNTIFS(Positions!$B$2:$B$6912,A393,Positions!$F$2:$F$6912,B393,Positions!$E$2:$E$6912,"G")</f>
        <v>0</v>
      </c>
      <c r="H393" s="4" t="n">
        <f aca="false">COUNTIFS(Positions!$B$2:$B$6912,A393,Positions!$F$2:$F$6912,B393,Positions!$E$2:$E$6912,"C")</f>
        <v>2</v>
      </c>
      <c r="I393" s="3" t="n">
        <f aca="false">G393+H393</f>
        <v>2</v>
      </c>
      <c r="J393" s="6" t="n">
        <f aca="false">IF(F393=0,0,I393/F393)</f>
        <v>0.285714285714286</v>
      </c>
    </row>
    <row r="394" customFormat="false" ht="15" hidden="false" customHeight="false" outlineLevel="0" collapsed="false">
      <c r="A394" s="4" t="s">
        <v>115</v>
      </c>
      <c r="B394" s="4" t="s">
        <v>465</v>
      </c>
      <c r="C394" s="4" t="s">
        <v>550</v>
      </c>
      <c r="D394" s="4" t="s">
        <v>551</v>
      </c>
      <c r="E394" s="4" t="s">
        <v>591</v>
      </c>
      <c r="F394" s="4" t="n">
        <f aca="false">COUNTIFS(Positions!$B$2:$B$6912,A394,Positions!$F$2:$F$6912,B394)</f>
        <v>5</v>
      </c>
      <c r="G394" s="4" t="n">
        <f aca="false">COUNTIFS(Positions!$B$2:$B$6912,A394,Positions!$F$2:$F$6912,B394,Positions!$E$2:$E$6912,"G")</f>
        <v>2</v>
      </c>
      <c r="H394" s="4" t="n">
        <f aca="false">COUNTIFS(Positions!$B$2:$B$6912,A394,Positions!$F$2:$F$6912,B394,Positions!$E$2:$E$6912,"C")</f>
        <v>1</v>
      </c>
      <c r="I394" s="3" t="n">
        <f aca="false">G394+H394</f>
        <v>3</v>
      </c>
      <c r="J394" s="6" t="n">
        <f aca="false">IF(F394=0,0,I394/F394)</f>
        <v>0.6</v>
      </c>
    </row>
    <row r="395" customFormat="false" ht="15" hidden="false" customHeight="false" outlineLevel="0" collapsed="false">
      <c r="A395" s="4" t="s">
        <v>115</v>
      </c>
      <c r="B395" s="4" t="s">
        <v>477</v>
      </c>
      <c r="C395" s="4" t="s">
        <v>553</v>
      </c>
      <c r="D395" s="4" t="s">
        <v>554</v>
      </c>
      <c r="E395" s="4" t="s">
        <v>570</v>
      </c>
      <c r="F395" s="4" t="n">
        <f aca="false">COUNTIFS(Positions!$B$2:$B$6912,A395,Positions!$F$2:$F$6912,B395)</f>
        <v>7</v>
      </c>
      <c r="G395" s="4" t="n">
        <f aca="false">COUNTIFS(Positions!$B$2:$B$6912,A395,Positions!$F$2:$F$6912,B395,Positions!$E$2:$E$6912,"G")</f>
        <v>0</v>
      </c>
      <c r="H395" s="4" t="n">
        <f aca="false">COUNTIFS(Positions!$B$2:$B$6912,A395,Positions!$F$2:$F$6912,B395,Positions!$E$2:$E$6912,"C")</f>
        <v>1</v>
      </c>
      <c r="I395" s="3" t="n">
        <f aca="false">G395+H395</f>
        <v>1</v>
      </c>
      <c r="J395" s="6" t="n">
        <f aca="false">IF(F395=0,0,I395/F395)</f>
        <v>0.142857142857143</v>
      </c>
    </row>
    <row r="396" customFormat="false" ht="15" hidden="false" customHeight="false" outlineLevel="0" collapsed="false">
      <c r="A396" s="7" t="s">
        <v>115</v>
      </c>
      <c r="B396" s="7" t="s">
        <v>556</v>
      </c>
      <c r="C396" s="7" t="s">
        <v>557</v>
      </c>
      <c r="D396" s="7" t="s">
        <v>558</v>
      </c>
      <c r="E396" s="7" t="s">
        <v>346</v>
      </c>
      <c r="F396" s="7" t="n">
        <f aca="false">COUNTIFS(Positions!$B$2:$B$6912,A396,Positions!$F$2:$F$6912,"Position 8")+COUNTIFS(Positions!$B$2:$B$6912,A396,Positions!$F$2:$F$6912,"Position 9")+COUNTIFS(Positions!$B$2:$B$6912,A396,Positions!$F$2:$F$6912,"Position 26")</f>
        <v>3</v>
      </c>
      <c r="G396" s="7" t="n">
        <f aca="false">COUNTIFS(Positions!$B$2:$B$6912,A396,Positions!$F$2:$F$6912,"Position 8",Positions!$E$2:$E$6912,"G")+COUNTIFS(Positions!$B$2:$B$6912,A396,Positions!$F$2:$F$6912,"Position 9",Positions!$E$2:$E$6912,"G")+COUNTIFS(Positions!$B$2:$B$6912,A396,Positions!$F$2:$F$6912,"Position 26",Positions!$E$2:$E$6912,"G")</f>
        <v>2</v>
      </c>
      <c r="H396" s="7" t="n">
        <f aca="false">COUNTIFS(Positions!$B$2:$B$6912,A396,Positions!$F$2:$F$6912,"Position 8",Positions!$E$2:$E$6912,"C")+COUNTIFS(Positions!$B$2:$B$6912,A396,Positions!$F$2:$F$6912,"Position 9",Positions!$E$2:$E$6912,"C")+COUNTIFS(Positions!$B$2:$B$6912,A396,Positions!$F$2:$F$6912,"Position 26",Positions!$E$2:$E$6912,"C")</f>
        <v>0</v>
      </c>
      <c r="I396" s="8" t="n">
        <f aca="false">G396+H396</f>
        <v>2</v>
      </c>
      <c r="J396" s="26" t="n">
        <f aca="false">IF(F396=0,0,I396/F396)</f>
        <v>0.666666666666667</v>
      </c>
    </row>
    <row r="397" customFormat="false" ht="15" hidden="false" customHeight="false" outlineLevel="0" collapsed="false">
      <c r="A397" s="4" t="s">
        <v>116</v>
      </c>
      <c r="B397" s="4" t="s">
        <v>430</v>
      </c>
      <c r="C397" s="4" t="s">
        <v>544</v>
      </c>
      <c r="D397" s="4" t="s">
        <v>545</v>
      </c>
      <c r="E397" s="4" t="s">
        <v>679</v>
      </c>
      <c r="F397" s="4" t="n">
        <f aca="false">COUNTIFS(Positions!$B$2:$B$6912,A397,Positions!$F$2:$F$6912,B397)</f>
        <v>9</v>
      </c>
      <c r="G397" s="4" t="n">
        <f aca="false">COUNTIFS(Positions!$B$2:$B$6912,A397,Positions!$F$2:$F$6912,B397,Positions!$E$2:$E$6912,"G")</f>
        <v>3</v>
      </c>
      <c r="H397" s="4" t="n">
        <f aca="false">COUNTIFS(Positions!$B$2:$B$6912,A397,Positions!$F$2:$F$6912,B397,Positions!$E$2:$E$6912,"C")</f>
        <v>2</v>
      </c>
      <c r="I397" s="3" t="n">
        <f aca="false">G397+H397</f>
        <v>5</v>
      </c>
      <c r="J397" s="6" t="n">
        <f aca="false">IF(F397=0,0,I397/F397)</f>
        <v>0.555555555555556</v>
      </c>
    </row>
    <row r="398" customFormat="false" ht="15" hidden="false" customHeight="false" outlineLevel="0" collapsed="false">
      <c r="A398" s="4" t="s">
        <v>116</v>
      </c>
      <c r="B398" s="4" t="s">
        <v>452</v>
      </c>
      <c r="C398" s="4" t="s">
        <v>547</v>
      </c>
      <c r="D398" s="4" t="s">
        <v>548</v>
      </c>
      <c r="E398" s="4" t="s">
        <v>549</v>
      </c>
      <c r="F398" s="4" t="n">
        <f aca="false">COUNTIFS(Positions!$B$2:$B$6912,A398,Positions!$F$2:$F$6912,B398)</f>
        <v>7</v>
      </c>
      <c r="G398" s="4" t="n">
        <f aca="false">COUNTIFS(Positions!$B$2:$B$6912,A398,Positions!$F$2:$F$6912,B398,Positions!$E$2:$E$6912,"G")</f>
        <v>0</v>
      </c>
      <c r="H398" s="4" t="n">
        <f aca="false">COUNTIFS(Positions!$B$2:$B$6912,A398,Positions!$F$2:$F$6912,B398,Positions!$E$2:$E$6912,"C")</f>
        <v>2</v>
      </c>
      <c r="I398" s="3" t="n">
        <f aca="false">G398+H398</f>
        <v>2</v>
      </c>
      <c r="J398" s="6" t="n">
        <f aca="false">IF(F398=0,0,I398/F398)</f>
        <v>0.285714285714286</v>
      </c>
    </row>
    <row r="399" customFormat="false" ht="15" hidden="false" customHeight="false" outlineLevel="0" collapsed="false">
      <c r="A399" s="4" t="s">
        <v>116</v>
      </c>
      <c r="B399" s="4" t="s">
        <v>465</v>
      </c>
      <c r="C399" s="4" t="s">
        <v>550</v>
      </c>
      <c r="D399" s="4" t="s">
        <v>551</v>
      </c>
      <c r="E399" s="4" t="s">
        <v>591</v>
      </c>
      <c r="F399" s="4" t="n">
        <f aca="false">COUNTIFS(Positions!$B$2:$B$6912,A399,Positions!$F$2:$F$6912,B399)</f>
        <v>5</v>
      </c>
      <c r="G399" s="4" t="n">
        <f aca="false">COUNTIFS(Positions!$B$2:$B$6912,A399,Positions!$F$2:$F$6912,B399,Positions!$E$2:$E$6912,"G")</f>
        <v>2</v>
      </c>
      <c r="H399" s="4" t="n">
        <f aca="false">COUNTIFS(Positions!$B$2:$B$6912,A399,Positions!$F$2:$F$6912,B399,Positions!$E$2:$E$6912,"C")</f>
        <v>1</v>
      </c>
      <c r="I399" s="3" t="n">
        <f aca="false">G399+H399</f>
        <v>3</v>
      </c>
      <c r="J399" s="6" t="n">
        <f aca="false">IF(F399=0,0,I399/F399)</f>
        <v>0.6</v>
      </c>
    </row>
    <row r="400" customFormat="false" ht="15" hidden="false" customHeight="false" outlineLevel="0" collapsed="false">
      <c r="A400" s="4" t="s">
        <v>116</v>
      </c>
      <c r="B400" s="4" t="s">
        <v>477</v>
      </c>
      <c r="C400" s="4" t="s">
        <v>553</v>
      </c>
      <c r="D400" s="4" t="s">
        <v>554</v>
      </c>
      <c r="E400" s="4" t="s">
        <v>570</v>
      </c>
      <c r="F400" s="4" t="n">
        <f aca="false">COUNTIFS(Positions!$B$2:$B$6912,A400,Positions!$F$2:$F$6912,B400)</f>
        <v>7</v>
      </c>
      <c r="G400" s="4" t="n">
        <f aca="false">COUNTIFS(Positions!$B$2:$B$6912,A400,Positions!$F$2:$F$6912,B400,Positions!$E$2:$E$6912,"G")</f>
        <v>0</v>
      </c>
      <c r="H400" s="4" t="n">
        <f aca="false">COUNTIFS(Positions!$B$2:$B$6912,A400,Positions!$F$2:$F$6912,B400,Positions!$E$2:$E$6912,"C")</f>
        <v>1</v>
      </c>
      <c r="I400" s="3" t="n">
        <f aca="false">G400+H400</f>
        <v>1</v>
      </c>
      <c r="J400" s="6" t="n">
        <f aca="false">IF(F400=0,0,I400/F400)</f>
        <v>0.142857142857143</v>
      </c>
    </row>
    <row r="401" customFormat="false" ht="15" hidden="false" customHeight="false" outlineLevel="0" collapsed="false">
      <c r="A401" s="7" t="s">
        <v>116</v>
      </c>
      <c r="B401" s="7" t="s">
        <v>556</v>
      </c>
      <c r="C401" s="7" t="s">
        <v>557</v>
      </c>
      <c r="D401" s="7" t="s">
        <v>558</v>
      </c>
      <c r="E401" s="7" t="s">
        <v>346</v>
      </c>
      <c r="F401" s="7" t="n">
        <f aca="false">COUNTIFS(Positions!$B$2:$B$6912,A401,Positions!$F$2:$F$6912,"Position 8")+COUNTIFS(Positions!$B$2:$B$6912,A401,Positions!$F$2:$F$6912,"Position 9")+COUNTIFS(Positions!$B$2:$B$6912,A401,Positions!$F$2:$F$6912,"Position 26")</f>
        <v>3</v>
      </c>
      <c r="G401" s="7" t="n">
        <f aca="false">COUNTIFS(Positions!$B$2:$B$6912,A401,Positions!$F$2:$F$6912,"Position 8",Positions!$E$2:$E$6912,"G")+COUNTIFS(Positions!$B$2:$B$6912,A401,Positions!$F$2:$F$6912,"Position 9",Positions!$E$2:$E$6912,"G")+COUNTIFS(Positions!$B$2:$B$6912,A401,Positions!$F$2:$F$6912,"Position 26",Positions!$E$2:$E$6912,"G")</f>
        <v>2</v>
      </c>
      <c r="H401" s="7" t="n">
        <f aca="false">COUNTIFS(Positions!$B$2:$B$6912,A401,Positions!$F$2:$F$6912,"Position 8",Positions!$E$2:$E$6912,"C")+COUNTIFS(Positions!$B$2:$B$6912,A401,Positions!$F$2:$F$6912,"Position 9",Positions!$E$2:$E$6912,"C")+COUNTIFS(Positions!$B$2:$B$6912,A401,Positions!$F$2:$F$6912,"Position 26",Positions!$E$2:$E$6912,"C")</f>
        <v>0</v>
      </c>
      <c r="I401" s="8" t="n">
        <f aca="false">G401+H401</f>
        <v>2</v>
      </c>
      <c r="J401" s="26" t="n">
        <f aca="false">IF(F401=0,0,I401/F401)</f>
        <v>0.666666666666667</v>
      </c>
    </row>
    <row r="402" customFormat="false" ht="15" hidden="false" customHeight="false" outlineLevel="0" collapsed="false">
      <c r="A402" s="4" t="s">
        <v>117</v>
      </c>
      <c r="B402" s="4" t="s">
        <v>430</v>
      </c>
      <c r="C402" s="4" t="s">
        <v>544</v>
      </c>
      <c r="D402" s="4" t="s">
        <v>545</v>
      </c>
      <c r="E402" s="4" t="s">
        <v>679</v>
      </c>
      <c r="F402" s="4" t="n">
        <f aca="false">COUNTIFS(Positions!$B$2:$B$6912,A402,Positions!$F$2:$F$6912,B402)</f>
        <v>9</v>
      </c>
      <c r="G402" s="4" t="n">
        <f aca="false">COUNTIFS(Positions!$B$2:$B$6912,A402,Positions!$F$2:$F$6912,B402,Positions!$E$2:$E$6912,"G")</f>
        <v>3</v>
      </c>
      <c r="H402" s="4" t="n">
        <f aca="false">COUNTIFS(Positions!$B$2:$B$6912,A402,Positions!$F$2:$F$6912,B402,Positions!$E$2:$E$6912,"C")</f>
        <v>2</v>
      </c>
      <c r="I402" s="3" t="n">
        <f aca="false">G402+H402</f>
        <v>5</v>
      </c>
      <c r="J402" s="6" t="n">
        <f aca="false">IF(F402=0,0,I402/F402)</f>
        <v>0.555555555555556</v>
      </c>
    </row>
    <row r="403" customFormat="false" ht="15" hidden="false" customHeight="false" outlineLevel="0" collapsed="false">
      <c r="A403" s="4" t="s">
        <v>117</v>
      </c>
      <c r="B403" s="4" t="s">
        <v>452</v>
      </c>
      <c r="C403" s="4" t="s">
        <v>547</v>
      </c>
      <c r="D403" s="4" t="s">
        <v>548</v>
      </c>
      <c r="E403" s="4" t="s">
        <v>549</v>
      </c>
      <c r="F403" s="4" t="n">
        <f aca="false">COUNTIFS(Positions!$B$2:$B$6912,A403,Positions!$F$2:$F$6912,B403)</f>
        <v>7</v>
      </c>
      <c r="G403" s="4" t="n">
        <f aca="false">COUNTIFS(Positions!$B$2:$B$6912,A403,Positions!$F$2:$F$6912,B403,Positions!$E$2:$E$6912,"G")</f>
        <v>0</v>
      </c>
      <c r="H403" s="4" t="n">
        <f aca="false">COUNTIFS(Positions!$B$2:$B$6912,A403,Positions!$F$2:$F$6912,B403,Positions!$E$2:$E$6912,"C")</f>
        <v>2</v>
      </c>
      <c r="I403" s="3" t="n">
        <f aca="false">G403+H403</f>
        <v>2</v>
      </c>
      <c r="J403" s="6" t="n">
        <f aca="false">IF(F403=0,0,I403/F403)</f>
        <v>0.285714285714286</v>
      </c>
    </row>
    <row r="404" customFormat="false" ht="15" hidden="false" customHeight="false" outlineLevel="0" collapsed="false">
      <c r="A404" s="4" t="s">
        <v>117</v>
      </c>
      <c r="B404" s="4" t="s">
        <v>465</v>
      </c>
      <c r="C404" s="4" t="s">
        <v>550</v>
      </c>
      <c r="D404" s="4" t="s">
        <v>551</v>
      </c>
      <c r="E404" s="4" t="s">
        <v>591</v>
      </c>
      <c r="F404" s="4" t="n">
        <f aca="false">COUNTIFS(Positions!$B$2:$B$6912,A404,Positions!$F$2:$F$6912,B404)</f>
        <v>5</v>
      </c>
      <c r="G404" s="4" t="n">
        <f aca="false">COUNTIFS(Positions!$B$2:$B$6912,A404,Positions!$F$2:$F$6912,B404,Positions!$E$2:$E$6912,"G")</f>
        <v>2</v>
      </c>
      <c r="H404" s="4" t="n">
        <f aca="false">COUNTIFS(Positions!$B$2:$B$6912,A404,Positions!$F$2:$F$6912,B404,Positions!$E$2:$E$6912,"C")</f>
        <v>1</v>
      </c>
      <c r="I404" s="3" t="n">
        <f aca="false">G404+H404</f>
        <v>3</v>
      </c>
      <c r="J404" s="6" t="n">
        <f aca="false">IF(F404=0,0,I404/F404)</f>
        <v>0.6</v>
      </c>
    </row>
    <row r="405" customFormat="false" ht="15" hidden="false" customHeight="false" outlineLevel="0" collapsed="false">
      <c r="A405" s="4" t="s">
        <v>117</v>
      </c>
      <c r="B405" s="4" t="s">
        <v>477</v>
      </c>
      <c r="C405" s="4" t="s">
        <v>553</v>
      </c>
      <c r="D405" s="4" t="s">
        <v>554</v>
      </c>
      <c r="E405" s="4" t="s">
        <v>570</v>
      </c>
      <c r="F405" s="4" t="n">
        <f aca="false">COUNTIFS(Positions!$B$2:$B$6912,A405,Positions!$F$2:$F$6912,B405)</f>
        <v>7</v>
      </c>
      <c r="G405" s="4" t="n">
        <f aca="false">COUNTIFS(Positions!$B$2:$B$6912,A405,Positions!$F$2:$F$6912,B405,Positions!$E$2:$E$6912,"G")</f>
        <v>0</v>
      </c>
      <c r="H405" s="4" t="n">
        <f aca="false">COUNTIFS(Positions!$B$2:$B$6912,A405,Positions!$F$2:$F$6912,B405,Positions!$E$2:$E$6912,"C")</f>
        <v>1</v>
      </c>
      <c r="I405" s="3" t="n">
        <f aca="false">G405+H405</f>
        <v>1</v>
      </c>
      <c r="J405" s="6" t="n">
        <f aca="false">IF(F405=0,0,I405/F405)</f>
        <v>0.142857142857143</v>
      </c>
    </row>
    <row r="406" customFormat="false" ht="15" hidden="false" customHeight="false" outlineLevel="0" collapsed="false">
      <c r="A406" s="7" t="s">
        <v>117</v>
      </c>
      <c r="B406" s="7" t="s">
        <v>556</v>
      </c>
      <c r="C406" s="7" t="s">
        <v>557</v>
      </c>
      <c r="D406" s="7" t="s">
        <v>558</v>
      </c>
      <c r="E406" s="7" t="s">
        <v>346</v>
      </c>
      <c r="F406" s="7" t="n">
        <f aca="false">COUNTIFS(Positions!$B$2:$B$6912,A406,Positions!$F$2:$F$6912,"Position 8")+COUNTIFS(Positions!$B$2:$B$6912,A406,Positions!$F$2:$F$6912,"Position 9")+COUNTIFS(Positions!$B$2:$B$6912,A406,Positions!$F$2:$F$6912,"Position 26")</f>
        <v>3</v>
      </c>
      <c r="G406" s="7" t="n">
        <f aca="false">COUNTIFS(Positions!$B$2:$B$6912,A406,Positions!$F$2:$F$6912,"Position 8",Positions!$E$2:$E$6912,"G")+COUNTIFS(Positions!$B$2:$B$6912,A406,Positions!$F$2:$F$6912,"Position 9",Positions!$E$2:$E$6912,"G")+COUNTIFS(Positions!$B$2:$B$6912,A406,Positions!$F$2:$F$6912,"Position 26",Positions!$E$2:$E$6912,"G")</f>
        <v>2</v>
      </c>
      <c r="H406" s="7" t="n">
        <f aca="false">COUNTIFS(Positions!$B$2:$B$6912,A406,Positions!$F$2:$F$6912,"Position 8",Positions!$E$2:$E$6912,"C")+COUNTIFS(Positions!$B$2:$B$6912,A406,Positions!$F$2:$F$6912,"Position 9",Positions!$E$2:$E$6912,"C")+COUNTIFS(Positions!$B$2:$B$6912,A406,Positions!$F$2:$F$6912,"Position 26",Positions!$E$2:$E$6912,"C")</f>
        <v>0</v>
      </c>
      <c r="I406" s="8" t="n">
        <f aca="false">G406+H406</f>
        <v>2</v>
      </c>
      <c r="J406" s="26" t="n">
        <f aca="false">IF(F406=0,0,I406/F406)</f>
        <v>0.666666666666667</v>
      </c>
    </row>
    <row r="407" customFormat="false" ht="15" hidden="false" customHeight="false" outlineLevel="0" collapsed="false">
      <c r="A407" s="4" t="s">
        <v>118</v>
      </c>
      <c r="B407" s="4" t="s">
        <v>430</v>
      </c>
      <c r="C407" s="4" t="s">
        <v>544</v>
      </c>
      <c r="D407" s="4" t="s">
        <v>544</v>
      </c>
      <c r="E407" s="4" t="s">
        <v>617</v>
      </c>
      <c r="F407" s="4" t="n">
        <f aca="false">COUNTIFS(Positions!$B$2:$B$6912,A407,Positions!$F$2:$F$6912,B407)</f>
        <v>8</v>
      </c>
      <c r="G407" s="4" t="n">
        <f aca="false">COUNTIFS(Positions!$B$2:$B$6912,A407,Positions!$F$2:$F$6912,B407,Positions!$E$2:$E$6912,"G")</f>
        <v>3</v>
      </c>
      <c r="H407" s="4" t="n">
        <f aca="false">COUNTIFS(Positions!$B$2:$B$6912,A407,Positions!$F$2:$F$6912,B407,Positions!$E$2:$E$6912,"C")</f>
        <v>0</v>
      </c>
      <c r="I407" s="3" t="n">
        <f aca="false">G407+H407</f>
        <v>3</v>
      </c>
      <c r="J407" s="6" t="n">
        <f aca="false">IF(F407=0,0,I407/F407)</f>
        <v>0.375</v>
      </c>
    </row>
    <row r="408" customFormat="false" ht="15" hidden="false" customHeight="false" outlineLevel="0" collapsed="false">
      <c r="A408" s="4" t="s">
        <v>118</v>
      </c>
      <c r="B408" s="4" t="s">
        <v>452</v>
      </c>
      <c r="C408" s="4" t="s">
        <v>547</v>
      </c>
      <c r="D408" s="4" t="s">
        <v>547</v>
      </c>
      <c r="E408" s="4" t="s">
        <v>692</v>
      </c>
      <c r="F408" s="4" t="n">
        <f aca="false">COUNTIFS(Positions!$B$2:$B$6912,A408,Positions!$F$2:$F$6912,B408)</f>
        <v>7</v>
      </c>
      <c r="G408" s="4" t="n">
        <f aca="false">COUNTIFS(Positions!$B$2:$B$6912,A408,Positions!$F$2:$F$6912,B408,Positions!$E$2:$E$6912,"G")</f>
        <v>1</v>
      </c>
      <c r="H408" s="4" t="n">
        <f aca="false">COUNTIFS(Positions!$B$2:$B$6912,A408,Positions!$F$2:$F$6912,B408,Positions!$E$2:$E$6912,"C")</f>
        <v>1</v>
      </c>
      <c r="I408" s="3" t="n">
        <f aca="false">G408+H408</f>
        <v>2</v>
      </c>
      <c r="J408" s="6" t="n">
        <f aca="false">IF(F408=0,0,I408/F408)</f>
        <v>0.285714285714286</v>
      </c>
    </row>
    <row r="409" customFormat="false" ht="15" hidden="false" customHeight="false" outlineLevel="0" collapsed="false">
      <c r="A409" s="4" t="s">
        <v>118</v>
      </c>
      <c r="B409" s="4" t="s">
        <v>465</v>
      </c>
      <c r="C409" s="4" t="s">
        <v>550</v>
      </c>
      <c r="D409" s="4" t="s">
        <v>550</v>
      </c>
      <c r="E409" s="4" t="s">
        <v>693</v>
      </c>
      <c r="F409" s="4" t="n">
        <f aca="false">COUNTIFS(Positions!$B$2:$B$6912,A409,Positions!$F$2:$F$6912,B409)</f>
        <v>5</v>
      </c>
      <c r="G409" s="4" t="n">
        <f aca="false">COUNTIFS(Positions!$B$2:$B$6912,A409,Positions!$F$2:$F$6912,B409,Positions!$E$2:$E$6912,"G")</f>
        <v>2</v>
      </c>
      <c r="H409" s="4" t="n">
        <f aca="false">COUNTIFS(Positions!$B$2:$B$6912,A409,Positions!$F$2:$F$6912,B409,Positions!$E$2:$E$6912,"C")</f>
        <v>1</v>
      </c>
      <c r="I409" s="3" t="n">
        <f aca="false">G409+H409</f>
        <v>3</v>
      </c>
      <c r="J409" s="6" t="n">
        <f aca="false">IF(F409=0,0,I409/F409)</f>
        <v>0.6</v>
      </c>
    </row>
    <row r="410" customFormat="false" ht="15" hidden="false" customHeight="false" outlineLevel="0" collapsed="false">
      <c r="A410" s="4" t="s">
        <v>118</v>
      </c>
      <c r="B410" s="4" t="s">
        <v>477</v>
      </c>
      <c r="C410" s="4" t="s">
        <v>553</v>
      </c>
      <c r="D410" s="4" t="s">
        <v>553</v>
      </c>
      <c r="E410" s="4" t="s">
        <v>601</v>
      </c>
      <c r="F410" s="4" t="n">
        <f aca="false">COUNTIFS(Positions!$B$2:$B$6912,A410,Positions!$F$2:$F$6912,B410)</f>
        <v>7</v>
      </c>
      <c r="G410" s="4" t="n">
        <f aca="false">COUNTIFS(Positions!$B$2:$B$6912,A410,Positions!$F$2:$F$6912,B410,Positions!$E$2:$E$6912,"G")</f>
        <v>1</v>
      </c>
      <c r="H410" s="4" t="n">
        <f aca="false">COUNTIFS(Positions!$B$2:$B$6912,A410,Positions!$F$2:$F$6912,B410,Positions!$E$2:$E$6912,"C")</f>
        <v>1</v>
      </c>
      <c r="I410" s="3" t="n">
        <f aca="false">G410+H410</f>
        <v>2</v>
      </c>
      <c r="J410" s="6" t="n">
        <f aca="false">IF(F410=0,0,I410/F410)</f>
        <v>0.285714285714286</v>
      </c>
    </row>
    <row r="411" customFormat="false" ht="15" hidden="false" customHeight="false" outlineLevel="0" collapsed="false">
      <c r="A411" s="7" t="s">
        <v>118</v>
      </c>
      <c r="B411" s="7" t="s">
        <v>556</v>
      </c>
      <c r="C411" s="7" t="s">
        <v>557</v>
      </c>
      <c r="D411" s="7" t="s">
        <v>557</v>
      </c>
      <c r="E411" s="7" t="s">
        <v>611</v>
      </c>
      <c r="F411" s="7" t="n">
        <f aca="false">COUNTIFS(Positions!$B$2:$B$6912,A411,Positions!$F$2:$F$6912,"Position 8")+COUNTIFS(Positions!$B$2:$B$6912,A411,Positions!$F$2:$F$6912,"Position 9")+COUNTIFS(Positions!$B$2:$B$6912,A411,Positions!$F$2:$F$6912,"Position 26")</f>
        <v>3</v>
      </c>
      <c r="G411" s="7" t="n">
        <f aca="false">COUNTIFS(Positions!$B$2:$B$6912,A411,Positions!$F$2:$F$6912,"Position 8",Positions!$E$2:$E$6912,"G")+COUNTIFS(Positions!$B$2:$B$6912,A411,Positions!$F$2:$F$6912,"Position 9",Positions!$E$2:$E$6912,"G")+COUNTIFS(Positions!$B$2:$B$6912,A411,Positions!$F$2:$F$6912,"Position 26",Positions!$E$2:$E$6912,"G")</f>
        <v>0</v>
      </c>
      <c r="H411" s="7" t="n">
        <f aca="false">COUNTIFS(Positions!$B$2:$B$6912,A411,Positions!$F$2:$F$6912,"Position 8",Positions!$E$2:$E$6912,"C")+COUNTIFS(Positions!$B$2:$B$6912,A411,Positions!$F$2:$F$6912,"Position 9",Positions!$E$2:$E$6912,"C")+COUNTIFS(Positions!$B$2:$B$6912,A411,Positions!$F$2:$F$6912,"Position 26",Positions!$E$2:$E$6912,"C")</f>
        <v>0</v>
      </c>
      <c r="I411" s="8" t="n">
        <f aca="false">G411+H411</f>
        <v>0</v>
      </c>
      <c r="J411" s="26" t="n">
        <f aca="false">IF(F411=0,0,I411/F411)</f>
        <v>0</v>
      </c>
    </row>
    <row r="412" customFormat="false" ht="15" hidden="false" customHeight="false" outlineLevel="0" collapsed="false">
      <c r="A412" s="4" t="s">
        <v>119</v>
      </c>
      <c r="B412" s="4" t="s">
        <v>430</v>
      </c>
      <c r="C412" s="4" t="s">
        <v>544</v>
      </c>
      <c r="D412" s="4" t="s">
        <v>544</v>
      </c>
      <c r="E412" s="4" t="s">
        <v>694</v>
      </c>
      <c r="F412" s="4" t="n">
        <f aca="false">COUNTIFS(Positions!$B$2:$B$6912,A412,Positions!$F$2:$F$6912,B412)</f>
        <v>8</v>
      </c>
      <c r="G412" s="4" t="n">
        <f aca="false">COUNTIFS(Positions!$B$2:$B$6912,A412,Positions!$F$2:$F$6912,B412,Positions!$E$2:$E$6912,"G")</f>
        <v>2</v>
      </c>
      <c r="H412" s="4" t="n">
        <f aca="false">COUNTIFS(Positions!$B$2:$B$6912,A412,Positions!$F$2:$F$6912,B412,Positions!$E$2:$E$6912,"C")</f>
        <v>0</v>
      </c>
      <c r="I412" s="3" t="n">
        <f aca="false">G412+H412</f>
        <v>2</v>
      </c>
      <c r="J412" s="6" t="n">
        <f aca="false">IF(F412=0,0,I412/F412)</f>
        <v>0.25</v>
      </c>
    </row>
    <row r="413" customFormat="false" ht="15" hidden="false" customHeight="false" outlineLevel="0" collapsed="false">
      <c r="A413" s="4" t="s">
        <v>119</v>
      </c>
      <c r="B413" s="4" t="s">
        <v>452</v>
      </c>
      <c r="C413" s="4" t="s">
        <v>547</v>
      </c>
      <c r="D413" s="4" t="s">
        <v>547</v>
      </c>
      <c r="E413" s="4" t="s">
        <v>625</v>
      </c>
      <c r="F413" s="4" t="n">
        <f aca="false">COUNTIFS(Positions!$B$2:$B$6912,A413,Positions!$F$2:$F$6912,B413)</f>
        <v>7</v>
      </c>
      <c r="G413" s="4" t="n">
        <f aca="false">COUNTIFS(Positions!$B$2:$B$6912,A413,Positions!$F$2:$F$6912,B413,Positions!$E$2:$E$6912,"G")</f>
        <v>1</v>
      </c>
      <c r="H413" s="4" t="n">
        <f aca="false">COUNTIFS(Positions!$B$2:$B$6912,A413,Positions!$F$2:$F$6912,B413,Positions!$E$2:$E$6912,"C")</f>
        <v>1</v>
      </c>
      <c r="I413" s="3" t="n">
        <f aca="false">G413+H413</f>
        <v>2</v>
      </c>
      <c r="J413" s="6" t="n">
        <f aca="false">IF(F413=0,0,I413/F413)</f>
        <v>0.285714285714286</v>
      </c>
    </row>
    <row r="414" customFormat="false" ht="15" hidden="false" customHeight="false" outlineLevel="0" collapsed="false">
      <c r="A414" s="4" t="s">
        <v>119</v>
      </c>
      <c r="B414" s="4" t="s">
        <v>465</v>
      </c>
      <c r="C414" s="4" t="s">
        <v>550</v>
      </c>
      <c r="D414" s="4" t="s">
        <v>550</v>
      </c>
      <c r="E414" s="4" t="s">
        <v>626</v>
      </c>
      <c r="F414" s="4" t="n">
        <f aca="false">COUNTIFS(Positions!$B$2:$B$6912,A414,Positions!$F$2:$F$6912,B414)</f>
        <v>5</v>
      </c>
      <c r="G414" s="4" t="n">
        <f aca="false">COUNTIFS(Positions!$B$2:$B$6912,A414,Positions!$F$2:$F$6912,B414,Positions!$E$2:$E$6912,"G")</f>
        <v>2</v>
      </c>
      <c r="H414" s="4" t="n">
        <f aca="false">COUNTIFS(Positions!$B$2:$B$6912,A414,Positions!$F$2:$F$6912,B414,Positions!$E$2:$E$6912,"C")</f>
        <v>0</v>
      </c>
      <c r="I414" s="3" t="n">
        <f aca="false">G414+H414</f>
        <v>2</v>
      </c>
      <c r="J414" s="6" t="n">
        <f aca="false">IF(F414=0,0,I414/F414)</f>
        <v>0.4</v>
      </c>
    </row>
    <row r="415" customFormat="false" ht="15" hidden="false" customHeight="false" outlineLevel="0" collapsed="false">
      <c r="A415" s="4" t="s">
        <v>119</v>
      </c>
      <c r="B415" s="4" t="s">
        <v>477</v>
      </c>
      <c r="C415" s="4" t="s">
        <v>553</v>
      </c>
      <c r="D415" s="4" t="s">
        <v>553</v>
      </c>
      <c r="E415" s="4" t="s">
        <v>695</v>
      </c>
      <c r="F415" s="4" t="n">
        <f aca="false">COUNTIFS(Positions!$B$2:$B$6912,A415,Positions!$F$2:$F$6912,B415)</f>
        <v>7</v>
      </c>
      <c r="G415" s="4" t="n">
        <f aca="false">COUNTIFS(Positions!$B$2:$B$6912,A415,Positions!$F$2:$F$6912,B415,Positions!$E$2:$E$6912,"G")</f>
        <v>2</v>
      </c>
      <c r="H415" s="4" t="n">
        <f aca="false">COUNTIFS(Positions!$B$2:$B$6912,A415,Positions!$F$2:$F$6912,B415,Positions!$E$2:$E$6912,"C")</f>
        <v>1</v>
      </c>
      <c r="I415" s="3" t="n">
        <f aca="false">G415+H415</f>
        <v>3</v>
      </c>
      <c r="J415" s="6" t="n">
        <f aca="false">IF(F415=0,0,I415/F415)</f>
        <v>0.428571428571429</v>
      </c>
    </row>
    <row r="416" customFormat="false" ht="15" hidden="false" customHeight="false" outlineLevel="0" collapsed="false">
      <c r="A416" s="7" t="s">
        <v>119</v>
      </c>
      <c r="B416" s="7" t="s">
        <v>556</v>
      </c>
      <c r="C416" s="7" t="s">
        <v>557</v>
      </c>
      <c r="D416" s="7" t="s">
        <v>557</v>
      </c>
      <c r="E416" s="7" t="s">
        <v>580</v>
      </c>
      <c r="F416" s="7" t="n">
        <f aca="false">COUNTIFS(Positions!$B$2:$B$6912,A416,Positions!$F$2:$F$6912,"Position 8")+COUNTIFS(Positions!$B$2:$B$6912,A416,Positions!$F$2:$F$6912,"Position 9")+COUNTIFS(Positions!$B$2:$B$6912,A416,Positions!$F$2:$F$6912,"Position 26")</f>
        <v>3</v>
      </c>
      <c r="G416" s="7" t="n">
        <f aca="false">COUNTIFS(Positions!$B$2:$B$6912,A416,Positions!$F$2:$F$6912,"Position 8",Positions!$E$2:$E$6912,"G")+COUNTIFS(Positions!$B$2:$B$6912,A416,Positions!$F$2:$F$6912,"Position 9",Positions!$E$2:$E$6912,"G")+COUNTIFS(Positions!$B$2:$B$6912,A416,Positions!$F$2:$F$6912,"Position 26",Positions!$E$2:$E$6912,"G")</f>
        <v>1</v>
      </c>
      <c r="H416" s="7" t="n">
        <f aca="false">COUNTIFS(Positions!$B$2:$B$6912,A416,Positions!$F$2:$F$6912,"Position 8",Positions!$E$2:$E$6912,"C")+COUNTIFS(Positions!$B$2:$B$6912,A416,Positions!$F$2:$F$6912,"Position 9",Positions!$E$2:$E$6912,"C")+COUNTIFS(Positions!$B$2:$B$6912,A416,Positions!$F$2:$F$6912,"Position 26",Positions!$E$2:$E$6912,"C")</f>
        <v>0</v>
      </c>
      <c r="I416" s="8" t="n">
        <f aca="false">G416+H416</f>
        <v>1</v>
      </c>
      <c r="J416" s="26" t="n">
        <f aca="false">IF(F416=0,0,I416/F416)</f>
        <v>0.333333333333333</v>
      </c>
    </row>
    <row r="417" customFormat="false" ht="15" hidden="false" customHeight="false" outlineLevel="0" collapsed="false">
      <c r="A417" s="4" t="s">
        <v>120</v>
      </c>
      <c r="B417" s="4" t="s">
        <v>430</v>
      </c>
      <c r="C417" s="4" t="s">
        <v>544</v>
      </c>
      <c r="D417" s="4" t="s">
        <v>544</v>
      </c>
      <c r="E417" s="4" t="s">
        <v>694</v>
      </c>
      <c r="F417" s="4" t="n">
        <f aca="false">COUNTIFS(Positions!$B$2:$B$6912,A417,Positions!$F$2:$F$6912,B417)</f>
        <v>8</v>
      </c>
      <c r="G417" s="4" t="n">
        <f aca="false">COUNTIFS(Positions!$B$2:$B$6912,A417,Positions!$F$2:$F$6912,B417,Positions!$E$2:$E$6912,"G")</f>
        <v>2</v>
      </c>
      <c r="H417" s="4" t="n">
        <f aca="false">COUNTIFS(Positions!$B$2:$B$6912,A417,Positions!$F$2:$F$6912,B417,Positions!$E$2:$E$6912,"C")</f>
        <v>0</v>
      </c>
      <c r="I417" s="3" t="n">
        <f aca="false">G417+H417</f>
        <v>2</v>
      </c>
      <c r="J417" s="6" t="n">
        <f aca="false">IF(F417=0,0,I417/F417)</f>
        <v>0.25</v>
      </c>
    </row>
    <row r="418" customFormat="false" ht="15" hidden="false" customHeight="false" outlineLevel="0" collapsed="false">
      <c r="A418" s="4" t="s">
        <v>120</v>
      </c>
      <c r="B418" s="4" t="s">
        <v>452</v>
      </c>
      <c r="C418" s="4" t="s">
        <v>547</v>
      </c>
      <c r="D418" s="4" t="s">
        <v>547</v>
      </c>
      <c r="E418" s="4" t="s">
        <v>625</v>
      </c>
      <c r="F418" s="4" t="n">
        <f aca="false">COUNTIFS(Positions!$B$2:$B$6912,A418,Positions!$F$2:$F$6912,B418)</f>
        <v>7</v>
      </c>
      <c r="G418" s="4" t="n">
        <f aca="false">COUNTIFS(Positions!$B$2:$B$6912,A418,Positions!$F$2:$F$6912,B418,Positions!$E$2:$E$6912,"G")</f>
        <v>1</v>
      </c>
      <c r="H418" s="4" t="n">
        <f aca="false">COUNTIFS(Positions!$B$2:$B$6912,A418,Positions!$F$2:$F$6912,B418,Positions!$E$2:$E$6912,"C")</f>
        <v>1</v>
      </c>
      <c r="I418" s="3" t="n">
        <f aca="false">G418+H418</f>
        <v>2</v>
      </c>
      <c r="J418" s="6" t="n">
        <f aca="false">IF(F418=0,0,I418/F418)</f>
        <v>0.285714285714286</v>
      </c>
    </row>
    <row r="419" customFormat="false" ht="15" hidden="false" customHeight="false" outlineLevel="0" collapsed="false">
      <c r="A419" s="4" t="s">
        <v>120</v>
      </c>
      <c r="B419" s="4" t="s">
        <v>465</v>
      </c>
      <c r="C419" s="4" t="s">
        <v>550</v>
      </c>
      <c r="D419" s="4" t="s">
        <v>550</v>
      </c>
      <c r="E419" s="4" t="s">
        <v>626</v>
      </c>
      <c r="F419" s="4" t="n">
        <f aca="false">COUNTIFS(Positions!$B$2:$B$6912,A419,Positions!$F$2:$F$6912,B419)</f>
        <v>5</v>
      </c>
      <c r="G419" s="4" t="n">
        <f aca="false">COUNTIFS(Positions!$B$2:$B$6912,A419,Positions!$F$2:$F$6912,B419,Positions!$E$2:$E$6912,"G")</f>
        <v>2</v>
      </c>
      <c r="H419" s="4" t="n">
        <f aca="false">COUNTIFS(Positions!$B$2:$B$6912,A419,Positions!$F$2:$F$6912,B419,Positions!$E$2:$E$6912,"C")</f>
        <v>0</v>
      </c>
      <c r="I419" s="3" t="n">
        <f aca="false">G419+H419</f>
        <v>2</v>
      </c>
      <c r="J419" s="6" t="n">
        <f aca="false">IF(F419=0,0,I419/F419)</f>
        <v>0.4</v>
      </c>
    </row>
    <row r="420" customFormat="false" ht="15" hidden="false" customHeight="false" outlineLevel="0" collapsed="false">
      <c r="A420" s="4" t="s">
        <v>120</v>
      </c>
      <c r="B420" s="4" t="s">
        <v>477</v>
      </c>
      <c r="C420" s="4" t="s">
        <v>553</v>
      </c>
      <c r="D420" s="4" t="s">
        <v>553</v>
      </c>
      <c r="E420" s="4" t="s">
        <v>695</v>
      </c>
      <c r="F420" s="4" t="n">
        <f aca="false">COUNTIFS(Positions!$B$2:$B$6912,A420,Positions!$F$2:$F$6912,B420)</f>
        <v>7</v>
      </c>
      <c r="G420" s="4" t="n">
        <f aca="false">COUNTIFS(Positions!$B$2:$B$6912,A420,Positions!$F$2:$F$6912,B420,Positions!$E$2:$E$6912,"G")</f>
        <v>2</v>
      </c>
      <c r="H420" s="4" t="n">
        <f aca="false">COUNTIFS(Positions!$B$2:$B$6912,A420,Positions!$F$2:$F$6912,B420,Positions!$E$2:$E$6912,"C")</f>
        <v>1</v>
      </c>
      <c r="I420" s="3" t="n">
        <f aca="false">G420+H420</f>
        <v>3</v>
      </c>
      <c r="J420" s="6" t="n">
        <f aca="false">IF(F420=0,0,I420/F420)</f>
        <v>0.428571428571429</v>
      </c>
    </row>
    <row r="421" customFormat="false" ht="15" hidden="false" customHeight="false" outlineLevel="0" collapsed="false">
      <c r="A421" s="7" t="s">
        <v>120</v>
      </c>
      <c r="B421" s="7" t="s">
        <v>556</v>
      </c>
      <c r="C421" s="7" t="s">
        <v>557</v>
      </c>
      <c r="D421" s="7" t="s">
        <v>557</v>
      </c>
      <c r="E421" s="7" t="s">
        <v>580</v>
      </c>
      <c r="F421" s="7" t="n">
        <f aca="false">COUNTIFS(Positions!$B$2:$B$6912,A421,Positions!$F$2:$F$6912,"Position 8")+COUNTIFS(Positions!$B$2:$B$6912,A421,Positions!$F$2:$F$6912,"Position 9")+COUNTIFS(Positions!$B$2:$B$6912,A421,Positions!$F$2:$F$6912,"Position 26")</f>
        <v>3</v>
      </c>
      <c r="G421" s="7" t="n">
        <f aca="false">COUNTIFS(Positions!$B$2:$B$6912,A421,Positions!$F$2:$F$6912,"Position 8",Positions!$E$2:$E$6912,"G")+COUNTIFS(Positions!$B$2:$B$6912,A421,Positions!$F$2:$F$6912,"Position 9",Positions!$E$2:$E$6912,"G")+COUNTIFS(Positions!$B$2:$B$6912,A421,Positions!$F$2:$F$6912,"Position 26",Positions!$E$2:$E$6912,"G")</f>
        <v>1</v>
      </c>
      <c r="H421" s="7" t="n">
        <f aca="false">COUNTIFS(Positions!$B$2:$B$6912,A421,Positions!$F$2:$F$6912,"Position 8",Positions!$E$2:$E$6912,"C")+COUNTIFS(Positions!$B$2:$B$6912,A421,Positions!$F$2:$F$6912,"Position 9",Positions!$E$2:$E$6912,"C")+COUNTIFS(Positions!$B$2:$B$6912,A421,Positions!$F$2:$F$6912,"Position 26",Positions!$E$2:$E$6912,"C")</f>
        <v>0</v>
      </c>
      <c r="I421" s="8" t="n">
        <f aca="false">G421+H421</f>
        <v>1</v>
      </c>
      <c r="J421" s="26" t="n">
        <f aca="false">IF(F421=0,0,I421/F421)</f>
        <v>0.333333333333333</v>
      </c>
    </row>
    <row r="422" customFormat="false" ht="15" hidden="false" customHeight="false" outlineLevel="0" collapsed="false">
      <c r="A422" s="4" t="s">
        <v>121</v>
      </c>
      <c r="B422" s="4" t="s">
        <v>430</v>
      </c>
      <c r="C422" s="4" t="s">
        <v>544</v>
      </c>
      <c r="D422" s="4" t="s">
        <v>544</v>
      </c>
      <c r="E422" s="4" t="s">
        <v>653</v>
      </c>
      <c r="F422" s="4" t="n">
        <f aca="false">COUNTIFS(Positions!$B$2:$B$6912,A422,Positions!$F$2:$F$6912,B422)</f>
        <v>8</v>
      </c>
      <c r="G422" s="4" t="n">
        <f aca="false">COUNTIFS(Positions!$B$2:$B$6912,A422,Positions!$F$2:$F$6912,B422,Positions!$E$2:$E$6912,"G")</f>
        <v>2</v>
      </c>
      <c r="H422" s="4" t="n">
        <f aca="false">COUNTIFS(Positions!$B$2:$B$6912,A422,Positions!$F$2:$F$6912,B422,Positions!$E$2:$E$6912,"C")</f>
        <v>0</v>
      </c>
      <c r="I422" s="3" t="n">
        <f aca="false">G422+H422</f>
        <v>2</v>
      </c>
      <c r="J422" s="6" t="n">
        <f aca="false">IF(F422=0,0,I422/F422)</f>
        <v>0.25</v>
      </c>
    </row>
    <row r="423" customFormat="false" ht="15" hidden="false" customHeight="false" outlineLevel="0" collapsed="false">
      <c r="A423" s="4" t="s">
        <v>121</v>
      </c>
      <c r="B423" s="4" t="s">
        <v>452</v>
      </c>
      <c r="C423" s="4" t="s">
        <v>547</v>
      </c>
      <c r="D423" s="4" t="s">
        <v>547</v>
      </c>
      <c r="E423" s="4" t="s">
        <v>633</v>
      </c>
      <c r="F423" s="4" t="n">
        <f aca="false">COUNTIFS(Positions!$B$2:$B$6912,A423,Positions!$F$2:$F$6912,B423)</f>
        <v>7</v>
      </c>
      <c r="G423" s="4" t="n">
        <f aca="false">COUNTIFS(Positions!$B$2:$B$6912,A423,Positions!$F$2:$F$6912,B423,Positions!$E$2:$E$6912,"G")</f>
        <v>1</v>
      </c>
      <c r="H423" s="4" t="n">
        <f aca="false">COUNTIFS(Positions!$B$2:$B$6912,A423,Positions!$F$2:$F$6912,B423,Positions!$E$2:$E$6912,"C")</f>
        <v>1</v>
      </c>
      <c r="I423" s="3" t="n">
        <f aca="false">G423+H423</f>
        <v>2</v>
      </c>
      <c r="J423" s="6" t="n">
        <f aca="false">IF(F423=0,0,I423/F423)</f>
        <v>0.285714285714286</v>
      </c>
    </row>
    <row r="424" customFormat="false" ht="15" hidden="false" customHeight="false" outlineLevel="0" collapsed="false">
      <c r="A424" s="4" t="s">
        <v>121</v>
      </c>
      <c r="B424" s="4" t="s">
        <v>465</v>
      </c>
      <c r="C424" s="4" t="s">
        <v>550</v>
      </c>
      <c r="D424" s="4" t="s">
        <v>599</v>
      </c>
      <c r="E424" s="4" t="s">
        <v>655</v>
      </c>
      <c r="F424" s="4" t="n">
        <f aca="false">COUNTIFS(Positions!$B$2:$B$6912,A424,Positions!$F$2:$F$6912,B424)</f>
        <v>4</v>
      </c>
      <c r="G424" s="4" t="n">
        <f aca="false">COUNTIFS(Positions!$B$2:$B$6912,A424,Positions!$F$2:$F$6912,B424,Positions!$E$2:$E$6912,"G")</f>
        <v>1</v>
      </c>
      <c r="H424" s="4" t="n">
        <f aca="false">COUNTIFS(Positions!$B$2:$B$6912,A424,Positions!$F$2:$F$6912,B424,Positions!$E$2:$E$6912,"C")</f>
        <v>1</v>
      </c>
      <c r="I424" s="3" t="n">
        <f aca="false">G424+H424</f>
        <v>2</v>
      </c>
      <c r="J424" s="6" t="n">
        <f aca="false">IF(F424=0,0,I424/F424)</f>
        <v>0.5</v>
      </c>
    </row>
    <row r="425" customFormat="false" ht="15" hidden="false" customHeight="false" outlineLevel="0" collapsed="false">
      <c r="A425" s="4" t="s">
        <v>121</v>
      </c>
      <c r="B425" s="4" t="s">
        <v>477</v>
      </c>
      <c r="C425" s="4" t="s">
        <v>553</v>
      </c>
      <c r="D425" s="4" t="s">
        <v>578</v>
      </c>
      <c r="E425" s="4" t="s">
        <v>570</v>
      </c>
      <c r="F425" s="4" t="n">
        <f aca="false">COUNTIFS(Positions!$B$2:$B$6912,A425,Positions!$F$2:$F$6912,B425)</f>
        <v>7</v>
      </c>
      <c r="G425" s="4" t="n">
        <f aca="false">COUNTIFS(Positions!$B$2:$B$6912,A425,Positions!$F$2:$F$6912,B425,Positions!$E$2:$E$6912,"G")</f>
        <v>0</v>
      </c>
      <c r="H425" s="4" t="n">
        <f aca="false">COUNTIFS(Positions!$B$2:$B$6912,A425,Positions!$F$2:$F$6912,B425,Positions!$E$2:$E$6912,"C")</f>
        <v>1</v>
      </c>
      <c r="I425" s="3" t="n">
        <f aca="false">G425+H425</f>
        <v>1</v>
      </c>
      <c r="J425" s="6" t="n">
        <f aca="false">IF(F425=0,0,I425/F425)</f>
        <v>0.142857142857143</v>
      </c>
    </row>
    <row r="426" customFormat="false" ht="15" hidden="false" customHeight="false" outlineLevel="0" collapsed="false">
      <c r="A426" s="7" t="s">
        <v>121</v>
      </c>
      <c r="B426" s="7" t="s">
        <v>556</v>
      </c>
      <c r="C426" s="7" t="s">
        <v>557</v>
      </c>
      <c r="D426" s="7" t="s">
        <v>557</v>
      </c>
      <c r="E426" s="7" t="s">
        <v>564</v>
      </c>
      <c r="F426" s="7" t="n">
        <f aca="false">COUNTIFS(Positions!$B$2:$B$6912,A426,Positions!$F$2:$F$6912,"Position 8")+COUNTIFS(Positions!$B$2:$B$6912,A426,Positions!$F$2:$F$6912,"Position 9")+COUNTIFS(Positions!$B$2:$B$6912,A426,Positions!$F$2:$F$6912,"Position 26")</f>
        <v>3</v>
      </c>
      <c r="G426" s="7" t="n">
        <f aca="false">COUNTIFS(Positions!$B$2:$B$6912,A426,Positions!$F$2:$F$6912,"Position 8",Positions!$E$2:$E$6912,"G")+COUNTIFS(Positions!$B$2:$B$6912,A426,Positions!$F$2:$F$6912,"Position 9",Positions!$E$2:$E$6912,"G")+COUNTIFS(Positions!$B$2:$B$6912,A426,Positions!$F$2:$F$6912,"Position 26",Positions!$E$2:$E$6912,"G")</f>
        <v>1</v>
      </c>
      <c r="H426" s="7" t="n">
        <f aca="false">COUNTIFS(Positions!$B$2:$B$6912,A426,Positions!$F$2:$F$6912,"Position 8",Positions!$E$2:$E$6912,"C")+COUNTIFS(Positions!$B$2:$B$6912,A426,Positions!$F$2:$F$6912,"Position 9",Positions!$E$2:$E$6912,"C")+COUNTIFS(Positions!$B$2:$B$6912,A426,Positions!$F$2:$F$6912,"Position 26",Positions!$E$2:$E$6912,"C")</f>
        <v>0</v>
      </c>
      <c r="I426" s="8" t="n">
        <f aca="false">G426+H426</f>
        <v>1</v>
      </c>
      <c r="J426" s="26" t="n">
        <f aca="false">IF(F426=0,0,I426/F426)</f>
        <v>0.333333333333333</v>
      </c>
    </row>
    <row r="427" customFormat="false" ht="15" hidden="false" customHeight="false" outlineLevel="0" collapsed="false">
      <c r="A427" s="4" t="s">
        <v>122</v>
      </c>
      <c r="B427" s="4" t="s">
        <v>430</v>
      </c>
      <c r="C427" s="4" t="s">
        <v>544</v>
      </c>
      <c r="D427" s="4" t="s">
        <v>544</v>
      </c>
      <c r="E427" s="4" t="s">
        <v>653</v>
      </c>
      <c r="F427" s="4" t="n">
        <f aca="false">COUNTIFS(Positions!$B$2:$B$6912,A427,Positions!$F$2:$F$6912,B427)</f>
        <v>8</v>
      </c>
      <c r="G427" s="4" t="n">
        <f aca="false">COUNTIFS(Positions!$B$2:$B$6912,A427,Positions!$F$2:$F$6912,B427,Positions!$E$2:$E$6912,"G")</f>
        <v>2</v>
      </c>
      <c r="H427" s="4" t="n">
        <f aca="false">COUNTIFS(Positions!$B$2:$B$6912,A427,Positions!$F$2:$F$6912,B427,Positions!$E$2:$E$6912,"C")</f>
        <v>0</v>
      </c>
      <c r="I427" s="3" t="n">
        <f aca="false">G427+H427</f>
        <v>2</v>
      </c>
      <c r="J427" s="6" t="n">
        <f aca="false">IF(F427=0,0,I427/F427)</f>
        <v>0.25</v>
      </c>
    </row>
    <row r="428" customFormat="false" ht="15" hidden="false" customHeight="false" outlineLevel="0" collapsed="false">
      <c r="A428" s="4" t="s">
        <v>122</v>
      </c>
      <c r="B428" s="4" t="s">
        <v>452</v>
      </c>
      <c r="C428" s="4" t="s">
        <v>547</v>
      </c>
      <c r="D428" s="4" t="s">
        <v>547</v>
      </c>
      <c r="E428" s="4" t="s">
        <v>633</v>
      </c>
      <c r="F428" s="4" t="n">
        <f aca="false">COUNTIFS(Positions!$B$2:$B$6912,A428,Positions!$F$2:$F$6912,B428)</f>
        <v>7</v>
      </c>
      <c r="G428" s="4" t="n">
        <f aca="false">COUNTIFS(Positions!$B$2:$B$6912,A428,Positions!$F$2:$F$6912,B428,Positions!$E$2:$E$6912,"G")</f>
        <v>1</v>
      </c>
      <c r="H428" s="4" t="n">
        <f aca="false">COUNTIFS(Positions!$B$2:$B$6912,A428,Positions!$F$2:$F$6912,B428,Positions!$E$2:$E$6912,"C")</f>
        <v>1</v>
      </c>
      <c r="I428" s="3" t="n">
        <f aca="false">G428+H428</f>
        <v>2</v>
      </c>
      <c r="J428" s="6" t="n">
        <f aca="false">IF(F428=0,0,I428/F428)</f>
        <v>0.285714285714286</v>
      </c>
    </row>
    <row r="429" customFormat="false" ht="15" hidden="false" customHeight="false" outlineLevel="0" collapsed="false">
      <c r="A429" s="4" t="s">
        <v>122</v>
      </c>
      <c r="B429" s="4" t="s">
        <v>465</v>
      </c>
      <c r="C429" s="4" t="s">
        <v>550</v>
      </c>
      <c r="D429" s="4" t="s">
        <v>599</v>
      </c>
      <c r="E429" s="4" t="s">
        <v>655</v>
      </c>
      <c r="F429" s="4" t="n">
        <f aca="false">COUNTIFS(Positions!$B$2:$B$6912,A429,Positions!$F$2:$F$6912,B429)</f>
        <v>4</v>
      </c>
      <c r="G429" s="4" t="n">
        <f aca="false">COUNTIFS(Positions!$B$2:$B$6912,A429,Positions!$F$2:$F$6912,B429,Positions!$E$2:$E$6912,"G")</f>
        <v>1</v>
      </c>
      <c r="H429" s="4" t="n">
        <f aca="false">COUNTIFS(Positions!$B$2:$B$6912,A429,Positions!$F$2:$F$6912,B429,Positions!$E$2:$E$6912,"C")</f>
        <v>1</v>
      </c>
      <c r="I429" s="3" t="n">
        <f aca="false">G429+H429</f>
        <v>2</v>
      </c>
      <c r="J429" s="6" t="n">
        <f aca="false">IF(F429=0,0,I429/F429)</f>
        <v>0.5</v>
      </c>
    </row>
    <row r="430" customFormat="false" ht="15" hidden="false" customHeight="false" outlineLevel="0" collapsed="false">
      <c r="A430" s="4" t="s">
        <v>122</v>
      </c>
      <c r="B430" s="4" t="s">
        <v>477</v>
      </c>
      <c r="C430" s="4" t="s">
        <v>553</v>
      </c>
      <c r="D430" s="4" t="s">
        <v>578</v>
      </c>
      <c r="E430" s="4" t="s">
        <v>570</v>
      </c>
      <c r="F430" s="4" t="n">
        <f aca="false">COUNTIFS(Positions!$B$2:$B$6912,A430,Positions!$F$2:$F$6912,B430)</f>
        <v>7</v>
      </c>
      <c r="G430" s="4" t="n">
        <f aca="false">COUNTIFS(Positions!$B$2:$B$6912,A430,Positions!$F$2:$F$6912,B430,Positions!$E$2:$E$6912,"G")</f>
        <v>0</v>
      </c>
      <c r="H430" s="4" t="n">
        <f aca="false">COUNTIFS(Positions!$B$2:$B$6912,A430,Positions!$F$2:$F$6912,B430,Positions!$E$2:$E$6912,"C")</f>
        <v>1</v>
      </c>
      <c r="I430" s="3" t="n">
        <f aca="false">G430+H430</f>
        <v>1</v>
      </c>
      <c r="J430" s="6" t="n">
        <f aca="false">IF(F430=0,0,I430/F430)</f>
        <v>0.142857142857143</v>
      </c>
    </row>
    <row r="431" customFormat="false" ht="15" hidden="false" customHeight="false" outlineLevel="0" collapsed="false">
      <c r="A431" s="7" t="s">
        <v>122</v>
      </c>
      <c r="B431" s="7" t="s">
        <v>556</v>
      </c>
      <c r="C431" s="7" t="s">
        <v>557</v>
      </c>
      <c r="D431" s="7" t="s">
        <v>557</v>
      </c>
      <c r="E431" s="7" t="s">
        <v>564</v>
      </c>
      <c r="F431" s="7" t="n">
        <f aca="false">COUNTIFS(Positions!$B$2:$B$6912,A431,Positions!$F$2:$F$6912,"Position 8")+COUNTIFS(Positions!$B$2:$B$6912,A431,Positions!$F$2:$F$6912,"Position 9")+COUNTIFS(Positions!$B$2:$B$6912,A431,Positions!$F$2:$F$6912,"Position 26")</f>
        <v>3</v>
      </c>
      <c r="G431" s="7" t="n">
        <f aca="false">COUNTIFS(Positions!$B$2:$B$6912,A431,Positions!$F$2:$F$6912,"Position 8",Positions!$E$2:$E$6912,"G")+COUNTIFS(Positions!$B$2:$B$6912,A431,Positions!$F$2:$F$6912,"Position 9",Positions!$E$2:$E$6912,"G")+COUNTIFS(Positions!$B$2:$B$6912,A431,Positions!$F$2:$F$6912,"Position 26",Positions!$E$2:$E$6912,"G")</f>
        <v>1</v>
      </c>
      <c r="H431" s="7" t="n">
        <f aca="false">COUNTIFS(Positions!$B$2:$B$6912,A431,Positions!$F$2:$F$6912,"Position 8",Positions!$E$2:$E$6912,"C")+COUNTIFS(Positions!$B$2:$B$6912,A431,Positions!$F$2:$F$6912,"Position 9",Positions!$E$2:$E$6912,"C")+COUNTIFS(Positions!$B$2:$B$6912,A431,Positions!$F$2:$F$6912,"Position 26",Positions!$E$2:$E$6912,"C")</f>
        <v>0</v>
      </c>
      <c r="I431" s="8" t="n">
        <f aca="false">G431+H431</f>
        <v>1</v>
      </c>
      <c r="J431" s="26" t="n">
        <f aca="false">IF(F431=0,0,I431/F431)</f>
        <v>0.333333333333333</v>
      </c>
    </row>
    <row r="432" customFormat="false" ht="15" hidden="false" customHeight="false" outlineLevel="0" collapsed="false">
      <c r="A432" s="4" t="s">
        <v>123</v>
      </c>
      <c r="B432" s="4" t="s">
        <v>430</v>
      </c>
      <c r="C432" s="4" t="s">
        <v>544</v>
      </c>
      <c r="D432" s="4" t="s">
        <v>544</v>
      </c>
      <c r="E432" s="4" t="s">
        <v>602</v>
      </c>
      <c r="F432" s="4" t="n">
        <f aca="false">COUNTIFS(Positions!$B$2:$B$6912,A432,Positions!$F$2:$F$6912,B432)</f>
        <v>8</v>
      </c>
      <c r="G432" s="4" t="n">
        <f aca="false">COUNTIFS(Positions!$B$2:$B$6912,A432,Positions!$F$2:$F$6912,B432,Positions!$E$2:$E$6912,"G")</f>
        <v>3</v>
      </c>
      <c r="H432" s="4" t="n">
        <f aca="false">COUNTIFS(Positions!$B$2:$B$6912,A432,Positions!$F$2:$F$6912,B432,Positions!$E$2:$E$6912,"C")</f>
        <v>0</v>
      </c>
      <c r="I432" s="3" t="n">
        <f aca="false">G432+H432</f>
        <v>3</v>
      </c>
      <c r="J432" s="6" t="n">
        <f aca="false">IF(F432=0,0,I432/F432)</f>
        <v>0.375</v>
      </c>
    </row>
    <row r="433" customFormat="false" ht="15" hidden="false" customHeight="false" outlineLevel="0" collapsed="false">
      <c r="A433" s="4" t="s">
        <v>123</v>
      </c>
      <c r="B433" s="4" t="s">
        <v>452</v>
      </c>
      <c r="C433" s="4" t="s">
        <v>547</v>
      </c>
      <c r="D433" s="4" t="s">
        <v>547</v>
      </c>
      <c r="E433" s="4" t="s">
        <v>639</v>
      </c>
      <c r="F433" s="4" t="n">
        <f aca="false">COUNTIFS(Positions!$B$2:$B$6912,A433,Positions!$F$2:$F$6912,B433)</f>
        <v>7</v>
      </c>
      <c r="G433" s="4" t="n">
        <f aca="false">COUNTIFS(Positions!$B$2:$B$6912,A433,Positions!$F$2:$F$6912,B433,Positions!$E$2:$E$6912,"G")</f>
        <v>0</v>
      </c>
      <c r="H433" s="4" t="n">
        <f aca="false">COUNTIFS(Positions!$B$2:$B$6912,A433,Positions!$F$2:$F$6912,B433,Positions!$E$2:$E$6912,"C")</f>
        <v>4</v>
      </c>
      <c r="I433" s="3" t="n">
        <f aca="false">G433+H433</f>
        <v>4</v>
      </c>
      <c r="J433" s="6" t="n">
        <f aca="false">IF(F433=0,0,I433/F433)</f>
        <v>0.571428571428571</v>
      </c>
    </row>
    <row r="434" customFormat="false" ht="15" hidden="false" customHeight="false" outlineLevel="0" collapsed="false">
      <c r="A434" s="4" t="s">
        <v>123</v>
      </c>
      <c r="B434" s="4" t="s">
        <v>465</v>
      </c>
      <c r="C434" s="4" t="s">
        <v>550</v>
      </c>
      <c r="D434" s="4" t="s">
        <v>599</v>
      </c>
      <c r="E434" s="4" t="s">
        <v>648</v>
      </c>
      <c r="F434" s="4" t="n">
        <f aca="false">COUNTIFS(Positions!$B$2:$B$6912,A434,Positions!$F$2:$F$6912,B434)</f>
        <v>4</v>
      </c>
      <c r="G434" s="4" t="n">
        <f aca="false">COUNTIFS(Positions!$B$2:$B$6912,A434,Positions!$F$2:$F$6912,B434,Positions!$E$2:$E$6912,"G")</f>
        <v>2</v>
      </c>
      <c r="H434" s="4" t="n">
        <f aca="false">COUNTIFS(Positions!$B$2:$B$6912,A434,Positions!$F$2:$F$6912,B434,Positions!$E$2:$E$6912,"C")</f>
        <v>2</v>
      </c>
      <c r="I434" s="3" t="n">
        <f aca="false">G434+H434</f>
        <v>4</v>
      </c>
      <c r="J434" s="6" t="n">
        <f aca="false">IF(F434=0,0,I434/F434)</f>
        <v>1</v>
      </c>
    </row>
    <row r="435" customFormat="false" ht="15" hidden="false" customHeight="false" outlineLevel="0" collapsed="false">
      <c r="A435" s="4" t="s">
        <v>123</v>
      </c>
      <c r="B435" s="4" t="s">
        <v>477</v>
      </c>
      <c r="C435" s="4" t="s">
        <v>553</v>
      </c>
      <c r="D435" s="4" t="s">
        <v>578</v>
      </c>
      <c r="E435" s="4" t="s">
        <v>601</v>
      </c>
      <c r="F435" s="4" t="n">
        <f aca="false">COUNTIFS(Positions!$B$2:$B$6912,A435,Positions!$F$2:$F$6912,B435)</f>
        <v>7</v>
      </c>
      <c r="G435" s="4" t="n">
        <f aca="false">COUNTIFS(Positions!$B$2:$B$6912,A435,Positions!$F$2:$F$6912,B435,Positions!$E$2:$E$6912,"G")</f>
        <v>1</v>
      </c>
      <c r="H435" s="4" t="n">
        <f aca="false">COUNTIFS(Positions!$B$2:$B$6912,A435,Positions!$F$2:$F$6912,B435,Positions!$E$2:$E$6912,"C")</f>
        <v>1</v>
      </c>
      <c r="I435" s="3" t="n">
        <f aca="false">G435+H435</f>
        <v>2</v>
      </c>
      <c r="J435" s="6" t="n">
        <f aca="false">IF(F435=0,0,I435/F435)</f>
        <v>0.285714285714286</v>
      </c>
    </row>
    <row r="436" customFormat="false" ht="15" hidden="false" customHeight="false" outlineLevel="0" collapsed="false">
      <c r="A436" s="7" t="s">
        <v>123</v>
      </c>
      <c r="B436" s="7" t="s">
        <v>556</v>
      </c>
      <c r="C436" s="7" t="s">
        <v>557</v>
      </c>
      <c r="D436" s="7" t="s">
        <v>557</v>
      </c>
      <c r="E436" s="7" t="s">
        <v>564</v>
      </c>
      <c r="F436" s="7" t="n">
        <f aca="false">COUNTIFS(Positions!$B$2:$B$6912,A436,Positions!$F$2:$F$6912,"Position 8")+COUNTIFS(Positions!$B$2:$B$6912,A436,Positions!$F$2:$F$6912,"Position 9")+COUNTIFS(Positions!$B$2:$B$6912,A436,Positions!$F$2:$F$6912,"Position 26")</f>
        <v>3</v>
      </c>
      <c r="G436" s="7" t="n">
        <f aca="false">COUNTIFS(Positions!$B$2:$B$6912,A436,Positions!$F$2:$F$6912,"Position 8",Positions!$E$2:$E$6912,"G")+COUNTIFS(Positions!$B$2:$B$6912,A436,Positions!$F$2:$F$6912,"Position 9",Positions!$E$2:$E$6912,"G")+COUNTIFS(Positions!$B$2:$B$6912,A436,Positions!$F$2:$F$6912,"Position 26",Positions!$E$2:$E$6912,"G")</f>
        <v>1</v>
      </c>
      <c r="H436" s="7" t="n">
        <f aca="false">COUNTIFS(Positions!$B$2:$B$6912,A436,Positions!$F$2:$F$6912,"Position 8",Positions!$E$2:$E$6912,"C")+COUNTIFS(Positions!$B$2:$B$6912,A436,Positions!$F$2:$F$6912,"Position 9",Positions!$E$2:$E$6912,"C")+COUNTIFS(Positions!$B$2:$B$6912,A436,Positions!$F$2:$F$6912,"Position 26",Positions!$E$2:$E$6912,"C")</f>
        <v>0</v>
      </c>
      <c r="I436" s="8" t="n">
        <f aca="false">G436+H436</f>
        <v>1</v>
      </c>
      <c r="J436" s="26" t="n">
        <f aca="false">IF(F436=0,0,I436/F436)</f>
        <v>0.333333333333333</v>
      </c>
    </row>
    <row r="437" customFormat="false" ht="15" hidden="false" customHeight="false" outlineLevel="0" collapsed="false">
      <c r="A437" s="4" t="s">
        <v>124</v>
      </c>
      <c r="B437" s="4" t="s">
        <v>430</v>
      </c>
      <c r="C437" s="4" t="s">
        <v>544</v>
      </c>
      <c r="D437" s="4" t="s">
        <v>544</v>
      </c>
      <c r="E437" s="4" t="s">
        <v>602</v>
      </c>
      <c r="F437" s="4" t="n">
        <f aca="false">COUNTIFS(Positions!$B$2:$B$6912,A437,Positions!$F$2:$F$6912,B437)</f>
        <v>8</v>
      </c>
      <c r="G437" s="4" t="n">
        <f aca="false">COUNTIFS(Positions!$B$2:$B$6912,A437,Positions!$F$2:$F$6912,B437,Positions!$E$2:$E$6912,"G")</f>
        <v>3</v>
      </c>
      <c r="H437" s="4" t="n">
        <f aca="false">COUNTIFS(Positions!$B$2:$B$6912,A437,Positions!$F$2:$F$6912,B437,Positions!$E$2:$E$6912,"C")</f>
        <v>0</v>
      </c>
      <c r="I437" s="3" t="n">
        <f aca="false">G437+H437</f>
        <v>3</v>
      </c>
      <c r="J437" s="6" t="n">
        <f aca="false">IF(F437=0,0,I437/F437)</f>
        <v>0.375</v>
      </c>
    </row>
    <row r="438" customFormat="false" ht="15" hidden="false" customHeight="false" outlineLevel="0" collapsed="false">
      <c r="A438" s="4" t="s">
        <v>124</v>
      </c>
      <c r="B438" s="4" t="s">
        <v>452</v>
      </c>
      <c r="C438" s="4" t="s">
        <v>547</v>
      </c>
      <c r="D438" s="4" t="s">
        <v>547</v>
      </c>
      <c r="E438" s="4" t="s">
        <v>603</v>
      </c>
      <c r="F438" s="4" t="n">
        <f aca="false">COUNTIFS(Positions!$B$2:$B$6912,A438,Positions!$F$2:$F$6912,B438)</f>
        <v>7</v>
      </c>
      <c r="G438" s="4" t="n">
        <f aca="false">COUNTIFS(Positions!$B$2:$B$6912,A438,Positions!$F$2:$F$6912,B438,Positions!$E$2:$E$6912,"G")</f>
        <v>3</v>
      </c>
      <c r="H438" s="4" t="n">
        <f aca="false">COUNTIFS(Positions!$B$2:$B$6912,A438,Positions!$F$2:$F$6912,B438,Positions!$E$2:$E$6912,"C")</f>
        <v>1</v>
      </c>
      <c r="I438" s="3" t="n">
        <f aca="false">G438+H438</f>
        <v>4</v>
      </c>
      <c r="J438" s="6" t="n">
        <f aca="false">IF(F438=0,0,I438/F438)</f>
        <v>0.571428571428571</v>
      </c>
    </row>
    <row r="439" customFormat="false" ht="15" hidden="false" customHeight="false" outlineLevel="0" collapsed="false">
      <c r="A439" s="4" t="s">
        <v>124</v>
      </c>
      <c r="B439" s="4" t="s">
        <v>465</v>
      </c>
      <c r="C439" s="4" t="s">
        <v>550</v>
      </c>
      <c r="D439" s="4" t="s">
        <v>599</v>
      </c>
      <c r="E439" s="4" t="s">
        <v>696</v>
      </c>
      <c r="F439" s="4" t="n">
        <f aca="false">COUNTIFS(Positions!$B$2:$B$6912,A439,Positions!$F$2:$F$6912,B439)</f>
        <v>4</v>
      </c>
      <c r="G439" s="4" t="n">
        <f aca="false">COUNTIFS(Positions!$B$2:$B$6912,A439,Positions!$F$2:$F$6912,B439,Positions!$E$2:$E$6912,"G")</f>
        <v>0</v>
      </c>
      <c r="H439" s="4" t="n">
        <f aca="false">COUNTIFS(Positions!$B$2:$B$6912,A439,Positions!$F$2:$F$6912,B439,Positions!$E$2:$E$6912,"C")</f>
        <v>2</v>
      </c>
      <c r="I439" s="3" t="n">
        <f aca="false">G439+H439</f>
        <v>2</v>
      </c>
      <c r="J439" s="6" t="n">
        <f aca="false">IF(F439=0,0,I439/F439)</f>
        <v>0.5</v>
      </c>
    </row>
    <row r="440" customFormat="false" ht="15" hidden="false" customHeight="false" outlineLevel="0" collapsed="false">
      <c r="A440" s="4" t="s">
        <v>124</v>
      </c>
      <c r="B440" s="4" t="s">
        <v>477</v>
      </c>
      <c r="C440" s="4" t="s">
        <v>553</v>
      </c>
      <c r="D440" s="4" t="s">
        <v>578</v>
      </c>
      <c r="E440" s="4" t="s">
        <v>563</v>
      </c>
      <c r="F440" s="4" t="n">
        <f aca="false">COUNTIFS(Positions!$B$2:$B$6912,A440,Positions!$F$2:$F$6912,B440)</f>
        <v>7</v>
      </c>
      <c r="G440" s="4" t="n">
        <f aca="false">COUNTIFS(Positions!$B$2:$B$6912,A440,Positions!$F$2:$F$6912,B440,Positions!$E$2:$E$6912,"G")</f>
        <v>1</v>
      </c>
      <c r="H440" s="4" t="n">
        <f aca="false">COUNTIFS(Positions!$B$2:$B$6912,A440,Positions!$F$2:$F$6912,B440,Positions!$E$2:$E$6912,"C")</f>
        <v>1</v>
      </c>
      <c r="I440" s="3" t="n">
        <f aca="false">G440+H440</f>
        <v>2</v>
      </c>
      <c r="J440" s="6" t="n">
        <f aca="false">IF(F440=0,0,I440/F440)</f>
        <v>0.285714285714286</v>
      </c>
    </row>
    <row r="441" customFormat="false" ht="15" hidden="false" customHeight="false" outlineLevel="0" collapsed="false">
      <c r="A441" s="7" t="s">
        <v>124</v>
      </c>
      <c r="B441" s="7" t="s">
        <v>556</v>
      </c>
      <c r="C441" s="7" t="s">
        <v>557</v>
      </c>
      <c r="D441" s="7" t="s">
        <v>557</v>
      </c>
      <c r="E441" s="7" t="s">
        <v>697</v>
      </c>
      <c r="F441" s="7" t="n">
        <f aca="false">COUNTIFS(Positions!$B$2:$B$6912,A441,Positions!$F$2:$F$6912,"Position 8")+COUNTIFS(Positions!$B$2:$B$6912,A441,Positions!$F$2:$F$6912,"Position 9")+COUNTIFS(Positions!$B$2:$B$6912,A441,Positions!$F$2:$F$6912,"Position 26")</f>
        <v>3</v>
      </c>
      <c r="G441" s="7" t="n">
        <f aca="false">COUNTIFS(Positions!$B$2:$B$6912,A441,Positions!$F$2:$F$6912,"Position 8",Positions!$E$2:$E$6912,"G")+COUNTIFS(Positions!$B$2:$B$6912,A441,Positions!$F$2:$F$6912,"Position 9",Positions!$E$2:$E$6912,"G")+COUNTIFS(Positions!$B$2:$B$6912,A441,Positions!$F$2:$F$6912,"Position 26",Positions!$E$2:$E$6912,"G")</f>
        <v>0</v>
      </c>
      <c r="H441" s="7" t="n">
        <f aca="false">COUNTIFS(Positions!$B$2:$B$6912,A441,Positions!$F$2:$F$6912,"Position 8",Positions!$E$2:$E$6912,"C")+COUNTIFS(Positions!$B$2:$B$6912,A441,Positions!$F$2:$F$6912,"Position 9",Positions!$E$2:$E$6912,"C")+COUNTIFS(Positions!$B$2:$B$6912,A441,Positions!$F$2:$F$6912,"Position 26",Positions!$E$2:$E$6912,"C")</f>
        <v>1</v>
      </c>
      <c r="I441" s="8" t="n">
        <f aca="false">G441+H441</f>
        <v>1</v>
      </c>
      <c r="J441" s="26" t="n">
        <f aca="false">IF(F441=0,0,I441/F441)</f>
        <v>0.333333333333333</v>
      </c>
    </row>
    <row r="442" customFormat="false" ht="15" hidden="false" customHeight="false" outlineLevel="0" collapsed="false">
      <c r="A442" s="4" t="s">
        <v>125</v>
      </c>
      <c r="B442" s="4" t="s">
        <v>430</v>
      </c>
      <c r="C442" s="4" t="s">
        <v>544</v>
      </c>
      <c r="D442" s="4" t="s">
        <v>544</v>
      </c>
      <c r="E442" s="4" t="s">
        <v>659</v>
      </c>
      <c r="F442" s="4" t="n">
        <f aca="false">COUNTIFS(Positions!$B$2:$B$6912,A442,Positions!$F$2:$F$6912,B442)</f>
        <v>8</v>
      </c>
      <c r="G442" s="4" t="n">
        <f aca="false">COUNTIFS(Positions!$B$2:$B$6912,A442,Positions!$F$2:$F$6912,B442,Positions!$E$2:$E$6912,"G")</f>
        <v>3</v>
      </c>
      <c r="H442" s="4" t="n">
        <f aca="false">COUNTIFS(Positions!$B$2:$B$6912,A442,Positions!$F$2:$F$6912,B442,Positions!$E$2:$E$6912,"C")</f>
        <v>0</v>
      </c>
      <c r="I442" s="3" t="n">
        <f aca="false">G442+H442</f>
        <v>3</v>
      </c>
      <c r="J442" s="6" t="n">
        <f aca="false">IF(F442=0,0,I442/F442)</f>
        <v>0.375</v>
      </c>
    </row>
    <row r="443" customFormat="false" ht="15" hidden="false" customHeight="false" outlineLevel="0" collapsed="false">
      <c r="A443" s="4" t="s">
        <v>125</v>
      </c>
      <c r="B443" s="4" t="s">
        <v>452</v>
      </c>
      <c r="C443" s="4" t="s">
        <v>547</v>
      </c>
      <c r="D443" s="4" t="s">
        <v>547</v>
      </c>
      <c r="E443" s="4" t="s">
        <v>549</v>
      </c>
      <c r="F443" s="4" t="n">
        <f aca="false">COUNTIFS(Positions!$B$2:$B$6912,A443,Positions!$F$2:$F$6912,B443)</f>
        <v>7</v>
      </c>
      <c r="G443" s="4" t="n">
        <f aca="false">COUNTIFS(Positions!$B$2:$B$6912,A443,Positions!$F$2:$F$6912,B443,Positions!$E$2:$E$6912,"G")</f>
        <v>0</v>
      </c>
      <c r="H443" s="4" t="n">
        <f aca="false">COUNTIFS(Positions!$B$2:$B$6912,A443,Positions!$F$2:$F$6912,B443,Positions!$E$2:$E$6912,"C")</f>
        <v>2</v>
      </c>
      <c r="I443" s="3" t="n">
        <f aca="false">G443+H443</f>
        <v>2</v>
      </c>
      <c r="J443" s="6" t="n">
        <f aca="false">IF(F443=0,0,I443/F443)</f>
        <v>0.285714285714286</v>
      </c>
    </row>
    <row r="444" customFormat="false" ht="15" hidden="false" customHeight="false" outlineLevel="0" collapsed="false">
      <c r="A444" s="4" t="s">
        <v>125</v>
      </c>
      <c r="B444" s="4" t="s">
        <v>465</v>
      </c>
      <c r="C444" s="4" t="s">
        <v>550</v>
      </c>
      <c r="D444" s="4" t="s">
        <v>550</v>
      </c>
      <c r="E444" s="4" t="s">
        <v>591</v>
      </c>
      <c r="F444" s="4" t="n">
        <f aca="false">COUNTIFS(Positions!$B$2:$B$6912,A444,Positions!$F$2:$F$6912,B444)</f>
        <v>5</v>
      </c>
      <c r="G444" s="4" t="n">
        <f aca="false">COUNTIFS(Positions!$B$2:$B$6912,A444,Positions!$F$2:$F$6912,B444,Positions!$E$2:$E$6912,"G")</f>
        <v>2</v>
      </c>
      <c r="H444" s="4" t="n">
        <f aca="false">COUNTIFS(Positions!$B$2:$B$6912,A444,Positions!$F$2:$F$6912,B444,Positions!$E$2:$E$6912,"C")</f>
        <v>1</v>
      </c>
      <c r="I444" s="3" t="n">
        <f aca="false">G444+H444</f>
        <v>3</v>
      </c>
      <c r="J444" s="6" t="n">
        <f aca="false">IF(F444=0,0,I444/F444)</f>
        <v>0.6</v>
      </c>
    </row>
    <row r="445" customFormat="false" ht="15" hidden="false" customHeight="false" outlineLevel="0" collapsed="false">
      <c r="A445" s="4" t="s">
        <v>125</v>
      </c>
      <c r="B445" s="4" t="s">
        <v>477</v>
      </c>
      <c r="C445" s="4" t="s">
        <v>553</v>
      </c>
      <c r="D445" s="4" t="s">
        <v>553</v>
      </c>
      <c r="E445" s="4" t="s">
        <v>622</v>
      </c>
      <c r="F445" s="4" t="n">
        <f aca="false">COUNTIFS(Positions!$B$2:$B$6912,A445,Positions!$F$2:$F$6912,B445)</f>
        <v>7</v>
      </c>
      <c r="G445" s="4" t="n">
        <f aca="false">COUNTIFS(Positions!$B$2:$B$6912,A445,Positions!$F$2:$F$6912,B445,Positions!$E$2:$E$6912,"G")</f>
        <v>1</v>
      </c>
      <c r="H445" s="4" t="n">
        <f aca="false">COUNTIFS(Positions!$B$2:$B$6912,A445,Positions!$F$2:$F$6912,B445,Positions!$E$2:$E$6912,"C")</f>
        <v>2</v>
      </c>
      <c r="I445" s="3" t="n">
        <f aca="false">G445+H445</f>
        <v>3</v>
      </c>
      <c r="J445" s="6" t="n">
        <f aca="false">IF(F445=0,0,I445/F445)</f>
        <v>0.428571428571429</v>
      </c>
    </row>
    <row r="446" customFormat="false" ht="15" hidden="false" customHeight="false" outlineLevel="0" collapsed="false">
      <c r="A446" s="7" t="s">
        <v>125</v>
      </c>
      <c r="B446" s="7" t="s">
        <v>556</v>
      </c>
      <c r="C446" s="7" t="s">
        <v>557</v>
      </c>
      <c r="D446" s="7" t="s">
        <v>557</v>
      </c>
      <c r="E446" s="7" t="s">
        <v>580</v>
      </c>
      <c r="F446" s="7" t="n">
        <f aca="false">COUNTIFS(Positions!$B$2:$B$6912,A446,Positions!$F$2:$F$6912,"Position 8")+COUNTIFS(Positions!$B$2:$B$6912,A446,Positions!$F$2:$F$6912,"Position 9")+COUNTIFS(Positions!$B$2:$B$6912,A446,Positions!$F$2:$F$6912,"Position 26")</f>
        <v>3</v>
      </c>
      <c r="G446" s="7" t="n">
        <f aca="false">COUNTIFS(Positions!$B$2:$B$6912,A446,Positions!$F$2:$F$6912,"Position 8",Positions!$E$2:$E$6912,"G")+COUNTIFS(Positions!$B$2:$B$6912,A446,Positions!$F$2:$F$6912,"Position 9",Positions!$E$2:$E$6912,"G")+COUNTIFS(Positions!$B$2:$B$6912,A446,Positions!$F$2:$F$6912,"Position 26",Positions!$E$2:$E$6912,"G")</f>
        <v>1</v>
      </c>
      <c r="H446" s="7" t="n">
        <f aca="false">COUNTIFS(Positions!$B$2:$B$6912,A446,Positions!$F$2:$F$6912,"Position 8",Positions!$E$2:$E$6912,"C")+COUNTIFS(Positions!$B$2:$B$6912,A446,Positions!$F$2:$F$6912,"Position 9",Positions!$E$2:$E$6912,"C")+COUNTIFS(Positions!$B$2:$B$6912,A446,Positions!$F$2:$F$6912,"Position 26",Positions!$E$2:$E$6912,"C")</f>
        <v>0</v>
      </c>
      <c r="I446" s="8" t="n">
        <f aca="false">G446+H446</f>
        <v>1</v>
      </c>
      <c r="J446" s="26" t="n">
        <f aca="false">IF(F446=0,0,I446/F446)</f>
        <v>0.333333333333333</v>
      </c>
    </row>
    <row r="447" customFormat="false" ht="15" hidden="false" customHeight="false" outlineLevel="0" collapsed="false">
      <c r="A447" s="4" t="s">
        <v>126</v>
      </c>
      <c r="B447" s="4" t="s">
        <v>430</v>
      </c>
      <c r="C447" s="4" t="s">
        <v>544</v>
      </c>
      <c r="D447" s="4" t="s">
        <v>572</v>
      </c>
      <c r="E447" s="4" t="s">
        <v>656</v>
      </c>
      <c r="F447" s="4" t="n">
        <f aca="false">COUNTIFS(Positions!$B$2:$B$6912,A447,Positions!$F$2:$F$6912,B447)</f>
        <v>7</v>
      </c>
      <c r="G447" s="4" t="n">
        <f aca="false">COUNTIFS(Positions!$B$2:$B$6912,A447,Positions!$F$2:$F$6912,B447,Positions!$E$2:$E$6912,"G")</f>
        <v>3</v>
      </c>
      <c r="H447" s="4" t="n">
        <f aca="false">COUNTIFS(Positions!$B$2:$B$6912,A447,Positions!$F$2:$F$6912,B447,Positions!$E$2:$E$6912,"C")</f>
        <v>1</v>
      </c>
      <c r="I447" s="3" t="n">
        <f aca="false">G447+H447</f>
        <v>4</v>
      </c>
      <c r="J447" s="6" t="n">
        <f aca="false">IF(F447=0,0,I447/F447)</f>
        <v>0.571428571428571</v>
      </c>
    </row>
    <row r="448" customFormat="false" ht="15" hidden="false" customHeight="false" outlineLevel="0" collapsed="false">
      <c r="A448" s="4" t="s">
        <v>126</v>
      </c>
      <c r="B448" s="4" t="s">
        <v>452</v>
      </c>
      <c r="C448" s="4" t="s">
        <v>547</v>
      </c>
      <c r="D448" s="4" t="s">
        <v>574</v>
      </c>
      <c r="E448" s="4" t="s">
        <v>605</v>
      </c>
      <c r="F448" s="4" t="n">
        <f aca="false">COUNTIFS(Positions!$B$2:$B$6912,A448,Positions!$F$2:$F$6912,B448)</f>
        <v>7</v>
      </c>
      <c r="G448" s="4" t="n">
        <f aca="false">COUNTIFS(Positions!$B$2:$B$6912,A448,Positions!$F$2:$F$6912,B448,Positions!$E$2:$E$6912,"G")</f>
        <v>0</v>
      </c>
      <c r="H448" s="4" t="n">
        <f aca="false">COUNTIFS(Positions!$B$2:$B$6912,A448,Positions!$F$2:$F$6912,B448,Positions!$E$2:$E$6912,"C")</f>
        <v>3</v>
      </c>
      <c r="I448" s="3" t="n">
        <f aca="false">G448+H448</f>
        <v>3</v>
      </c>
      <c r="J448" s="6" t="n">
        <f aca="false">IF(F448=0,0,I448/F448)</f>
        <v>0.428571428571429</v>
      </c>
    </row>
    <row r="449" customFormat="false" ht="15" hidden="false" customHeight="false" outlineLevel="0" collapsed="false">
      <c r="A449" s="4" t="s">
        <v>126</v>
      </c>
      <c r="B449" s="4" t="s">
        <v>465</v>
      </c>
      <c r="C449" s="4" t="s">
        <v>550</v>
      </c>
      <c r="D449" s="4" t="s">
        <v>576</v>
      </c>
      <c r="E449" s="4" t="s">
        <v>591</v>
      </c>
      <c r="F449" s="4" t="n">
        <f aca="false">COUNTIFS(Positions!$B$2:$B$6912,A449,Positions!$F$2:$F$6912,B449)</f>
        <v>5</v>
      </c>
      <c r="G449" s="4" t="n">
        <f aca="false">COUNTIFS(Positions!$B$2:$B$6912,A449,Positions!$F$2:$F$6912,B449,Positions!$E$2:$E$6912,"G")</f>
        <v>2</v>
      </c>
      <c r="H449" s="4" t="n">
        <f aca="false">COUNTIFS(Positions!$B$2:$B$6912,A449,Positions!$F$2:$F$6912,B449,Positions!$E$2:$E$6912,"C")</f>
        <v>1</v>
      </c>
      <c r="I449" s="3" t="n">
        <f aca="false">G449+H449</f>
        <v>3</v>
      </c>
      <c r="J449" s="6" t="n">
        <f aca="false">IF(F449=0,0,I449/F449)</f>
        <v>0.6</v>
      </c>
    </row>
    <row r="450" customFormat="false" ht="15" hidden="false" customHeight="false" outlineLevel="0" collapsed="false">
      <c r="A450" s="4" t="s">
        <v>126</v>
      </c>
      <c r="B450" s="4" t="s">
        <v>477</v>
      </c>
      <c r="C450" s="4" t="s">
        <v>553</v>
      </c>
      <c r="D450" s="4" t="s">
        <v>578</v>
      </c>
      <c r="E450" s="4" t="s">
        <v>606</v>
      </c>
      <c r="F450" s="4" t="n">
        <f aca="false">COUNTIFS(Positions!$B$2:$B$6912,A450,Positions!$F$2:$F$6912,B450)</f>
        <v>7</v>
      </c>
      <c r="G450" s="4" t="n">
        <f aca="false">COUNTIFS(Positions!$B$2:$B$6912,A450,Positions!$F$2:$F$6912,B450,Positions!$E$2:$E$6912,"G")</f>
        <v>1</v>
      </c>
      <c r="H450" s="4" t="n">
        <f aca="false">COUNTIFS(Positions!$B$2:$B$6912,A450,Positions!$F$2:$F$6912,B450,Positions!$E$2:$E$6912,"C")</f>
        <v>1</v>
      </c>
      <c r="I450" s="3" t="n">
        <f aca="false">G450+H450</f>
        <v>2</v>
      </c>
      <c r="J450" s="6" t="n">
        <f aca="false">IF(F450=0,0,I450/F450)</f>
        <v>0.285714285714286</v>
      </c>
    </row>
    <row r="451" customFormat="false" ht="15" hidden="false" customHeight="false" outlineLevel="0" collapsed="false">
      <c r="A451" s="7" t="s">
        <v>126</v>
      </c>
      <c r="B451" s="7" t="s">
        <v>556</v>
      </c>
      <c r="C451" s="7" t="s">
        <v>557</v>
      </c>
      <c r="D451" s="7" t="s">
        <v>579</v>
      </c>
      <c r="E451" s="7" t="s">
        <v>346</v>
      </c>
      <c r="F451" s="7" t="n">
        <f aca="false">COUNTIFS(Positions!$B$2:$B$6912,A451,Positions!$F$2:$F$6912,"Position 8")+COUNTIFS(Positions!$B$2:$B$6912,A451,Positions!$F$2:$F$6912,"Position 9")+COUNTIFS(Positions!$B$2:$B$6912,A451,Positions!$F$2:$F$6912,"Position 26")</f>
        <v>3</v>
      </c>
      <c r="G451" s="7" t="n">
        <f aca="false">COUNTIFS(Positions!$B$2:$B$6912,A451,Positions!$F$2:$F$6912,"Position 8",Positions!$E$2:$E$6912,"G")+COUNTIFS(Positions!$B$2:$B$6912,A451,Positions!$F$2:$F$6912,"Position 9",Positions!$E$2:$E$6912,"G")+COUNTIFS(Positions!$B$2:$B$6912,A451,Positions!$F$2:$F$6912,"Position 26",Positions!$E$2:$E$6912,"G")</f>
        <v>2</v>
      </c>
      <c r="H451" s="7" t="n">
        <f aca="false">COUNTIFS(Positions!$B$2:$B$6912,A451,Positions!$F$2:$F$6912,"Position 8",Positions!$E$2:$E$6912,"C")+COUNTIFS(Positions!$B$2:$B$6912,A451,Positions!$F$2:$F$6912,"Position 9",Positions!$E$2:$E$6912,"C")+COUNTIFS(Positions!$B$2:$B$6912,A451,Positions!$F$2:$F$6912,"Position 26",Positions!$E$2:$E$6912,"C")</f>
        <v>0</v>
      </c>
      <c r="I451" s="8" t="n">
        <f aca="false">G451+H451</f>
        <v>2</v>
      </c>
      <c r="J451" s="26" t="n">
        <f aca="false">IF(F451=0,0,I451/F451)</f>
        <v>0.666666666666667</v>
      </c>
    </row>
    <row r="452" customFormat="false" ht="15" hidden="false" customHeight="false" outlineLevel="0" collapsed="false">
      <c r="A452" s="4" t="s">
        <v>127</v>
      </c>
      <c r="B452" s="4" t="s">
        <v>430</v>
      </c>
      <c r="C452" s="4" t="s">
        <v>544</v>
      </c>
      <c r="D452" s="4" t="s">
        <v>544</v>
      </c>
      <c r="E452" s="4" t="s">
        <v>614</v>
      </c>
      <c r="F452" s="4" t="n">
        <f aca="false">COUNTIFS(Positions!$B$2:$B$6912,A452,Positions!$F$2:$F$6912,B452)</f>
        <v>8</v>
      </c>
      <c r="G452" s="4" t="n">
        <f aca="false">COUNTIFS(Positions!$B$2:$B$6912,A452,Positions!$F$2:$F$6912,B452,Positions!$E$2:$E$6912,"G")</f>
        <v>4</v>
      </c>
      <c r="H452" s="4" t="n">
        <f aca="false">COUNTIFS(Positions!$B$2:$B$6912,A452,Positions!$F$2:$F$6912,B452,Positions!$E$2:$E$6912,"C")</f>
        <v>0</v>
      </c>
      <c r="I452" s="3" t="n">
        <f aca="false">G452+H452</f>
        <v>4</v>
      </c>
      <c r="J452" s="6" t="n">
        <f aca="false">IF(F452=0,0,I452/F452)</f>
        <v>0.5</v>
      </c>
    </row>
    <row r="453" customFormat="false" ht="15" hidden="false" customHeight="false" outlineLevel="0" collapsed="false">
      <c r="A453" s="4" t="s">
        <v>127</v>
      </c>
      <c r="B453" s="4" t="s">
        <v>452</v>
      </c>
      <c r="C453" s="4" t="s">
        <v>547</v>
      </c>
      <c r="D453" s="4" t="s">
        <v>547</v>
      </c>
      <c r="E453" s="4" t="s">
        <v>615</v>
      </c>
      <c r="F453" s="4" t="n">
        <f aca="false">COUNTIFS(Positions!$B$2:$B$6912,A453,Positions!$F$2:$F$6912,B453)</f>
        <v>7</v>
      </c>
      <c r="G453" s="4" t="n">
        <f aca="false">COUNTIFS(Positions!$B$2:$B$6912,A453,Positions!$F$2:$F$6912,B453,Positions!$E$2:$E$6912,"G")</f>
        <v>2</v>
      </c>
      <c r="H453" s="4" t="n">
        <f aca="false">COUNTIFS(Positions!$B$2:$B$6912,A453,Positions!$F$2:$F$6912,B453,Positions!$E$2:$E$6912,"C")</f>
        <v>1</v>
      </c>
      <c r="I453" s="3" t="n">
        <f aca="false">G453+H453</f>
        <v>3</v>
      </c>
      <c r="J453" s="6" t="n">
        <f aca="false">IF(F453=0,0,I453/F453)</f>
        <v>0.428571428571429</v>
      </c>
    </row>
    <row r="454" customFormat="false" ht="15" hidden="false" customHeight="false" outlineLevel="0" collapsed="false">
      <c r="A454" s="4" t="s">
        <v>127</v>
      </c>
      <c r="B454" s="4" t="s">
        <v>465</v>
      </c>
      <c r="C454" s="4" t="s">
        <v>550</v>
      </c>
      <c r="D454" s="4" t="s">
        <v>550</v>
      </c>
      <c r="E454" s="4" t="s">
        <v>591</v>
      </c>
      <c r="F454" s="4" t="n">
        <f aca="false">COUNTIFS(Positions!$B$2:$B$6912,A454,Positions!$F$2:$F$6912,B454)</f>
        <v>5</v>
      </c>
      <c r="G454" s="4" t="n">
        <f aca="false">COUNTIFS(Positions!$B$2:$B$6912,A454,Positions!$F$2:$F$6912,B454,Positions!$E$2:$E$6912,"G")</f>
        <v>2</v>
      </c>
      <c r="H454" s="4" t="n">
        <f aca="false">COUNTIFS(Positions!$B$2:$B$6912,A454,Positions!$F$2:$F$6912,B454,Positions!$E$2:$E$6912,"C")</f>
        <v>1</v>
      </c>
      <c r="I454" s="3" t="n">
        <f aca="false">G454+H454</f>
        <v>3</v>
      </c>
      <c r="J454" s="6" t="n">
        <f aca="false">IF(F454=0,0,I454/F454)</f>
        <v>0.6</v>
      </c>
    </row>
    <row r="455" customFormat="false" ht="15" hidden="false" customHeight="false" outlineLevel="0" collapsed="false">
      <c r="A455" s="4" t="s">
        <v>127</v>
      </c>
      <c r="B455" s="4" t="s">
        <v>477</v>
      </c>
      <c r="C455" s="4" t="s">
        <v>553</v>
      </c>
      <c r="D455" s="4" t="s">
        <v>553</v>
      </c>
      <c r="E455" s="4" t="s">
        <v>622</v>
      </c>
      <c r="F455" s="4" t="n">
        <f aca="false">COUNTIFS(Positions!$B$2:$B$6912,A455,Positions!$F$2:$F$6912,B455)</f>
        <v>7</v>
      </c>
      <c r="G455" s="4" t="n">
        <f aca="false">COUNTIFS(Positions!$B$2:$B$6912,A455,Positions!$F$2:$F$6912,B455,Positions!$E$2:$E$6912,"G")</f>
        <v>1</v>
      </c>
      <c r="H455" s="4" t="n">
        <f aca="false">COUNTIFS(Positions!$B$2:$B$6912,A455,Positions!$F$2:$F$6912,B455,Positions!$E$2:$E$6912,"C")</f>
        <v>2</v>
      </c>
      <c r="I455" s="3" t="n">
        <f aca="false">G455+H455</f>
        <v>3</v>
      </c>
      <c r="J455" s="6" t="n">
        <f aca="false">IF(F455=0,0,I455/F455)</f>
        <v>0.428571428571429</v>
      </c>
    </row>
    <row r="456" customFormat="false" ht="15" hidden="false" customHeight="false" outlineLevel="0" collapsed="false">
      <c r="A456" s="7" t="s">
        <v>127</v>
      </c>
      <c r="B456" s="7" t="s">
        <v>556</v>
      </c>
      <c r="C456" s="7" t="s">
        <v>557</v>
      </c>
      <c r="D456" s="7" t="s">
        <v>557</v>
      </c>
      <c r="E456" s="7" t="s">
        <v>580</v>
      </c>
      <c r="F456" s="7" t="n">
        <f aca="false">COUNTIFS(Positions!$B$2:$B$6912,A456,Positions!$F$2:$F$6912,"Position 8")+COUNTIFS(Positions!$B$2:$B$6912,A456,Positions!$F$2:$F$6912,"Position 9")+COUNTIFS(Positions!$B$2:$B$6912,A456,Positions!$F$2:$F$6912,"Position 26")</f>
        <v>3</v>
      </c>
      <c r="G456" s="7" t="n">
        <f aca="false">COUNTIFS(Positions!$B$2:$B$6912,A456,Positions!$F$2:$F$6912,"Position 8",Positions!$E$2:$E$6912,"G")+COUNTIFS(Positions!$B$2:$B$6912,A456,Positions!$F$2:$F$6912,"Position 9",Positions!$E$2:$E$6912,"G")+COUNTIFS(Positions!$B$2:$B$6912,A456,Positions!$F$2:$F$6912,"Position 26",Positions!$E$2:$E$6912,"G")</f>
        <v>1</v>
      </c>
      <c r="H456" s="7" t="n">
        <f aca="false">COUNTIFS(Positions!$B$2:$B$6912,A456,Positions!$F$2:$F$6912,"Position 8",Positions!$E$2:$E$6912,"C")+COUNTIFS(Positions!$B$2:$B$6912,A456,Positions!$F$2:$F$6912,"Position 9",Positions!$E$2:$E$6912,"C")+COUNTIFS(Positions!$B$2:$B$6912,A456,Positions!$F$2:$F$6912,"Position 26",Positions!$E$2:$E$6912,"C")</f>
        <v>0</v>
      </c>
      <c r="I456" s="8" t="n">
        <f aca="false">G456+H456</f>
        <v>1</v>
      </c>
      <c r="J456" s="26" t="n">
        <f aca="false">IF(F456=0,0,I456/F456)</f>
        <v>0.333333333333333</v>
      </c>
    </row>
    <row r="457" customFormat="false" ht="15" hidden="false" customHeight="false" outlineLevel="0" collapsed="false">
      <c r="A457" s="4" t="s">
        <v>128</v>
      </c>
      <c r="B457" s="4" t="s">
        <v>430</v>
      </c>
      <c r="C457" s="4" t="s">
        <v>544</v>
      </c>
      <c r="D457" s="4" t="s">
        <v>544</v>
      </c>
      <c r="E457" s="4" t="s">
        <v>698</v>
      </c>
      <c r="F457" s="4" t="n">
        <f aca="false">COUNTIFS(Positions!$B$2:$B$6912,A457,Positions!$F$2:$F$6912,B457)</f>
        <v>8</v>
      </c>
      <c r="G457" s="4" t="n">
        <f aca="false">COUNTIFS(Positions!$B$2:$B$6912,A457,Positions!$F$2:$F$6912,B457,Positions!$E$2:$E$6912,"G")</f>
        <v>3</v>
      </c>
      <c r="H457" s="4" t="n">
        <f aca="false">COUNTIFS(Positions!$B$2:$B$6912,A457,Positions!$F$2:$F$6912,B457,Positions!$E$2:$E$6912,"C")</f>
        <v>1</v>
      </c>
      <c r="I457" s="3" t="n">
        <f aca="false">G457+H457</f>
        <v>4</v>
      </c>
      <c r="J457" s="6" t="n">
        <f aca="false">IF(F457=0,0,I457/F457)</f>
        <v>0.5</v>
      </c>
    </row>
    <row r="458" customFormat="false" ht="15" hidden="false" customHeight="false" outlineLevel="0" collapsed="false">
      <c r="A458" s="4" t="s">
        <v>128</v>
      </c>
      <c r="B458" s="4" t="s">
        <v>452</v>
      </c>
      <c r="C458" s="4" t="s">
        <v>547</v>
      </c>
      <c r="D458" s="4" t="s">
        <v>547</v>
      </c>
      <c r="E458" s="4" t="s">
        <v>618</v>
      </c>
      <c r="F458" s="4" t="n">
        <f aca="false">COUNTIFS(Positions!$B$2:$B$6912,A458,Positions!$F$2:$F$6912,B458)</f>
        <v>7</v>
      </c>
      <c r="G458" s="4" t="n">
        <f aca="false">COUNTIFS(Positions!$B$2:$B$6912,A458,Positions!$F$2:$F$6912,B458,Positions!$E$2:$E$6912,"G")</f>
        <v>2</v>
      </c>
      <c r="H458" s="4" t="n">
        <f aca="false">COUNTIFS(Positions!$B$2:$B$6912,A458,Positions!$F$2:$F$6912,B458,Positions!$E$2:$E$6912,"C")</f>
        <v>1</v>
      </c>
      <c r="I458" s="3" t="n">
        <f aca="false">G458+H458</f>
        <v>3</v>
      </c>
      <c r="J458" s="6" t="n">
        <f aca="false">IF(F458=0,0,I458/F458)</f>
        <v>0.428571428571429</v>
      </c>
    </row>
    <row r="459" customFormat="false" ht="15" hidden="false" customHeight="false" outlineLevel="0" collapsed="false">
      <c r="A459" s="4" t="s">
        <v>128</v>
      </c>
      <c r="B459" s="4" t="s">
        <v>465</v>
      </c>
      <c r="C459" s="4" t="s">
        <v>550</v>
      </c>
      <c r="D459" s="4" t="s">
        <v>550</v>
      </c>
      <c r="E459" s="4" t="s">
        <v>591</v>
      </c>
      <c r="F459" s="4" t="n">
        <f aca="false">COUNTIFS(Positions!$B$2:$B$6912,A459,Positions!$F$2:$F$6912,B459)</f>
        <v>5</v>
      </c>
      <c r="G459" s="4" t="n">
        <f aca="false">COUNTIFS(Positions!$B$2:$B$6912,A459,Positions!$F$2:$F$6912,B459,Positions!$E$2:$E$6912,"G")</f>
        <v>2</v>
      </c>
      <c r="H459" s="4" t="n">
        <f aca="false">COUNTIFS(Positions!$B$2:$B$6912,A459,Positions!$F$2:$F$6912,B459,Positions!$E$2:$E$6912,"C")</f>
        <v>1</v>
      </c>
      <c r="I459" s="3" t="n">
        <f aca="false">G459+H459</f>
        <v>3</v>
      </c>
      <c r="J459" s="6" t="n">
        <f aca="false">IF(F459=0,0,I459/F459)</f>
        <v>0.6</v>
      </c>
    </row>
    <row r="460" customFormat="false" ht="15" hidden="false" customHeight="false" outlineLevel="0" collapsed="false">
      <c r="A460" s="4" t="s">
        <v>128</v>
      </c>
      <c r="B460" s="4" t="s">
        <v>477</v>
      </c>
      <c r="C460" s="4" t="s">
        <v>553</v>
      </c>
      <c r="D460" s="4" t="s">
        <v>553</v>
      </c>
      <c r="E460" s="4" t="s">
        <v>601</v>
      </c>
      <c r="F460" s="4" t="n">
        <f aca="false">COUNTIFS(Positions!$B$2:$B$6912,A460,Positions!$F$2:$F$6912,B460)</f>
        <v>7</v>
      </c>
      <c r="G460" s="4" t="n">
        <f aca="false">COUNTIFS(Positions!$B$2:$B$6912,A460,Positions!$F$2:$F$6912,B460,Positions!$E$2:$E$6912,"G")</f>
        <v>1</v>
      </c>
      <c r="H460" s="4" t="n">
        <f aca="false">COUNTIFS(Positions!$B$2:$B$6912,A460,Positions!$F$2:$F$6912,B460,Positions!$E$2:$E$6912,"C")</f>
        <v>1</v>
      </c>
      <c r="I460" s="3" t="n">
        <f aca="false">G460+H460</f>
        <v>2</v>
      </c>
      <c r="J460" s="6" t="n">
        <f aca="false">IF(F460=0,0,I460/F460)</f>
        <v>0.285714285714286</v>
      </c>
    </row>
    <row r="461" customFormat="false" ht="15" hidden="false" customHeight="false" outlineLevel="0" collapsed="false">
      <c r="A461" s="7" t="s">
        <v>128</v>
      </c>
      <c r="B461" s="7" t="s">
        <v>556</v>
      </c>
      <c r="C461" s="7" t="s">
        <v>557</v>
      </c>
      <c r="D461" s="7" t="s">
        <v>557</v>
      </c>
      <c r="E461" s="7" t="s">
        <v>580</v>
      </c>
      <c r="F461" s="7" t="n">
        <f aca="false">COUNTIFS(Positions!$B$2:$B$6912,A461,Positions!$F$2:$F$6912,"Position 8")+COUNTIFS(Positions!$B$2:$B$6912,A461,Positions!$F$2:$F$6912,"Position 9")+COUNTIFS(Positions!$B$2:$B$6912,A461,Positions!$F$2:$F$6912,"Position 26")</f>
        <v>3</v>
      </c>
      <c r="G461" s="7" t="n">
        <f aca="false">COUNTIFS(Positions!$B$2:$B$6912,A461,Positions!$F$2:$F$6912,"Position 8",Positions!$E$2:$E$6912,"G")+COUNTIFS(Positions!$B$2:$B$6912,A461,Positions!$F$2:$F$6912,"Position 9",Positions!$E$2:$E$6912,"G")+COUNTIFS(Positions!$B$2:$B$6912,A461,Positions!$F$2:$F$6912,"Position 26",Positions!$E$2:$E$6912,"G")</f>
        <v>1</v>
      </c>
      <c r="H461" s="7" t="n">
        <f aca="false">COUNTIFS(Positions!$B$2:$B$6912,A461,Positions!$F$2:$F$6912,"Position 8",Positions!$E$2:$E$6912,"C")+COUNTIFS(Positions!$B$2:$B$6912,A461,Positions!$F$2:$F$6912,"Position 9",Positions!$E$2:$E$6912,"C")+COUNTIFS(Positions!$B$2:$B$6912,A461,Positions!$F$2:$F$6912,"Position 26",Positions!$E$2:$E$6912,"C")</f>
        <v>0</v>
      </c>
      <c r="I461" s="8" t="n">
        <f aca="false">G461+H461</f>
        <v>1</v>
      </c>
      <c r="J461" s="26" t="n">
        <f aca="false">IF(F461=0,0,I461/F461)</f>
        <v>0.333333333333333</v>
      </c>
    </row>
    <row r="462" customFormat="false" ht="15" hidden="false" customHeight="false" outlineLevel="0" collapsed="false">
      <c r="A462" s="4" t="s">
        <v>129</v>
      </c>
      <c r="B462" s="4" t="s">
        <v>430</v>
      </c>
      <c r="C462" s="4" t="s">
        <v>544</v>
      </c>
      <c r="D462" s="4" t="s">
        <v>544</v>
      </c>
      <c r="E462" s="4" t="s">
        <v>617</v>
      </c>
      <c r="F462" s="4" t="n">
        <f aca="false">COUNTIFS(Positions!$B$2:$B$6912,A462,Positions!$F$2:$F$6912,B462)</f>
        <v>8</v>
      </c>
      <c r="G462" s="4" t="n">
        <f aca="false">COUNTIFS(Positions!$B$2:$B$6912,A462,Positions!$F$2:$F$6912,B462,Positions!$E$2:$E$6912,"G")</f>
        <v>3</v>
      </c>
      <c r="H462" s="4" t="n">
        <f aca="false">COUNTIFS(Positions!$B$2:$B$6912,A462,Positions!$F$2:$F$6912,B462,Positions!$E$2:$E$6912,"C")</f>
        <v>0</v>
      </c>
      <c r="I462" s="3" t="n">
        <f aca="false">G462+H462</f>
        <v>3</v>
      </c>
      <c r="J462" s="6" t="n">
        <f aca="false">IF(F462=0,0,I462/F462)</f>
        <v>0.375</v>
      </c>
    </row>
    <row r="463" customFormat="false" ht="15" hidden="false" customHeight="false" outlineLevel="0" collapsed="false">
      <c r="A463" s="4" t="s">
        <v>129</v>
      </c>
      <c r="B463" s="4" t="s">
        <v>452</v>
      </c>
      <c r="C463" s="4" t="s">
        <v>547</v>
      </c>
      <c r="D463" s="4" t="s">
        <v>547</v>
      </c>
      <c r="E463" s="4" t="s">
        <v>618</v>
      </c>
      <c r="F463" s="4" t="n">
        <f aca="false">COUNTIFS(Positions!$B$2:$B$6912,A463,Positions!$F$2:$F$6912,B463)</f>
        <v>7</v>
      </c>
      <c r="G463" s="4" t="n">
        <f aca="false">COUNTIFS(Positions!$B$2:$B$6912,A463,Positions!$F$2:$F$6912,B463,Positions!$E$2:$E$6912,"G")</f>
        <v>2</v>
      </c>
      <c r="H463" s="4" t="n">
        <f aca="false">COUNTIFS(Positions!$B$2:$B$6912,A463,Positions!$F$2:$F$6912,B463,Positions!$E$2:$E$6912,"C")</f>
        <v>1</v>
      </c>
      <c r="I463" s="3" t="n">
        <f aca="false">G463+H463</f>
        <v>3</v>
      </c>
      <c r="J463" s="6" t="n">
        <f aca="false">IF(F463=0,0,I463/F463)</f>
        <v>0.428571428571429</v>
      </c>
    </row>
    <row r="464" customFormat="false" ht="15" hidden="false" customHeight="false" outlineLevel="0" collapsed="false">
      <c r="A464" s="4" t="s">
        <v>129</v>
      </c>
      <c r="B464" s="4" t="s">
        <v>465</v>
      </c>
      <c r="C464" s="4" t="s">
        <v>550</v>
      </c>
      <c r="D464" s="4" t="s">
        <v>550</v>
      </c>
      <c r="E464" s="4" t="s">
        <v>591</v>
      </c>
      <c r="F464" s="4" t="n">
        <f aca="false">COUNTIFS(Positions!$B$2:$B$6912,A464,Positions!$F$2:$F$6912,B464)</f>
        <v>5</v>
      </c>
      <c r="G464" s="4" t="n">
        <f aca="false">COUNTIFS(Positions!$B$2:$B$6912,A464,Positions!$F$2:$F$6912,B464,Positions!$E$2:$E$6912,"G")</f>
        <v>2</v>
      </c>
      <c r="H464" s="4" t="n">
        <f aca="false">COUNTIFS(Positions!$B$2:$B$6912,A464,Positions!$F$2:$F$6912,B464,Positions!$E$2:$E$6912,"C")</f>
        <v>1</v>
      </c>
      <c r="I464" s="3" t="n">
        <f aca="false">G464+H464</f>
        <v>3</v>
      </c>
      <c r="J464" s="6" t="n">
        <f aca="false">IF(F464=0,0,I464/F464)</f>
        <v>0.6</v>
      </c>
    </row>
    <row r="465" customFormat="false" ht="15" hidden="false" customHeight="false" outlineLevel="0" collapsed="false">
      <c r="A465" s="4" t="s">
        <v>129</v>
      </c>
      <c r="B465" s="4" t="s">
        <v>477</v>
      </c>
      <c r="C465" s="4" t="s">
        <v>553</v>
      </c>
      <c r="D465" s="4" t="s">
        <v>553</v>
      </c>
      <c r="E465" s="4" t="s">
        <v>601</v>
      </c>
      <c r="F465" s="4" t="n">
        <f aca="false">COUNTIFS(Positions!$B$2:$B$6912,A465,Positions!$F$2:$F$6912,B465)</f>
        <v>7</v>
      </c>
      <c r="G465" s="4" t="n">
        <f aca="false">COUNTIFS(Positions!$B$2:$B$6912,A465,Positions!$F$2:$F$6912,B465,Positions!$E$2:$E$6912,"G")</f>
        <v>1</v>
      </c>
      <c r="H465" s="4" t="n">
        <f aca="false">COUNTIFS(Positions!$B$2:$B$6912,A465,Positions!$F$2:$F$6912,B465,Positions!$E$2:$E$6912,"C")</f>
        <v>1</v>
      </c>
      <c r="I465" s="3" t="n">
        <f aca="false">G465+H465</f>
        <v>2</v>
      </c>
      <c r="J465" s="6" t="n">
        <f aca="false">IF(F465=0,0,I465/F465)</f>
        <v>0.285714285714286</v>
      </c>
    </row>
    <row r="466" customFormat="false" ht="15" hidden="false" customHeight="false" outlineLevel="0" collapsed="false">
      <c r="A466" s="7" t="s">
        <v>129</v>
      </c>
      <c r="B466" s="7" t="s">
        <v>556</v>
      </c>
      <c r="C466" s="7" t="s">
        <v>557</v>
      </c>
      <c r="D466" s="7" t="s">
        <v>557</v>
      </c>
      <c r="E466" s="7" t="s">
        <v>580</v>
      </c>
      <c r="F466" s="7" t="n">
        <f aca="false">COUNTIFS(Positions!$B$2:$B$6912,A466,Positions!$F$2:$F$6912,"Position 8")+COUNTIFS(Positions!$B$2:$B$6912,A466,Positions!$F$2:$F$6912,"Position 9")+COUNTIFS(Positions!$B$2:$B$6912,A466,Positions!$F$2:$F$6912,"Position 26")</f>
        <v>3</v>
      </c>
      <c r="G466" s="7" t="n">
        <f aca="false">COUNTIFS(Positions!$B$2:$B$6912,A466,Positions!$F$2:$F$6912,"Position 8",Positions!$E$2:$E$6912,"G")+COUNTIFS(Positions!$B$2:$B$6912,A466,Positions!$F$2:$F$6912,"Position 9",Positions!$E$2:$E$6912,"G")+COUNTIFS(Positions!$B$2:$B$6912,A466,Positions!$F$2:$F$6912,"Position 26",Positions!$E$2:$E$6912,"G")</f>
        <v>1</v>
      </c>
      <c r="H466" s="7" t="n">
        <f aca="false">COUNTIFS(Positions!$B$2:$B$6912,A466,Positions!$F$2:$F$6912,"Position 8",Positions!$E$2:$E$6912,"C")+COUNTIFS(Positions!$B$2:$B$6912,A466,Positions!$F$2:$F$6912,"Position 9",Positions!$E$2:$E$6912,"C")+COUNTIFS(Positions!$B$2:$B$6912,A466,Positions!$F$2:$F$6912,"Position 26",Positions!$E$2:$E$6912,"C")</f>
        <v>0</v>
      </c>
      <c r="I466" s="8" t="n">
        <f aca="false">G466+H466</f>
        <v>1</v>
      </c>
      <c r="J466" s="26" t="n">
        <f aca="false">IF(F466=0,0,I466/F466)</f>
        <v>0.333333333333333</v>
      </c>
    </row>
    <row r="467" customFormat="false" ht="15" hidden="false" customHeight="false" outlineLevel="0" collapsed="false">
      <c r="A467" s="4" t="s">
        <v>130</v>
      </c>
      <c r="B467" s="4" t="s">
        <v>430</v>
      </c>
      <c r="C467" s="4" t="s">
        <v>544</v>
      </c>
      <c r="D467" s="4" t="s">
        <v>544</v>
      </c>
      <c r="E467" s="4" t="s">
        <v>699</v>
      </c>
      <c r="F467" s="4" t="n">
        <f aca="false">COUNTIFS(Positions!$B$2:$B$6912,A467,Positions!$F$2:$F$6912,B467)</f>
        <v>8</v>
      </c>
      <c r="G467" s="4" t="n">
        <f aca="false">COUNTIFS(Positions!$B$2:$B$6912,A467,Positions!$F$2:$F$6912,B467,Positions!$E$2:$E$6912,"G")</f>
        <v>4</v>
      </c>
      <c r="H467" s="4" t="n">
        <f aca="false">COUNTIFS(Positions!$B$2:$B$6912,A467,Positions!$F$2:$F$6912,B467,Positions!$E$2:$E$6912,"C")</f>
        <v>1</v>
      </c>
      <c r="I467" s="3" t="n">
        <f aca="false">G467+H467</f>
        <v>5</v>
      </c>
      <c r="J467" s="6" t="n">
        <f aca="false">IF(F467=0,0,I467/F467)</f>
        <v>0.625</v>
      </c>
    </row>
    <row r="468" customFormat="false" ht="15" hidden="false" customHeight="false" outlineLevel="0" collapsed="false">
      <c r="A468" s="4" t="s">
        <v>130</v>
      </c>
      <c r="B468" s="4" t="s">
        <v>452</v>
      </c>
      <c r="C468" s="4" t="s">
        <v>547</v>
      </c>
      <c r="D468" s="4" t="s">
        <v>547</v>
      </c>
      <c r="E468" s="4" t="s">
        <v>700</v>
      </c>
      <c r="F468" s="4" t="n">
        <f aca="false">COUNTIFS(Positions!$B$2:$B$6912,A468,Positions!$F$2:$F$6912,B468)</f>
        <v>7</v>
      </c>
      <c r="G468" s="4" t="n">
        <f aca="false">COUNTIFS(Positions!$B$2:$B$6912,A468,Positions!$F$2:$F$6912,B468,Positions!$E$2:$E$6912,"G")</f>
        <v>1</v>
      </c>
      <c r="H468" s="4" t="n">
        <f aca="false">COUNTIFS(Positions!$B$2:$B$6912,A468,Positions!$F$2:$F$6912,B468,Positions!$E$2:$E$6912,"C")</f>
        <v>2</v>
      </c>
      <c r="I468" s="3" t="n">
        <f aca="false">G468+H468</f>
        <v>3</v>
      </c>
      <c r="J468" s="6" t="n">
        <f aca="false">IF(F468=0,0,I468/F468)</f>
        <v>0.428571428571429</v>
      </c>
    </row>
    <row r="469" customFormat="false" ht="15" hidden="false" customHeight="false" outlineLevel="0" collapsed="false">
      <c r="A469" s="4" t="s">
        <v>130</v>
      </c>
      <c r="B469" s="4" t="s">
        <v>465</v>
      </c>
      <c r="C469" s="4" t="s">
        <v>550</v>
      </c>
      <c r="D469" s="4" t="s">
        <v>550</v>
      </c>
      <c r="E469" s="4" t="s">
        <v>591</v>
      </c>
      <c r="F469" s="4" t="n">
        <f aca="false">COUNTIFS(Positions!$B$2:$B$6912,A469,Positions!$F$2:$F$6912,B469)</f>
        <v>5</v>
      </c>
      <c r="G469" s="4" t="n">
        <f aca="false">COUNTIFS(Positions!$B$2:$B$6912,A469,Positions!$F$2:$F$6912,B469,Positions!$E$2:$E$6912,"G")</f>
        <v>2</v>
      </c>
      <c r="H469" s="4" t="n">
        <f aca="false">COUNTIFS(Positions!$B$2:$B$6912,A469,Positions!$F$2:$F$6912,B469,Positions!$E$2:$E$6912,"C")</f>
        <v>1</v>
      </c>
      <c r="I469" s="3" t="n">
        <f aca="false">G469+H469</f>
        <v>3</v>
      </c>
      <c r="J469" s="6" t="n">
        <f aca="false">IF(F469=0,0,I469/F469)</f>
        <v>0.6</v>
      </c>
    </row>
    <row r="470" customFormat="false" ht="15" hidden="false" customHeight="false" outlineLevel="0" collapsed="false">
      <c r="A470" s="4" t="s">
        <v>130</v>
      </c>
      <c r="B470" s="4" t="s">
        <v>477</v>
      </c>
      <c r="C470" s="4" t="s">
        <v>553</v>
      </c>
      <c r="D470" s="4" t="s">
        <v>553</v>
      </c>
      <c r="E470" s="4" t="s">
        <v>622</v>
      </c>
      <c r="F470" s="4" t="n">
        <f aca="false">COUNTIFS(Positions!$B$2:$B$6912,A470,Positions!$F$2:$F$6912,B470)</f>
        <v>7</v>
      </c>
      <c r="G470" s="4" t="n">
        <f aca="false">COUNTIFS(Positions!$B$2:$B$6912,A470,Positions!$F$2:$F$6912,B470,Positions!$E$2:$E$6912,"G")</f>
        <v>1</v>
      </c>
      <c r="H470" s="4" t="n">
        <f aca="false">COUNTIFS(Positions!$B$2:$B$6912,A470,Positions!$F$2:$F$6912,B470,Positions!$E$2:$E$6912,"C")</f>
        <v>2</v>
      </c>
      <c r="I470" s="3" t="n">
        <f aca="false">G470+H470</f>
        <v>3</v>
      </c>
      <c r="J470" s="6" t="n">
        <f aca="false">IF(F470=0,0,I470/F470)</f>
        <v>0.428571428571429</v>
      </c>
    </row>
    <row r="471" customFormat="false" ht="15" hidden="false" customHeight="false" outlineLevel="0" collapsed="false">
      <c r="A471" s="7" t="s">
        <v>130</v>
      </c>
      <c r="B471" s="7" t="s">
        <v>556</v>
      </c>
      <c r="C471" s="7" t="s">
        <v>557</v>
      </c>
      <c r="D471" s="7" t="s">
        <v>557</v>
      </c>
      <c r="E471" s="7" t="s">
        <v>580</v>
      </c>
      <c r="F471" s="7" t="n">
        <f aca="false">COUNTIFS(Positions!$B$2:$B$6912,A471,Positions!$F$2:$F$6912,"Position 8")+COUNTIFS(Positions!$B$2:$B$6912,A471,Positions!$F$2:$F$6912,"Position 9")+COUNTIFS(Positions!$B$2:$B$6912,A471,Positions!$F$2:$F$6912,"Position 26")</f>
        <v>3</v>
      </c>
      <c r="G471" s="7" t="n">
        <f aca="false">COUNTIFS(Positions!$B$2:$B$6912,A471,Positions!$F$2:$F$6912,"Position 8",Positions!$E$2:$E$6912,"G")+COUNTIFS(Positions!$B$2:$B$6912,A471,Positions!$F$2:$F$6912,"Position 9",Positions!$E$2:$E$6912,"G")+COUNTIFS(Positions!$B$2:$B$6912,A471,Positions!$F$2:$F$6912,"Position 26",Positions!$E$2:$E$6912,"G")</f>
        <v>1</v>
      </c>
      <c r="H471" s="7" t="n">
        <f aca="false">COUNTIFS(Positions!$B$2:$B$6912,A471,Positions!$F$2:$F$6912,"Position 8",Positions!$E$2:$E$6912,"C")+COUNTIFS(Positions!$B$2:$B$6912,A471,Positions!$F$2:$F$6912,"Position 9",Positions!$E$2:$E$6912,"C")+COUNTIFS(Positions!$B$2:$B$6912,A471,Positions!$F$2:$F$6912,"Position 26",Positions!$E$2:$E$6912,"C")</f>
        <v>0</v>
      </c>
      <c r="I471" s="8" t="n">
        <f aca="false">G471+H471</f>
        <v>1</v>
      </c>
      <c r="J471" s="26" t="n">
        <f aca="false">IF(F471=0,0,I471/F471)</f>
        <v>0.333333333333333</v>
      </c>
    </row>
    <row r="472" customFormat="false" ht="15" hidden="false" customHeight="false" outlineLevel="0" collapsed="false">
      <c r="A472" s="4" t="s">
        <v>131</v>
      </c>
      <c r="B472" s="4" t="s">
        <v>430</v>
      </c>
      <c r="C472" s="4" t="s">
        <v>544</v>
      </c>
      <c r="D472" s="4" t="s">
        <v>545</v>
      </c>
      <c r="E472" s="4" t="s">
        <v>679</v>
      </c>
      <c r="F472" s="4" t="n">
        <f aca="false">COUNTIFS(Positions!$B$2:$B$6912,A472,Positions!$F$2:$F$6912,B472)</f>
        <v>9</v>
      </c>
      <c r="G472" s="4" t="n">
        <f aca="false">COUNTIFS(Positions!$B$2:$B$6912,A472,Positions!$F$2:$F$6912,B472,Positions!$E$2:$E$6912,"G")</f>
        <v>3</v>
      </c>
      <c r="H472" s="4" t="n">
        <f aca="false">COUNTIFS(Positions!$B$2:$B$6912,A472,Positions!$F$2:$F$6912,B472,Positions!$E$2:$E$6912,"C")</f>
        <v>2</v>
      </c>
      <c r="I472" s="3" t="n">
        <f aca="false">G472+H472</f>
        <v>5</v>
      </c>
      <c r="J472" s="6" t="n">
        <f aca="false">IF(F472=0,0,I472/F472)</f>
        <v>0.555555555555556</v>
      </c>
    </row>
    <row r="473" customFormat="false" ht="15" hidden="false" customHeight="false" outlineLevel="0" collapsed="false">
      <c r="A473" s="4" t="s">
        <v>131</v>
      </c>
      <c r="B473" s="4" t="s">
        <v>452</v>
      </c>
      <c r="C473" s="4" t="s">
        <v>547</v>
      </c>
      <c r="D473" s="4" t="s">
        <v>548</v>
      </c>
      <c r="E473" s="4" t="s">
        <v>549</v>
      </c>
      <c r="F473" s="4" t="n">
        <f aca="false">COUNTIFS(Positions!$B$2:$B$6912,A473,Positions!$F$2:$F$6912,B473)</f>
        <v>7</v>
      </c>
      <c r="G473" s="4" t="n">
        <f aca="false">COUNTIFS(Positions!$B$2:$B$6912,A473,Positions!$F$2:$F$6912,B473,Positions!$E$2:$E$6912,"G")</f>
        <v>0</v>
      </c>
      <c r="H473" s="4" t="n">
        <f aca="false">COUNTIFS(Positions!$B$2:$B$6912,A473,Positions!$F$2:$F$6912,B473,Positions!$E$2:$E$6912,"C")</f>
        <v>2</v>
      </c>
      <c r="I473" s="3" t="n">
        <f aca="false">G473+H473</f>
        <v>2</v>
      </c>
      <c r="J473" s="6" t="n">
        <f aca="false">IF(F473=0,0,I473/F473)</f>
        <v>0.285714285714286</v>
      </c>
    </row>
    <row r="474" customFormat="false" ht="15" hidden="false" customHeight="false" outlineLevel="0" collapsed="false">
      <c r="A474" s="4" t="s">
        <v>131</v>
      </c>
      <c r="B474" s="4" t="s">
        <v>465</v>
      </c>
      <c r="C474" s="4" t="s">
        <v>550</v>
      </c>
      <c r="D474" s="4" t="s">
        <v>551</v>
      </c>
      <c r="E474" s="4" t="s">
        <v>552</v>
      </c>
      <c r="F474" s="4" t="n">
        <f aca="false">COUNTIFS(Positions!$B$2:$B$6912,A474,Positions!$F$2:$F$6912,B474)</f>
        <v>5</v>
      </c>
      <c r="G474" s="4" t="n">
        <f aca="false">COUNTIFS(Positions!$B$2:$B$6912,A474,Positions!$F$2:$F$6912,B474,Positions!$E$2:$E$6912,"G")</f>
        <v>1</v>
      </c>
      <c r="H474" s="4" t="n">
        <f aca="false">COUNTIFS(Positions!$B$2:$B$6912,A474,Positions!$F$2:$F$6912,B474,Positions!$E$2:$E$6912,"C")</f>
        <v>1</v>
      </c>
      <c r="I474" s="3" t="n">
        <f aca="false">G474+H474</f>
        <v>2</v>
      </c>
      <c r="J474" s="6" t="n">
        <f aca="false">IF(F474=0,0,I474/F474)</f>
        <v>0.4</v>
      </c>
    </row>
    <row r="475" customFormat="false" ht="15" hidden="false" customHeight="false" outlineLevel="0" collapsed="false">
      <c r="A475" s="4" t="s">
        <v>131</v>
      </c>
      <c r="B475" s="4" t="s">
        <v>477</v>
      </c>
      <c r="C475" s="4" t="s">
        <v>553</v>
      </c>
      <c r="D475" s="4" t="s">
        <v>554</v>
      </c>
      <c r="E475" s="4" t="s">
        <v>570</v>
      </c>
      <c r="F475" s="4" t="n">
        <f aca="false">COUNTIFS(Positions!$B$2:$B$6912,A475,Positions!$F$2:$F$6912,B475)</f>
        <v>7</v>
      </c>
      <c r="G475" s="4" t="n">
        <f aca="false">COUNTIFS(Positions!$B$2:$B$6912,A475,Positions!$F$2:$F$6912,B475,Positions!$E$2:$E$6912,"G")</f>
        <v>0</v>
      </c>
      <c r="H475" s="4" t="n">
        <f aca="false">COUNTIFS(Positions!$B$2:$B$6912,A475,Positions!$F$2:$F$6912,B475,Positions!$E$2:$E$6912,"C")</f>
        <v>1</v>
      </c>
      <c r="I475" s="3" t="n">
        <f aca="false">G475+H475</f>
        <v>1</v>
      </c>
      <c r="J475" s="6" t="n">
        <f aca="false">IF(F475=0,0,I475/F475)</f>
        <v>0.142857142857143</v>
      </c>
    </row>
    <row r="476" customFormat="false" ht="15" hidden="false" customHeight="false" outlineLevel="0" collapsed="false">
      <c r="A476" s="7" t="s">
        <v>131</v>
      </c>
      <c r="B476" s="7" t="s">
        <v>556</v>
      </c>
      <c r="C476" s="7" t="s">
        <v>557</v>
      </c>
      <c r="D476" s="7" t="s">
        <v>558</v>
      </c>
      <c r="E476" s="7" t="s">
        <v>346</v>
      </c>
      <c r="F476" s="7" t="n">
        <f aca="false">COUNTIFS(Positions!$B$2:$B$6912,A476,Positions!$F$2:$F$6912,"Position 8")+COUNTIFS(Positions!$B$2:$B$6912,A476,Positions!$F$2:$F$6912,"Position 9")+COUNTIFS(Positions!$B$2:$B$6912,A476,Positions!$F$2:$F$6912,"Position 26")</f>
        <v>3</v>
      </c>
      <c r="G476" s="7" t="n">
        <f aca="false">COUNTIFS(Positions!$B$2:$B$6912,A476,Positions!$F$2:$F$6912,"Position 8",Positions!$E$2:$E$6912,"G")+COUNTIFS(Positions!$B$2:$B$6912,A476,Positions!$F$2:$F$6912,"Position 9",Positions!$E$2:$E$6912,"G")+COUNTIFS(Positions!$B$2:$B$6912,A476,Positions!$F$2:$F$6912,"Position 26",Positions!$E$2:$E$6912,"G")</f>
        <v>2</v>
      </c>
      <c r="H476" s="7" t="n">
        <f aca="false">COUNTIFS(Positions!$B$2:$B$6912,A476,Positions!$F$2:$F$6912,"Position 8",Positions!$E$2:$E$6912,"C")+COUNTIFS(Positions!$B$2:$B$6912,A476,Positions!$F$2:$F$6912,"Position 9",Positions!$E$2:$E$6912,"C")+COUNTIFS(Positions!$B$2:$B$6912,A476,Positions!$F$2:$F$6912,"Position 26",Positions!$E$2:$E$6912,"C")</f>
        <v>0</v>
      </c>
      <c r="I476" s="8" t="n">
        <f aca="false">G476+H476</f>
        <v>2</v>
      </c>
      <c r="J476" s="26" t="n">
        <f aca="false">IF(F476=0,0,I476/F476)</f>
        <v>0.666666666666667</v>
      </c>
    </row>
    <row r="477" customFormat="false" ht="15" hidden="false" customHeight="false" outlineLevel="0" collapsed="false">
      <c r="A477" s="4" t="s">
        <v>132</v>
      </c>
      <c r="B477" s="4" t="s">
        <v>430</v>
      </c>
      <c r="C477" s="4" t="s">
        <v>544</v>
      </c>
      <c r="D477" s="4" t="s">
        <v>545</v>
      </c>
      <c r="E477" s="4" t="s">
        <v>628</v>
      </c>
      <c r="F477" s="4" t="n">
        <f aca="false">COUNTIFS(Positions!$B$2:$B$6912,A477,Positions!$F$2:$F$6912,B477)</f>
        <v>9</v>
      </c>
      <c r="G477" s="4" t="n">
        <f aca="false">COUNTIFS(Positions!$B$2:$B$6912,A477,Positions!$F$2:$F$6912,B477,Positions!$E$2:$E$6912,"G")</f>
        <v>3</v>
      </c>
      <c r="H477" s="4" t="n">
        <f aca="false">COUNTIFS(Positions!$B$2:$B$6912,A477,Positions!$F$2:$F$6912,B477,Positions!$E$2:$E$6912,"C")</f>
        <v>0</v>
      </c>
      <c r="I477" s="3" t="n">
        <f aca="false">G477+H477</f>
        <v>3</v>
      </c>
      <c r="J477" s="6" t="n">
        <f aca="false">IF(F477=0,0,I477/F477)</f>
        <v>0.333333333333333</v>
      </c>
    </row>
    <row r="478" customFormat="false" ht="15" hidden="false" customHeight="false" outlineLevel="0" collapsed="false">
      <c r="A478" s="4" t="s">
        <v>132</v>
      </c>
      <c r="B478" s="4" t="s">
        <v>452</v>
      </c>
      <c r="C478" s="4" t="s">
        <v>547</v>
      </c>
      <c r="D478" s="4" t="s">
        <v>548</v>
      </c>
      <c r="E478" s="4" t="s">
        <v>549</v>
      </c>
      <c r="F478" s="4" t="n">
        <f aca="false">COUNTIFS(Positions!$B$2:$B$6912,A478,Positions!$F$2:$F$6912,B478)</f>
        <v>7</v>
      </c>
      <c r="G478" s="4" t="n">
        <f aca="false">COUNTIFS(Positions!$B$2:$B$6912,A478,Positions!$F$2:$F$6912,B478,Positions!$E$2:$E$6912,"G")</f>
        <v>0</v>
      </c>
      <c r="H478" s="4" t="n">
        <f aca="false">COUNTIFS(Positions!$B$2:$B$6912,A478,Positions!$F$2:$F$6912,B478,Positions!$E$2:$E$6912,"C")</f>
        <v>2</v>
      </c>
      <c r="I478" s="3" t="n">
        <f aca="false">G478+H478</f>
        <v>2</v>
      </c>
      <c r="J478" s="6" t="n">
        <f aca="false">IF(F478=0,0,I478/F478)</f>
        <v>0.285714285714286</v>
      </c>
    </row>
    <row r="479" customFormat="false" ht="15" hidden="false" customHeight="false" outlineLevel="0" collapsed="false">
      <c r="A479" s="4" t="s">
        <v>132</v>
      </c>
      <c r="B479" s="4" t="s">
        <v>465</v>
      </c>
      <c r="C479" s="4" t="s">
        <v>550</v>
      </c>
      <c r="D479" s="4" t="s">
        <v>551</v>
      </c>
      <c r="E479" s="4" t="s">
        <v>609</v>
      </c>
      <c r="F479" s="4" t="n">
        <f aca="false">COUNTIFS(Positions!$B$2:$B$6912,A479,Positions!$F$2:$F$6912,B479)</f>
        <v>5</v>
      </c>
      <c r="G479" s="4" t="n">
        <f aca="false">COUNTIFS(Positions!$B$2:$B$6912,A479,Positions!$F$2:$F$6912,B479,Positions!$E$2:$E$6912,"G")</f>
        <v>3</v>
      </c>
      <c r="H479" s="4" t="n">
        <f aca="false">COUNTIFS(Positions!$B$2:$B$6912,A479,Positions!$F$2:$F$6912,B479,Positions!$E$2:$E$6912,"C")</f>
        <v>1</v>
      </c>
      <c r="I479" s="3" t="n">
        <f aca="false">G479+H479</f>
        <v>4</v>
      </c>
      <c r="J479" s="6" t="n">
        <f aca="false">IF(F479=0,0,I479/F479)</f>
        <v>0.8</v>
      </c>
    </row>
    <row r="480" customFormat="false" ht="15" hidden="false" customHeight="false" outlineLevel="0" collapsed="false">
      <c r="A480" s="4" t="s">
        <v>132</v>
      </c>
      <c r="B480" s="4" t="s">
        <v>477</v>
      </c>
      <c r="C480" s="4" t="s">
        <v>553</v>
      </c>
      <c r="D480" s="4" t="s">
        <v>554</v>
      </c>
      <c r="E480" s="4" t="s">
        <v>563</v>
      </c>
      <c r="F480" s="4" t="n">
        <f aca="false">COUNTIFS(Positions!$B$2:$B$6912,A480,Positions!$F$2:$F$6912,B480)</f>
        <v>7</v>
      </c>
      <c r="G480" s="4" t="n">
        <f aca="false">COUNTIFS(Positions!$B$2:$B$6912,A480,Positions!$F$2:$F$6912,B480,Positions!$E$2:$E$6912,"G")</f>
        <v>1</v>
      </c>
      <c r="H480" s="4" t="n">
        <f aca="false">COUNTIFS(Positions!$B$2:$B$6912,A480,Positions!$F$2:$F$6912,B480,Positions!$E$2:$E$6912,"C")</f>
        <v>1</v>
      </c>
      <c r="I480" s="3" t="n">
        <f aca="false">G480+H480</f>
        <v>2</v>
      </c>
      <c r="J480" s="6" t="n">
        <f aca="false">IF(F480=0,0,I480/F480)</f>
        <v>0.285714285714286</v>
      </c>
    </row>
    <row r="481" customFormat="false" ht="15" hidden="false" customHeight="false" outlineLevel="0" collapsed="false">
      <c r="A481" s="7" t="s">
        <v>132</v>
      </c>
      <c r="B481" s="7" t="s">
        <v>556</v>
      </c>
      <c r="C481" s="7" t="s">
        <v>557</v>
      </c>
      <c r="D481" s="7" t="s">
        <v>558</v>
      </c>
      <c r="E481" s="7" t="s">
        <v>611</v>
      </c>
      <c r="F481" s="7" t="n">
        <f aca="false">COUNTIFS(Positions!$B$2:$B$6912,A481,Positions!$F$2:$F$6912,"Position 8")+COUNTIFS(Positions!$B$2:$B$6912,A481,Positions!$F$2:$F$6912,"Position 9")+COUNTIFS(Positions!$B$2:$B$6912,A481,Positions!$F$2:$F$6912,"Position 26")</f>
        <v>3</v>
      </c>
      <c r="G481" s="7" t="n">
        <f aca="false">COUNTIFS(Positions!$B$2:$B$6912,A481,Positions!$F$2:$F$6912,"Position 8",Positions!$E$2:$E$6912,"G")+COUNTIFS(Positions!$B$2:$B$6912,A481,Positions!$F$2:$F$6912,"Position 9",Positions!$E$2:$E$6912,"G")+COUNTIFS(Positions!$B$2:$B$6912,A481,Positions!$F$2:$F$6912,"Position 26",Positions!$E$2:$E$6912,"G")</f>
        <v>0</v>
      </c>
      <c r="H481" s="7" t="n">
        <f aca="false">COUNTIFS(Positions!$B$2:$B$6912,A481,Positions!$F$2:$F$6912,"Position 8",Positions!$E$2:$E$6912,"C")+COUNTIFS(Positions!$B$2:$B$6912,A481,Positions!$F$2:$F$6912,"Position 9",Positions!$E$2:$E$6912,"C")+COUNTIFS(Positions!$B$2:$B$6912,A481,Positions!$F$2:$F$6912,"Position 26",Positions!$E$2:$E$6912,"C")</f>
        <v>0</v>
      </c>
      <c r="I481" s="8" t="n">
        <f aca="false">G481+H481</f>
        <v>0</v>
      </c>
      <c r="J481" s="26" t="n">
        <f aca="false">IF(F481=0,0,I481/F481)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27" t="s">
        <v>701</v>
      </c>
    </row>
    <row r="2" customFormat="false" ht="23.85" hidden="false" customHeight="false" outlineLevel="0" collapsed="false">
      <c r="A2" s="28" t="s">
        <v>702</v>
      </c>
    </row>
    <row r="3" customFormat="false" ht="23.85" hidden="false" customHeight="false" outlineLevel="0" collapsed="false">
      <c r="A3" s="28" t="s">
        <v>703</v>
      </c>
    </row>
    <row r="4" customFormat="false" ht="23.85" hidden="false" customHeight="false" outlineLevel="0" collapsed="false">
      <c r="A4" s="28" t="s">
        <v>704</v>
      </c>
    </row>
    <row r="5" customFormat="false" ht="23.85" hidden="false" customHeight="false" outlineLevel="0" collapsed="false">
      <c r="A5" s="28" t="s">
        <v>705</v>
      </c>
    </row>
    <row r="6" customFormat="false" ht="35.05" hidden="false" customHeight="false" outlineLevel="0" collapsed="false">
      <c r="A6" s="28" t="s">
        <v>706</v>
      </c>
    </row>
    <row r="7" customFormat="false" ht="23.85" hidden="false" customHeight="false" outlineLevel="0" collapsed="false">
      <c r="A7" s="28" t="s">
        <v>707</v>
      </c>
    </row>
    <row r="8" customFormat="false" ht="35.05" hidden="false" customHeight="false" outlineLevel="0" collapsed="false">
      <c r="A8" s="28" t="s">
        <v>708</v>
      </c>
    </row>
    <row r="9" customFormat="false" ht="23.85" hidden="false" customHeight="false" outlineLevel="0" collapsed="false">
      <c r="A9" s="28" t="s">
        <v>709</v>
      </c>
    </row>
    <row r="10" customFormat="false" ht="35.05" hidden="false" customHeight="false" outlineLevel="0" collapsed="false">
      <c r="A10" s="28" t="s">
        <v>710</v>
      </c>
    </row>
    <row r="11" customFormat="false" ht="15" hidden="false" customHeight="false" outlineLevel="0" collapsed="false">
      <c r="A11" s="28" t="s">
        <v>711</v>
      </c>
    </row>
    <row r="12" customFormat="false" ht="23.85" hidden="false" customHeight="false" outlineLevel="0" collapsed="false">
      <c r="A12" s="28" t="s">
        <v>712</v>
      </c>
    </row>
    <row r="13" customFormat="false" ht="35.05" hidden="false" customHeight="false" outlineLevel="0" collapsed="false">
      <c r="A13" s="28" t="s">
        <v>713</v>
      </c>
    </row>
    <row r="14" customFormat="false" ht="35.05" hidden="false" customHeight="false" outlineLevel="0" collapsed="false">
      <c r="A14" s="28" t="s">
        <v>714</v>
      </c>
    </row>
    <row r="15" customFormat="false" ht="46.25" hidden="false" customHeight="false" outlineLevel="0" collapsed="false">
      <c r="A15" s="28" t="s">
        <v>715</v>
      </c>
    </row>
    <row r="16" customFormat="false" ht="23.85" hidden="false" customHeight="false" outlineLevel="0" collapsed="false">
      <c r="A16" s="28" t="s">
        <v>716</v>
      </c>
    </row>
    <row r="17" customFormat="false" ht="23.85" hidden="false" customHeight="false" outlineLevel="0" collapsed="false">
      <c r="A17" s="28" t="s">
        <v>717</v>
      </c>
    </row>
    <row r="18" customFormat="false" ht="23.85" hidden="false" customHeight="false" outlineLevel="0" collapsed="false">
      <c r="A18" s="28" t="s">
        <v>718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2026-10-28T15:47:28Z</dcterms:created>
  <dc:creator>openpyxl</dc:creator>
  <dc:description/>
  <dc:language>en-US</dc:language>
  <cp:lastModifiedBy/>
  <dcterms:modified xsi:type="dcterms:W3CDTF">2026-10-28T15:47:36Z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