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Final_Summary" sheetId="1" r:id="rId1"/>
    <sheet name="Table 1" sheetId="2" r:id="rId2"/>
    <sheet name="Table 2" sheetId="3" r:id="rId3"/>
    <sheet name="Table 3" sheetId="4" r:id="rId4"/>
    <sheet name="Corrections" sheetId="5" r:id="rId5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4"/>
  <c r="D14"/>
  <c r="E10"/>
  <c r="E9"/>
  <c r="E8"/>
  <c r="E7"/>
  <c r="E6"/>
  <c r="E5"/>
  <c r="I9" i="3"/>
  <c r="I7"/>
  <c r="I6"/>
  <c r="I5"/>
  <c r="L13" i="2"/>
  <c r="K13"/>
  <c r="J13"/>
  <c r="I13"/>
  <c r="H13"/>
  <c r="G13"/>
  <c r="F13"/>
  <c r="E13"/>
  <c r="D13"/>
  <c r="C13"/>
  <c r="B13"/>
  <c r="A13"/>
  <c r="L12"/>
  <c r="J12"/>
  <c r="I12"/>
  <c r="H12"/>
  <c r="G12"/>
  <c r="F12"/>
  <c r="E12"/>
  <c r="D12"/>
  <c r="C12"/>
  <c r="B12"/>
  <c r="A12"/>
  <c r="L11"/>
  <c r="J11"/>
  <c r="I11"/>
  <c r="H11"/>
  <c r="G11"/>
  <c r="F11"/>
  <c r="E11"/>
  <c r="D11"/>
  <c r="C11"/>
  <c r="B11"/>
  <c r="A11"/>
  <c r="L10"/>
  <c r="J10"/>
  <c r="I10"/>
  <c r="H10"/>
  <c r="G10"/>
  <c r="F10"/>
  <c r="E10"/>
  <c r="D10"/>
  <c r="C10"/>
  <c r="B10"/>
  <c r="A10"/>
  <c r="L9"/>
  <c r="K9"/>
  <c r="J9"/>
  <c r="I9"/>
  <c r="H9"/>
  <c r="G9"/>
  <c r="F9"/>
  <c r="E9"/>
  <c r="D9"/>
  <c r="C9"/>
  <c r="B9"/>
  <c r="A9"/>
  <c r="L8"/>
  <c r="J8"/>
  <c r="I8"/>
  <c r="H8"/>
  <c r="G8"/>
  <c r="F8"/>
  <c r="E8"/>
  <c r="D8"/>
  <c r="C8"/>
  <c r="B8"/>
  <c r="A8"/>
  <c r="L7"/>
  <c r="J7"/>
  <c r="I7"/>
  <c r="H7"/>
  <c r="G7"/>
  <c r="F7"/>
  <c r="E7"/>
  <c r="D7"/>
  <c r="C7"/>
  <c r="B7"/>
  <c r="A7"/>
  <c r="L6"/>
  <c r="J6"/>
  <c r="I6"/>
  <c r="H6"/>
  <c r="G6"/>
  <c r="F6"/>
  <c r="E6"/>
  <c r="D6"/>
  <c r="C6"/>
  <c r="B6"/>
  <c r="A6"/>
  <c r="L5"/>
  <c r="K5"/>
  <c r="J5"/>
  <c r="I5"/>
  <c r="H5"/>
  <c r="G5"/>
  <c r="F5"/>
  <c r="E5"/>
  <c r="D5"/>
  <c r="C5"/>
  <c r="B5"/>
  <c r="A5"/>
  <c r="Q22" i="1"/>
  <c r="M13" i="2" s="1"/>
  <c r="P22" i="1"/>
  <c r="N22"/>
  <c r="R22" s="1"/>
  <c r="N13" i="2" s="1"/>
  <c r="G22" i="1"/>
  <c r="P21"/>
  <c r="Q21" s="1"/>
  <c r="M12" i="2" s="1"/>
  <c r="N21" i="1"/>
  <c r="G21"/>
  <c r="Q20"/>
  <c r="M11" i="2" s="1"/>
  <c r="P20" i="1"/>
  <c r="N20"/>
  <c r="K11" i="2" s="1"/>
  <c r="G20" i="1"/>
  <c r="P19"/>
  <c r="Q19" s="1"/>
  <c r="M10" i="2" s="1"/>
  <c r="N19" i="1"/>
  <c r="K10" i="2" s="1"/>
  <c r="G19" i="1"/>
  <c r="Q18"/>
  <c r="M9" i="2" s="1"/>
  <c r="P18" i="1"/>
  <c r="N18"/>
  <c r="G18"/>
  <c r="P17"/>
  <c r="Q17" s="1"/>
  <c r="M8" i="2" s="1"/>
  <c r="N17" i="1"/>
  <c r="K8" i="2" s="1"/>
  <c r="G17" i="1"/>
  <c r="Q16"/>
  <c r="R16" s="1"/>
  <c r="N7" i="2" s="1"/>
  <c r="P16" i="1"/>
  <c r="N16"/>
  <c r="K7" i="2" s="1"/>
  <c r="G16" i="1"/>
  <c r="S16" s="1"/>
  <c r="O7" i="2" s="1"/>
  <c r="P15" i="1"/>
  <c r="Q15" s="1"/>
  <c r="M6" i="2" s="1"/>
  <c r="N15" i="1"/>
  <c r="K6" i="2" s="1"/>
  <c r="G15" i="1"/>
  <c r="B27" s="1"/>
  <c r="Q14"/>
  <c r="M5" i="2" s="1"/>
  <c r="P14" i="1"/>
  <c r="N14"/>
  <c r="G14"/>
  <c r="D10"/>
  <c r="S22" l="1"/>
  <c r="O13" i="2" s="1"/>
  <c r="R21" i="1"/>
  <c r="K12" i="2"/>
  <c r="R15" i="1"/>
  <c r="R17"/>
  <c r="B29"/>
  <c r="M7" i="2"/>
  <c r="R14" i="1"/>
  <c r="R18"/>
  <c r="N9" i="2" s="1"/>
  <c r="R20" i="1"/>
  <c r="N11" i="2" s="1"/>
  <c r="B28" i="1"/>
  <c r="R19"/>
  <c r="N12" i="2" l="1"/>
  <c r="S21" i="1"/>
  <c r="O12" i="2" s="1"/>
  <c r="N10"/>
  <c r="S19" i="1"/>
  <c r="O10" i="2" s="1"/>
  <c r="N5"/>
  <c r="I8" i="3"/>
  <c r="B15" i="4"/>
  <c r="S15" i="1"/>
  <c r="O6" i="2" s="1"/>
  <c r="N6"/>
  <c r="S20" i="1"/>
  <c r="O11" i="2" s="1"/>
  <c r="S14" i="1"/>
  <c r="N8" i="2"/>
  <c r="S17" i="1"/>
  <c r="O8" i="2" s="1"/>
  <c r="S18" i="1"/>
  <c r="O9" i="2" s="1"/>
  <c r="D28" i="1" l="1"/>
  <c r="D29"/>
  <c r="O5" i="2"/>
  <c r="D27" i="1"/>
</calcChain>
</file>

<file path=xl/sharedStrings.xml><?xml version="1.0" encoding="utf-8"?>
<sst xmlns="http://schemas.openxmlformats.org/spreadsheetml/2006/main" count="287" uniqueCount="241">
  <si>
    <t>FINAL VALIDATION SUMMARY - 9 predicted split suppressor / Sec tRNA candidates, Methanosarcina barkeri str. Wiesmoor</t>
  </si>
  <si>
    <t>Scores = 199-record model (Supplementary_Data_S1_REV3_199). GC = canonical slots 1-72, missing slots excluded, recomputed from sheet "Cand+Decoy Sequences" (matches Final_Validation_Status workbook exactly). Blue = input value; black = formula; green = link to another sheet.</t>
  </si>
  <si>
    <t>DECISION PARAMETERS</t>
  </si>
  <si>
    <t>Decoy-calibrated cut (S &gt;=)</t>
  </si>
  <si>
    <t>Midpoint: decoy max vs weakest real tRNA (S1, Threshold Analysis)</t>
  </si>
  <si>
    <t>Decoy maximum S</t>
  </si>
  <si>
    <t>Highest of 13 randomised-genome decoys (S1)</t>
  </si>
  <si>
    <t>C1 overall GC (&gt;=)</t>
  </si>
  <si>
    <t>5th percentile, 199 training tRNAs</t>
  </si>
  <si>
    <t>C2 GC_stem, G+C of 42 stem slots (&gt;=)</t>
  </si>
  <si>
    <t>5th percentile, 199 training tRNAs (57.1%)</t>
  </si>
  <si>
    <t>C3 dGC = GC_stem - GC_nonstem (&gt;=)</t>
  </si>
  <si>
    <t>5th percentile, 199 training tRNAs (+14.9 pts)</t>
  </si>
  <si>
    <t>Minimum attainable p vs 13 decoys</t>
  </si>
  <si>
    <t>Power floor: no candidate can reach p &lt; 0.05</t>
  </si>
  <si>
    <t>CANDIDATE STATUS (Stage A model -&gt; Stage B structure, reported only -&gt; Stage C GC criteria -&gt; final)</t>
  </si>
  <si>
    <t>Candidate</t>
  </si>
  <si>
    <t>Type</t>
  </si>
  <si>
    <t>Anti-codon</t>
  </si>
  <si>
    <t>Length (nt)</t>
  </si>
  <si>
    <t>Combined score S</t>
  </si>
  <si>
    <t>p vs decoys</t>
  </si>
  <si>
    <t>Model status (Stage A)</t>
  </si>
  <si>
    <t>MFE (kcal/mol)</t>
  </si>
  <si>
    <t>Stem pairs</t>
  </si>
  <si>
    <t>Conserved positions</t>
  </si>
  <si>
    <t>T-loop</t>
  </si>
  <si>
    <t>G+C (72 slots)</t>
  </si>
  <si>
    <t>Present slots</t>
  </si>
  <si>
    <t>Overall GC</t>
  </si>
  <si>
    <t>GC_stem (of 42)</t>
  </si>
  <si>
    <t>GC_nonstem</t>
  </si>
  <si>
    <t>dGC (pts)</t>
  </si>
  <si>
    <t>GC criteria met (of 3)</t>
  </si>
  <si>
    <t>FINAL STATUS</t>
  </si>
  <si>
    <t>G+C nonstem</t>
  </si>
  <si>
    <t>Nonstem slots</t>
  </si>
  <si>
    <t>trna64</t>
  </si>
  <si>
    <t>Sec</t>
  </si>
  <si>
    <t>UCA</t>
  </si>
  <si>
    <t>19/21</t>
  </si>
  <si>
    <t>10/12</t>
  </si>
  <si>
    <t>5/5</t>
  </si>
  <si>
    <t>trna958</t>
  </si>
  <si>
    <t>Sup</t>
  </si>
  <si>
    <t>CUA</t>
  </si>
  <si>
    <t>trna1091</t>
  </si>
  <si>
    <t>6/12</t>
  </si>
  <si>
    <t>1/5</t>
  </si>
  <si>
    <t>trna1395</t>
  </si>
  <si>
    <t>7/12</t>
  </si>
  <si>
    <t>4/5</t>
  </si>
  <si>
    <t>trna1</t>
  </si>
  <si>
    <t>2/5</t>
  </si>
  <si>
    <t>trna20</t>
  </si>
  <si>
    <t>UUA</t>
  </si>
  <si>
    <t>20/21</t>
  </si>
  <si>
    <t>3/5</t>
  </si>
  <si>
    <t>trna9</t>
  </si>
  <si>
    <t>trna590</t>
  </si>
  <si>
    <t>trna1470</t>
  </si>
  <si>
    <t>5/12</t>
  </si>
  <si>
    <t>Final rule (stated before application): SUPPORTED = S &gt;= cut AND all 3 GC criteria; BORDERLINE = S above every decoy but not SUPPORTED; NOT SUPPORTED = S inside decoy range, whatever the GC profile (GC never rescues a candidate the model rejects).</t>
  </si>
  <si>
    <t>OUTCOME</t>
  </si>
  <si>
    <t>Status</t>
  </si>
  <si>
    <t>Stage A only (published)</t>
  </si>
  <si>
    <t>Final (model + GC)</t>
  </si>
  <si>
    <t>Candidates (final)</t>
  </si>
  <si>
    <t>SUPPORTED</t>
  </si>
  <si>
    <t>BORDERLINE</t>
  </si>
  <si>
    <t>trna958 (above every decoy; meets 0/3 GC criteria)</t>
  </si>
  <si>
    <t>NOT SUPPORTED</t>
  </si>
  <si>
    <t>trna1091, trna1395*, trna1, trna20, trna9, trna590, trna1470</t>
  </si>
  <si>
    <t>* trna1395 meets 2 of 3 GC criteria (C1, C2) but its score lies inside the decoy range; flagged for re-examination in the revised search only.</t>
  </si>
  <si>
    <t>KEY EVIDENCE (one line each)</t>
  </si>
  <si>
    <t>Real tRNAs vs both negative controls</t>
  </si>
  <si>
    <t>AUC = 1.000 (158 real tRNAs vs 13 decoys and vs 960 shuffled)</t>
  </si>
  <si>
    <t>Candidates vs decoys, model score alone</t>
  </si>
  <si>
    <t>AUC 0.615 (p = 0.39): 7 of 9 candidates inside decoy score range</t>
  </si>
  <si>
    <t>Candidates vs decoys, GC alone</t>
  </si>
  <si>
    <t>Overall GC AUC 0.859 (p = 0.0055); GC_stem AUC 0.880 (p = 0.0032); dGC AUC 0.778 (p = 0.033)</t>
  </si>
  <si>
    <t>Model + GC composite</t>
  </si>
  <si>
    <t>S + overall GC + GC_stem + dGC: AUC 0.829 (p = 0.011) - GC is complementary to the positional model</t>
  </si>
  <si>
    <t>GC criteria C1-C3 (all three)</t>
  </si>
  <si>
    <t>Accept 92% training, 93% held-out, 98% M. barkeri tRNAs; accept 0/13 decoys; 1/9 candidates</t>
  </si>
  <si>
    <t>Effect on search output</t>
  </si>
  <si>
    <t>False positives 0.26 -&gt; 0.00 per randomised genome; supported candidate trna64 retained</t>
  </si>
  <si>
    <t>Stem enrichment (dGC) in real tRNAs</t>
  </si>
  <si>
    <t>+30.0 to +31.6 pts in all three reference sets; positive in 357/357 (Wilcoxon p &lt; 1e-30)</t>
  </si>
  <si>
    <t>Power limit</t>
  </si>
  <si>
    <t>13 decoys -&gt; min p = 0.071; ~99 decoys (~380 randomised genomes) needed for p &lt; 0.01; GC-matched decoys planned</t>
  </si>
  <si>
    <t>TABLES FOR THE MANUSCRIPT (compact plan)</t>
  </si>
  <si>
    <t>Table</t>
  </si>
  <si>
    <t>Title</t>
  </si>
  <si>
    <t>Content (columns / panels)</t>
  </si>
  <si>
    <t>Built from</t>
  </si>
  <si>
    <t>Change vs previous</t>
  </si>
  <si>
    <t>Table 1 (REVISED)</t>
  </si>
  <si>
    <t>Final validation status of the nine predicted candidates</t>
  </si>
  <si>
    <t>Per candidate: type, anticodon, length | combined score S, p vs decoys | MFE, stem pairs, conserved positions, T-loop | overall GC, GC_stem, dGC, GC criteria met | final status</t>
  </si>
  <si>
    <t>Old Table 1 + Final_Status (GC workbook)</t>
  </si>
  <si>
    <t>GC (72-slot) + C1-C3 added; emission / transition columns moved to Suppl. S1; final status now model + GC</t>
  </si>
  <si>
    <t>Table 2 (REVISED)</t>
  </si>
  <si>
    <t>Score and GC composition of candidates against known tRNAs and both negative controls</t>
  </si>
  <si>
    <t>Per set (6 sets): role, n | S mean +/- SD, range of S | overall GC, GC_stem, dGC | pass all GC criteria</t>
  </si>
  <si>
    <t>Old Table 2 + Reference_GC + GC_Criteria</t>
  </si>
  <si>
    <t>GC columns + criteria pass rate added; M. barkeri set labelled as tRNAscan-SE annotations (not gold standard); stem / conserved columns moved to S1</t>
  </si>
  <si>
    <t>Table 3 (NEW)</t>
  </si>
  <si>
    <t>Contribution of GC composition to candidate selection</t>
  </si>
  <si>
    <t>A: AUC of S alone, GC features alone and S + GC composites (candidates vs decoys). B: search yield, published vs revised procedure (real genome vs 50 randomised genomes)</t>
  </si>
  <si>
    <t>Composite_AUC + Revised_Screen</t>
  </si>
  <si>
    <t>Directly answers the reviewer: does adding GC improve selection?</t>
  </si>
  <si>
    <t>Suppl. Data S1</t>
  </si>
  <si>
    <t>Model construction and validation (existing)</t>
  </si>
  <si>
    <t>Database, frequencies, emission / transition matrices, all scores, six-set comparison, thresholds</t>
  </si>
  <si>
    <t>Supplementary_Data_S1_REV3_199</t>
  </si>
  <si>
    <t>Unchanged (holds emission / transition / stem detail removed from Tables 1-2)</t>
  </si>
  <si>
    <t>Suppl. Data S2</t>
  </si>
  <si>
    <t>Per-tRNA GC by structural region, all six sets</t>
  </si>
  <si>
    <t>Per-tRNA overall GC, GC_stem, GC_nonstem, dGC, tertiary pairs, loops</t>
  </si>
  <si>
    <t>Per-region GC workbooks</t>
  </si>
  <si>
    <t>NEW - not in the attached files; must be supplied</t>
  </si>
  <si>
    <t>Suppl. Data S3</t>
  </si>
  <si>
    <t>GC criteria, composite analysis, decision rule</t>
  </si>
  <si>
    <t>GC_Criteria, Reference_GC, Composite_AUC, Revised_Screen, GC_Definition, Final_Status</t>
  </si>
  <si>
    <t>Final_Validation_Status workbook</t>
  </si>
  <si>
    <t>NEW - apply corrections on sheet "Corrections" first</t>
  </si>
  <si>
    <t>Table 1. Final validation status of the nine predicted split suppressor-tRNA candidates.</t>
  </si>
  <si>
    <t>Candidates are ordered by combined score S. p values are empirical against the 13 randomised-genome sequences (minimum attainable 0.071). Decision threshold S = -0.0801. GC values use canonical slots 1-72; GC criteria: C1 overall GC &gt;= 49.2%, C2 GC_stem &gt;= 24/42, C3 dGC &gt;= +14.9 points (5th percentiles of the 199 reference tRNAs).</t>
  </si>
  <si>
    <t>Anti-
codon</t>
  </si>
  <si>
    <t>Length
(nt)</t>
  </si>
  <si>
    <t>Combined
score S</t>
  </si>
  <si>
    <t>p vs
decoys</t>
  </si>
  <si>
    <t>MFE
(kcal/mol)</t>
  </si>
  <si>
    <t>Stem
pairs</t>
  </si>
  <si>
    <t>Conserved
positions</t>
  </si>
  <si>
    <t>Overall
GC (%)</t>
  </si>
  <si>
    <t>GC_stem
(of 42)</t>
  </si>
  <si>
    <t>dGC
(pts)</t>
  </si>
  <si>
    <t>GC criteria
met</t>
  </si>
  <si>
    <t>Supported: S above the decision threshold and all three GC criteria met. Borderline: S above every randomised-genome sequence but not supported. Not supported: S within the randomised-genome range; GC is an additional requirement and is never used to rescue a candidate the model rejects. Stem pairing, conserved positions and T-loop are reported but were not used in the decision. Emission and transition log-odds are given in Supplementary Data S1.</t>
  </si>
  <si>
    <t>Table 2. Probabilistic score and GC composition of the predicted candidates compared with known tRNAs and with both negative controls.</t>
  </si>
  <si>
    <t>All sequences were scored with the same position-specific model estimated from the 199 reference tRNAs (reference set scored leave-one-out). Scores are means +/- SD; GC values are set means over canonical slots 1-72.</t>
  </si>
  <si>
    <t>Sequence set</t>
  </si>
  <si>
    <t>Role</t>
  </si>
  <si>
    <t>n</t>
  </si>
  <si>
    <t>Range of S</t>
  </si>
  <si>
    <t>GC_stem
(%)</t>
  </si>
  <si>
    <t>Pass C1-C3
(all three)</t>
  </si>
  <si>
    <t>T-psi-C reference</t>
  </si>
  <si>
    <t>Model construction</t>
  </si>
  <si>
    <t>+0.506 ± 0.135</t>
  </si>
  <si>
    <t>-0.207 to +0.759</t>
  </si>
  <si>
    <t>T-psi-C held out</t>
  </si>
  <si>
    <t>Positive control</t>
  </si>
  <si>
    <t>+0.494 ± 0.117</t>
  </si>
  <si>
    <t>+0.029 to +0.687</t>
  </si>
  <si>
    <t>M. barkeri annotated (tRNAscan-SE)</t>
  </si>
  <si>
    <t>Organism-specific reference</t>
  </si>
  <si>
    <t>+0.422 ± 0.111</t>
  </si>
  <si>
    <t>+0.241 to +0.698</t>
  </si>
  <si>
    <t>Predicted candidates</t>
  </si>
  <si>
    <t>Under test</t>
  </si>
  <si>
    <t>-0.271 ± 0.151</t>
  </si>
  <si>
    <t>-0.493 to +0.039</t>
  </si>
  <si>
    <t>Randomised genome</t>
  </si>
  <si>
    <t>Negative control</t>
  </si>
  <si>
    <t>-0.338 ± 0.094</t>
  </si>
  <si>
    <t>-0.476 to -0.189</t>
  </si>
  <si>
    <t>Base-shuffled tRNAs</t>
  </si>
  <si>
    <t>-0.603 ± 0.113</t>
  </si>
  <si>
    <t>-0.915 to -0.208</t>
  </si>
  <si>
    <t>as held-out set</t>
  </si>
  <si>
    <t>–</t>
  </si>
  <si>
    <t>n.a.</t>
  </si>
  <si>
    <t>Separation between known tRNAs and both negative controls was complete (AUC = 1.000). Decision threshold S = -0.0801, midway between the highest randomised-genome score and the lowest known-tRNA score. GC criteria (C1 overall GC &gt;= 49.2%, C2 GC_stem &gt;= 24/42, C3 dGC &gt;= +14.9 pts) are the 5th percentiles of the 199 reference tRNAs and were not tuned on candidates or decoys. dGC = GC_stem - GC_nonstem; it is positive in all 357 reference tRNAs. The 62 M. barkeri sequences are tRNAscan-SE computational annotations, not experimentally confirmed tRNAs, and are used as an organism-specific reference distribution, not as ground truth. Base-shuffled tRNAs retain the composition of the held-out set.</t>
  </si>
  <si>
    <t>Table 3. Contribution of GC composition to the selection of split-tRNA candidates.</t>
  </si>
  <si>
    <t>A. Discrimination of the 9 predicted candidates from the 13 randomised-genome sequences</t>
  </si>
  <si>
    <t>Feature</t>
  </si>
  <si>
    <t>AUC</t>
  </si>
  <si>
    <t>p</t>
  </si>
  <si>
    <t>Significant
(p &lt; 0.05)</t>
  </si>
  <si>
    <t>Positional model alone</t>
  </si>
  <si>
    <t>Composition alone</t>
  </si>
  <si>
    <t>GC_stem</t>
  </si>
  <si>
    <t>dGC</t>
  </si>
  <si>
    <t>S + GC_stem</t>
  </si>
  <si>
    <t>Model + composition</t>
  </si>
  <si>
    <t>S + overall GC + GC_stem + dGC</t>
  </si>
  <si>
    <t>B. Search output before and after adding the GC criteria</t>
  </si>
  <si>
    <t>Screening procedure</t>
  </si>
  <si>
    <t>Candidates from real genome</t>
  </si>
  <si>
    <t>Sequences from 50 randomised genomes</t>
  </si>
  <si>
    <t>False positives per randomised genome</t>
  </si>
  <si>
    <t>Model-supported candidate retained</t>
  </si>
  <si>
    <t>Published (probabilistic model only)</t>
  </si>
  <si>
    <t>yes (trna64)</t>
  </si>
  <si>
    <t>Revised (model + GC criteria C1-C3)</t>
  </si>
  <si>
    <t>AUC from the two-sided Mann-Whitney U test (normal approximation with tie and continuity correction). Composite features are sums of z-scores standardised over all 22 sequences. With n = 9 vs 13 the tests have limited power and the composite was evaluated on the same sequences; it is reported as evidence that composition is informative, not as a tuned classifier. Panel B applies C1-C3 to the complete output of the existing search; the GC criteria retain 92-98% of real tRNAs (Table 2).</t>
  </si>
  <si>
    <t>Consistency check - fix these before submitting S3 and the response letter</t>
  </si>
  <si>
    <t>#</t>
  </si>
  <si>
    <t>Where</t>
  </si>
  <si>
    <t>Current text / value</t>
  </si>
  <si>
    <t>Correct value</t>
  </si>
  <si>
    <t>Why</t>
  </si>
  <si>
    <t>Final_Status (S3) col E, F, G, H; Reply point 8</t>
  </si>
  <si>
    <t>Scores of an earlier model run: trna64 S = +0.0382; cut -0.0795; decoy max -0.1879</t>
  </si>
  <si>
    <t>trna64 S = +0.0394; cut -0.0801; decoy max -0.1890 (all 9 S values as in Table 1)</t>
  </si>
  <si>
    <t>Manuscript Tables 1-2 and S1 use the corrected 199-record model. All statuses are unchanged.</t>
  </si>
  <si>
    <t>Final_Status (S3) cell H11</t>
  </si>
  <si>
    <t>trna20 p vs decoys = 0.357</t>
  </si>
  <si>
    <t>0.429</t>
  </si>
  <si>
    <t>With S = -0.2905, five decoys score higher -&gt; (5+1)/14 = 0.429.</t>
  </si>
  <si>
    <t>Composite_AUC (S3) row "Combined score S"; Reply point 5</t>
  </si>
  <si>
    <t>S alone AUC 0.624, p = 0.349</t>
  </si>
  <si>
    <t>AUC 0.615, p = 0.385</t>
  </si>
  <si>
    <t>Recomputed with 199-record scores. Composite rows unchanged (0.735 / 0.786 / 0.795 / 0.795 / 0.829). S1 Decoy Discrimination gives p = 0.367 without continuity correction.</t>
  </si>
  <si>
    <t>Old Table 1 "GC (%)" column; GC_Definition (S3)</t>
  </si>
  <si>
    <t>trna958 45.35, trna1091 43.18, trna1395 47.83, trna590 35.00, trna1470 47.83 (all-nucleotide GC)</t>
  </si>
  <si>
    <t>44.4, 45.8, 54.9, 33.8, 48.6 (72-slot GC, as in the new Table 1)</t>
  </si>
  <si>
    <t>GC_Definition says Table 1 shows the 72-slot value 44.4%. That is true only for the revised Table 1.</t>
  </si>
  <si>
    <t>Reply point 2</t>
  </si>
  <si>
    <t>"the three agree to within 1.6 percentage points on every measure"</t>
  </si>
  <si>
    <t>"agree to within 3.4 percentage points on every measure (dGC within 1.6)"</t>
  </si>
  <si>
    <t>Overall GC 58.7-61.5 (2.8 pts); GC_stem 71.1-74.5 (3.4 pts); dGC 30.0-31.6 (1.6 pts).</t>
  </si>
  <si>
    <t>Reply point 7; Revised_Screen note</t>
  </si>
  <si>
    <t>"the search has been rerun ... reported in [Section X / Table Y]"; GC-matched decoys "generated"</t>
  </si>
  <si>
    <t>Give the real section / table, or remove the claim</t>
  </si>
  <si>
    <t>Neither file contains a rerun search or GC-matched decoy results. Do not claim them until they exist.</t>
  </si>
  <si>
    <t>Old Table 1 footnote</t>
  </si>
  <si>
    <t>"a compositional contribution to its score cannot be excluded" (trna64)</t>
  </si>
  <si>
    <t>Delete; replaced by GC criteria in the new Table 1 legend</t>
  </si>
  <si>
    <t>trna64 now passes all three reference-derived GC criteria.</t>
  </si>
  <si>
    <t>Table 2 rows: held-out 96, M. barkeri 62, shuffled 960</t>
  </si>
  <si>
    <t>Scores still from the 200-record model (S1 Read Me, item 8: PROVISIONAL)</t>
  </si>
  <si>
    <t>Rescore with the 199-record model, or say so in the legend</t>
  </si>
  <si>
    <t>Only these three rows were not re-derived after the duplicate was removed.</t>
  </si>
  <si>
    <t>Reply intro and points 1, 5</t>
  </si>
  <si>
    <t>Cites Supplementary Data S2 (per-tRNA GC by region)</t>
  </si>
  <si>
    <t>Attach S2</t>
  </si>
  <si>
    <t>S2 is not among the files provided.</t>
  </si>
</sst>
</file>

<file path=xl/styles.xml><?xml version="1.0" encoding="utf-8"?>
<styleSheet xmlns="http://schemas.openxmlformats.org/spreadsheetml/2006/main">
  <numFmts count="7">
    <numFmt numFmtId="164" formatCode="0.0000"/>
    <numFmt numFmtId="165" formatCode="0.0%"/>
    <numFmt numFmtId="166" formatCode="0.000"/>
    <numFmt numFmtId="167" formatCode="\+0.0000;\-0.0000"/>
    <numFmt numFmtId="168" formatCode="0.0"/>
    <numFmt numFmtId="169" formatCode="\+0.0;\-0.0"/>
    <numFmt numFmtId="170" formatCode="0.000;;;@"/>
  </numFmts>
  <fonts count="17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i/>
      <sz val="9"/>
      <color rgb="FF00000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9"/>
      <color rgb="FFFFFFFF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sz val="10"/>
      <color rgb="FF008000"/>
      <name val="Arial"/>
      <charset val="1"/>
    </font>
    <font>
      <b/>
      <sz val="10"/>
      <color rgb="FF008000"/>
      <name val="Arial"/>
      <charset val="1"/>
    </font>
    <font>
      <b/>
      <sz val="10"/>
      <color rgb="FFFFFFFF"/>
      <name val="Times New Roman"/>
      <family val="1"/>
    </font>
    <font>
      <sz val="10"/>
      <color rgb="FF0000FF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1F3864"/>
      <name val="Times New Roman"/>
      <family val="1"/>
    </font>
    <font>
      <sz val="10"/>
      <color theme="1"/>
      <name val="Times New Roman"/>
      <family val="1"/>
    </font>
    <font>
      <i/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CC99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6" fillId="0" borderId="0" xfId="0" applyFont="1" applyBorder="1"/>
    <xf numFmtId="0" fontId="2" fillId="0" borderId="0" xfId="0" applyFont="1" applyBorder="1" applyAlignment="1">
      <alignment vertical="top" wrapText="1"/>
    </xf>
    <xf numFmtId="0" fontId="1" fillId="0" borderId="0" xfId="0" applyFont="1" applyBorder="1"/>
    <xf numFmtId="164" fontId="3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68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169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16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170" fontId="3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/>
    <xf numFmtId="0" fontId="11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8" fontId="11" fillId="0" borderId="1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169" fontId="1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 applyBorder="1" applyAlignment="1">
      <alignment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3" fillId="6" borderId="1" xfId="0" applyFont="1" applyFill="1" applyBorder="1"/>
    <xf numFmtId="0" fontId="12" fillId="0" borderId="1" xfId="0" applyFont="1" applyBorder="1" applyAlignment="1">
      <alignment vertical="top" wrapText="1"/>
    </xf>
    <xf numFmtId="0" fontId="16" fillId="0" borderId="2" xfId="0" applyFont="1" applyBorder="1" applyAlignment="1">
      <alignment vertical="top" wrapText="1"/>
    </xf>
    <xf numFmtId="0" fontId="15" fillId="0" borderId="0" xfId="0" applyFont="1" applyBorder="1"/>
    <xf numFmtId="0" fontId="15" fillId="0" borderId="3" xfId="0" applyFont="1" applyBorder="1"/>
    <xf numFmtId="0" fontId="15" fillId="0" borderId="2" xfId="0" applyFont="1" applyBorder="1"/>
    <xf numFmtId="0" fontId="10" fillId="2" borderId="4" xfId="0" applyFont="1" applyFill="1" applyBorder="1"/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3" fillId="3" borderId="4" xfId="0" applyFont="1" applyFill="1" applyBorder="1"/>
    <xf numFmtId="0" fontId="13" fillId="4" borderId="4" xfId="0" applyFont="1" applyFill="1" applyBorder="1"/>
    <xf numFmtId="0" fontId="13" fillId="5" borderId="4" xfId="0" applyFont="1" applyFill="1" applyBorder="1"/>
    <xf numFmtId="0" fontId="13" fillId="6" borderId="4" xfId="0" applyFont="1" applyFill="1" applyBorder="1"/>
    <xf numFmtId="0" fontId="13" fillId="6" borderId="4" xfId="0" applyFont="1" applyFill="1" applyBorder="1" applyAlignment="1">
      <alignment vertical="top" wrapText="1"/>
    </xf>
    <xf numFmtId="0" fontId="13" fillId="0" borderId="4" xfId="0" applyFont="1" applyBorder="1" applyAlignment="1">
      <alignment vertical="top" wrapText="1"/>
    </xf>
    <xf numFmtId="0" fontId="13" fillId="0" borderId="6" xfId="0" applyFont="1" applyBorder="1" applyAlignment="1">
      <alignment vertical="top" wrapText="1"/>
    </xf>
    <xf numFmtId="0" fontId="12" fillId="0" borderId="7" xfId="0" applyFont="1" applyBorder="1" applyAlignment="1">
      <alignment vertical="top" wrapText="1"/>
    </xf>
    <xf numFmtId="0" fontId="15" fillId="0" borderId="8" xfId="0" applyFont="1" applyBorder="1"/>
    <xf numFmtId="0" fontId="15" fillId="0" borderId="9" xfId="0" applyFont="1" applyBorder="1"/>
    <xf numFmtId="0" fontId="15" fillId="0" borderId="0" xfId="0" applyFont="1" applyBorder="1" applyAlignment="1">
      <alignment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0" fillId="2" borderId="10" xfId="0" applyFont="1" applyFill="1" applyBorder="1"/>
    <xf numFmtId="0" fontId="15" fillId="0" borderId="10" xfId="0" applyFont="1" applyBorder="1"/>
    <xf numFmtId="0" fontId="13" fillId="0" borderId="10" xfId="0" applyFont="1" applyBorder="1"/>
    <xf numFmtId="164" fontId="11" fillId="0" borderId="10" xfId="0" applyNumberFormat="1" applyFont="1" applyBorder="1" applyAlignment="1">
      <alignment horizontal="center" vertical="center" wrapText="1"/>
    </xf>
    <xf numFmtId="0" fontId="16" fillId="0" borderId="10" xfId="0" applyFont="1" applyBorder="1"/>
    <xf numFmtId="165" fontId="11" fillId="0" borderId="10" xfId="0" applyNumberFormat="1" applyFont="1" applyBorder="1" applyAlignment="1">
      <alignment horizontal="center" vertical="center" wrapText="1"/>
    </xf>
    <xf numFmtId="1" fontId="11" fillId="0" borderId="10" xfId="0" applyNumberFormat="1" applyFont="1" applyBorder="1" applyAlignment="1">
      <alignment horizontal="center" vertical="center" wrapText="1"/>
    </xf>
    <xf numFmtId="166" fontId="12" fillId="0" borderId="1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9"/>
  <sheetViews>
    <sheetView tabSelected="1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 activeCell="M5" sqref="M5"/>
    </sheetView>
  </sheetViews>
  <sheetFormatPr defaultColWidth="8.7109375" defaultRowHeight="12.75"/>
  <cols>
    <col min="1" max="1" width="16" style="33" customWidth="1"/>
    <col min="2" max="2" width="7" style="33" customWidth="1"/>
    <col min="3" max="4" width="8" style="33" customWidth="1"/>
    <col min="5" max="5" width="10" style="33" customWidth="1"/>
    <col min="6" max="6" width="8" style="33" customWidth="1"/>
    <col min="7" max="7" width="15" style="33" customWidth="1"/>
    <col min="8" max="8" width="9" style="33" customWidth="1"/>
    <col min="9" max="9" width="8" style="33" customWidth="1"/>
    <col min="10" max="10" width="10" style="33" customWidth="1"/>
    <col min="11" max="11" width="7" style="33" customWidth="1"/>
    <col min="12" max="13" width="8" style="33" customWidth="1"/>
    <col min="14" max="16" width="9" style="33" customWidth="1"/>
    <col min="17" max="17" width="8" style="33" customWidth="1"/>
    <col min="18" max="18" width="10" style="33" customWidth="1"/>
    <col min="19" max="19" width="15" style="33" customWidth="1"/>
    <col min="20" max="21" width="8" style="33" customWidth="1"/>
    <col min="22" max="16384" width="8.7109375" style="33"/>
  </cols>
  <sheetData>
    <row r="1" spans="1:21" ht="19.5" customHeight="1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5"/>
    </row>
    <row r="2" spans="1:21" ht="27.75" customHeight="1">
      <c r="A2" s="60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2"/>
    </row>
    <row r="3" spans="1:21">
      <c r="A3" s="43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2"/>
    </row>
    <row r="4" spans="1:21">
      <c r="A4" s="66" t="s">
        <v>2</v>
      </c>
      <c r="B4" s="66"/>
      <c r="C4" s="66"/>
      <c r="D4" s="66"/>
      <c r="E4" s="67"/>
      <c r="F4" s="67"/>
      <c r="G4" s="67"/>
      <c r="H4" s="67"/>
      <c r="I4" s="67"/>
      <c r="J4" s="67"/>
      <c r="K4" s="67"/>
      <c r="L4" s="41"/>
      <c r="M4" s="41"/>
      <c r="N4" s="41"/>
      <c r="O4" s="41"/>
      <c r="P4" s="41"/>
      <c r="Q4" s="41"/>
      <c r="R4" s="41"/>
      <c r="S4" s="41"/>
      <c r="T4" s="41"/>
      <c r="U4" s="42"/>
    </row>
    <row r="5" spans="1:21">
      <c r="A5" s="68" t="s">
        <v>3</v>
      </c>
      <c r="B5" s="68"/>
      <c r="C5" s="68"/>
      <c r="D5" s="69">
        <v>-8.0100000000000005E-2</v>
      </c>
      <c r="E5" s="70" t="s">
        <v>4</v>
      </c>
      <c r="F5" s="70"/>
      <c r="G5" s="70"/>
      <c r="H5" s="70"/>
      <c r="I5" s="70"/>
      <c r="J5" s="70"/>
      <c r="K5" s="70"/>
      <c r="L5" s="41"/>
      <c r="M5" s="41"/>
      <c r="N5" s="41"/>
      <c r="O5" s="41"/>
      <c r="P5" s="41"/>
      <c r="Q5" s="41"/>
      <c r="R5" s="41"/>
      <c r="S5" s="41"/>
      <c r="T5" s="41"/>
      <c r="U5" s="42"/>
    </row>
    <row r="6" spans="1:21">
      <c r="A6" s="68" t="s">
        <v>5</v>
      </c>
      <c r="B6" s="68"/>
      <c r="C6" s="68"/>
      <c r="D6" s="69">
        <v>-0.189</v>
      </c>
      <c r="E6" s="70" t="s">
        <v>6</v>
      </c>
      <c r="F6" s="70"/>
      <c r="G6" s="70"/>
      <c r="H6" s="70"/>
      <c r="I6" s="70"/>
      <c r="J6" s="70"/>
      <c r="K6" s="70"/>
      <c r="L6" s="41"/>
      <c r="M6" s="41"/>
      <c r="N6" s="41"/>
      <c r="O6" s="59"/>
      <c r="P6" s="41"/>
      <c r="Q6" s="41"/>
      <c r="R6" s="41"/>
      <c r="S6" s="41"/>
      <c r="T6" s="41"/>
      <c r="U6" s="42"/>
    </row>
    <row r="7" spans="1:21">
      <c r="A7" s="68" t="s">
        <v>7</v>
      </c>
      <c r="B7" s="68"/>
      <c r="C7" s="68"/>
      <c r="D7" s="71">
        <v>0.49227308294209698</v>
      </c>
      <c r="E7" s="70" t="s">
        <v>8</v>
      </c>
      <c r="F7" s="70"/>
      <c r="G7" s="70"/>
      <c r="H7" s="70"/>
      <c r="I7" s="70"/>
      <c r="J7" s="70"/>
      <c r="K7" s="70"/>
      <c r="L7" s="41"/>
      <c r="M7" s="41"/>
      <c r="N7" s="41"/>
      <c r="O7" s="41"/>
      <c r="P7" s="41"/>
      <c r="Q7" s="41"/>
      <c r="R7" s="41"/>
      <c r="S7" s="41"/>
      <c r="T7" s="41"/>
      <c r="U7" s="42"/>
    </row>
    <row r="8" spans="1:21">
      <c r="A8" s="68" t="s">
        <v>9</v>
      </c>
      <c r="B8" s="68"/>
      <c r="C8" s="68"/>
      <c r="D8" s="72">
        <v>24</v>
      </c>
      <c r="E8" s="70" t="s">
        <v>10</v>
      </c>
      <c r="F8" s="70"/>
      <c r="G8" s="70"/>
      <c r="H8" s="70"/>
      <c r="I8" s="70"/>
      <c r="J8" s="70"/>
      <c r="K8" s="70"/>
      <c r="L8" s="41"/>
      <c r="M8" s="41"/>
      <c r="N8" s="41"/>
      <c r="O8" s="41"/>
      <c r="P8" s="41"/>
      <c r="Q8" s="41"/>
      <c r="R8" s="41"/>
      <c r="S8" s="41"/>
      <c r="T8" s="41"/>
      <c r="U8" s="42"/>
    </row>
    <row r="9" spans="1:21">
      <c r="A9" s="68" t="s">
        <v>11</v>
      </c>
      <c r="B9" s="68"/>
      <c r="C9" s="68"/>
      <c r="D9" s="71">
        <v>0.14924466338259401</v>
      </c>
      <c r="E9" s="70" t="s">
        <v>12</v>
      </c>
      <c r="F9" s="70"/>
      <c r="G9" s="70"/>
      <c r="H9" s="70"/>
      <c r="I9" s="70"/>
      <c r="J9" s="70"/>
      <c r="K9" s="70"/>
      <c r="L9" s="41"/>
      <c r="M9" s="41"/>
      <c r="N9" s="41"/>
      <c r="O9" s="41"/>
      <c r="P9" s="41"/>
      <c r="Q9" s="41"/>
      <c r="R9" s="41"/>
      <c r="S9" s="41"/>
      <c r="T9" s="41"/>
      <c r="U9" s="42"/>
    </row>
    <row r="10" spans="1:21">
      <c r="A10" s="68" t="s">
        <v>13</v>
      </c>
      <c r="B10" s="68"/>
      <c r="C10" s="68"/>
      <c r="D10" s="73">
        <f>1/(13+1)</f>
        <v>7.1428571428571425E-2</v>
      </c>
      <c r="E10" s="70" t="s">
        <v>14</v>
      </c>
      <c r="F10" s="70"/>
      <c r="G10" s="70"/>
      <c r="H10" s="70"/>
      <c r="I10" s="70"/>
      <c r="J10" s="70"/>
      <c r="K10" s="70"/>
      <c r="L10" s="41"/>
      <c r="M10" s="41"/>
      <c r="N10" s="41"/>
      <c r="O10" s="41"/>
      <c r="P10" s="41"/>
      <c r="Q10" s="41"/>
      <c r="R10" s="41"/>
      <c r="S10" s="41"/>
      <c r="T10" s="41"/>
      <c r="U10" s="42"/>
    </row>
    <row r="11" spans="1:21">
      <c r="A11" s="43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2"/>
    </row>
    <row r="12" spans="1:21">
      <c r="A12" s="44" t="s">
        <v>15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41"/>
      <c r="T12" s="41"/>
      <c r="U12" s="42"/>
    </row>
    <row r="13" spans="1:21" ht="42" customHeight="1">
      <c r="A13" s="45" t="s">
        <v>16</v>
      </c>
      <c r="B13" s="35" t="s">
        <v>17</v>
      </c>
      <c r="C13" s="35" t="s">
        <v>18</v>
      </c>
      <c r="D13" s="35" t="s">
        <v>19</v>
      </c>
      <c r="E13" s="35" t="s">
        <v>20</v>
      </c>
      <c r="F13" s="35" t="s">
        <v>21</v>
      </c>
      <c r="G13" s="35" t="s">
        <v>22</v>
      </c>
      <c r="H13" s="35" t="s">
        <v>23</v>
      </c>
      <c r="I13" s="35" t="s">
        <v>24</v>
      </c>
      <c r="J13" s="35" t="s">
        <v>25</v>
      </c>
      <c r="K13" s="35" t="s">
        <v>26</v>
      </c>
      <c r="L13" s="35" t="s">
        <v>27</v>
      </c>
      <c r="M13" s="35" t="s">
        <v>28</v>
      </c>
      <c r="N13" s="35" t="s">
        <v>29</v>
      </c>
      <c r="O13" s="35" t="s">
        <v>30</v>
      </c>
      <c r="P13" s="35" t="s">
        <v>31</v>
      </c>
      <c r="Q13" s="35" t="s">
        <v>32</v>
      </c>
      <c r="R13" s="35" t="s">
        <v>33</v>
      </c>
      <c r="S13" s="35" t="s">
        <v>34</v>
      </c>
      <c r="T13" s="35" t="s">
        <v>35</v>
      </c>
      <c r="U13" s="46" t="s">
        <v>36</v>
      </c>
    </row>
    <row r="14" spans="1:21">
      <c r="A14" s="47" t="s">
        <v>37</v>
      </c>
      <c r="B14" s="23" t="s">
        <v>38</v>
      </c>
      <c r="C14" s="23" t="s">
        <v>39</v>
      </c>
      <c r="D14" s="23">
        <v>71</v>
      </c>
      <c r="E14" s="24">
        <v>3.9399999999999998E-2</v>
      </c>
      <c r="F14" s="25">
        <v>7.0999999999999994E-2</v>
      </c>
      <c r="G14" s="26" t="str">
        <f t="shared" ref="G14:G22" si="0">IF(E14&gt;=$D$5,"SUPPORTED",IF(E14&gt;$D$6,"BORDERLINE","NOT SUPPORTED"))</f>
        <v>SUPPORTED</v>
      </c>
      <c r="H14" s="27">
        <v>-32.9</v>
      </c>
      <c r="I14" s="23" t="s">
        <v>40</v>
      </c>
      <c r="J14" s="23" t="s">
        <v>41</v>
      </c>
      <c r="K14" s="23" t="s">
        <v>42</v>
      </c>
      <c r="L14" s="23">
        <v>46</v>
      </c>
      <c r="M14" s="23">
        <v>71</v>
      </c>
      <c r="N14" s="28">
        <f t="shared" ref="N14:N22" si="1">L14/M14</f>
        <v>0.647887323943662</v>
      </c>
      <c r="O14" s="23">
        <v>34</v>
      </c>
      <c r="P14" s="28">
        <f t="shared" ref="P14:P22" si="2">T14/U14</f>
        <v>0.41379310344827586</v>
      </c>
      <c r="Q14" s="29">
        <f t="shared" ref="Q14:Q22" si="3">(O14/42-P14)*100</f>
        <v>39.573070607553369</v>
      </c>
      <c r="R14" s="26">
        <f t="shared" ref="R14:R22" si="4">(N14&gt;=$D$7)+(O14&gt;=$D$8)+(Q14/100&gt;=$D$9)</f>
        <v>3</v>
      </c>
      <c r="S14" s="30" t="str">
        <f t="shared" ref="S14:S22" si="5">IF(AND(G14="SUPPORTED",R14=3),"SUPPORTED",IF(G14&lt;&gt;"NOT SUPPORTED","BORDERLINE","NOT SUPPORTED"))</f>
        <v>SUPPORTED</v>
      </c>
      <c r="T14" s="23">
        <v>12</v>
      </c>
      <c r="U14" s="48">
        <v>29</v>
      </c>
    </row>
    <row r="15" spans="1:21">
      <c r="A15" s="47" t="s">
        <v>43</v>
      </c>
      <c r="B15" s="23" t="s">
        <v>44</v>
      </c>
      <c r="C15" s="23" t="s">
        <v>45</v>
      </c>
      <c r="D15" s="23">
        <v>86</v>
      </c>
      <c r="E15" s="24">
        <v>-0.14230000000000001</v>
      </c>
      <c r="F15" s="25">
        <v>7.0999999999999994E-2</v>
      </c>
      <c r="G15" s="26" t="str">
        <f t="shared" si="0"/>
        <v>BORDERLINE</v>
      </c>
      <c r="H15" s="27">
        <v>-20.3</v>
      </c>
      <c r="I15" s="23" t="s">
        <v>40</v>
      </c>
      <c r="J15" s="23" t="s">
        <v>41</v>
      </c>
      <c r="K15" s="23" t="s">
        <v>42</v>
      </c>
      <c r="L15" s="23">
        <v>32</v>
      </c>
      <c r="M15" s="23">
        <v>72</v>
      </c>
      <c r="N15" s="28">
        <f t="shared" si="1"/>
        <v>0.44444444444444442</v>
      </c>
      <c r="O15" s="23">
        <v>21</v>
      </c>
      <c r="P15" s="28">
        <f t="shared" si="2"/>
        <v>0.36666666666666664</v>
      </c>
      <c r="Q15" s="29">
        <f t="shared" si="3"/>
        <v>13.333333333333336</v>
      </c>
      <c r="R15" s="26">
        <f t="shared" si="4"/>
        <v>0</v>
      </c>
      <c r="S15" s="30" t="str">
        <f t="shared" si="5"/>
        <v>BORDERLINE</v>
      </c>
      <c r="T15" s="23">
        <v>11</v>
      </c>
      <c r="U15" s="48">
        <v>30</v>
      </c>
    </row>
    <row r="16" spans="1:21" ht="25.5">
      <c r="A16" s="47" t="s">
        <v>46</v>
      </c>
      <c r="B16" s="23" t="s">
        <v>44</v>
      </c>
      <c r="C16" s="23" t="s">
        <v>45</v>
      </c>
      <c r="D16" s="23">
        <v>88</v>
      </c>
      <c r="E16" s="24">
        <v>-0.23880000000000001</v>
      </c>
      <c r="F16" s="25">
        <v>0.28599999999999998</v>
      </c>
      <c r="G16" s="26" t="str">
        <f t="shared" si="0"/>
        <v>NOT SUPPORTED</v>
      </c>
      <c r="H16" s="27">
        <v>-29.4</v>
      </c>
      <c r="I16" s="23" t="s">
        <v>40</v>
      </c>
      <c r="J16" s="23" t="s">
        <v>47</v>
      </c>
      <c r="K16" s="23" t="s">
        <v>48</v>
      </c>
      <c r="L16" s="23">
        <v>33</v>
      </c>
      <c r="M16" s="23">
        <v>72</v>
      </c>
      <c r="N16" s="28">
        <f t="shared" si="1"/>
        <v>0.45833333333333331</v>
      </c>
      <c r="O16" s="23">
        <v>20</v>
      </c>
      <c r="P16" s="28">
        <f t="shared" si="2"/>
        <v>0.43333333333333335</v>
      </c>
      <c r="Q16" s="29">
        <f t="shared" si="3"/>
        <v>4.2857142857142811</v>
      </c>
      <c r="R16" s="26">
        <f t="shared" si="4"/>
        <v>0</v>
      </c>
      <c r="S16" s="30" t="str">
        <f t="shared" si="5"/>
        <v>NOT SUPPORTED</v>
      </c>
      <c r="T16" s="23">
        <v>13</v>
      </c>
      <c r="U16" s="48">
        <v>30</v>
      </c>
    </row>
    <row r="17" spans="1:21" ht="25.5">
      <c r="A17" s="47" t="s">
        <v>49</v>
      </c>
      <c r="B17" s="23" t="s">
        <v>44</v>
      </c>
      <c r="C17" s="23" t="s">
        <v>45</v>
      </c>
      <c r="D17" s="23">
        <v>92</v>
      </c>
      <c r="E17" s="24">
        <v>-0.24690000000000001</v>
      </c>
      <c r="F17" s="25">
        <v>0.28599999999999998</v>
      </c>
      <c r="G17" s="26" t="str">
        <f t="shared" si="0"/>
        <v>NOT SUPPORTED</v>
      </c>
      <c r="H17" s="27">
        <v>-20.6</v>
      </c>
      <c r="I17" s="23" t="s">
        <v>40</v>
      </c>
      <c r="J17" s="23" t="s">
        <v>50</v>
      </c>
      <c r="K17" s="23" t="s">
        <v>51</v>
      </c>
      <c r="L17" s="23">
        <v>39</v>
      </c>
      <c r="M17" s="23">
        <v>71</v>
      </c>
      <c r="N17" s="28">
        <f t="shared" si="1"/>
        <v>0.54929577464788737</v>
      </c>
      <c r="O17" s="23">
        <v>24</v>
      </c>
      <c r="P17" s="28">
        <f t="shared" si="2"/>
        <v>0.51724137931034486</v>
      </c>
      <c r="Q17" s="29">
        <f t="shared" si="3"/>
        <v>5.418719211822653</v>
      </c>
      <c r="R17" s="26">
        <f t="shared" si="4"/>
        <v>2</v>
      </c>
      <c r="S17" s="30" t="str">
        <f t="shared" si="5"/>
        <v>NOT SUPPORTED</v>
      </c>
      <c r="T17" s="23">
        <v>15</v>
      </c>
      <c r="U17" s="48">
        <v>29</v>
      </c>
    </row>
    <row r="18" spans="1:21" ht="25.5">
      <c r="A18" s="47" t="s">
        <v>52</v>
      </c>
      <c r="B18" s="23" t="s">
        <v>38</v>
      </c>
      <c r="C18" s="23" t="s">
        <v>39</v>
      </c>
      <c r="D18" s="23">
        <v>70</v>
      </c>
      <c r="E18" s="24">
        <v>-0.28660000000000002</v>
      </c>
      <c r="F18" s="25">
        <v>0.35699999999999998</v>
      </c>
      <c r="G18" s="26" t="str">
        <f t="shared" si="0"/>
        <v>NOT SUPPORTED</v>
      </c>
      <c r="H18" s="27">
        <v>-14.1</v>
      </c>
      <c r="I18" s="23" t="s">
        <v>40</v>
      </c>
      <c r="J18" s="23" t="s">
        <v>50</v>
      </c>
      <c r="K18" s="23" t="s">
        <v>53</v>
      </c>
      <c r="L18" s="23">
        <v>23</v>
      </c>
      <c r="M18" s="23">
        <v>70</v>
      </c>
      <c r="N18" s="28">
        <f t="shared" si="1"/>
        <v>0.32857142857142857</v>
      </c>
      <c r="O18" s="23">
        <v>15</v>
      </c>
      <c r="P18" s="28">
        <f t="shared" si="2"/>
        <v>0.2857142857142857</v>
      </c>
      <c r="Q18" s="29">
        <f t="shared" si="3"/>
        <v>7.142857142857145</v>
      </c>
      <c r="R18" s="26">
        <f t="shared" si="4"/>
        <v>0</v>
      </c>
      <c r="S18" s="30" t="str">
        <f t="shared" si="5"/>
        <v>NOT SUPPORTED</v>
      </c>
      <c r="T18" s="23">
        <v>8</v>
      </c>
      <c r="U18" s="48">
        <v>28</v>
      </c>
    </row>
    <row r="19" spans="1:21" ht="25.5">
      <c r="A19" s="47" t="s">
        <v>54</v>
      </c>
      <c r="B19" s="23" t="s">
        <v>44</v>
      </c>
      <c r="C19" s="23" t="s">
        <v>55</v>
      </c>
      <c r="D19" s="23">
        <v>70</v>
      </c>
      <c r="E19" s="24">
        <v>-0.29049999999999998</v>
      </c>
      <c r="F19" s="25">
        <v>0.42899999999999999</v>
      </c>
      <c r="G19" s="26" t="str">
        <f t="shared" si="0"/>
        <v>NOT SUPPORTED</v>
      </c>
      <c r="H19" s="27">
        <v>-16.5</v>
      </c>
      <c r="I19" s="23" t="s">
        <v>56</v>
      </c>
      <c r="J19" s="23" t="s">
        <v>50</v>
      </c>
      <c r="K19" s="23" t="s">
        <v>57</v>
      </c>
      <c r="L19" s="23">
        <v>31</v>
      </c>
      <c r="M19" s="23">
        <v>70</v>
      </c>
      <c r="N19" s="28">
        <f t="shared" si="1"/>
        <v>0.44285714285714284</v>
      </c>
      <c r="O19" s="23">
        <v>20</v>
      </c>
      <c r="P19" s="28">
        <f t="shared" si="2"/>
        <v>0.39285714285714285</v>
      </c>
      <c r="Q19" s="29">
        <f t="shared" si="3"/>
        <v>8.3333333333333321</v>
      </c>
      <c r="R19" s="26">
        <f t="shared" si="4"/>
        <v>0</v>
      </c>
      <c r="S19" s="30" t="str">
        <f t="shared" si="5"/>
        <v>NOT SUPPORTED</v>
      </c>
      <c r="T19" s="23">
        <v>11</v>
      </c>
      <c r="U19" s="48">
        <v>28</v>
      </c>
    </row>
    <row r="20" spans="1:21" ht="25.5">
      <c r="A20" s="47" t="s">
        <v>58</v>
      </c>
      <c r="B20" s="23" t="s">
        <v>44</v>
      </c>
      <c r="C20" s="23" t="s">
        <v>55</v>
      </c>
      <c r="D20" s="23">
        <v>70</v>
      </c>
      <c r="E20" s="24">
        <v>-0.31630000000000003</v>
      </c>
      <c r="F20" s="25">
        <v>0.42899999999999999</v>
      </c>
      <c r="G20" s="26" t="str">
        <f t="shared" si="0"/>
        <v>NOT SUPPORTED</v>
      </c>
      <c r="H20" s="27">
        <v>-16.399999999999999</v>
      </c>
      <c r="I20" s="23" t="s">
        <v>40</v>
      </c>
      <c r="J20" s="23" t="s">
        <v>50</v>
      </c>
      <c r="K20" s="23" t="s">
        <v>53</v>
      </c>
      <c r="L20" s="23">
        <v>21</v>
      </c>
      <c r="M20" s="23">
        <v>70</v>
      </c>
      <c r="N20" s="28">
        <f t="shared" si="1"/>
        <v>0.3</v>
      </c>
      <c r="O20" s="23">
        <v>12</v>
      </c>
      <c r="P20" s="28">
        <f t="shared" si="2"/>
        <v>0.32142857142857145</v>
      </c>
      <c r="Q20" s="29">
        <f t="shared" si="3"/>
        <v>-3.5714285714285756</v>
      </c>
      <c r="R20" s="26">
        <f t="shared" si="4"/>
        <v>0</v>
      </c>
      <c r="S20" s="30" t="str">
        <f t="shared" si="5"/>
        <v>NOT SUPPORTED</v>
      </c>
      <c r="T20" s="23">
        <v>9</v>
      </c>
      <c r="U20" s="48">
        <v>28</v>
      </c>
    </row>
    <row r="21" spans="1:21" ht="25.5">
      <c r="A21" s="47" t="s">
        <v>59</v>
      </c>
      <c r="B21" s="23" t="s">
        <v>44</v>
      </c>
      <c r="C21" s="23" t="s">
        <v>55</v>
      </c>
      <c r="D21" s="23">
        <v>80</v>
      </c>
      <c r="E21" s="24">
        <v>-0.46429999999999999</v>
      </c>
      <c r="F21" s="25">
        <v>0.92900000000000005</v>
      </c>
      <c r="G21" s="26" t="str">
        <f t="shared" si="0"/>
        <v>NOT SUPPORTED</v>
      </c>
      <c r="H21" s="27">
        <v>-19.3</v>
      </c>
      <c r="I21" s="23" t="s">
        <v>56</v>
      </c>
      <c r="J21" s="23" t="s">
        <v>47</v>
      </c>
      <c r="K21" s="23" t="s">
        <v>53</v>
      </c>
      <c r="L21" s="23">
        <v>24</v>
      </c>
      <c r="M21" s="23">
        <v>71</v>
      </c>
      <c r="N21" s="28">
        <f t="shared" si="1"/>
        <v>0.3380281690140845</v>
      </c>
      <c r="O21" s="23">
        <v>16</v>
      </c>
      <c r="P21" s="28">
        <f t="shared" si="2"/>
        <v>0.27586206896551724</v>
      </c>
      <c r="Q21" s="29">
        <f t="shared" si="3"/>
        <v>10.509031198686369</v>
      </c>
      <c r="R21" s="26">
        <f t="shared" si="4"/>
        <v>0</v>
      </c>
      <c r="S21" s="30" t="str">
        <f t="shared" si="5"/>
        <v>NOT SUPPORTED</v>
      </c>
      <c r="T21" s="23">
        <v>8</v>
      </c>
      <c r="U21" s="48">
        <v>29</v>
      </c>
    </row>
    <row r="22" spans="1:21" ht="25.5">
      <c r="A22" s="47" t="s">
        <v>60</v>
      </c>
      <c r="B22" s="23" t="s">
        <v>44</v>
      </c>
      <c r="C22" s="23" t="s">
        <v>45</v>
      </c>
      <c r="D22" s="23">
        <v>93</v>
      </c>
      <c r="E22" s="24">
        <v>-0.49320000000000003</v>
      </c>
      <c r="F22" s="25">
        <v>1</v>
      </c>
      <c r="G22" s="26" t="str">
        <f t="shared" si="0"/>
        <v>NOT SUPPORTED</v>
      </c>
      <c r="H22" s="27">
        <v>-20.6</v>
      </c>
      <c r="I22" s="23" t="s">
        <v>40</v>
      </c>
      <c r="J22" s="23" t="s">
        <v>61</v>
      </c>
      <c r="K22" s="23" t="s">
        <v>48</v>
      </c>
      <c r="L22" s="23">
        <v>35</v>
      </c>
      <c r="M22" s="23">
        <v>72</v>
      </c>
      <c r="N22" s="28">
        <f t="shared" si="1"/>
        <v>0.4861111111111111</v>
      </c>
      <c r="O22" s="23">
        <v>18</v>
      </c>
      <c r="P22" s="28">
        <f t="shared" si="2"/>
        <v>0.56666666666666665</v>
      </c>
      <c r="Q22" s="29">
        <f t="shared" si="3"/>
        <v>-13.80952380952381</v>
      </c>
      <c r="R22" s="26">
        <f t="shared" si="4"/>
        <v>0</v>
      </c>
      <c r="S22" s="30" t="str">
        <f t="shared" si="5"/>
        <v>NOT SUPPORTED</v>
      </c>
      <c r="T22" s="23">
        <v>17</v>
      </c>
      <c r="U22" s="48">
        <v>30</v>
      </c>
    </row>
    <row r="23" spans="1:21" ht="25.5" customHeight="1">
      <c r="A23" s="40" t="s">
        <v>62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41"/>
      <c r="U23" s="42"/>
    </row>
    <row r="24" spans="1:21">
      <c r="A24" s="43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2"/>
    </row>
    <row r="25" spans="1:21">
      <c r="A25" s="44" t="s">
        <v>63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41"/>
      <c r="P25" s="41"/>
      <c r="Q25" s="41"/>
      <c r="R25" s="41"/>
      <c r="S25" s="41"/>
      <c r="T25" s="41"/>
      <c r="U25" s="42"/>
    </row>
    <row r="26" spans="1:21" ht="27.75" customHeight="1">
      <c r="A26" s="45" t="s">
        <v>64</v>
      </c>
      <c r="B26" s="36" t="s">
        <v>65</v>
      </c>
      <c r="C26" s="36"/>
      <c r="D26" s="36" t="s">
        <v>66</v>
      </c>
      <c r="E26" s="36"/>
      <c r="F26" s="36" t="s">
        <v>67</v>
      </c>
      <c r="G26" s="36"/>
      <c r="H26" s="36"/>
      <c r="I26" s="36"/>
      <c r="J26" s="36"/>
      <c r="K26" s="36"/>
      <c r="L26" s="36"/>
      <c r="M26" s="36"/>
      <c r="N26" s="36"/>
      <c r="O26" s="41"/>
      <c r="P26" s="41"/>
      <c r="Q26" s="41"/>
      <c r="R26" s="41"/>
      <c r="S26" s="41"/>
      <c r="T26" s="41"/>
      <c r="U26" s="42"/>
    </row>
    <row r="27" spans="1:21">
      <c r="A27" s="49" t="s">
        <v>68</v>
      </c>
      <c r="B27" s="31">
        <f>COUNTIF($G$14:$G$22,A27)</f>
        <v>1</v>
      </c>
      <c r="C27" s="31"/>
      <c r="D27" s="32">
        <f>COUNTIF($S$14:$S$22,A27)</f>
        <v>1</v>
      </c>
      <c r="E27" s="32"/>
      <c r="F27" s="37" t="s">
        <v>37</v>
      </c>
      <c r="G27" s="37"/>
      <c r="H27" s="37"/>
      <c r="I27" s="37"/>
      <c r="J27" s="37"/>
      <c r="K27" s="37"/>
      <c r="L27" s="37"/>
      <c r="M27" s="37"/>
      <c r="N27" s="37"/>
      <c r="O27" s="41"/>
      <c r="P27" s="41"/>
      <c r="Q27" s="41"/>
      <c r="R27" s="41"/>
      <c r="S27" s="41"/>
      <c r="T27" s="41"/>
      <c r="U27" s="42"/>
    </row>
    <row r="28" spans="1:21">
      <c r="A28" s="50" t="s">
        <v>69</v>
      </c>
      <c r="B28" s="31">
        <f>COUNTIF($G$14:$G$22,A28)</f>
        <v>1</v>
      </c>
      <c r="C28" s="31"/>
      <c r="D28" s="32">
        <f>COUNTIF($S$14:$S$22,A28)</f>
        <v>1</v>
      </c>
      <c r="E28" s="32"/>
      <c r="F28" s="37" t="s">
        <v>70</v>
      </c>
      <c r="G28" s="37"/>
      <c r="H28" s="37"/>
      <c r="I28" s="37"/>
      <c r="J28" s="37"/>
      <c r="K28" s="37"/>
      <c r="L28" s="37"/>
      <c r="M28" s="37"/>
      <c r="N28" s="37"/>
      <c r="O28" s="41"/>
      <c r="P28" s="41"/>
      <c r="Q28" s="41"/>
      <c r="R28" s="41"/>
      <c r="S28" s="41"/>
      <c r="T28" s="41"/>
      <c r="U28" s="42"/>
    </row>
    <row r="29" spans="1:21">
      <c r="A29" s="51" t="s">
        <v>71</v>
      </c>
      <c r="B29" s="31">
        <f>COUNTIF($G$14:$G$22,A29)</f>
        <v>7</v>
      </c>
      <c r="C29" s="31"/>
      <c r="D29" s="32">
        <f>COUNTIF($S$14:$S$22,A29)</f>
        <v>7</v>
      </c>
      <c r="E29" s="32"/>
      <c r="F29" s="37" t="s">
        <v>72</v>
      </c>
      <c r="G29" s="37"/>
      <c r="H29" s="37"/>
      <c r="I29" s="37"/>
      <c r="J29" s="37"/>
      <c r="K29" s="37"/>
      <c r="L29" s="37"/>
      <c r="M29" s="37"/>
      <c r="N29" s="37"/>
      <c r="O29" s="41"/>
      <c r="P29" s="41"/>
      <c r="Q29" s="41"/>
      <c r="R29" s="41"/>
      <c r="S29" s="41"/>
      <c r="T29" s="41"/>
      <c r="U29" s="42"/>
    </row>
    <row r="30" spans="1:21" ht="15" customHeight="1">
      <c r="A30" s="40" t="s">
        <v>73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41"/>
      <c r="T30" s="41"/>
      <c r="U30" s="42"/>
    </row>
    <row r="31" spans="1:21">
      <c r="A31" s="43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2"/>
    </row>
    <row r="32" spans="1:21">
      <c r="A32" s="44" t="s">
        <v>74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41"/>
      <c r="T32" s="41"/>
      <c r="U32" s="42"/>
    </row>
    <row r="33" spans="1:21">
      <c r="A33" s="52" t="s">
        <v>75</v>
      </c>
      <c r="B33" s="38"/>
      <c r="C33" s="38"/>
      <c r="D33" s="38"/>
      <c r="E33" s="38"/>
      <c r="F33" s="37" t="s">
        <v>76</v>
      </c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41"/>
      <c r="T33" s="41"/>
      <c r="U33" s="42"/>
    </row>
    <row r="34" spans="1:21">
      <c r="A34" s="52" t="s">
        <v>77</v>
      </c>
      <c r="B34" s="38"/>
      <c r="C34" s="38"/>
      <c r="D34" s="38"/>
      <c r="E34" s="38"/>
      <c r="F34" s="37" t="s">
        <v>78</v>
      </c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41"/>
      <c r="T34" s="41"/>
      <c r="U34" s="42"/>
    </row>
    <row r="35" spans="1:21">
      <c r="A35" s="52" t="s">
        <v>79</v>
      </c>
      <c r="B35" s="38"/>
      <c r="C35" s="38"/>
      <c r="D35" s="38"/>
      <c r="E35" s="38"/>
      <c r="F35" s="37" t="s">
        <v>80</v>
      </c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41"/>
      <c r="T35" s="41"/>
      <c r="U35" s="42"/>
    </row>
    <row r="36" spans="1:21">
      <c r="A36" s="52" t="s">
        <v>81</v>
      </c>
      <c r="B36" s="38"/>
      <c r="C36" s="38"/>
      <c r="D36" s="38"/>
      <c r="E36" s="38"/>
      <c r="F36" s="37" t="s">
        <v>82</v>
      </c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41"/>
      <c r="T36" s="41"/>
      <c r="U36" s="42"/>
    </row>
    <row r="37" spans="1:21">
      <c r="A37" s="52" t="s">
        <v>83</v>
      </c>
      <c r="B37" s="38"/>
      <c r="C37" s="38"/>
      <c r="D37" s="38"/>
      <c r="E37" s="38"/>
      <c r="F37" s="37" t="s">
        <v>84</v>
      </c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41"/>
      <c r="T37" s="41"/>
      <c r="U37" s="42"/>
    </row>
    <row r="38" spans="1:21">
      <c r="A38" s="52" t="s">
        <v>85</v>
      </c>
      <c r="B38" s="38"/>
      <c r="C38" s="38"/>
      <c r="D38" s="38"/>
      <c r="E38" s="38"/>
      <c r="F38" s="37" t="s">
        <v>86</v>
      </c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41"/>
      <c r="T38" s="41"/>
      <c r="U38" s="42"/>
    </row>
    <row r="39" spans="1:21">
      <c r="A39" s="52" t="s">
        <v>87</v>
      </c>
      <c r="B39" s="38"/>
      <c r="C39" s="38"/>
      <c r="D39" s="38"/>
      <c r="E39" s="38"/>
      <c r="F39" s="37" t="s">
        <v>88</v>
      </c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41"/>
      <c r="T39" s="41"/>
      <c r="U39" s="42"/>
    </row>
    <row r="40" spans="1:21">
      <c r="A40" s="52" t="s">
        <v>89</v>
      </c>
      <c r="B40" s="38"/>
      <c r="C40" s="38"/>
      <c r="D40" s="38"/>
      <c r="E40" s="38"/>
      <c r="F40" s="37" t="s">
        <v>90</v>
      </c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41"/>
      <c r="T40" s="41"/>
      <c r="U40" s="42"/>
    </row>
    <row r="41" spans="1:21">
      <c r="A41" s="43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2"/>
    </row>
    <row r="42" spans="1:21">
      <c r="A42" s="44" t="s">
        <v>91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41"/>
      <c r="T42" s="41"/>
      <c r="U42" s="42"/>
    </row>
    <row r="43" spans="1:21" ht="21.75" customHeight="1">
      <c r="A43" s="45" t="s">
        <v>92</v>
      </c>
      <c r="B43" s="36" t="s">
        <v>93</v>
      </c>
      <c r="C43" s="36"/>
      <c r="D43" s="36"/>
      <c r="E43" s="36" t="s">
        <v>94</v>
      </c>
      <c r="F43" s="36"/>
      <c r="G43" s="36"/>
      <c r="H43" s="36"/>
      <c r="I43" s="36"/>
      <c r="J43" s="36"/>
      <c r="K43" s="36"/>
      <c r="L43" s="36" t="s">
        <v>95</v>
      </c>
      <c r="M43" s="36"/>
      <c r="N43" s="36"/>
      <c r="O43" s="36"/>
      <c r="P43" s="36" t="s">
        <v>96</v>
      </c>
      <c r="Q43" s="36"/>
      <c r="R43" s="36"/>
      <c r="S43" s="41"/>
      <c r="T43" s="41"/>
      <c r="U43" s="42"/>
    </row>
    <row r="44" spans="1:21" ht="39.75" customHeight="1">
      <c r="A44" s="53" t="s">
        <v>97</v>
      </c>
      <c r="B44" s="39" t="s">
        <v>98</v>
      </c>
      <c r="C44" s="39"/>
      <c r="D44" s="39"/>
      <c r="E44" s="39" t="s">
        <v>99</v>
      </c>
      <c r="F44" s="39"/>
      <c r="G44" s="39"/>
      <c r="H44" s="39"/>
      <c r="I44" s="39"/>
      <c r="J44" s="39"/>
      <c r="K44" s="39"/>
      <c r="L44" s="39" t="s">
        <v>100</v>
      </c>
      <c r="M44" s="39"/>
      <c r="N44" s="39"/>
      <c r="O44" s="39"/>
      <c r="P44" s="39" t="s">
        <v>101</v>
      </c>
      <c r="Q44" s="39"/>
      <c r="R44" s="39"/>
      <c r="S44" s="41"/>
      <c r="T44" s="41"/>
      <c r="U44" s="42"/>
    </row>
    <row r="45" spans="1:21" ht="39.75" customHeight="1">
      <c r="A45" s="53" t="s">
        <v>102</v>
      </c>
      <c r="B45" s="39" t="s">
        <v>103</v>
      </c>
      <c r="C45" s="39"/>
      <c r="D45" s="39"/>
      <c r="E45" s="39" t="s">
        <v>104</v>
      </c>
      <c r="F45" s="39"/>
      <c r="G45" s="39"/>
      <c r="H45" s="39"/>
      <c r="I45" s="39"/>
      <c r="J45" s="39"/>
      <c r="K45" s="39"/>
      <c r="L45" s="39" t="s">
        <v>105</v>
      </c>
      <c r="M45" s="39"/>
      <c r="N45" s="39"/>
      <c r="O45" s="39"/>
      <c r="P45" s="39" t="s">
        <v>106</v>
      </c>
      <c r="Q45" s="39"/>
      <c r="R45" s="39"/>
      <c r="S45" s="41"/>
      <c r="T45" s="41"/>
      <c r="U45" s="42"/>
    </row>
    <row r="46" spans="1:21" ht="39.75" customHeight="1">
      <c r="A46" s="53" t="s">
        <v>107</v>
      </c>
      <c r="B46" s="39" t="s">
        <v>108</v>
      </c>
      <c r="C46" s="39"/>
      <c r="D46" s="39"/>
      <c r="E46" s="39" t="s">
        <v>109</v>
      </c>
      <c r="F46" s="39"/>
      <c r="G46" s="39"/>
      <c r="H46" s="39"/>
      <c r="I46" s="39"/>
      <c r="J46" s="39"/>
      <c r="K46" s="39"/>
      <c r="L46" s="39" t="s">
        <v>110</v>
      </c>
      <c r="M46" s="39"/>
      <c r="N46" s="39"/>
      <c r="O46" s="39"/>
      <c r="P46" s="39" t="s">
        <v>111</v>
      </c>
      <c r="Q46" s="39"/>
      <c r="R46" s="39"/>
      <c r="S46" s="41"/>
      <c r="T46" s="41"/>
      <c r="U46" s="42"/>
    </row>
    <row r="47" spans="1:21" ht="39.75" customHeight="1">
      <c r="A47" s="54" t="s">
        <v>112</v>
      </c>
      <c r="B47" s="39" t="s">
        <v>113</v>
      </c>
      <c r="C47" s="39"/>
      <c r="D47" s="39"/>
      <c r="E47" s="39" t="s">
        <v>114</v>
      </c>
      <c r="F47" s="39"/>
      <c r="G47" s="39"/>
      <c r="H47" s="39"/>
      <c r="I47" s="39"/>
      <c r="J47" s="39"/>
      <c r="K47" s="39"/>
      <c r="L47" s="39" t="s">
        <v>115</v>
      </c>
      <c r="M47" s="39"/>
      <c r="N47" s="39"/>
      <c r="O47" s="39"/>
      <c r="P47" s="39" t="s">
        <v>116</v>
      </c>
      <c r="Q47" s="39"/>
      <c r="R47" s="39"/>
      <c r="S47" s="41"/>
      <c r="T47" s="41"/>
      <c r="U47" s="42"/>
    </row>
    <row r="48" spans="1:21" ht="39.75" customHeight="1">
      <c r="A48" s="54" t="s">
        <v>117</v>
      </c>
      <c r="B48" s="39" t="s">
        <v>118</v>
      </c>
      <c r="C48" s="39"/>
      <c r="D48" s="39"/>
      <c r="E48" s="39" t="s">
        <v>119</v>
      </c>
      <c r="F48" s="39"/>
      <c r="G48" s="39"/>
      <c r="H48" s="39"/>
      <c r="I48" s="39"/>
      <c r="J48" s="39"/>
      <c r="K48" s="39"/>
      <c r="L48" s="39" t="s">
        <v>120</v>
      </c>
      <c r="M48" s="39"/>
      <c r="N48" s="39"/>
      <c r="O48" s="39"/>
      <c r="P48" s="39" t="s">
        <v>121</v>
      </c>
      <c r="Q48" s="39"/>
      <c r="R48" s="39"/>
      <c r="S48" s="41"/>
      <c r="T48" s="41"/>
      <c r="U48" s="42"/>
    </row>
    <row r="49" spans="1:21" ht="39.75" customHeight="1" thickBot="1">
      <c r="A49" s="55" t="s">
        <v>122</v>
      </c>
      <c r="B49" s="56" t="s">
        <v>123</v>
      </c>
      <c r="C49" s="56"/>
      <c r="D49" s="56"/>
      <c r="E49" s="56" t="s">
        <v>124</v>
      </c>
      <c r="F49" s="56"/>
      <c r="G49" s="56"/>
      <c r="H49" s="56"/>
      <c r="I49" s="56"/>
      <c r="J49" s="56"/>
      <c r="K49" s="56"/>
      <c r="L49" s="56" t="s">
        <v>125</v>
      </c>
      <c r="M49" s="56"/>
      <c r="N49" s="56"/>
      <c r="O49" s="56"/>
      <c r="P49" s="56" t="s">
        <v>126</v>
      </c>
      <c r="Q49" s="56"/>
      <c r="R49" s="56"/>
      <c r="S49" s="57"/>
      <c r="T49" s="57"/>
      <c r="U49" s="58"/>
    </row>
  </sheetData>
  <mergeCells count="77">
    <mergeCell ref="B49:D49"/>
    <mergeCell ref="E49:K49"/>
    <mergeCell ref="L49:O49"/>
    <mergeCell ref="P49:R49"/>
    <mergeCell ref="A1:U1"/>
    <mergeCell ref="A2:U2"/>
    <mergeCell ref="B47:D47"/>
    <mergeCell ref="E47:K47"/>
    <mergeCell ref="L47:O47"/>
    <mergeCell ref="P47:R47"/>
    <mergeCell ref="B48:D48"/>
    <mergeCell ref="E48:K48"/>
    <mergeCell ref="L48:O48"/>
    <mergeCell ref="P48:R48"/>
    <mergeCell ref="B45:D45"/>
    <mergeCell ref="E45:K45"/>
    <mergeCell ref="L45:O45"/>
    <mergeCell ref="P45:R45"/>
    <mergeCell ref="B46:D46"/>
    <mergeCell ref="E46:K46"/>
    <mergeCell ref="L46:O46"/>
    <mergeCell ref="P46:R46"/>
    <mergeCell ref="B43:D43"/>
    <mergeCell ref="E43:K43"/>
    <mergeCell ref="L43:O43"/>
    <mergeCell ref="P43:R43"/>
    <mergeCell ref="B44:D44"/>
    <mergeCell ref="E44:K44"/>
    <mergeCell ref="L44:O44"/>
    <mergeCell ref="P44:R44"/>
    <mergeCell ref="A39:E39"/>
    <mergeCell ref="F39:R39"/>
    <mergeCell ref="A40:E40"/>
    <mergeCell ref="F40:R40"/>
    <mergeCell ref="A42:R42"/>
    <mergeCell ref="A36:E36"/>
    <mergeCell ref="F36:R36"/>
    <mergeCell ref="A37:E37"/>
    <mergeCell ref="F37:R37"/>
    <mergeCell ref="A38:E38"/>
    <mergeCell ref="F38:R38"/>
    <mergeCell ref="A33:E33"/>
    <mergeCell ref="F33:R33"/>
    <mergeCell ref="A34:E34"/>
    <mergeCell ref="F34:R34"/>
    <mergeCell ref="A35:E35"/>
    <mergeCell ref="F35:R35"/>
    <mergeCell ref="B29:C29"/>
    <mergeCell ref="D29:E29"/>
    <mergeCell ref="F29:N29"/>
    <mergeCell ref="A30:R30"/>
    <mergeCell ref="A32:R32"/>
    <mergeCell ref="B27:C27"/>
    <mergeCell ref="D27:E27"/>
    <mergeCell ref="F27:N27"/>
    <mergeCell ref="B28:C28"/>
    <mergeCell ref="D28:E28"/>
    <mergeCell ref="F28:N28"/>
    <mergeCell ref="A23:S23"/>
    <mergeCell ref="A25:N25"/>
    <mergeCell ref="B26:C26"/>
    <mergeCell ref="D26:E26"/>
    <mergeCell ref="F26:N26"/>
    <mergeCell ref="A9:C9"/>
    <mergeCell ref="E9:K9"/>
    <mergeCell ref="A10:C10"/>
    <mergeCell ref="E10:K10"/>
    <mergeCell ref="A12:R12"/>
    <mergeCell ref="A6:C6"/>
    <mergeCell ref="E6:K6"/>
    <mergeCell ref="A7:C7"/>
    <mergeCell ref="E7:K7"/>
    <mergeCell ref="A8:C8"/>
    <mergeCell ref="E8:K8"/>
    <mergeCell ref="A4:D4"/>
    <mergeCell ref="A5:C5"/>
    <mergeCell ref="E5:K5"/>
  </mergeCells>
  <conditionalFormatting sqref="S14:S22">
    <cfRule type="expression" dxfId="3" priority="2">
      <formula>S14="SUPPORTED"</formula>
    </cfRule>
    <cfRule type="expression" dxfId="2" priority="3">
      <formula>S14="BORDERLINE"</formula>
    </cfRule>
  </conditionalFormatting>
  <conditionalFormatting sqref="G14:G22">
    <cfRule type="expression" dxfId="1" priority="4">
      <formula>G14="SUPPORTED"</formula>
    </cfRule>
    <cfRule type="expression" dxfId="0" priority="5">
      <formula>G14="BORDERLINE"</formula>
    </cfRule>
  </conditionalFormatting>
  <pageMargins left="0.75" right="0.75" top="1" bottom="1" header="0.511811023622047" footer="0.511811023622047"/>
  <pageSetup paperSize="5" scale="8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5"/>
  <sheetViews>
    <sheetView topLeftCell="A4" workbookViewId="0">
      <selection sqref="A1:O1"/>
    </sheetView>
  </sheetViews>
  <sheetFormatPr defaultColWidth="8.7109375" defaultRowHeight="15"/>
  <cols>
    <col min="1" max="1" width="11" customWidth="1"/>
    <col min="2" max="2" width="6" customWidth="1"/>
    <col min="3" max="4" width="7" customWidth="1"/>
    <col min="5" max="5" width="9" customWidth="1"/>
    <col min="6" max="6" width="7" customWidth="1"/>
    <col min="7" max="7" width="9" customWidth="1"/>
    <col min="8" max="8" width="7" customWidth="1"/>
    <col min="9" max="9" width="10" customWidth="1"/>
    <col min="10" max="10" width="7" customWidth="1"/>
    <col min="11" max="12" width="8" customWidth="1"/>
    <col min="13" max="13" width="7" customWidth="1"/>
    <col min="14" max="14" width="9" customWidth="1"/>
    <col min="15" max="15" width="13" customWidth="1"/>
  </cols>
  <sheetData>
    <row r="1" spans="1:15" ht="16.5">
      <c r="A1" s="3" t="s">
        <v>127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7.5" customHeight="1">
      <c r="A2" s="2" t="s">
        <v>128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43.5" customHeight="1">
      <c r="A4" s="5" t="s">
        <v>16</v>
      </c>
      <c r="B4" s="5" t="s">
        <v>17</v>
      </c>
      <c r="C4" s="5" t="s">
        <v>129</v>
      </c>
      <c r="D4" s="5" t="s">
        <v>130</v>
      </c>
      <c r="E4" s="5" t="s">
        <v>131</v>
      </c>
      <c r="F4" s="5" t="s">
        <v>132</v>
      </c>
      <c r="G4" s="5" t="s">
        <v>133</v>
      </c>
      <c r="H4" s="5" t="s">
        <v>134</v>
      </c>
      <c r="I4" s="5" t="s">
        <v>135</v>
      </c>
      <c r="J4" s="5" t="s">
        <v>26</v>
      </c>
      <c r="K4" s="5" t="s">
        <v>136</v>
      </c>
      <c r="L4" s="5" t="s">
        <v>137</v>
      </c>
      <c r="M4" s="5" t="s">
        <v>138</v>
      </c>
      <c r="N4" s="5" t="s">
        <v>139</v>
      </c>
      <c r="O4" s="5" t="s">
        <v>64</v>
      </c>
    </row>
    <row r="5" spans="1:15">
      <c r="A5" s="11" t="str">
        <f>Final_Summary!A14</f>
        <v>trna64</v>
      </c>
      <c r="B5" s="11" t="str">
        <f>Final_Summary!B14</f>
        <v>Sec</v>
      </c>
      <c r="C5" s="11" t="str">
        <f>Final_Summary!C14</f>
        <v>UCA</v>
      </c>
      <c r="D5" s="11">
        <f>Final_Summary!D14</f>
        <v>71</v>
      </c>
      <c r="E5" s="12">
        <f>Final_Summary!E14</f>
        <v>3.9399999999999998E-2</v>
      </c>
      <c r="F5" s="13">
        <f>Final_Summary!F14</f>
        <v>7.0999999999999994E-2</v>
      </c>
      <c r="G5" s="14">
        <f>Final_Summary!H14</f>
        <v>-32.9</v>
      </c>
      <c r="H5" s="11" t="str">
        <f>Final_Summary!I14</f>
        <v>19/21</v>
      </c>
      <c r="I5" s="11" t="str">
        <f>Final_Summary!J14</f>
        <v>10/12</v>
      </c>
      <c r="J5" s="11" t="str">
        <f>Final_Summary!K14</f>
        <v>5/5</v>
      </c>
      <c r="K5" s="14">
        <f>Final_Summary!N14*100</f>
        <v>64.788732394366207</v>
      </c>
      <c r="L5" s="11" t="str">
        <f>Final_Summary!O14&amp;"/42"</f>
        <v>34/42</v>
      </c>
      <c r="M5" s="15">
        <f>Final_Summary!Q14</f>
        <v>39.573070607553369</v>
      </c>
      <c r="N5" s="11" t="str">
        <f>Final_Summary!R14&amp;"/3"</f>
        <v>3/3</v>
      </c>
      <c r="O5" s="16" t="str">
        <f>IF(Final_Summary!S14="SUPPORTED","Supported",IF(Final_Summary!S14="BORDERLINE","Borderline","Not supported"))</f>
        <v>Supported</v>
      </c>
    </row>
    <row r="6" spans="1:15">
      <c r="A6" s="11" t="str">
        <f>Final_Summary!A15</f>
        <v>trna958</v>
      </c>
      <c r="B6" s="11" t="str">
        <f>Final_Summary!B15</f>
        <v>Sup</v>
      </c>
      <c r="C6" s="11" t="str">
        <f>Final_Summary!C15</f>
        <v>CUA</v>
      </c>
      <c r="D6" s="11">
        <f>Final_Summary!D15</f>
        <v>86</v>
      </c>
      <c r="E6" s="12">
        <f>Final_Summary!E15</f>
        <v>-0.14230000000000001</v>
      </c>
      <c r="F6" s="13">
        <f>Final_Summary!F15</f>
        <v>7.0999999999999994E-2</v>
      </c>
      <c r="G6" s="14">
        <f>Final_Summary!H15</f>
        <v>-20.3</v>
      </c>
      <c r="H6" s="11" t="str">
        <f>Final_Summary!I15</f>
        <v>19/21</v>
      </c>
      <c r="I6" s="11" t="str">
        <f>Final_Summary!J15</f>
        <v>10/12</v>
      </c>
      <c r="J6" s="11" t="str">
        <f>Final_Summary!K15</f>
        <v>5/5</v>
      </c>
      <c r="K6" s="14">
        <f>Final_Summary!N15*100</f>
        <v>44.444444444444443</v>
      </c>
      <c r="L6" s="11" t="str">
        <f>Final_Summary!O15&amp;"/42"</f>
        <v>21/42</v>
      </c>
      <c r="M6" s="15">
        <f>Final_Summary!Q15</f>
        <v>13.333333333333336</v>
      </c>
      <c r="N6" s="11" t="str">
        <f>Final_Summary!R15&amp;"/3"</f>
        <v>0/3</v>
      </c>
      <c r="O6" s="16" t="str">
        <f>IF(Final_Summary!S15="SUPPORTED","Supported",IF(Final_Summary!S15="BORDERLINE","Borderline","Not supported"))</f>
        <v>Borderline</v>
      </c>
    </row>
    <row r="7" spans="1:15" ht="25.5">
      <c r="A7" s="11" t="str">
        <f>Final_Summary!A16</f>
        <v>trna1091</v>
      </c>
      <c r="B7" s="11" t="str">
        <f>Final_Summary!B16</f>
        <v>Sup</v>
      </c>
      <c r="C7" s="11" t="str">
        <f>Final_Summary!C16</f>
        <v>CUA</v>
      </c>
      <c r="D7" s="11">
        <f>Final_Summary!D16</f>
        <v>88</v>
      </c>
      <c r="E7" s="12">
        <f>Final_Summary!E16</f>
        <v>-0.23880000000000001</v>
      </c>
      <c r="F7" s="13">
        <f>Final_Summary!F16</f>
        <v>0.28599999999999998</v>
      </c>
      <c r="G7" s="14">
        <f>Final_Summary!H16</f>
        <v>-29.4</v>
      </c>
      <c r="H7" s="11" t="str">
        <f>Final_Summary!I16</f>
        <v>19/21</v>
      </c>
      <c r="I7" s="11" t="str">
        <f>Final_Summary!J16</f>
        <v>6/12</v>
      </c>
      <c r="J7" s="11" t="str">
        <f>Final_Summary!K16</f>
        <v>1/5</v>
      </c>
      <c r="K7" s="14">
        <f>Final_Summary!N16*100</f>
        <v>45.833333333333329</v>
      </c>
      <c r="L7" s="11" t="str">
        <f>Final_Summary!O16&amp;"/42"</f>
        <v>20/42</v>
      </c>
      <c r="M7" s="15">
        <f>Final_Summary!Q16</f>
        <v>4.2857142857142811</v>
      </c>
      <c r="N7" s="11" t="str">
        <f>Final_Summary!R16&amp;"/3"</f>
        <v>0/3</v>
      </c>
      <c r="O7" s="16" t="str">
        <f>IF(Final_Summary!S16="SUPPORTED","Supported",IF(Final_Summary!S16="BORDERLINE","Borderline","Not supported"))</f>
        <v>Not supported</v>
      </c>
    </row>
    <row r="8" spans="1:15" ht="25.5">
      <c r="A8" s="11" t="str">
        <f>Final_Summary!A17</f>
        <v>trna1395</v>
      </c>
      <c r="B8" s="11" t="str">
        <f>Final_Summary!B17</f>
        <v>Sup</v>
      </c>
      <c r="C8" s="11" t="str">
        <f>Final_Summary!C17</f>
        <v>CUA</v>
      </c>
      <c r="D8" s="11">
        <f>Final_Summary!D17</f>
        <v>92</v>
      </c>
      <c r="E8" s="12">
        <f>Final_Summary!E17</f>
        <v>-0.24690000000000001</v>
      </c>
      <c r="F8" s="13">
        <f>Final_Summary!F17</f>
        <v>0.28599999999999998</v>
      </c>
      <c r="G8" s="14">
        <f>Final_Summary!H17</f>
        <v>-20.6</v>
      </c>
      <c r="H8" s="11" t="str">
        <f>Final_Summary!I17</f>
        <v>19/21</v>
      </c>
      <c r="I8" s="11" t="str">
        <f>Final_Summary!J17</f>
        <v>7/12</v>
      </c>
      <c r="J8" s="11" t="str">
        <f>Final_Summary!K17</f>
        <v>4/5</v>
      </c>
      <c r="K8" s="14">
        <f>Final_Summary!N17*100</f>
        <v>54.929577464788736</v>
      </c>
      <c r="L8" s="11" t="str">
        <f>Final_Summary!O17&amp;"/42"</f>
        <v>24/42</v>
      </c>
      <c r="M8" s="15">
        <f>Final_Summary!Q17</f>
        <v>5.418719211822653</v>
      </c>
      <c r="N8" s="11" t="str">
        <f>Final_Summary!R17&amp;"/3"</f>
        <v>2/3</v>
      </c>
      <c r="O8" s="16" t="str">
        <f>IF(Final_Summary!S17="SUPPORTED","Supported",IF(Final_Summary!S17="BORDERLINE","Borderline","Not supported"))</f>
        <v>Not supported</v>
      </c>
    </row>
    <row r="9" spans="1:15" ht="25.5">
      <c r="A9" s="11" t="str">
        <f>Final_Summary!A18</f>
        <v>trna1</v>
      </c>
      <c r="B9" s="11" t="str">
        <f>Final_Summary!B18</f>
        <v>Sec</v>
      </c>
      <c r="C9" s="11" t="str">
        <f>Final_Summary!C18</f>
        <v>UCA</v>
      </c>
      <c r="D9" s="11">
        <f>Final_Summary!D18</f>
        <v>70</v>
      </c>
      <c r="E9" s="12">
        <f>Final_Summary!E18</f>
        <v>-0.28660000000000002</v>
      </c>
      <c r="F9" s="13">
        <f>Final_Summary!F18</f>
        <v>0.35699999999999998</v>
      </c>
      <c r="G9" s="14">
        <f>Final_Summary!H18</f>
        <v>-14.1</v>
      </c>
      <c r="H9" s="11" t="str">
        <f>Final_Summary!I18</f>
        <v>19/21</v>
      </c>
      <c r="I9" s="11" t="str">
        <f>Final_Summary!J18</f>
        <v>7/12</v>
      </c>
      <c r="J9" s="11" t="str">
        <f>Final_Summary!K18</f>
        <v>2/5</v>
      </c>
      <c r="K9" s="14">
        <f>Final_Summary!N18*100</f>
        <v>32.857142857142854</v>
      </c>
      <c r="L9" s="11" t="str">
        <f>Final_Summary!O18&amp;"/42"</f>
        <v>15/42</v>
      </c>
      <c r="M9" s="15">
        <f>Final_Summary!Q18</f>
        <v>7.142857142857145</v>
      </c>
      <c r="N9" s="11" t="str">
        <f>Final_Summary!R18&amp;"/3"</f>
        <v>0/3</v>
      </c>
      <c r="O9" s="16" t="str">
        <f>IF(Final_Summary!S18="SUPPORTED","Supported",IF(Final_Summary!S18="BORDERLINE","Borderline","Not supported"))</f>
        <v>Not supported</v>
      </c>
    </row>
    <row r="10" spans="1:15" ht="25.5">
      <c r="A10" s="11" t="str">
        <f>Final_Summary!A19</f>
        <v>trna20</v>
      </c>
      <c r="B10" s="11" t="str">
        <f>Final_Summary!B19</f>
        <v>Sup</v>
      </c>
      <c r="C10" s="11" t="str">
        <f>Final_Summary!C19</f>
        <v>UUA</v>
      </c>
      <c r="D10" s="11">
        <f>Final_Summary!D19</f>
        <v>70</v>
      </c>
      <c r="E10" s="12">
        <f>Final_Summary!E19</f>
        <v>-0.29049999999999998</v>
      </c>
      <c r="F10" s="13">
        <f>Final_Summary!F19</f>
        <v>0.42899999999999999</v>
      </c>
      <c r="G10" s="14">
        <f>Final_Summary!H19</f>
        <v>-16.5</v>
      </c>
      <c r="H10" s="11" t="str">
        <f>Final_Summary!I19</f>
        <v>20/21</v>
      </c>
      <c r="I10" s="11" t="str">
        <f>Final_Summary!J19</f>
        <v>7/12</v>
      </c>
      <c r="J10" s="11" t="str">
        <f>Final_Summary!K19</f>
        <v>3/5</v>
      </c>
      <c r="K10" s="14">
        <f>Final_Summary!N19*100</f>
        <v>44.285714285714285</v>
      </c>
      <c r="L10" s="11" t="str">
        <f>Final_Summary!O19&amp;"/42"</f>
        <v>20/42</v>
      </c>
      <c r="M10" s="15">
        <f>Final_Summary!Q19</f>
        <v>8.3333333333333321</v>
      </c>
      <c r="N10" s="11" t="str">
        <f>Final_Summary!R19&amp;"/3"</f>
        <v>0/3</v>
      </c>
      <c r="O10" s="16" t="str">
        <f>IF(Final_Summary!S19="SUPPORTED","Supported",IF(Final_Summary!S19="BORDERLINE","Borderline","Not supported"))</f>
        <v>Not supported</v>
      </c>
    </row>
    <row r="11" spans="1:15" ht="25.5">
      <c r="A11" s="11" t="str">
        <f>Final_Summary!A20</f>
        <v>trna9</v>
      </c>
      <c r="B11" s="11" t="str">
        <f>Final_Summary!B20</f>
        <v>Sup</v>
      </c>
      <c r="C11" s="11" t="str">
        <f>Final_Summary!C20</f>
        <v>UUA</v>
      </c>
      <c r="D11" s="11">
        <f>Final_Summary!D20</f>
        <v>70</v>
      </c>
      <c r="E11" s="12">
        <f>Final_Summary!E20</f>
        <v>-0.31630000000000003</v>
      </c>
      <c r="F11" s="13">
        <f>Final_Summary!F20</f>
        <v>0.42899999999999999</v>
      </c>
      <c r="G11" s="14">
        <f>Final_Summary!H20</f>
        <v>-16.399999999999999</v>
      </c>
      <c r="H11" s="11" t="str">
        <f>Final_Summary!I20</f>
        <v>19/21</v>
      </c>
      <c r="I11" s="11" t="str">
        <f>Final_Summary!J20</f>
        <v>7/12</v>
      </c>
      <c r="J11" s="11" t="str">
        <f>Final_Summary!K20</f>
        <v>2/5</v>
      </c>
      <c r="K11" s="14">
        <f>Final_Summary!N20*100</f>
        <v>30</v>
      </c>
      <c r="L11" s="11" t="str">
        <f>Final_Summary!O20&amp;"/42"</f>
        <v>12/42</v>
      </c>
      <c r="M11" s="15">
        <f>Final_Summary!Q20</f>
        <v>-3.5714285714285756</v>
      </c>
      <c r="N11" s="11" t="str">
        <f>Final_Summary!R20&amp;"/3"</f>
        <v>0/3</v>
      </c>
      <c r="O11" s="16" t="str">
        <f>IF(Final_Summary!S20="SUPPORTED","Supported",IF(Final_Summary!S20="BORDERLINE","Borderline","Not supported"))</f>
        <v>Not supported</v>
      </c>
    </row>
    <row r="12" spans="1:15" ht="25.5">
      <c r="A12" s="11" t="str">
        <f>Final_Summary!A21</f>
        <v>trna590</v>
      </c>
      <c r="B12" s="11" t="str">
        <f>Final_Summary!B21</f>
        <v>Sup</v>
      </c>
      <c r="C12" s="11" t="str">
        <f>Final_Summary!C21</f>
        <v>UUA</v>
      </c>
      <c r="D12" s="11">
        <f>Final_Summary!D21</f>
        <v>80</v>
      </c>
      <c r="E12" s="12">
        <f>Final_Summary!E21</f>
        <v>-0.46429999999999999</v>
      </c>
      <c r="F12" s="13">
        <f>Final_Summary!F21</f>
        <v>0.92900000000000005</v>
      </c>
      <c r="G12" s="14">
        <f>Final_Summary!H21</f>
        <v>-19.3</v>
      </c>
      <c r="H12" s="11" t="str">
        <f>Final_Summary!I21</f>
        <v>20/21</v>
      </c>
      <c r="I12" s="11" t="str">
        <f>Final_Summary!J21</f>
        <v>6/12</v>
      </c>
      <c r="J12" s="11" t="str">
        <f>Final_Summary!K21</f>
        <v>2/5</v>
      </c>
      <c r="K12" s="14">
        <f>Final_Summary!N21*100</f>
        <v>33.802816901408448</v>
      </c>
      <c r="L12" s="11" t="str">
        <f>Final_Summary!O21&amp;"/42"</f>
        <v>16/42</v>
      </c>
      <c r="M12" s="15">
        <f>Final_Summary!Q21</f>
        <v>10.509031198686369</v>
      </c>
      <c r="N12" s="11" t="str">
        <f>Final_Summary!R21&amp;"/3"</f>
        <v>0/3</v>
      </c>
      <c r="O12" s="16" t="str">
        <f>IF(Final_Summary!S21="SUPPORTED","Supported",IF(Final_Summary!S21="BORDERLINE","Borderline","Not supported"))</f>
        <v>Not supported</v>
      </c>
    </row>
    <row r="13" spans="1:15" ht="25.5">
      <c r="A13" s="11" t="str">
        <f>Final_Summary!A22</f>
        <v>trna1470</v>
      </c>
      <c r="B13" s="11" t="str">
        <f>Final_Summary!B22</f>
        <v>Sup</v>
      </c>
      <c r="C13" s="11" t="str">
        <f>Final_Summary!C22</f>
        <v>CUA</v>
      </c>
      <c r="D13" s="11">
        <f>Final_Summary!D22</f>
        <v>93</v>
      </c>
      <c r="E13" s="12">
        <f>Final_Summary!E22</f>
        <v>-0.49320000000000003</v>
      </c>
      <c r="F13" s="13">
        <f>Final_Summary!F22</f>
        <v>1</v>
      </c>
      <c r="G13" s="14">
        <f>Final_Summary!H22</f>
        <v>-20.6</v>
      </c>
      <c r="H13" s="11" t="str">
        <f>Final_Summary!I22</f>
        <v>19/21</v>
      </c>
      <c r="I13" s="11" t="str">
        <f>Final_Summary!J22</f>
        <v>5/12</v>
      </c>
      <c r="J13" s="11" t="str">
        <f>Final_Summary!K22</f>
        <v>1/5</v>
      </c>
      <c r="K13" s="14">
        <f>Final_Summary!N22*100</f>
        <v>48.611111111111107</v>
      </c>
      <c r="L13" s="11" t="str">
        <f>Final_Summary!O22&amp;"/42"</f>
        <v>18/42</v>
      </c>
      <c r="M13" s="15">
        <f>Final_Summary!Q22</f>
        <v>-13.80952380952381</v>
      </c>
      <c r="N13" s="11" t="str">
        <f>Final_Summary!R22&amp;"/3"</f>
        <v>0/3</v>
      </c>
      <c r="O13" s="16" t="str">
        <f>IF(Final_Summary!S22="SUPPORTED","Supported",IF(Final_Summary!S22="BORDERLINE","Borderline","Not supported"))</f>
        <v>Not supported</v>
      </c>
    </row>
    <row r="15" spans="1:15" ht="49.5" customHeight="1">
      <c r="A15" s="2" t="s">
        <v>140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</sheetData>
  <mergeCells count="3">
    <mergeCell ref="A1:O1"/>
    <mergeCell ref="A2:O2"/>
    <mergeCell ref="A15:O15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selection sqref="A1:J1"/>
    </sheetView>
  </sheetViews>
  <sheetFormatPr defaultColWidth="8.7109375" defaultRowHeight="15"/>
  <cols>
    <col min="1" max="1" width="24" customWidth="1"/>
    <col min="2" max="2" width="20" customWidth="1"/>
    <col min="3" max="3" width="6" customWidth="1"/>
    <col min="4" max="4" width="14" customWidth="1"/>
    <col min="5" max="5" width="16" customWidth="1"/>
    <col min="6" max="7" width="9" customWidth="1"/>
    <col min="8" max="8" width="8" customWidth="1"/>
    <col min="9" max="9" width="13" customWidth="1"/>
  </cols>
  <sheetData>
    <row r="1" spans="1:10" ht="16.5">
      <c r="A1" s="3" t="s">
        <v>141</v>
      </c>
      <c r="B1" s="3"/>
      <c r="C1" s="3"/>
      <c r="D1" s="3"/>
      <c r="E1" s="3"/>
      <c r="F1" s="3"/>
      <c r="G1" s="3"/>
      <c r="H1" s="3"/>
      <c r="I1" s="3"/>
      <c r="J1" s="3"/>
    </row>
    <row r="2" spans="1:10" ht="25.5" customHeight="1">
      <c r="A2" s="2" t="s">
        <v>142</v>
      </c>
      <c r="B2" s="2"/>
      <c r="C2" s="2"/>
      <c r="D2" s="2"/>
      <c r="E2" s="2"/>
      <c r="F2" s="2"/>
      <c r="G2" s="2"/>
      <c r="H2" s="2"/>
      <c r="I2" s="2"/>
      <c r="J2" s="2"/>
    </row>
    <row r="4" spans="1:10" ht="43.5" customHeight="1">
      <c r="A4" s="5" t="s">
        <v>143</v>
      </c>
      <c r="B4" s="5" t="s">
        <v>144</v>
      </c>
      <c r="C4" s="5" t="s">
        <v>145</v>
      </c>
      <c r="D4" s="5" t="s">
        <v>131</v>
      </c>
      <c r="E4" s="5" t="s">
        <v>146</v>
      </c>
      <c r="F4" s="5" t="s">
        <v>136</v>
      </c>
      <c r="G4" s="5" t="s">
        <v>147</v>
      </c>
      <c r="H4" s="5" t="s">
        <v>138</v>
      </c>
      <c r="I4" s="5" t="s">
        <v>148</v>
      </c>
    </row>
    <row r="5" spans="1:10">
      <c r="A5" s="17" t="s">
        <v>149</v>
      </c>
      <c r="B5" s="17" t="s">
        <v>150</v>
      </c>
      <c r="C5" s="6">
        <v>199</v>
      </c>
      <c r="D5" s="6" t="s">
        <v>151</v>
      </c>
      <c r="E5" s="6" t="s">
        <v>152</v>
      </c>
      <c r="F5" s="8">
        <v>60.1</v>
      </c>
      <c r="G5" s="8">
        <v>73</v>
      </c>
      <c r="H5" s="18">
        <v>31.3</v>
      </c>
      <c r="I5" s="9" t="str">
        <f>"183/199 ("&amp;TEXT(183/199,"0%")&amp;")"</f>
        <v>183/199 (92%)</v>
      </c>
    </row>
    <row r="6" spans="1:10">
      <c r="A6" s="17" t="s">
        <v>153</v>
      </c>
      <c r="B6" s="17" t="s">
        <v>154</v>
      </c>
      <c r="C6" s="6">
        <v>96</v>
      </c>
      <c r="D6" s="6" t="s">
        <v>155</v>
      </c>
      <c r="E6" s="6" t="s">
        <v>156</v>
      </c>
      <c r="F6" s="8">
        <v>58.7</v>
      </c>
      <c r="G6" s="8">
        <v>71.099999999999994</v>
      </c>
      <c r="H6" s="18">
        <v>30</v>
      </c>
      <c r="I6" s="9" t="str">
        <f>"89/96 ("&amp;TEXT(89/96,"0%")&amp;")"</f>
        <v>89/96 (93%)</v>
      </c>
    </row>
    <row r="7" spans="1:10" ht="25.5">
      <c r="A7" s="17" t="s">
        <v>157</v>
      </c>
      <c r="B7" s="17" t="s">
        <v>158</v>
      </c>
      <c r="C7" s="6">
        <v>62</v>
      </c>
      <c r="D7" s="6" t="s">
        <v>159</v>
      </c>
      <c r="E7" s="6" t="s">
        <v>160</v>
      </c>
      <c r="F7" s="8">
        <v>61.5</v>
      </c>
      <c r="G7" s="8">
        <v>74.5</v>
      </c>
      <c r="H7" s="18">
        <v>31.6</v>
      </c>
      <c r="I7" s="9" t="str">
        <f>"61/62 ("&amp;TEXT(61/62,"0%")&amp;")"</f>
        <v>61/62 (98%)</v>
      </c>
    </row>
    <row r="8" spans="1:10">
      <c r="A8" s="17" t="s">
        <v>161</v>
      </c>
      <c r="B8" s="17" t="s">
        <v>162</v>
      </c>
      <c r="C8" s="6">
        <v>9</v>
      </c>
      <c r="D8" s="6" t="s">
        <v>163</v>
      </c>
      <c r="E8" s="6" t="s">
        <v>164</v>
      </c>
      <c r="F8" s="8">
        <v>44.4</v>
      </c>
      <c r="G8" s="8">
        <v>47.6</v>
      </c>
      <c r="H8" s="18">
        <v>7.9</v>
      </c>
      <c r="I8" s="11" t="str">
        <f>COUNTIF(Final_Summary!R14:R22,3)&amp;"/9 ("&amp;TEXT(COUNTIF(Final_Summary!R14:R22,3)/9,"0%")&amp;")"</f>
        <v>1/9 (11%)</v>
      </c>
    </row>
    <row r="9" spans="1:10">
      <c r="A9" s="17" t="s">
        <v>165</v>
      </c>
      <c r="B9" s="17" t="s">
        <v>166</v>
      </c>
      <c r="C9" s="6">
        <v>13</v>
      </c>
      <c r="D9" s="6" t="s">
        <v>167</v>
      </c>
      <c r="E9" s="6" t="s">
        <v>168</v>
      </c>
      <c r="F9" s="8">
        <v>31.3</v>
      </c>
      <c r="G9" s="8">
        <v>30.4</v>
      </c>
      <c r="H9" s="18">
        <v>-2.1</v>
      </c>
      <c r="I9" s="9" t="str">
        <f>"0/13 ("&amp;TEXT(0/13,"0%")&amp;")"</f>
        <v>0/13 (0%)</v>
      </c>
    </row>
    <row r="10" spans="1:10" ht="25.5">
      <c r="A10" s="17" t="s">
        <v>169</v>
      </c>
      <c r="B10" s="17" t="s">
        <v>166</v>
      </c>
      <c r="C10" s="6">
        <v>960</v>
      </c>
      <c r="D10" s="6" t="s">
        <v>170</v>
      </c>
      <c r="E10" s="6" t="s">
        <v>171</v>
      </c>
      <c r="F10" s="6" t="s">
        <v>172</v>
      </c>
      <c r="G10" s="6" t="s">
        <v>173</v>
      </c>
      <c r="H10" s="6" t="s">
        <v>173</v>
      </c>
      <c r="I10" s="6" t="s">
        <v>174</v>
      </c>
    </row>
    <row r="11" spans="1:10" ht="72" customHeight="1">
      <c r="A11" s="2" t="s">
        <v>175</v>
      </c>
      <c r="B11" s="2"/>
      <c r="C11" s="2"/>
      <c r="D11" s="2"/>
      <c r="E11" s="2"/>
      <c r="F11" s="2"/>
      <c r="G11" s="2"/>
      <c r="H11" s="2"/>
      <c r="I11" s="2"/>
      <c r="J11" s="2"/>
    </row>
  </sheetData>
  <mergeCells count="3">
    <mergeCell ref="A1:J1"/>
    <mergeCell ref="A2:J2"/>
    <mergeCell ref="A11:J11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topLeftCell="A7" workbookViewId="0">
      <selection sqref="A1:F1"/>
    </sheetView>
  </sheetViews>
  <sheetFormatPr defaultColWidth="8.7109375" defaultRowHeight="15"/>
  <cols>
    <col min="1" max="1" width="32" customWidth="1"/>
    <col min="2" max="2" width="22" customWidth="1"/>
    <col min="3" max="3" width="16" customWidth="1"/>
    <col min="4" max="5" width="18" customWidth="1"/>
    <col min="6" max="6" width="4" customWidth="1"/>
  </cols>
  <sheetData>
    <row r="1" spans="1:6" ht="16.5">
      <c r="A1" s="3" t="s">
        <v>176</v>
      </c>
      <c r="B1" s="3"/>
      <c r="C1" s="3"/>
      <c r="D1" s="3"/>
      <c r="E1" s="3"/>
      <c r="F1" s="3"/>
    </row>
    <row r="3" spans="1:6">
      <c r="A3" s="1" t="s">
        <v>177</v>
      </c>
      <c r="B3" s="1"/>
      <c r="C3" s="1"/>
      <c r="D3" s="1"/>
      <c r="E3" s="1"/>
      <c r="F3" s="1"/>
    </row>
    <row r="4" spans="1:6" ht="31.5" customHeight="1">
      <c r="A4" s="5" t="s">
        <v>178</v>
      </c>
      <c r="B4" s="5" t="s">
        <v>17</v>
      </c>
      <c r="C4" s="5" t="s">
        <v>179</v>
      </c>
      <c r="D4" s="5" t="s">
        <v>180</v>
      </c>
      <c r="E4" s="5" t="s">
        <v>181</v>
      </c>
    </row>
    <row r="5" spans="1:6">
      <c r="A5" s="19" t="s">
        <v>20</v>
      </c>
      <c r="B5" s="19" t="s">
        <v>182</v>
      </c>
      <c r="C5" s="7">
        <v>0.61499999999999999</v>
      </c>
      <c r="D5" s="20">
        <v>0.38500000000000001</v>
      </c>
      <c r="E5" s="9" t="str">
        <f t="shared" ref="E5:E10" si="0">IF(D5&lt;0.05,"yes","no")</f>
        <v>no</v>
      </c>
    </row>
    <row r="6" spans="1:6">
      <c r="A6" s="19" t="s">
        <v>29</v>
      </c>
      <c r="B6" s="19" t="s">
        <v>183</v>
      </c>
      <c r="C6" s="7">
        <v>0.85899999999999999</v>
      </c>
      <c r="D6" s="4">
        <v>5.4999999999999997E-3</v>
      </c>
      <c r="E6" s="9" t="str">
        <f t="shared" si="0"/>
        <v>yes</v>
      </c>
    </row>
    <row r="7" spans="1:6">
      <c r="A7" s="19" t="s">
        <v>184</v>
      </c>
      <c r="B7" s="19" t="s">
        <v>183</v>
      </c>
      <c r="C7" s="7">
        <v>0.88</v>
      </c>
      <c r="D7" s="4">
        <v>3.2000000000000002E-3</v>
      </c>
      <c r="E7" s="9" t="str">
        <f t="shared" si="0"/>
        <v>yes</v>
      </c>
    </row>
    <row r="8" spans="1:6">
      <c r="A8" s="19" t="s">
        <v>185</v>
      </c>
      <c r="B8" s="19" t="s">
        <v>183</v>
      </c>
      <c r="C8" s="7">
        <v>0.77800000000000002</v>
      </c>
      <c r="D8" s="20">
        <v>3.3000000000000002E-2</v>
      </c>
      <c r="E8" s="9" t="str">
        <f t="shared" si="0"/>
        <v>yes</v>
      </c>
    </row>
    <row r="9" spans="1:6">
      <c r="A9" s="19" t="s">
        <v>186</v>
      </c>
      <c r="B9" s="19" t="s">
        <v>187</v>
      </c>
      <c r="C9" s="7">
        <v>0.79500000000000004</v>
      </c>
      <c r="D9" s="20">
        <v>2.3E-2</v>
      </c>
      <c r="E9" s="9" t="str">
        <f t="shared" si="0"/>
        <v>yes</v>
      </c>
    </row>
    <row r="10" spans="1:6">
      <c r="A10" s="19" t="s">
        <v>188</v>
      </c>
      <c r="B10" s="19" t="s">
        <v>187</v>
      </c>
      <c r="C10" s="7">
        <v>0.82899999999999996</v>
      </c>
      <c r="D10" s="20">
        <v>1.0999999999999999E-2</v>
      </c>
      <c r="E10" s="9" t="str">
        <f t="shared" si="0"/>
        <v>yes</v>
      </c>
    </row>
    <row r="12" spans="1:6">
      <c r="A12" s="1" t="s">
        <v>189</v>
      </c>
      <c r="B12" s="1"/>
      <c r="C12" s="1"/>
      <c r="D12" s="1"/>
      <c r="E12" s="1"/>
      <c r="F12" s="1"/>
    </row>
    <row r="13" spans="1:6" ht="43.5" customHeight="1">
      <c r="A13" s="5" t="s">
        <v>190</v>
      </c>
      <c r="B13" s="5" t="s">
        <v>191</v>
      </c>
      <c r="C13" s="5" t="s">
        <v>192</v>
      </c>
      <c r="D13" s="5" t="s">
        <v>193</v>
      </c>
      <c r="E13" s="5" t="s">
        <v>194</v>
      </c>
    </row>
    <row r="14" spans="1:6">
      <c r="A14" s="19" t="s">
        <v>195</v>
      </c>
      <c r="B14" s="6">
        <v>9</v>
      </c>
      <c r="C14" s="6">
        <v>13</v>
      </c>
      <c r="D14" s="21">
        <f>C14/50</f>
        <v>0.26</v>
      </c>
      <c r="E14" s="6" t="s">
        <v>196</v>
      </c>
    </row>
    <row r="15" spans="1:6">
      <c r="A15" s="19" t="s">
        <v>197</v>
      </c>
      <c r="B15" s="11">
        <f>COUNTIF(Final_Summary!R14:R22,3)</f>
        <v>1</v>
      </c>
      <c r="C15" s="6">
        <v>0</v>
      </c>
      <c r="D15" s="21">
        <f>C15/50</f>
        <v>0</v>
      </c>
      <c r="E15" s="6" t="s">
        <v>196</v>
      </c>
    </row>
    <row r="17" spans="1:6" ht="61.5" customHeight="1">
      <c r="A17" s="2" t="s">
        <v>198</v>
      </c>
      <c r="B17" s="2"/>
      <c r="C17" s="2"/>
      <c r="D17" s="2"/>
      <c r="E17" s="2"/>
      <c r="F17" s="2"/>
    </row>
  </sheetData>
  <mergeCells count="4">
    <mergeCell ref="A1:F1"/>
    <mergeCell ref="A3:F3"/>
    <mergeCell ref="A12:F12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selection sqref="A1:E1"/>
    </sheetView>
  </sheetViews>
  <sheetFormatPr defaultColWidth="8.7109375" defaultRowHeight="15"/>
  <cols>
    <col min="1" max="1" width="4" customWidth="1"/>
    <col min="2" max="2" width="30" customWidth="1"/>
    <col min="3" max="3" width="40" customWidth="1"/>
    <col min="4" max="4" width="38" customWidth="1"/>
    <col min="5" max="5" width="48" customWidth="1"/>
  </cols>
  <sheetData>
    <row r="1" spans="1:5" ht="16.5">
      <c r="A1" s="3" t="s">
        <v>199</v>
      </c>
      <c r="B1" s="3"/>
      <c r="C1" s="3"/>
      <c r="D1" s="3"/>
      <c r="E1" s="3"/>
    </row>
    <row r="3" spans="1:5" ht="21.75" customHeight="1">
      <c r="A3" s="5" t="s">
        <v>200</v>
      </c>
      <c r="B3" s="5" t="s">
        <v>201</v>
      </c>
      <c r="C3" s="5" t="s">
        <v>202</v>
      </c>
      <c r="D3" s="5" t="s">
        <v>203</v>
      </c>
      <c r="E3" s="5" t="s">
        <v>204</v>
      </c>
    </row>
    <row r="4" spans="1:5" ht="57.75" customHeight="1">
      <c r="A4" s="9">
        <v>1</v>
      </c>
      <c r="B4" s="10" t="s">
        <v>205</v>
      </c>
      <c r="C4" s="10" t="s">
        <v>206</v>
      </c>
      <c r="D4" s="10" t="s">
        <v>207</v>
      </c>
      <c r="E4" s="10" t="s">
        <v>208</v>
      </c>
    </row>
    <row r="5" spans="1:5" ht="57.75" customHeight="1">
      <c r="A5" s="9">
        <v>2</v>
      </c>
      <c r="B5" s="10" t="s">
        <v>209</v>
      </c>
      <c r="C5" s="10" t="s">
        <v>210</v>
      </c>
      <c r="D5" s="10" t="s">
        <v>211</v>
      </c>
      <c r="E5" s="10" t="s">
        <v>212</v>
      </c>
    </row>
    <row r="6" spans="1:5" ht="57.75" customHeight="1">
      <c r="A6" s="9">
        <v>3</v>
      </c>
      <c r="B6" s="10" t="s">
        <v>213</v>
      </c>
      <c r="C6" s="10" t="s">
        <v>214</v>
      </c>
      <c r="D6" s="10" t="s">
        <v>215</v>
      </c>
      <c r="E6" s="10" t="s">
        <v>216</v>
      </c>
    </row>
    <row r="7" spans="1:5" ht="57.75" customHeight="1">
      <c r="A7" s="9">
        <v>4</v>
      </c>
      <c r="B7" s="10" t="s">
        <v>217</v>
      </c>
      <c r="C7" s="10" t="s">
        <v>218</v>
      </c>
      <c r="D7" s="10" t="s">
        <v>219</v>
      </c>
      <c r="E7" s="10" t="s">
        <v>220</v>
      </c>
    </row>
    <row r="8" spans="1:5" ht="57.75" customHeight="1">
      <c r="A8" s="9">
        <v>5</v>
      </c>
      <c r="B8" s="10" t="s">
        <v>221</v>
      </c>
      <c r="C8" s="10" t="s">
        <v>222</v>
      </c>
      <c r="D8" s="10" t="s">
        <v>223</v>
      </c>
      <c r="E8" s="10" t="s">
        <v>224</v>
      </c>
    </row>
    <row r="9" spans="1:5" ht="57.75" customHeight="1">
      <c r="A9" s="9">
        <v>6</v>
      </c>
      <c r="B9" s="10" t="s">
        <v>225</v>
      </c>
      <c r="C9" s="10" t="s">
        <v>226</v>
      </c>
      <c r="D9" s="10" t="s">
        <v>227</v>
      </c>
      <c r="E9" s="10" t="s">
        <v>228</v>
      </c>
    </row>
    <row r="10" spans="1:5" ht="57.75" customHeight="1">
      <c r="A10" s="9">
        <v>7</v>
      </c>
      <c r="B10" s="10" t="s">
        <v>229</v>
      </c>
      <c r="C10" s="10" t="s">
        <v>230</v>
      </c>
      <c r="D10" s="10" t="s">
        <v>231</v>
      </c>
      <c r="E10" s="10" t="s">
        <v>232</v>
      </c>
    </row>
    <row r="11" spans="1:5" ht="57.75" customHeight="1">
      <c r="A11" s="9">
        <v>8</v>
      </c>
      <c r="B11" s="10" t="s">
        <v>233</v>
      </c>
      <c r="C11" s="10" t="s">
        <v>234</v>
      </c>
      <c r="D11" s="10" t="s">
        <v>235</v>
      </c>
      <c r="E11" s="10" t="s">
        <v>236</v>
      </c>
    </row>
    <row r="12" spans="1:5" ht="57.75" customHeight="1">
      <c r="A12" s="9">
        <v>9</v>
      </c>
      <c r="B12" s="10" t="s">
        <v>237</v>
      </c>
      <c r="C12" s="10" t="s">
        <v>238</v>
      </c>
      <c r="D12" s="10" t="s">
        <v>239</v>
      </c>
      <c r="E12" s="10" t="s">
        <v>240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Final_Summary</vt:lpstr>
      <vt:lpstr>Table 1</vt:lpstr>
      <vt:lpstr>Table 2</vt:lpstr>
      <vt:lpstr>Table 3</vt:lpstr>
      <vt:lpstr>Corrections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cp:lastPrinted>2026-10-31T06:12:41Z</cp:lastPrinted>
  <dcterms:created xsi:type="dcterms:W3CDTF">2026-10-31T06:04:01Z</dcterms:created>
  <dcterms:modified xsi:type="dcterms:W3CDTF">2026-10-31T06:13:40Z</dcterms:modified>
  <dc:language>en-US</dc:language>
</cp:coreProperties>
</file>